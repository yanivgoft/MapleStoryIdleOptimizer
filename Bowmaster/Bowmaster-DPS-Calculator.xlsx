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Bowmaster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Critical Shot, Archer Mastery, Bow Acceleration, Physical Training, Bow Mastery, Extreme Archery/Reckless Hunt: Bow's own Final Damage component, Armor Break, Bow Expert, and Soul Arrow: Bow's own DEX/Attack bonuses are always-on passives assumed to already be reflected in your own Inputs stat entries — only their Sensitivity marginal delta (what changes if their mastery level differs from what you assumed) is modeled live, matching this project's established convention (see build_shadower_workbook.py's own README). Soul Arrow: Bow's flat DEX bonus specifically has NO Sensitivity delta row (no percentage-bucket exists for a flat sub-stat bonus in this template) — just assume your own Inputs!Flat DEX already includes it.</t>
        </is>
      </c>
    </row>
    <row r="11">
      <c r="A11" s="2" t="inlineStr">
        <is>
          <t>Concentration ("Focused Fury" in the Aug 13 patch notes — same skill, wiki and Nexon's own English patch notes use different names) and Mortal Blow are both modeled at steady-state maximum stacks/uptime once unlocked, not as exact stack-timer/hit-counter state machines — the same simplification tier as every other accumulating-stack mechanic in this project.</t>
        </is>
      </c>
    </row>
    <row r="12">
      <c r="A12" s="2" t="inlineStr">
        <is>
          <t>Arrow Platter's per-level damage curve is confirmed via idle.maplestorywiki.net/w/Quiver_Flow (the skill's real curve lives under an old/alternate page name — its current-name page, .../w/Arrow_Platter, is a wiki content bug rendering Wind Arrow II's data instead). Its real cooldown (40s, not 60s) came from that same page's infobox.</t>
        </is>
      </c>
    </row>
    <row r="13">
      <c r="A13" s="2" t="inlineStr">
        <is>
          <t>Quiver Cartridge's Attack-Speed-scaled tick rate uses the English wiki wording ('up to 0.4 times based on Attack Speed') over the Korean text's disagreeing 'up to 2x', per user direction — tick multiplier = 1+0.4*(TotalAS%/150), same 150%-AS cap as Actions Per Second. Flash Mirage's own Attack-Speed-scaled activation-chance text is separately still too vague/self-contradictory (English vs. Korean disagree) to model precisely — it uses a flat, non-AS-scaled proc rate instead, flagged as a simplification.</t>
        </is>
      </c>
    </row>
    <row r="14">
      <c r="A14" s="2" t="inlineStr">
        <is>
          <t>Final Attack: Bow + Advanced Final Attack are folded into Arrow Stream's own coefficient as a steady-state average addition, not modeled as an independent damage pipeline with its own separate Final Damage chain.</t>
        </is>
      </c>
    </row>
    <row r="15">
      <c r="A15" s="2" t="inlineStr">
        <is>
          <t>Maple Hero's own per-level scaling curve is confirmed via idle.maplestorywiki.net/w/Maple_Hero_(Bowmaster) — all three target skills (Arrow Platter/Phoenix/Covering Fire) scale by the identical ratio at every level, so one shared curve covers all three.</t>
        </is>
      </c>
    </row>
    <row r="16">
      <c r="A16"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7">
      <c r="A17" s="2" t="inlineStr">
        <is>
          <t>Not modeled (out of scope): all forms of crowd control, Accuracy, Evasion, Defense reduction/penetration debuffs on the character's own Defense stat, movement speed, Illusion Step's own Evasion/damage-taken-reduction phase,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Bowmaster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Archer Mastery/Bow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DEX (include Soul Arrow: Bow's own bonus if unlocked)</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DEX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STR</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skills/buffs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1"/>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ARROW_STREAM</t>
        </is>
      </c>
      <c r="B2" t="inlineStr">
        <is>
          <t>Arrow Stream</t>
        </is>
      </c>
      <c r="C2" t="n">
        <v>4</v>
      </c>
      <c r="D2" t="inlineStr"/>
      <c r="E2" t="b">
        <v>0</v>
      </c>
      <c r="F2" t="n">
        <v>1</v>
      </c>
      <c r="G2">
        <f>IF(Inputs!$B$3&gt;=134,6,5)</f>
        <v/>
      </c>
      <c r="H2" t="n">
        <v>0</v>
      </c>
      <c r="I2" t="n">
        <v>0</v>
      </c>
      <c r="J2" t="n">
        <v>100</v>
      </c>
      <c r="K2" t="n">
        <v>1</v>
      </c>
      <c r="L2" t="n">
        <v>2900</v>
      </c>
      <c r="M2" t="n">
        <v>21</v>
      </c>
      <c r="N2" t="b">
        <v>1</v>
      </c>
      <c r="O2">
        <f>SUMPRODUCT((Inputs!$B$3&gt;={98,104,113,118,126,130})*{10,1,1,1,1,1})</f>
        <v/>
      </c>
      <c r="P2">
        <f>SUMPRODUCT((Inputs!$B$3&gt;={108,122})*{10,10})</f>
        <v/>
      </c>
      <c r="Q2" t="n">
        <v>0</v>
      </c>
      <c r="R2">
        <f>6+Inputs!$B$33</f>
        <v/>
      </c>
      <c r="S2" t="inlineStr"/>
      <c r="T2" t="n">
        <v>0</v>
      </c>
      <c r="U2" t="inlineStr"/>
      <c r="V2" t="inlineStr"/>
      <c r="W2" t="inlineStr">
        <is>
          <t>4th-job basic-attack effect (supersedes Wind Arrow/Wind Arrow II/Arrow Blow, confirmed identical wiki wording — 290% damage to 6 target(s) in front 5 time(s) — to every other class's own 4th-job basic attack). factorIndex 21, baseDamage 2900 tenths%. HitsPerCast = 5 (the wiki's own 'time(s)' figure), bumping to 6 once Mastery Lv.134 'Arrow Stream - Strike' unlocks — same pattern/level as Night Lord's own Showdown mastery. SkillMasteryBonus% is ONLY the real Arrow Stream - Damage mastery chain (98/104/113/118/126/130, cumulative +10/11/12/13/14/15%) — Final Attack: Bow's own contribution moved to its own FINAL_ATTACK_BOW row (see there for why). MasteryBossDamage% is the real 2-tier Arrow Stream - Boss Monster Damage chain (108, 122), each independently +10%, totaling +20% — this and the Damage mastery chain above were both caught missing entirely during the Marksman build's own shared-skill cross-check (Verification item 5) and fixed here.</t>
        </is>
      </c>
    </row>
    <row r="3">
      <c r="A3" t="inlineStr">
        <is>
          <t>FINAL_ATTACK_BOW</t>
        </is>
      </c>
      <c r="B3" t="inlineStr">
        <is>
          <t>Final Attack: Bow</t>
        </is>
      </c>
      <c r="C3" t="n">
        <v>2</v>
      </c>
      <c r="D3">
        <f>1/Summary!$B$17</f>
        <v/>
      </c>
      <c r="E3" t="b">
        <v>0</v>
      </c>
      <c r="F3" t="n">
        <v>1</v>
      </c>
      <c r="G3" t="n">
        <v>1</v>
      </c>
      <c r="H3" t="n">
        <v>0</v>
      </c>
      <c r="I3" t="n">
        <v>0</v>
      </c>
      <c r="J3" t="n">
        <v>25</v>
      </c>
      <c r="K3" t="n">
        <v>1</v>
      </c>
      <c r="L3" t="n">
        <v>350</v>
      </c>
      <c r="M3" t="n">
        <v>21</v>
      </c>
      <c r="N3" t="b">
        <v>1</v>
      </c>
      <c r="O3">
        <f>SUMPRODUCT((Inputs!$B$3&gt;={54})*{50})</f>
        <v/>
      </c>
      <c r="P3" t="n">
        <v>0</v>
      </c>
      <c r="Q3" t="n">
        <v>0</v>
      </c>
      <c r="R3">
        <f>6+Inputs!$B$33</f>
        <v/>
      </c>
      <c r="S3" t="inlineStr"/>
      <c r="T3" t="n">
        <v>0</v>
      </c>
      <c r="U3" t="inlineStr"/>
      <c r="V3" t="inlineStr"/>
      <c r="W3" t="inlineStr">
        <is>
          <t>Previously folded into Arrow Stream's own coefficient as a steady-state average addition — split out into its own independent row per a Discord bug report/user direction, since Final Attack is affected by Skill Damage%, not Basic Attack Damage% (Arrow Stream's own bucket). Real proc: 25% chance 'when attacking' to deal 35%-&gt;49% additional damage (levels 1-100) to the same target(s) that attack just hit. Modeled as a real ProcChance%=25 tested against the character's own total attack-LINE rate (Cooldown(s) = 1/Summary!APS — one attack line per cast, across every active-slot skill, per user direction; earlier versions of this row incorrectly multiplied by Arrow Stream's own HitsPerCast, over-counting each of its 5-6 individual arrows as a separate attack line). factorIndex 21, baseDamage 350 tenths%. Mastery 'Final Attack - Damage' +50% at Lv.54 (RESOLVED this session via maplestoryidle.info/jobs.html — the wiki's own Mastery page had this at Lv.52, confirmed wrong by the new source). Its own Final Damage bonus (Advanced Final Attack, +500%-&gt;900% FD to Final Attack specifically) is a separate multiplicative term from ADVANCED_FINAL_ATTACK_HELPER (same shape as Quiver Cartridge/Enchanted Quiver or Flash Mirage/Flash Mirage II's own extra_fd_term pattern).</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SUMPRODUCT((Inputs!$B$3&gt;={113})*{50})</f>
        <v/>
      </c>
      <c r="P4" t="n">
        <v>0</v>
      </c>
      <c r="Q4" t="n">
        <v>0</v>
      </c>
      <c r="R4" t="n">
        <v>0</v>
      </c>
      <c r="S4" t="inlineStr"/>
      <c r="T4" t="n">
        <v>0</v>
      </c>
      <c r="U4" t="inlineStr"/>
      <c r="V4" t="inlineStr"/>
      <c r="W4" t="inlineStr">
        <is>
          <t>Helper row only — feeds FINAL_ATTACK_BOW's own K-column extra Final Damage term (Final Attack's own Final Damage bonus, not a global bucket). +500%-&gt;900% FD (levels 1-200). factorIndex 21, baseDamage 5000 tenths%. Mastery 'Advanced Final Attack - Enhance' +50% at Lv.113 (RESOLVED this session via maplestoryidle.info/jobs.html — the wiki's own Mastery page had this at Lv.111, confirmed wrong by the new source).</t>
        </is>
      </c>
    </row>
    <row r="5">
      <c r="A5" t="inlineStr">
        <is>
          <t>COVERING_FIRE</t>
        </is>
      </c>
      <c r="B5" t="inlineStr">
        <is>
          <t>Covering Fire</t>
        </is>
      </c>
      <c r="C5" t="n">
        <v>1</v>
      </c>
      <c r="D5" t="n">
        <v>19</v>
      </c>
      <c r="E5" t="b">
        <v>1</v>
      </c>
      <c r="F5" t="n">
        <v>1</v>
      </c>
      <c r="G5" t="n">
        <v>3</v>
      </c>
      <c r="H5" t="n">
        <v>0</v>
      </c>
      <c r="I5" t="n">
        <v>0</v>
      </c>
      <c r="J5" t="n">
        <v>100</v>
      </c>
      <c r="K5" t="n">
        <v>1</v>
      </c>
      <c r="L5" t="n">
        <v>2500</v>
      </c>
      <c r="M5" t="n">
        <v>12</v>
      </c>
      <c r="N5" t="b">
        <v>1</v>
      </c>
      <c r="O5">
        <f>SUMPRODUCT((Inputs!$B$3&gt;={39})*{50})</f>
        <v/>
      </c>
      <c r="P5" t="n">
        <v>0</v>
      </c>
      <c r="Q5" t="n">
        <v>0</v>
      </c>
      <c r="R5" t="n">
        <v>1</v>
      </c>
      <c r="S5" t="inlineStr"/>
      <c r="T5" t="n">
        <v>0</v>
      </c>
      <c r="U5" t="n">
        <v>250</v>
      </c>
      <c r="V5" t="n">
        <v>0</v>
      </c>
      <c r="W5" t="inlineStr">
        <is>
          <t>Shared verbatim w/ Marksman (identical name AND numbers both classes, confirmed via the patch notes' own shared 'Covering Fire' entry). 250%-&gt;375% damage x3 hits (levels 1-100), 19s cooldown. factorIndex 12, baseDamage 2500 tenths%. Mastery Lv.39 'Covering Fire - Damage' +50% (real SkillMasteryBonus%). Patched: skill use range +~20% (not modeled). Maple Hero target — see MAPLE_HERO_RATIOS (biggest share, 4x Arrow Platter's own share).</t>
        </is>
      </c>
    </row>
    <row r="6">
      <c r="A6" t="inlineStr">
        <is>
          <t>QUIVER_CARTRIDGE</t>
        </is>
      </c>
      <c r="B6" t="inlineStr">
        <is>
          <t>Quiver Cartridge</t>
        </is>
      </c>
      <c r="C6" t="n">
        <v>3</v>
      </c>
      <c r="D6">
        <f>1/(1+(Summary!$B$17-1)*4/15)</f>
        <v/>
      </c>
      <c r="E6" t="b">
        <v>0</v>
      </c>
      <c r="F6" t="n">
        <v>1</v>
      </c>
      <c r="G6">
        <f>3+IF(Inputs!$B$3&gt;=107,3,0)</f>
        <v/>
      </c>
      <c r="H6" t="n">
        <v>0</v>
      </c>
      <c r="I6" t="n">
        <v>0</v>
      </c>
      <c r="J6" t="n">
        <v>100</v>
      </c>
      <c r="K6" t="n">
        <v>1</v>
      </c>
      <c r="L6" t="n">
        <v>500</v>
      </c>
      <c r="M6" t="n">
        <v>21</v>
      </c>
      <c r="N6" t="b">
        <v>1</v>
      </c>
      <c r="O6" t="n">
        <v>0</v>
      </c>
      <c r="P6" t="n">
        <v>0</v>
      </c>
      <c r="Q6" t="n">
        <v>200</v>
      </c>
      <c r="R6">
        <f>3+IF(Inputs!$B$3&gt;=107,3,0)</f>
        <v/>
      </c>
      <c r="S6" t="inlineStr"/>
      <c r="T6" t="n">
        <v>0</v>
      </c>
      <c r="U6" t="inlineStr"/>
      <c r="V6" t="inlineStr"/>
      <c r="W6" t="inlineStr">
        <is>
          <t>Background periodic DoT, same shape as FP-Mage's Ignite (CostsActionSlot=False, 'always maintained'), but with a real AS-scaled tick rate per user direction to use the English wiki wording ('activation speed increases up to 0.4 times based on Attack Speed') over the self-contradictory Korean text ('up to 2x'). Modeled as: tick multiplier = 1+0.4*(TotalAS%/150), i.e. up to +40% faster ticking at the same 150%-AS cap already used by Summary!Actions Per Second (R_APS) — Cooldown(s) = 1/tick_multiplier, base 1s at 0% AS down to ~0.7143s at the 150% AS cap. PATCHED: base damage 22%-&gt;50% (curve rescaled 50/22=2.2727x before reverse-engineering — factorIndex 21, baseDamage 500 tenths% already reflects the patched value), targets 1-&gt;3, +3 more once Enchanted Quiver unlocks at Lv.107 (see ENCHANTED_QUIVER_HELPER). Flat +8% Attack (patch-added) assumed already reflected in your own Inputs — see SOUL_ARROW_BOW_ATK's own Note (same treatment, both are flat unconditional Attack% bonuses).</t>
        </is>
      </c>
    </row>
    <row r="7">
      <c r="A7" t="inlineStr">
        <is>
          <t>ENCHANTED_QUIVER_HELPER</t>
        </is>
      </c>
      <c r="B7" t="inlineStr">
        <is>
          <t>Enchanted Quiver (helper)</t>
        </is>
      </c>
      <c r="C7" t="n">
        <v>4</v>
      </c>
      <c r="D7" t="inlineStr"/>
      <c r="E7" t="b">
        <v>0</v>
      </c>
      <c r="F7" t="n">
        <v>1</v>
      </c>
      <c r="G7" t="n">
        <v>1</v>
      </c>
      <c r="H7" t="n">
        <v>0</v>
      </c>
      <c r="I7" t="n">
        <v>0</v>
      </c>
      <c r="J7" t="n">
        <v>100</v>
      </c>
      <c r="K7" t="n">
        <v>1</v>
      </c>
      <c r="L7" t="n">
        <v>3000</v>
      </c>
      <c r="M7" t="n">
        <v>21</v>
      </c>
      <c r="N7" t="b">
        <v>1</v>
      </c>
      <c r="O7" t="n">
        <v>0</v>
      </c>
      <c r="P7" t="n">
        <v>0</v>
      </c>
      <c r="Q7" t="n">
        <v>0</v>
      </c>
      <c r="R7" t="n">
        <v>0</v>
      </c>
      <c r="S7" t="inlineStr"/>
      <c r="T7" t="n">
        <v>0</v>
      </c>
      <c r="U7" t="inlineStr"/>
      <c r="V7" t="inlineStr"/>
      <c r="W7" t="inlineStr">
        <is>
          <t>Helper row only — feeds Quiver Cartridge's own K-column extra Final Damage term (see QUIVER_CARTRIDGE's own targets formula for the +3 targets side). PATCHED: FD 500%-&gt;300% (curve rescaled 300/500=0.6x before reverse-engineering — factorIndex 21, baseDamage 3000 tenths% already reflects the patched value).</t>
        </is>
      </c>
    </row>
    <row r="8">
      <c r="A8" t="inlineStr">
        <is>
          <t>PHOENIX</t>
        </is>
      </c>
      <c r="B8" t="inlineStr">
        <is>
          <t>Phoenix</t>
        </is>
      </c>
      <c r="C8" t="n">
        <v>3</v>
      </c>
      <c r="D8">
        <f>IF(Inputs!$B$3&gt;=102,60*0.6,60)</f>
        <v/>
      </c>
      <c r="E8" t="b">
        <v>1</v>
      </c>
      <c r="F8" t="n">
        <v>1</v>
      </c>
      <c r="G8" t="n">
        <v>1</v>
      </c>
      <c r="H8">
        <f>IF(Inputs!$B$3&gt;=80,3*0.7,3)</f>
        <v/>
      </c>
      <c r="I8">
        <f>IF(Inputs!$B$3&gt;=102,30,20)</f>
        <v/>
      </c>
      <c r="J8" t="n">
        <v>100</v>
      </c>
      <c r="K8" t="n">
        <v>1</v>
      </c>
      <c r="L8" t="n">
        <v>6000</v>
      </c>
      <c r="M8" t="n">
        <v>12</v>
      </c>
      <c r="N8" t="b">
        <v>1</v>
      </c>
      <c r="O8" t="n">
        <v>0</v>
      </c>
      <c r="P8" t="n">
        <v>0</v>
      </c>
      <c r="Q8">
        <f>IF(Inputs!$B$3&gt;=92,100,0)</f>
        <v/>
      </c>
      <c r="R8">
        <f>5+IF(Inputs!$B$3&gt;=76,3,0)</f>
        <v/>
      </c>
      <c r="S8" t="inlineStr"/>
      <c r="T8" t="n">
        <v>0</v>
      </c>
      <c r="U8" t="n">
        <v>250</v>
      </c>
      <c r="V8" t="n">
        <v>0</v>
      </c>
      <c r="W8" t="inlineStr">
        <is>
          <t>Summons Phoenix, attacks nearby targets on a periodic tick (EffectiveHits = HitsPerCast x (ActiveWindow/ICD), same mechanism as FP-Mage/ILM's own summon rows). PATCHED: duration 20s-&gt;30s (target detection range +~25% not modeled), cooldown 60s (Mastery Lv.102 'Phoenix - Reuse' -50%-&gt;-40% per the patch, baked into the Cooldown(s) formula). factorIndex 12, baseDamage 6000 tenths% (600%-&gt;1200%, levels 1-200) — not itself patched (only duration/detection range changed). Mastery Lv.76 '+3 targets', Lv.80 '-30% strike interval' (baked into ICD(s)), Lv.92 '+100%p Normal Monster Damage' (own MasteryNormalDamage%, scoped to this row only — not the global bucket). Maple Hero target — see MAPLE_HERO_RATIOS.</t>
        </is>
      </c>
    </row>
    <row r="9">
      <c r="A9" t="inlineStr">
        <is>
          <t>ARROW_PLATTER</t>
        </is>
      </c>
      <c r="B9" t="inlineStr">
        <is>
          <t>Arrow Platter</t>
        </is>
      </c>
      <c r="C9" t="n">
        <v>3</v>
      </c>
      <c r="D9" t="n">
        <v>40</v>
      </c>
      <c r="E9" t="b">
        <v>1</v>
      </c>
      <c r="F9" t="n">
        <v>1</v>
      </c>
      <c r="G9" t="n">
        <v>1</v>
      </c>
      <c r="H9" t="n">
        <v>0.3</v>
      </c>
      <c r="I9" t="n">
        <v>60</v>
      </c>
      <c r="J9" t="n">
        <v>100</v>
      </c>
      <c r="K9" t="n">
        <v>1</v>
      </c>
      <c r="L9" t="n">
        <v>500</v>
      </c>
      <c r="M9" t="n">
        <v>12</v>
      </c>
      <c r="N9" t="b">
        <v>1</v>
      </c>
      <c r="O9" t="n">
        <v>0</v>
      </c>
      <c r="P9" t="n">
        <v>0</v>
      </c>
      <c r="Q9" t="n">
        <v>200</v>
      </c>
      <c r="R9">
        <f>3+IF(Inputs!$B$3&gt;=98,1,0)</f>
        <v/>
      </c>
      <c r="S9" t="inlineStr"/>
      <c r="T9" t="n">
        <v>0</v>
      </c>
      <c r="U9" t="n">
        <v>250</v>
      </c>
      <c r="V9" t="n">
        <v>0</v>
      </c>
      <c r="W9" t="inlineStr">
        <is>
          <t>RESOLVED this session — idle.maplestorywiki.net/w/Arrow_Platter is a confirmed wiki content bug (renders Wind Arrow II's data under Arrow Platter's own infobox), but the skill's real current-name page is 'Quiver Flow' (idle.maplestorywiki.net/w/Quiver_Flow, per user direction — an old/alternate name the wiki still hosts the real curve under), which gives the full level 1-200 curve (50%-&gt;100%, linear +2.5% per 10 levels) resolving cleanly to factorIndex 12/baseDamage 500 tenths% (0% residual), plus the real Cooldown=40s (its own infobox — NOT 60s, which was this session's earlier unconfirmed guess matching the skill's own 60s active-duration instead of its actual cooldown). Duration(60s) &gt; Cooldown(40s) so it's maintained at 100% uptime once off cooldown (re-placed immediately). Stationary turret: fires every 0.3s for 60s (EffectiveHits = 60/0.3=200/cast). PATCHED: base targets 1-&gt;3, +1 more once Lv.98 mastery unlocks (patched from +2). Own +200% Normal Monster Damage baked into MasteryNormalDamage% (scoped to this row only, per its own skill description, not the global bucket). Maple Hero target — see MAPLE_HERO_RATIOS.</t>
        </is>
      </c>
    </row>
    <row r="10">
      <c r="A10" t="inlineStr">
        <is>
          <t>HURRICANE</t>
        </is>
      </c>
      <c r="B10" t="inlineStr">
        <is>
          <t>Hurricane</t>
        </is>
      </c>
      <c r="C10" t="n">
        <v>4</v>
      </c>
      <c r="D10" t="n">
        <v>40</v>
      </c>
      <c r="E10" t="b">
        <v>1</v>
      </c>
      <c r="F10" t="n">
        <v>1</v>
      </c>
      <c r="G10">
        <f>20+IF(Inputs!$B$3&gt;=134,15,0)</f>
        <v/>
      </c>
      <c r="H10" t="n">
        <v>0</v>
      </c>
      <c r="I10" t="n">
        <v>0</v>
      </c>
      <c r="J10" t="n">
        <v>100</v>
      </c>
      <c r="K10" t="n">
        <v>1</v>
      </c>
      <c r="L10" t="n">
        <v>8000</v>
      </c>
      <c r="M10" t="n">
        <v>12</v>
      </c>
      <c r="N10" t="b">
        <v>1</v>
      </c>
      <c r="O10">
        <f>SUMPRODUCT((Inputs!$B$3&gt;={108})*{50})</f>
        <v/>
      </c>
      <c r="P10" t="n">
        <v>0</v>
      </c>
      <c r="Q10" t="n">
        <v>0</v>
      </c>
      <c r="R10" t="n">
        <v>7</v>
      </c>
      <c r="S10" t="inlineStr"/>
      <c r="T10" t="n">
        <v>0</v>
      </c>
      <c r="U10" t="inlineStr"/>
      <c r="V10" t="inlineStr"/>
      <c r="W10" t="inlineStr">
        <is>
          <t>Previously entirely missing from this workbook — found and added after a Discord bug report flagged it absent from the DPS breakdown. Real Lv.103 4th-job active skill. idle.maplestorywiki.net/w/Hurricane's own numbers turned out wrong (confirmed by a second Discord report and cross-referenced against maplestoryidle.info/jobs.html, the new authoritative source used to fix this): the wiki claimed 20 hits, 7% damage 'to the target' (single-target); the real skill is 20 hits, **800%** damage to **up to 7 enemies** in front. FactorIndex corrected from an earlier 0 (non-scaling) — that assumption came from the wiki's own per-level table showing a uniform value at every sampled level, which we now know is unreliable for this skill (the same page also had the damage/target numbers themselves wrong, likely the same underlying data corruption).  Real factorIndex 12 (per user direction — the same multi-hit-active-skill curve already used by Covering Fire/Phoenix/Arrow Platter, the closest mechanical siblings), baseDamage 8000 tenths% treated as the level-1 anchor (FLAGGED ASSUMPTION — maplestoryidle.info gives only a single snapshot value with no level context, no independently-confirmed second data point exists to verify which level this value anchors to). Real Cooldown=40s (matches both sources), CostsActionSlot=True (Active type). Not one of Maple Hero's 3 buffed skills (Arrow Platter/Phoenix/Covering Fire only) — no MapleHeroBase/FactorIndex. Two real mastery bonuses, level thresholds also corrected against maplestoryidle.info/jobs.html (the wiki's own Mastery page had these 2 levels lower each): Lv.108 'Hurricane - Damage' +50% (flat SkillMasteryBonus%), Lv.134 'Hurricane - Extend' raises hit count 20-&gt;35 (baked into the HitsPerCast formula, same level-gated-hit-count-flip pattern as Dark Knight's Gungnir's Descent). Its own 'fire faster with higher Attack Speed' text is the same category of too-vague-to-model-precisely ambiguity already flagged for this class's own Flash Mirage — FLAGGED, not modeled, real 40s Cooldown(s) used unmodified by Attack Speed.</t>
        </is>
      </c>
    </row>
    <row r="11">
      <c r="A11" t="inlineStr">
        <is>
          <t>MAPLE_HERO_HELPER</t>
        </is>
      </c>
      <c r="B11" t="inlineStr">
        <is>
          <t>Maple Hero (helper)</t>
        </is>
      </c>
      <c r="C11" t="n">
        <v>4</v>
      </c>
      <c r="D11" t="inlineStr"/>
      <c r="E11" t="b">
        <v>0</v>
      </c>
      <c r="F11" t="n">
        <v>1</v>
      </c>
      <c r="G11" t="n">
        <v>1</v>
      </c>
      <c r="H11" t="n">
        <v>0</v>
      </c>
      <c r="I11" t="n">
        <v>0</v>
      </c>
      <c r="J11" t="n">
        <v>100</v>
      </c>
      <c r="K11" t="n">
        <v>1</v>
      </c>
      <c r="L11" t="n">
        <v>250</v>
      </c>
      <c r="M11" t="n">
        <v>23</v>
      </c>
      <c r="N11" t="b">
        <v>1</v>
      </c>
      <c r="O11" t="n">
        <v>0</v>
      </c>
      <c r="P11" t="n">
        <v>0</v>
      </c>
      <c r="Q11" t="n">
        <v>0</v>
      </c>
      <c r="R11" t="n">
        <v>0</v>
      </c>
      <c r="S11" t="inlineStr"/>
      <c r="T11" t="n">
        <v>0</v>
      </c>
      <c r="U11" t="inlineStr"/>
      <c r="V11" t="inlineStr"/>
      <c r="W11" t="inlineStr">
        <is>
          <t>Shared ratio-feeder row (see MAPLE_HERO_RATIOS) for Arrow Platter/Phoenix/Covering Fire's own Final Damage chains — mirrors Shadower's own MAPLE_HERO_SHADOWER mechanism. RESOLVED this session via idle.maplestorywiki.net/w/Maple_Hero_(Bowmaster) (full level 1-200 curve, resolves to factorIndex 23/baseDamage 250 tenths%, 0% residual). No independent DPS row of its own (Calc columns J-N blank/0, only D/E/F computed, read directly by each target row's own K-column formula — same 'no independent row' pattern as Shadower's own Maple Hero).</t>
        </is>
      </c>
    </row>
    <row r="12">
      <c r="A12" t="inlineStr">
        <is>
          <t>FLASH_MIRAGE</t>
        </is>
      </c>
      <c r="B12" t="inlineStr">
        <is>
          <t>Flash Mirage</t>
        </is>
      </c>
      <c r="C12" t="n">
        <v>3</v>
      </c>
      <c r="D12">
        <f>5+1/(((20+30*(Summary!$B$17-1)*100/150)/100)*Summary!$B$17)</f>
        <v/>
      </c>
      <c r="E12" t="b">
        <v>0</v>
      </c>
      <c r="F12" t="n">
        <v>1</v>
      </c>
      <c r="G12" t="n">
        <v>1</v>
      </c>
      <c r="H12" t="n">
        <v>0</v>
      </c>
      <c r="I12" t="n">
        <v>0</v>
      </c>
      <c r="J12" t="n">
        <v>100</v>
      </c>
      <c r="K12" t="n">
        <v>1</v>
      </c>
      <c r="L12" t="n">
        <v>5500</v>
      </c>
      <c r="M12" t="n">
        <v>21</v>
      </c>
      <c r="N12" t="b">
        <v>1</v>
      </c>
      <c r="O12">
        <f>SUMPRODUCT((Inputs!$B$3&gt;={68})*{50})</f>
        <v/>
      </c>
      <c r="P12" t="n">
        <v>0</v>
      </c>
      <c r="Q12" t="n">
        <v>0</v>
      </c>
      <c r="R12">
        <f>5+IF(Inputs!$B$3&gt;=136,1,0)</f>
        <v/>
      </c>
      <c r="S12" t="inlineStr"/>
      <c r="T12" t="n">
        <v>0</v>
      </c>
      <c r="U12" t="inlineStr"/>
      <c r="V12" t="inlineStr"/>
      <c r="W12" t="inlineStr">
        <is>
          <t>Passive proc, real mechanic per maplestoryidle.info/jobs.html (used to fix two real data errors found via Discord bug reports — the wiki's own numbers here were badly wrong): 'When attacking, an illusion is created with a 20% chance to attack up to 5 nearby enemies around the target and deal 550% damage. The activation chance increases up to 50% based on Attack Speed.' PATCHED from the wiki's own (confirmed wrong) 5%/flat-20% — baseDamage now 5500 tenths%, and the chance is a real live AS-scaling formula (20%-&gt;50%, linear with Attack Speed 0%-&gt;150%, per user direction). FactorIndex corrected from an earlier 0 (non-scaling) — that assumption came from the wiki's own per-level table showing a uniform value at every sampled level, unreliable for the same reason as Hurricane's own factorIndex correction above (the same page's damage/target numbers were also wrong, likely the same underlying data corruption). Real factorIndex 21 (per user direction — the same curve as this class's own Final Attack: Bow/Advanced Final Attack, both also Type=Passive skills that deal a direct % damage proc, the closest mechanical siblings), baseDamage 5500 tenths% treated as the level-1 anchor (FLAGGED ASSUMPTION — same caveat as Hurricane's own: maplestoryidle.info gives only a single snapshot value with no level context). The wiki's own infobox 'Cooldown: 5 sec' claim turned out to be real after all (a mid-session correction wrongly discarded it, inferring 'no cooldown' purely from maplestoryidle.info's schema not listing one — caught by a user follow-up question) — modeled as a genuine 5s floor between procs, with the chance re-rolling on every attack line once the floor expires (per user direction on the exact combination mechanic), folded into Cooldown(s) as 5+1/(chance*Summary!APS) with ProcChance%=100 (see the comment above this row for why it can't cleanly decompose into separate Cooldown/ProcChance columns here). Also added a real, previously-unmodeled mastery: 'Flash Mirage - Damage' +50% at Lv.68. Wiki calls this skill 'Flash Mirage'; the Aug 13 patch notes call the SAME skill 'Speed Mirage' (confirmed via mechanic match — targets 5-&gt;7, detection range +~14%). Flash Mirage II (Lv.110, see FLASH_MIRAGE_II_HELPER) adds +targets/+FD once unlocked, baked into NormalMonsterTargets/K-column.</t>
        </is>
      </c>
    </row>
    <row r="13">
      <c r="A13" t="inlineStr">
        <is>
          <t>FLASH_MIRAGE_II_HELPER</t>
        </is>
      </c>
      <c r="B13" t="inlineStr">
        <is>
          <t>Flash Mirage II (helper)</t>
        </is>
      </c>
      <c r="C13" t="n">
        <v>4</v>
      </c>
      <c r="D13" t="inlineStr"/>
      <c r="E13" t="b">
        <v>0</v>
      </c>
      <c r="F13" t="n">
        <v>1</v>
      </c>
      <c r="G13" t="n">
        <v>1</v>
      </c>
      <c r="H13" t="n">
        <v>0</v>
      </c>
      <c r="I13" t="n">
        <v>0</v>
      </c>
      <c r="J13" t="n">
        <v>100</v>
      </c>
      <c r="K13" t="n">
        <v>1</v>
      </c>
      <c r="L13" t="n">
        <v>4000</v>
      </c>
      <c r="M13" t="n">
        <v>21</v>
      </c>
      <c r="N13" t="b">
        <v>1</v>
      </c>
      <c r="O13" t="n">
        <v>0</v>
      </c>
      <c r="P13" t="n">
        <v>0</v>
      </c>
      <c r="Q13" t="n">
        <v>0</v>
      </c>
      <c r="R13" t="n">
        <v>0</v>
      </c>
      <c r="S13" t="inlineStr"/>
      <c r="T13" t="n">
        <v>0</v>
      </c>
      <c r="U13" t="inlineStr"/>
      <c r="V13" t="inlineStr"/>
      <c r="W13" t="inlineStr">
        <is>
          <t>Helper row only — feeds Flash Mirage's own K-column extra Final Damage term (see FLASH_MIRAGE's own targets formula for the +4 targets side, +1 more once Mastery Lv.138 unlocks, patched from +3). +400%-&gt;720% FD (levels 1-200), not itself patched (only the Lv.138 mastery's own target-count bonus changed, 3-&gt;1).</t>
        </is>
      </c>
    </row>
    <row r="14">
      <c r="A14" t="inlineStr">
        <is>
          <t>MARKSMANSHIP_BASE</t>
        </is>
      </c>
      <c r="B14" t="inlineStr">
        <is>
          <t>Marksmanship (unconditional half)</t>
        </is>
      </c>
      <c r="C14" t="n">
        <v>3</v>
      </c>
      <c r="D14" t="inlineStr"/>
      <c r="E14" t="b">
        <v>0</v>
      </c>
      <c r="F14" t="n">
        <v>1</v>
      </c>
      <c r="G14" t="n">
        <v>1</v>
      </c>
      <c r="H14" t="n">
        <v>0</v>
      </c>
      <c r="I14" t="n">
        <v>0</v>
      </c>
      <c r="J14" t="n">
        <v>100</v>
      </c>
      <c r="K14" t="n">
        <v>1</v>
      </c>
      <c r="L14" t="n">
        <v>100</v>
      </c>
      <c r="M14" t="n">
        <v>22</v>
      </c>
      <c r="N14" t="b">
        <v>1</v>
      </c>
      <c r="O14" t="n">
        <v>0</v>
      </c>
      <c r="P14" t="n">
        <v>0</v>
      </c>
      <c r="Q14" t="n">
        <v>0</v>
      </c>
      <c r="R14" t="n">
        <v>0</v>
      </c>
      <c r="S14" t="inlineStr">
        <is>
          <t>ATTACK</t>
        </is>
      </c>
      <c r="T14" t="n">
        <v>0</v>
      </c>
      <c r="U14" t="inlineStr"/>
      <c r="V14" t="inlineStr"/>
      <c r="W14" t="inlineStr">
        <is>
          <t>PATCHED: 'Base Attack +10%, additional +10% when 1 target' replaces the old flat '+20% at 1 target only' wording — modeled as two separate rows (this unconditional half + MARKSMANSHIP_COND's conditional half), summed additively into the same Attack% bucket as Illusion Step (Verification item 6 — these must never multiply against each other). Half of the wiki's own pre-patch curve (10%-&gt;16%, levels 1-200), assumed symmetric 50/50 split at every level (the patch note only confirms the level-1 split, 10/10) — factorIndex 22, baseDamage 100 tenths%. Shared verbatim w/ Marksman (identical name, wording, and numbers confirmed both classes via the patch notes' own shared 'Marksmanship' entry).</t>
        </is>
      </c>
    </row>
    <row r="15">
      <c r="A15" t="inlineStr">
        <is>
          <t>MARKSMANSHIP_COND</t>
        </is>
      </c>
      <c r="B15" t="inlineStr">
        <is>
          <t>Marksmanship (conditional half, 1 target)</t>
        </is>
      </c>
      <c r="C15" t="n">
        <v>3</v>
      </c>
      <c r="D15" t="inlineStr"/>
      <c r="E15" t="b">
        <v>0</v>
      </c>
      <c r="F15" t="n">
        <v>1</v>
      </c>
      <c r="G15" t="n">
        <v>1</v>
      </c>
      <c r="H15" t="n">
        <v>0</v>
      </c>
      <c r="I15" t="n">
        <v>0</v>
      </c>
      <c r="J15" t="n">
        <v>100</v>
      </c>
      <c r="K15" t="n">
        <v>1</v>
      </c>
      <c r="L15" t="n">
        <v>100</v>
      </c>
      <c r="M15" t="n">
        <v>22</v>
      </c>
      <c r="N15" t="b">
        <v>1</v>
      </c>
      <c r="O15" t="n">
        <v>0</v>
      </c>
      <c r="P15" t="n">
        <v>0</v>
      </c>
      <c r="Q15" t="n">
        <v>0</v>
      </c>
      <c r="R15" t="n">
        <v>0</v>
      </c>
      <c r="S15" t="inlineStr">
        <is>
          <t>ATTACK_COND_1TARGET</t>
        </is>
      </c>
      <c r="T15" t="n">
        <v>0</v>
      </c>
      <c r="U15" t="inlineStr"/>
      <c r="V15" t="inlineStr"/>
      <c r="W15" t="inlineStr">
        <is>
          <t>Conditional half of Marksmanship's own patched Attack% bonus — blended via the same monster_blend_expr helper already used for Boss/Normal Monster Damage% (boss/pvp -&gt; full value, normal -&gt; 0, breakthrough -&gt; weighted), applied to the Attack% bucket instead. Same curve/tuple as MARKSMANSHIP_BASE (factorIndex 22, baseDamage 100 tenths%).</t>
        </is>
      </c>
    </row>
    <row r="16">
      <c r="A16" t="inlineStr">
        <is>
          <t>ILLUSION_STEP</t>
        </is>
      </c>
      <c r="B16" t="inlineStr">
        <is>
          <t>Illusion Step</t>
        </is>
      </c>
      <c r="C16" t="n">
        <v>4</v>
      </c>
      <c r="D16" t="n">
        <v>24</v>
      </c>
      <c r="E16" t="b">
        <v>0</v>
      </c>
      <c r="F16" t="n">
        <v>1</v>
      </c>
      <c r="G16" t="n">
        <v>1</v>
      </c>
      <c r="H16" t="n">
        <v>0</v>
      </c>
      <c r="I16" t="n">
        <v>0</v>
      </c>
      <c r="J16" t="n">
        <v>100</v>
      </c>
      <c r="K16" t="n">
        <v>1</v>
      </c>
      <c r="L16" t="n">
        <v>140</v>
      </c>
      <c r="M16" t="n">
        <v>22</v>
      </c>
      <c r="N16" t="b">
        <v>1</v>
      </c>
      <c r="O16" t="n">
        <v>0</v>
      </c>
      <c r="P16" t="n">
        <v>0</v>
      </c>
      <c r="Q16" t="n">
        <v>0</v>
      </c>
      <c r="R16" t="n">
        <v>0</v>
      </c>
      <c r="S16" t="inlineStr">
        <is>
          <t>ATTACK</t>
        </is>
      </c>
      <c r="T16" t="n">
        <v>15</v>
      </c>
      <c r="U16" t="inlineStr"/>
      <c r="V16" t="inlineStr"/>
      <c r="W16" t="inlineStr">
        <is>
          <t>Cycling passive: Attack+14%-&gt;22.4% for 15s, then swaps to Evasion+15-&gt;24/damage taken -10%-&gt;16% for 9s (not modeled — those components have no mechanic anywhere in this calculator). Modeled as a duty-cycled buff (Cooldown(s)=24 = full 15+9s cycle length, BuffDuration(s)=15 = the Attack-active portion, giving a 0.625 duty-cycle uptime) — same buff_uptime machinery as every other timed buff in this project. factorIndex 22, baseDamage 140 tenths%. Not patched. Shared verbatim w/ Marksman.</t>
        </is>
      </c>
    </row>
    <row r="17">
      <c r="A17" t="inlineStr">
        <is>
          <t>SHARP_EYES</t>
        </is>
      </c>
      <c r="B17" t="inlineStr">
        <is>
          <t>Sharp Eyes</t>
        </is>
      </c>
      <c r="C17" t="n">
        <v>4</v>
      </c>
      <c r="D17" t="n">
        <v>35</v>
      </c>
      <c r="E17" t="b">
        <v>1</v>
      </c>
      <c r="F17" t="n">
        <v>1</v>
      </c>
      <c r="G17" t="n">
        <v>1</v>
      </c>
      <c r="H17" t="n">
        <v>0</v>
      </c>
      <c r="I17" t="n">
        <v>0</v>
      </c>
      <c r="J17" t="n">
        <v>100</v>
      </c>
      <c r="K17" t="n">
        <v>1</v>
      </c>
      <c r="L17" t="n">
        <v>400</v>
      </c>
      <c r="M17" t="n">
        <v>21</v>
      </c>
      <c r="N17" t="b">
        <v>1</v>
      </c>
      <c r="O17" t="n">
        <v>0</v>
      </c>
      <c r="P17" t="n">
        <v>0</v>
      </c>
      <c r="Q17" t="n">
        <v>0</v>
      </c>
      <c r="R17" t="n">
        <v>0</v>
      </c>
      <c r="S17" t="inlineStr">
        <is>
          <t>CRIT_DAMAGE</t>
        </is>
      </c>
      <c r="T17" t="n">
        <v>18</v>
      </c>
      <c r="U17" t="inlineStr"/>
      <c r="V17" t="inlineStr"/>
      <c r="W17" t="inlineStr">
        <is>
          <t>Self-inclusive ally buff (matches Bishop's own 'allied players' precedent) — flat +20% Crit Rate (non-scaling, not represented in this row's own BaseDamage/FactorIndex; added directly as a hardcoded 20 in the Crit-Rate-bonus accumulator formula in build_summary_sheet) + scaling Crit Damage +40%-&gt;72% (levels 1-200, this row's own curve — factorIndex 21, baseDamage 400 tenths%) for 18s, cooldown 35s. Not patched. Shared verbatim w/ Marksman.</t>
        </is>
      </c>
    </row>
    <row r="18">
      <c r="A18" t="inlineStr">
        <is>
          <t>CONCENTRATION</t>
        </is>
      </c>
      <c r="B18" t="inlineStr">
        <is>
          <t>Concentration</t>
        </is>
      </c>
      <c r="C18" t="n">
        <v>3</v>
      </c>
      <c r="D18" t="inlineStr"/>
      <c r="E18" t="b">
        <v>0</v>
      </c>
      <c r="F18" t="n">
        <v>1</v>
      </c>
      <c r="G18" t="n">
        <v>1</v>
      </c>
      <c r="H18" t="n">
        <v>0</v>
      </c>
      <c r="I18" t="n">
        <v>0</v>
      </c>
      <c r="J18" t="n">
        <v>100</v>
      </c>
      <c r="K18" t="n">
        <v>1</v>
      </c>
      <c r="L18" t="n">
        <v>0</v>
      </c>
      <c r="M18" t="n">
        <v>0</v>
      </c>
      <c r="N18" t="b">
        <v>0</v>
      </c>
      <c r="O18" t="n">
        <v>0</v>
      </c>
      <c r="P18" t="n">
        <v>0</v>
      </c>
      <c r="Q18" t="n">
        <v>0</v>
      </c>
      <c r="R18" t="n">
        <v>0</v>
      </c>
      <c r="S18" t="inlineStr">
        <is>
          <t>CRIT_DAMAGE</t>
        </is>
      </c>
      <c r="T18" t="n">
        <v>0</v>
      </c>
      <c r="U18" t="inlineStr"/>
      <c r="V18" t="inlineStr"/>
      <c r="W18" t="inlineStr">
        <is>
          <t>Wiki name 'Concentration' = Aug 13 patch notes' 'Focused Fury' (same skill — both wiki's own Concentration page and the Bowmaster/Skills overview show '+1 Accuracy/+3% Crit Damage for 4 sec, stacking up to 10 times' at level 1, matching the patch's own pre-patch values with an already-correct 10-stack max, confirmed directly against the live wiki this session — not 7 as an earlier session's notes mistakenly recorded). Modeled at steady-state maximum stacks (10 x 3% = 30% Crit Damage, flat, once unlocked at Lv.66) — same convention as every other accumulating-stack passive in this project. PATCHED: duration 4s-&gt;6s, Accuracy +1-&gt;+3/stack (Accuracy not modeled either way). BaseDamage/FactorIndex left blank/0 (unused placeholder) since this row contributes a flat 30 directly via the R_CONCENTRATION_BONUS accumulator, not a level-scaled Calc!F value.</t>
        </is>
      </c>
    </row>
    <row r="19">
      <c r="A19" t="inlineStr">
        <is>
          <t>MORTAL_BLOW</t>
        </is>
      </c>
      <c r="B19" t="inlineStr">
        <is>
          <t>Mortal Blow</t>
        </is>
      </c>
      <c r="C19" t="n">
        <v>3</v>
      </c>
      <c r="D19" t="inlineStr"/>
      <c r="E19" t="b">
        <v>0</v>
      </c>
      <c r="F19" t="n">
        <v>1</v>
      </c>
      <c r="G19" t="n">
        <v>1</v>
      </c>
      <c r="H19" t="n">
        <v>0</v>
      </c>
      <c r="I19" t="n">
        <v>0</v>
      </c>
      <c r="J19" t="n">
        <v>100</v>
      </c>
      <c r="K19" t="n">
        <v>1</v>
      </c>
      <c r="L19" t="n">
        <v>120</v>
      </c>
      <c r="M19" t="n">
        <v>22</v>
      </c>
      <c r="N19" t="b">
        <v>1</v>
      </c>
      <c r="O19" t="n">
        <v>0</v>
      </c>
      <c r="P19" t="n">
        <v>0</v>
      </c>
      <c r="Q19" t="n">
        <v>0</v>
      </c>
      <c r="R19" t="n">
        <v>0</v>
      </c>
      <c r="S19" t="inlineStr">
        <is>
          <t>FINAL_DAMAGE</t>
        </is>
      </c>
      <c r="T19" t="n">
        <v>0</v>
      </c>
      <c r="U19" t="inlineStr"/>
      <c r="V19" t="inlineStr"/>
      <c r="W19" t="inlineStr">
        <is>
          <t>Upon attacking a target directly 40 times, +10%-&gt;16%(pre-patch curve) FD for 5s. Modeled at steady state (assumed always active once unlocked), not an exact hit-counter/timer state machine — same simplification tier as Concentration above. PATCHED: base 10%-&gt;12% (curve rescaled 12/10=1.2x before reverse-engineering — factorIndex 22, baseDamage 120 tenths% already reflects the patched value). Shared verbatim w/ Marksman.</t>
        </is>
      </c>
    </row>
    <row r="20">
      <c r="A20" t="inlineStr">
        <is>
          <t>NIMBLE_FEET</t>
        </is>
      </c>
      <c r="B20" t="inlineStr">
        <is>
          <t>Nimble Feet</t>
        </is>
      </c>
      <c r="C20" t="n">
        <v>1</v>
      </c>
      <c r="D20" t="n">
        <v>60</v>
      </c>
      <c r="E20" t="b">
        <v>1</v>
      </c>
      <c r="F20" t="n">
        <v>1</v>
      </c>
      <c r="G20" t="n">
        <v>1</v>
      </c>
      <c r="H20" t="n">
        <v>0</v>
      </c>
      <c r="I20" t="n">
        <v>0</v>
      </c>
      <c r="J20" t="n">
        <v>100</v>
      </c>
      <c r="K20" t="n">
        <v>1</v>
      </c>
      <c r="L20" t="n">
        <v>150</v>
      </c>
      <c r="M20" t="n">
        <v>0</v>
      </c>
      <c r="N20" t="b">
        <v>0</v>
      </c>
      <c r="O20" t="n">
        <v>0</v>
      </c>
      <c r="P20" t="n">
        <v>0</v>
      </c>
      <c r="Q20" t="n">
        <v>0</v>
      </c>
      <c r="R20" t="n">
        <v>1</v>
      </c>
      <c r="S20" t="inlineStr">
        <is>
          <t>ATTACK_SPEED</t>
        </is>
      </c>
      <c r="T20" t="n">
        <v>15</v>
      </c>
      <c r="U20" t="inlineStr"/>
      <c r="V20" t="inlineStr"/>
      <c r="W20" t="inlineStr">
        <is>
          <t>Shared cross-tree verbatim w/ Night Lord/Shadower/FP-Mage (byte-identical wiki wording — '+15% Attack Speed, +10% Speed for 15 sec'). Flat +15% Attack Speed / +10% Speed for 15s, 60s cooldown, non-scaling. FactorIndex unused placeholder.</t>
        </is>
      </c>
    </row>
    <row r="21">
      <c r="A21" t="inlineStr">
        <is>
          <t>CRITICAL_SHOT</t>
        </is>
      </c>
      <c r="B21" t="inlineStr">
        <is>
          <t>Critical Shot</t>
        </is>
      </c>
      <c r="C21" t="n">
        <v>1</v>
      </c>
      <c r="D21" t="inlineStr"/>
      <c r="E21" t="b">
        <v>0</v>
      </c>
      <c r="F21" t="n">
        <v>1</v>
      </c>
      <c r="G21" t="n">
        <v>1</v>
      </c>
      <c r="H21" t="n">
        <v>0</v>
      </c>
      <c r="I21" t="n">
        <v>0</v>
      </c>
      <c r="J21" t="n">
        <v>100</v>
      </c>
      <c r="K21" t="n">
        <v>1</v>
      </c>
      <c r="L21" t="n">
        <v>50</v>
      </c>
      <c r="M21" t="n">
        <v>22</v>
      </c>
      <c r="N21" t="b">
        <v>1</v>
      </c>
      <c r="O21" t="n">
        <v>0</v>
      </c>
      <c r="P21" t="n">
        <v>0</v>
      </c>
      <c r="Q21" t="n">
        <v>0</v>
      </c>
      <c r="R21" t="n">
        <v>0</v>
      </c>
      <c r="S21" t="inlineStr">
        <is>
          <t>CRIT_RATE</t>
        </is>
      </c>
      <c r="T21" t="n">
        <v>0</v>
      </c>
      <c r="U21" t="inlineStr"/>
      <c r="V21" t="inlineStr"/>
      <c r="W21" t="inlineStr">
        <is>
          <t>Magic Critical pattern — already baked into Inputs!CRIT_RATE%; feeds the 1st-Job Skill Level Bonus delta. factorIndex 22, baseDamage 50 tenths% (5%-&gt;6.5%, levels 1-100).</t>
        </is>
      </c>
    </row>
    <row r="22">
      <c r="A22" t="inlineStr">
        <is>
          <t>ARCHER_MASTERY</t>
        </is>
      </c>
      <c r="B22" t="inlineStr">
        <is>
          <t>Archer Mastery (Attack Speed)</t>
        </is>
      </c>
      <c r="C22" t="n">
        <v>1</v>
      </c>
      <c r="D22" t="inlineStr"/>
      <c r="E22" t="b">
        <v>0</v>
      </c>
      <c r="F22" t="n">
        <v>1</v>
      </c>
      <c r="G22" t="n">
        <v>1</v>
      </c>
      <c r="H22" t="n">
        <v>0</v>
      </c>
      <c r="I22" t="n">
        <v>0</v>
      </c>
      <c r="J22" t="n">
        <v>100</v>
      </c>
      <c r="K22" t="n">
        <v>1</v>
      </c>
      <c r="L22" t="n">
        <v>50</v>
      </c>
      <c r="M22" t="n">
        <v>22</v>
      </c>
      <c r="N22" t="b">
        <v>1</v>
      </c>
      <c r="O22" t="n">
        <v>0</v>
      </c>
      <c r="P22" t="n">
        <v>0</v>
      </c>
      <c r="Q22" t="n">
        <v>0</v>
      </c>
      <c r="R22" t="n">
        <v>0</v>
      </c>
      <c r="S22" t="inlineStr">
        <is>
          <t>ATTACK_SPEED</t>
        </is>
      </c>
      <c r="T22" t="n">
        <v>0</v>
      </c>
      <c r="U22" t="inlineStr"/>
      <c r="V22" t="inlineStr"/>
      <c r="W22" t="inlineStr">
        <is>
          <t>Magic Critical pattern — already baked into Inputs!ATTACK_SPEED%; feeds the 1st-Job Skill Level Bonus delta. factorIndex 22, baseDamage 50 tenths% (5%-&gt;6.5%, levels 1-100). Own Speed component not modeled.</t>
        </is>
      </c>
    </row>
    <row r="23">
      <c r="A23" t="inlineStr">
        <is>
          <t>BOW_ACCELERATION</t>
        </is>
      </c>
      <c r="B23" t="inlineStr">
        <is>
          <t>Bow Acceleration</t>
        </is>
      </c>
      <c r="C23" t="n">
        <v>2</v>
      </c>
      <c r="D23" t="inlineStr"/>
      <c r="E23" t="b">
        <v>0</v>
      </c>
      <c r="F23" t="n">
        <v>1</v>
      </c>
      <c r="G23" t="n">
        <v>1</v>
      </c>
      <c r="H23" t="n">
        <v>0</v>
      </c>
      <c r="I23" t="n">
        <v>0</v>
      </c>
      <c r="J23" t="n">
        <v>100</v>
      </c>
      <c r="K23" t="n">
        <v>1</v>
      </c>
      <c r="L23" t="n">
        <v>50</v>
      </c>
      <c r="M23" t="n">
        <v>22</v>
      </c>
      <c r="N23" t="b">
        <v>1</v>
      </c>
      <c r="O23" t="n">
        <v>0</v>
      </c>
      <c r="P23" t="n">
        <v>0</v>
      </c>
      <c r="Q23" t="n">
        <v>0</v>
      </c>
      <c r="R23" t="n">
        <v>0</v>
      </c>
      <c r="S23" t="inlineStr">
        <is>
          <t>ATTACK_SPEED</t>
        </is>
      </c>
      <c r="T23" t="n">
        <v>0</v>
      </c>
      <c r="U23" t="inlineStr"/>
      <c r="V23" t="inlineStr"/>
      <c r="W23" t="inlineStr">
        <is>
          <t>Magic Critical pattern — already baked into Inputs!ATTACK_SPEED%; feeds the 2nd-Job Skill Level Bonus delta. factorIndex 22, baseDamage 50 tenths% (5%-&gt;6.5%, levels 1-100).</t>
        </is>
      </c>
    </row>
    <row r="24">
      <c r="A24" t="inlineStr">
        <is>
          <t>PHYSICAL_TRAINING</t>
        </is>
      </c>
      <c r="B24" t="inlineStr">
        <is>
          <t>Physical Training</t>
        </is>
      </c>
      <c r="C24" t="n">
        <v>2</v>
      </c>
      <c r="D24" t="inlineStr"/>
      <c r="E24" t="b">
        <v>0</v>
      </c>
      <c r="F24" t="n">
        <v>1</v>
      </c>
      <c r="G24" t="n">
        <v>1</v>
      </c>
      <c r="H24" t="n">
        <v>0</v>
      </c>
      <c r="I24" t="n">
        <v>0</v>
      </c>
      <c r="J24" t="n">
        <v>100</v>
      </c>
      <c r="K24" t="n">
        <v>1</v>
      </c>
      <c r="L24" t="n">
        <v>100</v>
      </c>
      <c r="M24" t="n">
        <v>22</v>
      </c>
      <c r="N24" t="b">
        <v>1</v>
      </c>
      <c r="O24" t="n">
        <v>0</v>
      </c>
      <c r="P24" t="n">
        <v>0</v>
      </c>
      <c r="Q24" t="n">
        <v>0</v>
      </c>
      <c r="R24" t="n">
        <v>0</v>
      </c>
      <c r="S24" t="inlineStr">
        <is>
          <t>BASIC_ATTACK_DAMAGE</t>
        </is>
      </c>
      <c r="T24" t="n">
        <v>0</v>
      </c>
      <c r="U24" t="inlineStr"/>
      <c r="V24" t="inlineStr"/>
      <c r="W24" t="inlineStr">
        <is>
          <t>Magic Critical pattern — already baked into Inputs!BASIC_ATTACK_DAMAGE%; feeds the 2nd-Job Skill Level Bonus delta. factorIndex 22, baseDamage 100 tenths% (10%-&gt;13%, levels 1-100).</t>
        </is>
      </c>
    </row>
    <row r="25">
      <c r="A25" t="inlineStr">
        <is>
          <t>BOW_MASTERY</t>
        </is>
      </c>
      <c r="B25" t="inlineStr">
        <is>
          <t>Bow Mastery</t>
        </is>
      </c>
      <c r="C25" t="n">
        <v>2</v>
      </c>
      <c r="D25" t="inlineStr"/>
      <c r="E25" t="b">
        <v>0</v>
      </c>
      <c r="F25" t="n">
        <v>1</v>
      </c>
      <c r="G25" t="n">
        <v>1</v>
      </c>
      <c r="H25" t="n">
        <v>0</v>
      </c>
      <c r="I25" t="n">
        <v>0</v>
      </c>
      <c r="J25" t="n">
        <v>100</v>
      </c>
      <c r="K25" t="n">
        <v>1</v>
      </c>
      <c r="L25" t="n">
        <v>150</v>
      </c>
      <c r="M25" t="n">
        <v>22</v>
      </c>
      <c r="N25" t="b">
        <v>1</v>
      </c>
      <c r="O25" t="n">
        <v>0</v>
      </c>
      <c r="P25" t="n">
        <v>0</v>
      </c>
      <c r="Q25" t="n">
        <v>0</v>
      </c>
      <c r="R25" t="n">
        <v>0</v>
      </c>
      <c r="S25" t="inlineStr">
        <is>
          <t>MIN_DAMAGE</t>
        </is>
      </c>
      <c r="T25" t="n">
        <v>0</v>
      </c>
      <c r="U25" t="inlineStr"/>
      <c r="V25" t="inlineStr"/>
      <c r="W25" t="inlineStr">
        <is>
          <t>Magic Critical pattern — already baked into Inputs!MIN_DAMAGE%; feeds the 2nd-Job Skill Level Bonus delta. factorIndex 22, baseDamage 150 tenths% (15%-&gt;19.5%, levels 1-100).</t>
        </is>
      </c>
    </row>
    <row r="26">
      <c r="A26" t="inlineStr">
        <is>
          <t>EXTREME_ARCHERY_BOW</t>
        </is>
      </c>
      <c r="B26" t="inlineStr">
        <is>
          <t>Extreme Archery / Reckless Hunt: Bow</t>
        </is>
      </c>
      <c r="C26" t="n">
        <v>3</v>
      </c>
      <c r="D26" t="inlineStr"/>
      <c r="E26" t="b">
        <v>0</v>
      </c>
      <c r="F26" t="n">
        <v>1</v>
      </c>
      <c r="G26" t="n">
        <v>1</v>
      </c>
      <c r="H26" t="n">
        <v>0</v>
      </c>
      <c r="I26" t="n">
        <v>0</v>
      </c>
      <c r="J26" t="n">
        <v>100</v>
      </c>
      <c r="K26" t="n">
        <v>1</v>
      </c>
      <c r="L26" t="n">
        <v>150</v>
      </c>
      <c r="M26" t="n">
        <v>22</v>
      </c>
      <c r="N26" t="b">
        <v>1</v>
      </c>
      <c r="O26" t="n">
        <v>0</v>
      </c>
      <c r="P26" t="n">
        <v>0</v>
      </c>
      <c r="Q26" t="n">
        <v>0</v>
      </c>
      <c r="R26" t="n">
        <v>0</v>
      </c>
      <c r="S26" t="inlineStr">
        <is>
          <t>FINAL_DAMAGE</t>
        </is>
      </c>
      <c r="T26" t="n">
        <v>0</v>
      </c>
      <c r="U26" t="inlineStr"/>
      <c r="V26" t="inlineStr"/>
      <c r="W26" t="inlineStr">
        <is>
          <t>Own Final Damage component only (Defense reduction not modeled — no Defense mechanic exists anywhere in this calculator). Magic Critical pattern — already baked into Inputs!FINAL_DAMAGE%; feeds the 3rd-Job Skill Level Bonus delta. factorIndex 22, baseDamage 150 tenths% (15%-&gt;24%, levels 1-200). PATCHED name: wiki still shows 'Extreme Archery: Bow', Aug 13 patch notes confirm current name 'Reckless Hunt: Bow' (-10%-&gt;-5% Defense, not modeled either way; FD component itself unpatched).</t>
        </is>
      </c>
    </row>
    <row r="27">
      <c r="A27" t="inlineStr">
        <is>
          <t>ARMOR_BREAK_FD</t>
        </is>
      </c>
      <c r="B27" t="inlineStr">
        <is>
          <t>Armor Break (Final Damage)</t>
        </is>
      </c>
      <c r="C27" t="n">
        <v>4</v>
      </c>
      <c r="D27" t="inlineStr"/>
      <c r="E27" t="b">
        <v>0</v>
      </c>
      <c r="F27" t="n">
        <v>1</v>
      </c>
      <c r="G27" t="n">
        <v>1</v>
      </c>
      <c r="H27" t="n">
        <v>0</v>
      </c>
      <c r="I27" t="n">
        <v>0</v>
      </c>
      <c r="J27" t="n">
        <v>100</v>
      </c>
      <c r="K27" t="n">
        <v>1</v>
      </c>
      <c r="L27" t="n">
        <v>100</v>
      </c>
      <c r="M27" t="n">
        <v>22</v>
      </c>
      <c r="N27" t="b">
        <v>1</v>
      </c>
      <c r="O27" t="n">
        <v>0</v>
      </c>
      <c r="P27" t="n">
        <v>0</v>
      </c>
      <c r="Q27" t="n">
        <v>0</v>
      </c>
      <c r="R27" t="n">
        <v>0</v>
      </c>
      <c r="S27" t="inlineStr">
        <is>
          <t>FINAL_DAMAGE</t>
        </is>
      </c>
      <c r="T27" t="n">
        <v>0</v>
      </c>
      <c r="U27" t="inlineStr"/>
      <c r="V27" t="inlineStr"/>
      <c r="W27" t="inlineStr">
        <is>
          <t>Magic Critical pattern — already baked into Inputs!FINAL_DAMAGE%; feeds the 4th-Job Skill Level Bonus delta (Final Damage side). factorIndex 22, baseDamage 100 tenths% (10%-&gt;16%, levels 1-200). Not patched. Marksman's own equivalent-slot skill ('Last Man Standing') is a genuinely different mechanic, not shared.</t>
        </is>
      </c>
    </row>
    <row r="28">
      <c r="A28" t="inlineStr">
        <is>
          <t>ARMOR_BREAK_DEFPEN</t>
        </is>
      </c>
      <c r="B28" t="inlineStr">
        <is>
          <t>Armor Break (Defense Penetration)</t>
        </is>
      </c>
      <c r="C28" t="n">
        <v>4</v>
      </c>
      <c r="D28" t="inlineStr"/>
      <c r="E28" t="b">
        <v>0</v>
      </c>
      <c r="F28" t="n">
        <v>1</v>
      </c>
      <c r="G28" t="n">
        <v>1</v>
      </c>
      <c r="H28" t="n">
        <v>0</v>
      </c>
      <c r="I28" t="n">
        <v>0</v>
      </c>
      <c r="J28" t="n">
        <v>100</v>
      </c>
      <c r="K28" t="n">
        <v>1</v>
      </c>
      <c r="L28" t="n">
        <v>100</v>
      </c>
      <c r="M28" t="n">
        <v>22</v>
      </c>
      <c r="N28" t="b">
        <v>1</v>
      </c>
      <c r="O28" t="n">
        <v>0</v>
      </c>
      <c r="P28" t="n">
        <v>0</v>
      </c>
      <c r="Q28" t="n">
        <v>0</v>
      </c>
      <c r="R28" t="n">
        <v>0</v>
      </c>
      <c r="S28" t="inlineStr">
        <is>
          <t>DEF_PEN</t>
        </is>
      </c>
      <c r="T28" t="n">
        <v>0</v>
      </c>
      <c r="U28" t="inlineStr"/>
      <c r="V28" t="inlineStr"/>
      <c r="W28" t="inlineStr">
        <is>
          <t>Same skill as Armor Break (Final Damage) above, +10%-&gt;16% Defense Penetration. Magic Critical pattern — already baked into Inputs!DEF_PEN%; feeds the 4th-Job Skill Level Bonus delta (Defense Penetration side). factorIndex 22, baseDamage 100 tenths%.</t>
        </is>
      </c>
    </row>
    <row r="29">
      <c r="A29" t="inlineStr">
        <is>
          <t>BOW_EXPERT_SKILL</t>
        </is>
      </c>
      <c r="B29" t="inlineStr">
        <is>
          <t>Bow Expert (Skill Damage)</t>
        </is>
      </c>
      <c r="C29" t="n">
        <v>4</v>
      </c>
      <c r="D29" t="inlineStr"/>
      <c r="E29" t="b">
        <v>0</v>
      </c>
      <c r="F29" t="n">
        <v>1</v>
      </c>
      <c r="G29" t="n">
        <v>1</v>
      </c>
      <c r="H29" t="n">
        <v>0</v>
      </c>
      <c r="I29" t="n">
        <v>0</v>
      </c>
      <c r="J29" t="n">
        <v>100</v>
      </c>
      <c r="K29" t="n">
        <v>1</v>
      </c>
      <c r="L29" t="n">
        <v>150</v>
      </c>
      <c r="M29" t="n">
        <v>22</v>
      </c>
      <c r="N29" t="b">
        <v>1</v>
      </c>
      <c r="O29" t="n">
        <v>0</v>
      </c>
      <c r="P29" t="n">
        <v>0</v>
      </c>
      <c r="Q29" t="n">
        <v>0</v>
      </c>
      <c r="R29" t="n">
        <v>0</v>
      </c>
      <c r="S29" t="inlineStr">
        <is>
          <t>SKILL_DAMAGE</t>
        </is>
      </c>
      <c r="T29" t="n">
        <v>0</v>
      </c>
      <c r="U29" t="inlineStr"/>
      <c r="V29" t="inlineStr"/>
      <c r="W29" t="inlineStr">
        <is>
          <t>Magic Critical pattern — already baked into Inputs!SKILL_DAMAGE%; feeds the 4th-Job Skill Level Bonus delta (Skill Damage side). factorIndex 22, baseDamage 150 tenths% (15%-&gt;24%, levels 1-200). Not patched.</t>
        </is>
      </c>
    </row>
    <row r="30">
      <c r="A30" t="inlineStr">
        <is>
          <t>BOW_EXPERT_MAXDMG</t>
        </is>
      </c>
      <c r="B30" t="inlineStr">
        <is>
          <t>Bow Expert (Max Damage Multiplier)</t>
        </is>
      </c>
      <c r="C30" t="n">
        <v>4</v>
      </c>
      <c r="D30" t="inlineStr"/>
      <c r="E30" t="b">
        <v>0</v>
      </c>
      <c r="F30" t="n">
        <v>1</v>
      </c>
      <c r="G30" t="n">
        <v>1</v>
      </c>
      <c r="H30" t="n">
        <v>0</v>
      </c>
      <c r="I30" t="n">
        <v>0</v>
      </c>
      <c r="J30" t="n">
        <v>100</v>
      </c>
      <c r="K30" t="n">
        <v>1</v>
      </c>
      <c r="L30" t="n">
        <v>200</v>
      </c>
      <c r="M30" t="n">
        <v>22</v>
      </c>
      <c r="N30" t="b">
        <v>1</v>
      </c>
      <c r="O30" t="n">
        <v>0</v>
      </c>
      <c r="P30" t="n">
        <v>0</v>
      </c>
      <c r="Q30" t="n">
        <v>0</v>
      </c>
      <c r="R30" t="n">
        <v>0</v>
      </c>
      <c r="S30" t="inlineStr">
        <is>
          <t>MAX_DAMAGE</t>
        </is>
      </c>
      <c r="T30" t="n">
        <v>0</v>
      </c>
      <c r="U30" t="inlineStr"/>
      <c r="V30" t="inlineStr"/>
      <c r="W30" t="inlineStr">
        <is>
          <t>Same skill as Bow Expert (Skill Damage) above, +20%-&gt;32% Max Damage Multiplier. Magic Critical pattern — already baked into Inputs!MAX_DAMAGE%; feeds the 4th-Job Skill Level Bonus delta (Max Damage Multiplier side). factorIndex 22, baseDamage 200 tenths%.</t>
        </is>
      </c>
    </row>
    <row r="31">
      <c r="A31" t="inlineStr">
        <is>
          <t>SOUL_ARROW_BOW_ATK</t>
        </is>
      </c>
      <c r="B31" t="inlineStr">
        <is>
          <t>Soul Arrow: Bow (Attack%)</t>
        </is>
      </c>
      <c r="C31" t="n">
        <v>2</v>
      </c>
      <c r="D31" t="inlineStr"/>
      <c r="E31" t="b">
        <v>0</v>
      </c>
      <c r="F31" t="n">
        <v>1</v>
      </c>
      <c r="G31" t="n">
        <v>1</v>
      </c>
      <c r="H31" t="n">
        <v>0</v>
      </c>
      <c r="I31" t="n">
        <v>0</v>
      </c>
      <c r="J31" t="n">
        <v>100</v>
      </c>
      <c r="K31" t="n">
        <v>1</v>
      </c>
      <c r="L31" t="n">
        <v>80</v>
      </c>
      <c r="M31" t="n">
        <v>22</v>
      </c>
      <c r="N31" t="b">
        <v>1</v>
      </c>
      <c r="O31" t="n">
        <v>0</v>
      </c>
      <c r="P31" t="n">
        <v>0</v>
      </c>
      <c r="Q31" t="n">
        <v>0</v>
      </c>
      <c r="R31" t="n">
        <v>0</v>
      </c>
      <c r="S31" t="inlineStr">
        <is>
          <t>ATTACK</t>
        </is>
      </c>
      <c r="T31" t="n">
        <v>0</v>
      </c>
      <c r="U31" t="inlineStr"/>
      <c r="V31" t="inlineStr"/>
      <c r="W31" t="inlineStr">
        <is>
          <t>Own flat +8% Attack component only (patch-added; the DEX+150-&gt;900(AS-scaled) component has NO row here at all — assume your own Inputs!Flat DEX already includes it, per the README; no percentage-bucket exists in this template for a flat sub-stat bonus, a deliberate scope-reduction). Magic Critical pattern — already baked into Inputs!ATTACK_PCT (folds into the attack_mult delta bucket, same slot as Shadower's own Channel Karma); feeds the 2nd-Job Skill Level Bonus delta. factorIndex 22 (per user direction — every OTHER 'Magic Critical pattern' row in this file, e.g. ARMOR_BREAK_FD/BOW_EXPERT_SKILL, already uses 22; this row was an inconsistent outlier at 0/non-scaling, corrected), baseDamage 80 tenths% treated as the level-1 anchor.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Fire/Poison Arch Mage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IF(AND(ArtifactsInput!$M$42,B4&lt;100),CHOOSE(ArtifactsInput!$N$42+1,30,36,42,48,54,60),0)</f>
        <v/>
      </c>
    </row>
    <row r="6">
      <c r="A6" t="inlineStr">
        <is>
          <t>Ring of Cycles — Skill Damage (if threshold &gt;= 100%)</t>
        </is>
      </c>
      <c r="B6">
        <f>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Skills!G2*IF(Skills!H2&gt;0,Skills!I2/Skills!H2,1)</f>
        <v/>
      </c>
      <c r="H2">
        <f>1-(1-Skills!J2/100)^Skills!K2</f>
        <v/>
      </c>
      <c r="I2" t="inlineStr">
        <is>
          <t>1</t>
        </is>
      </c>
      <c r="J2">
        <f>Summary!$B$6*(F2/100)</f>
        <v/>
      </c>
      <c r="K2">
        <f>J2*(1+Summary!$B$7/100)*(1+Inputs!$B$15/100)*(1+Inputs!$B$16/100)*(5000/(6000+Inputs!$B$42*(1-Inputs!$B$19/100)))*(1+(Inputs!$B$24+Summary!$B$21)/100)*(1+Artifacts!$B$34/100)*(1+(IF(Skills!A2="ARROW_STREAM",Inputs!$B$17+Artifacts!$B$40,Inputs!$B$18+Artifacts!$B$39))/100)*(Summary!$B$13*(1+Artifacts!$B$38/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IFERROR(O2/N2,0)</f>
        <v/>
      </c>
      <c r="T2">
        <f>IF(C2,(Skills!G2*N2*Summary!$B$19)*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IF(C2,(Skills!G2*N2*Summary!$B$19)*IF(Inputs!$B$38="pvp",1,(1+(Inputs!$B$21+Skills!Q2+Summary!$B$15+Artifacts!$B$80)/100)*(MIN(Skills!R2,Inputs!$B$37)))*((1+Artifacts!$B$53/100)),0)</f>
        <v/>
      </c>
    </row>
    <row r="3">
      <c r="A3">
        <f>Skills!A3</f>
        <v/>
      </c>
      <c r="B3">
        <f>Skills!B3</f>
        <v/>
      </c>
      <c r="C3">
        <f>Inputs!$B$3&gt;=50</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Skills!G3*IF(Skills!H3&gt;0,Skills!I3/Skills!H3,1)</f>
        <v/>
      </c>
      <c r="H3">
        <f>1-(1-Skills!J3/100)^Skills!K3</f>
        <v/>
      </c>
      <c r="I3" t="inlineStr">
        <is>
          <t>1</t>
        </is>
      </c>
      <c r="J3">
        <f>Summary!$B$6*(F3/100)</f>
        <v/>
      </c>
      <c r="K3">
        <f>J3*(1+Summary!$B$7/100)*(1+Inputs!$B$15/100)*(1+Inputs!$B$16/100)*(5000/(6000+Inputs!$B$42*(1-Inputs!$B$19/100)))*(1+(Inputs!$B$24+Summary!$B$21)/100)*(1+Artifacts!$B$34/100)*(1+IF(C4=TRUE,F4,0)/100)*(1+(IF(Skills!A3="ARROW_STREAM",Inputs!$B$17+Artifacts!$B$40,Inputs!$B$18+Artifacts!$B$39))/100)*(Summary!$B$13*(1+Artifacts!$B$38/100)*I3)</f>
        <v/>
      </c>
      <c r="L3">
        <f>K3*(MIN(Inputs!$B$22,Inputs!$B$23)/100+Inputs!$B$23/100)/2</f>
        <v/>
      </c>
      <c r="M3">
        <f>L3*(1+(Inputs!$B$10+Summary!$B$20+Artifacts!$B$33)/100)</f>
        <v/>
      </c>
      <c r="N3">
        <f>L3*(1-MIN((Inputs!$B$9+Summary!$B$14+Artifacts!$B$32),100)/100)+M3*(MIN((Inputs!$B$9+Summary!$B$14+Artifacts!$B$32),100)/100)</f>
        <v/>
      </c>
      <c r="O3">
        <f>(1-Summary!$B$11)*T3+Summary!$B$11*V3</f>
        <v/>
      </c>
      <c r="P3">
        <f>IF(Summary!$B$3=0,0,O3/Summary!$B$3)</f>
        <v/>
      </c>
      <c r="Q3">
        <f>IFERROR(1/(IF(Inputs!$B$38="pvp",15,MAX(0.1,Skills!D3-IF(Skills!E3=TRUE,Inputs!$B$32,0)))*(1-IF(AND(ArtifactsInput!$M$27,Inputs!$B$4="Chapter Hunt"),CHOOSE(ArtifactsInput!$N$27+1,20,24,28,32,36,40),0)/100)),0)</f>
        <v/>
      </c>
      <c r="R3">
        <f>IF(AND(Inputs!$B$38&lt;&gt;"pvp",Inputs!$B$43&gt;0),IF(MAX(0,Inputs!$B$43-Summary!$B$23)&lt;=0,0,(INT(MAX(0,Inputs!$B$43-Summary!$B$23)/(IF(Inputs!$B$38="pvp",15,MAX(0.1,Skills!D3-IF(Skills!E3=TRUE,Inputs!$B$32,0)))*(1-IF(AND(ArtifactsInput!$M$27,Inputs!$B$4="Chapter Hunt"),CHOOSE(ArtifactsInput!$N$27+1,20,24,28,32,36,40),0)/100)))+1)),0)</f>
        <v/>
      </c>
      <c r="S3">
        <f>IFERROR(O3/N3,0)</f>
        <v/>
      </c>
      <c r="T3">
        <f>IF(C3,(H3*N3*IF(AND(Inputs!$B$38&lt;&gt;"pvp",Inputs!$B$43&gt;0),((Skills!G3*((R3-1)*IF(Skills!H3&gt;0,Skills!I3/Skills!H3,1)+IF(Skills!H3&gt;0,MIN(Skills!I3,MAX(0,MAX(0,Inputs!$B$43-Summary!$B$23)-((R3-1)*(IF(Inputs!$B$38="pvp",15,MAX(0.1,Skills!D3-IF(Skills!E3=TRUE,Inputs!$B$32,0)))*(1-IF(AND(ArtifactsInput!$M$27,Inputs!$B$4="Chapter Hunt"),CHOOSE(ArtifactsInput!$N$27+1,20,24,28,32,36,40),0)/100)))))/Skills!H3,1)))/Inputs!$B$43),G3*Q3))*IF(Inputs!$B$38="pvp",1,1+(Inputs!$B$20+Skills!P3+Summary!$B$15+Artifacts!$B$35)/100)*((((5000/(6000+Inputs!$B$42*(1-(100*(1-(1-Inputs!$B$19/100)*(1-Artifacts!$B$51/100)^IF(Inputs!$B$38="pvp",1,2)))/100)))/(5000/(6000+Inputs!$B$42*(1-Inputs!$B$19/100))))*((L3*(1-MIN(100,(Inputs!$B$9+Summary!$B$14+Artifacts!$B$32)+Artifacts!$B$69)/100)+M3*(MIN(100,(Inputs!$B$9+Summary!$B$14+Artifacts!$B$32)+Artifacts!$B$69)/100))/(L3*(1-MIN(100,(Inputs!$B$9+Summary!$B$14+Artifacts!$B$32))/100)+M3*(MIN(100,(Inputs!$B$9+Summary!$B$14+Artifacts!$B$32))/100)))*(1+Artifacts!$B$81/100))),0)</f>
        <v/>
      </c>
      <c r="V3">
        <f>IF(C3,(H3*N3*IF(AND(Inputs!$B$38&lt;&gt;"pvp",Inputs!$B$43&gt;0),((Skills!G3*((R3-1)*IF(Skills!H3&gt;0,Skills!I3/Skills!H3,1)+IF(Skills!H3&gt;0,MIN(Skills!I3,MAX(0,MAX(0,Inputs!$B$43-Summary!$B$23)-((R3-1)*(IF(Inputs!$B$38="pvp",15,MAX(0.1,Skills!D3-IF(Skills!E3=TRUE,Inputs!$B$32,0)))*(1-IF(AND(ArtifactsInput!$M$27,Inputs!$B$4="Chapter Hunt"),CHOOSE(ArtifactsInput!$N$27+1,20,24,28,32,36,40),0)/100)))))/Skills!H3,1)))/Inputs!$B$43),G3*Q3))*IF(Inputs!$B$38="pvp",1,(1+(Inputs!$B$21+Skills!Q3+Summary!$B$15+Artifacts!$B$80)/100)*(MIN(Skills!R3,Inputs!$B$37)))*((1+Artifacts!$B$53/100)),0)</f>
        <v/>
      </c>
    </row>
    <row r="4">
      <c r="A4">
        <f>Skills!A4</f>
        <v/>
      </c>
      <c r="B4">
        <f>Skills!B4</f>
        <v/>
      </c>
      <c r="C4">
        <f>Inputs!$B$3&gt;=105</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c r="T4" t="inlineStr"/>
      <c r="V4" t="inlineStr"/>
    </row>
    <row r="5">
      <c r="A5">
        <f>Skills!A5</f>
        <v/>
      </c>
      <c r="B5">
        <f>Skills!B5</f>
        <v/>
      </c>
      <c r="C5">
        <f>Inputs!$B$3&gt;=35</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Summary!$B$6*(F5/100)</f>
        <v/>
      </c>
      <c r="K5">
        <f>J5*(1+Summary!$B$7/100)*(1+Inputs!$B$15/100)*(1+Inputs!$B$16/100)*(5000/(6000+Inputs!$B$42*(1-Inputs!$B$19/100)))*(1+(Inputs!$B$24+Summary!$B$21)/100)*(1+Artifacts!$B$34/100)*(1+4.0*IF(C11=TRUE,F11,0)/100)*(1+(IF(Skills!A5="ARROW_STREAM",Inputs!$B$17+Artifacts!$B$40,Inputs!$B$18+Artifacts!$B$39))/100)*(Summary!$B$13*(1+Artifacts!$B$38/100)*I5)</f>
        <v/>
      </c>
      <c r="L5">
        <f>K5*(MIN(Inputs!$B$22,Inputs!$B$23)/100+Inputs!$B$23/100)/2</f>
        <v/>
      </c>
      <c r="M5">
        <f>L5*(1+(Inputs!$B$10+Summary!$B$20+Artifacts!$B$33)/100)</f>
        <v/>
      </c>
      <c r="N5">
        <f>L5*(1-MIN((Inputs!$B$9+Summary!$B$14+Artifacts!$B$32),100)/100)+M5*(MIN((Inputs!$B$9+Summary!$B$14+Artifacts!$B$32),100)/100)</f>
        <v/>
      </c>
      <c r="O5">
        <f>(1-Summary!$B$11)*T5+Summary!$B$11*V5</f>
        <v/>
      </c>
      <c r="P5">
        <f>IF(Summary!$B$3=0,0,O5/Summary!$B$3)</f>
        <v/>
      </c>
      <c r="Q5">
        <f>IFERROR(1/(IF(Inputs!$B$38="pvp",15,MAX(0.1,Skills!D5-IF(Skills!E5=TRUE,Inputs!$B$32,0)))*(1-IF(AND(ArtifactsInput!$M$27,Inputs!$B$4="Chapter Hunt"),CHOOSE(ArtifactsInput!$N$27+1,20,24,28,32,36,40),0)/100)),0)</f>
        <v/>
      </c>
      <c r="R5">
        <f>IF(AND(Inputs!$B$38&lt;&gt;"pvp",Inputs!$B$43&gt;0),IF(MAX(0,Inputs!$B$43-Summary!$B$23)&lt;=0,0,(INT(MAX(0,Inputs!$B$43-Summary!$B$23)/(IF(Inputs!$B$38="pvp",15,MAX(0.1,Skills!D5-IF(Skills!E5=TRUE,Inputs!$B$32,0)))*(1-IF(AND(ArtifactsInput!$M$27,Inputs!$B$4="Chapter Hunt"),CHOOSE(ArtifactsInput!$N$27+1,20,24,28,32,36,40),0)/100)))+1)),0)</f>
        <v/>
      </c>
      <c r="S5">
        <f>IFERROR(O5/N5,0)</f>
        <v/>
      </c>
      <c r="T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$20+Skills!P5+Summary!$B$15+Artifacts!$B$35)/100)*((((5000/(6000+Inputs!$B$42*(1-(100*(1-(1-Inputs!$B$19/100)*(1-Artifacts!$B$51/100)^IF(Inputs!$B$38="pvp",1,2)))/100)))/(5000/(6000+Inputs!$B$42*(1-Inputs!$B$19/100))))*((L5*(1-MIN(100,(Inputs!$B$9+Summary!$B$14+Artifacts!$B$32)+Artifacts!$B$69)/100)+M5*(MIN(100,(Inputs!$B$9+Summary!$B$14+Artifacts!$B$32)+Artifacts!$B$69)/100))/(L5*(1-MIN(100,(Inputs!$B$9+Summary!$B$14+Artifacts!$B$32))/100)+M5*(MIN(100,(Inputs!$B$9+Summary!$B$14+Artifacts!$B$32))/100)))*(1+Artifacts!$B$81/100))),0)</f>
        <v/>
      </c>
      <c r="V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Hunt"),CHOOSE(ArtifactsInput!$N$27+1,20,24,28,32,36,40),0)/100)))))/Skills!H5,1)))/Inputs!$B$43),G5*Q5))*IF(Inputs!$B$38="pvp",1,(1+(Inputs!$B$21+Skills!Q5+Summary!$B$15+Artifacts!$B$80)/100)*(MIN(Skills!R5,Inputs!$B$37)))*((1+Artifacts!$B$53/100)),0)</f>
        <v/>
      </c>
    </row>
    <row r="6">
      <c r="A6">
        <f>Skills!A6</f>
        <v/>
      </c>
      <c r="B6">
        <f>Skills!B6</f>
        <v/>
      </c>
      <c r="C6">
        <f>Inputs!$B$3&gt;=40</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Summary!$B$6*(F6/100)</f>
        <v/>
      </c>
      <c r="K6">
        <f>J6*(1+Summary!$B$7/100)*(1+Inputs!$B$15/100)*(1+Inputs!$B$16/100)*(5000/(6000+Inputs!$B$42*(1-Inputs!$B$19/100)))*(1+(Inputs!$B$24+Summary!$B$21)/100)*(1+Artifacts!$B$34/100)*(1+IF(C7=TRUE,F7,0)/100)*(1+(IF(Skills!A6="ARROW_STREAM",Inputs!$B$17+Artifacts!$B$40,Inputs!$B$18+Artifacts!$B$39))/100)*(Summary!$B$13*(1+Artifacts!$B$38/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IFERROR(1/(IF(Inputs!$B$38="pvp",15,MAX(0.1,Skills!D6-IF(Skills!E6=TRUE,Inputs!$B$32,0)))*(1-IF(AND(ArtifactsInput!$M$27,Inputs!$B$4="Chapter Hunt"),CHOOSE(ArtifactsInput!$N$27+1,20,24,28,32,36,40),0)/100)),0)</f>
        <v/>
      </c>
      <c r="R6">
        <f>IF(AND(Inputs!$B$38&lt;&gt;"pvp",Inputs!$B$43&gt;0),IF(MAX(0,Inputs!$B$43-Summary!$B$23)&lt;=0,0,(INT(MAX(0,Inputs!$B$43-Summary!$B$23)/(IF(Inputs!$B$38="pvp",15,MAX(0.1,Skills!D6-IF(Skills!E6=TRUE,Inputs!$B$32,0)))*(1-IF(AND(ArtifactsInput!$M$27,Inputs!$B$4="Chapter Hunt"),CHOOSE(ArtifactsInput!$N$27+1,20,24,28,32,36,40),0)/100)))+1)),0)</f>
        <v/>
      </c>
      <c r="S6">
        <f>IFERROR(O6/N6,0)</f>
        <v/>
      </c>
      <c r="T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Hunt"),CHOOSE(ArtifactsInput!$N$27+1,20,24,28,32,36,40),0)/100)))))/Skills!H6,1)))/Inputs!$B$43),G6*Q6))*IF(Inputs!$B$38="pvp",1,(1+(Inputs!$B$21+Skills!Q6+Summary!$B$15+Artifacts!$B$80)/100)*(MIN(Skills!R6,Inputs!$B$37)))*((1+Artifacts!$B$53/100)),0)</f>
        <v/>
      </c>
    </row>
    <row r="7">
      <c r="A7">
        <f>Skills!A7</f>
        <v/>
      </c>
      <c r="B7">
        <f>Skills!B7</f>
        <v/>
      </c>
      <c r="C7">
        <f>Inputs!$B$3&gt;=107</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t="inlineStr"/>
      <c r="H7" t="inlineStr"/>
      <c r="I7" t="inlineStr">
        <is>
          <t>1</t>
        </is>
      </c>
      <c r="J7" t="inlineStr"/>
      <c r="K7" t="inlineStr"/>
      <c r="L7" t="inlineStr"/>
      <c r="M7" t="inlineStr"/>
      <c r="N7" t="inlineStr"/>
      <c r="O7" t="inlineStr"/>
      <c r="P7" t="inlineStr"/>
      <c r="Q7" t="inlineStr"/>
      <c r="R7" t="inlineStr"/>
      <c r="S7" t="inlineStr"/>
      <c r="T7" t="inlineStr"/>
      <c r="V7" t="inlineStr"/>
    </row>
    <row r="8">
      <c r="A8">
        <f>Skills!A8</f>
        <v/>
      </c>
      <c r="B8">
        <f>Skills!B8</f>
        <v/>
      </c>
      <c r="C8">
        <f>Inputs!$B$3&gt;=69</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Summary!$B$6*(F8/100)</f>
        <v/>
      </c>
      <c r="K8">
        <f>J8*(1+Summary!$B$7/100)*(1+Inputs!$B$15/100)*(1+Inputs!$B$16/100)*(5000/(6000+Inputs!$B$42*(1-Inputs!$B$19/100)))*(1+(Inputs!$B$24+Summary!$B$21)/100)*(1+Artifacts!$B$34/100)*(1+1.2*IF(C11=TRUE,F11,0)/100)*(1+(IF(Skills!A8="ARROW_STREAM",Inputs!$B$17+Artifacts!$B$40,Inputs!$B$18+Artifacts!$B$39))/100)*(Summary!$B$13*(1+Artifacts!$B$38/100)*I8)</f>
        <v/>
      </c>
      <c r="L8">
        <f>K8*(MIN(Inputs!$B$22,Inputs!$B$23)/100+Inputs!$B$23/100)/2</f>
        <v/>
      </c>
      <c r="M8">
        <f>L8*(1+(Inputs!$B$10+Summary!$B$20+Artifacts!$B$33)/100)</f>
        <v/>
      </c>
      <c r="N8">
        <f>L8*(1-MIN((Inputs!$B$9+Summary!$B$14+Artifacts!$B$32),100)/100)+M8*(MIN((Inputs!$B$9+Summary!$B$14+Artifacts!$B$32),100)/100)</f>
        <v/>
      </c>
      <c r="O8">
        <f>(1-Summary!$B$11)*T8+Summary!$B$11*V8</f>
        <v/>
      </c>
      <c r="P8">
        <f>IF(Summary!$B$3=0,0,O8/Summary!$B$3)</f>
        <v/>
      </c>
      <c r="Q8">
        <f>IFERROR(1/(IF(Inputs!$B$38="pvp",15,MAX(0.1,Skills!D8-IF(Skills!E8=TRUE,Inputs!$B$32,0)))*(1-IF(AND(ArtifactsInput!$M$27,Inputs!$B$4="Chapter Hunt"),CHOOSE(ArtifactsInput!$N$27+1,20,24,28,32,36,40),0)/100)),0)</f>
        <v/>
      </c>
      <c r="R8">
        <f>IF(AND(Inputs!$B$38&lt;&gt;"pvp",Inputs!$B$43&gt;0),IF(MAX(0,Inputs!$B$43-Summary!$B$23)&lt;=0,0,(INT(MAX(0,Inputs!$B$43-Summary!$B$23)/(IF(Inputs!$B$38="pvp",15,MAX(0.1,Skills!D8-IF(Skills!E8=TRUE,Inputs!$B$32,0)))*(1-IF(AND(ArtifactsInput!$M$27,Inputs!$B$4="Chapter Hunt"),CHOOSE(ArtifactsInput!$N$27+1,20,24,28,32,36,40),0)/100)))+1)),0)</f>
        <v/>
      </c>
      <c r="S8">
        <f>IFERROR(O8/N8,0)</f>
        <v/>
      </c>
      <c r="T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$20+Skills!P8+Summary!$B$15+Artifacts!$B$35)/100)*((((5000/(6000+Inputs!$B$42*(1-(100*(1-(1-Inputs!$B$19/100)*(1-Artifacts!$B$51/100)^IF(Inputs!$B$38="pvp",1,2)))/100)))/(5000/(6000+Inputs!$B$42*(1-Inputs!$B$19/100))))*((L8*(1-MIN(100,(Inputs!$B$9+Summary!$B$14+Artifacts!$B$32)+Artifacts!$B$69)/100)+M8*(MIN(100,(Inputs!$B$9+Summary!$B$14+Artifacts!$B$32)+Artifacts!$B$69)/100))/(L8*(1-MIN(100,(Inputs!$B$9+Summary!$B$14+Artifacts!$B$32))/100)+M8*(MIN(100,(Inputs!$B$9+Summary!$B$14+Artifacts!$B$32))/100)))*(1+Artifacts!$B$81/100))),0)</f>
        <v/>
      </c>
      <c r="V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Hunt"),CHOOSE(ArtifactsInput!$N$27+1,20,24,28,32,36,40),0)/100)))))/Skills!H8,1)))/Inputs!$B$43),G8*Q8))*IF(Inputs!$B$38="pvp",1,(1+(Inputs!$B$21+Skills!Q8+Summary!$B$15+Artifacts!$B$80)/100)*(MIN(Skills!R8,Inputs!$B$37)))*((1+Artifacts!$B$53/100)),0)</f>
        <v/>
      </c>
    </row>
    <row r="9">
      <c r="A9">
        <f>Skills!A9</f>
        <v/>
      </c>
      <c r="B9">
        <f>Skills!B9</f>
        <v/>
      </c>
      <c r="C9">
        <f>Inputs!$B$3&gt;=63</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Summary!$B$6*(F9/100)</f>
        <v/>
      </c>
      <c r="K9">
        <f>J9*(1+Summary!$B$7/100)*(1+Inputs!$B$15/100)*(1+Inputs!$B$16/100)*(5000/(6000+Inputs!$B$42*(1-Inputs!$B$19/100)))*(1+(Inputs!$B$24+Summary!$B$21)/100)*(1+Artifacts!$B$34/100)*(1+1.0*IF(C11=TRUE,F11,0)/100)*(1+(IF(Skills!A9="ARROW_STREAM",Inputs!$B$17+Artifacts!$B$40,Inputs!$B$18+Artifacts!$B$39))/100)*(Summary!$B$13*(1+Artifacts!$B$38/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IFERROR(1/(IF(Inputs!$B$38="pvp",15,MAX(0.1,Skills!D9-IF(Skills!E9=TRUE,Inputs!$B$32,0)))*(1-IF(AND(ArtifactsInput!$M$27,Inputs!$B$4="Chapter Hunt"),CHOOSE(ArtifactsInput!$N$27+1,20,24,28,32,36,40),0)/100)),0)</f>
        <v/>
      </c>
      <c r="R9">
        <f>IF(AND(Inputs!$B$38&lt;&gt;"pvp",Inputs!$B$43&gt;0),IF(MAX(0,Inputs!$B$43-Summary!$B$23)&lt;=0,0,(INT(MAX(0,Inputs!$B$43-Summary!$B$23)/(IF(Inputs!$B$38="pvp",15,MAX(0.1,Skills!D9-IF(Skills!E9=TRUE,Inputs!$B$32,0)))*(1-IF(AND(ArtifactsInput!$M$27,Inputs!$B$4="Chapter Hunt"),CHOOSE(ArtifactsInput!$N$27+1,20,24,28,32,36,40),0)/100)))+1)),0)</f>
        <v/>
      </c>
      <c r="S9">
        <f>IFERROR(O9/N9,0)</f>
        <v/>
      </c>
      <c r="T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Hunt"),CHOOSE(ArtifactsInput!$N$27+1,20,24,28,32,36,40),0)/100)))))/Skills!H9,1)))/Inputs!$B$43),G9*Q9))*IF(Inputs!$B$38="pvp",1,(1+(Inputs!$B$21+Skills!Q9+Summary!$B$15+Artifacts!$B$80)/100)*(MIN(Skills!R9,Inputs!$B$37)))*((1+Artifacts!$B$53/100)),0)</f>
        <v/>
      </c>
    </row>
    <row r="10">
      <c r="A10">
        <f>Skills!A10</f>
        <v/>
      </c>
      <c r="B10">
        <f>Skills!B10</f>
        <v/>
      </c>
      <c r="C10">
        <f>Inputs!$B$3&gt;=103</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Summary!$B$6*(F10/100)</f>
        <v/>
      </c>
      <c r="K10">
        <f>J10*(1+Summary!$B$7/100)*(1+Inputs!$B$15/100)*(1+Inputs!$B$16/100)*(5000/(6000+Inputs!$B$42*(1-Inputs!$B$19/100)))*(1+(Inputs!$B$24+Summary!$B$21)/100)*(1+Artifacts!$B$34/100)*(1+(IF(Skills!A10="ARROW_STREAM",Inputs!$B$17+Artifacts!$B$40,Inputs!$B$18+Artifacts!$B$39))/100)*(Summary!$B$13*(1+Artifacts!$B$38/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f>IFERROR(1/(IF(Inputs!$B$38="pvp",15,MAX(0.1,Skills!D10-IF(Skills!E10=TRUE,Inputs!$B$32,0)))*(1-IF(AND(ArtifactsInput!$M$27,Inputs!$B$4="Chapter Hunt"),CHOOSE(ArtifactsInput!$N$27+1,20,24,28,32,36,40),0)/100)),0)</f>
        <v/>
      </c>
      <c r="R10">
        <f>IF(AND(Inputs!$B$38&lt;&gt;"pvp",Inputs!$B$43&gt;0),IF(MAX(0,Inputs!$B$43-Summary!$B$23)&lt;=0,0,(INT(MAX(0,Inputs!$B$43-Summary!$B$23)/(IF(Inputs!$B$38="pvp",15,MAX(0.1,Skills!D10-IF(Skills!E10=TRUE,Inputs!$B$32,0)))*(1-IF(AND(ArtifactsInput!$M$27,Inputs!$B$4="Chapter Hunt"),CHOOSE(ArtifactsInput!$N$27+1,20,24,28,32,36,40),0)/100)))+1)),0)</f>
        <v/>
      </c>
      <c r="S10">
        <f>IFERROR(O10/N10,0)</f>
        <v/>
      </c>
      <c r="T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Hunt"),CHOOSE(ArtifactsInput!$N$27+1,20,24,28,32,36,40),0)/100)))))/Skills!H10,1)))/Inputs!$B$43),G10*Q10))*IF(Inputs!$B$38="pvp",1,(1+(Inputs!$B$21+Skills!Q10+Summary!$B$15+Artifacts!$B$80)/100)*(MIN(Skills!R10,Inputs!$B$37)))*((1+Artifacts!$B$53/100)),0)</f>
        <v/>
      </c>
    </row>
    <row r="11">
      <c r="A11">
        <f>Skills!A11</f>
        <v/>
      </c>
      <c r="B11">
        <f>Skills!B11</f>
        <v/>
      </c>
      <c r="C11">
        <f>Inputs!$B$3&gt;=100</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t="inlineStr"/>
      <c r="H11" t="inlineStr"/>
      <c r="I11" t="inlineStr">
        <is>
          <t>1</t>
        </is>
      </c>
      <c r="J11" t="inlineStr"/>
      <c r="K11" t="inlineStr"/>
      <c r="L11" t="inlineStr"/>
      <c r="M11" t="inlineStr"/>
      <c r="N11" t="inlineStr"/>
      <c r="O11" t="inlineStr"/>
      <c r="P11" t="inlineStr"/>
      <c r="Q11" t="inlineStr"/>
      <c r="R11" t="inlineStr"/>
      <c r="S11" t="inlineStr"/>
      <c r="T11" t="inlineStr"/>
      <c r="V11" t="inlineStr"/>
    </row>
    <row r="12">
      <c r="A12">
        <f>Skills!A12</f>
        <v/>
      </c>
      <c r="B12">
        <f>Skills!B12</f>
        <v/>
      </c>
      <c r="C12">
        <f>Inputs!$B$3&gt;=60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f>Summary!$B$6*(F12/100)</f>
        <v/>
      </c>
      <c r="K12">
        <f>J12*(1+Summary!$B$7/100)*(1+Inputs!$B$15/100)*(1+Inputs!$B$16/100)*(5000/(6000+Inputs!$B$42*(1-Inputs!$B$19/100)))*(1+(Inputs!$B$24+Summary!$B$21)/100)*(1+Artifacts!$B$34/100)*(1+IF(C13=TRUE,F13,0)/100)*(1+(IF(Skills!A12="ARROW_STREAM",Inputs!$B$17+Artifacts!$B$40,Inputs!$B$18+Artifacts!$B$39))/100)*(Summary!$B$13*(1+Artifacts!$B$38/100)*I12)</f>
        <v/>
      </c>
      <c r="L12">
        <f>K12*(MIN(Inputs!$B$22,Inputs!$B$23)/100+Inputs!$B$23/100)/2</f>
        <v/>
      </c>
      <c r="M12">
        <f>L12*(1+(Inputs!$B$10+Summary!$B$20+Artifacts!$B$33)/100)</f>
        <v/>
      </c>
      <c r="N12">
        <f>L12*(1-MIN((Inputs!$B$9+Summary!$B$14+Artifacts!$B$32),100)/100)+M12*(MIN((Inputs!$B$9+Summary!$B$14+Artifacts!$B$32),100)/100)</f>
        <v/>
      </c>
      <c r="O12">
        <f>(1-Summary!$B$11)*T12+Summary!$B$11*V12</f>
        <v/>
      </c>
      <c r="P12">
        <f>IF(Summary!$B$3=0,0,O12/Summary!$B$3)</f>
        <v/>
      </c>
      <c r="Q12">
        <f>IFERROR(1/(IF(Inputs!$B$38="pvp",15,MAX(0.1,Skills!D12-IF(Skills!E12=TRUE,Inputs!$B$32,0)))*(1-IF(AND(ArtifactsInput!$M$27,Inputs!$B$4="Chapter Hunt"),CHOOSE(ArtifactsInput!$N$27+1,20,24,28,32,36,40),0)/100)),0)</f>
        <v/>
      </c>
      <c r="R12">
        <f>IF(AND(Inputs!$B$38&lt;&gt;"pvp",Inputs!$B$43&gt;0),IF(MAX(0,Inputs!$B$43-Summary!$B$23)&lt;=0,0,(INT(MAX(0,Inputs!$B$43-Summary!$B$23)/(IF(Inputs!$B$38="pvp",15,MAX(0.1,Skills!D12-IF(Skills!E12=TRUE,Inputs!$B$32,0)))*(1-IF(AND(ArtifactsInput!$M$27,Inputs!$B$4="Chapter Hunt"),CHOOSE(ArtifactsInput!$N$27+1,20,24,28,32,36,40),0)/100)))+1)),0)</f>
        <v/>
      </c>
      <c r="S12">
        <f>IFERROR(O12/N12,0)</f>
        <v/>
      </c>
      <c r="T12">
        <f>IF(C12,(H12*N12*IF(AND(Inputs!$B$38&lt;&gt;"pvp",Inputs!$B$43&gt;0),((Skills!G12*((R12-1)*IF(Skills!H12&gt;0,Skills!I12/Skills!H12,1)+IF(Skills!H12&gt;0,MIN(Skills!I12,MAX(0,MAX(0,Inputs!$B$43-Summary!$B$23)-((R12-1)*(IF(Inputs!$B$38="pvp",15,MAX(0.1,Skills!D12-IF(Skills!E12=TRUE,Inputs!$B$32,0)))*(1-IF(AND(ArtifactsInput!$M$27,Inputs!$B$4="Chapter Hunt"),CHOOSE(ArtifactsInput!$N$27+1,20,24,28,32,36,40),0)/100)))))/Skills!H12,1)))/Inputs!$B$43),G12*Q12))*IF(Inputs!$B$38="pvp",1,1+(Inputs!$B$20+Skills!P12+Summary!$B$15+Artifacts!$B$35)/100)*((((5000/(6000+Inputs!$B$42*(1-(100*(1-(1-Inputs!$B$19/100)*(1-Artifacts!$B$51/100)^IF(Inputs!$B$38="pvp",1,2)))/100)))/(5000/(6000+Inputs!$B$42*(1-Inputs!$B$19/100))))*((L12*(1-MIN(100,(Inputs!$B$9+Summary!$B$14+Artifacts!$B$32)+Artifacts!$B$69)/100)+M12*(MIN(100,(Inputs!$B$9+Summary!$B$14+Artifacts!$B$32)+Artifacts!$B$69)/100))/(L12*(1-MIN(100,(Inputs!$B$9+Summary!$B$14+Artifacts!$B$32))/100)+M12*(MIN(100,(Inputs!$B$9+Summary!$B$14+Artifacts!$B$32))/100)))*(1+Artifacts!$B$81/100))),0)</f>
        <v/>
      </c>
      <c r="V12">
        <f>IF(C12,(H12*N12*IF(AND(Inputs!$B$38&lt;&gt;"pvp",Inputs!$B$43&gt;0),((Skills!G12*((R12-1)*IF(Skills!H12&gt;0,Skills!I12/Skills!H12,1)+IF(Skills!H12&gt;0,MIN(Skills!I12,MAX(0,MAX(0,Inputs!$B$43-Summary!$B$23)-((R12-1)*(IF(Inputs!$B$38="pvp",15,MAX(0.1,Skills!D12-IF(Skills!E12=TRUE,Inputs!$B$32,0)))*(1-IF(AND(ArtifactsInput!$M$27,Inputs!$B$4="Chapter Hunt"),CHOOSE(ArtifactsInput!$N$27+1,20,24,28,32,36,40),0)/100)))))/Skills!H12,1)))/Inputs!$B$43),G12*Q12))*IF(Inputs!$B$38="pvp",1,(1+(Inputs!$B$21+Skills!Q12+Summary!$B$15+Artifacts!$B$80)/100)*(MIN(Skills!R12,Inputs!$B$37)))*((1+Artifacts!$B$53/100)),0)</f>
        <v/>
      </c>
    </row>
    <row r="13">
      <c r="A13">
        <f>Skills!A13</f>
        <v/>
      </c>
      <c r="B13">
        <f>Skills!B13</f>
        <v/>
      </c>
      <c r="C13">
        <f>Inputs!$B$3&gt;=110</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t="inlineStr"/>
      <c r="H13" t="inlineStr"/>
      <c r="I13" t="inlineStr">
        <is>
          <t>1</t>
        </is>
      </c>
      <c r="J13" t="inlineStr"/>
      <c r="K13" t="inlineStr"/>
      <c r="L13" t="inlineStr"/>
      <c r="M13" t="inlineStr"/>
      <c r="N13" t="inlineStr"/>
      <c r="O13" t="inlineStr"/>
      <c r="P13" t="inlineStr"/>
      <c r="Q13" t="inlineStr"/>
      <c r="R13" t="inlineStr"/>
      <c r="S13" t="inlineStr"/>
      <c r="T13" t="inlineStr"/>
      <c r="V13" t="inlineStr"/>
    </row>
    <row r="14">
      <c r="A14">
        <f>Skills!A14</f>
        <v/>
      </c>
      <c r="B14">
        <f>Skills!B14</f>
        <v/>
      </c>
      <c r="C14">
        <f>Inputs!$B$3&gt;=74</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f>(1-Summary!$B$11)*T14+Summary!$B$11*V14</f>
        <v/>
      </c>
      <c r="P14">
        <f>IF(Summary!$B$3=0,0,O14/Summary!$B$3)</f>
        <v/>
      </c>
      <c r="Q14" t="n">
        <v>0</v>
      </c>
      <c r="R14" t="n">
        <v>0</v>
      </c>
      <c r="S14">
        <f>IFERROR(O14/N14,0)</f>
        <v/>
      </c>
      <c r="T14" t="n">
        <v>0</v>
      </c>
      <c r="V14" t="n">
        <v>0</v>
      </c>
    </row>
    <row r="15">
      <c r="A15">
        <f>Skills!A15</f>
        <v/>
      </c>
      <c r="B15">
        <f>Skills!B15</f>
        <v/>
      </c>
      <c r="C15">
        <f>Inputs!$B$3&gt;=74</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f>(1-Summary!$B$11)*T15+Summary!$B$11*V15</f>
        <v/>
      </c>
      <c r="P15">
        <f>IF(Summary!$B$3=0,0,O15/Summary!$B$3)</f>
        <v/>
      </c>
      <c r="Q15" t="n">
        <v>0</v>
      </c>
      <c r="R15" t="n">
        <v>0</v>
      </c>
      <c r="S15">
        <f>IFERROR(O15/N15,0)</f>
        <v/>
      </c>
      <c r="T15" t="n">
        <v>0</v>
      </c>
      <c r="V15" t="n">
        <v>0</v>
      </c>
    </row>
    <row r="16">
      <c r="A16">
        <f>Skills!A16</f>
        <v/>
      </c>
      <c r="B16">
        <f>Skills!B16</f>
        <v/>
      </c>
      <c r="C16">
        <f>Inputs!$B$3&gt;=117</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f>(1-Summary!$B$11)*T16+Summary!$B$11*V16</f>
        <v/>
      </c>
      <c r="P16">
        <f>IF(Summary!$B$3=0,0,O16/Summary!$B$3)</f>
        <v/>
      </c>
      <c r="Q16">
        <f>IFERROR(1/(IF(Inputs!$B$38="pvp",15,MAX(0.1,Skills!D16-IF(Skills!E16=TRUE,Inputs!$B$32,0)))*(1-IF(AND(ArtifactsInput!$M$27,Inputs!$B$4="Chapter Hunt"),CHOOSE(ArtifactsInput!$N$27+1,20,24,28,32,36,40),0)/100)),0)</f>
        <v/>
      </c>
      <c r="R16">
        <f>IF(AND(Inputs!$B$38&lt;&gt;"pvp",Inputs!$B$43&gt;0),IF(Inputs!$B$43&lt;=0,0,(INT(Inputs!$B$43/(IF(Inputs!$B$38="pvp",15,MAX(0.1,Skills!D16-IF(Skills!E16=TRUE,Inputs!$B$32,0)))*(1-IF(AND(ArtifactsInput!$M$27,Inputs!$B$4="Chapter Hunt"),CHOOSE(ArtifactsInput!$N$27+1,20,24,28,32,36,40),0)/100)))+1)),0)</f>
        <v/>
      </c>
      <c r="S16">
        <f>IFERROR(O16/N16,0)</f>
        <v/>
      </c>
      <c r="T16" t="n">
        <v>0</v>
      </c>
      <c r="V16" t="n">
        <v>0</v>
      </c>
    </row>
    <row r="17">
      <c r="A17">
        <f>Skills!A17</f>
        <v/>
      </c>
      <c r="B17">
        <f>Skills!B17</f>
        <v/>
      </c>
      <c r="C17">
        <f>Inputs!$B$3&gt;=115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f>(1-Summary!$B$11)*T17+Summary!$B$11*V17</f>
        <v/>
      </c>
      <c r="P17">
        <f>IF(Summary!$B$3=0,0,O17/Summary!$B$3)</f>
        <v/>
      </c>
      <c r="Q17">
        <f>IFERROR(1/(IF(Inputs!$B$38="pvp",15,MAX(0.1,Skills!D17-IF(Skills!E17=TRUE,Inputs!$B$32,0)))*(1-IF(AND(ArtifactsInput!$M$27,Inputs!$B$4="Chapter Hunt"),CHOOSE(ArtifactsInput!$N$27+1,20,24,28,32,36,40),0)/100)),0)</f>
        <v/>
      </c>
      <c r="R17">
        <f>IF(AND(Inputs!$B$38&lt;&gt;"pvp",Inputs!$B$43&gt;0),IF(Inputs!$B$43&lt;=0,0,(INT(Inputs!$B$43/(IF(Inputs!$B$38="pvp",15,MAX(0.1,Skills!D17-IF(Skills!E17=TRUE,Inputs!$B$32,0)))*(1-IF(AND(ArtifactsInput!$M$27,Inputs!$B$4="Chapter Hunt"),CHOOSE(ArtifactsInput!$N$27+1,20,24,28,32,36,40),0)/100)))+1)),0)</f>
        <v/>
      </c>
      <c r="S17">
        <f>IFERROR(O17/N17,0)</f>
        <v/>
      </c>
      <c r="T17" t="n">
        <v>0</v>
      </c>
      <c r="V17" t="n">
        <v>0</v>
      </c>
    </row>
    <row r="18">
      <c r="A18">
        <f>Skills!A18</f>
        <v/>
      </c>
      <c r="B18">
        <f>Skills!B18</f>
        <v/>
      </c>
      <c r="C18">
        <f>Inputs!$B$3&gt;=66</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f>(1-Summary!$B$11)*T18+Summary!$B$11*V18</f>
        <v/>
      </c>
      <c r="P18">
        <f>IF(Summary!$B$3=0,0,O18/Summary!$B$3)</f>
        <v/>
      </c>
      <c r="Q18" t="n">
        <v>0</v>
      </c>
      <c r="R18" t="n">
        <v>0</v>
      </c>
      <c r="S18">
        <f>IFERROR(O18/N18,0)</f>
        <v/>
      </c>
      <c r="T18" t="n">
        <v>0</v>
      </c>
      <c r="V18" t="n">
        <v>0</v>
      </c>
    </row>
    <row r="19">
      <c r="A19">
        <f>Skills!A19</f>
        <v/>
      </c>
      <c r="B19">
        <f>Skills!B19</f>
        <v/>
      </c>
      <c r="C19">
        <f>Inputs!$B$3&gt;=72</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f>(1-Summary!$B$11)*T19+Summary!$B$11*V19</f>
        <v/>
      </c>
      <c r="P19">
        <f>IF(Summary!$B$3=0,0,O19/Summary!$B$3)</f>
        <v/>
      </c>
      <c r="Q19" t="n">
        <v>0</v>
      </c>
      <c r="R19" t="n">
        <v>0</v>
      </c>
      <c r="S19">
        <f>IFERROR(O19/N19,0)</f>
        <v/>
      </c>
      <c r="T19" t="n">
        <v>0</v>
      </c>
      <c r="V19" t="n">
        <v>0</v>
      </c>
    </row>
    <row r="20">
      <c r="A20">
        <f>Skills!A20</f>
        <v/>
      </c>
      <c r="B20">
        <f>Skills!B20</f>
        <v/>
      </c>
      <c r="C20">
        <f>TRUE</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f>(1-Summary!$B$11)*T20+Summary!$B$11*V20</f>
        <v/>
      </c>
      <c r="P20">
        <f>IF(Summary!$B$3=0,0,O20/Summary!$B$3)</f>
        <v/>
      </c>
      <c r="Q20">
        <f>IFERROR(1/(IF(Inputs!$B$38="pvp",15,MAX(0.1,Skills!D20-IF(Skills!E20=TRUE,Inputs!$B$32,0)))*(1-IF(AND(ArtifactsInput!$M$27,Inputs!$B$4="Chapter Hunt"),CHOOSE(ArtifactsInput!$N$27+1,20,24,28,32,36,40),0)/100)),0)</f>
        <v/>
      </c>
      <c r="R20">
        <f>IF(AND(Inputs!$B$38&lt;&gt;"pvp",Inputs!$B$43&gt;0),IF(Inputs!$B$43&lt;=0,0,(INT(Inputs!$B$43/(IF(Inputs!$B$38="pvp",15,MAX(0.1,Skills!D20-IF(Skills!E20=TRUE,Inputs!$B$32,0)))*(1-IF(AND(ArtifactsInput!$M$27,Inputs!$B$4="Chapter Hunt"),CHOOSE(ArtifactsInput!$N$27+1,20,24,28,32,36,40),0)/100)))+1)),0)</f>
        <v/>
      </c>
      <c r="S20">
        <f>IFERROR(O20/N20,0)</f>
        <v/>
      </c>
      <c r="T20" t="n">
        <v>0</v>
      </c>
      <c r="V20" t="n">
        <v>0</v>
      </c>
    </row>
    <row r="21">
      <c r="A21">
        <f>Skills!A21</f>
        <v/>
      </c>
      <c r="B21">
        <f>Skills!B21</f>
        <v/>
      </c>
      <c r="C21">
        <f>Inputs!$B$3&gt;=15</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Inputs!$B$3&gt;=10</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Inputs!$B$3&gt;=33</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Inputs!$B$3&gt;=38</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Inputs!$B$3&gt;=43</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Inputs!$B$3&gt;=75</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f>IFERROR(O26/N26,0)</f>
        <v/>
      </c>
      <c r="T26" t="n">
        <v>0</v>
      </c>
      <c r="V26" t="n">
        <v>0</v>
      </c>
    </row>
    <row r="27">
      <c r="A27">
        <f>Skills!A27</f>
        <v/>
      </c>
      <c r="B27">
        <f>Skills!B27</f>
        <v/>
      </c>
      <c r="C27">
        <f>Inputs!$B$3&gt;=125</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f>(1-Summary!$B$11)*T27+Summary!$B$11*V27</f>
        <v/>
      </c>
      <c r="P27">
        <f>IF(Summary!$B$3=0,0,O27/Summary!$B$3)</f>
        <v/>
      </c>
      <c r="Q27" t="n">
        <v>0</v>
      </c>
      <c r="R27" t="n">
        <v>0</v>
      </c>
      <c r="S27">
        <f>IFERROR(O27/N27,0)</f>
        <v/>
      </c>
      <c r="T27" t="n">
        <v>0</v>
      </c>
      <c r="V27" t="n">
        <v>0</v>
      </c>
    </row>
    <row r="28">
      <c r="A28">
        <f>Skills!A28</f>
        <v/>
      </c>
      <c r="B28">
        <f>Skills!B28</f>
        <v/>
      </c>
      <c r="C28">
        <f>Inputs!$B$3&gt;=125</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Skills!G28*IF(Skills!H28&gt;0,Skills!I28/Skills!H28,1)</f>
        <v/>
      </c>
      <c r="H28">
        <f>1-(1-Skills!J28/100)^Skills!K28</f>
        <v/>
      </c>
      <c r="I28" t="inlineStr">
        <is>
          <t>1</t>
        </is>
      </c>
      <c r="J28" t="inlineStr"/>
      <c r="K28" t="inlineStr"/>
      <c r="L28" t="inlineStr"/>
      <c r="M28" t="inlineStr"/>
      <c r="N28" t="inlineStr"/>
      <c r="O28">
        <f>(1-Summary!$B$11)*T28+Summary!$B$11*V28</f>
        <v/>
      </c>
      <c r="P28">
        <f>IF(Summary!$B$3=0,0,O28/Summary!$B$3)</f>
        <v/>
      </c>
      <c r="Q28" t="n">
        <v>0</v>
      </c>
      <c r="R28" t="n">
        <v>0</v>
      </c>
      <c r="S28">
        <f>IFERROR(O28/N28,0)</f>
        <v/>
      </c>
      <c r="T28" t="n">
        <v>0</v>
      </c>
      <c r="V28" t="n">
        <v>0</v>
      </c>
    </row>
    <row r="29">
      <c r="A29">
        <f>Skills!A29</f>
        <v/>
      </c>
      <c r="B29">
        <f>Skills!B29</f>
        <v/>
      </c>
      <c r="C29">
        <f>Inputs!$B$3&gt;=120</f>
        <v/>
      </c>
      <c r="D29">
        <f>IF(Skills!C29=1,60+Inputs!$B$25+Inputs!$B$29,IF(Skills!C29=2,90+Inputs!$B$26+Inputs!$B$29,IF(Skills!C29=3,120+Inputs!$B$27+Inputs!$B$29,MAX(0,(Inputs!$B$3-100)*3)+Inputs!$B$28+Inputs!$B$29)))</f>
        <v/>
      </c>
      <c r="E29">
        <f>INDEX(FactorTable!$B$2:$Y$301, MATCH(ROUND(MIN(300,MAX(1,D29)),0), FactorTable!$A$2:$A$301,0), Skills!M29+1)</f>
        <v/>
      </c>
      <c r="F29">
        <f>IF(Skills!N29=TRUE,(Skills!L29/10)*(E29/1000),Skills!L29/10)+Skills!O29</f>
        <v/>
      </c>
      <c r="G29">
        <f>Skills!G29*IF(Skills!H29&gt;0,Skills!I29/Skills!H29,1)</f>
        <v/>
      </c>
      <c r="H29">
        <f>1-(1-Skills!J29/100)^Skills!K29</f>
        <v/>
      </c>
      <c r="I29" t="inlineStr">
        <is>
          <t>1</t>
        </is>
      </c>
      <c r="J29" t="inlineStr"/>
      <c r="K29" t="inlineStr"/>
      <c r="L29" t="inlineStr"/>
      <c r="M29" t="inlineStr"/>
      <c r="N29" t="inlineStr"/>
      <c r="O29">
        <f>(1-Summary!$B$11)*T29+Summary!$B$11*V29</f>
        <v/>
      </c>
      <c r="P29">
        <f>IF(Summary!$B$3=0,0,O29/Summary!$B$3)</f>
        <v/>
      </c>
      <c r="Q29" t="n">
        <v>0</v>
      </c>
      <c r="R29" t="n">
        <v>0</v>
      </c>
      <c r="S29">
        <f>IFERROR(O29/N29,0)</f>
        <v/>
      </c>
      <c r="T29" t="n">
        <v>0</v>
      </c>
      <c r="V29" t="n">
        <v>0</v>
      </c>
    </row>
    <row r="30">
      <c r="A30">
        <f>Skills!A30</f>
        <v/>
      </c>
      <c r="B30">
        <f>Skills!B30</f>
        <v/>
      </c>
      <c r="C30">
        <f>Inputs!$B$3&gt;=120</f>
        <v/>
      </c>
      <c r="D30">
        <f>IF(Skills!C30=1,60+Inputs!$B$25+Inputs!$B$29,IF(Skills!C30=2,90+Inputs!$B$26+Inputs!$B$29,IF(Skills!C30=3,120+Inputs!$B$27+Inputs!$B$29,MAX(0,(Inputs!$B$3-100)*3)+Inputs!$B$28+Inputs!$B$29)))</f>
        <v/>
      </c>
      <c r="E30">
        <f>INDEX(FactorTable!$B$2:$Y$301, MATCH(ROUND(MIN(300,MAX(1,D30)),0), FactorTable!$A$2:$A$301,0), Skills!M30+1)</f>
        <v/>
      </c>
      <c r="F30">
        <f>IF(Skills!N30=TRUE,(Skills!L30/10)*(E30/1000),Skills!L30/10)+Skills!O30</f>
        <v/>
      </c>
      <c r="G30">
        <f>Skills!G30*IF(Skills!H30&gt;0,Skills!I30/Skills!H30,1)</f>
        <v/>
      </c>
      <c r="H30">
        <f>1-(1-Skills!J30/100)^Skills!K30</f>
        <v/>
      </c>
      <c r="I30" t="inlineStr">
        <is>
          <t>1</t>
        </is>
      </c>
      <c r="J30" t="inlineStr"/>
      <c r="K30" t="inlineStr"/>
      <c r="L30" t="inlineStr"/>
      <c r="M30" t="inlineStr"/>
      <c r="N30" t="inlineStr"/>
      <c r="O30">
        <f>(1-Summary!$B$11)*T30+Summary!$B$11*V30</f>
        <v/>
      </c>
      <c r="P30">
        <f>IF(Summary!$B$3=0,0,O30/Summary!$B$3)</f>
        <v/>
      </c>
      <c r="Q30" t="n">
        <v>0</v>
      </c>
      <c r="R30" t="n">
        <v>0</v>
      </c>
      <c r="S30">
        <f>IFERROR(O30/N30,0)</f>
        <v/>
      </c>
      <c r="T30" t="n">
        <v>0</v>
      </c>
      <c r="V30" t="n">
        <v>0</v>
      </c>
    </row>
    <row r="31">
      <c r="A31">
        <f>Skills!A31</f>
        <v/>
      </c>
      <c r="B31">
        <f>Skills!B31</f>
        <v/>
      </c>
      <c r="C31">
        <f>Inputs!$B$3&gt;=45</f>
        <v/>
      </c>
      <c r="D31">
        <f>IF(Skills!C31=1,60+Inputs!$B$25+Inputs!$B$29,IF(Skills!C31=2,90+Inputs!$B$26+Inputs!$B$29,IF(Skills!C31=3,120+Inputs!$B$27+Inputs!$B$29,MAX(0,(Inputs!$B$3-100)*3)+Inputs!$B$28+Inputs!$B$29)))</f>
        <v/>
      </c>
      <c r="E31">
        <f>INDEX(FactorTable!$B$2:$Y$301, MATCH(ROUND(MIN(300,MAX(1,D31)),0), FactorTable!$A$2:$A$301,0), Skills!M31+1)</f>
        <v/>
      </c>
      <c r="F31">
        <f>IF(Skills!N31=TRUE,(Skills!L31/10)*(E31/1000),Skills!L31/10)+Skills!O31</f>
        <v/>
      </c>
      <c r="G31">
        <f>Skills!G31*IF(Skills!H31&gt;0,Skills!I31/Skills!H31,1)</f>
        <v/>
      </c>
      <c r="H31">
        <f>1-(1-Skills!J31/100)^Skills!K31</f>
        <v/>
      </c>
      <c r="I31" t="inlineStr">
        <is>
          <t>1</t>
        </is>
      </c>
      <c r="J31" t="inlineStr"/>
      <c r="K31" t="inlineStr"/>
      <c r="L31" t="inlineStr"/>
      <c r="M31" t="inlineStr"/>
      <c r="N31" t="inlineStr"/>
      <c r="O31">
        <f>(1-Summary!$B$11)*T31+Summary!$B$11*V31</f>
        <v/>
      </c>
      <c r="P31">
        <f>IF(Summary!$B$3=0,0,O31/Summary!$B$3)</f>
        <v/>
      </c>
      <c r="Q31" t="n">
        <v>0</v>
      </c>
      <c r="R31" t="n">
        <v>0</v>
      </c>
      <c r="S31">
        <f>IFERROR(O31/N31,0)</f>
        <v/>
      </c>
      <c r="T31" t="n">
        <v>0</v>
      </c>
      <c r="V3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Bowmaster — DPS Summary</t>
        </is>
      </c>
    </row>
    <row r="3">
      <c r="A3" s="10" t="inlineStr">
        <is>
          <t>TOTAL DPS</t>
        </is>
      </c>
      <c r="B3" s="10">
        <f>SUM(Calc!O2:O31)</f>
        <v/>
      </c>
    </row>
    <row r="5">
      <c r="A5" s="9" t="inlineStr">
        <is>
          <t>Derived Values (read-only, computed from Inputs)</t>
        </is>
      </c>
    </row>
    <row r="6">
      <c r="A6" t="inlineStr">
        <is>
          <t>ATTACK (= Flat ATTACK x (1+ATTACK%/100))</t>
        </is>
      </c>
      <c r="B6">
        <f>Inputs!$B$6*(1+Inputs!$B$7/100)</f>
        <v/>
      </c>
    </row>
    <row r="7">
      <c r="A7" t="inlineStr">
        <is>
          <t>STAT_DAMAGE % (= 1% of total DEX + 0.25% of STR)</t>
        </is>
      </c>
      <c r="B7">
        <f>(Inputs!$B$12*(1+Inputs!$B$13/100))*0.01+Inputs!$B$14*0.0025</f>
        <v/>
      </c>
    </row>
    <row r="8">
      <c r="A8" t="inlineStr">
        <is>
          <t>Basic Attack (Arrow Stream)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Arrow Stream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(Marksmanship base+conditional + Illusion Step + Artifact Attack%, summed additively)</t>
        </is>
      </c>
      <c r="B13">
        <f>1+(((Calc!C14=TRUE)*Calc!F14)+((Calc!C15=TRUE)*IF(Inputs!$B$38="pvp",Calc!F15,(1-Summary!$B$11)*(Calc!F15)+Summary!$B$11*(0)))+((Calc!C16=TRUE)*Calc!F16*IF(AND(Inputs!$B$38&lt;&gt;"pvp",Inputs!$B$43&gt;0),(((Calc!R16-1)*(Skills!T16*(1+Inputs!$B$34/100))+MIN((Skills!T16*(1+Inputs!$B$34/100)),MAX(0,Inputs!$B$43-((Calc!R16-1)*Skills!D16))))/Inputs!$B$43),IF(Inputs!$B$38="pvp",MIN((Skills!T16*(1+Inputs!$B$34/100)),15)/15,(Skills!T16*(1+Inputs!$B$34/100))/Skills!D16)))+Artifacts!$B$52)/100</f>
        <v/>
      </c>
    </row>
    <row r="14">
      <c r="A14" t="inlineStr">
        <is>
          <t>Global Crit Rate Bonus % (Sharp Eyes, flat 20, duty-cycle averaged)</t>
        </is>
      </c>
      <c r="B14">
        <f>(Calc!C17=TRUE)*20*IF(AND(Inputs!$B$38&lt;&gt;"pvp",Inputs!$B$43&gt;0),(((Calc!R17-1)*(Skills!T17*(1+Inputs!$B$34/100))+MIN((Skills!T17*(1+Inputs!$B$34/100)),MAX(0,Inputs!$B$43-((Calc!R17-1)*Skills!D17))))/Inputs!$B$43),IF(Inputs!$B$38="pvp",MIN((Skills!T17*(1+Inputs!$B$34/100)),15)/15,(Skills!T17*(1+Inputs!$B$34/100))/Skills!D17))</f>
        <v/>
      </c>
    </row>
    <row r="15">
      <c r="A15" t="inlineStr">
        <is>
          <t>Global Monster Damage-Taken Bonus % (Artifact Enemy Damage Taken Bonus)</t>
        </is>
      </c>
      <c r="B15">
        <f>Artifacts!$B$36</f>
        <v/>
      </c>
    </row>
    <row r="16">
      <c r="A16" t="inlineStr">
        <is>
          <t>Attack Speed Buff Bonus % (Nimble Feet, duty-cycle averaged)</t>
        </is>
      </c>
      <c r="B16">
        <f>((Calc!C20=TRUE)*Calc!F20*IF(AND(Inputs!$B$38&lt;&gt;"pvp",Inputs!$B$43&gt;0),(((Calc!R20-1)*(Skills!T20*(1+Inputs!$B$34/100))+MIN((Skills!T20*(1+Inputs!$B$34/100)),MAX(0,Inputs!$B$43-((Calc!R20-1)*Skills!D20))))/Inputs!$B$43),IF(Inputs!$B$38="pvp",MIN((Skills!T20*(1+Inputs!$B$34/100)),15)/15,(Skills!T20*(1+Inputs!$B$34/100))/Skills!D20)))</f>
        <v/>
      </c>
    </row>
    <row r="17">
      <c r="A17" t="inlineStr">
        <is>
          <t>Actions Per Second</t>
        </is>
      </c>
      <c r="B17">
        <f>1+MIN(150,150*(1-(1-Inputs!$B$11/150)*(1-B16/150)))/100</f>
        <v/>
      </c>
    </row>
    <row r="18">
      <c r="A18" t="inlineStr">
        <is>
          <t>Skill + Buff Cast Rate (subtracted from Arrow Stream, 1/s)</t>
        </is>
      </c>
      <c r="B18">
        <f>IF(AND(Inputs!$B$38&lt;&gt;"pvp",Inputs!$B$43&gt;0),SUMPRODUCT((Skills!E2:E31=TRUE)*(Calc!C2:C31=TRUE)*Calc!R2:R31*Skills!F2:F31)/Inputs!$B$43,SUMPRODUCT((Skills!E2:E31=TRUE)*(Calc!C2:C31=TRUE)*Calc!Q2:Q31*Skills!F2:F31))</f>
        <v/>
      </c>
    </row>
    <row r="19">
      <c r="A19" t="inlineStr">
        <is>
          <t>Arrow Stream (Basic Attack) Casts Per Second</t>
        </is>
      </c>
      <c r="B19">
        <f>MAX(0,B17-B18)</f>
        <v/>
      </c>
    </row>
    <row r="20">
      <c r="A20" t="inlineStr">
        <is>
          <t>Global Critical Damage Bonus % (Sharp Eyes scaling + Concentration steady-state max stacks)</t>
        </is>
      </c>
      <c r="B20">
        <f>(Calc!C17=TRUE)*Calc!F17*IF(AND(Inputs!$B$38&lt;&gt;"pvp",Inputs!$B$43&gt;0),(((Calc!R17-1)*(Skills!T17*(1+Inputs!$B$34/100))+MIN((Skills!T17*(1+Inputs!$B$34/100)),MAX(0,Inputs!$B$43-((Calc!R17-1)*Skills!D17))))/Inputs!$B$43),IF(Inputs!$B$38="pvp",MIN((Skills!T17*(1+Inputs!$B$34/100)),15)/15,(Skills!T17*(1+Inputs!$B$34/100))/Skills!D17))+(Calc!C18=TRUE)*30</f>
        <v/>
      </c>
    </row>
    <row r="21">
      <c r="A21" t="inlineStr">
        <is>
          <t>Global Final Damage Bonus % (Mortal Blow, steady-state always-active)</t>
        </is>
      </c>
      <c r="B21">
        <f>(Calc!C19=TRUE)*Calc!F19</f>
        <v/>
      </c>
    </row>
    <row r="22">
      <c r="A22" t="inlineStr">
        <is>
          <t>Arrow Stream (Basic Attack) DPS</t>
        </is>
      </c>
      <c r="B22">
        <f>Calc!O2</f>
        <v/>
      </c>
    </row>
    <row r="23">
      <c r="A23" t="inlineStr">
        <is>
          <t>Buff-Casting Startup Delay (s, before first damage-skill cast; fixed-duration only)</t>
        </is>
      </c>
      <c r="B23">
        <f>IF(AND(Inputs!$B$38&lt;&gt;"pvp",Inputs!$B$43&gt;0),SUMPRODUCT((Skills!T2:T31&gt;0)*(Skills!E2:E31=TRUE)*(Calc!C2:C31=TRUE))/B17,0)</f>
        <v/>
      </c>
    </row>
    <row r="24">
      <c r="A24" t="inlineStr">
        <is>
          <t>Boss-Only Total DPS (Sensitivity baseline)</t>
        </is>
      </c>
      <c r="B24">
        <f>SUM(Calc!T2:T31)</f>
        <v/>
      </c>
    </row>
    <row r="25">
      <c r="A25" t="inlineStr">
        <is>
          <t>Normal-Only Total DPS (Sensitivity baseline)</t>
        </is>
      </c>
      <c r="B25">
        <f>SUM(Calc!V2:V31)</f>
        <v/>
      </c>
    </row>
    <row r="27">
      <c r="A27" s="9" t="inlineStr">
        <is>
          <t>Per-Skill DPS Breakdown</t>
        </is>
      </c>
    </row>
    <row r="28">
      <c r="A28" s="5" t="inlineStr">
        <is>
          <t>Skill</t>
        </is>
      </c>
      <c r="B28" s="5" t="inlineStr">
        <is>
          <t>DPS</t>
        </is>
      </c>
      <c r="C28" s="5" t="inlineStr">
        <is>
          <t>% of Total</t>
        </is>
      </c>
    </row>
    <row r="29">
      <c r="A29">
        <f>Calc!B2</f>
        <v/>
      </c>
      <c r="B29">
        <f>Calc!O2</f>
        <v/>
      </c>
      <c r="C29">
        <f>Calc!P2*100</f>
        <v/>
      </c>
    </row>
    <row r="30">
      <c r="A30">
        <f>Calc!B3</f>
        <v/>
      </c>
      <c r="B30">
        <f>Calc!O3</f>
        <v/>
      </c>
      <c r="C30">
        <f>Calc!P3*100</f>
        <v/>
      </c>
    </row>
    <row r="31">
      <c r="A31">
        <f>Calc!B5</f>
        <v/>
      </c>
      <c r="B31">
        <f>Calc!O5</f>
        <v/>
      </c>
      <c r="C31">
        <f>Calc!P5*100</f>
        <v/>
      </c>
    </row>
    <row r="32">
      <c r="A32">
        <f>Calc!B6</f>
        <v/>
      </c>
      <c r="B32">
        <f>Calc!O6</f>
        <v/>
      </c>
      <c r="C32">
        <f>Calc!P6*100</f>
        <v/>
      </c>
    </row>
    <row r="33">
      <c r="A33">
        <f>Calc!B8</f>
        <v/>
      </c>
      <c r="B33">
        <f>Calc!O8</f>
        <v/>
      </c>
      <c r="C33">
        <f>Calc!P8*100</f>
        <v/>
      </c>
    </row>
    <row r="34">
      <c r="A34">
        <f>Calc!B9</f>
        <v/>
      </c>
      <c r="B34">
        <f>Calc!O9</f>
        <v/>
      </c>
      <c r="C34">
        <f>Calc!P9*100</f>
        <v/>
      </c>
    </row>
    <row r="35">
      <c r="A35">
        <f>Calc!B10</f>
        <v/>
      </c>
      <c r="B35">
        <f>Calc!O10</f>
        <v/>
      </c>
      <c r="C35">
        <f>Calc!P10*100</f>
        <v/>
      </c>
    </row>
    <row r="36">
      <c r="A36">
        <f>Calc!B12</f>
        <v/>
      </c>
      <c r="B36">
        <f>Calc!O12</f>
        <v/>
      </c>
      <c r="C36">
        <f>Calc!P12*100</f>
        <v/>
      </c>
    </row>
    <row r="37">
      <c r="A37" s="9" t="inlineStr">
        <is>
          <t>Marginal DPS &amp; Stat Value (see Sensitivity for full detail)</t>
        </is>
      </c>
    </row>
    <row r="39">
      <c r="A39" s="5" t="inlineStr">
        <is>
          <t>Stat</t>
        </is>
      </c>
      <c r="B39" s="5" t="inlineStr">
        <is>
          <t>DPS per +1</t>
        </is>
      </c>
      <c r="C39" s="5" t="inlineStr">
        <is>
          <t>Units per +1% DPS</t>
        </is>
      </c>
    </row>
    <row r="40">
      <c r="A40">
        <f>Sensitivity!A5</f>
        <v/>
      </c>
      <c r="B40">
        <f>Sensitivity!H5</f>
        <v/>
      </c>
      <c r="C40">
        <f>Sensitivity!B5</f>
        <v/>
      </c>
    </row>
    <row r="41">
      <c r="A41">
        <f>Sensitivity!A6</f>
        <v/>
      </c>
      <c r="B41">
        <f>Sensitivity!H6</f>
        <v/>
      </c>
      <c r="C41">
        <f>Sensitivity!B6</f>
        <v/>
      </c>
    </row>
    <row r="42">
      <c r="A42">
        <f>Sensitivity!A7</f>
        <v/>
      </c>
      <c r="B42">
        <f>Sensitivity!H7</f>
        <v/>
      </c>
      <c r="C42">
        <f>Sensitivity!B7</f>
        <v/>
      </c>
    </row>
    <row r="43">
      <c r="A43">
        <f>Sensitivity!A8</f>
        <v/>
      </c>
      <c r="B43">
        <f>Sensitivity!H8</f>
        <v/>
      </c>
      <c r="C43">
        <f>Sensitivity!B8</f>
        <v/>
      </c>
    </row>
    <row r="44">
      <c r="A44">
        <f>Sensitivity!A9</f>
        <v/>
      </c>
      <c r="B44">
        <f>Sensitivity!H9</f>
        <v/>
      </c>
      <c r="C44">
        <f>Sensitivity!B9</f>
        <v/>
      </c>
    </row>
    <row r="45">
      <c r="A45">
        <f>Sensitivity!A10</f>
        <v/>
      </c>
      <c r="B45">
        <f>Sensitivity!H10</f>
        <v/>
      </c>
      <c r="C45">
        <f>Sensitivity!B10</f>
        <v/>
      </c>
    </row>
    <row r="46">
      <c r="A46">
        <f>Sensitivity!A11</f>
        <v/>
      </c>
      <c r="B46">
        <f>Sensitivity!H11</f>
        <v/>
      </c>
      <c r="C46">
        <f>Sensitivity!B11</f>
        <v/>
      </c>
    </row>
    <row r="47">
      <c r="A47">
        <f>Sensitivity!A12</f>
        <v/>
      </c>
      <c r="B47">
        <f>Sensitivity!H12</f>
        <v/>
      </c>
      <c r="C47">
        <f>Sensitivity!B12</f>
        <v/>
      </c>
    </row>
    <row r="48">
      <c r="A48">
        <f>Sensitivity!A13</f>
        <v/>
      </c>
      <c r="B48">
        <f>Sensitivity!H13</f>
        <v/>
      </c>
      <c r="C48">
        <f>Sensitivity!B13</f>
        <v/>
      </c>
    </row>
    <row r="49">
      <c r="A49">
        <f>Sensitivity!A14</f>
        <v/>
      </c>
      <c r="B49">
        <f>Sensitivity!H14</f>
        <v/>
      </c>
      <c r="C49">
        <f>Sensitivity!B14</f>
        <v/>
      </c>
    </row>
    <row r="50">
      <c r="A50">
        <f>Sensitivity!A15</f>
        <v/>
      </c>
      <c r="B50">
        <f>Sensitivity!H15</f>
        <v/>
      </c>
      <c r="C50">
        <f>Sensitivity!B15</f>
        <v/>
      </c>
    </row>
    <row r="51">
      <c r="A51">
        <f>Sensitivity!A16</f>
        <v/>
      </c>
      <c r="B51">
        <f>Sensitivity!H16</f>
        <v/>
      </c>
      <c r="C51">
        <f>Sensitivity!B16</f>
        <v/>
      </c>
    </row>
    <row r="52">
      <c r="A52">
        <f>Sensitivity!A17</f>
        <v/>
      </c>
      <c r="B52">
        <f>Sensitivity!H17</f>
        <v/>
      </c>
      <c r="C52">
        <f>Sensitivity!B17</f>
        <v/>
      </c>
    </row>
    <row r="53">
      <c r="A53">
        <f>Sensitivity!A18</f>
        <v/>
      </c>
      <c r="B53">
        <f>Sensitivity!H18</f>
        <v/>
      </c>
      <c r="C53">
        <f>Sensitivity!B18</f>
        <v/>
      </c>
    </row>
    <row r="54">
      <c r="A54">
        <f>Sensitivity!A19</f>
        <v/>
      </c>
      <c r="B54">
        <f>Sensitivity!H19</f>
        <v/>
      </c>
      <c r="C54">
        <f>Sensitivity!B19</f>
        <v/>
      </c>
    </row>
    <row r="55">
      <c r="A55">
        <f>Sensitivity!A20</f>
        <v/>
      </c>
      <c r="B55">
        <f>Sensitivity!H20</f>
        <v/>
      </c>
      <c r="C55">
        <f>Sensitivity!B20</f>
        <v/>
      </c>
    </row>
    <row r="56">
      <c r="A56">
        <f>Sensitivity!A21</f>
        <v/>
      </c>
      <c r="B56">
        <f>Sensitivity!H21</f>
        <v/>
      </c>
      <c r="C56">
        <f>Sensitivity!B21</f>
        <v/>
      </c>
    </row>
    <row r="57">
      <c r="A57">
        <f>Sensitivity!A22</f>
        <v/>
      </c>
      <c r="B57">
        <f>Sensitivity!H22</f>
        <v/>
      </c>
      <c r="C57">
        <f>Sensitivity!B22</f>
        <v/>
      </c>
    </row>
    <row r="58">
      <c r="A58">
        <f>Sensitivity!A23</f>
        <v/>
      </c>
      <c r="B58">
        <f>Sensitivity!H23</f>
        <v/>
      </c>
      <c r="C58">
        <f>Sensitivity!B23</f>
        <v/>
      </c>
    </row>
    <row r="59">
      <c r="A59">
        <f>Sensitivity!A24</f>
        <v/>
      </c>
      <c r="B59">
        <f>Sensitivity!H24</f>
        <v/>
      </c>
      <c r="C59">
        <f>Sensitivity!B24</f>
        <v/>
      </c>
    </row>
    <row r="60">
      <c r="A60">
        <f>Sensitivity!A25</f>
        <v/>
      </c>
      <c r="B60">
        <f>Sensitivity!H25</f>
        <v/>
      </c>
      <c r="C60">
        <f>Sensitivity!B25</f>
        <v/>
      </c>
    </row>
    <row r="61">
      <c r="A61">
        <f>Sensitivity!A26</f>
        <v/>
      </c>
      <c r="B61">
        <f>Sensitivity!H26</f>
        <v/>
      </c>
      <c r="C61">
        <f>Sensitivity!B26</f>
        <v/>
      </c>
    </row>
    <row r="62">
      <c r="A62">
        <f>Sensitivity!A27</f>
        <v/>
      </c>
      <c r="B62">
        <f>Sensitivity!H27</f>
        <v/>
      </c>
      <c r="C62">
        <f>Sensitivity!B27</f>
        <v/>
      </c>
    </row>
    <row r="63">
      <c r="A63">
        <f>Sensitivity!A28</f>
        <v/>
      </c>
      <c r="B63">
        <f>Sensitivity!H28</f>
        <v/>
      </c>
      <c r="C63">
        <f>Sensitivity!B28</f>
        <v/>
      </c>
    </row>
    <row r="64">
      <c r="A64">
        <f>Sensitivity!A29</f>
        <v/>
      </c>
      <c r="B64">
        <f>Sensitivity!H29</f>
        <v/>
      </c>
      <c r="C64">
        <f>Sensitivity!B29</f>
        <v/>
      </c>
    </row>
    <row r="65">
      <c r="A65">
        <f>Sensitivity!A30</f>
        <v/>
      </c>
      <c r="B65">
        <f>Sensitivity!H30</f>
        <v/>
      </c>
      <c r="C65">
        <f>Sensitivity!B30</f>
        <v/>
      </c>
    </row>
    <row r="66">
      <c r="A66" s="9" t="inlineStr">
        <is>
          <t>Artifact Equip-Toggle DPS Gain, best to worst (see Sensitivity for full detail)</t>
        </is>
      </c>
    </row>
    <row r="68">
      <c r="A68" s="5" t="inlineStr">
        <is>
          <t>Artifact</t>
        </is>
      </c>
      <c r="B68" s="5" t="inlineStr">
        <is>
          <t>DPS Gain</t>
        </is>
      </c>
      <c r="C68" s="5" t="inlineStr">
        <is>
          <t>% Gain</t>
        </is>
      </c>
    </row>
    <row r="69">
      <c r="A69">
        <f>Sensitivity!A33</f>
        <v/>
      </c>
      <c r="B69">
        <f>Sensitivity!B33</f>
        <v/>
      </c>
      <c r="C69">
        <f>Sensitivity!C33</f>
        <v/>
      </c>
    </row>
    <row r="70">
      <c r="A70">
        <f>Sensitivity!A34</f>
        <v/>
      </c>
      <c r="B70">
        <f>Sensitivity!B34</f>
        <v/>
      </c>
      <c r="C70">
        <f>Sensitivity!C34</f>
        <v/>
      </c>
    </row>
    <row r="71">
      <c r="A71">
        <f>Sensitivity!A35</f>
        <v/>
      </c>
      <c r="B71">
        <f>Sensitivity!B35</f>
        <v/>
      </c>
      <c r="C71">
        <f>Sensitivity!C35</f>
        <v/>
      </c>
    </row>
    <row r="72">
      <c r="A72">
        <f>Sensitivity!A36</f>
        <v/>
      </c>
      <c r="B72">
        <f>Sensitivity!B36</f>
        <v/>
      </c>
      <c r="C72">
        <f>Sensitivity!C36</f>
        <v/>
      </c>
    </row>
    <row r="73">
      <c r="A73">
        <f>Sensitivity!A37</f>
        <v/>
      </c>
      <c r="B73">
        <f>Sensitivity!B37</f>
        <v/>
      </c>
      <c r="C73">
        <f>Sensitivity!C37</f>
        <v/>
      </c>
    </row>
    <row r="74">
      <c r="A74">
        <f>Sensitivity!A38</f>
        <v/>
      </c>
      <c r="B74">
        <f>Sensitivity!B38</f>
        <v/>
      </c>
      <c r="C74">
        <f>Sensitivity!C38</f>
        <v/>
      </c>
    </row>
    <row r="75">
      <c r="A75">
        <f>Sensitivity!A39</f>
        <v/>
      </c>
      <c r="B75">
        <f>Sensitivity!B39</f>
        <v/>
      </c>
      <c r="C75">
        <f>Sensitivity!C39</f>
        <v/>
      </c>
    </row>
    <row r="76">
      <c r="A76">
        <f>Sensitivity!A40</f>
        <v/>
      </c>
      <c r="B76">
        <f>Sensitivity!B40</f>
        <v/>
      </c>
      <c r="C76">
        <f>Sensitivity!C40</f>
        <v/>
      </c>
    </row>
    <row r="77">
      <c r="A77">
        <f>Sensitivity!A41</f>
        <v/>
      </c>
      <c r="B77">
        <f>Sensitivity!B41</f>
        <v/>
      </c>
      <c r="C77">
        <f>Sensitivity!C41</f>
        <v/>
      </c>
    </row>
    <row r="78">
      <c r="A78">
        <f>Sensitivity!A42</f>
        <v/>
      </c>
      <c r="B78">
        <f>Sensitivity!B42</f>
        <v/>
      </c>
      <c r="C78">
        <f>Sensitivity!C42</f>
        <v/>
      </c>
    </row>
    <row r="79">
      <c r="A79">
        <f>Sensitivity!A43</f>
        <v/>
      </c>
      <c r="B79">
        <f>Sensitivity!B43</f>
        <v/>
      </c>
      <c r="C79">
        <f>Sensitivity!C43</f>
        <v/>
      </c>
    </row>
    <row r="80">
      <c r="A80">
        <f>Sensitivity!A44</f>
        <v/>
      </c>
      <c r="B80">
        <f>Sensitivity!B44</f>
        <v/>
      </c>
      <c r="C80">
        <f>Sensitivity!C44</f>
        <v/>
      </c>
    </row>
    <row r="81">
      <c r="A81">
        <f>Sensitivity!A45</f>
        <v/>
      </c>
      <c r="B81">
        <f>Sensitivity!B45</f>
        <v/>
      </c>
      <c r="C81">
        <f>Sensitivity!C45</f>
        <v/>
      </c>
    </row>
    <row r="82">
      <c r="A82">
        <f>Sensitivity!A46</f>
        <v/>
      </c>
      <c r="B82">
        <f>Sensitivity!B46</f>
        <v/>
      </c>
      <c r="C82">
        <f>Sensitivity!C46</f>
        <v/>
      </c>
    </row>
    <row r="83">
      <c r="A83">
        <f>Sensitivity!A47</f>
        <v/>
      </c>
      <c r="B83">
        <f>Sensitivity!B47</f>
        <v/>
      </c>
      <c r="C83">
        <f>Sensitivity!C47</f>
        <v/>
      </c>
    </row>
    <row r="84">
      <c r="A84">
        <f>Sensitivity!A48</f>
        <v/>
      </c>
      <c r="B84">
        <f>Sensitivity!B48</f>
        <v/>
      </c>
      <c r="C84">
        <f>Sensitivity!C48</f>
        <v/>
      </c>
    </row>
    <row r="85">
      <c r="A85">
        <f>Sensitivity!A49</f>
        <v/>
      </c>
      <c r="B85">
        <f>Sensitivity!B49</f>
        <v/>
      </c>
      <c r="C85">
        <f>Sensitivity!C49</f>
        <v/>
      </c>
    </row>
    <row r="86">
      <c r="A86">
        <f>Sensitivity!A50</f>
        <v/>
      </c>
      <c r="B86">
        <f>Sensitivity!B50</f>
        <v/>
      </c>
      <c r="C86">
        <f>Sensitivity!C50</f>
        <v/>
      </c>
    </row>
    <row r="87">
      <c r="A87">
        <f>Sensitivity!A51</f>
        <v/>
      </c>
      <c r="B87">
        <f>Sensitivity!B51</f>
        <v/>
      </c>
      <c r="C87">
        <f>Sensitivity!C51</f>
        <v/>
      </c>
    </row>
    <row r="88">
      <c r="A88">
        <f>Sensitivity!A52</f>
        <v/>
      </c>
      <c r="B88">
        <f>Sensitivity!B52</f>
        <v/>
      </c>
      <c r="C88">
        <f>Sensitivity!C52</f>
        <v/>
      </c>
    </row>
    <row r="89">
      <c r="A89">
        <f>Sensitivity!A53</f>
        <v/>
      </c>
      <c r="B89">
        <f>Sensitivity!B53</f>
        <v/>
      </c>
      <c r="C89">
        <f>Sensitivity!C53</f>
        <v/>
      </c>
    </row>
    <row r="90">
      <c r="A90">
        <f>Sensitivity!A54</f>
        <v/>
      </c>
      <c r="B90">
        <f>Sensitivity!B54</f>
        <v/>
      </c>
      <c r="C90">
        <f>Sensitivity!C54</f>
        <v/>
      </c>
    </row>
    <row r="91">
      <c r="A91">
        <f>Sensitivity!A55</f>
        <v/>
      </c>
      <c r="B91">
        <f>Sensitivity!B55</f>
        <v/>
      </c>
      <c r="C91">
        <f>Sensitivity!C55</f>
        <v/>
      </c>
    </row>
    <row r="92">
      <c r="A92">
        <f>Sensitivity!A56</f>
        <v/>
      </c>
      <c r="B92">
        <f>Sensitivity!B56</f>
        <v/>
      </c>
      <c r="C92">
        <f>Sensitivity!C56</f>
        <v/>
      </c>
    </row>
    <row r="93">
      <c r="A93">
        <f>Sensitivity!A57</f>
        <v/>
      </c>
      <c r="B93">
        <f>Sensitivity!B57</f>
        <v/>
      </c>
      <c r="C93">
        <f>Sensitivity!C57</f>
        <v/>
      </c>
    </row>
    <row r="94">
      <c r="A94">
        <f>Sensitivity!A58</f>
        <v/>
      </c>
      <c r="B94">
        <f>Sensitivity!B58</f>
        <v/>
      </c>
      <c r="C94">
        <f>Sensitivity!C58</f>
        <v/>
      </c>
    </row>
    <row r="95">
      <c r="A95">
        <f>Sensitivity!A59</f>
        <v/>
      </c>
      <c r="B95">
        <f>Sensitivity!B59</f>
        <v/>
      </c>
      <c r="C95">
        <f>Sensitivity!C59</f>
        <v/>
      </c>
    </row>
    <row r="96">
      <c r="A96">
        <f>Sensitivity!A60</f>
        <v/>
      </c>
      <c r="B96">
        <f>Sensitivity!B60</f>
        <v/>
      </c>
      <c r="C96">
        <f>Sensitivity!C60</f>
        <v/>
      </c>
    </row>
    <row r="97">
      <c r="A97">
        <f>Sensitivity!A61</f>
        <v/>
      </c>
      <c r="B97">
        <f>Sensitivity!B61</f>
        <v/>
      </c>
      <c r="C97">
        <f>Sensitivity!C61</f>
        <v/>
      </c>
    </row>
    <row r="98">
      <c r="A98">
        <f>Sensitivity!A62</f>
        <v/>
      </c>
      <c r="B98">
        <f>Sensitivity!B62</f>
        <v/>
      </c>
      <c r="C98">
        <f>Sensitivity!C62</f>
        <v/>
      </c>
    </row>
    <row r="99">
      <c r="A99">
        <f>Sensitivity!A63</f>
        <v/>
      </c>
      <c r="B99">
        <f>Sensitivity!B63</f>
        <v/>
      </c>
      <c r="C99">
        <f>Sensitivity!C63</f>
        <v/>
      </c>
    </row>
    <row r="100">
      <c r="A100">
        <f>Sensitivity!A64</f>
        <v/>
      </c>
      <c r="B100">
        <f>Sensitivity!B64</f>
        <v/>
      </c>
      <c r="C100">
        <f>Sensitivity!C64</f>
        <v/>
      </c>
    </row>
    <row r="101">
      <c r="A101">
        <f>Sensitivity!A65</f>
        <v/>
      </c>
      <c r="B101">
        <f>Sensitivity!B65</f>
        <v/>
      </c>
      <c r="C101">
        <f>Sensitivity!C65</f>
        <v/>
      </c>
    </row>
    <row r="102">
      <c r="A102">
        <f>Sensitivity!A66</f>
        <v/>
      </c>
      <c r="B102">
        <f>Sensitivity!B66</f>
        <v/>
      </c>
      <c r="C102">
        <f>Sensitivity!C66</f>
        <v/>
      </c>
    </row>
    <row r="103">
      <c r="A103">
        <f>Sensitivity!A67</f>
        <v/>
      </c>
      <c r="B103">
        <f>Sensitivity!B67</f>
        <v/>
      </c>
      <c r="C103">
        <f>Sensitivity!C67</f>
        <v/>
      </c>
    </row>
    <row r="104">
      <c r="A104">
        <f>Sensitivity!A68</f>
        <v/>
      </c>
      <c r="B104">
        <f>Sensitivity!B68</f>
        <v/>
      </c>
      <c r="C104">
        <f>Sensitivity!C68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466"/>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DEX</t>
        </is>
      </c>
      <c r="B5">
        <f>IFERROR(1/(I5-100),"n/a")</f>
        <v/>
      </c>
      <c r="C5" t="inlineStr">
        <is>
          <t>flat</t>
        </is>
      </c>
      <c r="D5">
        <f>Inputs!$B$12+0</f>
        <v/>
      </c>
      <c r="E5">
        <f>(Inputs!$B$12+1)+0</f>
        <v/>
      </c>
      <c r="F5">
        <f>Summary!$B$3</f>
        <v/>
      </c>
      <c r="G5">
        <f>B115</f>
        <v/>
      </c>
      <c r="H5">
        <f>Summary!$B$3*(((1-Summary!$B$11)*IFERROR(B113/Summary!$B$24,1)+Summary!$B$11*IFERROR(B114/Summary!$B$25,1))-1)</f>
        <v/>
      </c>
      <c r="I5">
        <f>((1-Summary!$B$11)*IFERROR(B113/Summary!$B$24,1)+Summary!$B$11*IFERROR(B114/Summary!$B$25,1))*100</f>
        <v/>
      </c>
    </row>
    <row r="6">
      <c r="A6" t="inlineStr">
        <is>
          <t>DEX %</t>
        </is>
      </c>
      <c r="B6">
        <f>IFERROR(1/(I6-100),"n/a")</f>
        <v/>
      </c>
      <c r="C6" t="inlineStr">
        <is>
          <t>pct</t>
        </is>
      </c>
      <c r="D6">
        <f>Inputs!$B$13+0</f>
        <v/>
      </c>
      <c r="E6">
        <f>(Inputs!$B$13+1)+0</f>
        <v/>
      </c>
      <c r="F6">
        <f>Summary!$B$3</f>
        <v/>
      </c>
      <c r="G6">
        <f>B162</f>
        <v/>
      </c>
      <c r="H6">
        <f>Summary!$B$3*(((1-Summary!$B$11)*IFERROR(B160/Summary!$B$24,1)+Summary!$B$11*IFERROR(B161/Summary!$B$25,1))-1)</f>
        <v/>
      </c>
      <c r="I6">
        <f>((1-Summary!$B$11)*IFERROR(B160/Summary!$B$24,1)+Summary!$B$11*IFERROR(B161/Summary!$B$25,1))*100</f>
        <v/>
      </c>
    </row>
    <row r="7">
      <c r="A7" t="inlineStr">
        <is>
          <t>STR</t>
        </is>
      </c>
      <c r="B7">
        <f>IFERROR(1/(I7-100),"n/a")</f>
        <v/>
      </c>
      <c r="C7" t="inlineStr">
        <is>
          <t>flat</t>
        </is>
      </c>
      <c r="D7">
        <f>Inputs!$B$14+0</f>
        <v/>
      </c>
      <c r="E7">
        <f>(Inputs!$B$14+1)+0</f>
        <v/>
      </c>
      <c r="F7">
        <f>Summary!$B$3</f>
        <v/>
      </c>
      <c r="G7">
        <f>B209</f>
        <v/>
      </c>
      <c r="H7">
        <f>Summary!$B$3*(((1-Summary!$B$11)*IFERROR(B207/Summary!$B$24,1)+Summary!$B$11*IFERROR(B208/Summary!$B$25,1))-1)</f>
        <v/>
      </c>
      <c r="I7">
        <f>((1-Summary!$B$11)*IFERROR(B207/Summary!$B$24,1)+Summary!$B$11*IFERROR(B208/Summary!$B$25,1))*100</f>
        <v/>
      </c>
    </row>
    <row r="8">
      <c r="A8" t="inlineStr">
        <is>
          <t>DAMAGE %</t>
        </is>
      </c>
      <c r="B8">
        <f>IFERROR(1/(I8-100),"n/a")</f>
        <v/>
      </c>
      <c r="C8" t="inlineStr">
        <is>
          <t>pct</t>
        </is>
      </c>
      <c r="D8">
        <f>Inputs!$B$15+0</f>
        <v/>
      </c>
      <c r="E8">
        <f>(Inputs!$B$15+1)+0</f>
        <v/>
      </c>
      <c r="F8">
        <f>Summary!$B$3</f>
        <v/>
      </c>
      <c r="G8">
        <f>B256</f>
        <v/>
      </c>
      <c r="H8">
        <f>Summary!$B$3*(((1-Summary!$B$11)*IFERROR(B254/Summary!$B$24,1)+Summary!$B$11*IFERROR(B255/Summary!$B$25,1))-1)</f>
        <v/>
      </c>
      <c r="I8">
        <f>((1-Summary!$B$11)*IFERROR(B254/Summary!$B$24,1)+Summary!$B$11*IFERROR(B255/Summary!$B$25,1))*100</f>
        <v/>
      </c>
    </row>
    <row r="9">
      <c r="A9" t="inlineStr">
        <is>
          <t>DAMAGE_AMP %</t>
        </is>
      </c>
      <c r="B9">
        <f>IFERROR(1/(I9-100),"n/a")</f>
        <v/>
      </c>
      <c r="C9" t="inlineStr">
        <is>
          <t>pct</t>
        </is>
      </c>
      <c r="D9">
        <f>Inputs!$B$16+0</f>
        <v/>
      </c>
      <c r="E9">
        <f>(Inputs!$B$16+1)+0</f>
        <v/>
      </c>
      <c r="F9">
        <f>Summary!$B$3</f>
        <v/>
      </c>
      <c r="G9">
        <f>B303</f>
        <v/>
      </c>
      <c r="H9">
        <f>Summary!$B$3*(((1-Summary!$B$11)*IFERROR(B301/Summary!$B$24,1)+Summary!$B$11*IFERROR(B302/Summary!$B$25,1))-1)</f>
        <v/>
      </c>
      <c r="I9">
        <f>((1-Summary!$B$11)*IFERROR(B301/Summary!$B$24,1)+Summary!$B$11*IFERROR(B302/Summary!$B$25,1))*100</f>
        <v/>
      </c>
    </row>
    <row r="10">
      <c r="A10" t="inlineStr">
        <is>
          <t>BOSS_DAMAGE %</t>
        </is>
      </c>
      <c r="B10">
        <f>IFERROR(1/(I10-100),"n/a")</f>
        <v/>
      </c>
      <c r="C10" t="inlineStr">
        <is>
          <t>pct</t>
        </is>
      </c>
      <c r="D10">
        <f>Inputs!$B$20+0</f>
        <v/>
      </c>
      <c r="E10">
        <f>(Inputs!$B$20+1)+0</f>
        <v/>
      </c>
      <c r="F10">
        <f>Summary!$B$3</f>
        <v/>
      </c>
      <c r="G10">
        <f>B350</f>
        <v/>
      </c>
      <c r="H10">
        <f>Summary!$B$3*(((1-Summary!$B$11)*IFERROR(B348/Summary!$B$24,1)+Summary!$B$11*IFERROR(B349/Summary!$B$25,1))-1)</f>
        <v/>
      </c>
      <c r="I10">
        <f>((1-Summary!$B$11)*IFERROR(B348/Summary!$B$24,1)+Summary!$B$11*IFERROR(B349/Summary!$B$25,1))*100</f>
        <v/>
      </c>
    </row>
    <row r="11">
      <c r="A11" t="inlineStr">
        <is>
          <t>NORMAL_DAMAGE %</t>
        </is>
      </c>
      <c r="B11">
        <f>IFERROR(1/(I11-100),"n/a")</f>
        <v/>
      </c>
      <c r="C11" t="inlineStr">
        <is>
          <t>pct</t>
        </is>
      </c>
      <c r="D11">
        <f>Inputs!$B$21+0</f>
        <v/>
      </c>
      <c r="E11">
        <f>(Inputs!$B$21+1)+0</f>
        <v/>
      </c>
      <c r="F11">
        <f>Summary!$B$3</f>
        <v/>
      </c>
      <c r="G11">
        <f>B397</f>
        <v/>
      </c>
      <c r="H11">
        <f>Summary!$B$3*(((1-Summary!$B$11)*IFERROR(B395/Summary!$B$24,1)+Summary!$B$11*IFERROR(B396/Summary!$B$25,1))-1)</f>
        <v/>
      </c>
      <c r="I11">
        <f>((1-Summary!$B$11)*IFERROR(B395/Summary!$B$24,1)+Summary!$B$11*IFERROR(B396/Summary!$B$25,1))*100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B444</f>
        <v/>
      </c>
      <c r="H12">
        <f>Summary!$B$3*(((1-Summary!$B$11)*IFERROR(B442/Summary!$B$24,1)+Summary!$B$11*IFERROR(B443/Summary!$B$25,1))-1)</f>
        <v/>
      </c>
      <c r="I12">
        <f>((1-Summary!$B$11)*IFERROR(B442/Summary!$B$24,1)+Summary!$B$11*IFERROR(B443/Summary!$B$25,1))*100</f>
        <v/>
      </c>
    </row>
    <row r="13">
      <c r="A13" t="inlineStr">
        <is>
          <t>MIN_DAMAGE %</t>
        </is>
      </c>
      <c r="B13">
        <f>IFERROR(1/(I13-100),"n/a")</f>
        <v/>
      </c>
      <c r="C13" t="inlineStr">
        <is>
          <t>pct</t>
        </is>
      </c>
      <c r="D13">
        <f>Inputs!$B$22+0</f>
        <v/>
      </c>
      <c r="E13">
        <f>(Inputs!$B$22+1)+0</f>
        <v/>
      </c>
      <c r="F13">
        <f>Summary!$B$3</f>
        <v/>
      </c>
      <c r="G13">
        <f>B491</f>
        <v/>
      </c>
      <c r="H13">
        <f>Summary!$B$3*(((1-Summary!$B$11)*IFERROR(B489/Summary!$B$24,1)+Summary!$B$11*IFERROR(B490/Summary!$B$25,1))-1)</f>
        <v/>
      </c>
      <c r="I13">
        <f>((1-Summary!$B$11)*IFERROR(B489/Summary!$B$24,1)+Summary!$B$11*IFERROR(B490/Summary!$B$25,1))*100</f>
        <v/>
      </c>
    </row>
    <row r="14">
      <c r="A14" t="inlineStr">
        <is>
          <t>MAX_DAMAGE %</t>
        </is>
      </c>
      <c r="B14">
        <f>IFERROR(1/(I14-100),"n/a")</f>
        <v/>
      </c>
      <c r="C14" t="inlineStr">
        <is>
          <t>pct</t>
        </is>
      </c>
      <c r="D14">
        <f>Inputs!$B$23+0</f>
        <v/>
      </c>
      <c r="E14">
        <f>(Inputs!$B$23+1)+0</f>
        <v/>
      </c>
      <c r="F14">
        <f>Summary!$B$3</f>
        <v/>
      </c>
      <c r="G14">
        <f>B538</f>
        <v/>
      </c>
      <c r="H14">
        <f>Summary!$B$3*(((1-Summary!$B$11)*IFERROR(B536/Summary!$B$24,1)+Summary!$B$11*IFERROR(B537/Summary!$B$25,1))-1)</f>
        <v/>
      </c>
      <c r="I14">
        <f>((1-Summary!$B$11)*IFERROR(B536/Summary!$B$24,1)+Summary!$B$11*IFERROR(B537/Summary!$B$25,1))*100</f>
        <v/>
      </c>
    </row>
    <row r="15">
      <c r="A15" t="inlineStr">
        <is>
          <t>CRIT_RATE %</t>
        </is>
      </c>
      <c r="B15">
        <f>IFERROR(1/(I15-100),"n/a")</f>
        <v/>
      </c>
      <c r="C15" t="inlineStr">
        <is>
          <t>pct</t>
        </is>
      </c>
      <c r="D15">
        <f>Inputs!$B$9+0</f>
        <v/>
      </c>
      <c r="E15">
        <f>(Inputs!$B$9+1)+0</f>
        <v/>
      </c>
      <c r="F15">
        <f>Summary!$B$3</f>
        <v/>
      </c>
      <c r="G15">
        <f>B585</f>
        <v/>
      </c>
      <c r="H15">
        <f>Summary!$B$3*(((1-Summary!$B$11)*IFERROR(B583/Summary!$B$24,1)+Summary!$B$11*IFERROR(B584/Summary!$B$25,1))-1)</f>
        <v/>
      </c>
      <c r="I15">
        <f>((1-Summary!$B$11)*IFERROR(B583/Summary!$B$24,1)+Summary!$B$11*IFERROR(B584/Summary!$B$25,1))*100</f>
        <v/>
      </c>
    </row>
    <row r="16">
      <c r="A16" t="inlineStr">
        <is>
          <t>CRIT_DAMAGE %</t>
        </is>
      </c>
      <c r="B16">
        <f>IFERROR(1/(I16-100),"n/a")</f>
        <v/>
      </c>
      <c r="C16" t="inlineStr">
        <is>
          <t>pct</t>
        </is>
      </c>
      <c r="D16">
        <f>Inputs!$B$10+0</f>
        <v/>
      </c>
      <c r="E16">
        <f>(Inputs!$B$10+1)+0</f>
        <v/>
      </c>
      <c r="F16">
        <f>Summary!$B$3</f>
        <v/>
      </c>
      <c r="G16">
        <f>B632</f>
        <v/>
      </c>
      <c r="H16">
        <f>Summary!$B$3*(((1-Summary!$B$11)*IFERROR(B630/Summary!$B$24,1)+Summary!$B$11*IFERROR(B631/Summary!$B$25,1))-1)</f>
        <v/>
      </c>
      <c r="I16">
        <f>((1-Summary!$B$11)*IFERROR(B630/Summary!$B$24,1)+Summary!$B$11*IFERROR(B631/Summary!$B$25,1))*100</f>
        <v/>
      </c>
    </row>
    <row r="17">
      <c r="A17" t="inlineStr">
        <is>
          <t>ATTACK_SPEED % (diminishing returns, factor 150)</t>
        </is>
      </c>
      <c r="B17">
        <f>IFERROR(1/(I17-100),"n/a")</f>
        <v/>
      </c>
      <c r="C17" t="inlineStr">
        <is>
          <t>dr150</t>
        </is>
      </c>
      <c r="D17">
        <f>Inputs!$B$11+0</f>
        <v/>
      </c>
      <c r="E17">
        <f>((1-(1-Inputs!$B$11/150)*(1-1/150))*150)+0</f>
        <v/>
      </c>
      <c r="F17">
        <f>Summary!$B$3</f>
        <v/>
      </c>
      <c r="G17">
        <f>B679</f>
        <v/>
      </c>
      <c r="H17">
        <f>Summary!$B$3*(((1-Summary!$B$11)*IFERROR(B677/Summary!$B$24,1)+Summary!$B$11*IFERROR(B678/Summary!$B$25,1))-1)</f>
        <v/>
      </c>
      <c r="I17">
        <f>((1-Summary!$B$11)*IFERROR(B677/Summary!$B$24,1)+Summary!$B$11*IFERROR(B678/Summary!$B$25,1))*100</f>
        <v/>
      </c>
    </row>
    <row r="18">
      <c r="A18" t="inlineStr">
        <is>
          <t>DEF_PEN % (diminishing returns, factor 100)</t>
        </is>
      </c>
      <c r="B18">
        <f>IFERROR(1/(I18-100),"n/a")</f>
        <v/>
      </c>
      <c r="C18" t="inlineStr">
        <is>
          <t>dr100</t>
        </is>
      </c>
      <c r="D18">
        <f>Inputs!$B$19+0</f>
        <v/>
      </c>
      <c r="E18">
        <f>((1-(1-Inputs!$B$19/100)*(1-1/100))*100)+0</f>
        <v/>
      </c>
      <c r="F18">
        <f>Summary!$B$3</f>
        <v/>
      </c>
      <c r="G18">
        <f>B726</f>
        <v/>
      </c>
      <c r="H18">
        <f>Summary!$B$3*(((1-Summary!$B$11)*IFERROR(B724/Summary!$B$24,1)+Summary!$B$11*IFERROR(B725/Summary!$B$25,1))-1)</f>
        <v/>
      </c>
      <c r="I18">
        <f>((1-Summary!$B$11)*IFERROR(B724/Summary!$B$24,1)+Summary!$B$11*IFERROR(B725/Summary!$B$25,1))*100</f>
        <v/>
      </c>
    </row>
    <row r="19">
      <c r="A19" t="inlineStr">
        <is>
          <t>BASIC_ATTACK_DAMAGE %</t>
        </is>
      </c>
      <c r="B19">
        <f>IFERROR(1/(I19-100),"n/a")</f>
        <v/>
      </c>
      <c r="C19" t="inlineStr">
        <is>
          <t>pct</t>
        </is>
      </c>
      <c r="D19">
        <f>Inputs!$B$17+0</f>
        <v/>
      </c>
      <c r="E19">
        <f>(Inputs!$B$17+1)+0</f>
        <v/>
      </c>
      <c r="F19">
        <f>Summary!$B$3</f>
        <v/>
      </c>
      <c r="G19">
        <f>B773</f>
        <v/>
      </c>
      <c r="H19">
        <f>Summary!$B$3*(((1-Summary!$B$11)*IFERROR(B771/Summary!$B$24,1)+Summary!$B$11*IFERROR(B772/Summary!$B$25,1))-1)</f>
        <v/>
      </c>
      <c r="I19">
        <f>((1-Summary!$B$11)*IFERROR(B771/Summary!$B$24,1)+Summary!$B$11*IFERROR(B772/Summary!$B$25,1))*100</f>
        <v/>
      </c>
    </row>
    <row r="20">
      <c r="A20" t="inlineStr">
        <is>
          <t>SKILL_DAMAGE %</t>
        </is>
      </c>
      <c r="B20">
        <f>IFERROR(1/(I20-100),"n/a")</f>
        <v/>
      </c>
      <c r="C20" t="inlineStr">
        <is>
          <t>pct</t>
        </is>
      </c>
      <c r="D20">
        <f>Inputs!$B$18+0</f>
        <v/>
      </c>
      <c r="E20">
        <f>(Inputs!$B$18+1)+0</f>
        <v/>
      </c>
      <c r="F20">
        <f>Summary!$B$3</f>
        <v/>
      </c>
      <c r="G20">
        <f>B820</f>
        <v/>
      </c>
      <c r="H20">
        <f>Summary!$B$3*(((1-Summary!$B$11)*IFERROR(B818/Summary!$B$24,1)+Summary!$B$11*IFERROR(B819/Summary!$B$25,1))-1)</f>
        <v/>
      </c>
      <c r="I20">
        <f>((1-Summary!$B$11)*IFERROR(B818/Summary!$B$24,1)+Summary!$B$11*IFERROR(B819/Summary!$B$25,1))*100</f>
        <v/>
      </c>
    </row>
    <row r="21">
      <c r="A21" t="inlineStr">
        <is>
          <t>Skill Level Bonus — 1st Job</t>
        </is>
      </c>
      <c r="B21">
        <f>IFERROR(1/(I21-100),"n/a")</f>
        <v/>
      </c>
      <c r="C21" t="inlineStr">
        <is>
          <t>level</t>
        </is>
      </c>
      <c r="D21">
        <f>Inputs!$B$25+0</f>
        <v/>
      </c>
      <c r="E21">
        <f>(Inputs!$B$25+1)+0</f>
        <v/>
      </c>
      <c r="F21">
        <f>Summary!$B$3</f>
        <v/>
      </c>
      <c r="G21">
        <f>B867</f>
        <v/>
      </c>
      <c r="H21">
        <f>Summary!$B$3*(((1-Summary!$B$11)*IFERROR(B865/Summary!$B$24,1)+Summary!$B$11*IFERROR(B866/Summary!$B$25,1))-1)</f>
        <v/>
      </c>
      <c r="I21">
        <f>((1-Summary!$B$11)*IFERROR(B865/Summary!$B$24,1)+Summary!$B$11*IFERROR(B866/Summary!$B$25,1))*100</f>
        <v/>
      </c>
    </row>
    <row r="22">
      <c r="A22" t="inlineStr">
        <is>
          <t>Skill Level Bonus — 2nd Job</t>
        </is>
      </c>
      <c r="B22">
        <f>IFERROR(1/(I22-100),"n/a")</f>
        <v/>
      </c>
      <c r="C22" t="inlineStr">
        <is>
          <t>level</t>
        </is>
      </c>
      <c r="D22">
        <f>Inputs!$B$26+0</f>
        <v/>
      </c>
      <c r="E22">
        <f>(Inputs!$B$26+1)+0</f>
        <v/>
      </c>
      <c r="F22">
        <f>Summary!$B$3</f>
        <v/>
      </c>
      <c r="G22">
        <f>B914</f>
        <v/>
      </c>
      <c r="H22">
        <f>Summary!$B$3*(((1-Summary!$B$11)*IFERROR(B912/Summary!$B$24,1)+Summary!$B$11*IFERROR(B913/Summary!$B$25,1))-1)</f>
        <v/>
      </c>
      <c r="I22">
        <f>((1-Summary!$B$11)*IFERROR(B912/Summary!$B$24,1)+Summary!$B$11*IFERROR(B913/Summary!$B$25,1))*100</f>
        <v/>
      </c>
    </row>
    <row r="23">
      <c r="A23" t="inlineStr">
        <is>
          <t>Skill Level Bonus — 3rd Job</t>
        </is>
      </c>
      <c r="B23">
        <f>IFERROR(1/(I23-100),"n/a")</f>
        <v/>
      </c>
      <c r="C23" t="inlineStr">
        <is>
          <t>level</t>
        </is>
      </c>
      <c r="D23">
        <f>Inputs!$B$27+0</f>
        <v/>
      </c>
      <c r="E23">
        <f>(Inputs!$B$27+1)+0</f>
        <v/>
      </c>
      <c r="F23">
        <f>Summary!$B$3</f>
        <v/>
      </c>
      <c r="G23">
        <f>B961</f>
        <v/>
      </c>
      <c r="H23">
        <f>Summary!$B$3*(((1-Summary!$B$11)*IFERROR(B959/Summary!$B$24,1)+Summary!$B$11*IFERROR(B960/Summary!$B$25,1))-1)</f>
        <v/>
      </c>
      <c r="I23">
        <f>((1-Summary!$B$11)*IFERROR(B959/Summary!$B$24,1)+Summary!$B$11*IFERROR(B960/Summary!$B$25,1))*100</f>
        <v/>
      </c>
    </row>
    <row r="24">
      <c r="A24" t="inlineStr">
        <is>
          <t>Skill Level Bonus — 4th Job</t>
        </is>
      </c>
      <c r="B24">
        <f>IFERROR(1/(I24-100),"n/a")</f>
        <v/>
      </c>
      <c r="C24" t="inlineStr">
        <is>
          <t>level</t>
        </is>
      </c>
      <c r="D24">
        <f>Inputs!$B$28+0</f>
        <v/>
      </c>
      <c r="E24">
        <f>(Inputs!$B$28+1)+0</f>
        <v/>
      </c>
      <c r="F24">
        <f>Summary!$B$3</f>
        <v/>
      </c>
      <c r="G24">
        <f>B1008</f>
        <v/>
      </c>
      <c r="H24">
        <f>Summary!$B$3*(((1-Summary!$B$11)*IFERROR(B1006/Summary!$B$24,1)+Summary!$B$11*IFERROR(B1007/Summary!$B$25,1))-1)</f>
        <v/>
      </c>
      <c r="I24">
        <f>((1-Summary!$B$11)*IFERROR(B1006/Summary!$B$24,1)+Summary!$B$11*IFERROR(B1007/Summary!$B$25,1))*100</f>
        <v/>
      </c>
    </row>
    <row r="25">
      <c r="A25" t="inlineStr">
        <is>
          <t>Skill Level Bonus — All Skills</t>
        </is>
      </c>
      <c r="B25">
        <f>IFERROR(1/(I25-100),"n/a")</f>
        <v/>
      </c>
      <c r="C25" t="inlineStr">
        <is>
          <t>level</t>
        </is>
      </c>
      <c r="D25">
        <f>Inputs!$B$29+0</f>
        <v/>
      </c>
      <c r="E25">
        <f>(Inputs!$B$29+1)+0</f>
        <v/>
      </c>
      <c r="F25">
        <f>Summary!$B$3</f>
        <v/>
      </c>
      <c r="G25">
        <f>B1055</f>
        <v/>
      </c>
      <c r="H25">
        <f>Summary!$B$3*(((1-Summary!$B$11)*IFERROR(B1053/Summary!$B$24,1)+Summary!$B$11*IFERROR(B1054/Summary!$B$25,1))-1)</f>
        <v/>
      </c>
      <c r="I25">
        <f>((1-Summary!$B$11)*IFERROR(B1053/Summary!$B$24,1)+Summary!$B$11*IFERROR(B1054/Summary!$B$25,1))*100</f>
        <v/>
      </c>
    </row>
    <row r="26">
      <c r="A26" t="inlineStr">
        <is>
          <t>Flat ATTACK</t>
        </is>
      </c>
      <c r="B26">
        <f>IFERROR(1/(I26-100),"n/a")</f>
        <v/>
      </c>
      <c r="C26" t="inlineStr">
        <is>
          <t>flat</t>
        </is>
      </c>
      <c r="D26">
        <f>Inputs!$B$6+0</f>
        <v/>
      </c>
      <c r="E26">
        <f>(Inputs!$B$6+1)+0</f>
        <v/>
      </c>
      <c r="F26">
        <f>Summary!$B$3</f>
        <v/>
      </c>
      <c r="G26">
        <f>B1102</f>
        <v/>
      </c>
      <c r="H26">
        <f>Summary!$B$3*(((1-Summary!$B$11)*IFERROR(B1100/Summary!$B$24,1)+Summary!$B$11*IFERROR(B1101/Summary!$B$25,1))-1)</f>
        <v/>
      </c>
      <c r="I26">
        <f>((1-Summary!$B$11)*IFERROR(B1100/Summary!$B$24,1)+Summary!$B$11*IFERROR(B1101/Summary!$B$25,1))*100</f>
        <v/>
      </c>
    </row>
    <row r="27">
      <c r="A27" t="inlineStr">
        <is>
          <t>ATTACK %</t>
        </is>
      </c>
      <c r="B27">
        <f>IFERROR(1/(I27-100),"n/a")</f>
        <v/>
      </c>
      <c r="C27" t="inlineStr">
        <is>
          <t>pct</t>
        </is>
      </c>
      <c r="D27">
        <f>Inputs!$B$7+0</f>
        <v/>
      </c>
      <c r="E27">
        <f>(Inputs!$B$7+1)+0</f>
        <v/>
      </c>
      <c r="F27">
        <f>Summary!$B$3</f>
        <v/>
      </c>
      <c r="G27">
        <f>B1149</f>
        <v/>
      </c>
      <c r="H27">
        <f>Summary!$B$3*(((1-Summary!$B$11)*IFERROR(B1147/Summary!$B$24,1)+Summary!$B$11*IFERROR(B1148/Summary!$B$25,1))-1)</f>
        <v/>
      </c>
      <c r="I27">
        <f>((1-Summary!$B$11)*IFERROR(B1147/Summary!$B$24,1)+Summary!$B$11*IFERROR(B1148/Summary!$B$25,1))*100</f>
        <v/>
      </c>
    </row>
    <row r="28">
      <c r="A28" t="inlineStr">
        <is>
          <t>Skill Cooldown Decrease (seconds)</t>
        </is>
      </c>
      <c r="B28">
        <f>IFERROR(1/(I28-100),"n/a")</f>
        <v/>
      </c>
      <c r="C28" t="inlineStr">
        <is>
          <t>flat</t>
        </is>
      </c>
      <c r="D28">
        <f>Inputs!$B$32+0</f>
        <v/>
      </c>
      <c r="E28">
        <f>(Inputs!$B$32+1)+0</f>
        <v/>
      </c>
      <c r="F28">
        <f>Summary!$B$3</f>
        <v/>
      </c>
      <c r="G28">
        <f>B1196</f>
        <v/>
      </c>
      <c r="H28">
        <f>Summary!$B$3*(((1-Summary!$B$11)*IFERROR(B1194/Summary!$B$24,1)+Summary!$B$11*IFERROR(B1195/Summary!$B$25,1))-1)</f>
        <v/>
      </c>
      <c r="I28">
        <f>((1-Summary!$B$11)*IFERROR(B1194/Summary!$B$24,1)+Summary!$B$11*IFERROR(B1195/Summary!$B$25,1))*100</f>
        <v/>
      </c>
    </row>
    <row r="29">
      <c r="A29" t="inlineStr">
        <is>
          <t>Basic Attack Target Increase (flat)</t>
        </is>
      </c>
      <c r="B29">
        <f>IFERROR(1/(I29-100),"n/a")</f>
        <v/>
      </c>
      <c r="C29" t="inlineStr">
        <is>
          <t>flat</t>
        </is>
      </c>
      <c r="D29">
        <f>Inputs!$B$33+0</f>
        <v/>
      </c>
      <c r="E29">
        <f>(Inputs!$B$33+1)+0</f>
        <v/>
      </c>
      <c r="F29">
        <f>Summary!$B$3</f>
        <v/>
      </c>
      <c r="G29">
        <f>B1243</f>
        <v/>
      </c>
      <c r="H29">
        <f>Summary!$B$3*(((1-Summary!$B$11)*IFERROR(B1241/Summary!$B$24,1)+Summary!$B$11*IFERROR(B1242/Summary!$B$25,1))-1)</f>
        <v/>
      </c>
      <c r="I29">
        <f>((1-Summary!$B$11)*IFERROR(B1241/Summary!$B$24,1)+Summary!$B$11*IFERROR(B1242/Summary!$B$25,1))*100</f>
        <v/>
      </c>
    </row>
    <row r="30">
      <c r="A30" t="inlineStr">
        <is>
          <t>Buff Duration Increase %</t>
        </is>
      </c>
      <c r="B30">
        <f>IFERROR(1/(I30-100),"n/a")</f>
        <v/>
      </c>
      <c r="C30" t="inlineStr">
        <is>
          <t>pct</t>
        </is>
      </c>
      <c r="D30">
        <f>Inputs!$B$34+0</f>
        <v/>
      </c>
      <c r="E30">
        <f>(Inputs!$B$34+1)+0</f>
        <v/>
      </c>
      <c r="F30">
        <f>Summary!$B$3</f>
        <v/>
      </c>
      <c r="G30">
        <f>B1290</f>
        <v/>
      </c>
      <c r="H30">
        <f>Summary!$B$3*(((1-Summary!$B$11)*IFERROR(B1288/Summary!$B$24,1)+Summary!$B$11*IFERROR(B1289/Summary!$B$25,1))-1)</f>
        <v/>
      </c>
      <c r="I30">
        <f>((1-Summary!$B$11)*IFERROR(B1288/Summary!$B$24,1)+Summary!$B$11*IFERROR(B1289/Summary!$B$25,1))*100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(IF(ArtifactsInput!$M$5,-1,1)*Summary!$B$3*(((1-Summary!$B$11)*IFERROR(B1335/Summary!$B$24,1)+Summary!$B$11*IFERROR(B1336/Summary!$B$25,1))-1)+ArtifactsInput!$L$5)</f>
        <v/>
      </c>
      <c r="AC33">
        <f>IF(ArtifactsInput!$M$5,Summary!$B$3/(Summary!$B$3-(IF(ArtifactsInput!$M$5,-1,1)*Summary!$B$3*(((1-Summary!$B$11)*IFERROR(B1335/Summary!$B$24,1)+Summary!$B$11*IFERROR(B1336/Summary!$B$25,1))-1)+ArtifactsInput!$L$5))*100,(Summary!$B$3+(IF(ArtifactsInput!$M$5,-1,1)*Summary!$B$3*(((1-Summary!$B$11)*IFERROR(B1335/Summary!$B$24,1)+Summary!$B$11*IFERROR(B1336/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(IF(ArtifactsInput!$M$6,-1,1)*Summary!$B$3*(((1-Summary!$B$11)*IFERROR(B1382/Summary!$B$24,1)+Summary!$B$11*IFERROR(B1383/Summary!$B$25,1))-1)+ArtifactsInput!$L$6)</f>
        <v/>
      </c>
      <c r="AC34">
        <f>IF(ArtifactsInput!$M$6,Summary!$B$3/(Summary!$B$3-(IF(ArtifactsInput!$M$6,-1,1)*Summary!$B$3*(((1-Summary!$B$11)*IFERROR(B1382/Summary!$B$24,1)+Summary!$B$11*IFERROR(B1383/Summary!$B$25,1))-1)+ArtifactsInput!$L$6))*100,(Summary!$B$3+(IF(ArtifactsInput!$M$6,-1,1)*Summary!$B$3*(((1-Summary!$B$11)*IFERROR(B1382/Summary!$B$24,1)+Summary!$B$11*IFERROR(B1383/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(IF(ArtifactsInput!$M$7,-1,1)*Summary!$B$3*(((1-Summary!$B$11)*IFERROR(B1429/Summary!$B$24,1)+Summary!$B$11*IFERROR(B1430/Summary!$B$25,1))-1)+ArtifactsInput!$L$7)</f>
        <v/>
      </c>
      <c r="AC35">
        <f>IF(ArtifactsInput!$M$7,Summary!$B$3/(Summary!$B$3-(IF(ArtifactsInput!$M$7,-1,1)*Summary!$B$3*(((1-Summary!$B$11)*IFERROR(B1429/Summary!$B$24,1)+Summary!$B$11*IFERROR(B1430/Summary!$B$25,1))-1)+ArtifactsInput!$L$7))*100,(Summary!$B$3+(IF(ArtifactsInput!$M$7,-1,1)*Summary!$B$3*(((1-Summary!$B$11)*IFERROR(B1429/Summary!$B$24,1)+Summary!$B$11*IFERROR(B1430/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(IF(ArtifactsInput!$M$8,-1,1)*Summary!$B$3*(((1-Summary!$B$11)*IFERROR(B1476/Summary!$B$24,1)+Summary!$B$11*IFERROR(B1477/Summary!$B$25,1))-1)+ArtifactsInput!$L$8)</f>
        <v/>
      </c>
      <c r="AC36">
        <f>IF(ArtifactsInput!$M$8,Summary!$B$3/(Summary!$B$3-(IF(ArtifactsInput!$M$8,-1,1)*Summary!$B$3*(((1-Summary!$B$11)*IFERROR(B1476/Summary!$B$24,1)+Summary!$B$11*IFERROR(B1477/Summary!$B$25,1))-1)+ArtifactsInput!$L$8))*100,(Summary!$B$3+(IF(ArtifactsInput!$M$8,-1,1)*Summary!$B$3*(((1-Summary!$B$11)*IFERROR(B1476/Summary!$B$24,1)+Summary!$B$11*IFERROR(B1477/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(IF(ArtifactsInput!$M$10,-1,1)*Summary!$B$3*(((1-Summary!$B$11)*IFERROR(B1523/Summary!$B$24,1)+Summary!$B$11*IFERROR(B1524/Summary!$B$25,1))-1)+ArtifactsInput!$L$10)</f>
        <v/>
      </c>
      <c r="AC37">
        <f>IF(ArtifactsInput!$M$10,Summary!$B$3/(Summary!$B$3-(IF(ArtifactsInput!$M$10,-1,1)*Summary!$B$3*(((1-Summary!$B$11)*IFERROR(B1523/Summary!$B$24,1)+Summary!$B$11*IFERROR(B1524/Summary!$B$25,1))-1)+ArtifactsInput!$L$10))*100,(Summary!$B$3+(IF(ArtifactsInput!$M$10,-1,1)*Summary!$B$3*(((1-Summary!$B$11)*IFERROR(B1523/Summary!$B$24,1)+Summary!$B$11*IFERROR(B1524/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(IF(ArtifactsInput!$M$11,-1,1)*Summary!$B$3*(((1-Summary!$B$11)*IFERROR(B1570/Summary!$B$24,1)+Summary!$B$11*IFERROR(B1571/Summary!$B$25,1))-1)+ArtifactsInput!$L$11)</f>
        <v/>
      </c>
      <c r="AC38">
        <f>IF(ArtifactsInput!$M$11,Summary!$B$3/(Summary!$B$3-(IF(ArtifactsInput!$M$11,-1,1)*Summary!$B$3*(((1-Summary!$B$11)*IFERROR(B1570/Summary!$B$24,1)+Summary!$B$11*IFERROR(B1571/Summary!$B$25,1))-1)+ArtifactsInput!$L$11))*100,(Summary!$B$3+(IF(ArtifactsInput!$M$11,-1,1)*Summary!$B$3*(((1-Summary!$B$11)*IFERROR(B1570/Summary!$B$24,1)+Summary!$B$11*IFERROR(B1571/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(IF(ArtifactsInput!$M$12,-1,1)*Summary!$B$3*(((1-Summary!$B$11)*IFERROR(B1617/Summary!$B$24,1)+Summary!$B$11*IFERROR(B1618/Summary!$B$25,1))-1)+ArtifactsInput!$L$12)</f>
        <v/>
      </c>
      <c r="AC39">
        <f>IF(ArtifactsInput!$M$12,Summary!$B$3/(Summary!$B$3-(IF(ArtifactsInput!$M$12,-1,1)*Summary!$B$3*(((1-Summary!$B$11)*IFERROR(B1617/Summary!$B$24,1)+Summary!$B$11*IFERROR(B1618/Summary!$B$25,1))-1)+ArtifactsInput!$L$12))*100,(Summary!$B$3+(IF(ArtifactsInput!$M$12,-1,1)*Summary!$B$3*(((1-Summary!$B$11)*IFERROR(B1617/Summary!$B$24,1)+Summary!$B$11*IFERROR(B1618/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(IF(ArtifactsInput!$M$13,-1,1)*Summary!$B$3*(((1-Summary!$B$11)*IFERROR(B1664/Summary!$B$24,1)+Summary!$B$11*IFERROR(B1665/Summary!$B$25,1))-1)+ArtifactsInput!$L$13)</f>
        <v/>
      </c>
      <c r="AC40">
        <f>IF(ArtifactsInput!$M$13,Summary!$B$3/(Summary!$B$3-(IF(ArtifactsInput!$M$13,-1,1)*Summary!$B$3*(((1-Summary!$B$11)*IFERROR(B1664/Summary!$B$24,1)+Summary!$B$11*IFERROR(B1665/Summary!$B$25,1))-1)+ArtifactsInput!$L$13))*100,(Summary!$B$3+(IF(ArtifactsInput!$M$13,-1,1)*Summary!$B$3*(((1-Summary!$B$11)*IFERROR(B1664/Summary!$B$24,1)+Summary!$B$11*IFERROR(B1665/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(IF(ArtifactsInput!$M$14,-1,1)*Summary!$B$3*(((1-Summary!$B$11)*IFERROR(B1711/Summary!$B$24,1)+Summary!$B$11*IFERROR(B1712/Summary!$B$25,1))-1)+ArtifactsInput!$L$14)</f>
        <v/>
      </c>
      <c r="AC41">
        <f>IF(ArtifactsInput!$M$14,Summary!$B$3/(Summary!$B$3-(IF(ArtifactsInput!$M$14,-1,1)*Summary!$B$3*(((1-Summary!$B$11)*IFERROR(B1711/Summary!$B$24,1)+Summary!$B$11*IFERROR(B1712/Summary!$B$25,1))-1)+ArtifactsInput!$L$14))*100,(Summary!$B$3+(IF(ArtifactsInput!$M$14,-1,1)*Summary!$B$3*(((1-Summary!$B$11)*IFERROR(B1711/Summary!$B$24,1)+Summary!$B$11*IFERROR(B1712/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(IF(ArtifactsInput!$M$15,-1,1)*Summary!$B$3*(((1-Summary!$B$11)*IFERROR(B1758/Summary!$B$24,1)+Summary!$B$11*IFERROR(B1759/Summary!$B$25,1))-1)+ArtifactsInput!$L$15)</f>
        <v/>
      </c>
      <c r="AC42">
        <f>IF(ArtifactsInput!$M$15,Summary!$B$3/(Summary!$B$3-(IF(ArtifactsInput!$M$15,-1,1)*Summary!$B$3*(((1-Summary!$B$11)*IFERROR(B1758/Summary!$B$24,1)+Summary!$B$11*IFERROR(B1759/Summary!$B$25,1))-1)+ArtifactsInput!$L$15))*100,(Summary!$B$3+(IF(ArtifactsInput!$M$15,-1,1)*Summary!$B$3*(((1-Summary!$B$11)*IFERROR(B1758/Summary!$B$24,1)+Summary!$B$11*IFERROR(B1759/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(IF(ArtifactsInput!$M$16,-1,1)*Summary!$B$3*(((1-Summary!$B$11)*IFERROR(B1805/Summary!$B$24,1)+Summary!$B$11*IFERROR(B1806/Summary!$B$25,1))-1)+ArtifactsInput!$L$16)</f>
        <v/>
      </c>
      <c r="AC43">
        <f>IF(ArtifactsInput!$M$16,Summary!$B$3/(Summary!$B$3-(IF(ArtifactsInput!$M$16,-1,1)*Summary!$B$3*(((1-Summary!$B$11)*IFERROR(B1805/Summary!$B$24,1)+Summary!$B$11*IFERROR(B1806/Summary!$B$25,1))-1)+ArtifactsInput!$L$16))*100,(Summary!$B$3+(IF(ArtifactsInput!$M$16,-1,1)*Summary!$B$3*(((1-Summary!$B$11)*IFERROR(B1805/Summary!$B$24,1)+Summary!$B$11*IFERROR(B1806/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(IF(ArtifactsInput!$M$17,-1,1)*Summary!$B$3*(((1-Summary!$B$11)*IFERROR(B1852/Summary!$B$24,1)+Summary!$B$11*IFERROR(B1853/Summary!$B$25,1))-1)+ArtifactsInput!$L$17)</f>
        <v/>
      </c>
      <c r="AC44">
        <f>IF(ArtifactsInput!$M$17,Summary!$B$3/(Summary!$B$3-(IF(ArtifactsInput!$M$17,-1,1)*Summary!$B$3*(((1-Summary!$B$11)*IFERROR(B1852/Summary!$B$24,1)+Summary!$B$11*IFERROR(B1853/Summary!$B$25,1))-1)+ArtifactsInput!$L$17))*100,(Summary!$B$3+(IF(ArtifactsInput!$M$17,-1,1)*Summary!$B$3*(((1-Summary!$B$11)*IFERROR(B1852/Summary!$B$24,1)+Summary!$B$11*IFERROR(B1853/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(IF(ArtifactsInput!$M$18,-1,1)*Summary!$B$3*(((1-Summary!$B$11)*IFERROR(B1899/Summary!$B$24,1)+Summary!$B$11*IFERROR(B1900/Summary!$B$25,1))-1)+ArtifactsInput!$L$18)</f>
        <v/>
      </c>
      <c r="AC45">
        <f>IF(ArtifactsInput!$M$18,Summary!$B$3/(Summary!$B$3-(IF(ArtifactsInput!$M$18,-1,1)*Summary!$B$3*(((1-Summary!$B$11)*IFERROR(B1899/Summary!$B$24,1)+Summary!$B$11*IFERROR(B1900/Summary!$B$25,1))-1)+ArtifactsInput!$L$18))*100,(Summary!$B$3+(IF(ArtifactsInput!$M$18,-1,1)*Summary!$B$3*(((1-Summary!$B$11)*IFERROR(B1899/Summary!$B$24,1)+Summary!$B$11*IFERROR(B1900/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(IF(ArtifactsInput!$M$20,-1,1)*Summary!$B$3*(((1-Summary!$B$11)*IFERROR(B1946/Summary!$B$24,1)+Summary!$B$11*IFERROR(B1947/Summary!$B$25,1))-1)+ArtifactsInput!$L$20)</f>
        <v/>
      </c>
      <c r="AC46">
        <f>IF(ArtifactsInput!$M$20,Summary!$B$3/(Summary!$B$3-(IF(ArtifactsInput!$M$20,-1,1)*Summary!$B$3*(((1-Summary!$B$11)*IFERROR(B1946/Summary!$B$24,1)+Summary!$B$11*IFERROR(B1947/Summary!$B$25,1))-1)+ArtifactsInput!$L$20))*100,(Summary!$B$3+(IF(ArtifactsInput!$M$20,-1,1)*Summary!$B$3*(((1-Summary!$B$11)*IFERROR(B1946/Summary!$B$24,1)+Summary!$B$11*IFERROR(B1947/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(IF(ArtifactsInput!$M$21,-1,1)*Summary!$B$3*(((1-Summary!$B$11)*IFERROR(B1993/Summary!$B$24,1)+Summary!$B$11*IFERROR(B1994/Summary!$B$25,1))-1)+ArtifactsInput!$L$21)</f>
        <v/>
      </c>
      <c r="AC47">
        <f>IF(ArtifactsInput!$M$21,Summary!$B$3/(Summary!$B$3-(IF(ArtifactsInput!$M$21,-1,1)*Summary!$B$3*(((1-Summary!$B$11)*IFERROR(B1993/Summary!$B$24,1)+Summary!$B$11*IFERROR(B1994/Summary!$B$25,1))-1)+ArtifactsInput!$L$21))*100,(Summary!$B$3+(IF(ArtifactsInput!$M$21,-1,1)*Summary!$B$3*(((1-Summary!$B$11)*IFERROR(B1993/Summary!$B$24,1)+Summary!$B$11*IFERROR(B1994/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(IF(ArtifactsInput!$M$22,-1,1)*Summary!$B$3*(((1-Summary!$B$11)*IFERROR(B2040/Summary!$B$24,1)+Summary!$B$11*IFERROR(B2041/Summary!$B$25,1))-1)+ArtifactsInput!$L$22)</f>
        <v/>
      </c>
      <c r="AC48">
        <f>IF(ArtifactsInput!$M$22,Summary!$B$3/(Summary!$B$3-(IF(ArtifactsInput!$M$22,-1,1)*Summary!$B$3*(((1-Summary!$B$11)*IFERROR(B2040/Summary!$B$24,1)+Summary!$B$11*IFERROR(B2041/Summary!$B$25,1))-1)+ArtifactsInput!$L$22))*100,(Summary!$B$3+(IF(ArtifactsInput!$M$22,-1,1)*Summary!$B$3*(((1-Summary!$B$11)*IFERROR(B2040/Summary!$B$24,1)+Summary!$B$11*IFERROR(B2041/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(IF(ArtifactsInput!$M$23,-1,1)*Summary!$B$3*(((1-Summary!$B$11)*IFERROR(B2087/Summary!$B$24,1)+Summary!$B$11*IFERROR(B2088/Summary!$B$25,1))-1)+ArtifactsInput!$L$23)</f>
        <v/>
      </c>
      <c r="AC49">
        <f>IF(ArtifactsInput!$M$23,Summary!$B$3/(Summary!$B$3-(IF(ArtifactsInput!$M$23,-1,1)*Summary!$B$3*(((1-Summary!$B$11)*IFERROR(B2087/Summary!$B$24,1)+Summary!$B$11*IFERROR(B2088/Summary!$B$25,1))-1)+ArtifactsInput!$L$23))*100,(Summary!$B$3+(IF(ArtifactsInput!$M$23,-1,1)*Summary!$B$3*(((1-Summary!$B$11)*IFERROR(B2087/Summary!$B$24,1)+Summary!$B$11*IFERROR(B2088/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(IF(ArtifactsInput!$M$24,-1,1)*Summary!$B$3*(((1-Summary!$B$11)*IFERROR(B2134/Summary!$B$24,1)+Summary!$B$11*IFERROR(B2135/Summary!$B$25,1))-1)+ArtifactsInput!$L$24)</f>
        <v/>
      </c>
      <c r="AC50">
        <f>IF(ArtifactsInput!$M$24,Summary!$B$3/(Summary!$B$3-(IF(ArtifactsInput!$M$24,-1,1)*Summary!$B$3*(((1-Summary!$B$11)*IFERROR(B2134/Summary!$B$24,1)+Summary!$B$11*IFERROR(B2135/Summary!$B$25,1))-1)+ArtifactsInput!$L$24))*100,(Summary!$B$3+(IF(ArtifactsInput!$M$24,-1,1)*Summary!$B$3*(((1-Summary!$B$11)*IFERROR(B2134/Summary!$B$24,1)+Summary!$B$11*IFERROR(B2135/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(IF(ArtifactsInput!$M$25,-1,1)*Summary!$B$3*(((1-Summary!$B$11)*IFERROR(B2181/Summary!$B$24,1)+Summary!$B$11*IFERROR(B2182/Summary!$B$25,1))-1)+ArtifactsInput!$L$25)</f>
        <v/>
      </c>
      <c r="AC51">
        <f>IF(ArtifactsInput!$M$25,Summary!$B$3/(Summary!$B$3-(IF(ArtifactsInput!$M$25,-1,1)*Summary!$B$3*(((1-Summary!$B$11)*IFERROR(B2181/Summary!$B$24,1)+Summary!$B$11*IFERROR(B2182/Summary!$B$25,1))-1)+ArtifactsInput!$L$25))*100,(Summary!$B$3+(IF(ArtifactsInput!$M$25,-1,1)*Summary!$B$3*(((1-Summary!$B$11)*IFERROR(B2181/Summary!$B$24,1)+Summary!$B$11*IFERROR(B2182/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(IF(ArtifactsInput!$M$26,-1,1)*Summary!$B$3*(((1-Summary!$B$11)*IFERROR(B2228/Summary!$B$24,1)+Summary!$B$11*IFERROR(B2229/Summary!$B$25,1))-1)+ArtifactsInput!$L$26)</f>
        <v/>
      </c>
      <c r="AC52">
        <f>IF(ArtifactsInput!$M$26,Summary!$B$3/(Summary!$B$3-(IF(ArtifactsInput!$M$26,-1,1)*Summary!$B$3*(((1-Summary!$B$11)*IFERROR(B2228/Summary!$B$24,1)+Summary!$B$11*IFERROR(B2229/Summary!$B$25,1))-1)+ArtifactsInput!$L$26))*100,(Summary!$B$3+(IF(ArtifactsInput!$M$26,-1,1)*Summary!$B$3*(((1-Summary!$B$11)*IFERROR(B2228/Summary!$B$24,1)+Summary!$B$11*IFERROR(B2229/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(IF(ArtifactsInput!$M$27,-1,1)*Summary!$B$3*(((1-Summary!$B$11)*IFERROR(B2275/Summary!$B$24,1)+Summary!$B$11*IFERROR(B2276/Summary!$B$25,1))-1)+ArtifactsInput!$L$27)</f>
        <v/>
      </c>
      <c r="AC53">
        <f>IF(ArtifactsInput!$M$27,Summary!$B$3/(Summary!$B$3-(IF(ArtifactsInput!$M$27,-1,1)*Summary!$B$3*(((1-Summary!$B$11)*IFERROR(B2275/Summary!$B$24,1)+Summary!$B$11*IFERROR(B2276/Summary!$B$25,1))-1)+ArtifactsInput!$L$27))*100,(Summary!$B$3+(IF(ArtifactsInput!$M$27,-1,1)*Summary!$B$3*(((1-Summary!$B$11)*IFERROR(B2275/Summary!$B$24,1)+Summary!$B$11*IFERROR(B2276/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(IF(ArtifactsInput!$M$28,-1,1)*Summary!$B$3*(((1-Summary!$B$11)*IFERROR(B2322/Summary!$B$24,1)+Summary!$B$11*IFERROR(B2323/Summary!$B$25,1))-1)+ArtifactsInput!$L$28)</f>
        <v/>
      </c>
      <c r="AC54">
        <f>IF(ArtifactsInput!$M$28,Summary!$B$3/(Summary!$B$3-(IF(ArtifactsInput!$M$28,-1,1)*Summary!$B$3*(((1-Summary!$B$11)*IFERROR(B2322/Summary!$B$24,1)+Summary!$B$11*IFERROR(B2323/Summary!$B$25,1))-1)+ArtifactsInput!$L$28))*100,(Summary!$B$3+(IF(ArtifactsInput!$M$28,-1,1)*Summary!$B$3*(((1-Summary!$B$11)*IFERROR(B2322/Summary!$B$24,1)+Summary!$B$11*IFERROR(B2323/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(IF(ArtifactsInput!$M$29,-1,1)*Summary!$B$3*(((1-Summary!$B$11)*IFERROR(B2369/Summary!$B$24,1)+Summary!$B$11*IFERROR(B2370/Summary!$B$25,1))-1)+ArtifactsInput!$L$29)</f>
        <v/>
      </c>
      <c r="AC55">
        <f>IF(ArtifactsInput!$M$29,Summary!$B$3/(Summary!$B$3-(IF(ArtifactsInput!$M$29,-1,1)*Summary!$B$3*(((1-Summary!$B$11)*IFERROR(B2369/Summary!$B$24,1)+Summary!$B$11*IFERROR(B2370/Summary!$B$25,1))-1)+ArtifactsInput!$L$29))*100,(Summary!$B$3+(IF(ArtifactsInput!$M$29,-1,1)*Summary!$B$3*(((1-Summary!$B$11)*IFERROR(B2369/Summary!$B$24,1)+Summary!$B$11*IFERROR(B2370/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(IF(ArtifactsInput!$M$30,-1,1)*Summary!$B$3*(((1-Summary!$B$11)*IFERROR(B2416/Summary!$B$24,1)+Summary!$B$11*IFERROR(B2417/Summary!$B$25,1))-1)+ArtifactsInput!$L$30)</f>
        <v/>
      </c>
      <c r="AC56">
        <f>IF(ArtifactsInput!$M$30,Summary!$B$3/(Summary!$B$3-(IF(ArtifactsInput!$M$30,-1,1)*Summary!$B$3*(((1-Summary!$B$11)*IFERROR(B2416/Summary!$B$24,1)+Summary!$B$11*IFERROR(B2417/Summary!$B$25,1))-1)+ArtifactsInput!$L$30))*100,(Summary!$B$3+(IF(ArtifactsInput!$M$30,-1,1)*Summary!$B$3*(((1-Summary!$B$11)*IFERROR(B2416/Summary!$B$24,1)+Summary!$B$11*IFERROR(B2417/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(IF(ArtifactsInput!$M$31,-1,1)*Summary!$B$3*(((1-Summary!$B$11)*IFERROR(B2463/Summary!$B$24,1)+Summary!$B$11*IFERROR(B2464/Summary!$B$25,1))-1)+ArtifactsInput!$L$31)</f>
        <v/>
      </c>
      <c r="AC57">
        <f>IF(ArtifactsInput!$M$31,Summary!$B$3/(Summary!$B$3-(IF(ArtifactsInput!$M$31,-1,1)*Summary!$B$3*(((1-Summary!$B$11)*IFERROR(B2463/Summary!$B$24,1)+Summary!$B$11*IFERROR(B2464/Summary!$B$25,1))-1)+ArtifactsInput!$L$31))*100,(Summary!$B$3+(IF(ArtifactsInput!$M$31,-1,1)*Summary!$B$3*(((1-Summary!$B$11)*IFERROR(B2463/Summary!$B$24,1)+Summary!$B$11*IFERROR(B2464/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(IF(ArtifactsInput!$M$32,-1,1)*Summary!$B$3*(((1-Summary!$B$11)*IFERROR(B2510/Summary!$B$24,1)+Summary!$B$11*IFERROR(B2511/Summary!$B$25,1))-1)+ArtifactsInput!$L$32)</f>
        <v/>
      </c>
      <c r="AC58">
        <f>IF(ArtifactsInput!$M$32,Summary!$B$3/(Summary!$B$3-(IF(ArtifactsInput!$M$32,-1,1)*Summary!$B$3*(((1-Summary!$B$11)*IFERROR(B2510/Summary!$B$24,1)+Summary!$B$11*IFERROR(B2511/Summary!$B$25,1))-1)+ArtifactsInput!$L$32))*100,(Summary!$B$3+(IF(ArtifactsInput!$M$32,-1,1)*Summary!$B$3*(((1-Summary!$B$11)*IFERROR(B2510/Summary!$B$24,1)+Summary!$B$11*IFERROR(B2511/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(IF(ArtifactsInput!$M$33,-1,1)*Summary!$B$3*(((1-Summary!$B$11)*IFERROR(B2557/Summary!$B$24,1)+Summary!$B$11*IFERROR(B2558/Summary!$B$25,1))-1)+ArtifactsInput!$L$33)</f>
        <v/>
      </c>
      <c r="AC59">
        <f>IF(ArtifactsInput!$M$33,Summary!$B$3/(Summary!$B$3-(IF(ArtifactsInput!$M$33,-1,1)*Summary!$B$3*(((1-Summary!$B$11)*IFERROR(B2557/Summary!$B$24,1)+Summary!$B$11*IFERROR(B2558/Summary!$B$25,1))-1)+ArtifactsInput!$L$33))*100,(Summary!$B$3+(IF(ArtifactsInput!$M$33,-1,1)*Summary!$B$3*(((1-Summary!$B$11)*IFERROR(B2557/Summary!$B$24,1)+Summary!$B$11*IFERROR(B2558/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(IF(ArtifactsInput!$M$34,-1,1)*Summary!$B$3*(((1-Summary!$B$11)*IFERROR(B2604/Summary!$B$24,1)+Summary!$B$11*IFERROR(B2605/Summary!$B$25,1))-1)+ArtifactsInput!$L$34)</f>
        <v/>
      </c>
      <c r="AC60">
        <f>IF(ArtifactsInput!$M$34,Summary!$B$3/(Summary!$B$3-(IF(ArtifactsInput!$M$34,-1,1)*Summary!$B$3*(((1-Summary!$B$11)*IFERROR(B2604/Summary!$B$24,1)+Summary!$B$11*IFERROR(B2605/Summary!$B$25,1))-1)+ArtifactsInput!$L$34))*100,(Summary!$B$3+(IF(ArtifactsInput!$M$34,-1,1)*Summary!$B$3*(((1-Summary!$B$11)*IFERROR(B2604/Summary!$B$24,1)+Summary!$B$11*IFERROR(B2605/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(IF(ArtifactsInput!$M$35,-1,1)*Summary!$B$3*(((1-Summary!$B$11)*IFERROR(B2651/Summary!$B$24,1)+Summary!$B$11*IFERROR(B2652/Summary!$B$25,1))-1)+ArtifactsInput!$L$35)</f>
        <v/>
      </c>
      <c r="AC61">
        <f>IF(ArtifactsInput!$M$35,Summary!$B$3/(Summary!$B$3-(IF(ArtifactsInput!$M$35,-1,1)*Summary!$B$3*(((1-Summary!$B$11)*IFERROR(B2651/Summary!$B$24,1)+Summary!$B$11*IFERROR(B2652/Summary!$B$25,1))-1)+ArtifactsInput!$L$35))*100,(Summary!$B$3+(IF(ArtifactsInput!$M$35,-1,1)*Summary!$B$3*(((1-Summary!$B$11)*IFERROR(B2651/Summary!$B$24,1)+Summary!$B$11*IFERROR(B2652/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(IF(ArtifactsInput!$M$36,-1,1)*Summary!$B$3*(((1-Summary!$B$11)*IFERROR(B2698/Summary!$B$24,1)+Summary!$B$11*IFERROR(B2699/Summary!$B$25,1))-1)+ArtifactsInput!$L$36)</f>
        <v/>
      </c>
      <c r="AC62">
        <f>IF(ArtifactsInput!$M$36,Summary!$B$3/(Summary!$B$3-(IF(ArtifactsInput!$M$36,-1,1)*Summary!$B$3*(((1-Summary!$B$11)*IFERROR(B2698/Summary!$B$24,1)+Summary!$B$11*IFERROR(B2699/Summary!$B$25,1))-1)+ArtifactsInput!$L$36))*100,(Summary!$B$3+(IF(ArtifactsInput!$M$36,-1,1)*Summary!$B$3*(((1-Summary!$B$11)*IFERROR(B2698/Summary!$B$24,1)+Summary!$B$11*IFERROR(B2699/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(IF(ArtifactsInput!$M$37,-1,1)*Summary!$B$3*(((1-Summary!$B$11)*IFERROR(B2745/Summary!$B$24,1)+Summary!$B$11*IFERROR(B2746/Summary!$B$25,1))-1)+ArtifactsInput!$L$37)</f>
        <v/>
      </c>
      <c r="AC63">
        <f>IF(ArtifactsInput!$M$37,Summary!$B$3/(Summary!$B$3-(IF(ArtifactsInput!$M$37,-1,1)*Summary!$B$3*(((1-Summary!$B$11)*IFERROR(B2745/Summary!$B$24,1)+Summary!$B$11*IFERROR(B2746/Summary!$B$25,1))-1)+ArtifactsInput!$L$37))*100,(Summary!$B$3+(IF(ArtifactsInput!$M$37,-1,1)*Summary!$B$3*(((1-Summary!$B$11)*IFERROR(B2745/Summary!$B$24,1)+Summary!$B$11*IFERROR(B2746/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(IF(ArtifactsInput!$M$38,-1,1)*Summary!$B$3*(((1-Summary!$B$11)*IFERROR(B2792/Summary!$B$24,1)+Summary!$B$11*IFERROR(B2793/Summary!$B$25,1))-1)+ArtifactsInput!$L$38)</f>
        <v/>
      </c>
      <c r="AC64">
        <f>IF(ArtifactsInput!$M$38,Summary!$B$3/(Summary!$B$3-(IF(ArtifactsInput!$M$38,-1,1)*Summary!$B$3*(((1-Summary!$B$11)*IFERROR(B2792/Summary!$B$24,1)+Summary!$B$11*IFERROR(B2793/Summary!$B$25,1))-1)+ArtifactsInput!$L$38))*100,(Summary!$B$3+(IF(ArtifactsInput!$M$38,-1,1)*Summary!$B$3*(((1-Summary!$B$11)*IFERROR(B2792/Summary!$B$24,1)+Summary!$B$11*IFERROR(B2793/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(IF(ArtifactsInput!$M$39,-1,1)*Summary!$B$3*(((1-Summary!$B$11)*IFERROR(B2839/Summary!$B$24,1)+Summary!$B$11*IFERROR(B2840/Summary!$B$25,1))-1)+ArtifactsInput!$L$39)</f>
        <v/>
      </c>
      <c r="AC65">
        <f>IF(ArtifactsInput!$M$39,Summary!$B$3/(Summary!$B$3-(IF(ArtifactsInput!$M$39,-1,1)*Summary!$B$3*(((1-Summary!$B$11)*IFERROR(B2839/Summary!$B$24,1)+Summary!$B$11*IFERROR(B2840/Summary!$B$25,1))-1)+ArtifactsInput!$L$39))*100,(Summary!$B$3+(IF(ArtifactsInput!$M$39,-1,1)*Summary!$B$3*(((1-Summary!$B$11)*IFERROR(B2839/Summary!$B$24,1)+Summary!$B$11*IFERROR(B2840/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(IF(ArtifactsInput!$M$40,-1,1)*Summary!$B$3*(((1-Summary!$B$11)*IFERROR(B2886/Summary!$B$24,1)+Summary!$B$11*IFERROR(B2887/Summary!$B$25,1))-1)+ArtifactsInput!$L$40)</f>
        <v/>
      </c>
      <c r="AC66">
        <f>IF(ArtifactsInput!$M$40,Summary!$B$3/(Summary!$B$3-(IF(ArtifactsInput!$M$40,-1,1)*Summary!$B$3*(((1-Summary!$B$11)*IFERROR(B2886/Summary!$B$24,1)+Summary!$B$11*IFERROR(B2887/Summary!$B$25,1))-1)+ArtifactsInput!$L$40))*100,(Summary!$B$3+(IF(ArtifactsInput!$M$40,-1,1)*Summary!$B$3*(((1-Summary!$B$11)*IFERROR(B2886/Summary!$B$24,1)+Summary!$B$11*IFERROR(B2887/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(IF(ArtifactsInput!$M$41,-1,1)*Summary!$B$3*(((1-Summary!$B$11)*IFERROR(B2933/Summary!$B$24,1)+Summary!$B$11*IFERROR(B2934/Summary!$B$25,1))-1)+ArtifactsInput!$L$41)</f>
        <v/>
      </c>
      <c r="AC67">
        <f>IF(ArtifactsInput!$M$41,Summary!$B$3/(Summary!$B$3-(IF(ArtifactsInput!$M$41,-1,1)*Summary!$B$3*(((1-Summary!$B$11)*IFERROR(B2933/Summary!$B$24,1)+Summary!$B$11*IFERROR(B2934/Summary!$B$25,1))-1)+ArtifactsInput!$L$41))*100,(Summary!$B$3+(IF(ArtifactsInput!$M$41,-1,1)*Summary!$B$3*(((1-Summary!$B$11)*IFERROR(B2933/Summary!$B$24,1)+Summary!$B$11*IFERROR(B2934/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(IF(ArtifactsInput!$M$42,-1,1)*Summary!$B$3*(((1-Summary!$B$11)*IFERROR(B2980/Summary!$B$24,1)+Summary!$B$11*IFERROR(B2981/Summary!$B$25,1))-1)+ArtifactsInput!$L$42)</f>
        <v/>
      </c>
      <c r="AC68">
        <f>IF(ArtifactsInput!$M$42,Summary!$B$3/(Summary!$B$3-(IF(ArtifactsInput!$M$42,-1,1)*Summary!$B$3*(((1-Summary!$B$11)*IFERROR(B2980/Summary!$B$24,1)+Summary!$B$11*IFERROR(B2981/Summary!$B$25,1))-1)+ArtifactsInput!$L$42))*100,(Summary!$B$3+(IF(ArtifactsInput!$M$42,-1,1)*Summary!$B$3*(((1-Summary!$B$11)*IFERROR(B2980/Summary!$B$24,1)+Summary!$B$11*IFERROR(B2981/Summary!$B$25,1))-1)+ArtifactsInput!$L$42))/Summary!$B$3*100)</f>
        <v/>
      </c>
      <c r="AD68">
        <f>ArtifactsInput!$B$42&lt;&gt;"Not Unlocked"</f>
        <v/>
      </c>
      <c r="AE68">
        <f>IF(AD68,SUMPRODUCT(($AD$33:$AD$68)*($AC$33:$AC$68&gt;AC68))+COUNTIFS($AD$33:AD68,TRUE,$AC$33:AC68,AC68),"")</f>
        <v/>
      </c>
    </row>
    <row r="71">
      <c r="A71" s="6" t="inlineStr">
        <is>
          <t>Stat: Flat DEX</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Skills!G2*IF(Skills!H2&gt;0,Skills!I2/Skills!H2,1)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C96=TRUE)*(F96-Calc!F25)),(Inputs!$B$23+((C101=TRUE)*(F101-Calc!F30))+(IF(ArtifactsInput!$M$15,CHOOSE(ArtifactsInput!$N$15+1,25,30,35,40,45,50)/100*(Inputs!$B$11-Inputs!$B$11),0))))/100+(Inputs!$B$23+((C101=TRUE)*(F101-Calc!F30))+(IF(ArtifactsInput!$M$15,CHOOSE(ArtifactsInput!$N$15+1,25,30,35,40,45,50)/100*(Inputs!$B$11-Inputs!$B$11),0)))/100)/2</f>
        <v/>
      </c>
      <c r="M73">
        <f>L73*(1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IF(B115=0,0,O73/B115)</f>
        <v/>
      </c>
      <c r="Q73" t="n">
        <v>0</v>
      </c>
      <c r="R73" t="n">
        <v>0</v>
      </c>
      <c r="S73">
        <f>IFERROR(O73/N73,0)</f>
        <v/>
      </c>
      <c r="T73">
        <f>IF(C73,(Skills!G2*N73*B109)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73*(1-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IF(C73,(Skills!G2*N73*B109)*IF(Inputs!$B$38="pvp",1,(1+(Inputs!$B$21+Skills!Q2+(IF(ArtifactsInput!$M$33,CHOOSE(ArtifactsInput!$N$33+1,30,36,42,48,54,60),0))+(IF(AND(ArtifactsInput!$M$35,Inputs!$B$4&lt;&gt;"Chapter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Inputs!$B$3&gt;=50</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f>Skills!G3*IF(Skills!H3&gt;0,Skills!I3/Skills!H3,1)</f>
        <v/>
      </c>
      <c r="H74">
        <f>1-(1-Skills!J3/100)^Skills!K3</f>
        <v/>
      </c>
      <c r="I74" t="inlineStr">
        <is>
          <t>1</t>
        </is>
      </c>
      <c r="J74">
        <f>((Inputs!$B$6*(1+Inputs!$B$7/100))+((((Inputs!$B$12+1)*(1+Inputs!$B$13/100))-(Inputs!$B$12*(1+Inputs!$B$13/100)))+0.25*(Inputs!$B$14-Inputs!$B$14))*(1+Inputs!$B$7/100))*(F74/100)</f>
        <v/>
      </c>
      <c r="K74">
        <f>J74*(1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75=TRUE,F75,0)/100)*(1+(IF(Skills!A3="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f>
        <v/>
      </c>
      <c r="L74">
        <f>K74*(MIN(Inputs!$B$22+((C96=TRUE)*(F96-Calc!F25)),(Inputs!$B$23+((C101=TRUE)*(F101-Calc!F30))+(IF(ArtifactsInput!$M$15,CHOOSE(ArtifactsInput!$N$15+1,25,30,35,40,45,50)/100*(Inputs!$B$11-Inputs!$B$11),0))))/100+(Inputs!$B$23+((C101=TRUE)*(F101-Calc!F30))+(IF(ArtifactsInput!$M$15,CHOOSE(ArtifactsInput!$N$15+1,25,30,35,40,45,50)/100*(Inputs!$B$11-Inputs!$B$11),0)))/100)/2</f>
        <v/>
      </c>
      <c r="M74">
        <f>L74*(1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
        <f>L74*(1-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
        <f>(1-Summary!$B$11)*T74+Summary!$B$11*V74</f>
        <v/>
      </c>
      <c r="P74">
        <f>IF(B115=0,0,O74/B115)</f>
        <v/>
      </c>
      <c r="Q74">
        <f>IFERROR(1/(IF(Inputs!$B$38="pvp",15,MAX(0.1,Skills!D3-IF(Skills!E3=TRUE,Inputs!$B$32,0)))*(1-IF(AND(ArtifactsInput!$M$27,Inputs!$B$4="Chapter Hunt"),CHOOSE(ArtifactsInput!$N$27+1,20,24,28,32,36,40),0)/100)),0)</f>
        <v/>
      </c>
      <c r="R74">
        <f>IF(AND(Inputs!$B$38&lt;&gt;"pvp",Inputs!$B$43&gt;0),IF(MAX(0,Inputs!$B$43-B112)&lt;=0,0,(INT(MAX(0,Inputs!$B$43-B112)/(IF(Inputs!$B$38="pvp",15,MAX(0.1,Skills!D3-IF(Skills!E3=TRUE,Inputs!$B$32,0)))*(1-IF(AND(ArtifactsInput!$M$27,Inputs!$B$4="Chapter Hunt"),CHOOSE(ArtifactsInput!$N$27+1,20,24,28,32,36,40),0)/100)))+1)),0)</f>
        <v/>
      </c>
      <c r="S74">
        <f>IFERROR(O74/N74,0)</f>
        <v/>
      </c>
      <c r="T74">
        <f>IF(C74,(H74*N74*IF(AND(Inputs!$B$38&lt;&gt;"pvp",Inputs!$B$43&gt;0),((Skills!G3*((R74-1)*IF(Skills!H3&gt;0,Skills!I3/Skills!H3,1)+IF(Skills!H3&gt;0,MIN(Skills!I3,MAX(0,MAX(0,Inputs!$B$43-B112)-((R74-1)*(IF(Inputs!$B$38="pvp",15,MAX(0.1,Skills!D3-IF(Skills!E3=TRUE,Inputs!$B$32,0)))*(1-IF(AND(ArtifactsInput!$M$27,Inputs!$B$4="Chapter Hunt"),CHOOSE(ArtifactsInput!$N$27+1,20,24,28,32,36,40),0)/100)))))/Skills!H3,1)))/Inputs!$B$43),G74*Q74)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74*(1-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
        <f>INDEX(FactorTable!$B$2:$Y$301, MATCH(ROUND(MIN(300,MAX(1,U73)),0), FactorTable!$A$2:$A$301,0), 22)</f>
        <v/>
      </c>
      <c r="V74">
        <f>IF(C74,(H74*N74*IF(AND(Inputs!$B$38&lt;&gt;"pvp",Inputs!$B$43&gt;0),((Skills!G3*((R74-1)*IF(Skills!H3&gt;0,Skills!I3/Skills!H3,1)+IF(Skills!H3&gt;0,MIN(Skills!I3,MAX(0,MAX(0,Inputs!$B$43-B112)-((R74-1)*(IF(Inputs!$B$38="pvp",15,MAX(0.1,Skills!D3-IF(Skills!E3=TRUE,Inputs!$B$32,0)))*(1-IF(AND(ArtifactsInput!$M$27,Inputs!$B$4="Chapter Hunt"),CHOOSE(ArtifactsInput!$N$27+1,20,24,28,32,36,40),0)/100)))))/Skills!H3,1)))/Inputs!$B$43),G74*Q74))*IF(Inputs!$B$38="pvp",1,(1+(Inputs!$B$21+Skills!Q3+(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
      <c r="A75">
        <f>Skills!A4</f>
        <v/>
      </c>
      <c r="B75">
        <f>Skills!B4</f>
        <v/>
      </c>
      <c r="C75">
        <f>Inputs!$B$3&gt;=105</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t="inlineStr"/>
      <c r="H75" t="inlineStr"/>
      <c r="I75" t="inlineStr">
        <is>
          <t>1</t>
        </is>
      </c>
      <c r="J75" t="inlineStr"/>
      <c r="K75" t="inlineStr"/>
      <c r="L75" t="inlineStr"/>
      <c r="M75" t="inlineStr"/>
      <c r="N75" t="inlineStr"/>
      <c r="O75" t="inlineStr"/>
      <c r="P75" t="inlineStr"/>
      <c r="Q75" t="inlineStr"/>
      <c r="R75" t="inlineStr"/>
      <c r="S75" t="inlineStr"/>
      <c r="T75" t="inlineStr"/>
      <c r="U75">
        <f>290*U74/1000</f>
        <v/>
      </c>
      <c r="V75" t="inlineStr"/>
    </row>
    <row r="76">
      <c r="A76">
        <f>Skills!A5</f>
        <v/>
      </c>
      <c r="B76">
        <f>Skills!B5</f>
        <v/>
      </c>
      <c r="C76">
        <f>Inputs!$B$3&gt;=35</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Skills!G5*IF(Skills!H5&gt;0,Skills!I5/Skills!H5,1)</f>
        <v/>
      </c>
      <c r="H76">
        <f>1-(1-Skills!J5/100)^Skills!K5</f>
        <v/>
      </c>
      <c r="I76" t="inlineStr">
        <is>
          <t>1</t>
        </is>
      </c>
      <c r="J76">
        <f>((Inputs!$B$6*(1+Inputs!$B$7/100))+((((Inputs!$B$12+1)*(1+Inputs!$B$13/100))-(Inputs!$B$12*(1+Inputs!$B$13/100)))+0.25*(Inputs!$B$14-Inputs!$B$14))*(1+Inputs!$B$7/100))*(F76/100)</f>
        <v/>
      </c>
      <c r="K76">
        <f>J76*(1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82=TRUE,F82,0)/100)*(1+(IF(Skills!A5="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f>
        <v/>
      </c>
      <c r="L76">
        <f>K76*(MIN(Inputs!$B$22+((C96=TRUE)*(F96-Calc!F25)),(Inputs!$B$23+((C101=TRUE)*(F101-Calc!F30))+(IF(ArtifactsInput!$M$15,CHOOSE(ArtifactsInput!$N$15+1,25,30,35,40,45,50)/100*(Inputs!$B$11-Inputs!$B$11),0))))/100+(Inputs!$B$23+((C101=TRUE)*(F101-Calc!F30))+(IF(ArtifactsInput!$M$15,CHOOSE(ArtifactsInput!$N$15+1,25,30,35,40,45,50)/100*(Inputs!$B$11-Inputs!$B$11),0)))/100)/2</f>
        <v/>
      </c>
      <c r="M76">
        <f>L76*(1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(1-Summary!$B$11)*T76+Summary!$B$11*V76</f>
        <v/>
      </c>
      <c r="P76">
        <f>IF(B115=0,0,O76/B115)</f>
        <v/>
      </c>
      <c r="Q76">
        <f>IFERROR(1/(IF(Inputs!$B$38="pvp",15,MAX(0.1,Skills!D5-IF(Skills!E5=TRUE,Inputs!$B$32,0)))*(1-IF(AND(ArtifactsInput!$M$27,Inputs!$B$4="Chapter Hunt"),CHOOSE(ArtifactsInput!$N$27+1,20,24,28,32,36,40),0)/100)),0)</f>
        <v/>
      </c>
      <c r="R76">
        <f>IF(AND(Inputs!$B$38&lt;&gt;"pvp",Inputs!$B$43&gt;0),IF(MAX(0,Inputs!$B$43-B112)&lt;=0,0,(INT(MAX(0,Inputs!$B$43-B112)/(IF(Inputs!$B$38="pvp",15,MAX(0.1,Skills!D5-IF(Skills!E5=TRUE,Inputs!$B$32,0)))*(1-IF(AND(ArtifactsInput!$M$27,Inputs!$B$4="Chapter Hunt"),CHOOSE(ArtifactsInput!$N$27+1,20,24,28,32,36,40),0)/100)))+1)),0)</f>
        <v/>
      </c>
      <c r="S76">
        <f>IFERROR(O76/N76,0)</f>
        <v/>
      </c>
      <c r="T76">
        <f>IF(C76,(H76*N76*IF(AND(Inputs!$B$38&lt;&gt;"pvp",Inputs!$B$43&gt;0),((Skills!G5*((R76-1)*IF(Skills!H5&gt;0,Skills!I5/Skills!H5,1)+IF(Skills!H5&gt;0,MIN(Skills!I5,MAX(0,MAX(0,Inputs!$B$43-B112)-((R76-1)*(IF(Inputs!$B$38="pvp",15,MAX(0.1,Skills!D5-IF(Skills!E5=TRUE,Inputs!$B$32,0)))*(1-IF(AND(ArtifactsInput!$M$27,Inputs!$B$4="Chapter Hunt"),CHOOSE(ArtifactsInput!$N$27+1,20,24,28,32,36,40),0)/100)))))/Skills!H5,1)))/Inputs!$B$43),G76*Q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76*(1-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
        <f>IF(C76,(H76*N76*IF(AND(Inputs!$B$38&lt;&gt;"pvp",Inputs!$B$43&gt;0),((Skills!G5*((R76-1)*IF(Skills!H5&gt;0,Skills!I5/Skills!H5,1)+IF(Skills!H5&gt;0,MIN(Skills!I5,MAX(0,MAX(0,Inputs!$B$43-B112)-((R76-1)*(IF(Inputs!$B$38="pvp",15,MAX(0.1,Skills!D5-IF(Skills!E5=TRUE,Inputs!$B$32,0)))*(1-IF(AND(ArtifactsInput!$M$27,Inputs!$B$4="Chapter Hunt"),CHOOSE(ArtifactsInput!$N$27+1,20,24,28,32,36,40),0)/100)))))/Skills!H5,1)))/Inputs!$B$43),G76*Q76))*IF(Inputs!$B$38="pvp",1,(1+(Inputs!$B$21+Skills!Q5+(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Skills!A6</f>
        <v/>
      </c>
      <c r="B77">
        <f>Skills!B6</f>
        <v/>
      </c>
      <c r="C77">
        <f>Inputs!$B$3&gt;=40</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Skills!G6*IF(Skills!H6&gt;0,Skills!I6/Skills!H6,1)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TRUE,F78,0)/100)*(1+(IF(Skills!A6="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C96=TRUE)*(F96-Calc!F25)),(Inputs!$B$23+((C101=TRUE)*(F101-Calc!F30))+(IF(ArtifactsInput!$M$15,CHOOSE(ArtifactsInput!$N$15+1,25,30,35,40,45,50)/100*(Inputs!$B$11-Inputs!$B$11),0))))/100+(Inputs!$B$23+((C101=TRUE)*(F101-Calc!F30))+(IF(ArtifactsInput!$M$15,CHOOSE(ArtifactsInput!$N$15+1,25,30,35,40,45,50)/100*(Inputs!$B$11-Inputs!$B$11),0)))/100)/2</f>
        <v/>
      </c>
      <c r="M77">
        <f>L77*(1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IF(B115=0,0,O77/B115)</f>
        <v/>
      </c>
      <c r="Q77">
        <f>IFERROR(1/(IF(Inputs!$B$38="pvp",15,MAX(0.1,Skills!D6-IF(Skills!E6=TRUE,Inputs!$B$32,0)))*(1-IF(AND(ArtifactsInput!$M$27,Inputs!$B$4="Chapter Hunt"),CHOOSE(ArtifactsInput!$N$27+1,20,24,28,32,36,40),0)/100)),0)</f>
        <v/>
      </c>
      <c r="R77">
        <f>IF(AND(Inputs!$B$38&lt;&gt;"pvp",Inputs!$B$43&gt;0),IF(MAX(0,Inputs!$B$43-B112)&lt;=0,0,(INT(MAX(0,Inputs!$B$43-B112)/(IF(Inputs!$B$38="pvp",15,MAX(0.1,Skills!D6-IF(Skills!E6=TRUE,Inputs!$B$32,0)))*(1-IF(AND(ArtifactsInput!$M$27,Inputs!$B$4="Chapter Hunt"),CHOOSE(ArtifactsInput!$N$27+1,20,24,28,32,36,40),0)/100)))+1)),0)</f>
        <v/>
      </c>
      <c r="S77">
        <f>IFERROR(O77/N77,0)</f>
        <v/>
      </c>
      <c r="T77">
        <f>IF(C77,(H77*N77*IF(AND(Inputs!$B$38&lt;&gt;"pvp",Inputs!$B$43&gt;0),((Skills!G6*((R77-1)*IF(Skills!H6&gt;0,Skills!I6/Skills!H6,1)+IF(Skills!H6&gt;0,MIN(Skills!I6,MAX(0,MAX(0,Inputs!$B$43-B112)-((R77-1)*(IF(Inputs!$B$38="pvp",15,MAX(0.1,Skills!D6-IF(Skills!E6=TRUE,Inputs!$B$32,0)))*(1-IF(AND(ArtifactsInput!$M$27,Inputs!$B$4="Chapter Hunt"),CHOOSE(ArtifactsInput!$N$27+1,20,24,28,32,36,40),0)/100)))))/Skills!H6,1)))/Inputs!$B$43),G77*Q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77*(1-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Skills!I6/Skills!H6,1)+IF(Skills!H6&gt;0,MIN(Skills!I6,MAX(0,MAX(0,Inputs!$B$43-B112)-((R77-1)*(IF(Inputs!$B$38="pvp",15,MAX(0.1,Skills!D6-IF(Skills!E6=TRUE,Inputs!$B$32,0)))*(1-IF(AND(ArtifactsInput!$M$27,Inputs!$B$4="Chapter Hunt"),CHOOSE(ArtifactsInput!$N$27+1,20,24,28,32,36,40),0)/100)))))/Skills!H6,1)))/Inputs!$B$43),G77*Q77))*IF(Inputs!$B$38="pvp",1,(1+(Inputs!$B$21+Skills!Q6+(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Inputs!$B$3&gt;=107</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t="inlineStr"/>
      <c r="H78" t="inlineStr"/>
      <c r="I78" t="inlineStr">
        <is>
          <t>1</t>
        </is>
      </c>
      <c r="J78" t="inlineStr"/>
      <c r="K78" t="inlineStr"/>
      <c r="L78" t="inlineStr"/>
      <c r="M78" t="inlineStr"/>
      <c r="N78" t="inlineStr"/>
      <c r="O78" t="inlineStr"/>
      <c r="P78" t="inlineStr"/>
      <c r="Q78" t="inlineStr"/>
      <c r="R78" t="inlineStr"/>
      <c r="S78" t="inlineStr"/>
      <c r="T78" t="inlineStr"/>
      <c r="V78" t="inlineStr"/>
    </row>
    <row r="79">
      <c r="A79">
        <f>Skills!A8</f>
        <v/>
      </c>
      <c r="B79">
        <f>Skills!B8</f>
        <v/>
      </c>
      <c r="C79">
        <f>Inputs!$B$3&gt;=69</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f>Skills!G8*IF(Skills!H8&gt;0,Skills!I8/Skills!H8,1)</f>
        <v/>
      </c>
      <c r="H79">
        <f>1-(1-Skills!J8/100)^Skills!K8</f>
        <v/>
      </c>
      <c r="I79" t="inlineStr">
        <is>
          <t>1</t>
        </is>
      </c>
      <c r="J79">
        <f>((Inputs!$B$6*(1+Inputs!$B$7/100))+((((Inputs!$B$12+1)*(1+Inputs!$B$13/100))-(Inputs!$B$12*(1+Inputs!$B$13/100)))+0.25*(Inputs!$B$14-Inputs!$B$14))*(1+Inputs!$B$7/100))*(F79/100)</f>
        <v/>
      </c>
      <c r="K79">
        <f>J79*(1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82=TRUE,F82,0)/100)*(1+(IF(Skills!A8="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C96=TRUE)*(F96-Calc!F25)),(Inputs!$B$23+((C101=TRUE)*(F101-Calc!F30))+(IF(ArtifactsInput!$M$15,CHOOSE(ArtifactsInput!$N$15+1,25,30,35,40,45,50)/100*(Inputs!$B$11-Inputs!$B$11),0))))/100+(Inputs!$B$23+((C101=TRUE)*(F101-Calc!F30))+(IF(ArtifactsInput!$M$15,CHOOSE(ArtifactsInput!$N$15+1,25,30,35,40,45,50)/100*(Inputs!$B$11-Inputs!$B$11),0)))/100)/2</f>
        <v/>
      </c>
      <c r="M79">
        <f>L79*(1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(1-Summary!$B$11)*T79+Summary!$B$11*V79</f>
        <v/>
      </c>
      <c r="P79">
        <f>IF(B115=0,0,O79/B115)</f>
        <v/>
      </c>
      <c r="Q79">
        <f>IFERROR(1/(IF(Inputs!$B$38="pvp",15,MAX(0.1,Skills!D8-IF(Skills!E8=TRUE,Inputs!$B$32,0)))*(1-IF(AND(ArtifactsInput!$M$27,Inputs!$B$4="Chapter Hunt"),CHOOSE(ArtifactsInput!$N$27+1,20,24,28,32,36,40),0)/100)),0)</f>
        <v/>
      </c>
      <c r="R79">
        <f>IF(AND(Inputs!$B$38&lt;&gt;"pvp",Inputs!$B$43&gt;0),IF(MAX(0,Inputs!$B$43-B112)&lt;=0,0,(INT(MAX(0,Inputs!$B$43-B112)/(IF(Inputs!$B$38="pvp",15,MAX(0.1,Skills!D8-IF(Skills!E8=TRUE,Inputs!$B$32,0)))*(1-IF(AND(ArtifactsInput!$M$27,Inputs!$B$4="Chapter Hunt"),CHOOSE(ArtifactsInput!$N$27+1,20,24,28,32,36,40),0)/100)))+1)),0)</f>
        <v/>
      </c>
      <c r="S79">
        <f>IFERROR(O79/N79,0)</f>
        <v/>
      </c>
      <c r="T79">
        <f>IF(C79,(H79*N79*IF(AND(Inputs!$B$38&lt;&gt;"pvp",Inputs!$B$43&gt;0),((Skills!G8*((R79-1)*IF(Skills!H8&gt;0,Skills!I8/Skills!H8,1)+IF(Skills!H8&gt;0,MIN(Skills!I8,MAX(0,MAX(0,Inputs!$B$43-B112)-((R79-1)*(IF(Inputs!$B$38="pvp",15,MAX(0.1,Skills!D8-IF(Skills!E8=TRUE,Inputs!$B$32,0)))*(1-IF(AND(ArtifactsInput!$M$27,Inputs!$B$4="Chapter Hunt"),CHOOSE(ArtifactsInput!$N$27+1,20,24,28,32,36,40),0)/100)))))/Skills!H8,1)))/Inputs!$B$43),G79*Q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79*(1-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
        <f>IF(C79,(H79*N79*IF(AND(Inputs!$B$38&lt;&gt;"pvp",Inputs!$B$43&gt;0),((Skills!G8*((R79-1)*IF(Skills!H8&gt;0,Skills!I8/Skills!H8,1)+IF(Skills!H8&gt;0,MIN(Skills!I8,MAX(0,MAX(0,Inputs!$B$43-B112)-((R79-1)*(IF(Inputs!$B$38="pvp",15,MAX(0.1,Skills!D8-IF(Skills!E8=TRUE,Inputs!$B$32,0)))*(1-IF(AND(ArtifactsInput!$M$27,Inputs!$B$4="Chapter Hunt"),CHOOSE(ArtifactsInput!$N$27+1,20,24,28,32,36,40),0)/100)))))/Skills!H8,1)))/Inputs!$B$43),G79*Q79))*IF(Inputs!$B$38="pvp",1,(1+(Inputs!$B$21+Skills!Q8+(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Skills!A9</f>
        <v/>
      </c>
      <c r="B80">
        <f>Skills!B9</f>
        <v/>
      </c>
      <c r="C80">
        <f>Inputs!$B$3&gt;=63</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Skills!G9*IF(Skills!H9&gt;0,Skills!I9/Skills!H9,1)</f>
        <v/>
      </c>
      <c r="H80">
        <f>1-(1-Skills!J9/100)^Skills!K9</f>
        <v/>
      </c>
      <c r="I80" t="inlineStr">
        <is>
          <t>1</t>
        </is>
      </c>
      <c r="J80">
        <f>((Inputs!$B$6*(1+Inputs!$B$7/100))+((((Inputs!$B$12+1)*(1+Inputs!$B$13/100))-(Inputs!$B$12*(1+Inputs!$B$13/100)))+0.25*(Inputs!$B$14-Inputs!$B$14))*(1+Inputs!$B$7/100))*(F80/100)</f>
        <v/>
      </c>
      <c r="K80">
        <f>J80*(1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82=TRUE,F82,0)/100)*(1+(IF(Skills!A9="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C96=TRUE)*(F96-Calc!F25)),(Inputs!$B$23+((C101=TRUE)*(F101-Calc!F30))+(IF(ArtifactsInput!$M$15,CHOOSE(ArtifactsInput!$N$15+1,25,30,35,40,45,50)/100*(Inputs!$B$11-Inputs!$B$11),0))))/100+(Inputs!$B$23+((C101=TRUE)*(F101-Calc!F30))+(IF(ArtifactsInput!$M$15,CHOOSE(ArtifactsInput!$N$15+1,25,30,35,40,45,50)/100*(Inputs!$B$11-Inputs!$B$11),0)))/100)/2</f>
        <v/>
      </c>
      <c r="M80">
        <f>L80*(1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IF(B115=0,0,O80/B115)</f>
        <v/>
      </c>
      <c r="Q80">
        <f>IFERROR(1/(IF(Inputs!$B$38="pvp",15,MAX(0.1,Skills!D9-IF(Skills!E9=TRUE,Inputs!$B$32,0)))*(1-IF(AND(ArtifactsInput!$M$27,Inputs!$B$4="Chapter Hunt"),CHOOSE(ArtifactsInput!$N$27+1,20,24,28,32,36,40),0)/100)),0)</f>
        <v/>
      </c>
      <c r="R80">
        <f>IF(AND(Inputs!$B$38&lt;&gt;"pvp",Inputs!$B$43&gt;0),IF(MAX(0,Inputs!$B$43-B112)&lt;=0,0,(INT(MAX(0,Inputs!$B$43-B112)/(IF(Inputs!$B$38="pvp",15,MAX(0.1,Skills!D9-IF(Skills!E9=TRUE,Inputs!$B$32,0)))*(1-IF(AND(ArtifactsInput!$M$27,Inputs!$B$4="Chapter Hunt"),CHOOSE(ArtifactsInput!$N$27+1,20,24,28,32,36,40),0)/100)))+1)),0)</f>
        <v/>
      </c>
      <c r="S80">
        <f>IFERROR(O80/N80,0)</f>
        <v/>
      </c>
      <c r="T80">
        <f>IF(C80,(H80*N80*IF(AND(Inputs!$B$38&lt;&gt;"pvp",Inputs!$B$43&gt;0),((Skills!G9*((R80-1)*IF(Skills!H9&gt;0,Skills!I9/Skills!H9,1)+IF(Skills!H9&gt;0,MIN(Skills!I9,MAX(0,MAX(0,Inputs!$B$43-B112)-((R80-1)*(IF(Inputs!$B$38="pvp",15,MAX(0.1,Skills!D9-IF(Skills!E9=TRUE,Inputs!$B$32,0)))*(1-IF(AND(ArtifactsInput!$M$27,Inputs!$B$4="Chapter Hunt"),CHOOSE(ArtifactsInput!$N$27+1,20,24,28,32,36,40),0)/100)))))/Skills!H9,1)))/Inputs!$B$43),G80*Q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80*(1-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Skills!I9/Skills!H9,1)+IF(Skills!H9&gt;0,MIN(Skills!I9,MAX(0,MAX(0,Inputs!$B$43-B112)-((R80-1)*(IF(Inputs!$B$38="pvp",15,MAX(0.1,Skills!D9-IF(Skills!E9=TRUE,Inputs!$B$32,0)))*(1-IF(AND(ArtifactsInput!$M$27,Inputs!$B$4="Chapter Hunt"),CHOOSE(ArtifactsInput!$N$27+1,20,24,28,32,36,40),0)/100)))))/Skills!H9,1)))/Inputs!$B$43),G80*Q80))*IF(Inputs!$B$38="pvp",1,(1+(Inputs!$B$21+Skills!Q9+(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Inputs!$B$3&gt;=103</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Skills!G10*IF(Skills!H10&gt;0,Skills!I10/Skills!H10,1)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C96=TRUE)*(F96-Calc!F25)),(Inputs!$B$23+((C101=TRUE)*(F101-Calc!F30))+(IF(ArtifactsInput!$M$15,CHOOSE(ArtifactsInput!$N$15+1,25,30,35,40,45,50)/100*(Inputs!$B$11-Inputs!$B$11),0))))/100+(Inputs!$B$23+((C101=TRUE)*(F101-Calc!F30))+(IF(ArtifactsInput!$M$15,CHOOSE(ArtifactsInput!$N$15+1,25,30,35,40,45,50)/100*(Inputs!$B$11-Inputs!$B$11),0)))/100)/2</f>
        <v/>
      </c>
      <c r="M81">
        <f>L81*(1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IF(B115=0,0,O81/B115)</f>
        <v/>
      </c>
      <c r="Q81">
        <f>IFERROR(1/(IF(Inputs!$B$38="pvp",15,MAX(0.1,Skills!D10-IF(Skills!E10=TRUE,Inputs!$B$32,0)))*(1-IF(AND(ArtifactsInput!$M$27,Inputs!$B$4="Chapter Hunt"),CHOOSE(ArtifactsInput!$N$27+1,20,24,28,32,36,40),0)/100)),0)</f>
        <v/>
      </c>
      <c r="R81">
        <f>IF(AND(Inputs!$B$38&lt;&gt;"pvp",Inputs!$B$43&gt;0),IF(MAX(0,Inputs!$B$43-B112)&lt;=0,0,(INT(MAX(0,Inputs!$B$43-B112)/(IF(Inputs!$B$38="pvp",15,MAX(0.1,Skills!D10-IF(Skills!E10=TRUE,Inputs!$B$32,0)))*(1-IF(AND(ArtifactsInput!$M$27,Inputs!$B$4="Chapter Hunt"),CHOOSE(ArtifactsInput!$N$27+1,20,24,28,32,36,40),0)/100)))+1)),0)</f>
        <v/>
      </c>
      <c r="S81">
        <f>IFERROR(O81/N81,0)</f>
        <v/>
      </c>
      <c r="T81">
        <f>IF(C81,(H81*N81*IF(AND(Inputs!$B$38&lt;&gt;"pvp",Inputs!$B$43&gt;0),((Skills!G10*((R81-1)*IF(Skills!H10&gt;0,Skills!I10/Skills!H10,1)+IF(Skills!H10&gt;0,MIN(Skills!I10,MAX(0,MAX(0,Inputs!$B$43-B112)-((R81-1)*(IF(Inputs!$B$38="pvp",15,MAX(0.1,Skills!D10-IF(Skills!E10=TRUE,Inputs!$B$32,0)))*(1-IF(AND(ArtifactsInput!$M$27,Inputs!$B$4="Chapter Hunt"),CHOOSE(ArtifactsInput!$N$27+1,20,24,28,32,36,40),0)/100)))))/Skills!H10,1)))/Inputs!$B$43),G81*Q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81*(1-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H81*N81*IF(AND(Inputs!$B$38&lt;&gt;"pvp",Inputs!$B$43&gt;0),((Skills!G10*((R81-1)*IF(Skills!H10&gt;0,Skills!I10/Skills!H10,1)+IF(Skills!H10&gt;0,MIN(Skills!I10,MAX(0,MAX(0,Inputs!$B$43-B112)-((R81-1)*(IF(Inputs!$B$38="pvp",15,MAX(0.1,Skills!D10-IF(Skills!E10=TRUE,Inputs!$B$32,0)))*(1-IF(AND(ArtifactsInput!$M$27,Inputs!$B$4="Chapter Hunt"),CHOOSE(ArtifactsInput!$N$27+1,20,24,28,32,36,40),0)/100)))))/Skills!H10,1)))/Inputs!$B$43),G81*Q81))*IF(Inputs!$B$38="pvp",1,(1+(Inputs!$B$21+Skills!Q10+(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Inputs!$B$3&gt;=100</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t="inlineStr"/>
      <c r="H82" t="inlineStr"/>
      <c r="I82" t="inlineStr">
        <is>
          <t>1</t>
        </is>
      </c>
      <c r="J82" t="inlineStr"/>
      <c r="K82" t="inlineStr"/>
      <c r="L82" t="inlineStr"/>
      <c r="M82" t="inlineStr"/>
      <c r="N82" t="inlineStr"/>
      <c r="O82" t="inlineStr"/>
      <c r="P82" t="inlineStr"/>
      <c r="Q82" t="inlineStr"/>
      <c r="R82" t="inlineStr"/>
      <c r="S82" t="inlineStr"/>
      <c r="T82" t="inlineStr"/>
      <c r="V82" t="inlineStr"/>
    </row>
    <row r="83">
      <c r="A83">
        <f>Skills!A12</f>
        <v/>
      </c>
      <c r="B83">
        <f>Skills!B12</f>
        <v/>
      </c>
      <c r="C83">
        <f>Inputs!$B$3&gt;=60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f>Skills!G12*IF(Skills!H12&gt;0,Skills!I12/Skills!H12,1)</f>
        <v/>
      </c>
      <c r="H83">
        <f>1-(1-Skills!J12/100)^Skills!K12</f>
        <v/>
      </c>
      <c r="I83" t="inlineStr">
        <is>
          <t>1</t>
        </is>
      </c>
      <c r="J83">
        <f>((Inputs!$B$6*(1+Inputs!$B$7/100))+((((Inputs!$B$12+1)*(1+Inputs!$B$13/100))-(Inputs!$B$12*(1+Inputs!$B$13/100)))+0.25*(Inputs!$B$14-Inputs!$B$14))*(1+Inputs!$B$7/100))*(F83/100)</f>
        <v/>
      </c>
      <c r="K83">
        <f>J83*(1+(((Inputs!$B$12+1)*(1+Inputs!$B$13/100))*0.01+Inputs!$B$14*0.0025)/100)*(1+Inputs!$B$15/100)*(1+Inputs!$B$16/100)*(5000/(6000+Inputs!$B$42*(1-(100*(1-(1-(Inputs!$B$19+((C99=TRUE)*(F99-Calc!F28)))/100)*(1-CHOOSE(ArtifactsInput!$N$40+1,5,6,7,8,9,10)/100)^(ArtifactsInput!$M$40-ArtifactsInput!$M$40)))/100)))*(1+(Inputs!$B$24+((C97=TRUE)*(F97-Calc!F26))+((C98=TRUE)*(F98-Calc!F27))+B111)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84=TRUE,F84,0)/100)*(1+(IF(Skills!A12="ARROW_STREAM",Inputs!$B$17+((C95=TRUE)*(F95-Calc!F24))+(((IF(AND(ArtifactsInput!$M$42,((Inputs!$B$9+((C92=TRUE)*(F92-Calc!F21))+B105+(ArtifactsInput!$M$24-ArtifactsInput!$M$24)*CHOOSE(ArtifactsInput!$N$24+1,10,12,14,16,18,20)+IF(ArtifactsInput!$M$10,CHOOSE(ArtifactsInput!$N$10+1,15,18,21,24,27,30)*(IF(Inputs!$B$38="pvp",MIN(15,15)/15,IF(AND(Inputs!$B$38&lt;&gt;"pvp",Inputs!$B$43&gt;0),MIN(15,Inputs!$B$43)/(Inputs!$B$43),0))),0)))&gt;=100),MIN(100,((Inputs!$B$9+((C92=TRUE)*(F92-Calc!F21))+B105+(ArtifactsInput!$M$24-ArtifactsInput!$M$24)*CHOOSE(ArtifactsInput!$N$24+1,10,12,14,16,18,20)+IF(ArtifactsInput!$M$10,CHOOSE(ArtifactsInput!$N$10+1,15,18,21,24,27,30)*(IF(Inputs!$B$38="pvp",MIN(15,15)/15,IF(AND(Inputs!$B$38&lt;&gt;"pvp",Inputs!$B$43&gt;0),MIN(15,Inputs!$B$43)/(Inputs!$B$43),0))),0)))-100),0))*CHOOSE(ArtifactsInput!$N$42+1,0.6,0.72,0.84,0.96,1.08,1.2))),Inputs!$B$18+((C100=TRUE)*(F100-Calc!F29))+(IF(AND(ArtifactsInput!$M$42,((Inputs!$B$9+((C92=TRUE)*(F92-Calc!F21))+B105+(ArtifactsInput!$M$24-ArtifactsInput!$M$24)*CHOOSE(ArtifactsInput!$N$24+1,10,12,14,16,18,20)+IF(ArtifactsInput!$M$10,CHOOSE(ArtifactsInput!$N$10+1,15,18,21,24,27,30)*(IF(Inputs!$B$38="pvp",MIN(15,15)/15,IF(AND(Inputs!$B$38&lt;&gt;"pvp",Inputs!$B$43&gt;0),MIN(15,Inputs!$B$43)/(Inputs!$B$43),0))),0)))&gt;=100),CHOOSE(ArtifactsInput!$N$42+1,40,48,56,64,72,80),0))))/100)*((1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f>
        <v/>
      </c>
      <c r="L83">
        <f>K83*(MIN(Inputs!$B$22+((C96=TRUE)*(F96-Calc!F25)),(Inputs!$B$23+((C101=TRUE)*(F101-Calc!F30))+(IF(ArtifactsInput!$M$15,CHOOSE(ArtifactsInput!$N$15+1,25,30,35,40,45,50)/100*(Inputs!$B$11-Inputs!$B$11),0))))/100+(Inputs!$B$23+((C101=TRUE)*(F101-Calc!F30))+(IF(ArtifactsInput!$M$15,CHOOSE(ArtifactsInput!$N$15+1,25,30,35,40,45,50)/100*(Inputs!$B$11-Inputs!$B$11),0)))/100)/2</f>
        <v/>
      </c>
      <c r="M83">
        <f>L83*(1+(Inputs!$B$10+0+B110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
        <f>L83*(1-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MIN((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
        <f>(1-Summary!$B$11)*T83+Summary!$B$11*V83</f>
        <v/>
      </c>
      <c r="P83">
        <f>IF(B115=0,0,O83/B115)</f>
        <v/>
      </c>
      <c r="Q83">
        <f>IFERROR(1/(IF(Inputs!$B$38="pvp",15,MAX(0.1,Skills!D12-IF(Skills!E12=TRUE,Inputs!$B$32,0)))*(1-IF(AND(ArtifactsInput!$M$27,Inputs!$B$4="Chapter Hunt"),CHOOSE(ArtifactsInput!$N$27+1,20,24,28,32,36,40),0)/100)),0)</f>
        <v/>
      </c>
      <c r="R83">
        <f>IF(AND(Inputs!$B$38&lt;&gt;"pvp",Inputs!$B$43&gt;0),IF(MAX(0,Inputs!$B$43-B112)&lt;=0,0,(INT(MAX(0,Inputs!$B$43-B112)/(IF(Inputs!$B$38="pvp",15,MAX(0.1,Skills!D12-IF(Skills!E12=TRUE,Inputs!$B$32,0)))*(1-IF(AND(ArtifactsInput!$M$27,Inputs!$B$4="Chapter Hunt"),CHOOSE(ArtifactsInput!$N$27+1,20,24,28,32,36,40),0)/100)))+1)),0)</f>
        <v/>
      </c>
      <c r="S83">
        <f>IFERROR(O83/N83,0)</f>
        <v/>
      </c>
      <c r="T83">
        <f>IF(C83,(H83*N83*IF(AND(Inputs!$B$38&lt;&gt;"pvp",Inputs!$B$43&gt;0),((Skills!G12*((R83-1)*IF(Skills!H12&gt;0,Skills!I12/Skills!H12,1)+IF(Skills!H12&gt;0,MIN(Skills!I12,MAX(0,MAX(0,Inputs!$B$43-B112)-((R83-1)*(IF(Inputs!$B$38="pvp",15,MAX(0.1,Skills!D12-IF(Skills!E12=TRUE,Inputs!$B$32,0)))*(1-IF(AND(ArtifactsInput!$M$27,Inputs!$B$4="Chapter Hunt"),CHOOSE(ArtifactsInput!$N$27+1,20,24,28,32,36,40),0)/100)))))/Skills!H12,1)))/Inputs!$B$43),G83*Q83)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(5000/(6000+Inputs!$B$42*(1-(100*(1-(1-(100*(1-(1-(Inputs!$B$19+((C99=TRUE)*(F99-Calc!F28)))/100)*(1-CHOOSE(ArtifactsInput!$N$40+1,5,6,7,8,9,10)/100)^(ArtifactsInput!$M$40-ArtifactsInput!$M$40)))/100)*(1-IF(ArtifactsInput!$M$40,CHOOSE(ArtifactsInput!$N$40+1,5,6,7,8,9,10),0)/100)^IF(Inputs!$B$38="pvp",1,2)))/100)))/(5000/(6000+Inputs!$B$42*(1-(100*(1-(1-(Inputs!$B$19+((C99=TRUE)*(F99-Calc!F28)))/100)*(1-CHOOSE(ArtifactsInput!$N$40+1,5,6,7,8,9,10)/100)^(ArtifactsInput!$M$40-ArtifactsInput!$M$40)))/100))))*((L83*(1-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(1-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MIN(100,(Inputs!$B$9+((C92=TRUE)*(F92-Calc!F21))+B105+(ArtifactsInput!$M$24-ArtifactsInput!$M$24)*CHOOSE(ArtifactsInput!$N$24+1,10,12,14,16,18,20)+(IF(AND(ArtifactsInput!$M$42,((Inputs!$B$9+((C92=TRUE)*(F92-Calc!F21))+B105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
        <f>IF(C83,(H83*N83*IF(AND(Inputs!$B$38&lt;&gt;"pvp",Inputs!$B$43&gt;0),((Skills!G12*((R83-1)*IF(Skills!H12&gt;0,Skills!I12/Skills!H12,1)+IF(Skills!H12&gt;0,MIN(Skills!I12,MAX(0,MAX(0,Inputs!$B$43-B112)-((R83-1)*(IF(Inputs!$B$38="pvp",15,MAX(0.1,Skills!D12-IF(Skills!E12=TRUE,Inputs!$B$32,0)))*(1-IF(AND(ArtifactsInput!$M$27,Inputs!$B$4="Chapter Hunt"),CHOOSE(ArtifactsInput!$N$27+1,20,24,28,32,36,40),0)/100)))))/Skills!H12,1)))/Inputs!$B$43),G83*Q83))*IF(Inputs!$B$38="pvp",1,(1+(Inputs!$B$21+Skills!Q12+(IF(ArtifactsInput!$M$33,CHOOSE(ArtifactsInput!$N$33+1,30,36,42,48,54,60),0))+(IF(AND(ArtifactsInput!$M$35,Inputs!$B$4&lt;&gt;"Chapter Hunt"),CHOOSE(ArtifactsInput!$N$35+1,15,18,21,24,27,30)*(1-EXP(-(0.2*B107)*5)),0)+IF(AND(ArtifactsInput!$M$22,Inputs!$B$4&lt;&gt;"Chapter Hunt"),CHOOSE(ArtifactsInput!$N$22+1,10,12,14,16,18,20)*((0*(((0.15*B107*5))^0/1)+1*(((0.15*B107*5))^1/1)+2*(((0.15*B107*5))^2/2)+3*(((0.15*B107*5))^3/6)+4*(((0.15*B107*5))^4/24)+5*(((0.15*B107*5))^5/120))/((((0.15*B107*5))^0/1)+(((0.15*B107*5))^1/1)+(((0.15*B107*5))^2/2)+(((0.15*B107*5))^3/6)+(((0.15*B107*5))^4/24)+(((0.15*B107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
      <c r="A84">
        <f>Skills!A13</f>
        <v/>
      </c>
      <c r="B84">
        <f>Skills!B13</f>
        <v/>
      </c>
      <c r="C84">
        <f>Inputs!$B$3&gt;=110</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t="inlineStr"/>
      <c r="H84" t="inlineStr"/>
      <c r="I84" t="inlineStr">
        <is>
          <t>1</t>
        </is>
      </c>
      <c r="J84" t="inlineStr"/>
      <c r="K84" t="inlineStr"/>
      <c r="L84" t="inlineStr"/>
      <c r="M84" t="inlineStr"/>
      <c r="N84" t="inlineStr"/>
      <c r="O84" t="inlineStr"/>
      <c r="P84" t="inlineStr"/>
      <c r="Q84" t="inlineStr"/>
      <c r="R84" t="inlineStr"/>
      <c r="S84" t="inlineStr"/>
      <c r="T84" t="inlineStr"/>
      <c r="V84" t="inlineStr"/>
    </row>
    <row r="85">
      <c r="A85">
        <f>Skills!A14</f>
        <v/>
      </c>
      <c r="B85">
        <f>Skills!B14</f>
        <v/>
      </c>
      <c r="C85">
        <f>Inputs!$B$3&gt;=74</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Skills!G14*IF(Skills!H14&gt;0,Skills!I14/Skills!H14,1)</f>
        <v/>
      </c>
      <c r="H85">
        <f>1-(1-Skills!J14/100)^Skills!K14</f>
        <v/>
      </c>
      <c r="I85" t="inlineStr">
        <is>
          <t>1</t>
        </is>
      </c>
      <c r="J85" t="inlineStr"/>
      <c r="K85" t="inlineStr"/>
      <c r="L85" t="inlineStr"/>
      <c r="M85" t="inlineStr"/>
      <c r="N85" t="inlineStr"/>
      <c r="O85">
        <f>(1-Summary!$B$11)*T85+Summary!$B$11*V85</f>
        <v/>
      </c>
      <c r="P85">
        <f>IF(B115=0,0,O85/B115)</f>
        <v/>
      </c>
      <c r="Q85" t="n">
        <v>0</v>
      </c>
      <c r="R85" t="n">
        <v>0</v>
      </c>
      <c r="S85">
        <f>IFERROR(O85/N85,0)</f>
        <v/>
      </c>
      <c r="T85" t="n">
        <v>0</v>
      </c>
      <c r="V85" t="n">
        <v>0</v>
      </c>
    </row>
    <row r="86">
      <c r="A86">
        <f>Skills!A15</f>
        <v/>
      </c>
      <c r="B86">
        <f>Skills!B15</f>
        <v/>
      </c>
      <c r="C86">
        <f>Inputs!$B$3&gt;=74</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f>Skills!G15*IF(Skills!H15&gt;0,Skills!I15/Skills!H15,1)</f>
        <v/>
      </c>
      <c r="H86">
        <f>1-(1-Skills!J15/100)^Skills!K15</f>
        <v/>
      </c>
      <c r="I86" t="inlineStr">
        <is>
          <t>1</t>
        </is>
      </c>
      <c r="J86" t="inlineStr"/>
      <c r="K86" t="inlineStr"/>
      <c r="L86" t="inlineStr"/>
      <c r="M86" t="inlineStr"/>
      <c r="N86" t="inlineStr"/>
      <c r="O86">
        <f>(1-Summary!$B$11)*T86+Summary!$B$11*V86</f>
        <v/>
      </c>
      <c r="P86">
        <f>IF(B115=0,0,O86/B115)</f>
        <v/>
      </c>
      <c r="Q86" t="n">
        <v>0</v>
      </c>
      <c r="R86" t="n">
        <v>0</v>
      </c>
      <c r="S86">
        <f>IFERROR(O86/N86,0)</f>
        <v/>
      </c>
      <c r="T86" t="n">
        <v>0</v>
      </c>
      <c r="V86" t="n">
        <v>0</v>
      </c>
    </row>
    <row r="87">
      <c r="A87">
        <f>Skills!A16</f>
        <v/>
      </c>
      <c r="B87">
        <f>Skills!B16</f>
        <v/>
      </c>
      <c r="C87">
        <f>Inputs!$B$3&gt;=117</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f>Skills!G16*IF(Skills!H16&gt;0,Skills!I16/Skills!H16,1)</f>
        <v/>
      </c>
      <c r="H87">
        <f>1-(1-Skills!J16/100)^Skills!K16</f>
        <v/>
      </c>
      <c r="I87" t="inlineStr">
        <is>
          <t>1</t>
        </is>
      </c>
      <c r="J87" t="inlineStr"/>
      <c r="K87" t="inlineStr"/>
      <c r="L87" t="inlineStr"/>
      <c r="M87" t="inlineStr"/>
      <c r="N87" t="inlineStr"/>
      <c r="O87">
        <f>(1-Summary!$B$11)*T87+Summary!$B$11*V87</f>
        <v/>
      </c>
      <c r="P87">
        <f>IF(B115=0,0,O87/B115)</f>
        <v/>
      </c>
      <c r="Q87">
        <f>IFERROR(1/(IF(Inputs!$B$38="pvp",15,MAX(0.1,Skills!D16-IF(Skills!E16=TRUE,Inputs!$B$32,0)))*(1-IF(AND(ArtifactsInput!$M$27,Inputs!$B$4="Chapter Hunt"),CHOOSE(ArtifactsInput!$N$27+1,20,24,28,32,36,40),0)/100)),0)</f>
        <v/>
      </c>
      <c r="R87">
        <f>IF(AND(Inputs!$B$38&lt;&gt;"pvp",Inputs!$B$43&gt;0),IF(Inputs!$B$43&lt;=0,0,(INT(Inputs!$B$43/(IF(Inputs!$B$38="pvp",15,MAX(0.1,Skills!D16-IF(Skills!E16=TRUE,Inputs!$B$32,0)))*(1-IF(AND(ArtifactsInput!$M$27,Inputs!$B$4="Chapter Hunt"),CHOOSE(ArtifactsInput!$N$27+1,20,24,28,32,36,40),0)/100)))+1)),0)</f>
        <v/>
      </c>
      <c r="S87">
        <f>IFERROR(O87/N87,0)</f>
        <v/>
      </c>
      <c r="T87" t="n">
        <v>0</v>
      </c>
      <c r="V87" t="n">
        <v>0</v>
      </c>
    </row>
    <row r="88">
      <c r="A88">
        <f>Skills!A17</f>
        <v/>
      </c>
      <c r="B88">
        <f>Skills!B17</f>
        <v/>
      </c>
      <c r="C88">
        <f>Inputs!$B$3&gt;=115</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Skills!G17*IF(Skills!H17&gt;0,Skills!I17/Skills!H17,1)</f>
        <v/>
      </c>
      <c r="H88">
        <f>1-(1-Skills!J17/100)^Skills!K17</f>
        <v/>
      </c>
      <c r="I88" t="inlineStr">
        <is>
          <t>1</t>
        </is>
      </c>
      <c r="J88" t="inlineStr"/>
      <c r="K88" t="inlineStr"/>
      <c r="L88" t="inlineStr"/>
      <c r="M88" t="inlineStr"/>
      <c r="N88" t="inlineStr"/>
      <c r="O88">
        <f>(1-Summary!$B$11)*T88+Summary!$B$11*V88</f>
        <v/>
      </c>
      <c r="P88">
        <f>IF(B115=0,0,O88/B115)</f>
        <v/>
      </c>
      <c r="Q88">
        <f>IFERROR(1/(IF(Inputs!$B$38="pvp",15,MAX(0.1,Skills!D17-IF(Skills!E17=TRUE,Inputs!$B$32,0)))*(1-IF(AND(ArtifactsInput!$M$27,Inputs!$B$4="Chapter Hunt"),CHOOSE(ArtifactsInput!$N$27+1,20,24,28,32,36,40),0)/100)),0)</f>
        <v/>
      </c>
      <c r="R88">
        <f>IF(AND(Inputs!$B$38&lt;&gt;"pvp",Inputs!$B$43&gt;0),IF(Inputs!$B$43&lt;=0,0,(INT(Inputs!$B$43/(IF(Inputs!$B$38="pvp",15,MAX(0.1,Skills!D17-IF(Skills!E17=TRUE,Inputs!$B$32,0)))*(1-IF(AND(ArtifactsInput!$M$27,Inputs!$B$4="Chapter Hunt"),CHOOSE(ArtifactsInput!$N$27+1,20,24,28,32,36,40),0)/100)))+1)),0)</f>
        <v/>
      </c>
      <c r="S88">
        <f>IFERROR(O88/N88,0)</f>
        <v/>
      </c>
      <c r="T88" t="n">
        <v>0</v>
      </c>
      <c r="V88" t="n">
        <v>0</v>
      </c>
    </row>
    <row r="89">
      <c r="A89">
        <f>Skills!A18</f>
        <v/>
      </c>
      <c r="B89">
        <f>Skills!B18</f>
        <v/>
      </c>
      <c r="C89">
        <f>Inputs!$B$3&gt;=66</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Skills!G18*IF(Skills!H18&gt;0,Skills!I18/Skills!H18,1)</f>
        <v/>
      </c>
      <c r="H89">
        <f>1-(1-Skills!J18/100)^Skills!K18</f>
        <v/>
      </c>
      <c r="I89" t="inlineStr">
        <is>
          <t>1</t>
        </is>
      </c>
      <c r="J89" t="inlineStr"/>
      <c r="K89" t="inlineStr"/>
      <c r="L89" t="inlineStr"/>
      <c r="M89" t="inlineStr"/>
      <c r="N89" t="inlineStr"/>
      <c r="O89">
        <f>(1-Summary!$B$11)*T89+Summary!$B$11*V89</f>
        <v/>
      </c>
      <c r="P89">
        <f>IF(B115=0,0,O89/B115)</f>
        <v/>
      </c>
      <c r="Q89" t="n">
        <v>0</v>
      </c>
      <c r="R89" t="n">
        <v>0</v>
      </c>
      <c r="S89">
        <f>IFERROR(O89/N89,0)</f>
        <v/>
      </c>
      <c r="T89" t="n">
        <v>0</v>
      </c>
      <c r="V89" t="n">
        <v>0</v>
      </c>
    </row>
    <row r="90">
      <c r="A90">
        <f>Skills!A19</f>
        <v/>
      </c>
      <c r="B90">
        <f>Skills!B19</f>
        <v/>
      </c>
      <c r="C90">
        <f>Inputs!$B$3&gt;=72</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Skills!G19*IF(Skills!H19&gt;0,Skills!I19/Skills!H19,1)</f>
        <v/>
      </c>
      <c r="H90">
        <f>1-(1-Skills!J19/100)^Skills!K19</f>
        <v/>
      </c>
      <c r="I90" t="inlineStr">
        <is>
          <t>1</t>
        </is>
      </c>
      <c r="J90" t="inlineStr"/>
      <c r="K90" t="inlineStr"/>
      <c r="L90" t="inlineStr"/>
      <c r="M90" t="inlineStr"/>
      <c r="N90" t="inlineStr"/>
      <c r="O90">
        <f>(1-Summary!$B$11)*T90+Summary!$B$11*V90</f>
        <v/>
      </c>
      <c r="P90">
        <f>IF(B115=0,0,O90/B115)</f>
        <v/>
      </c>
      <c r="Q90" t="n">
        <v>0</v>
      </c>
      <c r="R90" t="n">
        <v>0</v>
      </c>
      <c r="S90">
        <f>IFERROR(O90/N90,0)</f>
        <v/>
      </c>
      <c r="T90" t="n">
        <v>0</v>
      </c>
      <c r="V90" t="n">
        <v>0</v>
      </c>
    </row>
    <row r="91">
      <c r="A91">
        <f>Skills!A20</f>
        <v/>
      </c>
      <c r="B91">
        <f>Skills!B20</f>
        <v/>
      </c>
      <c r="C91">
        <f>TRUE</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Skills!G20*IF(Skills!H20&gt;0,Skills!I20/Skills!H20,1)</f>
        <v/>
      </c>
      <c r="H91">
        <f>1-(1-Skills!J20/100)^Skills!K20</f>
        <v/>
      </c>
      <c r="I91" t="inlineStr">
        <is>
          <t>1</t>
        </is>
      </c>
      <c r="J91" t="inlineStr"/>
      <c r="K91" t="inlineStr"/>
      <c r="L91" t="inlineStr"/>
      <c r="M91" t="inlineStr"/>
      <c r="N91" t="inlineStr"/>
      <c r="O91">
        <f>(1-Summary!$B$11)*T91+Summary!$B$11*V91</f>
        <v/>
      </c>
      <c r="P91">
        <f>IF(B115=0,0,O91/B115)</f>
        <v/>
      </c>
      <c r="Q91">
        <f>IFERROR(1/(IF(Inputs!$B$38="pvp",15,MAX(0.1,Skills!D20-IF(Skills!E20=TRUE,Inputs!$B$32,0)))*(1-IF(AND(ArtifactsInput!$M$27,Inputs!$B$4="Chapter Hunt"),CHOOSE(ArtifactsInput!$N$27+1,20,24,28,32,36,40),0)/100)),0)</f>
        <v/>
      </c>
      <c r="R91">
        <f>IF(AND(Inputs!$B$38&lt;&gt;"pvp",Inputs!$B$43&gt;0),IF(Inputs!$B$43&lt;=0,0,(INT(Inputs!$B$43/(IF(Inputs!$B$38="pvp",15,MAX(0.1,Skills!D20-IF(Skills!E20=TRUE,Inputs!$B$32,0)))*(1-IF(AND(ArtifactsInput!$M$27,Inputs!$B$4="Chapter Hunt"),CHOOSE(ArtifactsInput!$N$27+1,20,24,28,32,36,40),0)/100)))+1)),0)</f>
        <v/>
      </c>
      <c r="S91">
        <f>IFERROR(O91/N91,0)</f>
        <v/>
      </c>
      <c r="T91" t="n">
        <v>0</v>
      </c>
      <c r="V91" t="n">
        <v>0</v>
      </c>
    </row>
    <row r="92">
      <c r="A92">
        <f>Skills!A21</f>
        <v/>
      </c>
      <c r="B92">
        <f>Skills!B21</f>
        <v/>
      </c>
      <c r="C92">
        <f>Inputs!$B$3&gt;=15</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Skills!G21*IF(Skills!H21&gt;0,Skills!I21/Skills!H21,1)</f>
        <v/>
      </c>
      <c r="H92">
        <f>1-(1-Skills!J21/100)^Skills!K21</f>
        <v/>
      </c>
      <c r="I92" t="inlineStr">
        <is>
          <t>1</t>
        </is>
      </c>
      <c r="J92" t="inlineStr"/>
      <c r="K92" t="inlineStr"/>
      <c r="L92" t="inlineStr"/>
      <c r="M92" t="inlineStr"/>
      <c r="N92" t="inlineStr"/>
      <c r="O92">
        <f>(1-Summary!$B$11)*T92+Summary!$B$11*V92</f>
        <v/>
      </c>
      <c r="P92">
        <f>IF(B115=0,0,O92/B115)</f>
        <v/>
      </c>
      <c r="Q92" t="n">
        <v>0</v>
      </c>
      <c r="R92" t="n">
        <v>0</v>
      </c>
      <c r="S92">
        <f>IFERROR(O92/N92,0)</f>
        <v/>
      </c>
      <c r="T92" t="n">
        <v>0</v>
      </c>
      <c r="V92" t="n">
        <v>0</v>
      </c>
    </row>
    <row r="93">
      <c r="A93">
        <f>Skills!A22</f>
        <v/>
      </c>
      <c r="B93">
        <f>Skills!B22</f>
        <v/>
      </c>
      <c r="C93">
        <f>Inputs!$B$3&gt;=10</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Skills!G22*IF(Skills!H22&gt;0,Skills!I22/Skills!H22,1)</f>
        <v/>
      </c>
      <c r="H93">
        <f>1-(1-Skills!J22/100)^Skills!K22</f>
        <v/>
      </c>
      <c r="I93" t="inlineStr">
        <is>
          <t>1</t>
        </is>
      </c>
      <c r="J93" t="inlineStr"/>
      <c r="K93" t="inlineStr"/>
      <c r="L93" t="inlineStr"/>
      <c r="M93" t="inlineStr"/>
      <c r="N93" t="inlineStr"/>
      <c r="O93">
        <f>(1-Summary!$B$11)*T93+Summary!$B$11*V93</f>
        <v/>
      </c>
      <c r="P93">
        <f>IF(B115=0,0,O93/B115)</f>
        <v/>
      </c>
      <c r="Q93" t="n">
        <v>0</v>
      </c>
      <c r="R93" t="n">
        <v>0</v>
      </c>
      <c r="S93">
        <f>IFERROR(O93/N93,0)</f>
        <v/>
      </c>
      <c r="T93" t="n">
        <v>0</v>
      </c>
      <c r="V93" t="n">
        <v>0</v>
      </c>
    </row>
    <row r="94">
      <c r="A94">
        <f>Skills!A23</f>
        <v/>
      </c>
      <c r="B94">
        <f>Skills!B23</f>
        <v/>
      </c>
      <c r="C94">
        <f>Inputs!$B$3&gt;=33</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Skills!G23*IF(Skills!H23&gt;0,Skills!I23/Skills!H23,1)</f>
        <v/>
      </c>
      <c r="H94">
        <f>1-(1-Skills!J23/100)^Skills!K23</f>
        <v/>
      </c>
      <c r="I94" t="inlineStr">
        <is>
          <t>1</t>
        </is>
      </c>
      <c r="J94" t="inlineStr"/>
      <c r="K94" t="inlineStr"/>
      <c r="L94" t="inlineStr"/>
      <c r="M94" t="inlineStr"/>
      <c r="N94" t="inlineStr"/>
      <c r="O94">
        <f>(1-Summary!$B$11)*T94+Summary!$B$11*V94</f>
        <v/>
      </c>
      <c r="P94">
        <f>IF(B115=0,0,O94/B115)</f>
        <v/>
      </c>
      <c r="Q94" t="n">
        <v>0</v>
      </c>
      <c r="R94" t="n">
        <v>0</v>
      </c>
      <c r="S94">
        <f>IFERROR(O94/N94,0)</f>
        <v/>
      </c>
      <c r="T94" t="n">
        <v>0</v>
      </c>
      <c r="V94" t="n">
        <v>0</v>
      </c>
    </row>
    <row r="95">
      <c r="A95">
        <f>Skills!A24</f>
        <v/>
      </c>
      <c r="B95">
        <f>Skills!B24</f>
        <v/>
      </c>
      <c r="C95">
        <f>Inputs!$B$3&gt;=38</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Skills!G24*IF(Skills!H24&gt;0,Skills!I24/Skills!H24,1)</f>
        <v/>
      </c>
      <c r="H95">
        <f>1-(1-Skills!J24/100)^Skills!K24</f>
        <v/>
      </c>
      <c r="I95" t="inlineStr">
        <is>
          <t>1</t>
        </is>
      </c>
      <c r="J95" t="inlineStr"/>
      <c r="K95" t="inlineStr"/>
      <c r="L95" t="inlineStr"/>
      <c r="M95" t="inlineStr"/>
      <c r="N95" t="inlineStr"/>
      <c r="O95">
        <f>(1-Summary!$B$11)*T95+Summary!$B$11*V95</f>
        <v/>
      </c>
      <c r="P95">
        <f>IF(B115=0,0,O95/B115)</f>
        <v/>
      </c>
      <c r="Q95" t="n">
        <v>0</v>
      </c>
      <c r="R95" t="n">
        <v>0</v>
      </c>
      <c r="S95">
        <f>IFERROR(O95/N95,0)</f>
        <v/>
      </c>
      <c r="T95" t="n">
        <v>0</v>
      </c>
      <c r="V95" t="n">
        <v>0</v>
      </c>
    </row>
    <row r="96">
      <c r="A96">
        <f>Skills!A25</f>
        <v/>
      </c>
      <c r="B96">
        <f>Skills!B25</f>
        <v/>
      </c>
      <c r="C96">
        <f>Inputs!$B$3&gt;=43</f>
        <v/>
      </c>
      <c r="D96">
        <f>IF(Skills!C25=1,60+Inputs!$B$25+Inputs!$B$29,IF(Skills!C25=2,90+Inputs!$B$26+Inputs!$B$29,IF(Skills!C25=3,120+Inputs!$B$27+Inputs!$B$29,MAX(0,(Inputs!$B$3-100)*3)+Inputs!$B$28+Inputs!$B$29)))</f>
        <v/>
      </c>
      <c r="E96">
        <f>INDEX(FactorTable!$B$2:$Y$301, MATCH(ROUND(MIN(300,MAX(1,D96)),0), FactorTable!$A$2:$A$301,0), Skills!M25+1)</f>
        <v/>
      </c>
      <c r="F96">
        <f>IF(Skills!N25=TRUE,(Skills!L25/10)*(E96/1000),Skills!L25/10)+Skills!O25</f>
        <v/>
      </c>
      <c r="G96">
        <f>Skills!G25*IF(Skills!H25&gt;0,Skills!I25/Skills!H25,1)</f>
        <v/>
      </c>
      <c r="H96">
        <f>1-(1-Skills!J25/100)^Skills!K25</f>
        <v/>
      </c>
      <c r="I96" t="inlineStr">
        <is>
          <t>1</t>
        </is>
      </c>
      <c r="J96" t="inlineStr"/>
      <c r="K96" t="inlineStr"/>
      <c r="L96" t="inlineStr"/>
      <c r="M96" t="inlineStr"/>
      <c r="N96" t="inlineStr"/>
      <c r="O96">
        <f>(1-Summary!$B$11)*T96+Summary!$B$11*V96</f>
        <v/>
      </c>
      <c r="P96">
        <f>IF(B115=0,0,O96/B115)</f>
        <v/>
      </c>
      <c r="Q96" t="n">
        <v>0</v>
      </c>
      <c r="R96" t="n">
        <v>0</v>
      </c>
      <c r="S96">
        <f>IFERROR(O96/N96,0)</f>
        <v/>
      </c>
      <c r="T96" t="n">
        <v>0</v>
      </c>
      <c r="V96" t="n">
        <v>0</v>
      </c>
    </row>
    <row r="97">
      <c r="A97">
        <f>Skills!A26</f>
        <v/>
      </c>
      <c r="B97">
        <f>Skills!B26</f>
        <v/>
      </c>
      <c r="C97">
        <f>Inputs!$B$3&gt;=75</f>
        <v/>
      </c>
      <c r="D97">
        <f>IF(Skills!C26=1,60+Inputs!$B$25+Inputs!$B$29,IF(Skills!C26=2,90+Inputs!$B$26+Inputs!$B$29,IF(Skills!C26=3,120+Inputs!$B$27+Inputs!$B$29,MAX(0,(Inputs!$B$3-100)*3)+Inputs!$B$28+Inputs!$B$29)))</f>
        <v/>
      </c>
      <c r="E97">
        <f>INDEX(FactorTable!$B$2:$Y$301, MATCH(ROUND(MIN(300,MAX(1,D97)),0), FactorTable!$A$2:$A$301,0), Skills!M26+1)</f>
        <v/>
      </c>
      <c r="F97">
        <f>IF(Skills!N26=TRUE,(Skills!L26/10)*(E97/1000),Skills!L26/10)+Skills!O26</f>
        <v/>
      </c>
      <c r="G97">
        <f>Skills!G26*IF(Skills!H26&gt;0,Skills!I26/Skills!H26,1)</f>
        <v/>
      </c>
      <c r="H97">
        <f>1-(1-Skills!J26/100)^Skills!K26</f>
        <v/>
      </c>
      <c r="I97" t="inlineStr">
        <is>
          <t>1</t>
        </is>
      </c>
      <c r="J97" t="inlineStr"/>
      <c r="K97" t="inlineStr"/>
      <c r="L97" t="inlineStr"/>
      <c r="M97" t="inlineStr"/>
      <c r="N97" t="inlineStr"/>
      <c r="O97">
        <f>(1-Summary!$B$11)*T97+Summary!$B$11*V97</f>
        <v/>
      </c>
      <c r="P97">
        <f>IF(B115=0,0,O97/B115)</f>
        <v/>
      </c>
      <c r="Q97" t="n">
        <v>0</v>
      </c>
      <c r="R97" t="n">
        <v>0</v>
      </c>
      <c r="S97">
        <f>IFERROR(O97/N97,0)</f>
        <v/>
      </c>
      <c r="T97" t="n">
        <v>0</v>
      </c>
      <c r="V97" t="n">
        <v>0</v>
      </c>
    </row>
    <row r="98">
      <c r="A98">
        <f>Skills!A27</f>
        <v/>
      </c>
      <c r="B98">
        <f>Skills!B27</f>
        <v/>
      </c>
      <c r="C98">
        <f>Inputs!$B$3&gt;=125</f>
        <v/>
      </c>
      <c r="D98">
        <f>IF(Skills!C27=1,60+Inputs!$B$25+Inputs!$B$29,IF(Skills!C27=2,90+Inputs!$B$26+Inputs!$B$29,IF(Skills!C27=3,120+Inputs!$B$27+Inputs!$B$29,MAX(0,(Inputs!$B$3-100)*3)+Inputs!$B$28+Inputs!$B$29)))</f>
        <v/>
      </c>
      <c r="E98">
        <f>INDEX(FactorTable!$B$2:$Y$301, MATCH(ROUND(MIN(300,MAX(1,D98)),0), FactorTable!$A$2:$A$301,0), Skills!M27+1)</f>
        <v/>
      </c>
      <c r="F98">
        <f>IF(Skills!N27=TRUE,(Skills!L27/10)*(E98/1000),Skills!L27/10)+Skills!O27</f>
        <v/>
      </c>
      <c r="G98">
        <f>Skills!G27*IF(Skills!H27&gt;0,Skills!I27/Skills!H27,1)</f>
        <v/>
      </c>
      <c r="H98">
        <f>1-(1-Skills!J27/100)^Skills!K27</f>
        <v/>
      </c>
      <c r="I98" t="inlineStr">
        <is>
          <t>1</t>
        </is>
      </c>
      <c r="J98" t="inlineStr"/>
      <c r="K98" t="inlineStr"/>
      <c r="L98" t="inlineStr"/>
      <c r="M98" t="inlineStr"/>
      <c r="N98" t="inlineStr"/>
      <c r="O98">
        <f>(1-Summary!$B$11)*T98+Summary!$B$11*V98</f>
        <v/>
      </c>
      <c r="P98">
        <f>IF(B115=0,0,O98/B115)</f>
        <v/>
      </c>
      <c r="Q98" t="n">
        <v>0</v>
      </c>
      <c r="R98" t="n">
        <v>0</v>
      </c>
      <c r="S98">
        <f>IFERROR(O98/N98,0)</f>
        <v/>
      </c>
      <c r="T98" t="n">
        <v>0</v>
      </c>
      <c r="V98" t="n">
        <v>0</v>
      </c>
    </row>
    <row r="99">
      <c r="A99">
        <f>Skills!A28</f>
        <v/>
      </c>
      <c r="B99">
        <f>Skills!B28</f>
        <v/>
      </c>
      <c r="C99">
        <f>Inputs!$B$3&gt;=125</f>
        <v/>
      </c>
      <c r="D99">
        <f>IF(Skills!C28=1,60+Inputs!$B$25+Inputs!$B$29,IF(Skills!C28=2,90+Inputs!$B$26+Inputs!$B$29,IF(Skills!C28=3,120+Inputs!$B$27+Inputs!$B$29,MAX(0,(Inputs!$B$3-100)*3)+Inputs!$B$28+Inputs!$B$29)))</f>
        <v/>
      </c>
      <c r="E99">
        <f>INDEX(FactorTable!$B$2:$Y$301, MATCH(ROUND(MIN(300,MAX(1,D99)),0), FactorTable!$A$2:$A$301,0), Skills!M28+1)</f>
        <v/>
      </c>
      <c r="F99">
        <f>IF(Skills!N28=TRUE,(Skills!L28/10)*(E99/1000),Skills!L28/10)+Skills!O28</f>
        <v/>
      </c>
      <c r="G99">
        <f>Skills!G28*IF(Skills!H28&gt;0,Skills!I28/Skills!H28,1)</f>
        <v/>
      </c>
      <c r="H99">
        <f>1-(1-Skills!J28/100)^Skills!K28</f>
        <v/>
      </c>
      <c r="I99" t="inlineStr">
        <is>
          <t>1</t>
        </is>
      </c>
      <c r="J99" t="inlineStr"/>
      <c r="K99" t="inlineStr"/>
      <c r="L99" t="inlineStr"/>
      <c r="M99" t="inlineStr"/>
      <c r="N99" t="inlineStr"/>
      <c r="O99">
        <f>(1-Summary!$B$11)*T99+Summary!$B$11*V99</f>
        <v/>
      </c>
      <c r="P99">
        <f>IF(B115=0,0,O99/B115)</f>
        <v/>
      </c>
      <c r="Q99" t="n">
        <v>0</v>
      </c>
      <c r="R99" t="n">
        <v>0</v>
      </c>
      <c r="S99">
        <f>IFERROR(O99/N99,0)</f>
        <v/>
      </c>
      <c r="T99" t="n">
        <v>0</v>
      </c>
      <c r="V99" t="n">
        <v>0</v>
      </c>
    </row>
    <row r="100">
      <c r="A100">
        <f>Skills!A29</f>
        <v/>
      </c>
      <c r="B100">
        <f>Skills!B29</f>
        <v/>
      </c>
      <c r="C100">
        <f>Inputs!$B$3&gt;=120</f>
        <v/>
      </c>
      <c r="D100">
        <f>IF(Skills!C29=1,60+Inputs!$B$25+Inputs!$B$29,IF(Skills!C29=2,90+Inputs!$B$26+Inputs!$B$29,IF(Skills!C29=3,120+Inputs!$B$27+Inputs!$B$29,MAX(0,(Inputs!$B$3-100)*3)+Inputs!$B$28+Inputs!$B$29)))</f>
        <v/>
      </c>
      <c r="E100">
        <f>INDEX(FactorTable!$B$2:$Y$301, MATCH(ROUND(MIN(300,MAX(1,D100)),0), FactorTable!$A$2:$A$301,0), Skills!M29+1)</f>
        <v/>
      </c>
      <c r="F100">
        <f>IF(Skills!N29=TRUE,(Skills!L29/10)*(E100/1000),Skills!L29/10)+Skills!O29</f>
        <v/>
      </c>
      <c r="G100">
        <f>Skills!G29*IF(Skills!H29&gt;0,Skills!I29/Skills!H29,1)</f>
        <v/>
      </c>
      <c r="H100">
        <f>1-(1-Skills!J29/100)^Skills!K29</f>
        <v/>
      </c>
      <c r="I100" t="inlineStr">
        <is>
          <t>1</t>
        </is>
      </c>
      <c r="J100" t="inlineStr"/>
      <c r="K100" t="inlineStr"/>
      <c r="L100" t="inlineStr"/>
      <c r="M100" t="inlineStr"/>
      <c r="N100" t="inlineStr"/>
      <c r="O100">
        <f>(1-Summary!$B$11)*T100+Summary!$B$11*V100</f>
        <v/>
      </c>
      <c r="P100">
        <f>IF(B115=0,0,O100/B115)</f>
        <v/>
      </c>
      <c r="Q100" t="n">
        <v>0</v>
      </c>
      <c r="R100" t="n">
        <v>0</v>
      </c>
      <c r="S100">
        <f>IFERROR(O100/N100,0)</f>
        <v/>
      </c>
      <c r="T100" t="n">
        <v>0</v>
      </c>
      <c r="V100" t="n">
        <v>0</v>
      </c>
    </row>
    <row r="101">
      <c r="A101">
        <f>Skills!A30</f>
        <v/>
      </c>
      <c r="B101">
        <f>Skills!B30</f>
        <v/>
      </c>
      <c r="C101">
        <f>Inputs!$B$3&gt;=120</f>
        <v/>
      </c>
      <c r="D101">
        <f>IF(Skills!C30=1,60+Inputs!$B$25+Inputs!$B$29,IF(Skills!C30=2,90+Inputs!$B$26+Inputs!$B$29,IF(Skills!C30=3,120+Inputs!$B$27+Inputs!$B$29,MAX(0,(Inputs!$B$3-100)*3)+Inputs!$B$28+Inputs!$B$29)))</f>
        <v/>
      </c>
      <c r="E101">
        <f>INDEX(FactorTable!$B$2:$Y$301, MATCH(ROUND(MIN(300,MAX(1,D101)),0), FactorTable!$A$2:$A$301,0), Skills!M30+1)</f>
        <v/>
      </c>
      <c r="F101">
        <f>IF(Skills!N30=TRUE,(Skills!L30/10)*(E101/1000),Skills!L30/10)+Skills!O30</f>
        <v/>
      </c>
      <c r="G101">
        <f>Skills!G30*IF(Skills!H30&gt;0,Skills!I30/Skills!H30,1)</f>
        <v/>
      </c>
      <c r="H101">
        <f>1-(1-Skills!J30/100)^Skills!K30</f>
        <v/>
      </c>
      <c r="I101" t="inlineStr">
        <is>
          <t>1</t>
        </is>
      </c>
      <c r="J101" t="inlineStr"/>
      <c r="K101" t="inlineStr"/>
      <c r="L101" t="inlineStr"/>
      <c r="M101" t="inlineStr"/>
      <c r="N101" t="inlineStr"/>
      <c r="O101">
        <f>(1-Summary!$B$11)*T101+Summary!$B$11*V101</f>
        <v/>
      </c>
      <c r="P101">
        <f>IF(B115=0,0,O101/B115)</f>
        <v/>
      </c>
      <c r="Q101" t="n">
        <v>0</v>
      </c>
      <c r="R101" t="n">
        <v>0</v>
      </c>
      <c r="S101">
        <f>IFERROR(O101/N101,0)</f>
        <v/>
      </c>
      <c r="T101" t="n">
        <v>0</v>
      </c>
      <c r="V101" t="n">
        <v>0</v>
      </c>
    </row>
    <row r="102">
      <c r="A102">
        <f>Skills!A31</f>
        <v/>
      </c>
      <c r="B102">
        <f>Skills!B31</f>
        <v/>
      </c>
      <c r="C102">
        <f>Inputs!$B$3&gt;=45</f>
        <v/>
      </c>
      <c r="D102">
        <f>IF(Skills!C31=1,60+Inputs!$B$25+Inputs!$B$29,IF(Skills!C31=2,90+Inputs!$B$26+Inputs!$B$29,IF(Skills!C31=3,120+Inputs!$B$27+Inputs!$B$29,MAX(0,(Inputs!$B$3-100)*3)+Inputs!$B$28+Inputs!$B$29)))</f>
        <v/>
      </c>
      <c r="E102">
        <f>INDEX(FactorTable!$B$2:$Y$301, MATCH(ROUND(MIN(300,MAX(1,D102)),0), FactorTable!$A$2:$A$301,0), Skills!M31+1)</f>
        <v/>
      </c>
      <c r="F102">
        <f>IF(Skills!N31=TRUE,(Skills!L31/10)*(E102/1000),Skills!L31/10)+Skills!O31</f>
        <v/>
      </c>
      <c r="G102">
        <f>Skills!G31*IF(Skills!H31&gt;0,Skills!I31/Skills!H31,1)</f>
        <v/>
      </c>
      <c r="H102">
        <f>1-(1-Skills!J31/100)^Skills!K31</f>
        <v/>
      </c>
      <c r="I102" t="inlineStr">
        <is>
          <t>1</t>
        </is>
      </c>
      <c r="J102" t="inlineStr"/>
      <c r="K102" t="inlineStr"/>
      <c r="L102" t="inlineStr"/>
      <c r="M102" t="inlineStr"/>
      <c r="N102" t="inlineStr"/>
      <c r="O102">
        <f>(1-Summary!$B$11)*T102+Summary!$B$11*V102</f>
        <v/>
      </c>
      <c r="P102">
        <f>IF(B115=0,0,O102/B115)</f>
        <v/>
      </c>
      <c r="Q102" t="n">
        <v>0</v>
      </c>
      <c r="R102" t="n">
        <v>0</v>
      </c>
      <c r="S102">
        <f>IFERROR(O102/N102,0)</f>
        <v/>
      </c>
      <c r="T102" t="n">
        <v>0</v>
      </c>
      <c r="V102" t="n">
        <v>0</v>
      </c>
    </row>
    <row r="104">
      <c r="A104" t="inlineStr">
        <is>
          <t>Attack% Bucket Multiplier</t>
        </is>
      </c>
      <c r="B104">
        <f>(1+(((C85=TRUE)*F85)+((C86=TRUE)*IF(Inputs!$B$38="pvp",F86,(1-Summary!$B$11)*(F86)+Summary!$B$11*(0)))+((C87=TRUE)*F87*IF(AND(Inputs!$B$38&lt;&gt;"pvp",Inputs!$B$43&gt;0),(((R87-1)*(Skills!T16*(1+Inputs!$B$34/100))+MIN((Skills!T16*(1+Inputs!$B$34/100)),MAX(0,Inputs!$B$43-((R87-1)*Skills!D16))))/Inputs!$B$43),IF(Inputs!$B$38="pvp",MIN((Skills!T16*(1+Inputs!$B$34/100)),15)/15,(Skills!T16*(1+Inputs!$B$34/100))/Skills!D16)))+((C102=TRUE)*(F102-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5">
      <c r="A105" t="inlineStr">
        <is>
          <t>Global Crit Rate Bonus %</t>
        </is>
      </c>
      <c r="B105">
        <f>(C88=TRUE)*20*IF(AND(Inputs!$B$38&lt;&gt;"pvp",Inputs!$B$43&gt;0),(((R88-1)*(Skills!T17*(1+Inputs!$B$34/100))+MIN((Skills!T17*(1+Inputs!$B$34/100)),MAX(0,Inputs!$B$43-((R88-1)*Skills!D17))))/Inputs!$B$43),IF(Inputs!$B$38="pvp",MIN((Skills!T17*(1+Inputs!$B$34/100)),15)/15,(Skills!T17*(1+Inputs!$B$34/100))/Skills!D17))</f>
        <v/>
      </c>
    </row>
    <row r="106">
      <c r="A106" t="inlineStr">
        <is>
          <t>Attack Speed Buff Bonus %</t>
        </is>
      </c>
      <c r="B106">
        <f>((C91=TRUE)*F91*IF(AND(Inputs!$B$38&lt;&gt;"pvp",Inputs!$B$43&gt;0),(((R91-1)*(Skills!T20*(1+Inputs!$B$34/100))+MIN((Skills!T20*(1+Inputs!$B$34/100)),MAX(0,Inputs!$B$43-((R91-1)*Skills!D20))))/Inputs!$B$43),IF(Inputs!$B$38="pvp",MIN((Skills!T20*(1+Inputs!$B$34/100)),15)/15,(Skills!T20*(1+Inputs!$B$34/100))/Skills!D20)))</f>
        <v/>
      </c>
    </row>
    <row r="107">
      <c r="A107" t="inlineStr">
        <is>
          <t>Actions Per Second</t>
        </is>
      </c>
      <c r="B107">
        <f>1+MIN(150,150*(1-(1-(Inputs!$B$11+((C93=TRUE)*(F93-Calc!F22))+((C94=TRUE)*(F94-Calc!F23)))/150)*(1-B106/150)))/100</f>
        <v/>
      </c>
    </row>
    <row r="108">
      <c r="A108" t="inlineStr">
        <is>
          <t>Skill + Buff Cast Rate</t>
        </is>
      </c>
      <c r="B108">
        <f>IF(AND(Inputs!$B$38&lt;&gt;"pvp",Inputs!$B$43&gt;0),SUMPRODUCT((Skills!E2:E31=TRUE)*(C73:C102=TRUE)*R73:R102*Skills!F2:F31)/Inputs!$B$43,SUMPRODUCT((Skills!E2:E31=TRUE)*(C73:C102=TRUE)*Q73:Q102*Skills!F2:F31))</f>
        <v/>
      </c>
    </row>
    <row r="109">
      <c r="A109" t="inlineStr">
        <is>
          <t>Arrow Stream Casts Per Second</t>
        </is>
      </c>
      <c r="B109">
        <f>MAX(0,B107-B108)</f>
        <v/>
      </c>
    </row>
    <row r="110">
      <c r="A110" t="inlineStr">
        <is>
          <t>Global Critical Damage Bonus % (Sharp Eyes + Concentration)</t>
        </is>
      </c>
      <c r="B110">
        <f>(C88=TRUE)*F88*IF(AND(Inputs!$B$38&lt;&gt;"pvp",Inputs!$B$43&gt;0),(((R88-1)*(Skills!T17*(1+Inputs!$B$34/100))+MIN((Skills!T17*(1+Inputs!$B$34/100)),MAX(0,Inputs!$B$43-((R88-1)*Skills!D17))))/Inputs!$B$43),IF(Inputs!$B$38="pvp",MIN((Skills!T17*(1+Inputs!$B$34/100)),15)/15,(Skills!T17*(1+Inputs!$B$34/100))/Skills!D17))+(C89=TRUE)*30</f>
        <v/>
      </c>
    </row>
    <row r="111">
      <c r="A111" t="inlineStr">
        <is>
          <t>Global Final Damage Bonus % (Mortal Blow)</t>
        </is>
      </c>
      <c r="B111">
        <f>(C90=TRUE)*F90</f>
        <v/>
      </c>
    </row>
    <row r="112">
      <c r="A112" t="inlineStr">
        <is>
          <t>Buff-Casting Startup Delay (s, fixed-duration only)</t>
        </is>
      </c>
      <c r="B112">
        <f>IF(AND(Inputs!$B$38&lt;&gt;"pvp",Inputs!$B$43&gt;0),SUMPRODUCT((Skills!T2:T31&gt;0)*(Skills!E2:E31=TRUE)*(C73:C102=TRUE))/B107,0)</f>
        <v/>
      </c>
    </row>
    <row r="113">
      <c r="A113" t="inlineStr">
        <is>
          <t>Boss-Only Total DPS (this block's swept value)</t>
        </is>
      </c>
      <c r="B113">
        <f>SUM(T73:T102)</f>
        <v/>
      </c>
    </row>
    <row r="114">
      <c r="A114" t="inlineStr">
        <is>
          <t>Normal-Only Total DPS (this block's swept value)</t>
        </is>
      </c>
      <c r="B114">
        <f>SUM(V73:V102)</f>
        <v/>
      </c>
    </row>
    <row r="115">
      <c r="A115" s="6" t="inlineStr">
        <is>
          <t>TOTAL DPS</t>
        </is>
      </c>
      <c r="B115" s="6">
        <f>SUM(O73:O102)</f>
        <v/>
      </c>
    </row>
    <row r="118">
      <c r="A118" s="6" t="inlineStr">
        <is>
          <t>Stat: DEX %</t>
        </is>
      </c>
    </row>
    <row r="119">
      <c r="A119" s="5" t="inlineStr">
        <is>
          <t>Key</t>
        </is>
      </c>
      <c r="B119" s="5" t="inlineStr">
        <is>
          <t>Name</t>
        </is>
      </c>
      <c r="C119" s="5" t="inlineStr">
        <is>
          <t>Unlocked</t>
        </is>
      </c>
      <c r="D119" s="5" t="inlineStr">
        <is>
          <t>InputLevel</t>
        </is>
      </c>
      <c r="E119" s="5" t="inlineStr">
        <is>
          <t>Factor</t>
        </is>
      </c>
      <c r="F119" s="5" t="inlineStr">
        <is>
          <t>CoefficientPercent</t>
        </is>
      </c>
      <c r="G119" s="5" t="inlineStr">
        <is>
          <t>EffectiveHits</t>
        </is>
      </c>
      <c r="H119" s="5" t="inlineStr">
        <is>
          <t>ProcProbability</t>
        </is>
      </c>
      <c r="I119" s="5" t="inlineStr">
        <is>
          <t>MapleHeroMultiplier</t>
        </is>
      </c>
      <c r="J119" s="5" t="inlineStr">
        <is>
          <t>BaseDamage</t>
        </is>
      </c>
      <c r="K119" s="5" t="inlineStr">
        <is>
          <t>BaseHitDamage</t>
        </is>
      </c>
      <c r="L119" s="5" t="inlineStr">
        <is>
          <t>NonCritAvg</t>
        </is>
      </c>
      <c r="M119" s="5" t="inlineStr">
        <is>
          <t>CritAvg</t>
        </is>
      </c>
      <c r="N119" s="5" t="inlineStr">
        <is>
          <t>ExpectedDamage(perHit)</t>
        </is>
      </c>
      <c r="O119" s="5" t="inlineStr">
        <is>
          <t>DPS</t>
        </is>
      </c>
      <c r="P119" s="5" t="inlineStr">
        <is>
          <t>% of Total</t>
        </is>
      </c>
      <c r="Q119" s="5" t="inlineStr">
        <is>
          <t>InvCooldown</t>
        </is>
      </c>
      <c r="R119" s="5" t="inlineStr">
        <is>
          <t>CastsInFight</t>
        </is>
      </c>
      <c r="S119" s="5" t="inlineStr">
        <is>
          <t>HitRate(perSec)</t>
        </is>
      </c>
      <c r="U119" t="inlineStr">
        <is>
          <t>helpers</t>
        </is>
      </c>
    </row>
    <row r="120">
      <c r="A120">
        <f>Skills!A2</f>
        <v/>
      </c>
      <c r="B120">
        <f>Skills!B2</f>
        <v/>
      </c>
      <c r="C120">
        <f>Inputs!$B$3&gt;=100</f>
        <v/>
      </c>
      <c r="D120" t="inlineStr"/>
      <c r="E120" t="inlineStr"/>
      <c r="F120">
        <f>U122+Skills!O2</f>
        <v/>
      </c>
      <c r="G120">
        <f>Skills!G2*IF(Skills!H2&gt;0,Skills!I2/Skills!H2,1)</f>
        <v/>
      </c>
      <c r="H120">
        <f>1-(1-Skills!J2/100)^Skills!K2</f>
        <v/>
      </c>
      <c r="I120" t="inlineStr">
        <is>
          <t>1</t>
        </is>
      </c>
      <c r="J120">
        <f>((Inputs!$B$6*(1+Inputs!$B$7/100))+(((Inputs!$B$12*(1+(Inputs!$B$13+1)/100))-(Inputs!$B$12*(1+Inputs!$B$13/100)))+0.25*(Inputs!$B$14-Inputs!$B$14))*(1+Inputs!$B$7/100))*(F120/100)</f>
        <v/>
      </c>
      <c r="K120">
        <f>J120*(1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f>
        <v/>
      </c>
      <c r="L120">
        <f>K120*(MIN(Inputs!$B$22+((C143=TRUE)*(F143-Calc!F25)),(Inputs!$B$23+((C148=TRUE)*(F148-Calc!F30))+(IF(ArtifactsInput!$M$15,CHOOSE(ArtifactsInput!$N$15+1,25,30,35,40,45,50)/100*(Inputs!$B$11-Inputs!$B$11),0))))/100+(Inputs!$B$23+((C148=TRUE)*(F148-Calc!F30))+(IF(ArtifactsInput!$M$15,CHOOSE(ArtifactsInput!$N$15+1,25,30,35,40,45,50)/100*(Inputs!$B$11-Inputs!$B$11),0)))/100)/2</f>
        <v/>
      </c>
      <c r="M120">
        <f>L120*(1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(1-Summary!$B$11)*T120+Summary!$B$11*V120</f>
        <v/>
      </c>
      <c r="P120">
        <f>IF(B162=0,0,O120/B162)</f>
        <v/>
      </c>
      <c r="Q120" t="n">
        <v>0</v>
      </c>
      <c r="R120" t="n">
        <v>0</v>
      </c>
      <c r="S120">
        <f>IFERROR(O120/N120,0)</f>
        <v/>
      </c>
      <c r="T120">
        <f>IF(C120,(Skills!G2*N120*B156)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120*(1-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
        <f>MAX(0,(Inputs!$B$3-100)*3)+Inputs!$B$28+Inputs!$B$29</f>
        <v/>
      </c>
      <c r="V120">
        <f>IF(C120,(Skills!G2*N120*B156)*IF(Inputs!$B$38="pvp",1,(1+(Inputs!$B$21+Skills!Q2+(IF(ArtifactsInput!$M$33,CHOOSE(ArtifactsInput!$N$33+1,30,36,42,48,54,60),0))+(IF(AND(ArtifactsInput!$M$35,Inputs!$B$4&lt;&gt;"Chapter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Skills!A3</f>
        <v/>
      </c>
      <c r="B121">
        <f>Skills!B3</f>
        <v/>
      </c>
      <c r="C121">
        <f>Inputs!$B$3&gt;=50</f>
        <v/>
      </c>
      <c r="D121">
        <f>IF(Skills!C3=1,60+Inputs!$B$25+Inputs!$B$29,IF(Skills!C3=2,90+Inputs!$B$26+Inputs!$B$29,IF(Skills!C3=3,120+Inputs!$B$27+Inputs!$B$29,MAX(0,(Inputs!$B$3-100)*3)+Inputs!$B$28+Inputs!$B$29)))</f>
        <v/>
      </c>
      <c r="E121">
        <f>INDEX(FactorTable!$B$2:$Y$301, MATCH(ROUND(MIN(300,MAX(1,D121)),0), FactorTable!$A$2:$A$301,0), Skills!M3+1)</f>
        <v/>
      </c>
      <c r="F121">
        <f>IF(Skills!N3=TRUE,(Skills!L3/10)*(E121/1000),Skills!L3/10)+Skills!O3</f>
        <v/>
      </c>
      <c r="G121">
        <f>Skills!G3*IF(Skills!H3&gt;0,Skills!I3/Skills!H3,1)</f>
        <v/>
      </c>
      <c r="H121">
        <f>1-(1-Skills!J3/100)^Skills!K3</f>
        <v/>
      </c>
      <c r="I121" t="inlineStr">
        <is>
          <t>1</t>
        </is>
      </c>
      <c r="J121">
        <f>((Inputs!$B$6*(1+Inputs!$B$7/100))+(((Inputs!$B$12*(1+(Inputs!$B$13+1)/100))-(Inputs!$B$12*(1+Inputs!$B$13/100)))+0.25*(Inputs!$B$14-Inputs!$B$14))*(1+Inputs!$B$7/100))*(F121/100)</f>
        <v/>
      </c>
      <c r="K121">
        <f>J121*(1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122=TRUE,F122,0)/100)*(1+(IF(Skills!A3="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C143=TRUE)*(F143-Calc!F25)),(Inputs!$B$23+((C148=TRUE)*(F148-Calc!F30))+(IF(ArtifactsInput!$M$15,CHOOSE(ArtifactsInput!$N$15+1,25,30,35,40,45,50)/100*(Inputs!$B$11-Inputs!$B$11),0))))/100+(Inputs!$B$23+((C148=TRUE)*(F148-Calc!F30))+(IF(ArtifactsInput!$M$15,CHOOSE(ArtifactsInput!$N$15+1,25,30,35,40,45,50)/100*(Inputs!$B$11-Inputs!$B$11),0)))/100)/2</f>
        <v/>
      </c>
      <c r="M121">
        <f>L121*(1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(1-Summary!$B$11)*T121+Summary!$B$11*V121</f>
        <v/>
      </c>
      <c r="P121">
        <f>IF(B162=0,0,O121/B162)</f>
        <v/>
      </c>
      <c r="Q121">
        <f>IFERROR(1/(IF(Inputs!$B$38="pvp",15,MAX(0.1,Skills!D3-IF(Skills!E3=TRUE,Inputs!$B$32,0)))*(1-IF(AND(ArtifactsInput!$M$27,Inputs!$B$4="Chapter Hunt"),CHOOSE(ArtifactsInput!$N$27+1,20,24,28,32,36,40),0)/100)),0)</f>
        <v/>
      </c>
      <c r="R121">
        <f>IF(AND(Inputs!$B$38&lt;&gt;"pvp",Inputs!$B$43&gt;0),IF(MAX(0,Inputs!$B$43-B159)&lt;=0,0,(INT(MAX(0,Inputs!$B$43-B159)/(IF(Inputs!$B$38="pvp",15,MAX(0.1,Skills!D3-IF(Skills!E3=TRUE,Inputs!$B$32,0)))*(1-IF(AND(ArtifactsInput!$M$27,Inputs!$B$4="Chapter Hunt"),CHOOSE(ArtifactsInput!$N$27+1,20,24,28,32,36,40),0)/100)))+1)),0)</f>
        <v/>
      </c>
      <c r="S121">
        <f>IFERROR(O121/N121,0)</f>
        <v/>
      </c>
      <c r="T121">
        <f>IF(C121,(H121*N121*IF(AND(Inputs!$B$38&lt;&gt;"pvp",Inputs!$B$43&gt;0),((Skills!G3*((R121-1)*IF(Skills!H3&gt;0,Skills!I3/Skills!H3,1)+IF(Skills!H3&gt;0,MIN(Skills!I3,MAX(0,MAX(0,Inputs!$B$43-B159)-((R121-1)*(IF(Inputs!$B$38="pvp",15,MAX(0.1,Skills!D3-IF(Skills!E3=TRUE,Inputs!$B$32,0)))*(1-IF(AND(ArtifactsInput!$M$27,Inputs!$B$4="Chapter Hunt"),CHOOSE(ArtifactsInput!$N$27+1,20,24,28,32,36,40),0)/100)))))/Skills!H3,1)))/Inputs!$B$43),G121*Q121)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121*(1-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1">
        <f>INDEX(FactorTable!$B$2:$Y$301, MATCH(ROUND(MIN(300,MAX(1,U120)),0), FactorTable!$A$2:$A$301,0), 22)</f>
        <v/>
      </c>
      <c r="V121">
        <f>IF(C121,(H121*N121*IF(AND(Inputs!$B$38&lt;&gt;"pvp",Inputs!$B$43&gt;0),((Skills!G3*((R121-1)*IF(Skills!H3&gt;0,Skills!I3/Skills!H3,1)+IF(Skills!H3&gt;0,MIN(Skills!I3,MAX(0,MAX(0,Inputs!$B$43-B159)-((R121-1)*(IF(Inputs!$B$38="pvp",15,MAX(0.1,Skills!D3-IF(Skills!E3=TRUE,Inputs!$B$32,0)))*(1-IF(AND(ArtifactsInput!$M$27,Inputs!$B$4="Chapter Hunt"),CHOOSE(ArtifactsInput!$N$27+1,20,24,28,32,36,40),0)/100)))))/Skills!H3,1)))/Inputs!$B$43),G121*Q121))*IF(Inputs!$B$38="pvp",1,(1+(Inputs!$B$21+Skills!Q3+(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Skills!A4</f>
        <v/>
      </c>
      <c r="B122">
        <f>Skills!B4</f>
        <v/>
      </c>
      <c r="C122">
        <f>Inputs!$B$3&gt;=105</f>
        <v/>
      </c>
      <c r="D122">
        <f>IF(Skills!C4=1,60+Inputs!$B$25+Inputs!$B$29,IF(Skills!C4=2,90+Inputs!$B$26+Inputs!$B$29,IF(Skills!C4=3,120+Inputs!$B$27+Inputs!$B$29,MAX(0,(Inputs!$B$3-100)*3)+Inputs!$B$28+Inputs!$B$29)))</f>
        <v/>
      </c>
      <c r="E122">
        <f>INDEX(FactorTable!$B$2:$Y$301, MATCH(ROUND(MIN(300,MAX(1,D122)),0), FactorTable!$A$2:$A$301,0), Skills!M4+1)</f>
        <v/>
      </c>
      <c r="F122">
        <f>IF(Skills!N4=TRUE,(Skills!L4/10)*(E122/1000),Skills!L4/10)+Skills!O4</f>
        <v/>
      </c>
      <c r="G122" t="inlineStr"/>
      <c r="H122" t="inlineStr"/>
      <c r="I122" t="inlineStr">
        <is>
          <t>1</t>
        </is>
      </c>
      <c r="J122" t="inlineStr"/>
      <c r="K122" t="inlineStr"/>
      <c r="L122" t="inlineStr"/>
      <c r="M122" t="inlineStr"/>
      <c r="N122" t="inlineStr"/>
      <c r="O122" t="inlineStr"/>
      <c r="P122" t="inlineStr"/>
      <c r="Q122" t="inlineStr"/>
      <c r="R122" t="inlineStr"/>
      <c r="S122" t="inlineStr"/>
      <c r="T122" t="inlineStr"/>
      <c r="U122">
        <f>290*U121/1000</f>
        <v/>
      </c>
      <c r="V122" t="inlineStr"/>
    </row>
    <row r="123">
      <c r="A123">
        <f>Skills!A5</f>
        <v/>
      </c>
      <c r="B123">
        <f>Skills!B5</f>
        <v/>
      </c>
      <c r="C123">
        <f>Inputs!$B$3&gt;=35</f>
        <v/>
      </c>
      <c r="D123">
        <f>IF(Skills!C5=1,60+Inputs!$B$25+Inputs!$B$29,IF(Skills!C5=2,90+Inputs!$B$26+Inputs!$B$29,IF(Skills!C5=3,120+Inputs!$B$27+Inputs!$B$29,MAX(0,(Inputs!$B$3-100)*3)+Inputs!$B$28+Inputs!$B$29)))</f>
        <v/>
      </c>
      <c r="E123">
        <f>INDEX(FactorTable!$B$2:$Y$301, MATCH(ROUND(MIN(300,MAX(1,D123)),0), FactorTable!$A$2:$A$301,0), Skills!M5+1)</f>
        <v/>
      </c>
      <c r="F123">
        <f>IF(Skills!N5=TRUE,(Skills!L5/10)*(E123/1000),Skills!L5/10)+Skills!O5</f>
        <v/>
      </c>
      <c r="G123">
        <f>Skills!G5*IF(Skills!H5&gt;0,Skills!I5/Skills!H5,1)</f>
        <v/>
      </c>
      <c r="H123">
        <f>1-(1-Skills!J5/100)^Skills!K5</f>
        <v/>
      </c>
      <c r="I123" t="inlineStr">
        <is>
          <t>1</t>
        </is>
      </c>
      <c r="J123">
        <f>((Inputs!$B$6*(1+Inputs!$B$7/100))+(((Inputs!$B$12*(1+(Inputs!$B$13+1)/100))-(Inputs!$B$12*(1+Inputs!$B$13/100)))+0.25*(Inputs!$B$14-Inputs!$B$14))*(1+Inputs!$B$7/100))*(F123/100)</f>
        <v/>
      </c>
      <c r="K123">
        <f>J123*(1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129=TRUE,F129,0)/100)*(1+(IF(Skills!A5="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C143=TRUE)*(F143-Calc!F25)),(Inputs!$B$23+((C148=TRUE)*(F148-Calc!F30))+(IF(ArtifactsInput!$M$15,CHOOSE(ArtifactsInput!$N$15+1,25,30,35,40,45,50)/100*(Inputs!$B$11-Inputs!$B$11),0))))/100+(Inputs!$B$23+((C148=TRUE)*(F148-Calc!F30))+(IF(ArtifactsInput!$M$15,CHOOSE(ArtifactsInput!$N$15+1,25,30,35,40,45,50)/100*(Inputs!$B$11-Inputs!$B$11),0)))/100)/2</f>
        <v/>
      </c>
      <c r="M123">
        <f>L123*(1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(1-Summary!$B$11)*T123+Summary!$B$11*V123</f>
        <v/>
      </c>
      <c r="P123">
        <f>IF(B162=0,0,O123/B162)</f>
        <v/>
      </c>
      <c r="Q123">
        <f>IFERROR(1/(IF(Inputs!$B$38="pvp",15,MAX(0.1,Skills!D5-IF(Skills!E5=TRUE,Inputs!$B$32,0)))*(1-IF(AND(ArtifactsInput!$M$27,Inputs!$B$4="Chapter Hunt"),CHOOSE(ArtifactsInput!$N$27+1,20,24,28,32,36,40),0)/100)),0)</f>
        <v/>
      </c>
      <c r="R123">
        <f>IF(AND(Inputs!$B$38&lt;&gt;"pvp",Inputs!$B$43&gt;0),IF(MAX(0,Inputs!$B$43-B159)&lt;=0,0,(INT(MAX(0,Inputs!$B$43-B159)/(IF(Inputs!$B$38="pvp",15,MAX(0.1,Skills!D5-IF(Skills!E5=TRUE,Inputs!$B$32,0)))*(1-IF(AND(ArtifactsInput!$M$27,Inputs!$B$4="Chapter Hunt"),CHOOSE(ArtifactsInput!$N$27+1,20,24,28,32,36,40),0)/100)))+1)),0)</f>
        <v/>
      </c>
      <c r="S123">
        <f>IFERROR(O123/N123,0)</f>
        <v/>
      </c>
      <c r="T123">
        <f>IF(C123,(H123*N123*IF(AND(Inputs!$B$38&lt;&gt;"pvp",Inputs!$B$43&gt;0),((Skills!G5*((R123-1)*IF(Skills!H5&gt;0,Skills!I5/Skills!H5,1)+IF(Skills!H5&gt;0,MIN(Skills!I5,MAX(0,MAX(0,Inputs!$B$43-B159)-((R123-1)*(IF(Inputs!$B$38="pvp",15,MAX(0.1,Skills!D5-IF(Skills!E5=TRUE,Inputs!$B$32,0)))*(1-IF(AND(ArtifactsInput!$M$27,Inputs!$B$4="Chapter Hunt"),CHOOSE(ArtifactsInput!$N$27+1,20,24,28,32,36,40),0)/100)))))/Skills!H5,1)))/Inputs!$B$43),G123*Q123)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123*(1-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
        <f>IF(C123,(H123*N123*IF(AND(Inputs!$B$38&lt;&gt;"pvp",Inputs!$B$43&gt;0),((Skills!G5*((R123-1)*IF(Skills!H5&gt;0,Skills!I5/Skills!H5,1)+IF(Skills!H5&gt;0,MIN(Skills!I5,MAX(0,MAX(0,Inputs!$B$43-B159)-((R123-1)*(IF(Inputs!$B$38="pvp",15,MAX(0.1,Skills!D5-IF(Skills!E5=TRUE,Inputs!$B$32,0)))*(1-IF(AND(ArtifactsInput!$M$27,Inputs!$B$4="Chapter Hunt"),CHOOSE(ArtifactsInput!$N$27+1,20,24,28,32,36,40),0)/100)))))/Skills!H5,1)))/Inputs!$B$43),G123*Q123))*IF(Inputs!$B$38="pvp",1,(1+(Inputs!$B$21+Skills!Q5+(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Skills!A6</f>
        <v/>
      </c>
      <c r="B124">
        <f>Skills!B6</f>
        <v/>
      </c>
      <c r="C124">
        <f>Inputs!$B$3&gt;=40</f>
        <v/>
      </c>
      <c r="D124">
        <f>IF(Skills!C6=1,60+Inputs!$B$25+Inputs!$B$29,IF(Skills!C6=2,90+Inputs!$B$26+Inputs!$B$29,IF(Skills!C6=3,120+Inputs!$B$27+Inputs!$B$29,MAX(0,(Inputs!$B$3-100)*3)+Inputs!$B$28+Inputs!$B$29)))</f>
        <v/>
      </c>
      <c r="E124">
        <f>INDEX(FactorTable!$B$2:$Y$301, MATCH(ROUND(MIN(300,MAX(1,D124)),0), FactorTable!$A$2:$A$301,0), Skills!M6+1)</f>
        <v/>
      </c>
      <c r="F124">
        <f>IF(Skills!N6=TRUE,(Skills!L6/10)*(E124/1000),Skills!L6/10)+Skills!O6</f>
        <v/>
      </c>
      <c r="G124">
        <f>Skills!G6*IF(Skills!H6&gt;0,Skills!I6/Skills!H6,1)</f>
        <v/>
      </c>
      <c r="H124">
        <f>1-(1-Skills!J6/100)^Skills!K6</f>
        <v/>
      </c>
      <c r="I124" t="inlineStr">
        <is>
          <t>1</t>
        </is>
      </c>
      <c r="J124">
        <f>((Inputs!$B$6*(1+Inputs!$B$7/100))+(((Inputs!$B$12*(1+(Inputs!$B$13+1)/100))-(Inputs!$B$12*(1+Inputs!$B$13/100)))+0.25*(Inputs!$B$14-Inputs!$B$14))*(1+Inputs!$B$7/100))*(F124/100)</f>
        <v/>
      </c>
      <c r="K124">
        <f>J124*(1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125=TRUE,F125,0)/100)*(1+(IF(Skills!A6="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f>
        <v/>
      </c>
      <c r="L124">
        <f>K124*(MIN(Inputs!$B$22+((C143=TRUE)*(F143-Calc!F25)),(Inputs!$B$23+((C148=TRUE)*(F148-Calc!F30))+(IF(ArtifactsInput!$M$15,CHOOSE(ArtifactsInput!$N$15+1,25,30,35,40,45,50)/100*(Inputs!$B$11-Inputs!$B$11),0))))/100+(Inputs!$B$23+((C148=TRUE)*(F148-Calc!F30))+(IF(ArtifactsInput!$M$15,CHOOSE(ArtifactsInput!$N$15+1,25,30,35,40,45,50)/100*(Inputs!$B$11-Inputs!$B$11),0)))/100)/2</f>
        <v/>
      </c>
      <c r="M124">
        <f>L124*(1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
        <f>L124*(1-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
        <f>(1-Summary!$B$11)*T124+Summary!$B$11*V124</f>
        <v/>
      </c>
      <c r="P124">
        <f>IF(B162=0,0,O124/B162)</f>
        <v/>
      </c>
      <c r="Q124">
        <f>IFERROR(1/(IF(Inputs!$B$38="pvp",15,MAX(0.1,Skills!D6-IF(Skills!E6=TRUE,Inputs!$B$32,0)))*(1-IF(AND(ArtifactsInput!$M$27,Inputs!$B$4="Chapter Hunt"),CHOOSE(ArtifactsInput!$N$27+1,20,24,28,32,36,40),0)/100)),0)</f>
        <v/>
      </c>
      <c r="R124">
        <f>IF(AND(Inputs!$B$38&lt;&gt;"pvp",Inputs!$B$43&gt;0),IF(MAX(0,Inputs!$B$43-B159)&lt;=0,0,(INT(MAX(0,Inputs!$B$43-B159)/(IF(Inputs!$B$38="pvp",15,MAX(0.1,Skills!D6-IF(Skills!E6=TRUE,Inputs!$B$32,0)))*(1-IF(AND(ArtifactsInput!$M$27,Inputs!$B$4="Chapter Hunt"),CHOOSE(ArtifactsInput!$N$27+1,20,24,28,32,36,40),0)/100)))+1)),0)</f>
        <v/>
      </c>
      <c r="S124">
        <f>IFERROR(O124/N124,0)</f>
        <v/>
      </c>
      <c r="T124">
        <f>IF(C124,(H124*N124*IF(AND(Inputs!$B$38&lt;&gt;"pvp",Inputs!$B$43&gt;0),((Skills!G6*((R124-1)*IF(Skills!H6&gt;0,Skills!I6/Skills!H6,1)+IF(Skills!H6&gt;0,MIN(Skills!I6,MAX(0,MAX(0,Inputs!$B$43-B159)-((R124-1)*(IF(Inputs!$B$38="pvp",15,MAX(0.1,Skills!D6-IF(Skills!E6=TRUE,Inputs!$B$32,0)))*(1-IF(AND(ArtifactsInput!$M$27,Inputs!$B$4="Chapter Hunt"),CHOOSE(ArtifactsInput!$N$27+1,20,24,28,32,36,40),0)/100)))))/Skills!H6,1)))/Inputs!$B$43),G124*Q124)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124*(1-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
        <f>IF(C124,(H124*N124*IF(AND(Inputs!$B$38&lt;&gt;"pvp",Inputs!$B$43&gt;0),((Skills!G6*((R124-1)*IF(Skills!H6&gt;0,Skills!I6/Skills!H6,1)+IF(Skills!H6&gt;0,MIN(Skills!I6,MAX(0,MAX(0,Inputs!$B$43-B159)-((R124-1)*(IF(Inputs!$B$38="pvp",15,MAX(0.1,Skills!D6-IF(Skills!E6=TRUE,Inputs!$B$32,0)))*(1-IF(AND(ArtifactsInput!$M$27,Inputs!$B$4="Chapter Hunt"),CHOOSE(ArtifactsInput!$N$27+1,20,24,28,32,36,40),0)/100)))))/Skills!H6,1)))/Inputs!$B$43),G124*Q124))*IF(Inputs!$B$38="pvp",1,(1+(Inputs!$B$21+Skills!Q6+(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
      <c r="A125">
        <f>Skills!A7</f>
        <v/>
      </c>
      <c r="B125">
        <f>Skills!B7</f>
        <v/>
      </c>
      <c r="C125">
        <f>Inputs!$B$3&gt;=107</f>
        <v/>
      </c>
      <c r="D125">
        <f>IF(Skills!C7=1,60+Inputs!$B$25+Inputs!$B$29,IF(Skills!C7=2,90+Inputs!$B$26+Inputs!$B$29,IF(Skills!C7=3,120+Inputs!$B$27+Inputs!$B$29,MAX(0,(Inputs!$B$3-100)*3)+Inputs!$B$28+Inputs!$B$29)))</f>
        <v/>
      </c>
      <c r="E125">
        <f>INDEX(FactorTable!$B$2:$Y$301, MATCH(ROUND(MIN(300,MAX(1,D125)),0), FactorTable!$A$2:$A$301,0), Skills!M7+1)</f>
        <v/>
      </c>
      <c r="F125">
        <f>IF(Skills!N7=TRUE,(Skills!L7/10)*(E125/1000),Skills!L7/10)+Skills!O7</f>
        <v/>
      </c>
      <c r="G125" t="inlineStr"/>
      <c r="H125" t="inlineStr"/>
      <c r="I125" t="inlineStr">
        <is>
          <t>1</t>
        </is>
      </c>
      <c r="J125" t="inlineStr"/>
      <c r="K125" t="inlineStr"/>
      <c r="L125" t="inlineStr"/>
      <c r="M125" t="inlineStr"/>
      <c r="N125" t="inlineStr"/>
      <c r="O125" t="inlineStr"/>
      <c r="P125" t="inlineStr"/>
      <c r="Q125" t="inlineStr"/>
      <c r="R125" t="inlineStr"/>
      <c r="S125" t="inlineStr"/>
      <c r="T125" t="inlineStr"/>
      <c r="V125" t="inlineStr"/>
    </row>
    <row r="126">
      <c r="A126">
        <f>Skills!A8</f>
        <v/>
      </c>
      <c r="B126">
        <f>Skills!B8</f>
        <v/>
      </c>
      <c r="C126">
        <f>Inputs!$B$3&gt;=69</f>
        <v/>
      </c>
      <c r="D126">
        <f>IF(Skills!C8=1,60+Inputs!$B$25+Inputs!$B$29,IF(Skills!C8=2,90+Inputs!$B$26+Inputs!$B$29,IF(Skills!C8=3,120+Inputs!$B$27+Inputs!$B$29,MAX(0,(Inputs!$B$3-100)*3)+Inputs!$B$28+Inputs!$B$29)))</f>
        <v/>
      </c>
      <c r="E126">
        <f>INDEX(FactorTable!$B$2:$Y$301, MATCH(ROUND(MIN(300,MAX(1,D126)),0), FactorTable!$A$2:$A$301,0), Skills!M8+1)</f>
        <v/>
      </c>
      <c r="F126">
        <f>IF(Skills!N8=TRUE,(Skills!L8/10)*(E126/1000),Skills!L8/10)+Skills!O8</f>
        <v/>
      </c>
      <c r="G126">
        <f>Skills!G8*IF(Skills!H8&gt;0,Skills!I8/Skills!H8,1)</f>
        <v/>
      </c>
      <c r="H126">
        <f>1-(1-Skills!J8/100)^Skills!K8</f>
        <v/>
      </c>
      <c r="I126" t="inlineStr">
        <is>
          <t>1</t>
        </is>
      </c>
      <c r="J126">
        <f>((Inputs!$B$6*(1+Inputs!$B$7/100))+(((Inputs!$B$12*(1+(Inputs!$B$13+1)/100))-(Inputs!$B$12*(1+Inputs!$B$13/100)))+0.25*(Inputs!$B$14-Inputs!$B$14))*(1+Inputs!$B$7/100))*(F126/100)</f>
        <v/>
      </c>
      <c r="K126">
        <f>J126*(1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129=TRUE,F129,0)/100)*(1+(IF(Skills!A8="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f>
        <v/>
      </c>
      <c r="L126">
        <f>K126*(MIN(Inputs!$B$22+((C143=TRUE)*(F143-Calc!F25)),(Inputs!$B$23+((C148=TRUE)*(F148-Calc!F30))+(IF(ArtifactsInput!$M$15,CHOOSE(ArtifactsInput!$N$15+1,25,30,35,40,45,50)/100*(Inputs!$B$11-Inputs!$B$11),0))))/100+(Inputs!$B$23+((C148=TRUE)*(F148-Calc!F30))+(IF(ArtifactsInput!$M$15,CHOOSE(ArtifactsInput!$N$15+1,25,30,35,40,45,50)/100*(Inputs!$B$11-Inputs!$B$11),0)))/100)/2</f>
        <v/>
      </c>
      <c r="M126">
        <f>L126*(1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
        <f>L126*(1-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
        <f>(1-Summary!$B$11)*T126+Summary!$B$11*V126</f>
        <v/>
      </c>
      <c r="P126">
        <f>IF(B162=0,0,O126/B162)</f>
        <v/>
      </c>
      <c r="Q126">
        <f>IFERROR(1/(IF(Inputs!$B$38="pvp",15,MAX(0.1,Skills!D8-IF(Skills!E8=TRUE,Inputs!$B$32,0)))*(1-IF(AND(ArtifactsInput!$M$27,Inputs!$B$4="Chapter Hunt"),CHOOSE(ArtifactsInput!$N$27+1,20,24,28,32,36,40),0)/100)),0)</f>
        <v/>
      </c>
      <c r="R126">
        <f>IF(AND(Inputs!$B$38&lt;&gt;"pvp",Inputs!$B$43&gt;0),IF(MAX(0,Inputs!$B$43-B159)&lt;=0,0,(INT(MAX(0,Inputs!$B$43-B159)/(IF(Inputs!$B$38="pvp",15,MAX(0.1,Skills!D8-IF(Skills!E8=TRUE,Inputs!$B$32,0)))*(1-IF(AND(ArtifactsInput!$M$27,Inputs!$B$4="Chapter Hunt"),CHOOSE(ArtifactsInput!$N$27+1,20,24,28,32,36,40),0)/100)))+1)),0)</f>
        <v/>
      </c>
      <c r="S126">
        <f>IFERROR(O126/N126,0)</f>
        <v/>
      </c>
      <c r="T126">
        <f>IF(C126,(H126*N126*IF(AND(Inputs!$B$38&lt;&gt;"pvp",Inputs!$B$43&gt;0),((Skills!G8*((R126-1)*IF(Skills!H8&gt;0,Skills!I8/Skills!H8,1)+IF(Skills!H8&gt;0,MIN(Skills!I8,MAX(0,MAX(0,Inputs!$B$43-B159)-((R126-1)*(IF(Inputs!$B$38="pvp",15,MAX(0.1,Skills!D8-IF(Skills!E8=TRUE,Inputs!$B$32,0)))*(1-IF(AND(ArtifactsInput!$M$27,Inputs!$B$4="Chapter Hunt"),CHOOSE(ArtifactsInput!$N$27+1,20,24,28,32,36,40),0)/100)))))/Skills!H8,1)))/Inputs!$B$43),G126*Q126)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126*(1-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6">
        <f>IF(C126,(H126*N126*IF(AND(Inputs!$B$38&lt;&gt;"pvp",Inputs!$B$43&gt;0),((Skills!G8*((R126-1)*IF(Skills!H8&gt;0,Skills!I8/Skills!H8,1)+IF(Skills!H8&gt;0,MIN(Skills!I8,MAX(0,MAX(0,Inputs!$B$43-B159)-((R126-1)*(IF(Inputs!$B$38="pvp",15,MAX(0.1,Skills!D8-IF(Skills!E8=TRUE,Inputs!$B$32,0)))*(1-IF(AND(ArtifactsInput!$M$27,Inputs!$B$4="Chapter Hunt"),CHOOSE(ArtifactsInput!$N$27+1,20,24,28,32,36,40),0)/100)))))/Skills!H8,1)))/Inputs!$B$43),G126*Q126))*IF(Inputs!$B$38="pvp",1,(1+(Inputs!$B$21+Skills!Q8+(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
      <c r="A127">
        <f>Skills!A9</f>
        <v/>
      </c>
      <c r="B127">
        <f>Skills!B9</f>
        <v/>
      </c>
      <c r="C127">
        <f>Inputs!$B$3&gt;=63</f>
        <v/>
      </c>
      <c r="D127">
        <f>IF(Skills!C9=1,60+Inputs!$B$25+Inputs!$B$29,IF(Skills!C9=2,90+Inputs!$B$26+Inputs!$B$29,IF(Skills!C9=3,120+Inputs!$B$27+Inputs!$B$29,MAX(0,(Inputs!$B$3-100)*3)+Inputs!$B$28+Inputs!$B$29)))</f>
        <v/>
      </c>
      <c r="E127">
        <f>INDEX(FactorTable!$B$2:$Y$301, MATCH(ROUND(MIN(300,MAX(1,D127)),0), FactorTable!$A$2:$A$301,0), Skills!M9+1)</f>
        <v/>
      </c>
      <c r="F127">
        <f>IF(Skills!N9=TRUE,(Skills!L9/10)*(E127/1000),Skills!L9/10)+Skills!O9</f>
        <v/>
      </c>
      <c r="G127">
        <f>Skills!G9*IF(Skills!H9&gt;0,Skills!I9/Skills!H9,1)</f>
        <v/>
      </c>
      <c r="H127">
        <f>1-(1-Skills!J9/100)^Skills!K9</f>
        <v/>
      </c>
      <c r="I127" t="inlineStr">
        <is>
          <t>1</t>
        </is>
      </c>
      <c r="J127">
        <f>((Inputs!$B$6*(1+Inputs!$B$7/100))+(((Inputs!$B$12*(1+(Inputs!$B$13+1)/100))-(Inputs!$B$12*(1+Inputs!$B$13/100)))+0.25*(Inputs!$B$14-Inputs!$B$14))*(1+Inputs!$B$7/100))*(F127/100)</f>
        <v/>
      </c>
      <c r="K127">
        <f>J127*(1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129=TRUE,F129,0)/100)*(1+(IF(Skills!A9="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f>
        <v/>
      </c>
      <c r="L127">
        <f>K127*(MIN(Inputs!$B$22+((C143=TRUE)*(F143-Calc!F25)),(Inputs!$B$23+((C148=TRUE)*(F148-Calc!F30))+(IF(ArtifactsInput!$M$15,CHOOSE(ArtifactsInput!$N$15+1,25,30,35,40,45,50)/100*(Inputs!$B$11-Inputs!$B$11),0))))/100+(Inputs!$B$23+((C148=TRUE)*(F148-Calc!F30))+(IF(ArtifactsInput!$M$15,CHOOSE(ArtifactsInput!$N$15+1,25,30,35,40,45,50)/100*(Inputs!$B$11-Inputs!$B$11),0)))/100)/2</f>
        <v/>
      </c>
      <c r="M127">
        <f>L127*(1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
        <f>L127*(1-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
        <f>(1-Summary!$B$11)*T127+Summary!$B$11*V127</f>
        <v/>
      </c>
      <c r="P127">
        <f>IF(B162=0,0,O127/B162)</f>
        <v/>
      </c>
      <c r="Q127">
        <f>IFERROR(1/(IF(Inputs!$B$38="pvp",15,MAX(0.1,Skills!D9-IF(Skills!E9=TRUE,Inputs!$B$32,0)))*(1-IF(AND(ArtifactsInput!$M$27,Inputs!$B$4="Chapter Hunt"),CHOOSE(ArtifactsInput!$N$27+1,20,24,28,32,36,40),0)/100)),0)</f>
        <v/>
      </c>
      <c r="R127">
        <f>IF(AND(Inputs!$B$38&lt;&gt;"pvp",Inputs!$B$43&gt;0),IF(MAX(0,Inputs!$B$43-B159)&lt;=0,0,(INT(MAX(0,Inputs!$B$43-B159)/(IF(Inputs!$B$38="pvp",15,MAX(0.1,Skills!D9-IF(Skills!E9=TRUE,Inputs!$B$32,0)))*(1-IF(AND(ArtifactsInput!$M$27,Inputs!$B$4="Chapter Hunt"),CHOOSE(ArtifactsInput!$N$27+1,20,24,28,32,36,40),0)/100)))+1)),0)</f>
        <v/>
      </c>
      <c r="S127">
        <f>IFERROR(O127/N127,0)</f>
        <v/>
      </c>
      <c r="T127">
        <f>IF(C127,(H127*N127*IF(AND(Inputs!$B$38&lt;&gt;"pvp",Inputs!$B$43&gt;0),((Skills!G9*((R127-1)*IF(Skills!H9&gt;0,Skills!I9/Skills!H9,1)+IF(Skills!H9&gt;0,MIN(Skills!I9,MAX(0,MAX(0,Inputs!$B$43-B159)-((R127-1)*(IF(Inputs!$B$38="pvp",15,MAX(0.1,Skills!D9-IF(Skills!E9=TRUE,Inputs!$B$32,0)))*(1-IF(AND(ArtifactsInput!$M$27,Inputs!$B$4="Chapter Hunt"),CHOOSE(ArtifactsInput!$N$27+1,20,24,28,32,36,40),0)/100)))))/Skills!H9,1)))/Inputs!$B$43),G127*Q127)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127*(1-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
        <f>IF(C127,(H127*N127*IF(AND(Inputs!$B$38&lt;&gt;"pvp",Inputs!$B$43&gt;0),((Skills!G9*((R127-1)*IF(Skills!H9&gt;0,Skills!I9/Skills!H9,1)+IF(Skills!H9&gt;0,MIN(Skills!I9,MAX(0,MAX(0,Inputs!$B$43-B159)-((R127-1)*(IF(Inputs!$B$38="pvp",15,MAX(0.1,Skills!D9-IF(Skills!E9=TRUE,Inputs!$B$32,0)))*(1-IF(AND(ArtifactsInput!$M$27,Inputs!$B$4="Chapter Hunt"),CHOOSE(ArtifactsInput!$N$27+1,20,24,28,32,36,40),0)/100)))))/Skills!H9,1)))/Inputs!$B$43),G127*Q127))*IF(Inputs!$B$38="pvp",1,(1+(Inputs!$B$21+Skills!Q9+(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
      <c r="A128">
        <f>Skills!A10</f>
        <v/>
      </c>
      <c r="B128">
        <f>Skills!B10</f>
        <v/>
      </c>
      <c r="C128">
        <f>Inputs!$B$3&gt;=103</f>
        <v/>
      </c>
      <c r="D128">
        <f>IF(Skills!C10=1,60+Inputs!$B$25+Inputs!$B$29,IF(Skills!C10=2,90+Inputs!$B$26+Inputs!$B$29,IF(Skills!C10=3,120+Inputs!$B$27+Inputs!$B$29,MAX(0,(Inputs!$B$3-100)*3)+Inputs!$B$28+Inputs!$B$29)))</f>
        <v/>
      </c>
      <c r="E128">
        <f>INDEX(FactorTable!$B$2:$Y$301, MATCH(ROUND(MIN(300,MAX(1,D128)),0), FactorTable!$A$2:$A$301,0), Skills!M10+1)</f>
        <v/>
      </c>
      <c r="F128">
        <f>IF(Skills!N10=TRUE,(Skills!L10/10)*(E128/1000),Skills!L10/10)+Skills!O10</f>
        <v/>
      </c>
      <c r="G128">
        <f>Skills!G10*IF(Skills!H10&gt;0,Skills!I10/Skills!H10,1)</f>
        <v/>
      </c>
      <c r="H128">
        <f>1-(1-Skills!J10/100)^Skills!K10</f>
        <v/>
      </c>
      <c r="I128" t="inlineStr">
        <is>
          <t>1</t>
        </is>
      </c>
      <c r="J128">
        <f>((Inputs!$B$6*(1+Inputs!$B$7/100))+(((Inputs!$B$12*(1+(Inputs!$B$13+1)/100))-(Inputs!$B$12*(1+Inputs!$B$13/100)))+0.25*(Inputs!$B$14-Inputs!$B$14))*(1+Inputs!$B$7/100))*(F128/100)</f>
        <v/>
      </c>
      <c r="K128">
        <f>J128*(1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f>
        <v/>
      </c>
      <c r="L128">
        <f>K128*(MIN(Inputs!$B$22+((C143=TRUE)*(F143-Calc!F25)),(Inputs!$B$23+((C148=TRUE)*(F148-Calc!F30))+(IF(ArtifactsInput!$M$15,CHOOSE(ArtifactsInput!$N$15+1,25,30,35,40,45,50)/100*(Inputs!$B$11-Inputs!$B$11),0))))/100+(Inputs!$B$23+((C148=TRUE)*(F148-Calc!F30))+(IF(ArtifactsInput!$M$15,CHOOSE(ArtifactsInput!$N$15+1,25,30,35,40,45,50)/100*(Inputs!$B$11-Inputs!$B$11),0)))/100)/2</f>
        <v/>
      </c>
      <c r="M128">
        <f>L128*(1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
        <f>L128*(1-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
        <f>(1-Summary!$B$11)*T128+Summary!$B$11*V128</f>
        <v/>
      </c>
      <c r="P128">
        <f>IF(B162=0,0,O128/B162)</f>
        <v/>
      </c>
      <c r="Q128">
        <f>IFERROR(1/(IF(Inputs!$B$38="pvp",15,MAX(0.1,Skills!D10-IF(Skills!E10=TRUE,Inputs!$B$32,0)))*(1-IF(AND(ArtifactsInput!$M$27,Inputs!$B$4="Chapter Hunt"),CHOOSE(ArtifactsInput!$N$27+1,20,24,28,32,36,40),0)/100)),0)</f>
        <v/>
      </c>
      <c r="R128">
        <f>IF(AND(Inputs!$B$38&lt;&gt;"pvp",Inputs!$B$43&gt;0),IF(MAX(0,Inputs!$B$43-B159)&lt;=0,0,(INT(MAX(0,Inputs!$B$43-B159)/(IF(Inputs!$B$38="pvp",15,MAX(0.1,Skills!D10-IF(Skills!E10=TRUE,Inputs!$B$32,0)))*(1-IF(AND(ArtifactsInput!$M$27,Inputs!$B$4="Chapter Hunt"),CHOOSE(ArtifactsInput!$N$27+1,20,24,28,32,36,40),0)/100)))+1)),0)</f>
        <v/>
      </c>
      <c r="S128">
        <f>IFERROR(O128/N128,0)</f>
        <v/>
      </c>
      <c r="T128">
        <f>IF(C128,(H128*N128*IF(AND(Inputs!$B$38&lt;&gt;"pvp",Inputs!$B$43&gt;0),((Skills!G10*((R128-1)*IF(Skills!H10&gt;0,Skills!I10/Skills!H10,1)+IF(Skills!H10&gt;0,MIN(Skills!I10,MAX(0,MAX(0,Inputs!$B$43-B159)-((R128-1)*(IF(Inputs!$B$38="pvp",15,MAX(0.1,Skills!D10-IF(Skills!E10=TRUE,Inputs!$B$32,0)))*(1-IF(AND(ArtifactsInput!$M$27,Inputs!$B$4="Chapter Hunt"),CHOOSE(ArtifactsInput!$N$27+1,20,24,28,32,36,40),0)/100)))))/Skills!H10,1)))/Inputs!$B$43),G128*Q128)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128*(1-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
        <f>IF(C128,(H128*N128*IF(AND(Inputs!$B$38&lt;&gt;"pvp",Inputs!$B$43&gt;0),((Skills!G10*((R128-1)*IF(Skills!H10&gt;0,Skills!I10/Skills!H10,1)+IF(Skills!H10&gt;0,MIN(Skills!I10,MAX(0,MAX(0,Inputs!$B$43-B159)-((R128-1)*(IF(Inputs!$B$38="pvp",15,MAX(0.1,Skills!D10-IF(Skills!E10=TRUE,Inputs!$B$32,0)))*(1-IF(AND(ArtifactsInput!$M$27,Inputs!$B$4="Chapter Hunt"),CHOOSE(ArtifactsInput!$N$27+1,20,24,28,32,36,40),0)/100)))))/Skills!H10,1)))/Inputs!$B$43),G128*Q128))*IF(Inputs!$B$38="pvp",1,(1+(Inputs!$B$21+Skills!Q10+(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
      <c r="A129">
        <f>Skills!A11</f>
        <v/>
      </c>
      <c r="B129">
        <f>Skills!B11</f>
        <v/>
      </c>
      <c r="C129">
        <f>Inputs!$B$3&gt;=100</f>
        <v/>
      </c>
      <c r="D129">
        <f>IF(Skills!C11=1,60+Inputs!$B$25+Inputs!$B$29,IF(Skills!C11=2,90+Inputs!$B$26+Inputs!$B$29,IF(Skills!C11=3,120+Inputs!$B$27+Inputs!$B$29,MAX(0,(Inputs!$B$3-100)*3)+Inputs!$B$28+Inputs!$B$29)))</f>
        <v/>
      </c>
      <c r="E129">
        <f>INDEX(FactorTable!$B$2:$Y$301, MATCH(ROUND(MIN(300,MAX(1,D129)),0), FactorTable!$A$2:$A$301,0), Skills!M11+1)</f>
        <v/>
      </c>
      <c r="F129">
        <f>IF(Skills!N11=TRUE,(Skills!L11/10)*(E129/1000),Skills!L11/10)+Skills!O11</f>
        <v/>
      </c>
      <c r="G129" t="inlineStr"/>
      <c r="H129" t="inlineStr"/>
      <c r="I129" t="inlineStr">
        <is>
          <t>1</t>
        </is>
      </c>
      <c r="J129" t="inlineStr"/>
      <c r="K129" t="inlineStr"/>
      <c r="L129" t="inlineStr"/>
      <c r="M129" t="inlineStr"/>
      <c r="N129" t="inlineStr"/>
      <c r="O129" t="inlineStr"/>
      <c r="P129" t="inlineStr"/>
      <c r="Q129" t="inlineStr"/>
      <c r="R129" t="inlineStr"/>
      <c r="S129" t="inlineStr"/>
      <c r="T129" t="inlineStr"/>
      <c r="V129" t="inlineStr"/>
    </row>
    <row r="130">
      <c r="A130">
        <f>Skills!A12</f>
        <v/>
      </c>
      <c r="B130">
        <f>Skills!B12</f>
        <v/>
      </c>
      <c r="C130">
        <f>Inputs!$B$3&gt;=60</f>
        <v/>
      </c>
      <c r="D130">
        <f>IF(Skills!C12=1,60+Inputs!$B$25+Inputs!$B$29,IF(Skills!C12=2,90+Inputs!$B$26+Inputs!$B$29,IF(Skills!C12=3,120+Inputs!$B$27+Inputs!$B$29,MAX(0,(Inputs!$B$3-100)*3)+Inputs!$B$28+Inputs!$B$29)))</f>
        <v/>
      </c>
      <c r="E130">
        <f>INDEX(FactorTable!$B$2:$Y$301, MATCH(ROUND(MIN(300,MAX(1,D130)),0), FactorTable!$A$2:$A$301,0), Skills!M12+1)</f>
        <v/>
      </c>
      <c r="F130">
        <f>IF(Skills!N12=TRUE,(Skills!L12/10)*(E130/1000),Skills!L12/10)+Skills!O12</f>
        <v/>
      </c>
      <c r="G130">
        <f>Skills!G12*IF(Skills!H12&gt;0,Skills!I12/Skills!H12,1)</f>
        <v/>
      </c>
      <c r="H130">
        <f>1-(1-Skills!J12/100)^Skills!K12</f>
        <v/>
      </c>
      <c r="I130" t="inlineStr">
        <is>
          <t>1</t>
        </is>
      </c>
      <c r="J130">
        <f>((Inputs!$B$6*(1+Inputs!$B$7/100))+(((Inputs!$B$12*(1+(Inputs!$B$13+1)/100))-(Inputs!$B$12*(1+Inputs!$B$13/100)))+0.25*(Inputs!$B$14-Inputs!$B$14))*(1+Inputs!$B$7/100))*(F130/100)</f>
        <v/>
      </c>
      <c r="K130">
        <f>J130*(1+((Inputs!$B$12*(1+(Inputs!$B$13+1)/100))*0.01+Inputs!$B$14*0.0025)/100)*(1+Inputs!$B$15/100)*(1+Inputs!$B$16/100)*(5000/(6000+Inputs!$B$42*(1-(100*(1-(1-(Inputs!$B$19+((C146=TRUE)*(F146-Calc!F28)))/100)*(1-CHOOSE(ArtifactsInput!$N$40+1,5,6,7,8,9,10)/100)^(ArtifactsInput!$M$40-ArtifactsInput!$M$40)))/100)))*(1+(Inputs!$B$24+((C144=TRUE)*(F144-Calc!F26))+((C145=TRUE)*(F145-Calc!F27))+B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TRUE,F131,0)/100)*(1+(IF(Skills!A12="ARROW_STREAM",Inputs!$B$17+((C142=TRUE)*(F142-Calc!F24))+(((IF(AND(ArtifactsInput!$M$42,((Inputs!$B$9+((C139=TRUE)*(F139-Calc!F21))+B152+(ArtifactsInput!$M$24-ArtifactsInput!$M$24)*CHOOSE(ArtifactsInput!$N$24+1,10,12,14,16,18,20)+IF(ArtifactsInput!$M$10,CHOOSE(ArtifactsInput!$N$10+1,15,18,21,24,27,30)*(IF(Inputs!$B$38="pvp",MIN(15,15)/15,IF(AND(Inputs!$B$38&lt;&gt;"pvp",Inputs!$B$43&gt;0),MIN(15,Inputs!$B$43)/(Inputs!$B$43),0))),0)))&gt;=100),MIN(100,((Inputs!$B$9+((C139=TRUE)*(F139-Calc!F21))+B152+(ArtifactsInput!$M$24-ArtifactsInput!$M$24)*CHOOSE(ArtifactsInput!$N$24+1,10,12,14,16,18,20)+IF(ArtifactsInput!$M$10,CHOOSE(ArtifactsInput!$N$10+1,15,18,21,24,27,30)*(IF(Inputs!$B$38="pvp",MIN(15,15)/15,IF(AND(Inputs!$B$38&lt;&gt;"pvp",Inputs!$B$43&gt;0),MIN(15,Inputs!$B$43)/(Inputs!$B$43),0))),0)))-100),0))*CHOOSE(ArtifactsInput!$N$42+1,0.6,0.72,0.84,0.96,1.08,1.2))),Inputs!$B$18+((C147=TRUE)*(F147-Calc!F29))+(IF(AND(ArtifactsInput!$M$42,((Inputs!$B$9+((C139=TRUE)*(F139-Calc!F21))+B152+(ArtifactsInput!$M$24-ArtifactsInput!$M$24)*CHOOSE(ArtifactsInput!$N$24+1,10,12,14,16,18,20)+IF(ArtifactsInput!$M$10,CHOOSE(ArtifactsInput!$N$10+1,15,18,21,24,27,30)*(IF(Inputs!$B$38="pvp",MIN(15,15)/15,IF(AND(Inputs!$B$38&lt;&gt;"pvp",Inputs!$B$43&gt;0),MIN(15,Inputs!$B$43)/(Inputs!$B$43),0))),0)))&gt;=100),CHOOSE(ArtifactsInput!$N$42+1,40,48,56,64,72,80),0))))/100)*((1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f>
        <v/>
      </c>
      <c r="L130">
        <f>K130*(MIN(Inputs!$B$22+((C143=TRUE)*(F143-Calc!F25)),(Inputs!$B$23+((C148=TRUE)*(F148-Calc!F30))+(IF(ArtifactsInput!$M$15,CHOOSE(ArtifactsInput!$N$15+1,25,30,35,40,45,50)/100*(Inputs!$B$11-Inputs!$B$11),0))))/100+(Inputs!$B$23+((C148=TRUE)*(F148-Calc!F30))+(IF(ArtifactsInput!$M$15,CHOOSE(ArtifactsInput!$N$15+1,25,30,35,40,45,50)/100*(Inputs!$B$11-Inputs!$B$11),0)))/100)/2</f>
        <v/>
      </c>
      <c r="M130">
        <f>L130*(1+(Inputs!$B$10+0+B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
        <f>L130*(1-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MIN((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
        <f>(1-Summary!$B$11)*T130+Summary!$B$11*V130</f>
        <v/>
      </c>
      <c r="P130">
        <f>IF(B162=0,0,O130/B162)</f>
        <v/>
      </c>
      <c r="Q130">
        <f>IFERROR(1/(IF(Inputs!$B$38="pvp",15,MAX(0.1,Skills!D12-IF(Skills!E12=TRUE,Inputs!$B$32,0)))*(1-IF(AND(ArtifactsInput!$M$27,Inputs!$B$4="Chapter Hunt"),CHOOSE(ArtifactsInput!$N$27+1,20,24,28,32,36,40),0)/100)),0)</f>
        <v/>
      </c>
      <c r="R130">
        <f>IF(AND(Inputs!$B$38&lt;&gt;"pvp",Inputs!$B$43&gt;0),IF(MAX(0,Inputs!$B$43-B159)&lt;=0,0,(INT(MAX(0,Inputs!$B$43-B159)/(IF(Inputs!$B$38="pvp",15,MAX(0.1,Skills!D12-IF(Skills!E12=TRUE,Inputs!$B$32,0)))*(1-IF(AND(ArtifactsInput!$M$27,Inputs!$B$4="Chapter Hunt"),CHOOSE(ArtifactsInput!$N$27+1,20,24,28,32,36,40),0)/100)))+1)),0)</f>
        <v/>
      </c>
      <c r="S130">
        <f>IFERROR(O130/N130,0)</f>
        <v/>
      </c>
      <c r="T130">
        <f>IF(C130,(H130*N130*IF(AND(Inputs!$B$38&lt;&gt;"pvp",Inputs!$B$43&gt;0),((Skills!G12*((R130-1)*IF(Skills!H12&gt;0,Skills!I12/Skills!H12,1)+IF(Skills!H12&gt;0,MIN(Skills!I12,MAX(0,MAX(0,Inputs!$B$43-B159)-((R130-1)*(IF(Inputs!$B$38="pvp",15,MAX(0.1,Skills!D12-IF(Skills!E12=TRUE,Inputs!$B$32,0)))*(1-IF(AND(ArtifactsInput!$M$27,Inputs!$B$4="Chapter Hunt"),CHOOSE(ArtifactsInput!$N$27+1,20,24,28,32,36,40),0)/100)))))/Skills!H12,1)))/Inputs!$B$43),G130*Q130)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(5000/(6000+Inputs!$B$42*(1-(100*(1-(1-(100*(1-(1-(Inputs!$B$19+((C146=TRUE)*(F146-Calc!F28)))/100)*(1-CHOOSE(ArtifactsInput!$N$40+1,5,6,7,8,9,10)/100)^(ArtifactsInput!$M$40-ArtifactsInput!$M$40)))/100)*(1-IF(ArtifactsInput!$M$40,CHOOSE(ArtifactsInput!$N$40+1,5,6,7,8,9,10),0)/100)^IF(Inputs!$B$38="pvp",1,2)))/100)))/(5000/(6000+Inputs!$B$42*(1-(100*(1-(1-(Inputs!$B$19+((C146=TRUE)*(F146-Calc!F28)))/100)*(1-CHOOSE(ArtifactsInput!$N$40+1,5,6,7,8,9,10)/100)^(ArtifactsInput!$M$40-ArtifactsInput!$M$40)))/100))))*((L130*(1-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(1-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MIN(100,(Inputs!$B$9+((C139=TRUE)*(F139-Calc!F21))+B152+(ArtifactsInput!$M$24-ArtifactsInput!$M$24)*CHOOSE(ArtifactsInput!$N$24+1,10,12,14,16,18,20)+(IF(AND(ArtifactsInput!$M$42,((Inputs!$B$9+((C139=TRUE)*(F139-Calc!F21))+B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
        <f>IF(C130,(H130*N130*IF(AND(Inputs!$B$38&lt;&gt;"pvp",Inputs!$B$43&gt;0),((Skills!G12*((R130-1)*IF(Skills!H12&gt;0,Skills!I12/Skills!H12,1)+IF(Skills!H12&gt;0,MIN(Skills!I12,MAX(0,MAX(0,Inputs!$B$43-B159)-((R130-1)*(IF(Inputs!$B$38="pvp",15,MAX(0.1,Skills!D12-IF(Skills!E12=TRUE,Inputs!$B$32,0)))*(1-IF(AND(ArtifactsInput!$M$27,Inputs!$B$4="Chapter Hunt"),CHOOSE(ArtifactsInput!$N$27+1,20,24,28,32,36,40),0)/100)))))/Skills!H12,1)))/Inputs!$B$43),G130*Q130))*IF(Inputs!$B$38="pvp",1,(1+(Inputs!$B$21+Skills!Q12+(IF(ArtifactsInput!$M$33,CHOOSE(ArtifactsInput!$N$33+1,30,36,42,48,54,60),0))+(IF(AND(ArtifactsInput!$M$35,Inputs!$B$4&lt;&gt;"Chapter Hunt"),CHOOSE(ArtifactsInput!$N$35+1,15,18,21,24,27,30)*(1-EXP(-(0.2*B154)*5)),0)+IF(AND(ArtifactsInput!$M$22,Inputs!$B$4&lt;&gt;"Chapter Hunt"),CHOOSE(ArtifactsInput!$N$22+1,10,12,14,16,18,20)*((0*(((0.15*B154*5))^0/1)+1*(((0.15*B154*5))^1/1)+2*(((0.15*B154*5))^2/2)+3*(((0.15*B154*5))^3/6)+4*(((0.15*B154*5))^4/24)+5*(((0.15*B154*5))^5/120))/((((0.15*B154*5))^0/1)+(((0.15*B154*5))^1/1)+(((0.15*B154*5))^2/2)+(((0.15*B154*5))^3/6)+(((0.15*B154*5))^4/24)+(((0.15*B154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
      <c r="A131">
        <f>Skills!A13</f>
        <v/>
      </c>
      <c r="B131">
        <f>Skills!B13</f>
        <v/>
      </c>
      <c r="C131">
        <f>Inputs!$B$3&gt;=110</f>
        <v/>
      </c>
      <c r="D131">
        <f>IF(Skills!C13=1,60+Inputs!$B$25+Inputs!$B$29,IF(Skills!C13=2,90+Inputs!$B$26+Inputs!$B$29,IF(Skills!C13=3,120+Inputs!$B$27+Inputs!$B$29,MAX(0,(Inputs!$B$3-100)*3)+Inputs!$B$28+Inputs!$B$29)))</f>
        <v/>
      </c>
      <c r="E131">
        <f>INDEX(FactorTable!$B$2:$Y$301, MATCH(ROUND(MIN(300,MAX(1,D131)),0), FactorTable!$A$2:$A$301,0), Skills!M13+1)</f>
        <v/>
      </c>
      <c r="F131">
        <f>IF(Skills!N13=TRUE,(Skills!L13/10)*(E131/1000),Skills!L13/10)+Skills!O13</f>
        <v/>
      </c>
      <c r="G131" t="inlineStr"/>
      <c r="H131" t="inlineStr"/>
      <c r="I131" t="inlineStr">
        <is>
          <t>1</t>
        </is>
      </c>
      <c r="J131" t="inlineStr"/>
      <c r="K131" t="inlineStr"/>
      <c r="L131" t="inlineStr"/>
      <c r="M131" t="inlineStr"/>
      <c r="N131" t="inlineStr"/>
      <c r="O131" t="inlineStr"/>
      <c r="P131" t="inlineStr"/>
      <c r="Q131" t="inlineStr"/>
      <c r="R131" t="inlineStr"/>
      <c r="S131" t="inlineStr"/>
      <c r="T131" t="inlineStr"/>
      <c r="V131" t="inlineStr"/>
    </row>
    <row r="132">
      <c r="A132">
        <f>Skills!A14</f>
        <v/>
      </c>
      <c r="B132">
        <f>Skills!B14</f>
        <v/>
      </c>
      <c r="C132">
        <f>Inputs!$B$3&gt;=74</f>
        <v/>
      </c>
      <c r="D132">
        <f>IF(Skills!C14=1,60+Inputs!$B$25+Inputs!$B$29,IF(Skills!C14=2,90+Inputs!$B$26+Inputs!$B$29,IF(Skills!C14=3,120+Inputs!$B$27+Inputs!$B$29,MAX(0,(Inputs!$B$3-100)*3)+Inputs!$B$28+Inputs!$B$29)))</f>
        <v/>
      </c>
      <c r="E132">
        <f>INDEX(FactorTable!$B$2:$Y$301, MATCH(ROUND(MIN(300,MAX(1,D132)),0), FactorTable!$A$2:$A$301,0), Skills!M14+1)</f>
        <v/>
      </c>
      <c r="F132">
        <f>IF(Skills!N14=TRUE,(Skills!L14/10)*(E132/1000),Skills!L14/10)+Skills!O14</f>
        <v/>
      </c>
      <c r="G132">
        <f>Skills!G14*IF(Skills!H14&gt;0,Skills!I14/Skills!H14,1)</f>
        <v/>
      </c>
      <c r="H132">
        <f>1-(1-Skills!J14/100)^Skills!K14</f>
        <v/>
      </c>
      <c r="I132" t="inlineStr">
        <is>
          <t>1</t>
        </is>
      </c>
      <c r="J132" t="inlineStr"/>
      <c r="K132" t="inlineStr"/>
      <c r="L132" t="inlineStr"/>
      <c r="M132" t="inlineStr"/>
      <c r="N132" t="inlineStr"/>
      <c r="O132">
        <f>(1-Summary!$B$11)*T132+Summary!$B$11*V132</f>
        <v/>
      </c>
      <c r="P132">
        <f>IF(B162=0,0,O132/B162)</f>
        <v/>
      </c>
      <c r="Q132" t="n">
        <v>0</v>
      </c>
      <c r="R132" t="n">
        <v>0</v>
      </c>
      <c r="S132">
        <f>IFERROR(O132/N132,0)</f>
        <v/>
      </c>
      <c r="T132" t="n">
        <v>0</v>
      </c>
      <c r="V132" t="n">
        <v>0</v>
      </c>
    </row>
    <row r="133">
      <c r="A133">
        <f>Skills!A15</f>
        <v/>
      </c>
      <c r="B133">
        <f>Skills!B15</f>
        <v/>
      </c>
      <c r="C133">
        <f>Inputs!$B$3&gt;=74</f>
        <v/>
      </c>
      <c r="D133">
        <f>IF(Skills!C15=1,60+Inputs!$B$25+Inputs!$B$29,IF(Skills!C15=2,90+Inputs!$B$26+Inputs!$B$29,IF(Skills!C15=3,120+Inputs!$B$27+Inputs!$B$29,MAX(0,(Inputs!$B$3-100)*3)+Inputs!$B$28+Inputs!$B$29)))</f>
        <v/>
      </c>
      <c r="E133">
        <f>INDEX(FactorTable!$B$2:$Y$301, MATCH(ROUND(MIN(300,MAX(1,D133)),0), FactorTable!$A$2:$A$301,0), Skills!M15+1)</f>
        <v/>
      </c>
      <c r="F133">
        <f>IF(Skills!N15=TRUE,(Skills!L15/10)*(E133/1000),Skills!L15/10)+Skills!O15</f>
        <v/>
      </c>
      <c r="G133">
        <f>Skills!G15*IF(Skills!H15&gt;0,Skills!I15/Skills!H15,1)</f>
        <v/>
      </c>
      <c r="H133">
        <f>1-(1-Skills!J15/100)^Skills!K15</f>
        <v/>
      </c>
      <c r="I133" t="inlineStr">
        <is>
          <t>1</t>
        </is>
      </c>
      <c r="J133" t="inlineStr"/>
      <c r="K133" t="inlineStr"/>
      <c r="L133" t="inlineStr"/>
      <c r="M133" t="inlineStr"/>
      <c r="N133" t="inlineStr"/>
      <c r="O133">
        <f>(1-Summary!$B$11)*T133+Summary!$B$11*V133</f>
        <v/>
      </c>
      <c r="P133">
        <f>IF(B162=0,0,O133/B162)</f>
        <v/>
      </c>
      <c r="Q133" t="n">
        <v>0</v>
      </c>
      <c r="R133" t="n">
        <v>0</v>
      </c>
      <c r="S133">
        <f>IFERROR(O133/N133,0)</f>
        <v/>
      </c>
      <c r="T133" t="n">
        <v>0</v>
      </c>
      <c r="V133" t="n">
        <v>0</v>
      </c>
    </row>
    <row r="134">
      <c r="A134">
        <f>Skills!A16</f>
        <v/>
      </c>
      <c r="B134">
        <f>Skills!B16</f>
        <v/>
      </c>
      <c r="C134">
        <f>Inputs!$B$3&gt;=117</f>
        <v/>
      </c>
      <c r="D134">
        <f>IF(Skills!C16=1,60+Inputs!$B$25+Inputs!$B$29,IF(Skills!C16=2,90+Inputs!$B$26+Inputs!$B$29,IF(Skills!C16=3,120+Inputs!$B$27+Inputs!$B$29,MAX(0,(Inputs!$B$3-100)*3)+Inputs!$B$28+Inputs!$B$29)))</f>
        <v/>
      </c>
      <c r="E134">
        <f>INDEX(FactorTable!$B$2:$Y$301, MATCH(ROUND(MIN(300,MAX(1,D134)),0), FactorTable!$A$2:$A$301,0), Skills!M16+1)</f>
        <v/>
      </c>
      <c r="F134">
        <f>IF(Skills!N16=TRUE,(Skills!L16/10)*(E134/1000),Skills!L16/10)+Skills!O16</f>
        <v/>
      </c>
      <c r="G134">
        <f>Skills!G16*IF(Skills!H16&gt;0,Skills!I16/Skills!H16,1)</f>
        <v/>
      </c>
      <c r="H134">
        <f>1-(1-Skills!J16/100)^Skills!K16</f>
        <v/>
      </c>
      <c r="I134" t="inlineStr">
        <is>
          <t>1</t>
        </is>
      </c>
      <c r="J134" t="inlineStr"/>
      <c r="K134" t="inlineStr"/>
      <c r="L134" t="inlineStr"/>
      <c r="M134" t="inlineStr"/>
      <c r="N134" t="inlineStr"/>
      <c r="O134">
        <f>(1-Summary!$B$11)*T134+Summary!$B$11*V134</f>
        <v/>
      </c>
      <c r="P134">
        <f>IF(B162=0,0,O134/B162)</f>
        <v/>
      </c>
      <c r="Q134">
        <f>IFERROR(1/(IF(Inputs!$B$38="pvp",15,MAX(0.1,Skills!D16-IF(Skills!E16=TRUE,Inputs!$B$32,0)))*(1-IF(AND(ArtifactsInput!$M$27,Inputs!$B$4="Chapter Hunt"),CHOOSE(ArtifactsInput!$N$27+1,20,24,28,32,36,40),0)/100)),0)</f>
        <v/>
      </c>
      <c r="R134">
        <f>IF(AND(Inputs!$B$38&lt;&gt;"pvp",Inputs!$B$43&gt;0),IF(Inputs!$B$43&lt;=0,0,(INT(Inputs!$B$43/(IF(Inputs!$B$38="pvp",15,MAX(0.1,Skills!D16-IF(Skills!E16=TRUE,Inputs!$B$32,0)))*(1-IF(AND(ArtifactsInput!$M$27,Inputs!$B$4="Chapter Hunt"),CHOOSE(ArtifactsInput!$N$27+1,20,24,28,32,36,40),0)/100)))+1)),0)</f>
        <v/>
      </c>
      <c r="S134">
        <f>IFERROR(O134/N134,0)</f>
        <v/>
      </c>
      <c r="T134" t="n">
        <v>0</v>
      </c>
      <c r="V134" t="n">
        <v>0</v>
      </c>
    </row>
    <row r="135">
      <c r="A135">
        <f>Skills!A17</f>
        <v/>
      </c>
      <c r="B135">
        <f>Skills!B17</f>
        <v/>
      </c>
      <c r="C135">
        <f>Inputs!$B$3&gt;=115</f>
        <v/>
      </c>
      <c r="D135">
        <f>IF(Skills!C17=1,60+Inputs!$B$25+Inputs!$B$29,IF(Skills!C17=2,90+Inputs!$B$26+Inputs!$B$29,IF(Skills!C17=3,120+Inputs!$B$27+Inputs!$B$29,MAX(0,(Inputs!$B$3-100)*3)+Inputs!$B$28+Inputs!$B$29)))</f>
        <v/>
      </c>
      <c r="E135">
        <f>INDEX(FactorTable!$B$2:$Y$301, MATCH(ROUND(MIN(300,MAX(1,D135)),0), FactorTable!$A$2:$A$301,0), Skills!M17+1)</f>
        <v/>
      </c>
      <c r="F135">
        <f>IF(Skills!N17=TRUE,(Skills!L17/10)*(E135/1000),Skills!L17/10)+Skills!O17</f>
        <v/>
      </c>
      <c r="G135">
        <f>Skills!G17*IF(Skills!H17&gt;0,Skills!I17/Skills!H17,1)</f>
        <v/>
      </c>
      <c r="H135">
        <f>1-(1-Skills!J17/100)^Skills!K17</f>
        <v/>
      </c>
      <c r="I135" t="inlineStr">
        <is>
          <t>1</t>
        </is>
      </c>
      <c r="J135" t="inlineStr"/>
      <c r="K135" t="inlineStr"/>
      <c r="L135" t="inlineStr"/>
      <c r="M135" t="inlineStr"/>
      <c r="N135" t="inlineStr"/>
      <c r="O135">
        <f>(1-Summary!$B$11)*T135+Summary!$B$11*V135</f>
        <v/>
      </c>
      <c r="P135">
        <f>IF(B162=0,0,O135/B162)</f>
        <v/>
      </c>
      <c r="Q135">
        <f>IFERROR(1/(IF(Inputs!$B$38="pvp",15,MAX(0.1,Skills!D17-IF(Skills!E17=TRUE,Inputs!$B$32,0)))*(1-IF(AND(ArtifactsInput!$M$27,Inputs!$B$4="Chapter Hunt"),CHOOSE(ArtifactsInput!$N$27+1,20,24,28,32,36,40),0)/100)),0)</f>
        <v/>
      </c>
      <c r="R135">
        <f>IF(AND(Inputs!$B$38&lt;&gt;"pvp",Inputs!$B$43&gt;0),IF(Inputs!$B$43&lt;=0,0,(INT(Inputs!$B$43/(IF(Inputs!$B$38="pvp",15,MAX(0.1,Skills!D17-IF(Skills!E17=TRUE,Inputs!$B$32,0)))*(1-IF(AND(ArtifactsInput!$M$27,Inputs!$B$4="Chapter Hunt"),CHOOSE(ArtifactsInput!$N$27+1,20,24,28,32,36,40),0)/100)))+1)),0)</f>
        <v/>
      </c>
      <c r="S135">
        <f>IFERROR(O135/N135,0)</f>
        <v/>
      </c>
      <c r="T135" t="n">
        <v>0</v>
      </c>
      <c r="V135" t="n">
        <v>0</v>
      </c>
    </row>
    <row r="136">
      <c r="A136">
        <f>Skills!A18</f>
        <v/>
      </c>
      <c r="B136">
        <f>Skills!B18</f>
        <v/>
      </c>
      <c r="C136">
        <f>Inputs!$B$3&gt;=66</f>
        <v/>
      </c>
      <c r="D136">
        <f>IF(Skills!C18=1,60+Inputs!$B$25+Inputs!$B$29,IF(Skills!C18=2,90+Inputs!$B$26+Inputs!$B$29,IF(Skills!C18=3,120+Inputs!$B$27+Inputs!$B$29,MAX(0,(Inputs!$B$3-100)*3)+Inputs!$B$28+Inputs!$B$29)))</f>
        <v/>
      </c>
      <c r="E136">
        <f>INDEX(FactorTable!$B$2:$Y$301, MATCH(ROUND(MIN(300,MAX(1,D136)),0), FactorTable!$A$2:$A$301,0), Skills!M18+1)</f>
        <v/>
      </c>
      <c r="F136">
        <f>IF(Skills!N18=TRUE,(Skills!L18/10)*(E136/1000),Skills!L18/10)+Skills!O18</f>
        <v/>
      </c>
      <c r="G136">
        <f>Skills!G18*IF(Skills!H18&gt;0,Skills!I18/Skills!H18,1)</f>
        <v/>
      </c>
      <c r="H136">
        <f>1-(1-Skills!J18/100)^Skills!K18</f>
        <v/>
      </c>
      <c r="I136" t="inlineStr">
        <is>
          <t>1</t>
        </is>
      </c>
      <c r="J136" t="inlineStr"/>
      <c r="K136" t="inlineStr"/>
      <c r="L136" t="inlineStr"/>
      <c r="M136" t="inlineStr"/>
      <c r="N136" t="inlineStr"/>
      <c r="O136">
        <f>(1-Summary!$B$11)*T136+Summary!$B$11*V136</f>
        <v/>
      </c>
      <c r="P136">
        <f>IF(B162=0,0,O136/B162)</f>
        <v/>
      </c>
      <c r="Q136" t="n">
        <v>0</v>
      </c>
      <c r="R136" t="n">
        <v>0</v>
      </c>
      <c r="S136">
        <f>IFERROR(O136/N136,0)</f>
        <v/>
      </c>
      <c r="T136" t="n">
        <v>0</v>
      </c>
      <c r="V136" t="n">
        <v>0</v>
      </c>
    </row>
    <row r="137">
      <c r="A137">
        <f>Skills!A19</f>
        <v/>
      </c>
      <c r="B137">
        <f>Skills!B19</f>
        <v/>
      </c>
      <c r="C137">
        <f>Inputs!$B$3&gt;=72</f>
        <v/>
      </c>
      <c r="D137">
        <f>IF(Skills!C19=1,60+Inputs!$B$25+Inputs!$B$29,IF(Skills!C19=2,90+Inputs!$B$26+Inputs!$B$29,IF(Skills!C19=3,120+Inputs!$B$27+Inputs!$B$29,MAX(0,(Inputs!$B$3-100)*3)+Inputs!$B$28+Inputs!$B$29)))</f>
        <v/>
      </c>
      <c r="E137">
        <f>INDEX(FactorTable!$B$2:$Y$301, MATCH(ROUND(MIN(300,MAX(1,D137)),0), FactorTable!$A$2:$A$301,0), Skills!M19+1)</f>
        <v/>
      </c>
      <c r="F137">
        <f>IF(Skills!N19=TRUE,(Skills!L19/10)*(E137/1000),Skills!L19/10)+Skills!O19</f>
        <v/>
      </c>
      <c r="G137">
        <f>Skills!G19*IF(Skills!H19&gt;0,Skills!I19/Skills!H19,1)</f>
        <v/>
      </c>
      <c r="H137">
        <f>1-(1-Skills!J19/100)^Skills!K19</f>
        <v/>
      </c>
      <c r="I137" t="inlineStr">
        <is>
          <t>1</t>
        </is>
      </c>
      <c r="J137" t="inlineStr"/>
      <c r="K137" t="inlineStr"/>
      <c r="L137" t="inlineStr"/>
      <c r="M137" t="inlineStr"/>
      <c r="N137" t="inlineStr"/>
      <c r="O137">
        <f>(1-Summary!$B$11)*T137+Summary!$B$11*V137</f>
        <v/>
      </c>
      <c r="P137">
        <f>IF(B162=0,0,O137/B162)</f>
        <v/>
      </c>
      <c r="Q137" t="n">
        <v>0</v>
      </c>
      <c r="R137" t="n">
        <v>0</v>
      </c>
      <c r="S137">
        <f>IFERROR(O137/N137,0)</f>
        <v/>
      </c>
      <c r="T137" t="n">
        <v>0</v>
      </c>
      <c r="V137" t="n">
        <v>0</v>
      </c>
    </row>
    <row r="138">
      <c r="A138">
        <f>Skills!A20</f>
        <v/>
      </c>
      <c r="B138">
        <f>Skills!B20</f>
        <v/>
      </c>
      <c r="C138">
        <f>TRUE</f>
        <v/>
      </c>
      <c r="D138">
        <f>IF(Skills!C20=1,60+Inputs!$B$25+Inputs!$B$29,IF(Skills!C20=2,90+Inputs!$B$26+Inputs!$B$29,IF(Skills!C20=3,120+Inputs!$B$27+Inputs!$B$29,MAX(0,(Inputs!$B$3-100)*3)+Inputs!$B$28+Inputs!$B$29)))</f>
        <v/>
      </c>
      <c r="E138">
        <f>INDEX(FactorTable!$B$2:$Y$301, MATCH(ROUND(MIN(300,MAX(1,D138)),0), FactorTable!$A$2:$A$301,0), Skills!M20+1)</f>
        <v/>
      </c>
      <c r="F138">
        <f>IF(Skills!N20=TRUE,(Skills!L20/10)*(E138/1000),Skills!L20/10)+Skills!O20</f>
        <v/>
      </c>
      <c r="G138">
        <f>Skills!G20*IF(Skills!H20&gt;0,Skills!I20/Skills!H20,1)</f>
        <v/>
      </c>
      <c r="H138">
        <f>1-(1-Skills!J20/100)^Skills!K20</f>
        <v/>
      </c>
      <c r="I138" t="inlineStr">
        <is>
          <t>1</t>
        </is>
      </c>
      <c r="J138" t="inlineStr"/>
      <c r="K138" t="inlineStr"/>
      <c r="L138" t="inlineStr"/>
      <c r="M138" t="inlineStr"/>
      <c r="N138" t="inlineStr"/>
      <c r="O138">
        <f>(1-Summary!$B$11)*T138+Summary!$B$11*V138</f>
        <v/>
      </c>
      <c r="P138">
        <f>IF(B162=0,0,O138/B162)</f>
        <v/>
      </c>
      <c r="Q138">
        <f>IFERROR(1/(IF(Inputs!$B$38="pvp",15,MAX(0.1,Skills!D20-IF(Skills!E20=TRUE,Inputs!$B$32,0)))*(1-IF(AND(ArtifactsInput!$M$27,Inputs!$B$4="Chapter Hunt"),CHOOSE(ArtifactsInput!$N$27+1,20,24,28,32,36,40),0)/100)),0)</f>
        <v/>
      </c>
      <c r="R138">
        <f>IF(AND(Inputs!$B$38&lt;&gt;"pvp",Inputs!$B$43&gt;0),IF(Inputs!$B$43&lt;=0,0,(INT(Inputs!$B$43/(IF(Inputs!$B$38="pvp",15,MAX(0.1,Skills!D20-IF(Skills!E20=TRUE,Inputs!$B$32,0)))*(1-IF(AND(ArtifactsInput!$M$27,Inputs!$B$4="Chapter Hunt"),CHOOSE(ArtifactsInput!$N$27+1,20,24,28,32,36,40),0)/100)))+1)),0)</f>
        <v/>
      </c>
      <c r="S138">
        <f>IFERROR(O138/N138,0)</f>
        <v/>
      </c>
      <c r="T138" t="n">
        <v>0</v>
      </c>
      <c r="V138" t="n">
        <v>0</v>
      </c>
    </row>
    <row r="139">
      <c r="A139">
        <f>Skills!A21</f>
        <v/>
      </c>
      <c r="B139">
        <f>Skills!B21</f>
        <v/>
      </c>
      <c r="C139">
        <f>Inputs!$B$3&gt;=15</f>
        <v/>
      </c>
      <c r="D139">
        <f>IF(Skills!C21=1,60+Inputs!$B$25+Inputs!$B$29,IF(Skills!C21=2,90+Inputs!$B$26+Inputs!$B$29,IF(Skills!C21=3,120+Inputs!$B$27+Inputs!$B$29,MAX(0,(Inputs!$B$3-100)*3)+Inputs!$B$28+Inputs!$B$29)))</f>
        <v/>
      </c>
      <c r="E139">
        <f>INDEX(FactorTable!$B$2:$Y$301, MATCH(ROUND(MIN(300,MAX(1,D139)),0), FactorTable!$A$2:$A$301,0), Skills!M21+1)</f>
        <v/>
      </c>
      <c r="F139">
        <f>IF(Skills!N21=TRUE,(Skills!L21/10)*(E139/1000),Skills!L21/10)+Skills!O21</f>
        <v/>
      </c>
      <c r="G139">
        <f>Skills!G21*IF(Skills!H21&gt;0,Skills!I21/Skills!H21,1)</f>
        <v/>
      </c>
      <c r="H139">
        <f>1-(1-Skills!J21/100)^Skills!K21</f>
        <v/>
      </c>
      <c r="I139" t="inlineStr">
        <is>
          <t>1</t>
        </is>
      </c>
      <c r="J139" t="inlineStr"/>
      <c r="K139" t="inlineStr"/>
      <c r="L139" t="inlineStr"/>
      <c r="M139" t="inlineStr"/>
      <c r="N139" t="inlineStr"/>
      <c r="O139">
        <f>(1-Summary!$B$11)*T139+Summary!$B$11*V139</f>
        <v/>
      </c>
      <c r="P139">
        <f>IF(B162=0,0,O139/B162)</f>
        <v/>
      </c>
      <c r="Q139" t="n">
        <v>0</v>
      </c>
      <c r="R139" t="n">
        <v>0</v>
      </c>
      <c r="S139">
        <f>IFERROR(O139/N139,0)</f>
        <v/>
      </c>
      <c r="T139" t="n">
        <v>0</v>
      </c>
      <c r="V139" t="n">
        <v>0</v>
      </c>
    </row>
    <row r="140">
      <c r="A140">
        <f>Skills!A22</f>
        <v/>
      </c>
      <c r="B140">
        <f>Skills!B22</f>
        <v/>
      </c>
      <c r="C140">
        <f>Inputs!$B$3&gt;=10</f>
        <v/>
      </c>
      <c r="D140">
        <f>IF(Skills!C22=1,60+Inputs!$B$25+Inputs!$B$29,IF(Skills!C22=2,90+Inputs!$B$26+Inputs!$B$29,IF(Skills!C22=3,120+Inputs!$B$27+Inputs!$B$29,MAX(0,(Inputs!$B$3-100)*3)+Inputs!$B$28+Inputs!$B$29)))</f>
        <v/>
      </c>
      <c r="E140">
        <f>INDEX(FactorTable!$B$2:$Y$301, MATCH(ROUND(MIN(300,MAX(1,D140)),0), FactorTable!$A$2:$A$301,0), Skills!M22+1)</f>
        <v/>
      </c>
      <c r="F140">
        <f>IF(Skills!N22=TRUE,(Skills!L22/10)*(E140/1000),Skills!L22/10)+Skills!O22</f>
        <v/>
      </c>
      <c r="G140">
        <f>Skills!G22*IF(Skills!H22&gt;0,Skills!I22/Skills!H22,1)</f>
        <v/>
      </c>
      <c r="H140">
        <f>1-(1-Skills!J22/100)^Skills!K22</f>
        <v/>
      </c>
      <c r="I140" t="inlineStr">
        <is>
          <t>1</t>
        </is>
      </c>
      <c r="J140" t="inlineStr"/>
      <c r="K140" t="inlineStr"/>
      <c r="L140" t="inlineStr"/>
      <c r="M140" t="inlineStr"/>
      <c r="N140" t="inlineStr"/>
      <c r="O140">
        <f>(1-Summary!$B$11)*T140+Summary!$B$11*V140</f>
        <v/>
      </c>
      <c r="P140">
        <f>IF(B162=0,0,O140/B162)</f>
        <v/>
      </c>
      <c r="Q140" t="n">
        <v>0</v>
      </c>
      <c r="R140" t="n">
        <v>0</v>
      </c>
      <c r="S140">
        <f>IFERROR(O140/N140,0)</f>
        <v/>
      </c>
      <c r="T140" t="n">
        <v>0</v>
      </c>
      <c r="V140" t="n">
        <v>0</v>
      </c>
    </row>
    <row r="141">
      <c r="A141">
        <f>Skills!A23</f>
        <v/>
      </c>
      <c r="B141">
        <f>Skills!B23</f>
        <v/>
      </c>
      <c r="C141">
        <f>Inputs!$B$3&gt;=33</f>
        <v/>
      </c>
      <c r="D141">
        <f>IF(Skills!C23=1,60+Inputs!$B$25+Inputs!$B$29,IF(Skills!C23=2,90+Inputs!$B$26+Inputs!$B$29,IF(Skills!C23=3,120+Inputs!$B$27+Inputs!$B$29,MAX(0,(Inputs!$B$3-100)*3)+Inputs!$B$28+Inputs!$B$29)))</f>
        <v/>
      </c>
      <c r="E141">
        <f>INDEX(FactorTable!$B$2:$Y$301, MATCH(ROUND(MIN(300,MAX(1,D141)),0), FactorTable!$A$2:$A$301,0), Skills!M23+1)</f>
        <v/>
      </c>
      <c r="F141">
        <f>IF(Skills!N23=TRUE,(Skills!L23/10)*(E141/1000),Skills!L23/10)+Skills!O23</f>
        <v/>
      </c>
      <c r="G141">
        <f>Skills!G23*IF(Skills!H23&gt;0,Skills!I23/Skills!H23,1)</f>
        <v/>
      </c>
      <c r="H141">
        <f>1-(1-Skills!J23/100)^Skills!K23</f>
        <v/>
      </c>
      <c r="I141" t="inlineStr">
        <is>
          <t>1</t>
        </is>
      </c>
      <c r="J141" t="inlineStr"/>
      <c r="K141" t="inlineStr"/>
      <c r="L141" t="inlineStr"/>
      <c r="M141" t="inlineStr"/>
      <c r="N141" t="inlineStr"/>
      <c r="O141">
        <f>(1-Summary!$B$11)*T141+Summary!$B$11*V141</f>
        <v/>
      </c>
      <c r="P141">
        <f>IF(B162=0,0,O141/B162)</f>
        <v/>
      </c>
      <c r="Q141" t="n">
        <v>0</v>
      </c>
      <c r="R141" t="n">
        <v>0</v>
      </c>
      <c r="S141">
        <f>IFERROR(O141/N141,0)</f>
        <v/>
      </c>
      <c r="T141" t="n">
        <v>0</v>
      </c>
      <c r="V141" t="n">
        <v>0</v>
      </c>
    </row>
    <row r="142">
      <c r="A142">
        <f>Skills!A24</f>
        <v/>
      </c>
      <c r="B142">
        <f>Skills!B24</f>
        <v/>
      </c>
      <c r="C142">
        <f>Inputs!$B$3&gt;=38</f>
        <v/>
      </c>
      <c r="D142">
        <f>IF(Skills!C24=1,60+Inputs!$B$25+Inputs!$B$29,IF(Skills!C24=2,90+Inputs!$B$26+Inputs!$B$29,IF(Skills!C24=3,120+Inputs!$B$27+Inputs!$B$29,MAX(0,(Inputs!$B$3-100)*3)+Inputs!$B$28+Inputs!$B$29)))</f>
        <v/>
      </c>
      <c r="E142">
        <f>INDEX(FactorTable!$B$2:$Y$301, MATCH(ROUND(MIN(300,MAX(1,D142)),0), FactorTable!$A$2:$A$301,0), Skills!M24+1)</f>
        <v/>
      </c>
      <c r="F142">
        <f>IF(Skills!N24=TRUE,(Skills!L24/10)*(E142/1000),Skills!L24/10)+Skills!O24</f>
        <v/>
      </c>
      <c r="G142">
        <f>Skills!G24*IF(Skills!H24&gt;0,Skills!I24/Skills!H24,1)</f>
        <v/>
      </c>
      <c r="H142">
        <f>1-(1-Skills!J24/100)^Skills!K24</f>
        <v/>
      </c>
      <c r="I142" t="inlineStr">
        <is>
          <t>1</t>
        </is>
      </c>
      <c r="J142" t="inlineStr"/>
      <c r="K142" t="inlineStr"/>
      <c r="L142" t="inlineStr"/>
      <c r="M142" t="inlineStr"/>
      <c r="N142" t="inlineStr"/>
      <c r="O142">
        <f>(1-Summary!$B$11)*T142+Summary!$B$11*V142</f>
        <v/>
      </c>
      <c r="P142">
        <f>IF(B162=0,0,O142/B162)</f>
        <v/>
      </c>
      <c r="Q142" t="n">
        <v>0</v>
      </c>
      <c r="R142" t="n">
        <v>0</v>
      </c>
      <c r="S142">
        <f>IFERROR(O142/N142,0)</f>
        <v/>
      </c>
      <c r="T142" t="n">
        <v>0</v>
      </c>
      <c r="V142" t="n">
        <v>0</v>
      </c>
    </row>
    <row r="143">
      <c r="A143">
        <f>Skills!A25</f>
        <v/>
      </c>
      <c r="B143">
        <f>Skills!B25</f>
        <v/>
      </c>
      <c r="C143">
        <f>Inputs!$B$3&gt;=43</f>
        <v/>
      </c>
      <c r="D143">
        <f>IF(Skills!C25=1,60+Inputs!$B$25+Inputs!$B$29,IF(Skills!C25=2,90+Inputs!$B$26+Inputs!$B$29,IF(Skills!C25=3,120+Inputs!$B$27+Inputs!$B$29,MAX(0,(Inputs!$B$3-100)*3)+Inputs!$B$28+Inputs!$B$29)))</f>
        <v/>
      </c>
      <c r="E143">
        <f>INDEX(FactorTable!$B$2:$Y$301, MATCH(ROUND(MIN(300,MAX(1,D143)),0), FactorTable!$A$2:$A$301,0), Skills!M25+1)</f>
        <v/>
      </c>
      <c r="F143">
        <f>IF(Skills!N25=TRUE,(Skills!L25/10)*(E143/1000),Skills!L25/10)+Skills!O25</f>
        <v/>
      </c>
      <c r="G143">
        <f>Skills!G25*IF(Skills!H25&gt;0,Skills!I25/Skills!H25,1)</f>
        <v/>
      </c>
      <c r="H143">
        <f>1-(1-Skills!J25/100)^Skills!K25</f>
        <v/>
      </c>
      <c r="I143" t="inlineStr">
        <is>
          <t>1</t>
        </is>
      </c>
      <c r="J143" t="inlineStr"/>
      <c r="K143" t="inlineStr"/>
      <c r="L143" t="inlineStr"/>
      <c r="M143" t="inlineStr"/>
      <c r="N143" t="inlineStr"/>
      <c r="O143">
        <f>(1-Summary!$B$11)*T143+Summary!$B$11*V143</f>
        <v/>
      </c>
      <c r="P143">
        <f>IF(B162=0,0,O143/B162)</f>
        <v/>
      </c>
      <c r="Q143" t="n">
        <v>0</v>
      </c>
      <c r="R143" t="n">
        <v>0</v>
      </c>
      <c r="S143">
        <f>IFERROR(O143/N143,0)</f>
        <v/>
      </c>
      <c r="T143" t="n">
        <v>0</v>
      </c>
      <c r="V143" t="n">
        <v>0</v>
      </c>
    </row>
    <row r="144">
      <c r="A144">
        <f>Skills!A26</f>
        <v/>
      </c>
      <c r="B144">
        <f>Skills!B26</f>
        <v/>
      </c>
      <c r="C144">
        <f>Inputs!$B$3&gt;=75</f>
        <v/>
      </c>
      <c r="D144">
        <f>IF(Skills!C26=1,60+Inputs!$B$25+Inputs!$B$29,IF(Skills!C26=2,90+Inputs!$B$26+Inputs!$B$29,IF(Skills!C26=3,120+Inputs!$B$27+Inputs!$B$29,MAX(0,(Inputs!$B$3-100)*3)+Inputs!$B$28+Inputs!$B$29)))</f>
        <v/>
      </c>
      <c r="E144">
        <f>INDEX(FactorTable!$B$2:$Y$301, MATCH(ROUND(MIN(300,MAX(1,D144)),0), FactorTable!$A$2:$A$301,0), Skills!M26+1)</f>
        <v/>
      </c>
      <c r="F144">
        <f>IF(Skills!N26=TRUE,(Skills!L26/10)*(E144/1000),Skills!L26/10)+Skills!O26</f>
        <v/>
      </c>
      <c r="G144">
        <f>Skills!G26*IF(Skills!H26&gt;0,Skills!I26/Skills!H26,1)</f>
        <v/>
      </c>
      <c r="H144">
        <f>1-(1-Skills!J26/100)^Skills!K26</f>
        <v/>
      </c>
      <c r="I144" t="inlineStr">
        <is>
          <t>1</t>
        </is>
      </c>
      <c r="J144" t="inlineStr"/>
      <c r="K144" t="inlineStr"/>
      <c r="L144" t="inlineStr"/>
      <c r="M144" t="inlineStr"/>
      <c r="N144" t="inlineStr"/>
      <c r="O144">
        <f>(1-Summary!$B$11)*T144+Summary!$B$11*V144</f>
        <v/>
      </c>
      <c r="P144">
        <f>IF(B162=0,0,O144/B162)</f>
        <v/>
      </c>
      <c r="Q144" t="n">
        <v>0</v>
      </c>
      <c r="R144" t="n">
        <v>0</v>
      </c>
      <c r="S144">
        <f>IFERROR(O144/N144,0)</f>
        <v/>
      </c>
      <c r="T144" t="n">
        <v>0</v>
      </c>
      <c r="V144" t="n">
        <v>0</v>
      </c>
    </row>
    <row r="145">
      <c r="A145">
        <f>Skills!A27</f>
        <v/>
      </c>
      <c r="B145">
        <f>Skills!B27</f>
        <v/>
      </c>
      <c r="C145">
        <f>Inputs!$B$3&gt;=125</f>
        <v/>
      </c>
      <c r="D145">
        <f>IF(Skills!C27=1,60+Inputs!$B$25+Inputs!$B$29,IF(Skills!C27=2,90+Inputs!$B$26+Inputs!$B$29,IF(Skills!C27=3,120+Inputs!$B$27+Inputs!$B$29,MAX(0,(Inputs!$B$3-100)*3)+Inputs!$B$28+Inputs!$B$29)))</f>
        <v/>
      </c>
      <c r="E145">
        <f>INDEX(FactorTable!$B$2:$Y$301, MATCH(ROUND(MIN(300,MAX(1,D145)),0), FactorTable!$A$2:$A$301,0), Skills!M27+1)</f>
        <v/>
      </c>
      <c r="F145">
        <f>IF(Skills!N27=TRUE,(Skills!L27/10)*(E145/1000),Skills!L27/10)+Skills!O27</f>
        <v/>
      </c>
      <c r="G145">
        <f>Skills!G27*IF(Skills!H27&gt;0,Skills!I27/Skills!H27,1)</f>
        <v/>
      </c>
      <c r="H145">
        <f>1-(1-Skills!J27/100)^Skills!K27</f>
        <v/>
      </c>
      <c r="I145" t="inlineStr">
        <is>
          <t>1</t>
        </is>
      </c>
      <c r="J145" t="inlineStr"/>
      <c r="K145" t="inlineStr"/>
      <c r="L145" t="inlineStr"/>
      <c r="M145" t="inlineStr"/>
      <c r="N145" t="inlineStr"/>
      <c r="O145">
        <f>(1-Summary!$B$11)*T145+Summary!$B$11*V145</f>
        <v/>
      </c>
      <c r="P145">
        <f>IF(B162=0,0,O145/B162)</f>
        <v/>
      </c>
      <c r="Q145" t="n">
        <v>0</v>
      </c>
      <c r="R145" t="n">
        <v>0</v>
      </c>
      <c r="S145">
        <f>IFERROR(O145/N145,0)</f>
        <v/>
      </c>
      <c r="T145" t="n">
        <v>0</v>
      </c>
      <c r="V145" t="n">
        <v>0</v>
      </c>
    </row>
    <row r="146">
      <c r="A146">
        <f>Skills!A28</f>
        <v/>
      </c>
      <c r="B146">
        <f>Skills!B28</f>
        <v/>
      </c>
      <c r="C146">
        <f>Inputs!$B$3&gt;=125</f>
        <v/>
      </c>
      <c r="D146">
        <f>IF(Skills!C28=1,60+Inputs!$B$25+Inputs!$B$29,IF(Skills!C28=2,90+Inputs!$B$26+Inputs!$B$29,IF(Skills!C28=3,120+Inputs!$B$27+Inputs!$B$29,MAX(0,(Inputs!$B$3-100)*3)+Inputs!$B$28+Inputs!$B$29)))</f>
        <v/>
      </c>
      <c r="E146">
        <f>INDEX(FactorTable!$B$2:$Y$301, MATCH(ROUND(MIN(300,MAX(1,D146)),0), FactorTable!$A$2:$A$301,0), Skills!M28+1)</f>
        <v/>
      </c>
      <c r="F146">
        <f>IF(Skills!N28=TRUE,(Skills!L28/10)*(E146/1000),Skills!L28/10)+Skills!O28</f>
        <v/>
      </c>
      <c r="G146">
        <f>Skills!G28*IF(Skills!H28&gt;0,Skills!I28/Skills!H28,1)</f>
        <v/>
      </c>
      <c r="H146">
        <f>1-(1-Skills!J28/100)^Skills!K28</f>
        <v/>
      </c>
      <c r="I146" t="inlineStr">
        <is>
          <t>1</t>
        </is>
      </c>
      <c r="J146" t="inlineStr"/>
      <c r="K146" t="inlineStr"/>
      <c r="L146" t="inlineStr"/>
      <c r="M146" t="inlineStr"/>
      <c r="N146" t="inlineStr"/>
      <c r="O146">
        <f>(1-Summary!$B$11)*T146+Summary!$B$11*V146</f>
        <v/>
      </c>
      <c r="P146">
        <f>IF(B162=0,0,O146/B162)</f>
        <v/>
      </c>
      <c r="Q146" t="n">
        <v>0</v>
      </c>
      <c r="R146" t="n">
        <v>0</v>
      </c>
      <c r="S146">
        <f>IFERROR(O146/N146,0)</f>
        <v/>
      </c>
      <c r="T146" t="n">
        <v>0</v>
      </c>
      <c r="V146" t="n">
        <v>0</v>
      </c>
    </row>
    <row r="147">
      <c r="A147">
        <f>Skills!A29</f>
        <v/>
      </c>
      <c r="B147">
        <f>Skills!B29</f>
        <v/>
      </c>
      <c r="C147">
        <f>Inputs!$B$3&gt;=120</f>
        <v/>
      </c>
      <c r="D147">
        <f>IF(Skills!C29=1,60+Inputs!$B$25+Inputs!$B$29,IF(Skills!C29=2,90+Inputs!$B$26+Inputs!$B$29,IF(Skills!C29=3,120+Inputs!$B$27+Inputs!$B$29,MAX(0,(Inputs!$B$3-100)*3)+Inputs!$B$28+Inputs!$B$29)))</f>
        <v/>
      </c>
      <c r="E147">
        <f>INDEX(FactorTable!$B$2:$Y$301, MATCH(ROUND(MIN(300,MAX(1,D147)),0), FactorTable!$A$2:$A$301,0), Skills!M29+1)</f>
        <v/>
      </c>
      <c r="F147">
        <f>IF(Skills!N29=TRUE,(Skills!L29/10)*(E147/1000),Skills!L29/10)+Skills!O29</f>
        <v/>
      </c>
      <c r="G147">
        <f>Skills!G29*IF(Skills!H29&gt;0,Skills!I29/Skills!H29,1)</f>
        <v/>
      </c>
      <c r="H147">
        <f>1-(1-Skills!J29/100)^Skills!K29</f>
        <v/>
      </c>
      <c r="I147" t="inlineStr">
        <is>
          <t>1</t>
        </is>
      </c>
      <c r="J147" t="inlineStr"/>
      <c r="K147" t="inlineStr"/>
      <c r="L147" t="inlineStr"/>
      <c r="M147" t="inlineStr"/>
      <c r="N147" t="inlineStr"/>
      <c r="O147">
        <f>(1-Summary!$B$11)*T147+Summary!$B$11*V147</f>
        <v/>
      </c>
      <c r="P147">
        <f>IF(B162=0,0,O147/B162)</f>
        <v/>
      </c>
      <c r="Q147" t="n">
        <v>0</v>
      </c>
      <c r="R147" t="n">
        <v>0</v>
      </c>
      <c r="S147">
        <f>IFERROR(O147/N147,0)</f>
        <v/>
      </c>
      <c r="T147" t="n">
        <v>0</v>
      </c>
      <c r="V147" t="n">
        <v>0</v>
      </c>
    </row>
    <row r="148">
      <c r="A148">
        <f>Skills!A30</f>
        <v/>
      </c>
      <c r="B148">
        <f>Skills!B30</f>
        <v/>
      </c>
      <c r="C148">
        <f>Inputs!$B$3&gt;=120</f>
        <v/>
      </c>
      <c r="D148">
        <f>IF(Skills!C30=1,60+Inputs!$B$25+Inputs!$B$29,IF(Skills!C30=2,90+Inputs!$B$26+Inputs!$B$29,IF(Skills!C30=3,120+Inputs!$B$27+Inputs!$B$29,MAX(0,(Inputs!$B$3-100)*3)+Inputs!$B$28+Inputs!$B$29)))</f>
        <v/>
      </c>
      <c r="E148">
        <f>INDEX(FactorTable!$B$2:$Y$301, MATCH(ROUND(MIN(300,MAX(1,D148)),0), FactorTable!$A$2:$A$301,0), Skills!M30+1)</f>
        <v/>
      </c>
      <c r="F148">
        <f>IF(Skills!N30=TRUE,(Skills!L30/10)*(E148/1000),Skills!L30/10)+Skills!O30</f>
        <v/>
      </c>
      <c r="G148">
        <f>Skills!G30*IF(Skills!H30&gt;0,Skills!I30/Skills!H30,1)</f>
        <v/>
      </c>
      <c r="H148">
        <f>1-(1-Skills!J30/100)^Skills!K30</f>
        <v/>
      </c>
      <c r="I148" t="inlineStr">
        <is>
          <t>1</t>
        </is>
      </c>
      <c r="J148" t="inlineStr"/>
      <c r="K148" t="inlineStr"/>
      <c r="L148" t="inlineStr"/>
      <c r="M148" t="inlineStr"/>
      <c r="N148" t="inlineStr"/>
      <c r="O148">
        <f>(1-Summary!$B$11)*T148+Summary!$B$11*V148</f>
        <v/>
      </c>
      <c r="P148">
        <f>IF(B162=0,0,O148/B162)</f>
        <v/>
      </c>
      <c r="Q148" t="n">
        <v>0</v>
      </c>
      <c r="R148" t="n">
        <v>0</v>
      </c>
      <c r="S148">
        <f>IFERROR(O148/N148,0)</f>
        <v/>
      </c>
      <c r="T148" t="n">
        <v>0</v>
      </c>
      <c r="V148" t="n">
        <v>0</v>
      </c>
    </row>
    <row r="149">
      <c r="A149">
        <f>Skills!A31</f>
        <v/>
      </c>
      <c r="B149">
        <f>Skills!B31</f>
        <v/>
      </c>
      <c r="C149">
        <f>Inputs!$B$3&gt;=45</f>
        <v/>
      </c>
      <c r="D149">
        <f>IF(Skills!C31=1,60+Inputs!$B$25+Inputs!$B$29,IF(Skills!C31=2,90+Inputs!$B$26+Inputs!$B$29,IF(Skills!C31=3,120+Inputs!$B$27+Inputs!$B$29,MAX(0,(Inputs!$B$3-100)*3)+Inputs!$B$28+Inputs!$B$29)))</f>
        <v/>
      </c>
      <c r="E149">
        <f>INDEX(FactorTable!$B$2:$Y$301, MATCH(ROUND(MIN(300,MAX(1,D149)),0), FactorTable!$A$2:$A$301,0), Skills!M31+1)</f>
        <v/>
      </c>
      <c r="F149">
        <f>IF(Skills!N31=TRUE,(Skills!L31/10)*(E149/1000),Skills!L31/10)+Skills!O31</f>
        <v/>
      </c>
      <c r="G149">
        <f>Skills!G31*IF(Skills!H31&gt;0,Skills!I31/Skills!H31,1)</f>
        <v/>
      </c>
      <c r="H149">
        <f>1-(1-Skills!J31/100)^Skills!K31</f>
        <v/>
      </c>
      <c r="I149" t="inlineStr">
        <is>
          <t>1</t>
        </is>
      </c>
      <c r="J149" t="inlineStr"/>
      <c r="K149" t="inlineStr"/>
      <c r="L149" t="inlineStr"/>
      <c r="M149" t="inlineStr"/>
      <c r="N149" t="inlineStr"/>
      <c r="O149">
        <f>(1-Summary!$B$11)*T149+Summary!$B$11*V149</f>
        <v/>
      </c>
      <c r="P149">
        <f>IF(B162=0,0,O149/B162)</f>
        <v/>
      </c>
      <c r="Q149" t="n">
        <v>0</v>
      </c>
      <c r="R149" t="n">
        <v>0</v>
      </c>
      <c r="S149">
        <f>IFERROR(O149/N149,0)</f>
        <v/>
      </c>
      <c r="T149" t="n">
        <v>0</v>
      </c>
      <c r="V149" t="n">
        <v>0</v>
      </c>
    </row>
    <row r="151">
      <c r="A151" t="inlineStr">
        <is>
          <t>Attack% Bucket Multiplier</t>
        </is>
      </c>
      <c r="B151">
        <f>(1+(((C132=TRUE)*F132)+((C133=TRUE)*IF(Inputs!$B$38="pvp",F133,(1-Summary!$B$11)*(F133)+Summary!$B$11*(0)))+((C134=TRUE)*F134*IF(AND(Inputs!$B$38&lt;&gt;"pvp",Inputs!$B$43&gt;0),(((R134-1)*(Skills!T16*(1+Inputs!$B$34/100))+MIN((Skills!T16*(1+Inputs!$B$34/100)),MAX(0,Inputs!$B$43-((R134-1)*Skills!D16))))/Inputs!$B$43),IF(Inputs!$B$38="pvp",MIN((Skills!T16*(1+Inputs!$B$34/100)),15)/15,(Skills!T16*(1+Inputs!$B$34/100))/Skills!D16)))+((C149=TRUE)*(F149-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2">
      <c r="A152" t="inlineStr">
        <is>
          <t>Global Crit Rate Bonus %</t>
        </is>
      </c>
      <c r="B152">
        <f>(C135=TRUE)*20*IF(AND(Inputs!$B$38&lt;&gt;"pvp",Inputs!$B$43&gt;0),(((R135-1)*(Skills!T17*(1+Inputs!$B$34/100))+MIN((Skills!T17*(1+Inputs!$B$34/100)),MAX(0,Inputs!$B$43-((R135-1)*Skills!D17))))/Inputs!$B$43),IF(Inputs!$B$38="pvp",MIN((Skills!T17*(1+Inputs!$B$34/100)),15)/15,(Skills!T17*(1+Inputs!$B$34/100))/Skills!D17))</f>
        <v/>
      </c>
    </row>
    <row r="153">
      <c r="A153" t="inlineStr">
        <is>
          <t>Attack Speed Buff Bonus %</t>
        </is>
      </c>
      <c r="B153">
        <f>((C138=TRUE)*F138*IF(AND(Inputs!$B$38&lt;&gt;"pvp",Inputs!$B$43&gt;0),(((R138-1)*(Skills!T20*(1+Inputs!$B$34/100))+MIN((Skills!T20*(1+Inputs!$B$34/100)),MAX(0,Inputs!$B$43-((R138-1)*Skills!D20))))/Inputs!$B$43),IF(Inputs!$B$38="pvp",MIN((Skills!T20*(1+Inputs!$B$34/100)),15)/15,(Skills!T20*(1+Inputs!$B$34/100))/Skills!D20)))</f>
        <v/>
      </c>
    </row>
    <row r="154">
      <c r="A154" t="inlineStr">
        <is>
          <t>Actions Per Second</t>
        </is>
      </c>
      <c r="B154">
        <f>1+MIN(150,150*(1-(1-(Inputs!$B$11+((C140=TRUE)*(F140-Calc!F22))+((C141=TRUE)*(F141-Calc!F23)))/150)*(1-B153/150)))/100</f>
        <v/>
      </c>
    </row>
    <row r="155">
      <c r="A155" t="inlineStr">
        <is>
          <t>Skill + Buff Cast Rate</t>
        </is>
      </c>
      <c r="B155">
        <f>IF(AND(Inputs!$B$38&lt;&gt;"pvp",Inputs!$B$43&gt;0),SUMPRODUCT((Skills!E2:E31=TRUE)*(C120:C149=TRUE)*R120:R149*Skills!F2:F31)/Inputs!$B$43,SUMPRODUCT((Skills!E2:E31=TRUE)*(C120:C149=TRUE)*Q120:Q149*Skills!F2:F31))</f>
        <v/>
      </c>
    </row>
    <row r="156">
      <c r="A156" t="inlineStr">
        <is>
          <t>Arrow Stream Casts Per Second</t>
        </is>
      </c>
      <c r="B156">
        <f>MAX(0,B154-B155)</f>
        <v/>
      </c>
    </row>
    <row r="157">
      <c r="A157" t="inlineStr">
        <is>
          <t>Global Critical Damage Bonus % (Sharp Eyes + Concentration)</t>
        </is>
      </c>
      <c r="B157">
        <f>(C135=TRUE)*F135*IF(AND(Inputs!$B$38&lt;&gt;"pvp",Inputs!$B$43&gt;0),(((R135-1)*(Skills!T17*(1+Inputs!$B$34/100))+MIN((Skills!T17*(1+Inputs!$B$34/100)),MAX(0,Inputs!$B$43-((R135-1)*Skills!D17))))/Inputs!$B$43),IF(Inputs!$B$38="pvp",MIN((Skills!T17*(1+Inputs!$B$34/100)),15)/15,(Skills!T17*(1+Inputs!$B$34/100))/Skills!D17))+(C136=TRUE)*30</f>
        <v/>
      </c>
    </row>
    <row r="158">
      <c r="A158" t="inlineStr">
        <is>
          <t>Global Final Damage Bonus % (Mortal Blow)</t>
        </is>
      </c>
      <c r="B158">
        <f>(C137=TRUE)*F137</f>
        <v/>
      </c>
    </row>
    <row r="159">
      <c r="A159" t="inlineStr">
        <is>
          <t>Buff-Casting Startup Delay (s, fixed-duration only)</t>
        </is>
      </c>
      <c r="B159">
        <f>IF(AND(Inputs!$B$38&lt;&gt;"pvp",Inputs!$B$43&gt;0),SUMPRODUCT((Skills!T2:T31&gt;0)*(Skills!E2:E31=TRUE)*(C120:C149=TRUE))/B154,0)</f>
        <v/>
      </c>
    </row>
    <row r="160">
      <c r="A160" t="inlineStr">
        <is>
          <t>Boss-Only Total DPS (this block's swept value)</t>
        </is>
      </c>
      <c r="B160">
        <f>SUM(T120:T149)</f>
        <v/>
      </c>
    </row>
    <row r="161">
      <c r="A161" t="inlineStr">
        <is>
          <t>Normal-Only Total DPS (this block's swept value)</t>
        </is>
      </c>
      <c r="B161">
        <f>SUM(V120:V149)</f>
        <v/>
      </c>
    </row>
    <row r="162">
      <c r="A162" s="6" t="inlineStr">
        <is>
          <t>TOTAL DPS</t>
        </is>
      </c>
      <c r="B162" s="6">
        <f>SUM(O120:O149)</f>
        <v/>
      </c>
    </row>
    <row r="165">
      <c r="A165" s="6" t="inlineStr">
        <is>
          <t>Stat: STR</t>
        </is>
      </c>
    </row>
    <row r="166">
      <c r="A166" s="5" t="inlineStr">
        <is>
          <t>Key</t>
        </is>
      </c>
      <c r="B166" s="5" t="inlineStr">
        <is>
          <t>Name</t>
        </is>
      </c>
      <c r="C166" s="5" t="inlineStr">
        <is>
          <t>Unlocked</t>
        </is>
      </c>
      <c r="D166" s="5" t="inlineStr">
        <is>
          <t>InputLevel</t>
        </is>
      </c>
      <c r="E166" s="5" t="inlineStr">
        <is>
          <t>Factor</t>
        </is>
      </c>
      <c r="F166" s="5" t="inlineStr">
        <is>
          <t>CoefficientPercent</t>
        </is>
      </c>
      <c r="G166" s="5" t="inlineStr">
        <is>
          <t>EffectiveHits</t>
        </is>
      </c>
      <c r="H166" s="5" t="inlineStr">
        <is>
          <t>ProcProbability</t>
        </is>
      </c>
      <c r="I166" s="5" t="inlineStr">
        <is>
          <t>MapleHeroMultiplier</t>
        </is>
      </c>
      <c r="J166" s="5" t="inlineStr">
        <is>
          <t>BaseDamage</t>
        </is>
      </c>
      <c r="K166" s="5" t="inlineStr">
        <is>
          <t>BaseHitDamage</t>
        </is>
      </c>
      <c r="L166" s="5" t="inlineStr">
        <is>
          <t>NonCritAvg</t>
        </is>
      </c>
      <c r="M166" s="5" t="inlineStr">
        <is>
          <t>CritAvg</t>
        </is>
      </c>
      <c r="N166" s="5" t="inlineStr">
        <is>
          <t>ExpectedDamage(perHit)</t>
        </is>
      </c>
      <c r="O166" s="5" t="inlineStr">
        <is>
          <t>DPS</t>
        </is>
      </c>
      <c r="P166" s="5" t="inlineStr">
        <is>
          <t>% of Total</t>
        </is>
      </c>
      <c r="Q166" s="5" t="inlineStr">
        <is>
          <t>InvCooldown</t>
        </is>
      </c>
      <c r="R166" s="5" t="inlineStr">
        <is>
          <t>CastsInFight</t>
        </is>
      </c>
      <c r="S166" s="5" t="inlineStr">
        <is>
          <t>HitRate(perSec)</t>
        </is>
      </c>
      <c r="U166" t="inlineStr">
        <is>
          <t>helpers</t>
        </is>
      </c>
    </row>
    <row r="167">
      <c r="A167">
        <f>Skills!A2</f>
        <v/>
      </c>
      <c r="B167">
        <f>Skills!B2</f>
        <v/>
      </c>
      <c r="C167">
        <f>Inputs!$B$3&gt;=100</f>
        <v/>
      </c>
      <c r="D167" t="inlineStr"/>
      <c r="E167" t="inlineStr"/>
      <c r="F167">
        <f>U169+Skills!O2</f>
        <v/>
      </c>
      <c r="G167">
        <f>Skills!G2*IF(Skills!H2&gt;0,Skills!I2/Skills!H2,1)</f>
        <v/>
      </c>
      <c r="H167">
        <f>1-(1-Skills!J2/100)^Skills!K2</f>
        <v/>
      </c>
      <c r="I167" t="inlineStr">
        <is>
          <t>1</t>
        </is>
      </c>
      <c r="J167">
        <f>((Inputs!$B$6*(1+Inputs!$B$7/100))+(((Inputs!$B$12*(1+Inputs!$B$13/100))-(Inputs!$B$12*(1+Inputs!$B$13/100)))+0.25*((Inputs!$B$14+1)-Inputs!$B$14))*(1+Inputs!$B$7/100))*(F167/100)</f>
        <v/>
      </c>
      <c r="K167">
        <f>J167*(1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f>
        <v/>
      </c>
      <c r="L167">
        <f>K167*(MIN(Inputs!$B$22+((C190=TRUE)*(F190-Calc!F25)),(Inputs!$B$23+((C195=TRUE)*(F195-Calc!F30))+(IF(ArtifactsInput!$M$15,CHOOSE(ArtifactsInput!$N$15+1,25,30,35,40,45,50)/100*(Inputs!$B$11-Inputs!$B$11),0))))/100+(Inputs!$B$23+((C195=TRUE)*(F195-Calc!F30))+(IF(ArtifactsInput!$M$15,CHOOSE(ArtifactsInput!$N$15+1,25,30,35,40,45,50)/100*(Inputs!$B$11-Inputs!$B$11),0)))/100)/2</f>
        <v/>
      </c>
      <c r="M167">
        <f>L167*(1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
        <f>L167*(1-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
        <f>(1-Summary!$B$11)*T167+Summary!$B$11*V167</f>
        <v/>
      </c>
      <c r="P167">
        <f>IF(B209=0,0,O167/B209)</f>
        <v/>
      </c>
      <c r="Q167" t="n">
        <v>0</v>
      </c>
      <c r="R167" t="n">
        <v>0</v>
      </c>
      <c r="S167">
        <f>IFERROR(O167/N167,0)</f>
        <v/>
      </c>
      <c r="T167">
        <f>IF(C167,(Skills!G2*N167*B203)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167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
        <f>MAX(0,(Inputs!$B$3-100)*3)+Inputs!$B$28+Inputs!$B$29</f>
        <v/>
      </c>
      <c r="V167">
        <f>IF(C167,(Skills!G2*N167*B203)*IF(Inputs!$B$38="pvp",1,(1+(Inputs!$B$21+Skills!Q2+(IF(ArtifactsInput!$M$33,CHOOSE(ArtifactsInput!$N$33+1,30,36,42,48,54,60),0))+(IF(AND(ArtifactsInput!$M$35,Inputs!$B$4&lt;&gt;"Chapter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
      <c r="A168">
        <f>Skills!A3</f>
        <v/>
      </c>
      <c r="B168">
        <f>Skills!B3</f>
        <v/>
      </c>
      <c r="C168">
        <f>Inputs!$B$3&gt;=50</f>
        <v/>
      </c>
      <c r="D168">
        <f>IF(Skills!C3=1,60+Inputs!$B$25+Inputs!$B$29,IF(Skills!C3=2,90+Inputs!$B$26+Inputs!$B$29,IF(Skills!C3=3,120+Inputs!$B$27+Inputs!$B$29,MAX(0,(Inputs!$B$3-100)*3)+Inputs!$B$28+Inputs!$B$29)))</f>
        <v/>
      </c>
      <c r="E168">
        <f>INDEX(FactorTable!$B$2:$Y$301, MATCH(ROUND(MIN(300,MAX(1,D168)),0), FactorTable!$A$2:$A$301,0), Skills!M3+1)</f>
        <v/>
      </c>
      <c r="F168">
        <f>IF(Skills!N3=TRUE,(Skills!L3/10)*(E168/1000),Skills!L3/10)+Skills!O3</f>
        <v/>
      </c>
      <c r="G168">
        <f>Skills!G3*IF(Skills!H3&gt;0,Skills!I3/Skills!H3,1)</f>
        <v/>
      </c>
      <c r="H168">
        <f>1-(1-Skills!J3/100)^Skills!K3</f>
        <v/>
      </c>
      <c r="I168" t="inlineStr">
        <is>
          <t>1</t>
        </is>
      </c>
      <c r="J168">
        <f>((Inputs!$B$6*(1+Inputs!$B$7/100))+(((Inputs!$B$12*(1+Inputs!$B$13/100))-(Inputs!$B$12*(1+Inputs!$B$13/100)))+0.25*((Inputs!$B$14+1)-Inputs!$B$14))*(1+Inputs!$B$7/100))*(F168/100)</f>
        <v/>
      </c>
      <c r="K168">
        <f>J168*(1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169=TRUE,F169,0)/100)*(1+(IF(Skills!A3="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f>
        <v/>
      </c>
      <c r="L168">
        <f>K168*(MIN(Inputs!$B$22+((C190=TRUE)*(F190-Calc!F25)),(Inputs!$B$23+((C195=TRUE)*(F195-Calc!F30))+(IF(ArtifactsInput!$M$15,CHOOSE(ArtifactsInput!$N$15+1,25,30,35,40,45,50)/100*(Inputs!$B$11-Inputs!$B$11),0))))/100+(Inputs!$B$23+((C195=TRUE)*(F195-Calc!F30))+(IF(ArtifactsInput!$M$15,CHOOSE(ArtifactsInput!$N$15+1,25,30,35,40,45,50)/100*(Inputs!$B$11-Inputs!$B$11),0)))/100)/2</f>
        <v/>
      </c>
      <c r="M168">
        <f>L168*(1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
        <f>L168*(1-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
        <f>(1-Summary!$B$11)*T168+Summary!$B$11*V168</f>
        <v/>
      </c>
      <c r="P168">
        <f>IF(B209=0,0,O168/B209)</f>
        <v/>
      </c>
      <c r="Q168">
        <f>IFERROR(1/(IF(Inputs!$B$38="pvp",15,MAX(0.1,Skills!D3-IF(Skills!E3=TRUE,Inputs!$B$32,0)))*(1-IF(AND(ArtifactsInput!$M$27,Inputs!$B$4="Chapter Hunt"),CHOOSE(ArtifactsInput!$N$27+1,20,24,28,32,36,40),0)/100)),0)</f>
        <v/>
      </c>
      <c r="R168">
        <f>IF(AND(Inputs!$B$38&lt;&gt;"pvp",Inputs!$B$43&gt;0),IF(MAX(0,Inputs!$B$43-B206)&lt;=0,0,(INT(MAX(0,Inputs!$B$43-B206)/(IF(Inputs!$B$38="pvp",15,MAX(0.1,Skills!D3-IF(Skills!E3=TRUE,Inputs!$B$32,0)))*(1-IF(AND(ArtifactsInput!$M$27,Inputs!$B$4="Chapter Hunt"),CHOOSE(ArtifactsInput!$N$27+1,20,24,28,32,36,40),0)/100)))+1)),0)</f>
        <v/>
      </c>
      <c r="S168">
        <f>IFERROR(O168/N168,0)</f>
        <v/>
      </c>
      <c r="T168">
        <f>IF(C168,(H168*N168*IF(AND(Inputs!$B$38&lt;&gt;"pvp",Inputs!$B$43&gt;0),((Skills!G3*((R168-1)*IF(Skills!H3&gt;0,Skills!I3/Skills!H3,1)+IF(Skills!H3&gt;0,MIN(Skills!I3,MAX(0,MAX(0,Inputs!$B$43-B206)-((R168-1)*(IF(Inputs!$B$38="pvp",15,MAX(0.1,Skills!D3-IF(Skills!E3=TRUE,Inputs!$B$32,0)))*(1-IF(AND(ArtifactsInput!$M$27,Inputs!$B$4="Chapter Hunt"),CHOOSE(ArtifactsInput!$N$27+1,20,24,28,32,36,40),0)/100)))))/Skills!H3,1)))/Inputs!$B$43),G168*Q168)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168*(1-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
        <f>INDEX(FactorTable!$B$2:$Y$301, MATCH(ROUND(MIN(300,MAX(1,U167)),0), FactorTable!$A$2:$A$301,0), 22)</f>
        <v/>
      </c>
      <c r="V168">
        <f>IF(C168,(H168*N168*IF(AND(Inputs!$B$38&lt;&gt;"pvp",Inputs!$B$43&gt;0),((Skills!G3*((R168-1)*IF(Skills!H3&gt;0,Skills!I3/Skills!H3,1)+IF(Skills!H3&gt;0,MIN(Skills!I3,MAX(0,MAX(0,Inputs!$B$43-B206)-((R168-1)*(IF(Inputs!$B$38="pvp",15,MAX(0.1,Skills!D3-IF(Skills!E3=TRUE,Inputs!$B$32,0)))*(1-IF(AND(ArtifactsInput!$M$27,Inputs!$B$4="Chapter Hunt"),CHOOSE(ArtifactsInput!$N$27+1,20,24,28,32,36,40),0)/100)))))/Skills!H3,1)))/Inputs!$B$43),G168*Q168))*IF(Inputs!$B$38="pvp",1,(1+(Inputs!$B$21+Skills!Q3+(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
      <c r="A169">
        <f>Skills!A4</f>
        <v/>
      </c>
      <c r="B169">
        <f>Skills!B4</f>
        <v/>
      </c>
      <c r="C169">
        <f>Inputs!$B$3&gt;=105</f>
        <v/>
      </c>
      <c r="D169">
        <f>IF(Skills!C4=1,60+Inputs!$B$25+Inputs!$B$29,IF(Skills!C4=2,90+Inputs!$B$26+Inputs!$B$29,IF(Skills!C4=3,120+Inputs!$B$27+Inputs!$B$29,MAX(0,(Inputs!$B$3-100)*3)+Inputs!$B$28+Inputs!$B$29)))</f>
        <v/>
      </c>
      <c r="E169">
        <f>INDEX(FactorTable!$B$2:$Y$301, MATCH(ROUND(MIN(300,MAX(1,D169)),0), FactorTable!$A$2:$A$301,0), Skills!M4+1)</f>
        <v/>
      </c>
      <c r="F169">
        <f>IF(Skills!N4=TRUE,(Skills!L4/10)*(E169/1000),Skills!L4/10)+Skills!O4</f>
        <v/>
      </c>
      <c r="G169" t="inlineStr"/>
      <c r="H169" t="inlineStr"/>
      <c r="I169" t="inlineStr">
        <is>
          <t>1</t>
        </is>
      </c>
      <c r="J169" t="inlineStr"/>
      <c r="K169" t="inlineStr"/>
      <c r="L169" t="inlineStr"/>
      <c r="M169" t="inlineStr"/>
      <c r="N169" t="inlineStr"/>
      <c r="O169" t="inlineStr"/>
      <c r="P169" t="inlineStr"/>
      <c r="Q169" t="inlineStr"/>
      <c r="R169" t="inlineStr"/>
      <c r="S169" t="inlineStr"/>
      <c r="T169" t="inlineStr"/>
      <c r="U169">
        <f>290*U168/1000</f>
        <v/>
      </c>
      <c r="V169" t="inlineStr"/>
    </row>
    <row r="170">
      <c r="A170">
        <f>Skills!A5</f>
        <v/>
      </c>
      <c r="B170">
        <f>Skills!B5</f>
        <v/>
      </c>
      <c r="C170">
        <f>Inputs!$B$3&gt;=35</f>
        <v/>
      </c>
      <c r="D170">
        <f>IF(Skills!C5=1,60+Inputs!$B$25+Inputs!$B$29,IF(Skills!C5=2,90+Inputs!$B$26+Inputs!$B$29,IF(Skills!C5=3,120+Inputs!$B$27+Inputs!$B$29,MAX(0,(Inputs!$B$3-100)*3)+Inputs!$B$28+Inputs!$B$29)))</f>
        <v/>
      </c>
      <c r="E170">
        <f>INDEX(FactorTable!$B$2:$Y$301, MATCH(ROUND(MIN(300,MAX(1,D170)),0), FactorTable!$A$2:$A$301,0), Skills!M5+1)</f>
        <v/>
      </c>
      <c r="F170">
        <f>IF(Skills!N5=TRUE,(Skills!L5/10)*(E170/1000),Skills!L5/10)+Skills!O5</f>
        <v/>
      </c>
      <c r="G170">
        <f>Skills!G5*IF(Skills!H5&gt;0,Skills!I5/Skills!H5,1)</f>
        <v/>
      </c>
      <c r="H170">
        <f>1-(1-Skills!J5/100)^Skills!K5</f>
        <v/>
      </c>
      <c r="I170" t="inlineStr">
        <is>
          <t>1</t>
        </is>
      </c>
      <c r="J170">
        <f>((Inputs!$B$6*(1+Inputs!$B$7/100))+(((Inputs!$B$12*(1+Inputs!$B$13/100))-(Inputs!$B$12*(1+Inputs!$B$13/100)))+0.25*((Inputs!$B$14+1)-Inputs!$B$14))*(1+Inputs!$B$7/100))*(F170/100)</f>
        <v/>
      </c>
      <c r="K170">
        <f>J170*(1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176=TRUE,F176,0)/100)*(1+(IF(Skills!A5="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f>
        <v/>
      </c>
      <c r="L170">
        <f>K170*(MIN(Inputs!$B$22+((C190=TRUE)*(F190-Calc!F25)),(Inputs!$B$23+((C195=TRUE)*(F195-Calc!F30))+(IF(ArtifactsInput!$M$15,CHOOSE(ArtifactsInput!$N$15+1,25,30,35,40,45,50)/100*(Inputs!$B$11-Inputs!$B$11),0))))/100+(Inputs!$B$23+((C195=TRUE)*(F195-Calc!F30))+(IF(ArtifactsInput!$M$15,CHOOSE(ArtifactsInput!$N$15+1,25,30,35,40,45,50)/100*(Inputs!$B$11-Inputs!$B$11),0)))/100)/2</f>
        <v/>
      </c>
      <c r="M170">
        <f>L170*(1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
        <f>L170*(1-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
        <f>(1-Summary!$B$11)*T170+Summary!$B$11*V170</f>
        <v/>
      </c>
      <c r="P170">
        <f>IF(B209=0,0,O170/B209)</f>
        <v/>
      </c>
      <c r="Q170">
        <f>IFERROR(1/(IF(Inputs!$B$38="pvp",15,MAX(0.1,Skills!D5-IF(Skills!E5=TRUE,Inputs!$B$32,0)))*(1-IF(AND(ArtifactsInput!$M$27,Inputs!$B$4="Chapter Hunt"),CHOOSE(ArtifactsInput!$N$27+1,20,24,28,32,36,40),0)/100)),0)</f>
        <v/>
      </c>
      <c r="R170">
        <f>IF(AND(Inputs!$B$38&lt;&gt;"pvp",Inputs!$B$43&gt;0),IF(MAX(0,Inputs!$B$43-B206)&lt;=0,0,(INT(MAX(0,Inputs!$B$43-B206)/(IF(Inputs!$B$38="pvp",15,MAX(0.1,Skills!D5-IF(Skills!E5=TRUE,Inputs!$B$32,0)))*(1-IF(AND(ArtifactsInput!$M$27,Inputs!$B$4="Chapter Hunt"),CHOOSE(ArtifactsInput!$N$27+1,20,24,28,32,36,40),0)/100)))+1)),0)</f>
        <v/>
      </c>
      <c r="S170">
        <f>IFERROR(O170/N170,0)</f>
        <v/>
      </c>
      <c r="T170">
        <f>IF(C170,(H170*N170*IF(AND(Inputs!$B$38&lt;&gt;"pvp",Inputs!$B$43&gt;0),((Skills!G5*((R170-1)*IF(Skills!H5&gt;0,Skills!I5/Skills!H5,1)+IF(Skills!H5&gt;0,MIN(Skills!I5,MAX(0,MAX(0,Inputs!$B$43-B206)-((R170-1)*(IF(Inputs!$B$38="pvp",15,MAX(0.1,Skills!D5-IF(Skills!E5=TRUE,Inputs!$B$32,0)))*(1-IF(AND(ArtifactsInput!$M$27,Inputs!$B$4="Chapter Hunt"),CHOOSE(ArtifactsInput!$N$27+1,20,24,28,32,36,40),0)/100)))))/Skills!H5,1)))/Inputs!$B$43),G170*Q170)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170*(1-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
        <f>IF(C170,(H170*N170*IF(AND(Inputs!$B$38&lt;&gt;"pvp",Inputs!$B$43&gt;0),((Skills!G5*((R170-1)*IF(Skills!H5&gt;0,Skills!I5/Skills!H5,1)+IF(Skills!H5&gt;0,MIN(Skills!I5,MAX(0,MAX(0,Inputs!$B$43-B206)-((R170-1)*(IF(Inputs!$B$38="pvp",15,MAX(0.1,Skills!D5-IF(Skills!E5=TRUE,Inputs!$B$32,0)))*(1-IF(AND(ArtifactsInput!$M$27,Inputs!$B$4="Chapter Hunt"),CHOOSE(ArtifactsInput!$N$27+1,20,24,28,32,36,40),0)/100)))))/Skills!H5,1)))/Inputs!$B$43),G170*Q170))*IF(Inputs!$B$38="pvp",1,(1+(Inputs!$B$21+Skills!Q5+(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
      <c r="A171">
        <f>Skills!A6</f>
        <v/>
      </c>
      <c r="B171">
        <f>Skills!B6</f>
        <v/>
      </c>
      <c r="C171">
        <f>Inputs!$B$3&gt;=40</f>
        <v/>
      </c>
      <c r="D171">
        <f>IF(Skills!C6=1,60+Inputs!$B$25+Inputs!$B$29,IF(Skills!C6=2,90+Inputs!$B$26+Inputs!$B$29,IF(Skills!C6=3,120+Inputs!$B$27+Inputs!$B$29,MAX(0,(Inputs!$B$3-100)*3)+Inputs!$B$28+Inputs!$B$29)))</f>
        <v/>
      </c>
      <c r="E171">
        <f>INDEX(FactorTable!$B$2:$Y$301, MATCH(ROUND(MIN(300,MAX(1,D171)),0), FactorTable!$A$2:$A$301,0), Skills!M6+1)</f>
        <v/>
      </c>
      <c r="F171">
        <f>IF(Skills!N6=TRUE,(Skills!L6/10)*(E171/1000),Skills!L6/10)+Skills!O6</f>
        <v/>
      </c>
      <c r="G171">
        <f>Skills!G6*IF(Skills!H6&gt;0,Skills!I6/Skills!H6,1)</f>
        <v/>
      </c>
      <c r="H171">
        <f>1-(1-Skills!J6/100)^Skills!K6</f>
        <v/>
      </c>
      <c r="I171" t="inlineStr">
        <is>
          <t>1</t>
        </is>
      </c>
      <c r="J171">
        <f>((Inputs!$B$6*(1+Inputs!$B$7/100))+(((Inputs!$B$12*(1+Inputs!$B$13/100))-(Inputs!$B$12*(1+Inputs!$B$13/100)))+0.25*((Inputs!$B$14+1)-Inputs!$B$14))*(1+Inputs!$B$7/100))*(F171/100)</f>
        <v/>
      </c>
      <c r="K171">
        <f>J171*(1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TRUE,F172,0)/100)*(1+(IF(Skills!A6="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f>
        <v/>
      </c>
      <c r="L171">
        <f>K171*(MIN(Inputs!$B$22+((C190=TRUE)*(F190-Calc!F25)),(Inputs!$B$23+((C195=TRUE)*(F195-Calc!F30))+(IF(ArtifactsInput!$M$15,CHOOSE(ArtifactsInput!$N$15+1,25,30,35,40,45,50)/100*(Inputs!$B$11-Inputs!$B$11),0))))/100+(Inputs!$B$23+((C195=TRUE)*(F195-Calc!F30))+(IF(ArtifactsInput!$M$15,CHOOSE(ArtifactsInput!$N$15+1,25,30,35,40,45,50)/100*(Inputs!$B$11-Inputs!$B$11),0)))/100)/2</f>
        <v/>
      </c>
      <c r="M171">
        <f>L171*(1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
        <f>L171*(1-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
        <f>(1-Summary!$B$11)*T171+Summary!$B$11*V171</f>
        <v/>
      </c>
      <c r="P171">
        <f>IF(B209=0,0,O171/B209)</f>
        <v/>
      </c>
      <c r="Q171">
        <f>IFERROR(1/(IF(Inputs!$B$38="pvp",15,MAX(0.1,Skills!D6-IF(Skills!E6=TRUE,Inputs!$B$32,0)))*(1-IF(AND(ArtifactsInput!$M$27,Inputs!$B$4="Chapter Hunt"),CHOOSE(ArtifactsInput!$N$27+1,20,24,28,32,36,40),0)/100)),0)</f>
        <v/>
      </c>
      <c r="R171">
        <f>IF(AND(Inputs!$B$38&lt;&gt;"pvp",Inputs!$B$43&gt;0),IF(MAX(0,Inputs!$B$43-B206)&lt;=0,0,(INT(MAX(0,Inputs!$B$43-B206)/(IF(Inputs!$B$38="pvp",15,MAX(0.1,Skills!D6-IF(Skills!E6=TRUE,Inputs!$B$32,0)))*(1-IF(AND(ArtifactsInput!$M$27,Inputs!$B$4="Chapter Hunt"),CHOOSE(ArtifactsInput!$N$27+1,20,24,28,32,36,40),0)/100)))+1)),0)</f>
        <v/>
      </c>
      <c r="S171">
        <f>IFERROR(O171/N171,0)</f>
        <v/>
      </c>
      <c r="T171">
        <f>IF(C171,(H171*N171*IF(AND(Inputs!$B$38&lt;&gt;"pvp",Inputs!$B$43&gt;0),((Skills!G6*((R171-1)*IF(Skills!H6&gt;0,Skills!I6/Skills!H6,1)+IF(Skills!H6&gt;0,MIN(Skills!I6,MAX(0,MAX(0,Inputs!$B$43-B206)-((R171-1)*(IF(Inputs!$B$38="pvp",15,MAX(0.1,Skills!D6-IF(Skills!E6=TRUE,Inputs!$B$32,0)))*(1-IF(AND(ArtifactsInput!$M$27,Inputs!$B$4="Chapter Hunt"),CHOOSE(ArtifactsInput!$N$27+1,20,24,28,32,36,40),0)/100)))))/Skills!H6,1)))/Inputs!$B$43),G171*Q171)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171*(1-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
        <f>IF(C171,(H171*N171*IF(AND(Inputs!$B$38&lt;&gt;"pvp",Inputs!$B$43&gt;0),((Skills!G6*((R171-1)*IF(Skills!H6&gt;0,Skills!I6/Skills!H6,1)+IF(Skills!H6&gt;0,MIN(Skills!I6,MAX(0,MAX(0,Inputs!$B$43-B206)-((R171-1)*(IF(Inputs!$B$38="pvp",15,MAX(0.1,Skills!D6-IF(Skills!E6=TRUE,Inputs!$B$32,0)))*(1-IF(AND(ArtifactsInput!$M$27,Inputs!$B$4="Chapter Hunt"),CHOOSE(ArtifactsInput!$N$27+1,20,24,28,32,36,40),0)/100)))))/Skills!H6,1)))/Inputs!$B$43),G171*Q171))*IF(Inputs!$B$38="pvp",1,(1+(Inputs!$B$21+Skills!Q6+(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
      <c r="A172">
        <f>Skills!A7</f>
        <v/>
      </c>
      <c r="B172">
        <f>Skills!B7</f>
        <v/>
      </c>
      <c r="C172">
        <f>Inputs!$B$3&gt;=107</f>
        <v/>
      </c>
      <c r="D172">
        <f>IF(Skills!C7=1,60+Inputs!$B$25+Inputs!$B$29,IF(Skills!C7=2,90+Inputs!$B$26+Inputs!$B$29,IF(Skills!C7=3,120+Inputs!$B$27+Inputs!$B$29,MAX(0,(Inputs!$B$3-100)*3)+Inputs!$B$28+Inputs!$B$29)))</f>
        <v/>
      </c>
      <c r="E172">
        <f>INDEX(FactorTable!$B$2:$Y$301, MATCH(ROUND(MIN(300,MAX(1,D172)),0), FactorTable!$A$2:$A$301,0), Skills!M7+1)</f>
        <v/>
      </c>
      <c r="F172">
        <f>IF(Skills!N7=TRUE,(Skills!L7/10)*(E172/1000),Skills!L7/10)+Skills!O7</f>
        <v/>
      </c>
      <c r="G172" t="inlineStr"/>
      <c r="H172" t="inlineStr"/>
      <c r="I172" t="inlineStr">
        <is>
          <t>1</t>
        </is>
      </c>
      <c r="J172" t="inlineStr"/>
      <c r="K172" t="inlineStr"/>
      <c r="L172" t="inlineStr"/>
      <c r="M172" t="inlineStr"/>
      <c r="N172" t="inlineStr"/>
      <c r="O172" t="inlineStr"/>
      <c r="P172" t="inlineStr"/>
      <c r="Q172" t="inlineStr"/>
      <c r="R172" t="inlineStr"/>
      <c r="S172" t="inlineStr"/>
      <c r="T172" t="inlineStr"/>
      <c r="V172" t="inlineStr"/>
    </row>
    <row r="173">
      <c r="A173">
        <f>Skills!A8</f>
        <v/>
      </c>
      <c r="B173">
        <f>Skills!B8</f>
        <v/>
      </c>
      <c r="C173">
        <f>Inputs!$B$3&gt;=69</f>
        <v/>
      </c>
      <c r="D173">
        <f>IF(Skills!C8=1,60+Inputs!$B$25+Inputs!$B$29,IF(Skills!C8=2,90+Inputs!$B$26+Inputs!$B$29,IF(Skills!C8=3,120+Inputs!$B$27+Inputs!$B$29,MAX(0,(Inputs!$B$3-100)*3)+Inputs!$B$28+Inputs!$B$29)))</f>
        <v/>
      </c>
      <c r="E173">
        <f>INDEX(FactorTable!$B$2:$Y$301, MATCH(ROUND(MIN(300,MAX(1,D173)),0), FactorTable!$A$2:$A$301,0), Skills!M8+1)</f>
        <v/>
      </c>
      <c r="F173">
        <f>IF(Skills!N8=TRUE,(Skills!L8/10)*(E173/1000),Skills!L8/10)+Skills!O8</f>
        <v/>
      </c>
      <c r="G173">
        <f>Skills!G8*IF(Skills!H8&gt;0,Skills!I8/Skills!H8,1)</f>
        <v/>
      </c>
      <c r="H173">
        <f>1-(1-Skills!J8/100)^Skills!K8</f>
        <v/>
      </c>
      <c r="I173" t="inlineStr">
        <is>
          <t>1</t>
        </is>
      </c>
      <c r="J173">
        <f>((Inputs!$B$6*(1+Inputs!$B$7/100))+(((Inputs!$B$12*(1+Inputs!$B$13/100))-(Inputs!$B$12*(1+Inputs!$B$13/100)))+0.25*((Inputs!$B$14+1)-Inputs!$B$14))*(1+Inputs!$B$7/100))*(F173/100)</f>
        <v/>
      </c>
      <c r="K173">
        <f>J173*(1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176=TRUE,F176,0)/100)*(1+(IF(Skills!A8="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f>
        <v/>
      </c>
      <c r="L173">
        <f>K173*(MIN(Inputs!$B$22+((C190=TRUE)*(F190-Calc!F25)),(Inputs!$B$23+((C195=TRUE)*(F195-Calc!F30))+(IF(ArtifactsInput!$M$15,CHOOSE(ArtifactsInput!$N$15+1,25,30,35,40,45,50)/100*(Inputs!$B$11-Inputs!$B$11),0))))/100+(Inputs!$B$23+((C195=TRUE)*(F195-Calc!F30))+(IF(ArtifactsInput!$M$15,CHOOSE(ArtifactsInput!$N$15+1,25,30,35,40,45,50)/100*(Inputs!$B$11-Inputs!$B$11),0)))/100)/2</f>
        <v/>
      </c>
      <c r="M173">
        <f>L173*(1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
        <f>L173*(1-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
        <f>(1-Summary!$B$11)*T173+Summary!$B$11*V173</f>
        <v/>
      </c>
      <c r="P173">
        <f>IF(B209=0,0,O173/B209)</f>
        <v/>
      </c>
      <c r="Q173">
        <f>IFERROR(1/(IF(Inputs!$B$38="pvp",15,MAX(0.1,Skills!D8-IF(Skills!E8=TRUE,Inputs!$B$32,0)))*(1-IF(AND(ArtifactsInput!$M$27,Inputs!$B$4="Chapter Hunt"),CHOOSE(ArtifactsInput!$N$27+1,20,24,28,32,36,40),0)/100)),0)</f>
        <v/>
      </c>
      <c r="R173">
        <f>IF(AND(Inputs!$B$38&lt;&gt;"pvp",Inputs!$B$43&gt;0),IF(MAX(0,Inputs!$B$43-B206)&lt;=0,0,(INT(MAX(0,Inputs!$B$43-B206)/(IF(Inputs!$B$38="pvp",15,MAX(0.1,Skills!D8-IF(Skills!E8=TRUE,Inputs!$B$32,0)))*(1-IF(AND(ArtifactsInput!$M$27,Inputs!$B$4="Chapter Hunt"),CHOOSE(ArtifactsInput!$N$27+1,20,24,28,32,36,40),0)/100)))+1)),0)</f>
        <v/>
      </c>
      <c r="S173">
        <f>IFERROR(O173/N173,0)</f>
        <v/>
      </c>
      <c r="T173">
        <f>IF(C173,(H173*N173*IF(AND(Inputs!$B$38&lt;&gt;"pvp",Inputs!$B$43&gt;0),((Skills!G8*((R173-1)*IF(Skills!H8&gt;0,Skills!I8/Skills!H8,1)+IF(Skills!H8&gt;0,MIN(Skills!I8,MAX(0,MAX(0,Inputs!$B$43-B206)-((R173-1)*(IF(Inputs!$B$38="pvp",15,MAX(0.1,Skills!D8-IF(Skills!E8=TRUE,Inputs!$B$32,0)))*(1-IF(AND(ArtifactsInput!$M$27,Inputs!$B$4="Chapter Hunt"),CHOOSE(ArtifactsInput!$N$27+1,20,24,28,32,36,40),0)/100)))))/Skills!H8,1)))/Inputs!$B$43),G173*Q173)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173*(1-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
        <f>IF(C173,(H173*N173*IF(AND(Inputs!$B$38&lt;&gt;"pvp",Inputs!$B$43&gt;0),((Skills!G8*((R173-1)*IF(Skills!H8&gt;0,Skills!I8/Skills!H8,1)+IF(Skills!H8&gt;0,MIN(Skills!I8,MAX(0,MAX(0,Inputs!$B$43-B206)-((R173-1)*(IF(Inputs!$B$38="pvp",15,MAX(0.1,Skills!D8-IF(Skills!E8=TRUE,Inputs!$B$32,0)))*(1-IF(AND(ArtifactsInput!$M$27,Inputs!$B$4="Chapter Hunt"),CHOOSE(ArtifactsInput!$N$27+1,20,24,28,32,36,40),0)/100)))))/Skills!H8,1)))/Inputs!$B$43),G173*Q173))*IF(Inputs!$B$38="pvp",1,(1+(Inputs!$B$21+Skills!Q8+(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
      <c r="A174">
        <f>Skills!A9</f>
        <v/>
      </c>
      <c r="B174">
        <f>Skills!B9</f>
        <v/>
      </c>
      <c r="C174">
        <f>Inputs!$B$3&gt;=63</f>
        <v/>
      </c>
      <c r="D174">
        <f>IF(Skills!C9=1,60+Inputs!$B$25+Inputs!$B$29,IF(Skills!C9=2,90+Inputs!$B$26+Inputs!$B$29,IF(Skills!C9=3,120+Inputs!$B$27+Inputs!$B$29,MAX(0,(Inputs!$B$3-100)*3)+Inputs!$B$28+Inputs!$B$29)))</f>
        <v/>
      </c>
      <c r="E174">
        <f>INDEX(FactorTable!$B$2:$Y$301, MATCH(ROUND(MIN(300,MAX(1,D174)),0), FactorTable!$A$2:$A$301,0), Skills!M9+1)</f>
        <v/>
      </c>
      <c r="F174">
        <f>IF(Skills!N9=TRUE,(Skills!L9/10)*(E174/1000),Skills!L9/10)+Skills!O9</f>
        <v/>
      </c>
      <c r="G174">
        <f>Skills!G9*IF(Skills!H9&gt;0,Skills!I9/Skills!H9,1)</f>
        <v/>
      </c>
      <c r="H174">
        <f>1-(1-Skills!J9/100)^Skills!K9</f>
        <v/>
      </c>
      <c r="I174" t="inlineStr">
        <is>
          <t>1</t>
        </is>
      </c>
      <c r="J174">
        <f>((Inputs!$B$6*(1+Inputs!$B$7/100))+(((Inputs!$B$12*(1+Inputs!$B$13/100))-(Inputs!$B$12*(1+Inputs!$B$13/100)))+0.25*((Inputs!$B$14+1)-Inputs!$B$14))*(1+Inputs!$B$7/100))*(F174/100)</f>
        <v/>
      </c>
      <c r="K174">
        <f>J174*(1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176=TRUE,F176,0)/100)*(1+(IF(Skills!A9="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f>
        <v/>
      </c>
      <c r="L174">
        <f>K174*(MIN(Inputs!$B$22+((C190=TRUE)*(F190-Calc!F25)),(Inputs!$B$23+((C195=TRUE)*(F195-Calc!F30))+(IF(ArtifactsInput!$M$15,CHOOSE(ArtifactsInput!$N$15+1,25,30,35,40,45,50)/100*(Inputs!$B$11-Inputs!$B$11),0))))/100+(Inputs!$B$23+((C195=TRUE)*(F195-Calc!F30))+(IF(ArtifactsInput!$M$15,CHOOSE(ArtifactsInput!$N$15+1,25,30,35,40,45,50)/100*(Inputs!$B$11-Inputs!$B$11),0)))/100)/2</f>
        <v/>
      </c>
      <c r="M174">
        <f>L174*(1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
        <f>L174*(1-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
        <f>(1-Summary!$B$11)*T174+Summary!$B$11*V174</f>
        <v/>
      </c>
      <c r="P174">
        <f>IF(B209=0,0,O174/B209)</f>
        <v/>
      </c>
      <c r="Q174">
        <f>IFERROR(1/(IF(Inputs!$B$38="pvp",15,MAX(0.1,Skills!D9-IF(Skills!E9=TRUE,Inputs!$B$32,0)))*(1-IF(AND(ArtifactsInput!$M$27,Inputs!$B$4="Chapter Hunt"),CHOOSE(ArtifactsInput!$N$27+1,20,24,28,32,36,40),0)/100)),0)</f>
        <v/>
      </c>
      <c r="R174">
        <f>IF(AND(Inputs!$B$38&lt;&gt;"pvp",Inputs!$B$43&gt;0),IF(MAX(0,Inputs!$B$43-B206)&lt;=0,0,(INT(MAX(0,Inputs!$B$43-B206)/(IF(Inputs!$B$38="pvp",15,MAX(0.1,Skills!D9-IF(Skills!E9=TRUE,Inputs!$B$32,0)))*(1-IF(AND(ArtifactsInput!$M$27,Inputs!$B$4="Chapter Hunt"),CHOOSE(ArtifactsInput!$N$27+1,20,24,28,32,36,40),0)/100)))+1)),0)</f>
        <v/>
      </c>
      <c r="S174">
        <f>IFERROR(O174/N174,0)</f>
        <v/>
      </c>
      <c r="T174">
        <f>IF(C174,(H174*N174*IF(AND(Inputs!$B$38&lt;&gt;"pvp",Inputs!$B$43&gt;0),((Skills!G9*((R174-1)*IF(Skills!H9&gt;0,Skills!I9/Skills!H9,1)+IF(Skills!H9&gt;0,MIN(Skills!I9,MAX(0,MAX(0,Inputs!$B$43-B206)-((R174-1)*(IF(Inputs!$B$38="pvp",15,MAX(0.1,Skills!D9-IF(Skills!E9=TRUE,Inputs!$B$32,0)))*(1-IF(AND(ArtifactsInput!$M$27,Inputs!$B$4="Chapter Hunt"),CHOOSE(ArtifactsInput!$N$27+1,20,24,28,32,36,40),0)/100)))))/Skills!H9,1)))/Inputs!$B$43),G174*Q174)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174*(1-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
        <f>IF(C174,(H174*N174*IF(AND(Inputs!$B$38&lt;&gt;"pvp",Inputs!$B$43&gt;0),((Skills!G9*((R174-1)*IF(Skills!H9&gt;0,Skills!I9/Skills!H9,1)+IF(Skills!H9&gt;0,MIN(Skills!I9,MAX(0,MAX(0,Inputs!$B$43-B206)-((R174-1)*(IF(Inputs!$B$38="pvp",15,MAX(0.1,Skills!D9-IF(Skills!E9=TRUE,Inputs!$B$32,0)))*(1-IF(AND(ArtifactsInput!$M$27,Inputs!$B$4="Chapter Hunt"),CHOOSE(ArtifactsInput!$N$27+1,20,24,28,32,36,40),0)/100)))))/Skills!H9,1)))/Inputs!$B$43),G174*Q174))*IF(Inputs!$B$38="pvp",1,(1+(Inputs!$B$21+Skills!Q9+(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
      <c r="A175">
        <f>Skills!A10</f>
        <v/>
      </c>
      <c r="B175">
        <f>Skills!B10</f>
        <v/>
      </c>
      <c r="C175">
        <f>Inputs!$B$3&gt;=103</f>
        <v/>
      </c>
      <c r="D175">
        <f>IF(Skills!C10=1,60+Inputs!$B$25+Inputs!$B$29,IF(Skills!C10=2,90+Inputs!$B$26+Inputs!$B$29,IF(Skills!C10=3,120+Inputs!$B$27+Inputs!$B$29,MAX(0,(Inputs!$B$3-100)*3)+Inputs!$B$28+Inputs!$B$29)))</f>
        <v/>
      </c>
      <c r="E175">
        <f>INDEX(FactorTable!$B$2:$Y$301, MATCH(ROUND(MIN(300,MAX(1,D175)),0), FactorTable!$A$2:$A$301,0), Skills!M10+1)</f>
        <v/>
      </c>
      <c r="F175">
        <f>IF(Skills!N10=TRUE,(Skills!L10/10)*(E175/1000),Skills!L10/10)+Skills!O10</f>
        <v/>
      </c>
      <c r="G175">
        <f>Skills!G10*IF(Skills!H10&gt;0,Skills!I10/Skills!H10,1)</f>
        <v/>
      </c>
      <c r="H175">
        <f>1-(1-Skills!J10/100)^Skills!K10</f>
        <v/>
      </c>
      <c r="I175" t="inlineStr">
        <is>
          <t>1</t>
        </is>
      </c>
      <c r="J175">
        <f>((Inputs!$B$6*(1+Inputs!$B$7/100))+(((Inputs!$B$12*(1+Inputs!$B$13/100))-(Inputs!$B$12*(1+Inputs!$B$13/100)))+0.25*((Inputs!$B$14+1)-Inputs!$B$14))*(1+Inputs!$B$7/100))*(F175/100)</f>
        <v/>
      </c>
      <c r="K175">
        <f>J175*(1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f>
        <v/>
      </c>
      <c r="L175">
        <f>K175*(MIN(Inputs!$B$22+((C190=TRUE)*(F190-Calc!F25)),(Inputs!$B$23+((C195=TRUE)*(F195-Calc!F30))+(IF(ArtifactsInput!$M$15,CHOOSE(ArtifactsInput!$N$15+1,25,30,35,40,45,50)/100*(Inputs!$B$11-Inputs!$B$11),0))))/100+(Inputs!$B$23+((C195=TRUE)*(F195-Calc!F30))+(IF(ArtifactsInput!$M$15,CHOOSE(ArtifactsInput!$N$15+1,25,30,35,40,45,50)/100*(Inputs!$B$11-Inputs!$B$11),0)))/100)/2</f>
        <v/>
      </c>
      <c r="M175">
        <f>L175*(1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
        <f>L175*(1-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
        <f>(1-Summary!$B$11)*T175+Summary!$B$11*V175</f>
        <v/>
      </c>
      <c r="P175">
        <f>IF(B209=0,0,O175/B209)</f>
        <v/>
      </c>
      <c r="Q175">
        <f>IFERROR(1/(IF(Inputs!$B$38="pvp",15,MAX(0.1,Skills!D10-IF(Skills!E10=TRUE,Inputs!$B$32,0)))*(1-IF(AND(ArtifactsInput!$M$27,Inputs!$B$4="Chapter Hunt"),CHOOSE(ArtifactsInput!$N$27+1,20,24,28,32,36,40),0)/100)),0)</f>
        <v/>
      </c>
      <c r="R175">
        <f>IF(AND(Inputs!$B$38&lt;&gt;"pvp",Inputs!$B$43&gt;0),IF(MAX(0,Inputs!$B$43-B206)&lt;=0,0,(INT(MAX(0,Inputs!$B$43-B206)/(IF(Inputs!$B$38="pvp",15,MAX(0.1,Skills!D10-IF(Skills!E10=TRUE,Inputs!$B$32,0)))*(1-IF(AND(ArtifactsInput!$M$27,Inputs!$B$4="Chapter Hunt"),CHOOSE(ArtifactsInput!$N$27+1,20,24,28,32,36,40),0)/100)))+1)),0)</f>
        <v/>
      </c>
      <c r="S175">
        <f>IFERROR(O175/N175,0)</f>
        <v/>
      </c>
      <c r="T175">
        <f>IF(C175,(H175*N175*IF(AND(Inputs!$B$38&lt;&gt;"pvp",Inputs!$B$43&gt;0),((Skills!G10*((R175-1)*IF(Skills!H10&gt;0,Skills!I10/Skills!H10,1)+IF(Skills!H10&gt;0,MIN(Skills!I10,MAX(0,MAX(0,Inputs!$B$43-B206)-((R175-1)*(IF(Inputs!$B$38="pvp",15,MAX(0.1,Skills!D10-IF(Skills!E10=TRUE,Inputs!$B$32,0)))*(1-IF(AND(ArtifactsInput!$M$27,Inputs!$B$4="Chapter Hunt"),CHOOSE(ArtifactsInput!$N$27+1,20,24,28,32,36,40),0)/100)))))/Skills!H10,1)))/Inputs!$B$43),G175*Q175)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175*(1-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
        <f>IF(C175,(H175*N175*IF(AND(Inputs!$B$38&lt;&gt;"pvp",Inputs!$B$43&gt;0),((Skills!G10*((R175-1)*IF(Skills!H10&gt;0,Skills!I10/Skills!H10,1)+IF(Skills!H10&gt;0,MIN(Skills!I10,MAX(0,MAX(0,Inputs!$B$43-B206)-((R175-1)*(IF(Inputs!$B$38="pvp",15,MAX(0.1,Skills!D10-IF(Skills!E10=TRUE,Inputs!$B$32,0)))*(1-IF(AND(ArtifactsInput!$M$27,Inputs!$B$4="Chapter Hunt"),CHOOSE(ArtifactsInput!$N$27+1,20,24,28,32,36,40),0)/100)))))/Skills!H10,1)))/Inputs!$B$43),G175*Q175))*IF(Inputs!$B$38="pvp",1,(1+(Inputs!$B$21+Skills!Q10+(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
      <c r="A176">
        <f>Skills!A11</f>
        <v/>
      </c>
      <c r="B176">
        <f>Skills!B11</f>
        <v/>
      </c>
      <c r="C176">
        <f>Inputs!$B$3&gt;=100</f>
        <v/>
      </c>
      <c r="D176">
        <f>IF(Skills!C11=1,60+Inputs!$B$25+Inputs!$B$29,IF(Skills!C11=2,90+Inputs!$B$26+Inputs!$B$29,IF(Skills!C11=3,120+Inputs!$B$27+Inputs!$B$29,MAX(0,(Inputs!$B$3-100)*3)+Inputs!$B$28+Inputs!$B$29)))</f>
        <v/>
      </c>
      <c r="E176">
        <f>INDEX(FactorTable!$B$2:$Y$301, MATCH(ROUND(MIN(300,MAX(1,D176)),0), FactorTable!$A$2:$A$301,0), Skills!M11+1)</f>
        <v/>
      </c>
      <c r="F176">
        <f>IF(Skills!N11=TRUE,(Skills!L11/10)*(E176/1000),Skills!L11/10)+Skills!O11</f>
        <v/>
      </c>
      <c r="G176" t="inlineStr"/>
      <c r="H176" t="inlineStr"/>
      <c r="I176" t="inlineStr">
        <is>
          <t>1</t>
        </is>
      </c>
      <c r="J176" t="inlineStr"/>
      <c r="K176" t="inlineStr"/>
      <c r="L176" t="inlineStr"/>
      <c r="M176" t="inlineStr"/>
      <c r="N176" t="inlineStr"/>
      <c r="O176" t="inlineStr"/>
      <c r="P176" t="inlineStr"/>
      <c r="Q176" t="inlineStr"/>
      <c r="R176" t="inlineStr"/>
      <c r="S176" t="inlineStr"/>
      <c r="T176" t="inlineStr"/>
      <c r="V176" t="inlineStr"/>
    </row>
    <row r="177">
      <c r="A177">
        <f>Skills!A12</f>
        <v/>
      </c>
      <c r="B177">
        <f>Skills!B12</f>
        <v/>
      </c>
      <c r="C177">
        <f>Inputs!$B$3&gt;=60</f>
        <v/>
      </c>
      <c r="D177">
        <f>IF(Skills!C12=1,60+Inputs!$B$25+Inputs!$B$29,IF(Skills!C12=2,90+Inputs!$B$26+Inputs!$B$29,IF(Skills!C12=3,120+Inputs!$B$27+Inputs!$B$29,MAX(0,(Inputs!$B$3-100)*3)+Inputs!$B$28+Inputs!$B$29)))</f>
        <v/>
      </c>
      <c r="E177">
        <f>INDEX(FactorTable!$B$2:$Y$301, MATCH(ROUND(MIN(300,MAX(1,D177)),0), FactorTable!$A$2:$A$301,0), Skills!M12+1)</f>
        <v/>
      </c>
      <c r="F177">
        <f>IF(Skills!N12=TRUE,(Skills!L12/10)*(E177/1000),Skills!L12/10)+Skills!O12</f>
        <v/>
      </c>
      <c r="G177">
        <f>Skills!G12*IF(Skills!H12&gt;0,Skills!I12/Skills!H12,1)</f>
        <v/>
      </c>
      <c r="H177">
        <f>1-(1-Skills!J12/100)^Skills!K12</f>
        <v/>
      </c>
      <c r="I177" t="inlineStr">
        <is>
          <t>1</t>
        </is>
      </c>
      <c r="J177">
        <f>((Inputs!$B$6*(1+Inputs!$B$7/100))+(((Inputs!$B$12*(1+Inputs!$B$13/100))-(Inputs!$B$12*(1+Inputs!$B$13/100)))+0.25*((Inputs!$B$14+1)-Inputs!$B$14))*(1+Inputs!$B$7/100))*(F177/100)</f>
        <v/>
      </c>
      <c r="K177">
        <f>J177*(1+((Inputs!$B$12*(1+Inputs!$B$13/100))*0.01+(Inputs!$B$14+1)*0.0025)/100)*(1+Inputs!$B$15/100)*(1+Inputs!$B$16/100)*(5000/(6000+Inputs!$B$42*(1-(100*(1-(1-(Inputs!$B$19+((C193=TRUE)*(F193-Calc!F28)))/100)*(1-CHOOSE(ArtifactsInput!$N$40+1,5,6,7,8,9,10)/100)^(ArtifactsInput!$M$40-ArtifactsInput!$M$40)))/100)))*(1+(Inputs!$B$24+((C191=TRUE)*(F191-Calc!F26))+((C192=TRUE)*(F192-Calc!F27))+B205)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178=TRUE,F178,0)/100)*(1+(IF(Skills!A12="ARROW_STREAM",Inputs!$B$17+((C189=TRUE)*(F189-Calc!F24))+(((IF(AND(ArtifactsInput!$M$42,((Inputs!$B$9+((C186=TRUE)*(F186-Calc!F21))+B199+(ArtifactsInput!$M$24-ArtifactsInput!$M$24)*CHOOSE(ArtifactsInput!$N$24+1,10,12,14,16,18,20)+IF(ArtifactsInput!$M$10,CHOOSE(ArtifactsInput!$N$10+1,15,18,21,24,27,30)*(IF(Inputs!$B$38="pvp",MIN(15,15)/15,IF(AND(Inputs!$B$38&lt;&gt;"pvp",Inputs!$B$43&gt;0),MIN(15,Inputs!$B$43)/(Inputs!$B$43),0))),0)))&gt;=100),MIN(100,((Inputs!$B$9+((C186=TRUE)*(F186-Calc!F21))+B199+(ArtifactsInput!$M$24-ArtifactsInput!$M$24)*CHOOSE(ArtifactsInput!$N$24+1,10,12,14,16,18,20)+IF(ArtifactsInput!$M$10,CHOOSE(ArtifactsInput!$N$10+1,15,18,21,24,27,30)*(IF(Inputs!$B$38="pvp",MIN(15,15)/15,IF(AND(Inputs!$B$38&lt;&gt;"pvp",Inputs!$B$43&gt;0),MIN(15,Inputs!$B$43)/(Inputs!$B$43),0))),0)))-100),0))*CHOOSE(ArtifactsInput!$N$42+1,0.6,0.72,0.84,0.96,1.08,1.2))),Inputs!$B$18+((C194=TRUE)*(F194-Calc!F29))+(IF(AND(ArtifactsInput!$M$42,((Inputs!$B$9+((C186=TRUE)*(F186-Calc!F21))+B199+(ArtifactsInput!$M$24-ArtifactsInput!$M$24)*CHOOSE(ArtifactsInput!$N$24+1,10,12,14,16,18,20)+IF(ArtifactsInput!$M$10,CHOOSE(ArtifactsInput!$N$10+1,15,18,21,24,27,30)*(IF(Inputs!$B$38="pvp",MIN(15,15)/15,IF(AND(Inputs!$B$38&lt;&gt;"pvp",Inputs!$B$43&gt;0),MIN(15,Inputs!$B$43)/(Inputs!$B$43),0))),0)))&gt;=100),CHOOSE(ArtifactsInput!$N$42+1,40,48,56,64,72,80),0))))/100)*((1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f>
        <v/>
      </c>
      <c r="L177">
        <f>K177*(MIN(Inputs!$B$22+((C190=TRUE)*(F190-Calc!F25)),(Inputs!$B$23+((C195=TRUE)*(F195-Calc!F30))+(IF(ArtifactsInput!$M$15,CHOOSE(ArtifactsInput!$N$15+1,25,30,35,40,45,50)/100*(Inputs!$B$11-Inputs!$B$11),0))))/100+(Inputs!$B$23+((C195=TRUE)*(F195-Calc!F30))+(IF(ArtifactsInput!$M$15,CHOOSE(ArtifactsInput!$N$15+1,25,30,35,40,45,50)/100*(Inputs!$B$11-Inputs!$B$11),0)))/100)/2</f>
        <v/>
      </c>
      <c r="M177">
        <f>L177*(1+(Inputs!$B$10+0+B204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
        <f>L177*(1-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MIN((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
        <f>(1-Summary!$B$11)*T177+Summary!$B$11*V177</f>
        <v/>
      </c>
      <c r="P177">
        <f>IF(B209=0,0,O177/B209)</f>
        <v/>
      </c>
      <c r="Q177">
        <f>IFERROR(1/(IF(Inputs!$B$38="pvp",15,MAX(0.1,Skills!D12-IF(Skills!E12=TRUE,Inputs!$B$32,0)))*(1-IF(AND(ArtifactsInput!$M$27,Inputs!$B$4="Chapter Hunt"),CHOOSE(ArtifactsInput!$N$27+1,20,24,28,32,36,40),0)/100)),0)</f>
        <v/>
      </c>
      <c r="R177">
        <f>IF(AND(Inputs!$B$38&lt;&gt;"pvp",Inputs!$B$43&gt;0),IF(MAX(0,Inputs!$B$43-B206)&lt;=0,0,(INT(MAX(0,Inputs!$B$43-B206)/(IF(Inputs!$B$38="pvp",15,MAX(0.1,Skills!D12-IF(Skills!E12=TRUE,Inputs!$B$32,0)))*(1-IF(AND(ArtifactsInput!$M$27,Inputs!$B$4="Chapter Hunt"),CHOOSE(ArtifactsInput!$N$27+1,20,24,28,32,36,40),0)/100)))+1)),0)</f>
        <v/>
      </c>
      <c r="S177">
        <f>IFERROR(O177/N177,0)</f>
        <v/>
      </c>
      <c r="T177">
        <f>IF(C177,(H177*N177*IF(AND(Inputs!$B$38&lt;&gt;"pvp",Inputs!$B$43&gt;0),((Skills!G12*((R177-1)*IF(Skills!H12&gt;0,Skills!I12/Skills!H12,1)+IF(Skills!H12&gt;0,MIN(Skills!I12,MAX(0,MAX(0,Inputs!$B$43-B206)-((R177-1)*(IF(Inputs!$B$38="pvp",15,MAX(0.1,Skills!D12-IF(Skills!E12=TRUE,Inputs!$B$32,0)))*(1-IF(AND(ArtifactsInput!$M$27,Inputs!$B$4="Chapter Hunt"),CHOOSE(ArtifactsInput!$N$27+1,20,24,28,32,36,40),0)/100)))))/Skills!H12,1)))/Inputs!$B$43),G177*Q177)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(5000/(6000+Inputs!$B$42*(1-(100*(1-(1-(100*(1-(1-(Inputs!$B$19+((C193=TRUE)*(F193-Calc!F28)))/100)*(1-CHOOSE(ArtifactsInput!$N$40+1,5,6,7,8,9,10)/100)^(ArtifactsInput!$M$40-ArtifactsInput!$M$40)))/100)*(1-IF(ArtifactsInput!$M$40,CHOOSE(ArtifactsInput!$N$40+1,5,6,7,8,9,10),0)/100)^IF(Inputs!$B$38="pvp",1,2)))/100)))/(5000/(6000+Inputs!$B$42*(1-(100*(1-(1-(Inputs!$B$19+((C193=TRUE)*(F193-Calc!F28)))/100)*(1-CHOOSE(ArtifactsInput!$N$40+1,5,6,7,8,9,10)/100)^(ArtifactsInput!$M$40-ArtifactsInput!$M$40)))/100))))*((L177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(1-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MIN(100,(Inputs!$B$9+((C186=TRUE)*(F186-Calc!F21))+B199+(ArtifactsInput!$M$24-ArtifactsInput!$M$24)*CHOOSE(ArtifactsInput!$N$24+1,10,12,14,16,18,20)+(IF(AND(ArtifactsInput!$M$42,((Inputs!$B$9+((C186=TRUE)*(F186-Calc!F21))+B199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
        <f>IF(C177,(H177*N177*IF(AND(Inputs!$B$38&lt;&gt;"pvp",Inputs!$B$43&gt;0),((Skills!G12*((R177-1)*IF(Skills!H12&gt;0,Skills!I12/Skills!H12,1)+IF(Skills!H12&gt;0,MIN(Skills!I12,MAX(0,MAX(0,Inputs!$B$43-B206)-((R177-1)*(IF(Inputs!$B$38="pvp",15,MAX(0.1,Skills!D12-IF(Skills!E12=TRUE,Inputs!$B$32,0)))*(1-IF(AND(ArtifactsInput!$M$27,Inputs!$B$4="Chapter Hunt"),CHOOSE(ArtifactsInput!$N$27+1,20,24,28,32,36,40),0)/100)))))/Skills!H12,1)))/Inputs!$B$43),G177*Q177))*IF(Inputs!$B$38="pvp",1,(1+(Inputs!$B$21+Skills!Q12+(IF(ArtifactsInput!$M$33,CHOOSE(ArtifactsInput!$N$33+1,30,36,42,48,54,60),0))+(IF(AND(ArtifactsInput!$M$35,Inputs!$B$4&lt;&gt;"Chapter Hunt"),CHOOSE(ArtifactsInput!$N$35+1,15,18,21,24,27,30)*(1-EXP(-(0.2*B201)*5)),0)+IF(AND(ArtifactsInput!$M$22,Inputs!$B$4&lt;&gt;"Chapter Hunt"),CHOOSE(ArtifactsInput!$N$22+1,10,12,14,16,18,20)*((0*(((0.15*B201*5))^0/1)+1*(((0.15*B201*5))^1/1)+2*(((0.15*B201*5))^2/2)+3*(((0.15*B201*5))^3/6)+4*(((0.15*B201*5))^4/24)+5*(((0.15*B201*5))^5/120))/((((0.15*B201*5))^0/1)+(((0.15*B201*5))^1/1)+(((0.15*B201*5))^2/2)+(((0.15*B201*5))^3/6)+(((0.15*B201*5))^4/24)+(((0.15*B201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
      <c r="A178">
        <f>Skills!A13</f>
        <v/>
      </c>
      <c r="B178">
        <f>Skills!B13</f>
        <v/>
      </c>
      <c r="C178">
        <f>Inputs!$B$3&gt;=110</f>
        <v/>
      </c>
      <c r="D178">
        <f>IF(Skills!C13=1,60+Inputs!$B$25+Inputs!$B$29,IF(Skills!C13=2,90+Inputs!$B$26+Inputs!$B$29,IF(Skills!C13=3,120+Inputs!$B$27+Inputs!$B$29,MAX(0,(Inputs!$B$3-100)*3)+Inputs!$B$28+Inputs!$B$29)))</f>
        <v/>
      </c>
      <c r="E178">
        <f>INDEX(FactorTable!$B$2:$Y$301, MATCH(ROUND(MIN(300,MAX(1,D178)),0), FactorTable!$A$2:$A$301,0), Skills!M13+1)</f>
        <v/>
      </c>
      <c r="F178">
        <f>IF(Skills!N13=TRUE,(Skills!L13/10)*(E178/1000),Skills!L13/10)+Skills!O13</f>
        <v/>
      </c>
      <c r="G178" t="inlineStr"/>
      <c r="H178" t="inlineStr"/>
      <c r="I178" t="inlineStr">
        <is>
          <t>1</t>
        </is>
      </c>
      <c r="J178" t="inlineStr"/>
      <c r="K178" t="inlineStr"/>
      <c r="L178" t="inlineStr"/>
      <c r="M178" t="inlineStr"/>
      <c r="N178" t="inlineStr"/>
      <c r="O178" t="inlineStr"/>
      <c r="P178" t="inlineStr"/>
      <c r="Q178" t="inlineStr"/>
      <c r="R178" t="inlineStr"/>
      <c r="S178" t="inlineStr"/>
      <c r="T178" t="inlineStr"/>
      <c r="V178" t="inlineStr"/>
    </row>
    <row r="179">
      <c r="A179">
        <f>Skills!A14</f>
        <v/>
      </c>
      <c r="B179">
        <f>Skills!B14</f>
        <v/>
      </c>
      <c r="C179">
        <f>Inputs!$B$3&gt;=74</f>
        <v/>
      </c>
      <c r="D179">
        <f>IF(Skills!C14=1,60+Inputs!$B$25+Inputs!$B$29,IF(Skills!C14=2,90+Inputs!$B$26+Inputs!$B$29,IF(Skills!C14=3,120+Inputs!$B$27+Inputs!$B$29,MAX(0,(Inputs!$B$3-100)*3)+Inputs!$B$28+Inputs!$B$29)))</f>
        <v/>
      </c>
      <c r="E179">
        <f>INDEX(FactorTable!$B$2:$Y$301, MATCH(ROUND(MIN(300,MAX(1,D179)),0), FactorTable!$A$2:$A$301,0), Skills!M14+1)</f>
        <v/>
      </c>
      <c r="F179">
        <f>IF(Skills!N14=TRUE,(Skills!L14/10)*(E179/1000),Skills!L14/10)+Skills!O14</f>
        <v/>
      </c>
      <c r="G179">
        <f>Skills!G14*IF(Skills!H14&gt;0,Skills!I14/Skills!H14,1)</f>
        <v/>
      </c>
      <c r="H179">
        <f>1-(1-Skills!J14/100)^Skills!K14</f>
        <v/>
      </c>
      <c r="I179" t="inlineStr">
        <is>
          <t>1</t>
        </is>
      </c>
      <c r="J179" t="inlineStr"/>
      <c r="K179" t="inlineStr"/>
      <c r="L179" t="inlineStr"/>
      <c r="M179" t="inlineStr"/>
      <c r="N179" t="inlineStr"/>
      <c r="O179">
        <f>(1-Summary!$B$11)*T179+Summary!$B$11*V179</f>
        <v/>
      </c>
      <c r="P179">
        <f>IF(B209=0,0,O179/B209)</f>
        <v/>
      </c>
      <c r="Q179" t="n">
        <v>0</v>
      </c>
      <c r="R179" t="n">
        <v>0</v>
      </c>
      <c r="S179">
        <f>IFERROR(O179/N179,0)</f>
        <v/>
      </c>
      <c r="T179" t="n">
        <v>0</v>
      </c>
      <c r="V179" t="n">
        <v>0</v>
      </c>
    </row>
    <row r="180">
      <c r="A180">
        <f>Skills!A15</f>
        <v/>
      </c>
      <c r="B180">
        <f>Skills!B15</f>
        <v/>
      </c>
      <c r="C180">
        <f>Inputs!$B$3&gt;=74</f>
        <v/>
      </c>
      <c r="D180">
        <f>IF(Skills!C15=1,60+Inputs!$B$25+Inputs!$B$29,IF(Skills!C15=2,90+Inputs!$B$26+Inputs!$B$29,IF(Skills!C15=3,120+Inputs!$B$27+Inputs!$B$29,MAX(0,(Inputs!$B$3-100)*3)+Inputs!$B$28+Inputs!$B$29)))</f>
        <v/>
      </c>
      <c r="E180">
        <f>INDEX(FactorTable!$B$2:$Y$301, MATCH(ROUND(MIN(300,MAX(1,D180)),0), FactorTable!$A$2:$A$301,0), Skills!M15+1)</f>
        <v/>
      </c>
      <c r="F180">
        <f>IF(Skills!N15=TRUE,(Skills!L15/10)*(E180/1000),Skills!L15/10)+Skills!O15</f>
        <v/>
      </c>
      <c r="G180">
        <f>Skills!G15*IF(Skills!H15&gt;0,Skills!I15/Skills!H15,1)</f>
        <v/>
      </c>
      <c r="H180">
        <f>1-(1-Skills!J15/100)^Skills!K15</f>
        <v/>
      </c>
      <c r="I180" t="inlineStr">
        <is>
          <t>1</t>
        </is>
      </c>
      <c r="J180" t="inlineStr"/>
      <c r="K180" t="inlineStr"/>
      <c r="L180" t="inlineStr"/>
      <c r="M180" t="inlineStr"/>
      <c r="N180" t="inlineStr"/>
      <c r="O180">
        <f>(1-Summary!$B$11)*T180+Summary!$B$11*V180</f>
        <v/>
      </c>
      <c r="P180">
        <f>IF(B209=0,0,O180/B209)</f>
        <v/>
      </c>
      <c r="Q180" t="n">
        <v>0</v>
      </c>
      <c r="R180" t="n">
        <v>0</v>
      </c>
      <c r="S180">
        <f>IFERROR(O180/N180,0)</f>
        <v/>
      </c>
      <c r="T180" t="n">
        <v>0</v>
      </c>
      <c r="V180" t="n">
        <v>0</v>
      </c>
    </row>
    <row r="181">
      <c r="A181">
        <f>Skills!A16</f>
        <v/>
      </c>
      <c r="B181">
        <f>Skills!B16</f>
        <v/>
      </c>
      <c r="C181">
        <f>Inputs!$B$3&gt;=117</f>
        <v/>
      </c>
      <c r="D181">
        <f>IF(Skills!C16=1,60+Inputs!$B$25+Inputs!$B$29,IF(Skills!C16=2,90+Inputs!$B$26+Inputs!$B$29,IF(Skills!C16=3,120+Inputs!$B$27+Inputs!$B$29,MAX(0,(Inputs!$B$3-100)*3)+Inputs!$B$28+Inputs!$B$29)))</f>
        <v/>
      </c>
      <c r="E181">
        <f>INDEX(FactorTable!$B$2:$Y$301, MATCH(ROUND(MIN(300,MAX(1,D181)),0), FactorTable!$A$2:$A$301,0), Skills!M16+1)</f>
        <v/>
      </c>
      <c r="F181">
        <f>IF(Skills!N16=TRUE,(Skills!L16/10)*(E181/1000),Skills!L16/10)+Skills!O16</f>
        <v/>
      </c>
      <c r="G181">
        <f>Skills!G16*IF(Skills!H16&gt;0,Skills!I16/Skills!H16,1)</f>
        <v/>
      </c>
      <c r="H181">
        <f>1-(1-Skills!J16/100)^Skills!K16</f>
        <v/>
      </c>
      <c r="I181" t="inlineStr">
        <is>
          <t>1</t>
        </is>
      </c>
      <c r="J181" t="inlineStr"/>
      <c r="K181" t="inlineStr"/>
      <c r="L181" t="inlineStr"/>
      <c r="M181" t="inlineStr"/>
      <c r="N181" t="inlineStr"/>
      <c r="O181">
        <f>(1-Summary!$B$11)*T181+Summary!$B$11*V181</f>
        <v/>
      </c>
      <c r="P181">
        <f>IF(B209=0,0,O181/B209)</f>
        <v/>
      </c>
      <c r="Q181">
        <f>IFERROR(1/(IF(Inputs!$B$38="pvp",15,MAX(0.1,Skills!D16-IF(Skills!E16=TRUE,Inputs!$B$32,0)))*(1-IF(AND(ArtifactsInput!$M$27,Inputs!$B$4="Chapter Hunt"),CHOOSE(ArtifactsInput!$N$27+1,20,24,28,32,36,40),0)/100)),0)</f>
        <v/>
      </c>
      <c r="R181">
        <f>IF(AND(Inputs!$B$38&lt;&gt;"pvp",Inputs!$B$43&gt;0),IF(Inputs!$B$43&lt;=0,0,(INT(Inputs!$B$43/(IF(Inputs!$B$38="pvp",15,MAX(0.1,Skills!D16-IF(Skills!E16=TRUE,Inputs!$B$32,0)))*(1-IF(AND(ArtifactsInput!$M$27,Inputs!$B$4="Chapter Hunt"),CHOOSE(ArtifactsInput!$N$27+1,20,24,28,32,36,40),0)/100)))+1)),0)</f>
        <v/>
      </c>
      <c r="S181">
        <f>IFERROR(O181/N181,0)</f>
        <v/>
      </c>
      <c r="T181" t="n">
        <v>0</v>
      </c>
      <c r="V181" t="n">
        <v>0</v>
      </c>
    </row>
    <row r="182">
      <c r="A182">
        <f>Skills!A17</f>
        <v/>
      </c>
      <c r="B182">
        <f>Skills!B17</f>
        <v/>
      </c>
      <c r="C182">
        <f>Inputs!$B$3&gt;=115</f>
        <v/>
      </c>
      <c r="D182">
        <f>IF(Skills!C17=1,60+Inputs!$B$25+Inputs!$B$29,IF(Skills!C17=2,90+Inputs!$B$26+Inputs!$B$29,IF(Skills!C17=3,120+Inputs!$B$27+Inputs!$B$29,MAX(0,(Inputs!$B$3-100)*3)+Inputs!$B$28+Inputs!$B$29)))</f>
        <v/>
      </c>
      <c r="E182">
        <f>INDEX(FactorTable!$B$2:$Y$301, MATCH(ROUND(MIN(300,MAX(1,D182)),0), FactorTable!$A$2:$A$301,0), Skills!M17+1)</f>
        <v/>
      </c>
      <c r="F182">
        <f>IF(Skills!N17=TRUE,(Skills!L17/10)*(E182/1000),Skills!L17/10)+Skills!O17</f>
        <v/>
      </c>
      <c r="G182">
        <f>Skills!G17*IF(Skills!H17&gt;0,Skills!I17/Skills!H17,1)</f>
        <v/>
      </c>
      <c r="H182">
        <f>1-(1-Skills!J17/100)^Skills!K17</f>
        <v/>
      </c>
      <c r="I182" t="inlineStr">
        <is>
          <t>1</t>
        </is>
      </c>
      <c r="J182" t="inlineStr"/>
      <c r="K182" t="inlineStr"/>
      <c r="L182" t="inlineStr"/>
      <c r="M182" t="inlineStr"/>
      <c r="N182" t="inlineStr"/>
      <c r="O182">
        <f>(1-Summary!$B$11)*T182+Summary!$B$11*V182</f>
        <v/>
      </c>
      <c r="P182">
        <f>IF(B209=0,0,O182/B209)</f>
        <v/>
      </c>
      <c r="Q182">
        <f>IFERROR(1/(IF(Inputs!$B$38="pvp",15,MAX(0.1,Skills!D17-IF(Skills!E17=TRUE,Inputs!$B$32,0)))*(1-IF(AND(ArtifactsInput!$M$27,Inputs!$B$4="Chapter Hunt"),CHOOSE(ArtifactsInput!$N$27+1,20,24,28,32,36,40),0)/100)),0)</f>
        <v/>
      </c>
      <c r="R182">
        <f>IF(AND(Inputs!$B$38&lt;&gt;"pvp",Inputs!$B$43&gt;0),IF(Inputs!$B$43&lt;=0,0,(INT(Inputs!$B$43/(IF(Inputs!$B$38="pvp",15,MAX(0.1,Skills!D17-IF(Skills!E17=TRUE,Inputs!$B$32,0)))*(1-IF(AND(ArtifactsInput!$M$27,Inputs!$B$4="Chapter Hunt"),CHOOSE(ArtifactsInput!$N$27+1,20,24,28,32,36,40),0)/100)))+1)),0)</f>
        <v/>
      </c>
      <c r="S182">
        <f>IFERROR(O182/N182,0)</f>
        <v/>
      </c>
      <c r="T182" t="n">
        <v>0</v>
      </c>
      <c r="V182" t="n">
        <v>0</v>
      </c>
    </row>
    <row r="183">
      <c r="A183">
        <f>Skills!A18</f>
        <v/>
      </c>
      <c r="B183">
        <f>Skills!B18</f>
        <v/>
      </c>
      <c r="C183">
        <f>Inputs!$B$3&gt;=66</f>
        <v/>
      </c>
      <c r="D183">
        <f>IF(Skills!C18=1,60+Inputs!$B$25+Inputs!$B$29,IF(Skills!C18=2,90+Inputs!$B$26+Inputs!$B$29,IF(Skills!C18=3,120+Inputs!$B$27+Inputs!$B$29,MAX(0,(Inputs!$B$3-100)*3)+Inputs!$B$28+Inputs!$B$29)))</f>
        <v/>
      </c>
      <c r="E183">
        <f>INDEX(FactorTable!$B$2:$Y$301, MATCH(ROUND(MIN(300,MAX(1,D183)),0), FactorTable!$A$2:$A$301,0), Skills!M18+1)</f>
        <v/>
      </c>
      <c r="F183">
        <f>IF(Skills!N18=TRUE,(Skills!L18/10)*(E183/1000),Skills!L18/10)+Skills!O18</f>
        <v/>
      </c>
      <c r="G183">
        <f>Skills!G18*IF(Skills!H18&gt;0,Skills!I18/Skills!H18,1)</f>
        <v/>
      </c>
      <c r="H183">
        <f>1-(1-Skills!J18/100)^Skills!K18</f>
        <v/>
      </c>
      <c r="I183" t="inlineStr">
        <is>
          <t>1</t>
        </is>
      </c>
      <c r="J183" t="inlineStr"/>
      <c r="K183" t="inlineStr"/>
      <c r="L183" t="inlineStr"/>
      <c r="M183" t="inlineStr"/>
      <c r="N183" t="inlineStr"/>
      <c r="O183">
        <f>(1-Summary!$B$11)*T183+Summary!$B$11*V183</f>
        <v/>
      </c>
      <c r="P183">
        <f>IF(B209=0,0,O183/B209)</f>
        <v/>
      </c>
      <c r="Q183" t="n">
        <v>0</v>
      </c>
      <c r="R183" t="n">
        <v>0</v>
      </c>
      <c r="S183">
        <f>IFERROR(O183/N183,0)</f>
        <v/>
      </c>
      <c r="T183" t="n">
        <v>0</v>
      </c>
      <c r="V183" t="n">
        <v>0</v>
      </c>
    </row>
    <row r="184">
      <c r="A184">
        <f>Skills!A19</f>
        <v/>
      </c>
      <c r="B184">
        <f>Skills!B19</f>
        <v/>
      </c>
      <c r="C184">
        <f>Inputs!$B$3&gt;=72</f>
        <v/>
      </c>
      <c r="D184">
        <f>IF(Skills!C19=1,60+Inputs!$B$25+Inputs!$B$29,IF(Skills!C19=2,90+Inputs!$B$26+Inputs!$B$29,IF(Skills!C19=3,120+Inputs!$B$27+Inputs!$B$29,MAX(0,(Inputs!$B$3-100)*3)+Inputs!$B$28+Inputs!$B$29)))</f>
        <v/>
      </c>
      <c r="E184">
        <f>INDEX(FactorTable!$B$2:$Y$301, MATCH(ROUND(MIN(300,MAX(1,D184)),0), FactorTable!$A$2:$A$301,0), Skills!M19+1)</f>
        <v/>
      </c>
      <c r="F184">
        <f>IF(Skills!N19=TRUE,(Skills!L19/10)*(E184/1000),Skills!L19/10)+Skills!O19</f>
        <v/>
      </c>
      <c r="G184">
        <f>Skills!G19*IF(Skills!H19&gt;0,Skills!I19/Skills!H19,1)</f>
        <v/>
      </c>
      <c r="H184">
        <f>1-(1-Skills!J19/100)^Skills!K19</f>
        <v/>
      </c>
      <c r="I184" t="inlineStr">
        <is>
          <t>1</t>
        </is>
      </c>
      <c r="J184" t="inlineStr"/>
      <c r="K184" t="inlineStr"/>
      <c r="L184" t="inlineStr"/>
      <c r="M184" t="inlineStr"/>
      <c r="N184" t="inlineStr"/>
      <c r="O184">
        <f>(1-Summary!$B$11)*T184+Summary!$B$11*V184</f>
        <v/>
      </c>
      <c r="P184">
        <f>IF(B209=0,0,O184/B209)</f>
        <v/>
      </c>
      <c r="Q184" t="n">
        <v>0</v>
      </c>
      <c r="R184" t="n">
        <v>0</v>
      </c>
      <c r="S184">
        <f>IFERROR(O184/N184,0)</f>
        <v/>
      </c>
      <c r="T184" t="n">
        <v>0</v>
      </c>
      <c r="V184" t="n">
        <v>0</v>
      </c>
    </row>
    <row r="185">
      <c r="A185">
        <f>Skills!A20</f>
        <v/>
      </c>
      <c r="B185">
        <f>Skills!B20</f>
        <v/>
      </c>
      <c r="C185">
        <f>TRUE</f>
        <v/>
      </c>
      <c r="D185">
        <f>IF(Skills!C20=1,60+Inputs!$B$25+Inputs!$B$29,IF(Skills!C20=2,90+Inputs!$B$26+Inputs!$B$29,IF(Skills!C20=3,120+Inputs!$B$27+Inputs!$B$29,MAX(0,(Inputs!$B$3-100)*3)+Inputs!$B$28+Inputs!$B$29)))</f>
        <v/>
      </c>
      <c r="E185">
        <f>INDEX(FactorTable!$B$2:$Y$301, MATCH(ROUND(MIN(300,MAX(1,D185)),0), FactorTable!$A$2:$A$301,0), Skills!M20+1)</f>
        <v/>
      </c>
      <c r="F185">
        <f>IF(Skills!N20=TRUE,(Skills!L20/10)*(E185/1000),Skills!L20/10)+Skills!O20</f>
        <v/>
      </c>
      <c r="G185">
        <f>Skills!G20*IF(Skills!H20&gt;0,Skills!I20/Skills!H20,1)</f>
        <v/>
      </c>
      <c r="H185">
        <f>1-(1-Skills!J20/100)^Skills!K20</f>
        <v/>
      </c>
      <c r="I185" t="inlineStr">
        <is>
          <t>1</t>
        </is>
      </c>
      <c r="J185" t="inlineStr"/>
      <c r="K185" t="inlineStr"/>
      <c r="L185" t="inlineStr"/>
      <c r="M185" t="inlineStr"/>
      <c r="N185" t="inlineStr"/>
      <c r="O185">
        <f>(1-Summary!$B$11)*T185+Summary!$B$11*V185</f>
        <v/>
      </c>
      <c r="P185">
        <f>IF(B209=0,0,O185/B209)</f>
        <v/>
      </c>
      <c r="Q185">
        <f>IFERROR(1/(IF(Inputs!$B$38="pvp",15,MAX(0.1,Skills!D20-IF(Skills!E20=TRUE,Inputs!$B$32,0)))*(1-IF(AND(ArtifactsInput!$M$27,Inputs!$B$4="Chapter Hunt"),CHOOSE(ArtifactsInput!$N$27+1,20,24,28,32,36,40),0)/100)),0)</f>
        <v/>
      </c>
      <c r="R185">
        <f>IF(AND(Inputs!$B$38&lt;&gt;"pvp",Inputs!$B$43&gt;0),IF(Inputs!$B$43&lt;=0,0,(INT(Inputs!$B$43/(IF(Inputs!$B$38="pvp",15,MAX(0.1,Skills!D20-IF(Skills!E20=TRUE,Inputs!$B$32,0)))*(1-IF(AND(ArtifactsInput!$M$27,Inputs!$B$4="Chapter Hunt"),CHOOSE(ArtifactsInput!$N$27+1,20,24,28,32,36,40),0)/100)))+1)),0)</f>
        <v/>
      </c>
      <c r="S185">
        <f>IFERROR(O185/N185,0)</f>
        <v/>
      </c>
      <c r="T185" t="n">
        <v>0</v>
      </c>
      <c r="V185" t="n">
        <v>0</v>
      </c>
    </row>
    <row r="186">
      <c r="A186">
        <f>Skills!A21</f>
        <v/>
      </c>
      <c r="B186">
        <f>Skills!B21</f>
        <v/>
      </c>
      <c r="C186">
        <f>Inputs!$B$3&gt;=15</f>
        <v/>
      </c>
      <c r="D186">
        <f>IF(Skills!C21=1,60+Inputs!$B$25+Inputs!$B$29,IF(Skills!C21=2,90+Inputs!$B$26+Inputs!$B$29,IF(Skills!C21=3,120+Inputs!$B$27+Inputs!$B$29,MAX(0,(Inputs!$B$3-100)*3)+Inputs!$B$28+Inputs!$B$29)))</f>
        <v/>
      </c>
      <c r="E186">
        <f>INDEX(FactorTable!$B$2:$Y$301, MATCH(ROUND(MIN(300,MAX(1,D186)),0), FactorTable!$A$2:$A$301,0), Skills!M21+1)</f>
        <v/>
      </c>
      <c r="F186">
        <f>IF(Skills!N21=TRUE,(Skills!L21/10)*(E186/1000),Skills!L21/10)+Skills!O21</f>
        <v/>
      </c>
      <c r="G186">
        <f>Skills!G21*IF(Skills!H21&gt;0,Skills!I21/Skills!H21,1)</f>
        <v/>
      </c>
      <c r="H186">
        <f>1-(1-Skills!J21/100)^Skills!K21</f>
        <v/>
      </c>
      <c r="I186" t="inlineStr">
        <is>
          <t>1</t>
        </is>
      </c>
      <c r="J186" t="inlineStr"/>
      <c r="K186" t="inlineStr"/>
      <c r="L186" t="inlineStr"/>
      <c r="M186" t="inlineStr"/>
      <c r="N186" t="inlineStr"/>
      <c r="O186">
        <f>(1-Summary!$B$11)*T186+Summary!$B$11*V186</f>
        <v/>
      </c>
      <c r="P186">
        <f>IF(B209=0,0,O186/B209)</f>
        <v/>
      </c>
      <c r="Q186" t="n">
        <v>0</v>
      </c>
      <c r="R186" t="n">
        <v>0</v>
      </c>
      <c r="S186">
        <f>IFERROR(O186/N186,0)</f>
        <v/>
      </c>
      <c r="T186" t="n">
        <v>0</v>
      </c>
      <c r="V186" t="n">
        <v>0</v>
      </c>
    </row>
    <row r="187">
      <c r="A187">
        <f>Skills!A22</f>
        <v/>
      </c>
      <c r="B187">
        <f>Skills!B22</f>
        <v/>
      </c>
      <c r="C187">
        <f>Inputs!$B$3&gt;=10</f>
        <v/>
      </c>
      <c r="D187">
        <f>IF(Skills!C22=1,60+Inputs!$B$25+Inputs!$B$29,IF(Skills!C22=2,90+Inputs!$B$26+Inputs!$B$29,IF(Skills!C22=3,120+Inputs!$B$27+Inputs!$B$29,MAX(0,(Inputs!$B$3-100)*3)+Inputs!$B$28+Inputs!$B$29)))</f>
        <v/>
      </c>
      <c r="E187">
        <f>INDEX(FactorTable!$B$2:$Y$301, MATCH(ROUND(MIN(300,MAX(1,D187)),0), FactorTable!$A$2:$A$301,0), Skills!M22+1)</f>
        <v/>
      </c>
      <c r="F187">
        <f>IF(Skills!N22=TRUE,(Skills!L22/10)*(E187/1000),Skills!L22/10)+Skills!O22</f>
        <v/>
      </c>
      <c r="G187">
        <f>Skills!G22*IF(Skills!H22&gt;0,Skills!I22/Skills!H22,1)</f>
        <v/>
      </c>
      <c r="H187">
        <f>1-(1-Skills!J22/100)^Skills!K22</f>
        <v/>
      </c>
      <c r="I187" t="inlineStr">
        <is>
          <t>1</t>
        </is>
      </c>
      <c r="J187" t="inlineStr"/>
      <c r="K187" t="inlineStr"/>
      <c r="L187" t="inlineStr"/>
      <c r="M187" t="inlineStr"/>
      <c r="N187" t="inlineStr"/>
      <c r="O187">
        <f>(1-Summary!$B$11)*T187+Summary!$B$11*V187</f>
        <v/>
      </c>
      <c r="P187">
        <f>IF(B209=0,0,O187/B209)</f>
        <v/>
      </c>
      <c r="Q187" t="n">
        <v>0</v>
      </c>
      <c r="R187" t="n">
        <v>0</v>
      </c>
      <c r="S187">
        <f>IFERROR(O187/N187,0)</f>
        <v/>
      </c>
      <c r="T187" t="n">
        <v>0</v>
      </c>
      <c r="V187" t="n">
        <v>0</v>
      </c>
    </row>
    <row r="188">
      <c r="A188">
        <f>Skills!A23</f>
        <v/>
      </c>
      <c r="B188">
        <f>Skills!B23</f>
        <v/>
      </c>
      <c r="C188">
        <f>Inputs!$B$3&gt;=33</f>
        <v/>
      </c>
      <c r="D188">
        <f>IF(Skills!C23=1,60+Inputs!$B$25+Inputs!$B$29,IF(Skills!C23=2,90+Inputs!$B$26+Inputs!$B$29,IF(Skills!C23=3,120+Inputs!$B$27+Inputs!$B$29,MAX(0,(Inputs!$B$3-100)*3)+Inputs!$B$28+Inputs!$B$29)))</f>
        <v/>
      </c>
      <c r="E188">
        <f>INDEX(FactorTable!$B$2:$Y$301, MATCH(ROUND(MIN(300,MAX(1,D188)),0), FactorTable!$A$2:$A$301,0), Skills!M23+1)</f>
        <v/>
      </c>
      <c r="F188">
        <f>IF(Skills!N23=TRUE,(Skills!L23/10)*(E188/1000),Skills!L23/10)+Skills!O23</f>
        <v/>
      </c>
      <c r="G188">
        <f>Skills!G23*IF(Skills!H23&gt;0,Skills!I23/Skills!H23,1)</f>
        <v/>
      </c>
      <c r="H188">
        <f>1-(1-Skills!J23/100)^Skills!K23</f>
        <v/>
      </c>
      <c r="I188" t="inlineStr">
        <is>
          <t>1</t>
        </is>
      </c>
      <c r="J188" t="inlineStr"/>
      <c r="K188" t="inlineStr"/>
      <c r="L188" t="inlineStr"/>
      <c r="M188" t="inlineStr"/>
      <c r="N188" t="inlineStr"/>
      <c r="O188">
        <f>(1-Summary!$B$11)*T188+Summary!$B$11*V188</f>
        <v/>
      </c>
      <c r="P188">
        <f>IF(B209=0,0,O188/B209)</f>
        <v/>
      </c>
      <c r="Q188" t="n">
        <v>0</v>
      </c>
      <c r="R188" t="n">
        <v>0</v>
      </c>
      <c r="S188">
        <f>IFERROR(O188/N188,0)</f>
        <v/>
      </c>
      <c r="T188" t="n">
        <v>0</v>
      </c>
      <c r="V188" t="n">
        <v>0</v>
      </c>
    </row>
    <row r="189">
      <c r="A189">
        <f>Skills!A24</f>
        <v/>
      </c>
      <c r="B189">
        <f>Skills!B24</f>
        <v/>
      </c>
      <c r="C189">
        <f>Inputs!$B$3&gt;=38</f>
        <v/>
      </c>
      <c r="D189">
        <f>IF(Skills!C24=1,60+Inputs!$B$25+Inputs!$B$29,IF(Skills!C24=2,90+Inputs!$B$26+Inputs!$B$29,IF(Skills!C24=3,120+Inputs!$B$27+Inputs!$B$29,MAX(0,(Inputs!$B$3-100)*3)+Inputs!$B$28+Inputs!$B$29)))</f>
        <v/>
      </c>
      <c r="E189">
        <f>INDEX(FactorTable!$B$2:$Y$301, MATCH(ROUND(MIN(300,MAX(1,D189)),0), FactorTable!$A$2:$A$301,0), Skills!M24+1)</f>
        <v/>
      </c>
      <c r="F189">
        <f>IF(Skills!N24=TRUE,(Skills!L24/10)*(E189/1000),Skills!L24/10)+Skills!O24</f>
        <v/>
      </c>
      <c r="G189">
        <f>Skills!G24*IF(Skills!H24&gt;0,Skills!I24/Skills!H24,1)</f>
        <v/>
      </c>
      <c r="H189">
        <f>1-(1-Skills!J24/100)^Skills!K24</f>
        <v/>
      </c>
      <c r="I189" t="inlineStr">
        <is>
          <t>1</t>
        </is>
      </c>
      <c r="J189" t="inlineStr"/>
      <c r="K189" t="inlineStr"/>
      <c r="L189" t="inlineStr"/>
      <c r="M189" t="inlineStr"/>
      <c r="N189" t="inlineStr"/>
      <c r="O189">
        <f>(1-Summary!$B$11)*T189+Summary!$B$11*V189</f>
        <v/>
      </c>
      <c r="P189">
        <f>IF(B209=0,0,O189/B209)</f>
        <v/>
      </c>
      <c r="Q189" t="n">
        <v>0</v>
      </c>
      <c r="R189" t="n">
        <v>0</v>
      </c>
      <c r="S189">
        <f>IFERROR(O189/N189,0)</f>
        <v/>
      </c>
      <c r="T189" t="n">
        <v>0</v>
      </c>
      <c r="V189" t="n">
        <v>0</v>
      </c>
    </row>
    <row r="190">
      <c r="A190">
        <f>Skills!A25</f>
        <v/>
      </c>
      <c r="B190">
        <f>Skills!B25</f>
        <v/>
      </c>
      <c r="C190">
        <f>Inputs!$B$3&gt;=43</f>
        <v/>
      </c>
      <c r="D190">
        <f>IF(Skills!C25=1,60+Inputs!$B$25+Inputs!$B$29,IF(Skills!C25=2,90+Inputs!$B$26+Inputs!$B$29,IF(Skills!C25=3,120+Inputs!$B$27+Inputs!$B$29,MAX(0,(Inputs!$B$3-100)*3)+Inputs!$B$28+Inputs!$B$29)))</f>
        <v/>
      </c>
      <c r="E190">
        <f>INDEX(FactorTable!$B$2:$Y$301, MATCH(ROUND(MIN(300,MAX(1,D190)),0), FactorTable!$A$2:$A$301,0), Skills!M25+1)</f>
        <v/>
      </c>
      <c r="F190">
        <f>IF(Skills!N25=TRUE,(Skills!L25/10)*(E190/1000),Skills!L25/10)+Skills!O25</f>
        <v/>
      </c>
      <c r="G190">
        <f>Skills!G25*IF(Skills!H25&gt;0,Skills!I25/Skills!H25,1)</f>
        <v/>
      </c>
      <c r="H190">
        <f>1-(1-Skills!J25/100)^Skills!K25</f>
        <v/>
      </c>
      <c r="I190" t="inlineStr">
        <is>
          <t>1</t>
        </is>
      </c>
      <c r="J190" t="inlineStr"/>
      <c r="K190" t="inlineStr"/>
      <c r="L190" t="inlineStr"/>
      <c r="M190" t="inlineStr"/>
      <c r="N190" t="inlineStr"/>
      <c r="O190">
        <f>(1-Summary!$B$11)*T190+Summary!$B$11*V190</f>
        <v/>
      </c>
      <c r="P190">
        <f>IF(B209=0,0,O190/B209)</f>
        <v/>
      </c>
      <c r="Q190" t="n">
        <v>0</v>
      </c>
      <c r="R190" t="n">
        <v>0</v>
      </c>
      <c r="S190">
        <f>IFERROR(O190/N190,0)</f>
        <v/>
      </c>
      <c r="T190" t="n">
        <v>0</v>
      </c>
      <c r="V190" t="n">
        <v>0</v>
      </c>
    </row>
    <row r="191">
      <c r="A191">
        <f>Skills!A26</f>
        <v/>
      </c>
      <c r="B191">
        <f>Skills!B26</f>
        <v/>
      </c>
      <c r="C191">
        <f>Inputs!$B$3&gt;=75</f>
        <v/>
      </c>
      <c r="D191">
        <f>IF(Skills!C26=1,60+Inputs!$B$25+Inputs!$B$29,IF(Skills!C26=2,90+Inputs!$B$26+Inputs!$B$29,IF(Skills!C26=3,120+Inputs!$B$27+Inputs!$B$29,MAX(0,(Inputs!$B$3-100)*3)+Inputs!$B$28+Inputs!$B$29)))</f>
        <v/>
      </c>
      <c r="E191">
        <f>INDEX(FactorTable!$B$2:$Y$301, MATCH(ROUND(MIN(300,MAX(1,D191)),0), FactorTable!$A$2:$A$301,0), Skills!M26+1)</f>
        <v/>
      </c>
      <c r="F191">
        <f>IF(Skills!N26=TRUE,(Skills!L26/10)*(E191/1000),Skills!L26/10)+Skills!O26</f>
        <v/>
      </c>
      <c r="G191">
        <f>Skills!G26*IF(Skills!H26&gt;0,Skills!I26/Skills!H26,1)</f>
        <v/>
      </c>
      <c r="H191">
        <f>1-(1-Skills!J26/100)^Skills!K26</f>
        <v/>
      </c>
      <c r="I191" t="inlineStr">
        <is>
          <t>1</t>
        </is>
      </c>
      <c r="J191" t="inlineStr"/>
      <c r="K191" t="inlineStr"/>
      <c r="L191" t="inlineStr"/>
      <c r="M191" t="inlineStr"/>
      <c r="N191" t="inlineStr"/>
      <c r="O191">
        <f>(1-Summary!$B$11)*T191+Summary!$B$11*V191</f>
        <v/>
      </c>
      <c r="P191">
        <f>IF(B209=0,0,O191/B209)</f>
        <v/>
      </c>
      <c r="Q191" t="n">
        <v>0</v>
      </c>
      <c r="R191" t="n">
        <v>0</v>
      </c>
      <c r="S191">
        <f>IFERROR(O191/N191,0)</f>
        <v/>
      </c>
      <c r="T191" t="n">
        <v>0</v>
      </c>
      <c r="V191" t="n">
        <v>0</v>
      </c>
    </row>
    <row r="192">
      <c r="A192">
        <f>Skills!A27</f>
        <v/>
      </c>
      <c r="B192">
        <f>Skills!B27</f>
        <v/>
      </c>
      <c r="C192">
        <f>Inputs!$B$3&gt;=125</f>
        <v/>
      </c>
      <c r="D192">
        <f>IF(Skills!C27=1,60+Inputs!$B$25+Inputs!$B$29,IF(Skills!C27=2,90+Inputs!$B$26+Inputs!$B$29,IF(Skills!C27=3,120+Inputs!$B$27+Inputs!$B$29,MAX(0,(Inputs!$B$3-100)*3)+Inputs!$B$28+Inputs!$B$29)))</f>
        <v/>
      </c>
      <c r="E192">
        <f>INDEX(FactorTable!$B$2:$Y$301, MATCH(ROUND(MIN(300,MAX(1,D192)),0), FactorTable!$A$2:$A$301,0), Skills!M27+1)</f>
        <v/>
      </c>
      <c r="F192">
        <f>IF(Skills!N27=TRUE,(Skills!L27/10)*(E192/1000),Skills!L27/10)+Skills!O27</f>
        <v/>
      </c>
      <c r="G192">
        <f>Skills!G27*IF(Skills!H27&gt;0,Skills!I27/Skills!H27,1)</f>
        <v/>
      </c>
      <c r="H192">
        <f>1-(1-Skills!J27/100)^Skills!K27</f>
        <v/>
      </c>
      <c r="I192" t="inlineStr">
        <is>
          <t>1</t>
        </is>
      </c>
      <c r="J192" t="inlineStr"/>
      <c r="K192" t="inlineStr"/>
      <c r="L192" t="inlineStr"/>
      <c r="M192" t="inlineStr"/>
      <c r="N192" t="inlineStr"/>
      <c r="O192">
        <f>(1-Summary!$B$11)*T192+Summary!$B$11*V192</f>
        <v/>
      </c>
      <c r="P192">
        <f>IF(B209=0,0,O192/B209)</f>
        <v/>
      </c>
      <c r="Q192" t="n">
        <v>0</v>
      </c>
      <c r="R192" t="n">
        <v>0</v>
      </c>
      <c r="S192">
        <f>IFERROR(O192/N192,0)</f>
        <v/>
      </c>
      <c r="T192" t="n">
        <v>0</v>
      </c>
      <c r="V192" t="n">
        <v>0</v>
      </c>
    </row>
    <row r="193">
      <c r="A193">
        <f>Skills!A28</f>
        <v/>
      </c>
      <c r="B193">
        <f>Skills!B28</f>
        <v/>
      </c>
      <c r="C193">
        <f>Inputs!$B$3&gt;=125</f>
        <v/>
      </c>
      <c r="D193">
        <f>IF(Skills!C28=1,60+Inputs!$B$25+Inputs!$B$29,IF(Skills!C28=2,90+Inputs!$B$26+Inputs!$B$29,IF(Skills!C28=3,120+Inputs!$B$27+Inputs!$B$29,MAX(0,(Inputs!$B$3-100)*3)+Inputs!$B$28+Inputs!$B$29)))</f>
        <v/>
      </c>
      <c r="E193">
        <f>INDEX(FactorTable!$B$2:$Y$301, MATCH(ROUND(MIN(300,MAX(1,D193)),0), FactorTable!$A$2:$A$301,0), Skills!M28+1)</f>
        <v/>
      </c>
      <c r="F193">
        <f>IF(Skills!N28=TRUE,(Skills!L28/10)*(E193/1000),Skills!L28/10)+Skills!O28</f>
        <v/>
      </c>
      <c r="G193">
        <f>Skills!G28*IF(Skills!H28&gt;0,Skills!I28/Skills!H28,1)</f>
        <v/>
      </c>
      <c r="H193">
        <f>1-(1-Skills!J28/100)^Skills!K28</f>
        <v/>
      </c>
      <c r="I193" t="inlineStr">
        <is>
          <t>1</t>
        </is>
      </c>
      <c r="J193" t="inlineStr"/>
      <c r="K193" t="inlineStr"/>
      <c r="L193" t="inlineStr"/>
      <c r="M193" t="inlineStr"/>
      <c r="N193" t="inlineStr"/>
      <c r="O193">
        <f>(1-Summary!$B$11)*T193+Summary!$B$11*V193</f>
        <v/>
      </c>
      <c r="P193">
        <f>IF(B209=0,0,O193/B209)</f>
        <v/>
      </c>
      <c r="Q193" t="n">
        <v>0</v>
      </c>
      <c r="R193" t="n">
        <v>0</v>
      </c>
      <c r="S193">
        <f>IFERROR(O193/N193,0)</f>
        <v/>
      </c>
      <c r="T193" t="n">
        <v>0</v>
      </c>
      <c r="V193" t="n">
        <v>0</v>
      </c>
    </row>
    <row r="194">
      <c r="A194">
        <f>Skills!A29</f>
        <v/>
      </c>
      <c r="B194">
        <f>Skills!B29</f>
        <v/>
      </c>
      <c r="C194">
        <f>Inputs!$B$3&gt;=120</f>
        <v/>
      </c>
      <c r="D194">
        <f>IF(Skills!C29=1,60+Inputs!$B$25+Inputs!$B$29,IF(Skills!C29=2,90+Inputs!$B$26+Inputs!$B$29,IF(Skills!C29=3,120+Inputs!$B$27+Inputs!$B$29,MAX(0,(Inputs!$B$3-100)*3)+Inputs!$B$28+Inputs!$B$29)))</f>
        <v/>
      </c>
      <c r="E194">
        <f>INDEX(FactorTable!$B$2:$Y$301, MATCH(ROUND(MIN(300,MAX(1,D194)),0), FactorTable!$A$2:$A$301,0), Skills!M29+1)</f>
        <v/>
      </c>
      <c r="F194">
        <f>IF(Skills!N29=TRUE,(Skills!L29/10)*(E194/1000),Skills!L29/10)+Skills!O29</f>
        <v/>
      </c>
      <c r="G194">
        <f>Skills!G29*IF(Skills!H29&gt;0,Skills!I29/Skills!H29,1)</f>
        <v/>
      </c>
      <c r="H194">
        <f>1-(1-Skills!J29/100)^Skills!K29</f>
        <v/>
      </c>
      <c r="I194" t="inlineStr">
        <is>
          <t>1</t>
        </is>
      </c>
      <c r="J194" t="inlineStr"/>
      <c r="K194" t="inlineStr"/>
      <c r="L194" t="inlineStr"/>
      <c r="M194" t="inlineStr"/>
      <c r="N194" t="inlineStr"/>
      <c r="O194">
        <f>(1-Summary!$B$11)*T194+Summary!$B$11*V194</f>
        <v/>
      </c>
      <c r="P194">
        <f>IF(B209=0,0,O194/B209)</f>
        <v/>
      </c>
      <c r="Q194" t="n">
        <v>0</v>
      </c>
      <c r="R194" t="n">
        <v>0</v>
      </c>
      <c r="S194">
        <f>IFERROR(O194/N194,0)</f>
        <v/>
      </c>
      <c r="T194" t="n">
        <v>0</v>
      </c>
      <c r="V194" t="n">
        <v>0</v>
      </c>
    </row>
    <row r="195">
      <c r="A195">
        <f>Skills!A30</f>
        <v/>
      </c>
      <c r="B195">
        <f>Skills!B30</f>
        <v/>
      </c>
      <c r="C195">
        <f>Inputs!$B$3&gt;=120</f>
        <v/>
      </c>
      <c r="D195">
        <f>IF(Skills!C30=1,60+Inputs!$B$25+Inputs!$B$29,IF(Skills!C30=2,90+Inputs!$B$26+Inputs!$B$29,IF(Skills!C30=3,120+Inputs!$B$27+Inputs!$B$29,MAX(0,(Inputs!$B$3-100)*3)+Inputs!$B$28+Inputs!$B$29)))</f>
        <v/>
      </c>
      <c r="E195">
        <f>INDEX(FactorTable!$B$2:$Y$301, MATCH(ROUND(MIN(300,MAX(1,D195)),0), FactorTable!$A$2:$A$301,0), Skills!M30+1)</f>
        <v/>
      </c>
      <c r="F195">
        <f>IF(Skills!N30=TRUE,(Skills!L30/10)*(E195/1000),Skills!L30/10)+Skills!O30</f>
        <v/>
      </c>
      <c r="G195">
        <f>Skills!G30*IF(Skills!H30&gt;0,Skills!I30/Skills!H30,1)</f>
        <v/>
      </c>
      <c r="H195">
        <f>1-(1-Skills!J30/100)^Skills!K30</f>
        <v/>
      </c>
      <c r="I195" t="inlineStr">
        <is>
          <t>1</t>
        </is>
      </c>
      <c r="J195" t="inlineStr"/>
      <c r="K195" t="inlineStr"/>
      <c r="L195" t="inlineStr"/>
      <c r="M195" t="inlineStr"/>
      <c r="N195" t="inlineStr"/>
      <c r="O195">
        <f>(1-Summary!$B$11)*T195+Summary!$B$11*V195</f>
        <v/>
      </c>
      <c r="P195">
        <f>IF(B209=0,0,O195/B209)</f>
        <v/>
      </c>
      <c r="Q195" t="n">
        <v>0</v>
      </c>
      <c r="R195" t="n">
        <v>0</v>
      </c>
      <c r="S195">
        <f>IFERROR(O195/N195,0)</f>
        <v/>
      </c>
      <c r="T195" t="n">
        <v>0</v>
      </c>
      <c r="V195" t="n">
        <v>0</v>
      </c>
    </row>
    <row r="196">
      <c r="A196">
        <f>Skills!A31</f>
        <v/>
      </c>
      <c r="B196">
        <f>Skills!B31</f>
        <v/>
      </c>
      <c r="C196">
        <f>Inputs!$B$3&gt;=45</f>
        <v/>
      </c>
      <c r="D196">
        <f>IF(Skills!C31=1,60+Inputs!$B$25+Inputs!$B$29,IF(Skills!C31=2,90+Inputs!$B$26+Inputs!$B$29,IF(Skills!C31=3,120+Inputs!$B$27+Inputs!$B$29,MAX(0,(Inputs!$B$3-100)*3)+Inputs!$B$28+Inputs!$B$29)))</f>
        <v/>
      </c>
      <c r="E196">
        <f>INDEX(FactorTable!$B$2:$Y$301, MATCH(ROUND(MIN(300,MAX(1,D196)),0), FactorTable!$A$2:$A$301,0), Skills!M31+1)</f>
        <v/>
      </c>
      <c r="F196">
        <f>IF(Skills!N31=TRUE,(Skills!L31/10)*(E196/1000),Skills!L31/10)+Skills!O31</f>
        <v/>
      </c>
      <c r="G196">
        <f>Skills!G31*IF(Skills!H31&gt;0,Skills!I31/Skills!H31,1)</f>
        <v/>
      </c>
      <c r="H196">
        <f>1-(1-Skills!J31/100)^Skills!K31</f>
        <v/>
      </c>
      <c r="I196" t="inlineStr">
        <is>
          <t>1</t>
        </is>
      </c>
      <c r="J196" t="inlineStr"/>
      <c r="K196" t="inlineStr"/>
      <c r="L196" t="inlineStr"/>
      <c r="M196" t="inlineStr"/>
      <c r="N196" t="inlineStr"/>
      <c r="O196">
        <f>(1-Summary!$B$11)*T196+Summary!$B$11*V196</f>
        <v/>
      </c>
      <c r="P196">
        <f>IF(B209=0,0,O196/B209)</f>
        <v/>
      </c>
      <c r="Q196" t="n">
        <v>0</v>
      </c>
      <c r="R196" t="n">
        <v>0</v>
      </c>
      <c r="S196">
        <f>IFERROR(O196/N196,0)</f>
        <v/>
      </c>
      <c r="T196" t="n">
        <v>0</v>
      </c>
      <c r="V196" t="n">
        <v>0</v>
      </c>
    </row>
    <row r="198">
      <c r="A198" t="inlineStr">
        <is>
          <t>Attack% Bucket Multiplier</t>
        </is>
      </c>
      <c r="B198">
        <f>(1+(((C179=TRUE)*F179)+((C180=TRUE)*IF(Inputs!$B$38="pvp",F180,(1-Summary!$B$11)*(F180)+Summary!$B$11*(0)))+((C181=TRUE)*F181*IF(AND(Inputs!$B$38&lt;&gt;"pvp",Inputs!$B$43&gt;0),(((R181-1)*(Skills!T16*(1+Inputs!$B$34/100))+MIN((Skills!T16*(1+Inputs!$B$34/100)),MAX(0,Inputs!$B$43-((R181-1)*Skills!D16))))/Inputs!$B$43),IF(Inputs!$B$38="pvp",MIN((Skills!T16*(1+Inputs!$B$34/100)),15)/15,(Skills!T16*(1+Inputs!$B$34/100))/Skills!D16)))+((C196=TRUE)*(F196-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9">
      <c r="A199" t="inlineStr">
        <is>
          <t>Global Crit Rate Bonus %</t>
        </is>
      </c>
      <c r="B199">
        <f>(C182=TRUE)*20*IF(AND(Inputs!$B$38&lt;&gt;"pvp",Inputs!$B$43&gt;0),(((R182-1)*(Skills!T17*(1+Inputs!$B$34/100))+MIN((Skills!T17*(1+Inputs!$B$34/100)),MAX(0,Inputs!$B$43-((R182-1)*Skills!D17))))/Inputs!$B$43),IF(Inputs!$B$38="pvp",MIN((Skills!T17*(1+Inputs!$B$34/100)),15)/15,(Skills!T17*(1+Inputs!$B$34/100))/Skills!D17))</f>
        <v/>
      </c>
    </row>
    <row r="200">
      <c r="A200" t="inlineStr">
        <is>
          <t>Attack Speed Buff Bonus %</t>
        </is>
      </c>
      <c r="B200">
        <f>((C185=TRUE)*F185*IF(AND(Inputs!$B$38&lt;&gt;"pvp",Inputs!$B$43&gt;0),(((R185-1)*(Skills!T20*(1+Inputs!$B$34/100))+MIN((Skills!T20*(1+Inputs!$B$34/100)),MAX(0,Inputs!$B$43-((R185-1)*Skills!D20))))/Inputs!$B$43),IF(Inputs!$B$38="pvp",MIN((Skills!T20*(1+Inputs!$B$34/100)),15)/15,(Skills!T20*(1+Inputs!$B$34/100))/Skills!D20)))</f>
        <v/>
      </c>
    </row>
    <row r="201">
      <c r="A201" t="inlineStr">
        <is>
          <t>Actions Per Second</t>
        </is>
      </c>
      <c r="B201">
        <f>1+MIN(150,150*(1-(1-(Inputs!$B$11+((C187=TRUE)*(F187-Calc!F22))+((C188=TRUE)*(F188-Calc!F23)))/150)*(1-B200/150)))/100</f>
        <v/>
      </c>
    </row>
    <row r="202">
      <c r="A202" t="inlineStr">
        <is>
          <t>Skill + Buff Cast Rate</t>
        </is>
      </c>
      <c r="B202">
        <f>IF(AND(Inputs!$B$38&lt;&gt;"pvp",Inputs!$B$43&gt;0),SUMPRODUCT((Skills!E2:E31=TRUE)*(C167:C196=TRUE)*R167:R196*Skills!F2:F31)/Inputs!$B$43,SUMPRODUCT((Skills!E2:E31=TRUE)*(C167:C196=TRUE)*Q167:Q196*Skills!F2:F31))</f>
        <v/>
      </c>
    </row>
    <row r="203">
      <c r="A203" t="inlineStr">
        <is>
          <t>Arrow Stream Casts Per Second</t>
        </is>
      </c>
      <c r="B203">
        <f>MAX(0,B201-B202)</f>
        <v/>
      </c>
    </row>
    <row r="204">
      <c r="A204" t="inlineStr">
        <is>
          <t>Global Critical Damage Bonus % (Sharp Eyes + Concentration)</t>
        </is>
      </c>
      <c r="B204">
        <f>(C182=TRUE)*F182*IF(AND(Inputs!$B$38&lt;&gt;"pvp",Inputs!$B$43&gt;0),(((R182-1)*(Skills!T17*(1+Inputs!$B$34/100))+MIN((Skills!T17*(1+Inputs!$B$34/100)),MAX(0,Inputs!$B$43-((R182-1)*Skills!D17))))/Inputs!$B$43),IF(Inputs!$B$38="pvp",MIN((Skills!T17*(1+Inputs!$B$34/100)),15)/15,(Skills!T17*(1+Inputs!$B$34/100))/Skills!D17))+(C183=TRUE)*30</f>
        <v/>
      </c>
    </row>
    <row r="205">
      <c r="A205" t="inlineStr">
        <is>
          <t>Global Final Damage Bonus % (Mortal Blow)</t>
        </is>
      </c>
      <c r="B205">
        <f>(C184=TRUE)*F184</f>
        <v/>
      </c>
    </row>
    <row r="206">
      <c r="A206" t="inlineStr">
        <is>
          <t>Buff-Casting Startup Delay (s, fixed-duration only)</t>
        </is>
      </c>
      <c r="B206">
        <f>IF(AND(Inputs!$B$38&lt;&gt;"pvp",Inputs!$B$43&gt;0),SUMPRODUCT((Skills!T2:T31&gt;0)*(Skills!E2:E31=TRUE)*(C167:C196=TRUE))/B201,0)</f>
        <v/>
      </c>
    </row>
    <row r="207">
      <c r="A207" t="inlineStr">
        <is>
          <t>Boss-Only Total DPS (this block's swept value)</t>
        </is>
      </c>
      <c r="B207">
        <f>SUM(T167:T196)</f>
        <v/>
      </c>
    </row>
    <row r="208">
      <c r="A208" t="inlineStr">
        <is>
          <t>Normal-Only Total DPS (this block's swept value)</t>
        </is>
      </c>
      <c r="B208">
        <f>SUM(V167:V196)</f>
        <v/>
      </c>
    </row>
    <row r="209">
      <c r="A209" s="6" t="inlineStr">
        <is>
          <t>TOTAL DPS</t>
        </is>
      </c>
      <c r="B209" s="6">
        <f>SUM(O167:O196)</f>
        <v/>
      </c>
    </row>
    <row r="212">
      <c r="A212" s="6" t="inlineStr">
        <is>
          <t>Stat: DAMAGE %</t>
        </is>
      </c>
    </row>
    <row r="213">
      <c r="A213" s="5" t="inlineStr">
        <is>
          <t>Key</t>
        </is>
      </c>
      <c r="B213" s="5" t="inlineStr">
        <is>
          <t>Name</t>
        </is>
      </c>
      <c r="C213" s="5" t="inlineStr">
        <is>
          <t>Unlocked</t>
        </is>
      </c>
      <c r="D213" s="5" t="inlineStr">
        <is>
          <t>InputLevel</t>
        </is>
      </c>
      <c r="E213" s="5" t="inlineStr">
        <is>
          <t>Factor</t>
        </is>
      </c>
      <c r="F213" s="5" t="inlineStr">
        <is>
          <t>CoefficientPercent</t>
        </is>
      </c>
      <c r="G213" s="5" t="inlineStr">
        <is>
          <t>EffectiveHits</t>
        </is>
      </c>
      <c r="H213" s="5" t="inlineStr">
        <is>
          <t>ProcProbability</t>
        </is>
      </c>
      <c r="I213" s="5" t="inlineStr">
        <is>
          <t>MapleHeroMultiplier</t>
        </is>
      </c>
      <c r="J213" s="5" t="inlineStr">
        <is>
          <t>BaseDamage</t>
        </is>
      </c>
      <c r="K213" s="5" t="inlineStr">
        <is>
          <t>BaseHitDamage</t>
        </is>
      </c>
      <c r="L213" s="5" t="inlineStr">
        <is>
          <t>NonCritAvg</t>
        </is>
      </c>
      <c r="M213" s="5" t="inlineStr">
        <is>
          <t>CritAvg</t>
        </is>
      </c>
      <c r="N213" s="5" t="inlineStr">
        <is>
          <t>ExpectedDamage(perHit)</t>
        </is>
      </c>
      <c r="O213" s="5" t="inlineStr">
        <is>
          <t>DPS</t>
        </is>
      </c>
      <c r="P213" s="5" t="inlineStr">
        <is>
          <t>% of Total</t>
        </is>
      </c>
      <c r="Q213" s="5" t="inlineStr">
        <is>
          <t>InvCooldown</t>
        </is>
      </c>
      <c r="R213" s="5" t="inlineStr">
        <is>
          <t>CastsInFight</t>
        </is>
      </c>
      <c r="S213" s="5" t="inlineStr">
        <is>
          <t>HitRate(perSec)</t>
        </is>
      </c>
      <c r="U213" t="inlineStr">
        <is>
          <t>helpers</t>
        </is>
      </c>
    </row>
    <row r="214">
      <c r="A214">
        <f>Skills!A2</f>
        <v/>
      </c>
      <c r="B214">
        <f>Skills!B2</f>
        <v/>
      </c>
      <c r="C214">
        <f>Inputs!$B$3&gt;=100</f>
        <v/>
      </c>
      <c r="D214" t="inlineStr"/>
      <c r="E214" t="inlineStr"/>
      <c r="F214">
        <f>U216+Skills!O2</f>
        <v/>
      </c>
      <c r="G214">
        <f>Skills!G2*IF(Skills!H2&gt;0,Skills!I2/Skills!H2,1)</f>
        <v/>
      </c>
      <c r="H214">
        <f>1-(1-Skills!J2/100)^Skills!K2</f>
        <v/>
      </c>
      <c r="I214" t="inlineStr">
        <is>
          <t>1</t>
        </is>
      </c>
      <c r="J214">
        <f>((Inputs!$B$6*(1+Inputs!$B$7/100))+(((Inputs!$B$12*(1+Inputs!$B$13/100))-(Inputs!$B$12*(1+Inputs!$B$13/100)))+0.25*(Inputs!$B$14-Inputs!$B$14))*(1+Inputs!$B$7/100))*(F214/100)</f>
        <v/>
      </c>
      <c r="K214">
        <f>J214*(1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f>
        <v/>
      </c>
      <c r="L214">
        <f>K214*(MIN(Inputs!$B$22+((C237=TRUE)*(F237-Calc!F25)),(Inputs!$B$23+((C242=TRUE)*(F242-Calc!F30))+(IF(ArtifactsInput!$M$15,CHOOSE(ArtifactsInput!$N$15+1,25,30,35,40,45,50)/100*(Inputs!$B$11-Inputs!$B$11),0))))/100+(Inputs!$B$23+((C242=TRUE)*(F242-Calc!F30))+(IF(ArtifactsInput!$M$15,CHOOSE(ArtifactsInput!$N$15+1,25,30,35,40,45,50)/100*(Inputs!$B$11-Inputs!$B$11),0)))/100)/2</f>
        <v/>
      </c>
      <c r="M214">
        <f>L214*(1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
        <f>L214*(1-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
        <f>(1-Summary!$B$11)*T214+Summary!$B$11*V214</f>
        <v/>
      </c>
      <c r="P214">
        <f>IF(B256=0,0,O214/B256)</f>
        <v/>
      </c>
      <c r="Q214" t="n">
        <v>0</v>
      </c>
      <c r="R214" t="n">
        <v>0</v>
      </c>
      <c r="S214">
        <f>IFERROR(O214/N214,0)</f>
        <v/>
      </c>
      <c r="T214">
        <f>IF(C214,(Skills!G2*N214*B250)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214*(1-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
        <f>MAX(0,(Inputs!$B$3-100)*3)+Inputs!$B$28+Inputs!$B$29</f>
        <v/>
      </c>
      <c r="V214">
        <f>IF(C214,(Skills!G2*N214*B250)*IF(Inputs!$B$38="pvp",1,(1+(Inputs!$B$21+Skills!Q2+(IF(ArtifactsInput!$M$33,CHOOSE(ArtifactsInput!$N$33+1,30,36,42,48,54,60),0))+(IF(AND(ArtifactsInput!$M$35,Inputs!$B$4&lt;&gt;"Chapter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
      <c r="A215">
        <f>Skills!A3</f>
        <v/>
      </c>
      <c r="B215">
        <f>Skills!B3</f>
        <v/>
      </c>
      <c r="C215">
        <f>Inputs!$B$3&gt;=50</f>
        <v/>
      </c>
      <c r="D215">
        <f>IF(Skills!C3=1,60+Inputs!$B$25+Inputs!$B$29,IF(Skills!C3=2,90+Inputs!$B$26+Inputs!$B$29,IF(Skills!C3=3,120+Inputs!$B$27+Inputs!$B$29,MAX(0,(Inputs!$B$3-100)*3)+Inputs!$B$28+Inputs!$B$29)))</f>
        <v/>
      </c>
      <c r="E215">
        <f>INDEX(FactorTable!$B$2:$Y$301, MATCH(ROUND(MIN(300,MAX(1,D215)),0), FactorTable!$A$2:$A$301,0), Skills!M3+1)</f>
        <v/>
      </c>
      <c r="F215">
        <f>IF(Skills!N3=TRUE,(Skills!L3/10)*(E215/1000),Skills!L3/10)+Skills!O3</f>
        <v/>
      </c>
      <c r="G215">
        <f>Skills!G3*IF(Skills!H3&gt;0,Skills!I3/Skills!H3,1)</f>
        <v/>
      </c>
      <c r="H215">
        <f>1-(1-Skills!J3/100)^Skills!K3</f>
        <v/>
      </c>
      <c r="I215" t="inlineStr">
        <is>
          <t>1</t>
        </is>
      </c>
      <c r="J215">
        <f>((Inputs!$B$6*(1+Inputs!$B$7/100))+(((Inputs!$B$12*(1+Inputs!$B$13/100))-(Inputs!$B$12*(1+Inputs!$B$13/100)))+0.25*(Inputs!$B$14-Inputs!$B$14))*(1+Inputs!$B$7/100))*(F215/100)</f>
        <v/>
      </c>
      <c r="K215">
        <f>J215*(1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216=TRUE,F216,0)/100)*(1+(IF(Skills!A3="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f>
        <v/>
      </c>
      <c r="L215">
        <f>K215*(MIN(Inputs!$B$22+((C237=TRUE)*(F237-Calc!F25)),(Inputs!$B$23+((C242=TRUE)*(F242-Calc!F30))+(IF(ArtifactsInput!$M$15,CHOOSE(ArtifactsInput!$N$15+1,25,30,35,40,45,50)/100*(Inputs!$B$11-Inputs!$B$11),0))))/100+(Inputs!$B$23+((C242=TRUE)*(F242-Calc!F30))+(IF(ArtifactsInput!$M$15,CHOOSE(ArtifactsInput!$N$15+1,25,30,35,40,45,50)/100*(Inputs!$B$11-Inputs!$B$11),0)))/100)/2</f>
        <v/>
      </c>
      <c r="M215">
        <f>L215*(1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
        <f>L215*(1-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
        <f>(1-Summary!$B$11)*T215+Summary!$B$11*V215</f>
        <v/>
      </c>
      <c r="P215">
        <f>IF(B256=0,0,O215/B256)</f>
        <v/>
      </c>
      <c r="Q215">
        <f>IFERROR(1/(IF(Inputs!$B$38="pvp",15,MAX(0.1,Skills!D3-IF(Skills!E3=TRUE,Inputs!$B$32,0)))*(1-IF(AND(ArtifactsInput!$M$27,Inputs!$B$4="Chapter Hunt"),CHOOSE(ArtifactsInput!$N$27+1,20,24,28,32,36,40),0)/100)),0)</f>
        <v/>
      </c>
      <c r="R215">
        <f>IF(AND(Inputs!$B$38&lt;&gt;"pvp",Inputs!$B$43&gt;0),IF(MAX(0,Inputs!$B$43-B253)&lt;=0,0,(INT(MAX(0,Inputs!$B$43-B253)/(IF(Inputs!$B$38="pvp",15,MAX(0.1,Skills!D3-IF(Skills!E3=TRUE,Inputs!$B$32,0)))*(1-IF(AND(ArtifactsInput!$M$27,Inputs!$B$4="Chapter Hunt"),CHOOSE(ArtifactsInput!$N$27+1,20,24,28,32,36,40),0)/100)))+1)),0)</f>
        <v/>
      </c>
      <c r="S215">
        <f>IFERROR(O215/N215,0)</f>
        <v/>
      </c>
      <c r="T215">
        <f>IF(C215,(H215*N215*IF(AND(Inputs!$B$38&lt;&gt;"pvp",Inputs!$B$43&gt;0),((Skills!G3*((R215-1)*IF(Skills!H3&gt;0,Skills!I3/Skills!H3,1)+IF(Skills!H3&gt;0,MIN(Skills!I3,MAX(0,MAX(0,Inputs!$B$43-B253)-((R215-1)*(IF(Inputs!$B$38="pvp",15,MAX(0.1,Skills!D3-IF(Skills!E3=TRUE,Inputs!$B$32,0)))*(1-IF(AND(ArtifactsInput!$M$27,Inputs!$B$4="Chapter Hunt"),CHOOSE(ArtifactsInput!$N$27+1,20,24,28,32,36,40),0)/100)))))/Skills!H3,1)))/Inputs!$B$43),G215*Q215)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215*(1-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
        <f>INDEX(FactorTable!$B$2:$Y$301, MATCH(ROUND(MIN(300,MAX(1,U214)),0), FactorTable!$A$2:$A$301,0), 22)</f>
        <v/>
      </c>
      <c r="V215">
        <f>IF(C215,(H215*N215*IF(AND(Inputs!$B$38&lt;&gt;"pvp",Inputs!$B$43&gt;0),((Skills!G3*((R215-1)*IF(Skills!H3&gt;0,Skills!I3/Skills!H3,1)+IF(Skills!H3&gt;0,MIN(Skills!I3,MAX(0,MAX(0,Inputs!$B$43-B253)-((R215-1)*(IF(Inputs!$B$38="pvp",15,MAX(0.1,Skills!D3-IF(Skills!E3=TRUE,Inputs!$B$32,0)))*(1-IF(AND(ArtifactsInput!$M$27,Inputs!$B$4="Chapter Hunt"),CHOOSE(ArtifactsInput!$N$27+1,20,24,28,32,36,40),0)/100)))))/Skills!H3,1)))/Inputs!$B$43),G215*Q215))*IF(Inputs!$B$38="pvp",1,(1+(Inputs!$B$21+Skills!Q3+(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
      <c r="A216">
        <f>Skills!A4</f>
        <v/>
      </c>
      <c r="B216">
        <f>Skills!B4</f>
        <v/>
      </c>
      <c r="C216">
        <f>Inputs!$B$3&gt;=105</f>
        <v/>
      </c>
      <c r="D216">
        <f>IF(Skills!C4=1,60+Inputs!$B$25+Inputs!$B$29,IF(Skills!C4=2,90+Inputs!$B$26+Inputs!$B$29,IF(Skills!C4=3,120+Inputs!$B$27+Inputs!$B$29,MAX(0,(Inputs!$B$3-100)*3)+Inputs!$B$28+Inputs!$B$29)))</f>
        <v/>
      </c>
      <c r="E216">
        <f>INDEX(FactorTable!$B$2:$Y$301, MATCH(ROUND(MIN(300,MAX(1,D216)),0), FactorTable!$A$2:$A$301,0), Skills!M4+1)</f>
        <v/>
      </c>
      <c r="F216">
        <f>IF(Skills!N4=TRUE,(Skills!L4/10)*(E216/1000),Skills!L4/10)+Skills!O4</f>
        <v/>
      </c>
      <c r="G216" t="inlineStr"/>
      <c r="H216" t="inlineStr"/>
      <c r="I216" t="inlineStr">
        <is>
          <t>1</t>
        </is>
      </c>
      <c r="J216" t="inlineStr"/>
      <c r="K216" t="inlineStr"/>
      <c r="L216" t="inlineStr"/>
      <c r="M216" t="inlineStr"/>
      <c r="N216" t="inlineStr"/>
      <c r="O216" t="inlineStr"/>
      <c r="P216" t="inlineStr"/>
      <c r="Q216" t="inlineStr"/>
      <c r="R216" t="inlineStr"/>
      <c r="S216" t="inlineStr"/>
      <c r="T216" t="inlineStr"/>
      <c r="U216">
        <f>290*U215/1000</f>
        <v/>
      </c>
      <c r="V216" t="inlineStr"/>
    </row>
    <row r="217">
      <c r="A217">
        <f>Skills!A5</f>
        <v/>
      </c>
      <c r="B217">
        <f>Skills!B5</f>
        <v/>
      </c>
      <c r="C217">
        <f>Inputs!$B$3&gt;=35</f>
        <v/>
      </c>
      <c r="D217">
        <f>IF(Skills!C5=1,60+Inputs!$B$25+Inputs!$B$29,IF(Skills!C5=2,90+Inputs!$B$26+Inputs!$B$29,IF(Skills!C5=3,120+Inputs!$B$27+Inputs!$B$29,MAX(0,(Inputs!$B$3-100)*3)+Inputs!$B$28+Inputs!$B$29)))</f>
        <v/>
      </c>
      <c r="E217">
        <f>INDEX(FactorTable!$B$2:$Y$301, MATCH(ROUND(MIN(300,MAX(1,D217)),0), FactorTable!$A$2:$A$301,0), Skills!M5+1)</f>
        <v/>
      </c>
      <c r="F217">
        <f>IF(Skills!N5=TRUE,(Skills!L5/10)*(E217/1000),Skills!L5/10)+Skills!O5</f>
        <v/>
      </c>
      <c r="G217">
        <f>Skills!G5*IF(Skills!H5&gt;0,Skills!I5/Skills!H5,1)</f>
        <v/>
      </c>
      <c r="H217">
        <f>1-(1-Skills!J5/100)^Skills!K5</f>
        <v/>
      </c>
      <c r="I217" t="inlineStr">
        <is>
          <t>1</t>
        </is>
      </c>
      <c r="J217">
        <f>((Inputs!$B$6*(1+Inputs!$B$7/100))+(((Inputs!$B$12*(1+Inputs!$B$13/100))-(Inputs!$B$12*(1+Inputs!$B$13/100)))+0.25*(Inputs!$B$14-Inputs!$B$14))*(1+Inputs!$B$7/100))*(F217/100)</f>
        <v/>
      </c>
      <c r="K217">
        <f>J217*(1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223=TRUE,F223,0)/100)*(1+(IF(Skills!A5="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f>
        <v/>
      </c>
      <c r="L217">
        <f>K217*(MIN(Inputs!$B$22+((C237=TRUE)*(F237-Calc!F25)),(Inputs!$B$23+((C242=TRUE)*(F242-Calc!F30))+(IF(ArtifactsInput!$M$15,CHOOSE(ArtifactsInput!$N$15+1,25,30,35,40,45,50)/100*(Inputs!$B$11-Inputs!$B$11),0))))/100+(Inputs!$B$23+((C242=TRUE)*(F242-Calc!F30))+(IF(ArtifactsInput!$M$15,CHOOSE(ArtifactsInput!$N$15+1,25,30,35,40,45,50)/100*(Inputs!$B$11-Inputs!$B$11),0)))/100)/2</f>
        <v/>
      </c>
      <c r="M217">
        <f>L217*(1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
        <f>L217*(1-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
        <f>(1-Summary!$B$11)*T217+Summary!$B$11*V217</f>
        <v/>
      </c>
      <c r="P217">
        <f>IF(B256=0,0,O217/B256)</f>
        <v/>
      </c>
      <c r="Q217">
        <f>IFERROR(1/(IF(Inputs!$B$38="pvp",15,MAX(0.1,Skills!D5-IF(Skills!E5=TRUE,Inputs!$B$32,0)))*(1-IF(AND(ArtifactsInput!$M$27,Inputs!$B$4="Chapter Hunt"),CHOOSE(ArtifactsInput!$N$27+1,20,24,28,32,36,40),0)/100)),0)</f>
        <v/>
      </c>
      <c r="R217">
        <f>IF(AND(Inputs!$B$38&lt;&gt;"pvp",Inputs!$B$43&gt;0),IF(MAX(0,Inputs!$B$43-B253)&lt;=0,0,(INT(MAX(0,Inputs!$B$43-B253)/(IF(Inputs!$B$38="pvp",15,MAX(0.1,Skills!D5-IF(Skills!E5=TRUE,Inputs!$B$32,0)))*(1-IF(AND(ArtifactsInput!$M$27,Inputs!$B$4="Chapter Hunt"),CHOOSE(ArtifactsInput!$N$27+1,20,24,28,32,36,40),0)/100)))+1)),0)</f>
        <v/>
      </c>
      <c r="S217">
        <f>IFERROR(O217/N217,0)</f>
        <v/>
      </c>
      <c r="T217">
        <f>IF(C217,(H217*N217*IF(AND(Inputs!$B$38&lt;&gt;"pvp",Inputs!$B$43&gt;0),((Skills!G5*((R217-1)*IF(Skills!H5&gt;0,Skills!I5/Skills!H5,1)+IF(Skills!H5&gt;0,MIN(Skills!I5,MAX(0,MAX(0,Inputs!$B$43-B253)-((R217-1)*(IF(Inputs!$B$38="pvp",15,MAX(0.1,Skills!D5-IF(Skills!E5=TRUE,Inputs!$B$32,0)))*(1-IF(AND(ArtifactsInput!$M$27,Inputs!$B$4="Chapter Hunt"),CHOOSE(ArtifactsInput!$N$27+1,20,24,28,32,36,40),0)/100)))))/Skills!H5,1)))/Inputs!$B$43),G217*Q217)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217*(1-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
        <f>IF(C217,(H217*N217*IF(AND(Inputs!$B$38&lt;&gt;"pvp",Inputs!$B$43&gt;0),((Skills!G5*((R217-1)*IF(Skills!H5&gt;0,Skills!I5/Skills!H5,1)+IF(Skills!H5&gt;0,MIN(Skills!I5,MAX(0,MAX(0,Inputs!$B$43-B253)-((R217-1)*(IF(Inputs!$B$38="pvp",15,MAX(0.1,Skills!D5-IF(Skills!E5=TRUE,Inputs!$B$32,0)))*(1-IF(AND(ArtifactsInput!$M$27,Inputs!$B$4="Chapter Hunt"),CHOOSE(ArtifactsInput!$N$27+1,20,24,28,32,36,40),0)/100)))))/Skills!H5,1)))/Inputs!$B$43),G217*Q217))*IF(Inputs!$B$38="pvp",1,(1+(Inputs!$B$21+Skills!Q5+(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
      <c r="A218">
        <f>Skills!A6</f>
        <v/>
      </c>
      <c r="B218">
        <f>Skills!B6</f>
        <v/>
      </c>
      <c r="C218">
        <f>Inputs!$B$3&gt;=40</f>
        <v/>
      </c>
      <c r="D218">
        <f>IF(Skills!C6=1,60+Inputs!$B$25+Inputs!$B$29,IF(Skills!C6=2,90+Inputs!$B$26+Inputs!$B$29,IF(Skills!C6=3,120+Inputs!$B$27+Inputs!$B$29,MAX(0,(Inputs!$B$3-100)*3)+Inputs!$B$28+Inputs!$B$29)))</f>
        <v/>
      </c>
      <c r="E218">
        <f>INDEX(FactorTable!$B$2:$Y$301, MATCH(ROUND(MIN(300,MAX(1,D218)),0), FactorTable!$A$2:$A$301,0), Skills!M6+1)</f>
        <v/>
      </c>
      <c r="F218">
        <f>IF(Skills!N6=TRUE,(Skills!L6/10)*(E218/1000),Skills!L6/10)+Skills!O6</f>
        <v/>
      </c>
      <c r="G218">
        <f>Skills!G6*IF(Skills!H6&gt;0,Skills!I6/Skills!H6,1)</f>
        <v/>
      </c>
      <c r="H218">
        <f>1-(1-Skills!J6/100)^Skills!K6</f>
        <v/>
      </c>
      <c r="I218" t="inlineStr">
        <is>
          <t>1</t>
        </is>
      </c>
      <c r="J218">
        <f>((Inputs!$B$6*(1+Inputs!$B$7/100))+(((Inputs!$B$12*(1+Inputs!$B$13/100))-(Inputs!$B$12*(1+Inputs!$B$13/100)))+0.25*(Inputs!$B$14-Inputs!$B$14))*(1+Inputs!$B$7/100))*(F218/100)</f>
        <v/>
      </c>
      <c r="K218">
        <f>J218*(1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219=TRUE,F219,0)/100)*(1+(IF(Skills!A6="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f>
        <v/>
      </c>
      <c r="L218">
        <f>K218*(MIN(Inputs!$B$22+((C237=TRUE)*(F237-Calc!F25)),(Inputs!$B$23+((C242=TRUE)*(F242-Calc!F30))+(IF(ArtifactsInput!$M$15,CHOOSE(ArtifactsInput!$N$15+1,25,30,35,40,45,50)/100*(Inputs!$B$11-Inputs!$B$11),0))))/100+(Inputs!$B$23+((C242=TRUE)*(F242-Calc!F30))+(IF(ArtifactsInput!$M$15,CHOOSE(ArtifactsInput!$N$15+1,25,30,35,40,45,50)/100*(Inputs!$B$11-Inputs!$B$11),0)))/100)/2</f>
        <v/>
      </c>
      <c r="M218">
        <f>L218*(1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
        <f>L218*(1-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
        <f>(1-Summary!$B$11)*T218+Summary!$B$11*V218</f>
        <v/>
      </c>
      <c r="P218">
        <f>IF(B256=0,0,O218/B256)</f>
        <v/>
      </c>
      <c r="Q218">
        <f>IFERROR(1/(IF(Inputs!$B$38="pvp",15,MAX(0.1,Skills!D6-IF(Skills!E6=TRUE,Inputs!$B$32,0)))*(1-IF(AND(ArtifactsInput!$M$27,Inputs!$B$4="Chapter Hunt"),CHOOSE(ArtifactsInput!$N$27+1,20,24,28,32,36,40),0)/100)),0)</f>
        <v/>
      </c>
      <c r="R218">
        <f>IF(AND(Inputs!$B$38&lt;&gt;"pvp",Inputs!$B$43&gt;0),IF(MAX(0,Inputs!$B$43-B253)&lt;=0,0,(INT(MAX(0,Inputs!$B$43-B253)/(IF(Inputs!$B$38="pvp",15,MAX(0.1,Skills!D6-IF(Skills!E6=TRUE,Inputs!$B$32,0)))*(1-IF(AND(ArtifactsInput!$M$27,Inputs!$B$4="Chapter Hunt"),CHOOSE(ArtifactsInput!$N$27+1,20,24,28,32,36,40),0)/100)))+1)),0)</f>
        <v/>
      </c>
      <c r="S218">
        <f>IFERROR(O218/N218,0)</f>
        <v/>
      </c>
      <c r="T218">
        <f>IF(C218,(H218*N218*IF(AND(Inputs!$B$38&lt;&gt;"pvp",Inputs!$B$43&gt;0),((Skills!G6*((R218-1)*IF(Skills!H6&gt;0,Skills!I6/Skills!H6,1)+IF(Skills!H6&gt;0,MIN(Skills!I6,MAX(0,MAX(0,Inputs!$B$43-B253)-((R218-1)*(IF(Inputs!$B$38="pvp",15,MAX(0.1,Skills!D6-IF(Skills!E6=TRUE,Inputs!$B$32,0)))*(1-IF(AND(ArtifactsInput!$M$27,Inputs!$B$4="Chapter Hunt"),CHOOSE(ArtifactsInput!$N$27+1,20,24,28,32,36,40),0)/100)))))/Skills!H6,1)))/Inputs!$B$43),G218*Q218)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218*(1-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8">
        <f>IF(C218,(H218*N218*IF(AND(Inputs!$B$38&lt;&gt;"pvp",Inputs!$B$43&gt;0),((Skills!G6*((R218-1)*IF(Skills!H6&gt;0,Skills!I6/Skills!H6,1)+IF(Skills!H6&gt;0,MIN(Skills!I6,MAX(0,MAX(0,Inputs!$B$43-B253)-((R218-1)*(IF(Inputs!$B$38="pvp",15,MAX(0.1,Skills!D6-IF(Skills!E6=TRUE,Inputs!$B$32,0)))*(1-IF(AND(ArtifactsInput!$M$27,Inputs!$B$4="Chapter Hunt"),CHOOSE(ArtifactsInput!$N$27+1,20,24,28,32,36,40),0)/100)))))/Skills!H6,1)))/Inputs!$B$43),G218*Q218))*IF(Inputs!$B$38="pvp",1,(1+(Inputs!$B$21+Skills!Q6+(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
      <c r="A219">
        <f>Skills!A7</f>
        <v/>
      </c>
      <c r="B219">
        <f>Skills!B7</f>
        <v/>
      </c>
      <c r="C219">
        <f>Inputs!$B$3&gt;=107</f>
        <v/>
      </c>
      <c r="D219">
        <f>IF(Skills!C7=1,60+Inputs!$B$25+Inputs!$B$29,IF(Skills!C7=2,90+Inputs!$B$26+Inputs!$B$29,IF(Skills!C7=3,120+Inputs!$B$27+Inputs!$B$29,MAX(0,(Inputs!$B$3-100)*3)+Inputs!$B$28+Inputs!$B$29)))</f>
        <v/>
      </c>
      <c r="E219">
        <f>INDEX(FactorTable!$B$2:$Y$301, MATCH(ROUND(MIN(300,MAX(1,D219)),0), FactorTable!$A$2:$A$301,0), Skills!M7+1)</f>
        <v/>
      </c>
      <c r="F219">
        <f>IF(Skills!N7=TRUE,(Skills!L7/10)*(E219/1000),Skills!L7/10)+Skills!O7</f>
        <v/>
      </c>
      <c r="G219" t="inlineStr"/>
      <c r="H219" t="inlineStr"/>
      <c r="I219" t="inlineStr">
        <is>
          <t>1</t>
        </is>
      </c>
      <c r="J219" t="inlineStr"/>
      <c r="K219" t="inlineStr"/>
      <c r="L219" t="inlineStr"/>
      <c r="M219" t="inlineStr"/>
      <c r="N219" t="inlineStr"/>
      <c r="O219" t="inlineStr"/>
      <c r="P219" t="inlineStr"/>
      <c r="Q219" t="inlineStr"/>
      <c r="R219" t="inlineStr"/>
      <c r="S219" t="inlineStr"/>
      <c r="T219" t="inlineStr"/>
      <c r="V219" t="inlineStr"/>
    </row>
    <row r="220">
      <c r="A220">
        <f>Skills!A8</f>
        <v/>
      </c>
      <c r="B220">
        <f>Skills!B8</f>
        <v/>
      </c>
      <c r="C220">
        <f>Inputs!$B$3&gt;=69</f>
        <v/>
      </c>
      <c r="D220">
        <f>IF(Skills!C8=1,60+Inputs!$B$25+Inputs!$B$29,IF(Skills!C8=2,90+Inputs!$B$26+Inputs!$B$29,IF(Skills!C8=3,120+Inputs!$B$27+Inputs!$B$29,MAX(0,(Inputs!$B$3-100)*3)+Inputs!$B$28+Inputs!$B$29)))</f>
        <v/>
      </c>
      <c r="E220">
        <f>INDEX(FactorTable!$B$2:$Y$301, MATCH(ROUND(MIN(300,MAX(1,D220)),0), FactorTable!$A$2:$A$301,0), Skills!M8+1)</f>
        <v/>
      </c>
      <c r="F220">
        <f>IF(Skills!N8=TRUE,(Skills!L8/10)*(E220/1000),Skills!L8/10)+Skills!O8</f>
        <v/>
      </c>
      <c r="G220">
        <f>Skills!G8*IF(Skills!H8&gt;0,Skills!I8/Skills!H8,1)</f>
        <v/>
      </c>
      <c r="H220">
        <f>1-(1-Skills!J8/100)^Skills!K8</f>
        <v/>
      </c>
      <c r="I220" t="inlineStr">
        <is>
          <t>1</t>
        </is>
      </c>
      <c r="J220">
        <f>((Inputs!$B$6*(1+Inputs!$B$7/100))+(((Inputs!$B$12*(1+Inputs!$B$13/100))-(Inputs!$B$12*(1+Inputs!$B$13/100)))+0.25*(Inputs!$B$14-Inputs!$B$14))*(1+Inputs!$B$7/100))*(F220/100)</f>
        <v/>
      </c>
      <c r="K220">
        <f>J220*(1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223=TRUE,F223,0)/100)*(1+(IF(Skills!A8="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f>
        <v/>
      </c>
      <c r="L220">
        <f>K220*(MIN(Inputs!$B$22+((C237=TRUE)*(F237-Calc!F25)),(Inputs!$B$23+((C242=TRUE)*(F242-Calc!F30))+(IF(ArtifactsInput!$M$15,CHOOSE(ArtifactsInput!$N$15+1,25,30,35,40,45,50)/100*(Inputs!$B$11-Inputs!$B$11),0))))/100+(Inputs!$B$23+((C242=TRUE)*(F242-Calc!F30))+(IF(ArtifactsInput!$M$15,CHOOSE(ArtifactsInput!$N$15+1,25,30,35,40,45,50)/100*(Inputs!$B$11-Inputs!$B$11),0)))/100)/2</f>
        <v/>
      </c>
      <c r="M220">
        <f>L220*(1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
        <f>L220*(1-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
        <f>(1-Summary!$B$11)*T220+Summary!$B$11*V220</f>
        <v/>
      </c>
      <c r="P220">
        <f>IF(B256=0,0,O220/B256)</f>
        <v/>
      </c>
      <c r="Q220">
        <f>IFERROR(1/(IF(Inputs!$B$38="pvp",15,MAX(0.1,Skills!D8-IF(Skills!E8=TRUE,Inputs!$B$32,0)))*(1-IF(AND(ArtifactsInput!$M$27,Inputs!$B$4="Chapter Hunt"),CHOOSE(ArtifactsInput!$N$27+1,20,24,28,32,36,40),0)/100)),0)</f>
        <v/>
      </c>
      <c r="R220">
        <f>IF(AND(Inputs!$B$38&lt;&gt;"pvp",Inputs!$B$43&gt;0),IF(MAX(0,Inputs!$B$43-B253)&lt;=0,0,(INT(MAX(0,Inputs!$B$43-B253)/(IF(Inputs!$B$38="pvp",15,MAX(0.1,Skills!D8-IF(Skills!E8=TRUE,Inputs!$B$32,0)))*(1-IF(AND(ArtifactsInput!$M$27,Inputs!$B$4="Chapter Hunt"),CHOOSE(ArtifactsInput!$N$27+1,20,24,28,32,36,40),0)/100)))+1)),0)</f>
        <v/>
      </c>
      <c r="S220">
        <f>IFERROR(O220/N220,0)</f>
        <v/>
      </c>
      <c r="T220">
        <f>IF(C220,(H220*N220*IF(AND(Inputs!$B$38&lt;&gt;"pvp",Inputs!$B$43&gt;0),((Skills!G8*((R220-1)*IF(Skills!H8&gt;0,Skills!I8/Skills!H8,1)+IF(Skills!H8&gt;0,MIN(Skills!I8,MAX(0,MAX(0,Inputs!$B$43-B253)-((R220-1)*(IF(Inputs!$B$38="pvp",15,MAX(0.1,Skills!D8-IF(Skills!E8=TRUE,Inputs!$B$32,0)))*(1-IF(AND(ArtifactsInput!$M$27,Inputs!$B$4="Chapter Hunt"),CHOOSE(ArtifactsInput!$N$27+1,20,24,28,32,36,40),0)/100)))))/Skills!H8,1)))/Inputs!$B$43),G220*Q220)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220*(1-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
        <f>IF(C220,(H220*N220*IF(AND(Inputs!$B$38&lt;&gt;"pvp",Inputs!$B$43&gt;0),((Skills!G8*((R220-1)*IF(Skills!H8&gt;0,Skills!I8/Skills!H8,1)+IF(Skills!H8&gt;0,MIN(Skills!I8,MAX(0,MAX(0,Inputs!$B$43-B253)-((R220-1)*(IF(Inputs!$B$38="pvp",15,MAX(0.1,Skills!D8-IF(Skills!E8=TRUE,Inputs!$B$32,0)))*(1-IF(AND(ArtifactsInput!$M$27,Inputs!$B$4="Chapter Hunt"),CHOOSE(ArtifactsInput!$N$27+1,20,24,28,32,36,40),0)/100)))))/Skills!H8,1)))/Inputs!$B$43),G220*Q220))*IF(Inputs!$B$38="pvp",1,(1+(Inputs!$B$21+Skills!Q8+(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
      <c r="A221">
        <f>Skills!A9</f>
        <v/>
      </c>
      <c r="B221">
        <f>Skills!B9</f>
        <v/>
      </c>
      <c r="C221">
        <f>Inputs!$B$3&gt;=63</f>
        <v/>
      </c>
      <c r="D221">
        <f>IF(Skills!C9=1,60+Inputs!$B$25+Inputs!$B$29,IF(Skills!C9=2,90+Inputs!$B$26+Inputs!$B$29,IF(Skills!C9=3,120+Inputs!$B$27+Inputs!$B$29,MAX(0,(Inputs!$B$3-100)*3)+Inputs!$B$28+Inputs!$B$29)))</f>
        <v/>
      </c>
      <c r="E221">
        <f>INDEX(FactorTable!$B$2:$Y$301, MATCH(ROUND(MIN(300,MAX(1,D221)),0), FactorTable!$A$2:$A$301,0), Skills!M9+1)</f>
        <v/>
      </c>
      <c r="F221">
        <f>IF(Skills!N9=TRUE,(Skills!L9/10)*(E221/1000),Skills!L9/10)+Skills!O9</f>
        <v/>
      </c>
      <c r="G221">
        <f>Skills!G9*IF(Skills!H9&gt;0,Skills!I9/Skills!H9,1)</f>
        <v/>
      </c>
      <c r="H221">
        <f>1-(1-Skills!J9/100)^Skills!K9</f>
        <v/>
      </c>
      <c r="I221" t="inlineStr">
        <is>
          <t>1</t>
        </is>
      </c>
      <c r="J221">
        <f>((Inputs!$B$6*(1+Inputs!$B$7/100))+(((Inputs!$B$12*(1+Inputs!$B$13/100))-(Inputs!$B$12*(1+Inputs!$B$13/100)))+0.25*(Inputs!$B$14-Inputs!$B$14))*(1+Inputs!$B$7/100))*(F221/100)</f>
        <v/>
      </c>
      <c r="K221">
        <f>J221*(1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223=TRUE,F223,0)/100)*(1+(IF(Skills!A9="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f>
        <v/>
      </c>
      <c r="L221">
        <f>K221*(MIN(Inputs!$B$22+((C237=TRUE)*(F237-Calc!F25)),(Inputs!$B$23+((C242=TRUE)*(F242-Calc!F30))+(IF(ArtifactsInput!$M$15,CHOOSE(ArtifactsInput!$N$15+1,25,30,35,40,45,50)/100*(Inputs!$B$11-Inputs!$B$11),0))))/100+(Inputs!$B$23+((C242=TRUE)*(F242-Calc!F30))+(IF(ArtifactsInput!$M$15,CHOOSE(ArtifactsInput!$N$15+1,25,30,35,40,45,50)/100*(Inputs!$B$11-Inputs!$B$11),0)))/100)/2</f>
        <v/>
      </c>
      <c r="M221">
        <f>L221*(1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
        <f>L221*(1-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
        <f>(1-Summary!$B$11)*T221+Summary!$B$11*V221</f>
        <v/>
      </c>
      <c r="P221">
        <f>IF(B256=0,0,O221/B256)</f>
        <v/>
      </c>
      <c r="Q221">
        <f>IFERROR(1/(IF(Inputs!$B$38="pvp",15,MAX(0.1,Skills!D9-IF(Skills!E9=TRUE,Inputs!$B$32,0)))*(1-IF(AND(ArtifactsInput!$M$27,Inputs!$B$4="Chapter Hunt"),CHOOSE(ArtifactsInput!$N$27+1,20,24,28,32,36,40),0)/100)),0)</f>
        <v/>
      </c>
      <c r="R221">
        <f>IF(AND(Inputs!$B$38&lt;&gt;"pvp",Inputs!$B$43&gt;0),IF(MAX(0,Inputs!$B$43-B253)&lt;=0,0,(INT(MAX(0,Inputs!$B$43-B253)/(IF(Inputs!$B$38="pvp",15,MAX(0.1,Skills!D9-IF(Skills!E9=TRUE,Inputs!$B$32,0)))*(1-IF(AND(ArtifactsInput!$M$27,Inputs!$B$4="Chapter Hunt"),CHOOSE(ArtifactsInput!$N$27+1,20,24,28,32,36,40),0)/100)))+1)),0)</f>
        <v/>
      </c>
      <c r="S221">
        <f>IFERROR(O221/N221,0)</f>
        <v/>
      </c>
      <c r="T221">
        <f>IF(C221,(H221*N221*IF(AND(Inputs!$B$38&lt;&gt;"pvp",Inputs!$B$43&gt;0),((Skills!G9*((R221-1)*IF(Skills!H9&gt;0,Skills!I9/Skills!H9,1)+IF(Skills!H9&gt;0,MIN(Skills!I9,MAX(0,MAX(0,Inputs!$B$43-B253)-((R221-1)*(IF(Inputs!$B$38="pvp",15,MAX(0.1,Skills!D9-IF(Skills!E9=TRUE,Inputs!$B$32,0)))*(1-IF(AND(ArtifactsInput!$M$27,Inputs!$B$4="Chapter Hunt"),CHOOSE(ArtifactsInput!$N$27+1,20,24,28,32,36,40),0)/100)))))/Skills!H9,1)))/Inputs!$B$43),G221*Q221)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221*(1-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1">
        <f>IF(C221,(H221*N221*IF(AND(Inputs!$B$38&lt;&gt;"pvp",Inputs!$B$43&gt;0),((Skills!G9*((R221-1)*IF(Skills!H9&gt;0,Skills!I9/Skills!H9,1)+IF(Skills!H9&gt;0,MIN(Skills!I9,MAX(0,MAX(0,Inputs!$B$43-B253)-((R221-1)*(IF(Inputs!$B$38="pvp",15,MAX(0.1,Skills!D9-IF(Skills!E9=TRUE,Inputs!$B$32,0)))*(1-IF(AND(ArtifactsInput!$M$27,Inputs!$B$4="Chapter Hunt"),CHOOSE(ArtifactsInput!$N$27+1,20,24,28,32,36,40),0)/100)))))/Skills!H9,1)))/Inputs!$B$43),G221*Q221))*IF(Inputs!$B$38="pvp",1,(1+(Inputs!$B$21+Skills!Q9+(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
      <c r="A222">
        <f>Skills!A10</f>
        <v/>
      </c>
      <c r="B222">
        <f>Skills!B10</f>
        <v/>
      </c>
      <c r="C222">
        <f>Inputs!$B$3&gt;=103</f>
        <v/>
      </c>
      <c r="D222">
        <f>IF(Skills!C10=1,60+Inputs!$B$25+Inputs!$B$29,IF(Skills!C10=2,90+Inputs!$B$26+Inputs!$B$29,IF(Skills!C10=3,120+Inputs!$B$27+Inputs!$B$29,MAX(0,(Inputs!$B$3-100)*3)+Inputs!$B$28+Inputs!$B$29)))</f>
        <v/>
      </c>
      <c r="E222">
        <f>INDEX(FactorTable!$B$2:$Y$301, MATCH(ROUND(MIN(300,MAX(1,D222)),0), FactorTable!$A$2:$A$301,0), Skills!M10+1)</f>
        <v/>
      </c>
      <c r="F222">
        <f>IF(Skills!N10=TRUE,(Skills!L10/10)*(E222/1000),Skills!L10/10)+Skills!O10</f>
        <v/>
      </c>
      <c r="G222">
        <f>Skills!G10*IF(Skills!H10&gt;0,Skills!I10/Skills!H10,1)</f>
        <v/>
      </c>
      <c r="H222">
        <f>1-(1-Skills!J10/100)^Skills!K10</f>
        <v/>
      </c>
      <c r="I222" t="inlineStr">
        <is>
          <t>1</t>
        </is>
      </c>
      <c r="J222">
        <f>((Inputs!$B$6*(1+Inputs!$B$7/100))+(((Inputs!$B$12*(1+Inputs!$B$13/100))-(Inputs!$B$12*(1+Inputs!$B$13/100)))+0.25*(Inputs!$B$14-Inputs!$B$14))*(1+Inputs!$B$7/100))*(F222/100)</f>
        <v/>
      </c>
      <c r="K222">
        <f>J222*(1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222)</f>
        <v/>
      </c>
      <c r="L222">
        <f>K222*(MIN(Inputs!$B$22+((C237=TRUE)*(F237-Calc!F25)),(Inputs!$B$23+((C242=TRUE)*(F242-Calc!F30))+(IF(ArtifactsInput!$M$15,CHOOSE(ArtifactsInput!$N$15+1,25,30,35,40,45,50)/100*(Inputs!$B$11-Inputs!$B$11),0))))/100+(Inputs!$B$23+((C242=TRUE)*(F242-Calc!F30))+(IF(ArtifactsInput!$M$15,CHOOSE(ArtifactsInput!$N$15+1,25,30,35,40,45,50)/100*(Inputs!$B$11-Inputs!$B$11),0)))/100)/2</f>
        <v/>
      </c>
      <c r="M222">
        <f>L222*(1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
        <f>L222*(1-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
        <f>(1-Summary!$B$11)*T222+Summary!$B$11*V222</f>
        <v/>
      </c>
      <c r="P222">
        <f>IF(B256=0,0,O222/B256)</f>
        <v/>
      </c>
      <c r="Q222">
        <f>IFERROR(1/(IF(Inputs!$B$38="pvp",15,MAX(0.1,Skills!D10-IF(Skills!E10=TRUE,Inputs!$B$32,0)))*(1-IF(AND(ArtifactsInput!$M$27,Inputs!$B$4="Chapter Hunt"),CHOOSE(ArtifactsInput!$N$27+1,20,24,28,32,36,40),0)/100)),0)</f>
        <v/>
      </c>
      <c r="R222">
        <f>IF(AND(Inputs!$B$38&lt;&gt;"pvp",Inputs!$B$43&gt;0),IF(MAX(0,Inputs!$B$43-B253)&lt;=0,0,(INT(MAX(0,Inputs!$B$43-B253)/(IF(Inputs!$B$38="pvp",15,MAX(0.1,Skills!D10-IF(Skills!E10=TRUE,Inputs!$B$32,0)))*(1-IF(AND(ArtifactsInput!$M$27,Inputs!$B$4="Chapter Hunt"),CHOOSE(ArtifactsInput!$N$27+1,20,24,28,32,36,40),0)/100)))+1)),0)</f>
        <v/>
      </c>
      <c r="S222">
        <f>IFERROR(O222/N222,0)</f>
        <v/>
      </c>
      <c r="T222">
        <f>IF(C222,(H222*N222*IF(AND(Inputs!$B$38&lt;&gt;"pvp",Inputs!$B$43&gt;0),((Skills!G10*((R222-1)*IF(Skills!H10&gt;0,Skills!I10/Skills!H10,1)+IF(Skills!H10&gt;0,MIN(Skills!I10,MAX(0,MAX(0,Inputs!$B$43-B253)-((R222-1)*(IF(Inputs!$B$38="pvp",15,MAX(0.1,Skills!D10-IF(Skills!E10=TRUE,Inputs!$B$32,0)))*(1-IF(AND(ArtifactsInput!$M$27,Inputs!$B$4="Chapter Hunt"),CHOOSE(ArtifactsInput!$N$27+1,20,24,28,32,36,40),0)/100)))))/Skills!H10,1)))/Inputs!$B$43),G222*Q222)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222*(1-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
        <f>IF(C222,(H222*N222*IF(AND(Inputs!$B$38&lt;&gt;"pvp",Inputs!$B$43&gt;0),((Skills!G10*((R222-1)*IF(Skills!H10&gt;0,Skills!I10/Skills!H10,1)+IF(Skills!H10&gt;0,MIN(Skills!I10,MAX(0,MAX(0,Inputs!$B$43-B253)-((R222-1)*(IF(Inputs!$B$38="pvp",15,MAX(0.1,Skills!D10-IF(Skills!E10=TRUE,Inputs!$B$32,0)))*(1-IF(AND(ArtifactsInput!$M$27,Inputs!$B$4="Chapter Hunt"),CHOOSE(ArtifactsInput!$N$27+1,20,24,28,32,36,40),0)/100)))))/Skills!H10,1)))/Inputs!$B$43),G222*Q222))*IF(Inputs!$B$38="pvp",1,(1+(Inputs!$B$21+Skills!Q10+(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
      <c r="A223">
        <f>Skills!A11</f>
        <v/>
      </c>
      <c r="B223">
        <f>Skills!B11</f>
        <v/>
      </c>
      <c r="C223">
        <f>Inputs!$B$3&gt;=100</f>
        <v/>
      </c>
      <c r="D223">
        <f>IF(Skills!C11=1,60+Inputs!$B$25+Inputs!$B$29,IF(Skills!C11=2,90+Inputs!$B$26+Inputs!$B$29,IF(Skills!C11=3,120+Inputs!$B$27+Inputs!$B$29,MAX(0,(Inputs!$B$3-100)*3)+Inputs!$B$28+Inputs!$B$29)))</f>
        <v/>
      </c>
      <c r="E223">
        <f>INDEX(FactorTable!$B$2:$Y$301, MATCH(ROUND(MIN(300,MAX(1,D223)),0), FactorTable!$A$2:$A$301,0), Skills!M11+1)</f>
        <v/>
      </c>
      <c r="F223">
        <f>IF(Skills!N11=TRUE,(Skills!L11/10)*(E223/1000),Skills!L11/10)+Skills!O11</f>
        <v/>
      </c>
      <c r="G223" t="inlineStr"/>
      <c r="H223" t="inlineStr"/>
      <c r="I223" t="inlineStr">
        <is>
          <t>1</t>
        </is>
      </c>
      <c r="J223" t="inlineStr"/>
      <c r="K223" t="inlineStr"/>
      <c r="L223" t="inlineStr"/>
      <c r="M223" t="inlineStr"/>
      <c r="N223" t="inlineStr"/>
      <c r="O223" t="inlineStr"/>
      <c r="P223" t="inlineStr"/>
      <c r="Q223" t="inlineStr"/>
      <c r="R223" t="inlineStr"/>
      <c r="S223" t="inlineStr"/>
      <c r="T223" t="inlineStr"/>
      <c r="V223" t="inlineStr"/>
    </row>
    <row r="224">
      <c r="A224">
        <f>Skills!A12</f>
        <v/>
      </c>
      <c r="B224">
        <f>Skills!B12</f>
        <v/>
      </c>
      <c r="C224">
        <f>Inputs!$B$3&gt;=60</f>
        <v/>
      </c>
      <c r="D224">
        <f>IF(Skills!C12=1,60+Inputs!$B$25+Inputs!$B$29,IF(Skills!C12=2,90+Inputs!$B$26+Inputs!$B$29,IF(Skills!C12=3,120+Inputs!$B$27+Inputs!$B$29,MAX(0,(Inputs!$B$3-100)*3)+Inputs!$B$28+Inputs!$B$29)))</f>
        <v/>
      </c>
      <c r="E224">
        <f>INDEX(FactorTable!$B$2:$Y$301, MATCH(ROUND(MIN(300,MAX(1,D224)),0), FactorTable!$A$2:$A$301,0), Skills!M12+1)</f>
        <v/>
      </c>
      <c r="F224">
        <f>IF(Skills!N12=TRUE,(Skills!L12/10)*(E224/1000),Skills!L12/10)+Skills!O12</f>
        <v/>
      </c>
      <c r="G224">
        <f>Skills!G12*IF(Skills!H12&gt;0,Skills!I12/Skills!H12,1)</f>
        <v/>
      </c>
      <c r="H224">
        <f>1-(1-Skills!J12/100)^Skills!K12</f>
        <v/>
      </c>
      <c r="I224" t="inlineStr">
        <is>
          <t>1</t>
        </is>
      </c>
      <c r="J224">
        <f>((Inputs!$B$6*(1+Inputs!$B$7/100))+(((Inputs!$B$12*(1+Inputs!$B$13/100))-(Inputs!$B$12*(1+Inputs!$B$13/100)))+0.25*(Inputs!$B$14-Inputs!$B$14))*(1+Inputs!$B$7/100))*(F224/100)</f>
        <v/>
      </c>
      <c r="K224">
        <f>J224*(1+((Inputs!$B$12*(1+Inputs!$B$13/100))*0.01+Inputs!$B$14*0.0025)/100)*(1+(Inputs!$B$15+1)/100)*(1+Inputs!$B$16/100)*(5000/(6000+Inputs!$B$42*(1-(100*(1-(1-(Inputs!$B$19+((C240=TRUE)*(F240-Calc!F28)))/100)*(1-CHOOSE(ArtifactsInput!$N$40+1,5,6,7,8,9,10)/100)^(ArtifactsInput!$M$40-ArtifactsInput!$M$40)))/100)))*(1+(Inputs!$B$24+((C238=TRUE)*(F238-Calc!F26))+((C239=TRUE)*(F239-Calc!F27))+B252)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TRUE,F225,0)/100)*(1+(IF(Skills!A12="ARROW_STREAM",Inputs!$B$17+((C236=TRUE)*(F236-Calc!F24))+(((IF(AND(ArtifactsInput!$M$42,((Inputs!$B$9+((C233=TRUE)*(F233-Calc!F21))+B246+(ArtifactsInput!$M$24-ArtifactsInput!$M$24)*CHOOSE(ArtifactsInput!$N$24+1,10,12,14,16,18,20)+IF(ArtifactsInput!$M$10,CHOOSE(ArtifactsInput!$N$10+1,15,18,21,24,27,30)*(IF(Inputs!$B$38="pvp",MIN(15,15)/15,IF(AND(Inputs!$B$38&lt;&gt;"pvp",Inputs!$B$43&gt;0),MIN(15,Inputs!$B$43)/(Inputs!$B$43),0))),0)))&gt;=100),MIN(100,((Inputs!$B$9+((C233=TRUE)*(F233-Calc!F21))+B246+(ArtifactsInput!$M$24-ArtifactsInput!$M$24)*CHOOSE(ArtifactsInput!$N$24+1,10,12,14,16,18,20)+IF(ArtifactsInput!$M$10,CHOOSE(ArtifactsInput!$N$10+1,15,18,21,24,27,30)*(IF(Inputs!$B$38="pvp",MIN(15,15)/15,IF(AND(Inputs!$B$38&lt;&gt;"pvp",Inputs!$B$43&gt;0),MIN(15,Inputs!$B$43)/(Inputs!$B$43),0))),0)))-100),0))*CHOOSE(ArtifactsInput!$N$42+1,0.6,0.72,0.84,0.96,1.08,1.2))),Inputs!$B$18+((C241=TRUE)*(F241-Calc!F29))+(IF(AND(ArtifactsInput!$M$42,((Inputs!$B$9+((C233=TRUE)*(F233-Calc!F21))+B246+(ArtifactsInput!$M$24-ArtifactsInput!$M$24)*CHOOSE(ArtifactsInput!$N$24+1,10,12,14,16,18,20)+IF(ArtifactsInput!$M$10,CHOOSE(ArtifactsInput!$N$10+1,15,18,21,24,27,30)*(IF(Inputs!$B$38="pvp",MIN(15,15)/15,IF(AND(Inputs!$B$38&lt;&gt;"pvp",Inputs!$B$43&gt;0),MIN(15,Inputs!$B$43)/(Inputs!$B$43),0))),0)))&gt;=100),CHOOSE(ArtifactsInput!$N$42+1,40,48,56,64,72,80),0))))/100)*((1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f>
        <v/>
      </c>
      <c r="L224">
        <f>K224*(MIN(Inputs!$B$22+((C237=TRUE)*(F237-Calc!F25)),(Inputs!$B$23+((C242=TRUE)*(F242-Calc!F30))+(IF(ArtifactsInput!$M$15,CHOOSE(ArtifactsInput!$N$15+1,25,30,35,40,45,50)/100*(Inputs!$B$11-Inputs!$B$11),0))))/100+(Inputs!$B$23+((C242=TRUE)*(F242-Calc!F30))+(IF(ArtifactsInput!$M$15,CHOOSE(ArtifactsInput!$N$15+1,25,30,35,40,45,50)/100*(Inputs!$B$11-Inputs!$B$11),0)))/100)/2</f>
        <v/>
      </c>
      <c r="M224">
        <f>L224*(1+(Inputs!$B$10+0+B251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
        <f>L224*(1-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MIN((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
        <f>(1-Summary!$B$11)*T224+Summary!$B$11*V224</f>
        <v/>
      </c>
      <c r="P224">
        <f>IF(B256=0,0,O224/B256)</f>
        <v/>
      </c>
      <c r="Q224">
        <f>IFERROR(1/(IF(Inputs!$B$38="pvp",15,MAX(0.1,Skills!D12-IF(Skills!E12=TRUE,Inputs!$B$32,0)))*(1-IF(AND(ArtifactsInput!$M$27,Inputs!$B$4="Chapter Hunt"),CHOOSE(ArtifactsInput!$N$27+1,20,24,28,32,36,40),0)/100)),0)</f>
        <v/>
      </c>
      <c r="R224">
        <f>IF(AND(Inputs!$B$38&lt;&gt;"pvp",Inputs!$B$43&gt;0),IF(MAX(0,Inputs!$B$43-B253)&lt;=0,0,(INT(MAX(0,Inputs!$B$43-B253)/(IF(Inputs!$B$38="pvp",15,MAX(0.1,Skills!D12-IF(Skills!E12=TRUE,Inputs!$B$32,0)))*(1-IF(AND(ArtifactsInput!$M$27,Inputs!$B$4="Chapter Hunt"),CHOOSE(ArtifactsInput!$N$27+1,20,24,28,32,36,40),0)/100)))+1)),0)</f>
        <v/>
      </c>
      <c r="S224">
        <f>IFERROR(O224/N224,0)</f>
        <v/>
      </c>
      <c r="T224">
        <f>IF(C224,(H224*N224*IF(AND(Inputs!$B$38&lt;&gt;"pvp",Inputs!$B$43&gt;0),((Skills!G12*((R224-1)*IF(Skills!H12&gt;0,Skills!I12/Skills!H12,1)+IF(Skills!H12&gt;0,MIN(Skills!I12,MAX(0,MAX(0,Inputs!$B$43-B253)-((R224-1)*(IF(Inputs!$B$38="pvp",15,MAX(0.1,Skills!D12-IF(Skills!E12=TRUE,Inputs!$B$32,0)))*(1-IF(AND(ArtifactsInput!$M$27,Inputs!$B$4="Chapter Hunt"),CHOOSE(ArtifactsInput!$N$27+1,20,24,28,32,36,40),0)/100)))))/Skills!H12,1)))/Inputs!$B$43),G224*Q224)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(5000/(6000+Inputs!$B$42*(1-(100*(1-(1-(100*(1-(1-(Inputs!$B$19+((C240=TRUE)*(F240-Calc!F28)))/100)*(1-CHOOSE(ArtifactsInput!$N$40+1,5,6,7,8,9,10)/100)^(ArtifactsInput!$M$40-ArtifactsInput!$M$40)))/100)*(1-IF(ArtifactsInput!$M$40,CHOOSE(ArtifactsInput!$N$40+1,5,6,7,8,9,10),0)/100)^IF(Inputs!$B$38="pvp",1,2)))/100)))/(5000/(6000+Inputs!$B$42*(1-(100*(1-(1-(Inputs!$B$19+((C240=TRUE)*(F240-Calc!F28)))/100)*(1-CHOOSE(ArtifactsInput!$N$40+1,5,6,7,8,9,10)/100)^(ArtifactsInput!$M$40-ArtifactsInput!$M$40)))/100))))*((L224*(1-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MIN(100,(Inputs!$B$9+((C233=TRUE)*(F233-Calc!F21))+B246+(ArtifactsInput!$M$24-ArtifactsInput!$M$24)*CHOOSE(ArtifactsInput!$N$24+1,10,12,14,16,18,20)+(IF(AND(ArtifactsInput!$M$42,((Inputs!$B$9+((C233=TRUE)*(F233-Calc!F21))+B246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
        <f>IF(C224,(H224*N224*IF(AND(Inputs!$B$38&lt;&gt;"pvp",Inputs!$B$43&gt;0),((Skills!G12*((R224-1)*IF(Skills!H12&gt;0,Skills!I12/Skills!H12,1)+IF(Skills!H12&gt;0,MIN(Skills!I12,MAX(0,MAX(0,Inputs!$B$43-B253)-((R224-1)*(IF(Inputs!$B$38="pvp",15,MAX(0.1,Skills!D12-IF(Skills!E12=TRUE,Inputs!$B$32,0)))*(1-IF(AND(ArtifactsInput!$M$27,Inputs!$B$4="Chapter Hunt"),CHOOSE(ArtifactsInput!$N$27+1,20,24,28,32,36,40),0)/100)))))/Skills!H12,1)))/Inputs!$B$43),G224*Q224))*IF(Inputs!$B$38="pvp",1,(1+(Inputs!$B$21+Skills!Q12+(IF(ArtifactsInput!$M$33,CHOOSE(ArtifactsInput!$N$33+1,30,36,42,48,54,60),0))+(IF(AND(ArtifactsInput!$M$35,Inputs!$B$4&lt;&gt;"Chapter Hunt"),CHOOSE(ArtifactsInput!$N$35+1,15,18,21,24,27,30)*(1-EXP(-(0.2*B248)*5)),0)+IF(AND(ArtifactsInput!$M$22,Inputs!$B$4&lt;&gt;"Chapter Hunt"),CHOOSE(ArtifactsInput!$N$22+1,10,12,14,16,18,20)*((0*(((0.15*B248*5))^0/1)+1*(((0.15*B248*5))^1/1)+2*(((0.15*B248*5))^2/2)+3*(((0.15*B248*5))^3/6)+4*(((0.15*B248*5))^4/24)+5*(((0.15*B248*5))^5/120))/((((0.15*B248*5))^0/1)+(((0.15*B248*5))^1/1)+(((0.15*B248*5))^2/2)+(((0.15*B248*5))^3/6)+(((0.15*B248*5))^4/24)+(((0.15*B248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
      <c r="A225">
        <f>Skills!A13</f>
        <v/>
      </c>
      <c r="B225">
        <f>Skills!B13</f>
        <v/>
      </c>
      <c r="C225">
        <f>Inputs!$B$3&gt;=110</f>
        <v/>
      </c>
      <c r="D225">
        <f>IF(Skills!C13=1,60+Inputs!$B$25+Inputs!$B$29,IF(Skills!C13=2,90+Inputs!$B$26+Inputs!$B$29,IF(Skills!C13=3,120+Inputs!$B$27+Inputs!$B$29,MAX(0,(Inputs!$B$3-100)*3)+Inputs!$B$28+Inputs!$B$29)))</f>
        <v/>
      </c>
      <c r="E225">
        <f>INDEX(FactorTable!$B$2:$Y$301, MATCH(ROUND(MIN(300,MAX(1,D225)),0), FactorTable!$A$2:$A$301,0), Skills!M13+1)</f>
        <v/>
      </c>
      <c r="F225">
        <f>IF(Skills!N13=TRUE,(Skills!L13/10)*(E225/1000),Skills!L13/10)+Skills!O13</f>
        <v/>
      </c>
      <c r="G225" t="inlineStr"/>
      <c r="H225" t="inlineStr"/>
      <c r="I225" t="inlineStr">
        <is>
          <t>1</t>
        </is>
      </c>
      <c r="J225" t="inlineStr"/>
      <c r="K225" t="inlineStr"/>
      <c r="L225" t="inlineStr"/>
      <c r="M225" t="inlineStr"/>
      <c r="N225" t="inlineStr"/>
      <c r="O225" t="inlineStr"/>
      <c r="P225" t="inlineStr"/>
      <c r="Q225" t="inlineStr"/>
      <c r="R225" t="inlineStr"/>
      <c r="S225" t="inlineStr"/>
      <c r="T225" t="inlineStr"/>
      <c r="V225" t="inlineStr"/>
    </row>
    <row r="226">
      <c r="A226">
        <f>Skills!A14</f>
        <v/>
      </c>
      <c r="B226">
        <f>Skills!B14</f>
        <v/>
      </c>
      <c r="C226">
        <f>Inputs!$B$3&gt;=74</f>
        <v/>
      </c>
      <c r="D226">
        <f>IF(Skills!C14=1,60+Inputs!$B$25+Inputs!$B$29,IF(Skills!C14=2,90+Inputs!$B$26+Inputs!$B$29,IF(Skills!C14=3,120+Inputs!$B$27+Inputs!$B$29,MAX(0,(Inputs!$B$3-100)*3)+Inputs!$B$28+Inputs!$B$29)))</f>
        <v/>
      </c>
      <c r="E226">
        <f>INDEX(FactorTable!$B$2:$Y$301, MATCH(ROUND(MIN(300,MAX(1,D226)),0), FactorTable!$A$2:$A$301,0), Skills!M14+1)</f>
        <v/>
      </c>
      <c r="F226">
        <f>IF(Skills!N14=TRUE,(Skills!L14/10)*(E226/1000),Skills!L14/10)+Skills!O14</f>
        <v/>
      </c>
      <c r="G226">
        <f>Skills!G14*IF(Skills!H14&gt;0,Skills!I14/Skills!H14,1)</f>
        <v/>
      </c>
      <c r="H226">
        <f>1-(1-Skills!J14/100)^Skills!K14</f>
        <v/>
      </c>
      <c r="I226" t="inlineStr">
        <is>
          <t>1</t>
        </is>
      </c>
      <c r="J226" t="inlineStr"/>
      <c r="K226" t="inlineStr"/>
      <c r="L226" t="inlineStr"/>
      <c r="M226" t="inlineStr"/>
      <c r="N226" t="inlineStr"/>
      <c r="O226">
        <f>(1-Summary!$B$11)*T226+Summary!$B$11*V226</f>
        <v/>
      </c>
      <c r="P226">
        <f>IF(B256=0,0,O226/B256)</f>
        <v/>
      </c>
      <c r="Q226" t="n">
        <v>0</v>
      </c>
      <c r="R226" t="n">
        <v>0</v>
      </c>
      <c r="S226">
        <f>IFERROR(O226/N226,0)</f>
        <v/>
      </c>
      <c r="T226" t="n">
        <v>0</v>
      </c>
      <c r="V226" t="n">
        <v>0</v>
      </c>
    </row>
    <row r="227">
      <c r="A227">
        <f>Skills!A15</f>
        <v/>
      </c>
      <c r="B227">
        <f>Skills!B15</f>
        <v/>
      </c>
      <c r="C227">
        <f>Inputs!$B$3&gt;=74</f>
        <v/>
      </c>
      <c r="D227">
        <f>IF(Skills!C15=1,60+Inputs!$B$25+Inputs!$B$29,IF(Skills!C15=2,90+Inputs!$B$26+Inputs!$B$29,IF(Skills!C15=3,120+Inputs!$B$27+Inputs!$B$29,MAX(0,(Inputs!$B$3-100)*3)+Inputs!$B$28+Inputs!$B$29)))</f>
        <v/>
      </c>
      <c r="E227">
        <f>INDEX(FactorTable!$B$2:$Y$301, MATCH(ROUND(MIN(300,MAX(1,D227)),0), FactorTable!$A$2:$A$301,0), Skills!M15+1)</f>
        <v/>
      </c>
      <c r="F227">
        <f>IF(Skills!N15=TRUE,(Skills!L15/10)*(E227/1000),Skills!L15/10)+Skills!O15</f>
        <v/>
      </c>
      <c r="G227">
        <f>Skills!G15*IF(Skills!H15&gt;0,Skills!I15/Skills!H15,1)</f>
        <v/>
      </c>
      <c r="H227">
        <f>1-(1-Skills!J15/100)^Skills!K15</f>
        <v/>
      </c>
      <c r="I227" t="inlineStr">
        <is>
          <t>1</t>
        </is>
      </c>
      <c r="J227" t="inlineStr"/>
      <c r="K227" t="inlineStr"/>
      <c r="L227" t="inlineStr"/>
      <c r="M227" t="inlineStr"/>
      <c r="N227" t="inlineStr"/>
      <c r="O227">
        <f>(1-Summary!$B$11)*T227+Summary!$B$11*V227</f>
        <v/>
      </c>
      <c r="P227">
        <f>IF(B256=0,0,O227/B256)</f>
        <v/>
      </c>
      <c r="Q227" t="n">
        <v>0</v>
      </c>
      <c r="R227" t="n">
        <v>0</v>
      </c>
      <c r="S227">
        <f>IFERROR(O227/N227,0)</f>
        <v/>
      </c>
      <c r="T227" t="n">
        <v>0</v>
      </c>
      <c r="V227" t="n">
        <v>0</v>
      </c>
    </row>
    <row r="228">
      <c r="A228">
        <f>Skills!A16</f>
        <v/>
      </c>
      <c r="B228">
        <f>Skills!B16</f>
        <v/>
      </c>
      <c r="C228">
        <f>Inputs!$B$3&gt;=117</f>
        <v/>
      </c>
      <c r="D228">
        <f>IF(Skills!C16=1,60+Inputs!$B$25+Inputs!$B$29,IF(Skills!C16=2,90+Inputs!$B$26+Inputs!$B$29,IF(Skills!C16=3,120+Inputs!$B$27+Inputs!$B$29,MAX(0,(Inputs!$B$3-100)*3)+Inputs!$B$28+Inputs!$B$29)))</f>
        <v/>
      </c>
      <c r="E228">
        <f>INDEX(FactorTable!$B$2:$Y$301, MATCH(ROUND(MIN(300,MAX(1,D228)),0), FactorTable!$A$2:$A$301,0), Skills!M16+1)</f>
        <v/>
      </c>
      <c r="F228">
        <f>IF(Skills!N16=TRUE,(Skills!L16/10)*(E228/1000),Skills!L16/10)+Skills!O16</f>
        <v/>
      </c>
      <c r="G228">
        <f>Skills!G16*IF(Skills!H16&gt;0,Skills!I16/Skills!H16,1)</f>
        <v/>
      </c>
      <c r="H228">
        <f>1-(1-Skills!J16/100)^Skills!K16</f>
        <v/>
      </c>
      <c r="I228" t="inlineStr">
        <is>
          <t>1</t>
        </is>
      </c>
      <c r="J228" t="inlineStr"/>
      <c r="K228" t="inlineStr"/>
      <c r="L228" t="inlineStr"/>
      <c r="M228" t="inlineStr"/>
      <c r="N228" t="inlineStr"/>
      <c r="O228">
        <f>(1-Summary!$B$11)*T228+Summary!$B$11*V228</f>
        <v/>
      </c>
      <c r="P228">
        <f>IF(B256=0,0,O228/B256)</f>
        <v/>
      </c>
      <c r="Q228">
        <f>IFERROR(1/(IF(Inputs!$B$38="pvp",15,MAX(0.1,Skills!D16-IF(Skills!E16=TRUE,Inputs!$B$32,0)))*(1-IF(AND(ArtifactsInput!$M$27,Inputs!$B$4="Chapter Hunt"),CHOOSE(ArtifactsInput!$N$27+1,20,24,28,32,36,40),0)/100)),0)</f>
        <v/>
      </c>
      <c r="R228">
        <f>IF(AND(Inputs!$B$38&lt;&gt;"pvp",Inputs!$B$43&gt;0),IF(Inputs!$B$43&lt;=0,0,(INT(Inputs!$B$43/(IF(Inputs!$B$38="pvp",15,MAX(0.1,Skills!D16-IF(Skills!E16=TRUE,Inputs!$B$32,0)))*(1-IF(AND(ArtifactsInput!$M$27,Inputs!$B$4="Chapter Hunt"),CHOOSE(ArtifactsInput!$N$27+1,20,24,28,32,36,40),0)/100)))+1)),0)</f>
        <v/>
      </c>
      <c r="S228">
        <f>IFERROR(O228/N228,0)</f>
        <v/>
      </c>
      <c r="T228" t="n">
        <v>0</v>
      </c>
      <c r="V228" t="n">
        <v>0</v>
      </c>
    </row>
    <row r="229">
      <c r="A229">
        <f>Skills!A17</f>
        <v/>
      </c>
      <c r="B229">
        <f>Skills!B17</f>
        <v/>
      </c>
      <c r="C229">
        <f>Inputs!$B$3&gt;=115</f>
        <v/>
      </c>
      <c r="D229">
        <f>IF(Skills!C17=1,60+Inputs!$B$25+Inputs!$B$29,IF(Skills!C17=2,90+Inputs!$B$26+Inputs!$B$29,IF(Skills!C17=3,120+Inputs!$B$27+Inputs!$B$29,MAX(0,(Inputs!$B$3-100)*3)+Inputs!$B$28+Inputs!$B$29)))</f>
        <v/>
      </c>
      <c r="E229">
        <f>INDEX(FactorTable!$B$2:$Y$301, MATCH(ROUND(MIN(300,MAX(1,D229)),0), FactorTable!$A$2:$A$301,0), Skills!M17+1)</f>
        <v/>
      </c>
      <c r="F229">
        <f>IF(Skills!N17=TRUE,(Skills!L17/10)*(E229/1000),Skills!L17/10)+Skills!O17</f>
        <v/>
      </c>
      <c r="G229">
        <f>Skills!G17*IF(Skills!H17&gt;0,Skills!I17/Skills!H17,1)</f>
        <v/>
      </c>
      <c r="H229">
        <f>1-(1-Skills!J17/100)^Skills!K17</f>
        <v/>
      </c>
      <c r="I229" t="inlineStr">
        <is>
          <t>1</t>
        </is>
      </c>
      <c r="J229" t="inlineStr"/>
      <c r="K229" t="inlineStr"/>
      <c r="L229" t="inlineStr"/>
      <c r="M229" t="inlineStr"/>
      <c r="N229" t="inlineStr"/>
      <c r="O229">
        <f>(1-Summary!$B$11)*T229+Summary!$B$11*V229</f>
        <v/>
      </c>
      <c r="P229">
        <f>IF(B256=0,0,O229/B256)</f>
        <v/>
      </c>
      <c r="Q229">
        <f>IFERROR(1/(IF(Inputs!$B$38="pvp",15,MAX(0.1,Skills!D17-IF(Skills!E17=TRUE,Inputs!$B$32,0)))*(1-IF(AND(ArtifactsInput!$M$27,Inputs!$B$4="Chapter Hunt"),CHOOSE(ArtifactsInput!$N$27+1,20,24,28,32,36,40),0)/100)),0)</f>
        <v/>
      </c>
      <c r="R229">
        <f>IF(AND(Inputs!$B$38&lt;&gt;"pvp",Inputs!$B$43&gt;0),IF(Inputs!$B$43&lt;=0,0,(INT(Inputs!$B$43/(IF(Inputs!$B$38="pvp",15,MAX(0.1,Skills!D17-IF(Skills!E17=TRUE,Inputs!$B$32,0)))*(1-IF(AND(ArtifactsInput!$M$27,Inputs!$B$4="Chapter Hunt"),CHOOSE(ArtifactsInput!$N$27+1,20,24,28,32,36,40),0)/100)))+1)),0)</f>
        <v/>
      </c>
      <c r="S229">
        <f>IFERROR(O229/N229,0)</f>
        <v/>
      </c>
      <c r="T229" t="n">
        <v>0</v>
      </c>
      <c r="V229" t="n">
        <v>0</v>
      </c>
    </row>
    <row r="230">
      <c r="A230">
        <f>Skills!A18</f>
        <v/>
      </c>
      <c r="B230">
        <f>Skills!B18</f>
        <v/>
      </c>
      <c r="C230">
        <f>Inputs!$B$3&gt;=66</f>
        <v/>
      </c>
      <c r="D230">
        <f>IF(Skills!C18=1,60+Inputs!$B$25+Inputs!$B$29,IF(Skills!C18=2,90+Inputs!$B$26+Inputs!$B$29,IF(Skills!C18=3,120+Inputs!$B$27+Inputs!$B$29,MAX(0,(Inputs!$B$3-100)*3)+Inputs!$B$28+Inputs!$B$29)))</f>
        <v/>
      </c>
      <c r="E230">
        <f>INDEX(FactorTable!$B$2:$Y$301, MATCH(ROUND(MIN(300,MAX(1,D230)),0), FactorTable!$A$2:$A$301,0), Skills!M18+1)</f>
        <v/>
      </c>
      <c r="F230">
        <f>IF(Skills!N18=TRUE,(Skills!L18/10)*(E230/1000),Skills!L18/10)+Skills!O18</f>
        <v/>
      </c>
      <c r="G230">
        <f>Skills!G18*IF(Skills!H18&gt;0,Skills!I18/Skills!H18,1)</f>
        <v/>
      </c>
      <c r="H230">
        <f>1-(1-Skills!J18/100)^Skills!K18</f>
        <v/>
      </c>
      <c r="I230" t="inlineStr">
        <is>
          <t>1</t>
        </is>
      </c>
      <c r="J230" t="inlineStr"/>
      <c r="K230" t="inlineStr"/>
      <c r="L230" t="inlineStr"/>
      <c r="M230" t="inlineStr"/>
      <c r="N230" t="inlineStr"/>
      <c r="O230">
        <f>(1-Summary!$B$11)*T230+Summary!$B$11*V230</f>
        <v/>
      </c>
      <c r="P230">
        <f>IF(B256=0,0,O230/B256)</f>
        <v/>
      </c>
      <c r="Q230" t="n">
        <v>0</v>
      </c>
      <c r="R230" t="n">
        <v>0</v>
      </c>
      <c r="S230">
        <f>IFERROR(O230/N230,0)</f>
        <v/>
      </c>
      <c r="T230" t="n">
        <v>0</v>
      </c>
      <c r="V230" t="n">
        <v>0</v>
      </c>
    </row>
    <row r="231">
      <c r="A231">
        <f>Skills!A19</f>
        <v/>
      </c>
      <c r="B231">
        <f>Skills!B19</f>
        <v/>
      </c>
      <c r="C231">
        <f>Inputs!$B$3&gt;=72</f>
        <v/>
      </c>
      <c r="D231">
        <f>IF(Skills!C19=1,60+Inputs!$B$25+Inputs!$B$29,IF(Skills!C19=2,90+Inputs!$B$26+Inputs!$B$29,IF(Skills!C19=3,120+Inputs!$B$27+Inputs!$B$29,MAX(0,(Inputs!$B$3-100)*3)+Inputs!$B$28+Inputs!$B$29)))</f>
        <v/>
      </c>
      <c r="E231">
        <f>INDEX(FactorTable!$B$2:$Y$301, MATCH(ROUND(MIN(300,MAX(1,D231)),0), FactorTable!$A$2:$A$301,0), Skills!M19+1)</f>
        <v/>
      </c>
      <c r="F231">
        <f>IF(Skills!N19=TRUE,(Skills!L19/10)*(E231/1000),Skills!L19/10)+Skills!O19</f>
        <v/>
      </c>
      <c r="G231">
        <f>Skills!G19*IF(Skills!H19&gt;0,Skills!I19/Skills!H19,1)</f>
        <v/>
      </c>
      <c r="H231">
        <f>1-(1-Skills!J19/100)^Skills!K19</f>
        <v/>
      </c>
      <c r="I231" t="inlineStr">
        <is>
          <t>1</t>
        </is>
      </c>
      <c r="J231" t="inlineStr"/>
      <c r="K231" t="inlineStr"/>
      <c r="L231" t="inlineStr"/>
      <c r="M231" t="inlineStr"/>
      <c r="N231" t="inlineStr"/>
      <c r="O231">
        <f>(1-Summary!$B$11)*T231+Summary!$B$11*V231</f>
        <v/>
      </c>
      <c r="P231">
        <f>IF(B256=0,0,O231/B256)</f>
        <v/>
      </c>
      <c r="Q231" t="n">
        <v>0</v>
      </c>
      <c r="R231" t="n">
        <v>0</v>
      </c>
      <c r="S231">
        <f>IFERROR(O231/N231,0)</f>
        <v/>
      </c>
      <c r="T231" t="n">
        <v>0</v>
      </c>
      <c r="V231" t="n">
        <v>0</v>
      </c>
    </row>
    <row r="232">
      <c r="A232">
        <f>Skills!A20</f>
        <v/>
      </c>
      <c r="B232">
        <f>Skills!B20</f>
        <v/>
      </c>
      <c r="C232">
        <f>TRUE</f>
        <v/>
      </c>
      <c r="D232">
        <f>IF(Skills!C20=1,60+Inputs!$B$25+Inputs!$B$29,IF(Skills!C20=2,90+Inputs!$B$26+Inputs!$B$29,IF(Skills!C20=3,120+Inputs!$B$27+Inputs!$B$29,MAX(0,(Inputs!$B$3-100)*3)+Inputs!$B$28+Inputs!$B$29)))</f>
        <v/>
      </c>
      <c r="E232">
        <f>INDEX(FactorTable!$B$2:$Y$301, MATCH(ROUND(MIN(300,MAX(1,D232)),0), FactorTable!$A$2:$A$301,0), Skills!M20+1)</f>
        <v/>
      </c>
      <c r="F232">
        <f>IF(Skills!N20=TRUE,(Skills!L20/10)*(E232/1000),Skills!L20/10)+Skills!O20</f>
        <v/>
      </c>
      <c r="G232">
        <f>Skills!G20*IF(Skills!H20&gt;0,Skills!I20/Skills!H20,1)</f>
        <v/>
      </c>
      <c r="H232">
        <f>1-(1-Skills!J20/100)^Skills!K20</f>
        <v/>
      </c>
      <c r="I232" t="inlineStr">
        <is>
          <t>1</t>
        </is>
      </c>
      <c r="J232" t="inlineStr"/>
      <c r="K232" t="inlineStr"/>
      <c r="L232" t="inlineStr"/>
      <c r="M232" t="inlineStr"/>
      <c r="N232" t="inlineStr"/>
      <c r="O232">
        <f>(1-Summary!$B$11)*T232+Summary!$B$11*V232</f>
        <v/>
      </c>
      <c r="P232">
        <f>IF(B256=0,0,O232/B256)</f>
        <v/>
      </c>
      <c r="Q232">
        <f>IFERROR(1/(IF(Inputs!$B$38="pvp",15,MAX(0.1,Skills!D20-IF(Skills!E20=TRUE,Inputs!$B$32,0)))*(1-IF(AND(ArtifactsInput!$M$27,Inputs!$B$4="Chapter Hunt"),CHOOSE(ArtifactsInput!$N$27+1,20,24,28,32,36,40),0)/100)),0)</f>
        <v/>
      </c>
      <c r="R232">
        <f>IF(AND(Inputs!$B$38&lt;&gt;"pvp",Inputs!$B$43&gt;0),IF(Inputs!$B$43&lt;=0,0,(INT(Inputs!$B$43/(IF(Inputs!$B$38="pvp",15,MAX(0.1,Skills!D20-IF(Skills!E20=TRUE,Inputs!$B$32,0)))*(1-IF(AND(ArtifactsInput!$M$27,Inputs!$B$4="Chapter Hunt"),CHOOSE(ArtifactsInput!$N$27+1,20,24,28,32,36,40),0)/100)))+1)),0)</f>
        <v/>
      </c>
      <c r="S232">
        <f>IFERROR(O232/N232,0)</f>
        <v/>
      </c>
      <c r="T232" t="n">
        <v>0</v>
      </c>
      <c r="V232" t="n">
        <v>0</v>
      </c>
    </row>
    <row r="233">
      <c r="A233">
        <f>Skills!A21</f>
        <v/>
      </c>
      <c r="B233">
        <f>Skills!B21</f>
        <v/>
      </c>
      <c r="C233">
        <f>Inputs!$B$3&gt;=15</f>
        <v/>
      </c>
      <c r="D233">
        <f>IF(Skills!C21=1,60+Inputs!$B$25+Inputs!$B$29,IF(Skills!C21=2,90+Inputs!$B$26+Inputs!$B$29,IF(Skills!C21=3,120+Inputs!$B$27+Inputs!$B$29,MAX(0,(Inputs!$B$3-100)*3)+Inputs!$B$28+Inputs!$B$29)))</f>
        <v/>
      </c>
      <c r="E233">
        <f>INDEX(FactorTable!$B$2:$Y$301, MATCH(ROUND(MIN(300,MAX(1,D233)),0), FactorTable!$A$2:$A$301,0), Skills!M21+1)</f>
        <v/>
      </c>
      <c r="F233">
        <f>IF(Skills!N21=TRUE,(Skills!L21/10)*(E233/1000),Skills!L21/10)+Skills!O21</f>
        <v/>
      </c>
      <c r="G233">
        <f>Skills!G21*IF(Skills!H21&gt;0,Skills!I21/Skills!H21,1)</f>
        <v/>
      </c>
      <c r="H233">
        <f>1-(1-Skills!J21/100)^Skills!K21</f>
        <v/>
      </c>
      <c r="I233" t="inlineStr">
        <is>
          <t>1</t>
        </is>
      </c>
      <c r="J233" t="inlineStr"/>
      <c r="K233" t="inlineStr"/>
      <c r="L233" t="inlineStr"/>
      <c r="M233" t="inlineStr"/>
      <c r="N233" t="inlineStr"/>
      <c r="O233">
        <f>(1-Summary!$B$11)*T233+Summary!$B$11*V233</f>
        <v/>
      </c>
      <c r="P233">
        <f>IF(B256=0,0,O233/B256)</f>
        <v/>
      </c>
      <c r="Q233" t="n">
        <v>0</v>
      </c>
      <c r="R233" t="n">
        <v>0</v>
      </c>
      <c r="S233">
        <f>IFERROR(O233/N233,0)</f>
        <v/>
      </c>
      <c r="T233" t="n">
        <v>0</v>
      </c>
      <c r="V233" t="n">
        <v>0</v>
      </c>
    </row>
    <row r="234">
      <c r="A234">
        <f>Skills!A22</f>
        <v/>
      </c>
      <c r="B234">
        <f>Skills!B22</f>
        <v/>
      </c>
      <c r="C234">
        <f>Inputs!$B$3&gt;=10</f>
        <v/>
      </c>
      <c r="D234">
        <f>IF(Skills!C22=1,60+Inputs!$B$25+Inputs!$B$29,IF(Skills!C22=2,90+Inputs!$B$26+Inputs!$B$29,IF(Skills!C22=3,120+Inputs!$B$27+Inputs!$B$29,MAX(0,(Inputs!$B$3-100)*3)+Inputs!$B$28+Inputs!$B$29)))</f>
        <v/>
      </c>
      <c r="E234">
        <f>INDEX(FactorTable!$B$2:$Y$301, MATCH(ROUND(MIN(300,MAX(1,D234)),0), FactorTable!$A$2:$A$301,0), Skills!M22+1)</f>
        <v/>
      </c>
      <c r="F234">
        <f>IF(Skills!N22=TRUE,(Skills!L22/10)*(E234/1000),Skills!L22/10)+Skills!O22</f>
        <v/>
      </c>
      <c r="G234">
        <f>Skills!G22*IF(Skills!H22&gt;0,Skills!I22/Skills!H22,1)</f>
        <v/>
      </c>
      <c r="H234">
        <f>1-(1-Skills!J22/100)^Skills!K22</f>
        <v/>
      </c>
      <c r="I234" t="inlineStr">
        <is>
          <t>1</t>
        </is>
      </c>
      <c r="J234" t="inlineStr"/>
      <c r="K234" t="inlineStr"/>
      <c r="L234" t="inlineStr"/>
      <c r="M234" t="inlineStr"/>
      <c r="N234" t="inlineStr"/>
      <c r="O234">
        <f>(1-Summary!$B$11)*T234+Summary!$B$11*V234</f>
        <v/>
      </c>
      <c r="P234">
        <f>IF(B256=0,0,O234/B256)</f>
        <v/>
      </c>
      <c r="Q234" t="n">
        <v>0</v>
      </c>
      <c r="R234" t="n">
        <v>0</v>
      </c>
      <c r="S234">
        <f>IFERROR(O234/N234,0)</f>
        <v/>
      </c>
      <c r="T234" t="n">
        <v>0</v>
      </c>
      <c r="V234" t="n">
        <v>0</v>
      </c>
    </row>
    <row r="235">
      <c r="A235">
        <f>Skills!A23</f>
        <v/>
      </c>
      <c r="B235">
        <f>Skills!B23</f>
        <v/>
      </c>
      <c r="C235">
        <f>Inputs!$B$3&gt;=33</f>
        <v/>
      </c>
      <c r="D235">
        <f>IF(Skills!C23=1,60+Inputs!$B$25+Inputs!$B$29,IF(Skills!C23=2,90+Inputs!$B$26+Inputs!$B$29,IF(Skills!C23=3,120+Inputs!$B$27+Inputs!$B$29,MAX(0,(Inputs!$B$3-100)*3)+Inputs!$B$28+Inputs!$B$29)))</f>
        <v/>
      </c>
      <c r="E235">
        <f>INDEX(FactorTable!$B$2:$Y$301, MATCH(ROUND(MIN(300,MAX(1,D235)),0), FactorTable!$A$2:$A$301,0), Skills!M23+1)</f>
        <v/>
      </c>
      <c r="F235">
        <f>IF(Skills!N23=TRUE,(Skills!L23/10)*(E235/1000),Skills!L23/10)+Skills!O23</f>
        <v/>
      </c>
      <c r="G235">
        <f>Skills!G23*IF(Skills!H23&gt;0,Skills!I23/Skills!H23,1)</f>
        <v/>
      </c>
      <c r="H235">
        <f>1-(1-Skills!J23/100)^Skills!K23</f>
        <v/>
      </c>
      <c r="I235" t="inlineStr">
        <is>
          <t>1</t>
        </is>
      </c>
      <c r="J235" t="inlineStr"/>
      <c r="K235" t="inlineStr"/>
      <c r="L235" t="inlineStr"/>
      <c r="M235" t="inlineStr"/>
      <c r="N235" t="inlineStr"/>
      <c r="O235">
        <f>(1-Summary!$B$11)*T235+Summary!$B$11*V235</f>
        <v/>
      </c>
      <c r="P235">
        <f>IF(B256=0,0,O235/B256)</f>
        <v/>
      </c>
      <c r="Q235" t="n">
        <v>0</v>
      </c>
      <c r="R235" t="n">
        <v>0</v>
      </c>
      <c r="S235">
        <f>IFERROR(O235/N235,0)</f>
        <v/>
      </c>
      <c r="T235" t="n">
        <v>0</v>
      </c>
      <c r="V235" t="n">
        <v>0</v>
      </c>
    </row>
    <row r="236">
      <c r="A236">
        <f>Skills!A24</f>
        <v/>
      </c>
      <c r="B236">
        <f>Skills!B24</f>
        <v/>
      </c>
      <c r="C236">
        <f>Inputs!$B$3&gt;=38</f>
        <v/>
      </c>
      <c r="D236">
        <f>IF(Skills!C24=1,60+Inputs!$B$25+Inputs!$B$29,IF(Skills!C24=2,90+Inputs!$B$26+Inputs!$B$29,IF(Skills!C24=3,120+Inputs!$B$27+Inputs!$B$29,MAX(0,(Inputs!$B$3-100)*3)+Inputs!$B$28+Inputs!$B$29)))</f>
        <v/>
      </c>
      <c r="E236">
        <f>INDEX(FactorTable!$B$2:$Y$301, MATCH(ROUND(MIN(300,MAX(1,D236)),0), FactorTable!$A$2:$A$301,0), Skills!M24+1)</f>
        <v/>
      </c>
      <c r="F236">
        <f>IF(Skills!N24=TRUE,(Skills!L24/10)*(E236/1000),Skills!L24/10)+Skills!O24</f>
        <v/>
      </c>
      <c r="G236">
        <f>Skills!G24*IF(Skills!H24&gt;0,Skills!I24/Skills!H24,1)</f>
        <v/>
      </c>
      <c r="H236">
        <f>1-(1-Skills!J24/100)^Skills!K24</f>
        <v/>
      </c>
      <c r="I236" t="inlineStr">
        <is>
          <t>1</t>
        </is>
      </c>
      <c r="J236" t="inlineStr"/>
      <c r="K236" t="inlineStr"/>
      <c r="L236" t="inlineStr"/>
      <c r="M236" t="inlineStr"/>
      <c r="N236" t="inlineStr"/>
      <c r="O236">
        <f>(1-Summary!$B$11)*T236+Summary!$B$11*V236</f>
        <v/>
      </c>
      <c r="P236">
        <f>IF(B256=0,0,O236/B256)</f>
        <v/>
      </c>
      <c r="Q236" t="n">
        <v>0</v>
      </c>
      <c r="R236" t="n">
        <v>0</v>
      </c>
      <c r="S236">
        <f>IFERROR(O236/N236,0)</f>
        <v/>
      </c>
      <c r="T236" t="n">
        <v>0</v>
      </c>
      <c r="V236" t="n">
        <v>0</v>
      </c>
    </row>
    <row r="237">
      <c r="A237">
        <f>Skills!A25</f>
        <v/>
      </c>
      <c r="B237">
        <f>Skills!B25</f>
        <v/>
      </c>
      <c r="C237">
        <f>Inputs!$B$3&gt;=43</f>
        <v/>
      </c>
      <c r="D237">
        <f>IF(Skills!C25=1,60+Inputs!$B$25+Inputs!$B$29,IF(Skills!C25=2,90+Inputs!$B$26+Inputs!$B$29,IF(Skills!C25=3,120+Inputs!$B$27+Inputs!$B$29,MAX(0,(Inputs!$B$3-100)*3)+Inputs!$B$28+Inputs!$B$29)))</f>
        <v/>
      </c>
      <c r="E237">
        <f>INDEX(FactorTable!$B$2:$Y$301, MATCH(ROUND(MIN(300,MAX(1,D237)),0), FactorTable!$A$2:$A$301,0), Skills!M25+1)</f>
        <v/>
      </c>
      <c r="F237">
        <f>IF(Skills!N25=TRUE,(Skills!L25/10)*(E237/1000),Skills!L25/10)+Skills!O25</f>
        <v/>
      </c>
      <c r="G237">
        <f>Skills!G25*IF(Skills!H25&gt;0,Skills!I25/Skills!H25,1)</f>
        <v/>
      </c>
      <c r="H237">
        <f>1-(1-Skills!J25/100)^Skills!K25</f>
        <v/>
      </c>
      <c r="I237" t="inlineStr">
        <is>
          <t>1</t>
        </is>
      </c>
      <c r="J237" t="inlineStr"/>
      <c r="K237" t="inlineStr"/>
      <c r="L237" t="inlineStr"/>
      <c r="M237" t="inlineStr"/>
      <c r="N237" t="inlineStr"/>
      <c r="O237">
        <f>(1-Summary!$B$11)*T237+Summary!$B$11*V237</f>
        <v/>
      </c>
      <c r="P237">
        <f>IF(B256=0,0,O237/B256)</f>
        <v/>
      </c>
      <c r="Q237" t="n">
        <v>0</v>
      </c>
      <c r="R237" t="n">
        <v>0</v>
      </c>
      <c r="S237">
        <f>IFERROR(O237/N237,0)</f>
        <v/>
      </c>
      <c r="T237" t="n">
        <v>0</v>
      </c>
      <c r="V237" t="n">
        <v>0</v>
      </c>
    </row>
    <row r="238">
      <c r="A238">
        <f>Skills!A26</f>
        <v/>
      </c>
      <c r="B238">
        <f>Skills!B26</f>
        <v/>
      </c>
      <c r="C238">
        <f>Inputs!$B$3&gt;=75</f>
        <v/>
      </c>
      <c r="D238">
        <f>IF(Skills!C26=1,60+Inputs!$B$25+Inputs!$B$29,IF(Skills!C26=2,90+Inputs!$B$26+Inputs!$B$29,IF(Skills!C26=3,120+Inputs!$B$27+Inputs!$B$29,MAX(0,(Inputs!$B$3-100)*3)+Inputs!$B$28+Inputs!$B$29)))</f>
        <v/>
      </c>
      <c r="E238">
        <f>INDEX(FactorTable!$B$2:$Y$301, MATCH(ROUND(MIN(300,MAX(1,D238)),0), FactorTable!$A$2:$A$301,0), Skills!M26+1)</f>
        <v/>
      </c>
      <c r="F238">
        <f>IF(Skills!N26=TRUE,(Skills!L26/10)*(E238/1000),Skills!L26/10)+Skills!O26</f>
        <v/>
      </c>
      <c r="G238">
        <f>Skills!G26*IF(Skills!H26&gt;0,Skills!I26/Skills!H26,1)</f>
        <v/>
      </c>
      <c r="H238">
        <f>1-(1-Skills!J26/100)^Skills!K26</f>
        <v/>
      </c>
      <c r="I238" t="inlineStr">
        <is>
          <t>1</t>
        </is>
      </c>
      <c r="J238" t="inlineStr"/>
      <c r="K238" t="inlineStr"/>
      <c r="L238" t="inlineStr"/>
      <c r="M238" t="inlineStr"/>
      <c r="N238" t="inlineStr"/>
      <c r="O238">
        <f>(1-Summary!$B$11)*T238+Summary!$B$11*V238</f>
        <v/>
      </c>
      <c r="P238">
        <f>IF(B256=0,0,O238/B256)</f>
        <v/>
      </c>
      <c r="Q238" t="n">
        <v>0</v>
      </c>
      <c r="R238" t="n">
        <v>0</v>
      </c>
      <c r="S238">
        <f>IFERROR(O238/N238,0)</f>
        <v/>
      </c>
      <c r="T238" t="n">
        <v>0</v>
      </c>
      <c r="V238" t="n">
        <v>0</v>
      </c>
    </row>
    <row r="239">
      <c r="A239">
        <f>Skills!A27</f>
        <v/>
      </c>
      <c r="B239">
        <f>Skills!B27</f>
        <v/>
      </c>
      <c r="C239">
        <f>Inputs!$B$3&gt;=125</f>
        <v/>
      </c>
      <c r="D239">
        <f>IF(Skills!C27=1,60+Inputs!$B$25+Inputs!$B$29,IF(Skills!C27=2,90+Inputs!$B$26+Inputs!$B$29,IF(Skills!C27=3,120+Inputs!$B$27+Inputs!$B$29,MAX(0,(Inputs!$B$3-100)*3)+Inputs!$B$28+Inputs!$B$29)))</f>
        <v/>
      </c>
      <c r="E239">
        <f>INDEX(FactorTable!$B$2:$Y$301, MATCH(ROUND(MIN(300,MAX(1,D239)),0), FactorTable!$A$2:$A$301,0), Skills!M27+1)</f>
        <v/>
      </c>
      <c r="F239">
        <f>IF(Skills!N27=TRUE,(Skills!L27/10)*(E239/1000),Skills!L27/10)+Skills!O27</f>
        <v/>
      </c>
      <c r="G239">
        <f>Skills!G27*IF(Skills!H27&gt;0,Skills!I27/Skills!H27,1)</f>
        <v/>
      </c>
      <c r="H239">
        <f>1-(1-Skills!J27/100)^Skills!K27</f>
        <v/>
      </c>
      <c r="I239" t="inlineStr">
        <is>
          <t>1</t>
        </is>
      </c>
      <c r="J239" t="inlineStr"/>
      <c r="K239" t="inlineStr"/>
      <c r="L239" t="inlineStr"/>
      <c r="M239" t="inlineStr"/>
      <c r="N239" t="inlineStr"/>
      <c r="O239">
        <f>(1-Summary!$B$11)*T239+Summary!$B$11*V239</f>
        <v/>
      </c>
      <c r="P239">
        <f>IF(B256=0,0,O239/B256)</f>
        <v/>
      </c>
      <c r="Q239" t="n">
        <v>0</v>
      </c>
      <c r="R239" t="n">
        <v>0</v>
      </c>
      <c r="S239">
        <f>IFERROR(O239/N239,0)</f>
        <v/>
      </c>
      <c r="T239" t="n">
        <v>0</v>
      </c>
      <c r="V239" t="n">
        <v>0</v>
      </c>
    </row>
    <row r="240">
      <c r="A240">
        <f>Skills!A28</f>
        <v/>
      </c>
      <c r="B240">
        <f>Skills!B28</f>
        <v/>
      </c>
      <c r="C240">
        <f>Inputs!$B$3&gt;=125</f>
        <v/>
      </c>
      <c r="D240">
        <f>IF(Skills!C28=1,60+Inputs!$B$25+Inputs!$B$29,IF(Skills!C28=2,90+Inputs!$B$26+Inputs!$B$29,IF(Skills!C28=3,120+Inputs!$B$27+Inputs!$B$29,MAX(0,(Inputs!$B$3-100)*3)+Inputs!$B$28+Inputs!$B$29)))</f>
        <v/>
      </c>
      <c r="E240">
        <f>INDEX(FactorTable!$B$2:$Y$301, MATCH(ROUND(MIN(300,MAX(1,D240)),0), FactorTable!$A$2:$A$301,0), Skills!M28+1)</f>
        <v/>
      </c>
      <c r="F240">
        <f>IF(Skills!N28=TRUE,(Skills!L28/10)*(E240/1000),Skills!L28/10)+Skills!O28</f>
        <v/>
      </c>
      <c r="G240">
        <f>Skills!G28*IF(Skills!H28&gt;0,Skills!I28/Skills!H28,1)</f>
        <v/>
      </c>
      <c r="H240">
        <f>1-(1-Skills!J28/100)^Skills!K28</f>
        <v/>
      </c>
      <c r="I240" t="inlineStr">
        <is>
          <t>1</t>
        </is>
      </c>
      <c r="J240" t="inlineStr"/>
      <c r="K240" t="inlineStr"/>
      <c r="L240" t="inlineStr"/>
      <c r="M240" t="inlineStr"/>
      <c r="N240" t="inlineStr"/>
      <c r="O240">
        <f>(1-Summary!$B$11)*T240+Summary!$B$11*V240</f>
        <v/>
      </c>
      <c r="P240">
        <f>IF(B256=0,0,O240/B256)</f>
        <v/>
      </c>
      <c r="Q240" t="n">
        <v>0</v>
      </c>
      <c r="R240" t="n">
        <v>0</v>
      </c>
      <c r="S240">
        <f>IFERROR(O240/N240,0)</f>
        <v/>
      </c>
      <c r="T240" t="n">
        <v>0</v>
      </c>
      <c r="V240" t="n">
        <v>0</v>
      </c>
    </row>
    <row r="241">
      <c r="A241">
        <f>Skills!A29</f>
        <v/>
      </c>
      <c r="B241">
        <f>Skills!B29</f>
        <v/>
      </c>
      <c r="C241">
        <f>Inputs!$B$3&gt;=120</f>
        <v/>
      </c>
      <c r="D241">
        <f>IF(Skills!C29=1,60+Inputs!$B$25+Inputs!$B$29,IF(Skills!C29=2,90+Inputs!$B$26+Inputs!$B$29,IF(Skills!C29=3,120+Inputs!$B$27+Inputs!$B$29,MAX(0,(Inputs!$B$3-100)*3)+Inputs!$B$28+Inputs!$B$29)))</f>
        <v/>
      </c>
      <c r="E241">
        <f>INDEX(FactorTable!$B$2:$Y$301, MATCH(ROUND(MIN(300,MAX(1,D241)),0), FactorTable!$A$2:$A$301,0), Skills!M29+1)</f>
        <v/>
      </c>
      <c r="F241">
        <f>IF(Skills!N29=TRUE,(Skills!L29/10)*(E241/1000),Skills!L29/10)+Skills!O29</f>
        <v/>
      </c>
      <c r="G241">
        <f>Skills!G29*IF(Skills!H29&gt;0,Skills!I29/Skills!H29,1)</f>
        <v/>
      </c>
      <c r="H241">
        <f>1-(1-Skills!J29/100)^Skills!K29</f>
        <v/>
      </c>
      <c r="I241" t="inlineStr">
        <is>
          <t>1</t>
        </is>
      </c>
      <c r="J241" t="inlineStr"/>
      <c r="K241" t="inlineStr"/>
      <c r="L241" t="inlineStr"/>
      <c r="M241" t="inlineStr"/>
      <c r="N241" t="inlineStr"/>
      <c r="O241">
        <f>(1-Summary!$B$11)*T241+Summary!$B$11*V241</f>
        <v/>
      </c>
      <c r="P241">
        <f>IF(B256=0,0,O241/B256)</f>
        <v/>
      </c>
      <c r="Q241" t="n">
        <v>0</v>
      </c>
      <c r="R241" t="n">
        <v>0</v>
      </c>
      <c r="S241">
        <f>IFERROR(O241/N241,0)</f>
        <v/>
      </c>
      <c r="T241" t="n">
        <v>0</v>
      </c>
      <c r="V241" t="n">
        <v>0</v>
      </c>
    </row>
    <row r="242">
      <c r="A242">
        <f>Skills!A30</f>
        <v/>
      </c>
      <c r="B242">
        <f>Skills!B30</f>
        <v/>
      </c>
      <c r="C242">
        <f>Inputs!$B$3&gt;=120</f>
        <v/>
      </c>
      <c r="D242">
        <f>IF(Skills!C30=1,60+Inputs!$B$25+Inputs!$B$29,IF(Skills!C30=2,90+Inputs!$B$26+Inputs!$B$29,IF(Skills!C30=3,120+Inputs!$B$27+Inputs!$B$29,MAX(0,(Inputs!$B$3-100)*3)+Inputs!$B$28+Inputs!$B$29)))</f>
        <v/>
      </c>
      <c r="E242">
        <f>INDEX(FactorTable!$B$2:$Y$301, MATCH(ROUND(MIN(300,MAX(1,D242)),0), FactorTable!$A$2:$A$301,0), Skills!M30+1)</f>
        <v/>
      </c>
      <c r="F242">
        <f>IF(Skills!N30=TRUE,(Skills!L30/10)*(E242/1000),Skills!L30/10)+Skills!O30</f>
        <v/>
      </c>
      <c r="G242">
        <f>Skills!G30*IF(Skills!H30&gt;0,Skills!I30/Skills!H30,1)</f>
        <v/>
      </c>
      <c r="H242">
        <f>1-(1-Skills!J30/100)^Skills!K30</f>
        <v/>
      </c>
      <c r="I242" t="inlineStr">
        <is>
          <t>1</t>
        </is>
      </c>
      <c r="J242" t="inlineStr"/>
      <c r="K242" t="inlineStr"/>
      <c r="L242" t="inlineStr"/>
      <c r="M242" t="inlineStr"/>
      <c r="N242" t="inlineStr"/>
      <c r="O242">
        <f>(1-Summary!$B$11)*T242+Summary!$B$11*V242</f>
        <v/>
      </c>
      <c r="P242">
        <f>IF(B256=0,0,O242/B256)</f>
        <v/>
      </c>
      <c r="Q242" t="n">
        <v>0</v>
      </c>
      <c r="R242" t="n">
        <v>0</v>
      </c>
      <c r="S242">
        <f>IFERROR(O242/N242,0)</f>
        <v/>
      </c>
      <c r="T242" t="n">
        <v>0</v>
      </c>
      <c r="V242" t="n">
        <v>0</v>
      </c>
    </row>
    <row r="243">
      <c r="A243">
        <f>Skills!A31</f>
        <v/>
      </c>
      <c r="B243">
        <f>Skills!B31</f>
        <v/>
      </c>
      <c r="C243">
        <f>Inputs!$B$3&gt;=45</f>
        <v/>
      </c>
      <c r="D243">
        <f>IF(Skills!C31=1,60+Inputs!$B$25+Inputs!$B$29,IF(Skills!C31=2,90+Inputs!$B$26+Inputs!$B$29,IF(Skills!C31=3,120+Inputs!$B$27+Inputs!$B$29,MAX(0,(Inputs!$B$3-100)*3)+Inputs!$B$28+Inputs!$B$29)))</f>
        <v/>
      </c>
      <c r="E243">
        <f>INDEX(FactorTable!$B$2:$Y$301, MATCH(ROUND(MIN(300,MAX(1,D243)),0), FactorTable!$A$2:$A$301,0), Skills!M31+1)</f>
        <v/>
      </c>
      <c r="F243">
        <f>IF(Skills!N31=TRUE,(Skills!L31/10)*(E243/1000),Skills!L31/10)+Skills!O31</f>
        <v/>
      </c>
      <c r="G243">
        <f>Skills!G31*IF(Skills!H31&gt;0,Skills!I31/Skills!H31,1)</f>
        <v/>
      </c>
      <c r="H243">
        <f>1-(1-Skills!J31/100)^Skills!K31</f>
        <v/>
      </c>
      <c r="I243" t="inlineStr">
        <is>
          <t>1</t>
        </is>
      </c>
      <c r="J243" t="inlineStr"/>
      <c r="K243" t="inlineStr"/>
      <c r="L243" t="inlineStr"/>
      <c r="M243" t="inlineStr"/>
      <c r="N243" t="inlineStr"/>
      <c r="O243">
        <f>(1-Summary!$B$11)*T243+Summary!$B$11*V243</f>
        <v/>
      </c>
      <c r="P243">
        <f>IF(B256=0,0,O243/B256)</f>
        <v/>
      </c>
      <c r="Q243" t="n">
        <v>0</v>
      </c>
      <c r="R243" t="n">
        <v>0</v>
      </c>
      <c r="S243">
        <f>IFERROR(O243/N243,0)</f>
        <v/>
      </c>
      <c r="T243" t="n">
        <v>0</v>
      </c>
      <c r="V243" t="n">
        <v>0</v>
      </c>
    </row>
    <row r="245">
      <c r="A245" t="inlineStr">
        <is>
          <t>Attack% Bucket Multiplier</t>
        </is>
      </c>
      <c r="B245">
        <f>(1+(((C226=TRUE)*F226)+((C227=TRUE)*IF(Inputs!$B$38="pvp",F227,(1-Summary!$B$11)*(F227)+Summary!$B$11*(0)))+((C228=TRUE)*F228*IF(AND(Inputs!$B$38&lt;&gt;"pvp",Inputs!$B$43&gt;0),(((R228-1)*(Skills!T16*(1+Inputs!$B$34/100))+MIN((Skills!T16*(1+Inputs!$B$34/100)),MAX(0,Inputs!$B$43-((R228-1)*Skills!D16))))/Inputs!$B$43),IF(Inputs!$B$38="pvp",MIN((Skills!T16*(1+Inputs!$B$34/100)),15)/15,(Skills!T16*(1+Inputs!$B$34/100))/Skills!D16)))+((C243=TRUE)*(F243-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6">
      <c r="A246" t="inlineStr">
        <is>
          <t>Global Crit Rate Bonus %</t>
        </is>
      </c>
      <c r="B246">
        <f>(C229=TRUE)*20*IF(AND(Inputs!$B$38&lt;&gt;"pvp",Inputs!$B$43&gt;0),(((R229-1)*(Skills!T17*(1+Inputs!$B$34/100))+MIN((Skills!T17*(1+Inputs!$B$34/100)),MAX(0,Inputs!$B$43-((R229-1)*Skills!D17))))/Inputs!$B$43),IF(Inputs!$B$38="pvp",MIN((Skills!T17*(1+Inputs!$B$34/100)),15)/15,(Skills!T17*(1+Inputs!$B$34/100))/Skills!D17))</f>
        <v/>
      </c>
    </row>
    <row r="247">
      <c r="A247" t="inlineStr">
        <is>
          <t>Attack Speed Buff Bonus %</t>
        </is>
      </c>
      <c r="B247">
        <f>((C232=TRUE)*F232*IF(AND(Inputs!$B$38&lt;&gt;"pvp",Inputs!$B$43&gt;0),(((R232-1)*(Skills!T20*(1+Inputs!$B$34/100))+MIN((Skills!T20*(1+Inputs!$B$34/100)),MAX(0,Inputs!$B$43-((R232-1)*Skills!D20))))/Inputs!$B$43),IF(Inputs!$B$38="pvp",MIN((Skills!T20*(1+Inputs!$B$34/100)),15)/15,(Skills!T20*(1+Inputs!$B$34/100))/Skills!D20)))</f>
        <v/>
      </c>
    </row>
    <row r="248">
      <c r="A248" t="inlineStr">
        <is>
          <t>Actions Per Second</t>
        </is>
      </c>
      <c r="B248">
        <f>1+MIN(150,150*(1-(1-(Inputs!$B$11+((C234=TRUE)*(F234-Calc!F22))+((C235=TRUE)*(F235-Calc!F23)))/150)*(1-B247/150)))/100</f>
        <v/>
      </c>
    </row>
    <row r="249">
      <c r="A249" t="inlineStr">
        <is>
          <t>Skill + Buff Cast Rate</t>
        </is>
      </c>
      <c r="B249">
        <f>IF(AND(Inputs!$B$38&lt;&gt;"pvp",Inputs!$B$43&gt;0),SUMPRODUCT((Skills!E2:E31=TRUE)*(C214:C243=TRUE)*R214:R243*Skills!F2:F31)/Inputs!$B$43,SUMPRODUCT((Skills!E2:E31=TRUE)*(C214:C243=TRUE)*Q214:Q243*Skills!F2:F31))</f>
        <v/>
      </c>
    </row>
    <row r="250">
      <c r="A250" t="inlineStr">
        <is>
          <t>Arrow Stream Casts Per Second</t>
        </is>
      </c>
      <c r="B250">
        <f>MAX(0,B248-B249)</f>
        <v/>
      </c>
    </row>
    <row r="251">
      <c r="A251" t="inlineStr">
        <is>
          <t>Global Critical Damage Bonus % (Sharp Eyes + Concentration)</t>
        </is>
      </c>
      <c r="B251">
        <f>(C229=TRUE)*F229*IF(AND(Inputs!$B$38&lt;&gt;"pvp",Inputs!$B$43&gt;0),(((R229-1)*(Skills!T17*(1+Inputs!$B$34/100))+MIN((Skills!T17*(1+Inputs!$B$34/100)),MAX(0,Inputs!$B$43-((R229-1)*Skills!D17))))/Inputs!$B$43),IF(Inputs!$B$38="pvp",MIN((Skills!T17*(1+Inputs!$B$34/100)),15)/15,(Skills!T17*(1+Inputs!$B$34/100))/Skills!D17))+(C230=TRUE)*30</f>
        <v/>
      </c>
    </row>
    <row r="252">
      <c r="A252" t="inlineStr">
        <is>
          <t>Global Final Damage Bonus % (Mortal Blow)</t>
        </is>
      </c>
      <c r="B252">
        <f>(C231=TRUE)*F231</f>
        <v/>
      </c>
    </row>
    <row r="253">
      <c r="A253" t="inlineStr">
        <is>
          <t>Buff-Casting Startup Delay (s, fixed-duration only)</t>
        </is>
      </c>
      <c r="B253">
        <f>IF(AND(Inputs!$B$38&lt;&gt;"pvp",Inputs!$B$43&gt;0),SUMPRODUCT((Skills!T2:T31&gt;0)*(Skills!E2:E31=TRUE)*(C214:C243=TRUE))/B248,0)</f>
        <v/>
      </c>
    </row>
    <row r="254">
      <c r="A254" t="inlineStr">
        <is>
          <t>Boss-Only Total DPS (this block's swept value)</t>
        </is>
      </c>
      <c r="B254">
        <f>SUM(T214:T243)</f>
        <v/>
      </c>
    </row>
    <row r="255">
      <c r="A255" t="inlineStr">
        <is>
          <t>Normal-Only Total DPS (this block's swept value)</t>
        </is>
      </c>
      <c r="B255">
        <f>SUM(V214:V243)</f>
        <v/>
      </c>
    </row>
    <row r="256">
      <c r="A256" s="6" t="inlineStr">
        <is>
          <t>TOTAL DPS</t>
        </is>
      </c>
      <c r="B256" s="6">
        <f>SUM(O214:O243)</f>
        <v/>
      </c>
    </row>
    <row r="259">
      <c r="A259" s="6" t="inlineStr">
        <is>
          <t>Stat: DAMAGE_AMP %</t>
        </is>
      </c>
    </row>
    <row r="260">
      <c r="A260" s="5" t="inlineStr">
        <is>
          <t>Key</t>
        </is>
      </c>
      <c r="B260" s="5" t="inlineStr">
        <is>
          <t>Name</t>
        </is>
      </c>
      <c r="C260" s="5" t="inlineStr">
        <is>
          <t>Unlocked</t>
        </is>
      </c>
      <c r="D260" s="5" t="inlineStr">
        <is>
          <t>InputLevel</t>
        </is>
      </c>
      <c r="E260" s="5" t="inlineStr">
        <is>
          <t>Factor</t>
        </is>
      </c>
      <c r="F260" s="5" t="inlineStr">
        <is>
          <t>CoefficientPercent</t>
        </is>
      </c>
      <c r="G260" s="5" t="inlineStr">
        <is>
          <t>EffectiveHits</t>
        </is>
      </c>
      <c r="H260" s="5" t="inlineStr">
        <is>
          <t>ProcProbability</t>
        </is>
      </c>
      <c r="I260" s="5" t="inlineStr">
        <is>
          <t>MapleHeroMultiplier</t>
        </is>
      </c>
      <c r="J260" s="5" t="inlineStr">
        <is>
          <t>BaseDamage</t>
        </is>
      </c>
      <c r="K260" s="5" t="inlineStr">
        <is>
          <t>BaseHitDamage</t>
        </is>
      </c>
      <c r="L260" s="5" t="inlineStr">
        <is>
          <t>NonCritAvg</t>
        </is>
      </c>
      <c r="M260" s="5" t="inlineStr">
        <is>
          <t>CritAvg</t>
        </is>
      </c>
      <c r="N260" s="5" t="inlineStr">
        <is>
          <t>ExpectedDamage(perHit)</t>
        </is>
      </c>
      <c r="O260" s="5" t="inlineStr">
        <is>
          <t>DPS</t>
        </is>
      </c>
      <c r="P260" s="5" t="inlineStr">
        <is>
          <t>% of Total</t>
        </is>
      </c>
      <c r="Q260" s="5" t="inlineStr">
        <is>
          <t>InvCooldown</t>
        </is>
      </c>
      <c r="R260" s="5" t="inlineStr">
        <is>
          <t>CastsInFight</t>
        </is>
      </c>
      <c r="S260" s="5" t="inlineStr">
        <is>
          <t>HitRate(perSec)</t>
        </is>
      </c>
      <c r="U260" t="inlineStr">
        <is>
          <t>helpers</t>
        </is>
      </c>
    </row>
    <row r="261">
      <c r="A261">
        <f>Skills!A2</f>
        <v/>
      </c>
      <c r="B261">
        <f>Skills!B2</f>
        <v/>
      </c>
      <c r="C261">
        <f>Inputs!$B$3&gt;=100</f>
        <v/>
      </c>
      <c r="D261" t="inlineStr"/>
      <c r="E261" t="inlineStr"/>
      <c r="F261">
        <f>U263+Skills!O2</f>
        <v/>
      </c>
      <c r="G261">
        <f>Skills!G2*IF(Skills!H2&gt;0,Skills!I2/Skills!H2,1)</f>
        <v/>
      </c>
      <c r="H261">
        <f>1-(1-Skills!J2/100)^Skills!K2</f>
        <v/>
      </c>
      <c r="I261" t="inlineStr">
        <is>
          <t>1</t>
        </is>
      </c>
      <c r="J261">
        <f>((Inputs!$B$6*(1+Inputs!$B$7/100))+(((Inputs!$B$12*(1+Inputs!$B$13/100))-(Inputs!$B$12*(1+Inputs!$B$13/100)))+0.25*(Inputs!$B$14-Inputs!$B$14))*(1+Inputs!$B$7/100))*(F261/100)</f>
        <v/>
      </c>
      <c r="K261">
        <f>J261*(1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f>
        <v/>
      </c>
      <c r="L261">
        <f>K261*(MIN(Inputs!$B$22+((C284=TRUE)*(F284-Calc!F25)),(Inputs!$B$23+((C289=TRUE)*(F289-Calc!F30))+(IF(ArtifactsInput!$M$15,CHOOSE(ArtifactsInput!$N$15+1,25,30,35,40,45,50)/100*(Inputs!$B$11-Inputs!$B$11),0))))/100+(Inputs!$B$23+((C289=TRUE)*(F289-Calc!F30))+(IF(ArtifactsInput!$M$15,CHOOSE(ArtifactsInput!$N$15+1,25,30,35,40,45,50)/100*(Inputs!$B$11-Inputs!$B$11),0)))/100)/2</f>
        <v/>
      </c>
      <c r="M261">
        <f>L261*(1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
        <f>L261*(1-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
        <f>(1-Summary!$B$11)*T261+Summary!$B$11*V261</f>
        <v/>
      </c>
      <c r="P261">
        <f>IF(B303=0,0,O261/B303)</f>
        <v/>
      </c>
      <c r="Q261" t="n">
        <v>0</v>
      </c>
      <c r="R261" t="n">
        <v>0</v>
      </c>
      <c r="S261">
        <f>IFERROR(O261/N261,0)</f>
        <v/>
      </c>
      <c r="T261">
        <f>IF(C261,(Skills!G2*N261*B297)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261*(1-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1">
        <f>MAX(0,(Inputs!$B$3-100)*3)+Inputs!$B$28+Inputs!$B$29</f>
        <v/>
      </c>
      <c r="V261">
        <f>IF(C261,(Skills!G2*N261*B297)*IF(Inputs!$B$38="pvp",1,(1+(Inputs!$B$21+Skills!Q2+(IF(ArtifactsInput!$M$33,CHOOSE(ArtifactsInput!$N$33+1,30,36,42,48,54,60),0))+(IF(AND(ArtifactsInput!$M$35,Inputs!$B$4&lt;&gt;"Chapter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
      <c r="A262">
        <f>Skills!A3</f>
        <v/>
      </c>
      <c r="B262">
        <f>Skills!B3</f>
        <v/>
      </c>
      <c r="C262">
        <f>Inputs!$B$3&gt;=50</f>
        <v/>
      </c>
      <c r="D262">
        <f>IF(Skills!C3=1,60+Inputs!$B$25+Inputs!$B$29,IF(Skills!C3=2,90+Inputs!$B$26+Inputs!$B$29,IF(Skills!C3=3,120+Inputs!$B$27+Inputs!$B$29,MAX(0,(Inputs!$B$3-100)*3)+Inputs!$B$28+Inputs!$B$29)))</f>
        <v/>
      </c>
      <c r="E262">
        <f>INDEX(FactorTable!$B$2:$Y$301, MATCH(ROUND(MIN(300,MAX(1,D262)),0), FactorTable!$A$2:$A$301,0), Skills!M3+1)</f>
        <v/>
      </c>
      <c r="F262">
        <f>IF(Skills!N3=TRUE,(Skills!L3/10)*(E262/1000),Skills!L3/10)+Skills!O3</f>
        <v/>
      </c>
      <c r="G262">
        <f>Skills!G3*IF(Skills!H3&gt;0,Skills!I3/Skills!H3,1)</f>
        <v/>
      </c>
      <c r="H262">
        <f>1-(1-Skills!J3/100)^Skills!K3</f>
        <v/>
      </c>
      <c r="I262" t="inlineStr">
        <is>
          <t>1</t>
        </is>
      </c>
      <c r="J262">
        <f>((Inputs!$B$6*(1+Inputs!$B$7/100))+(((Inputs!$B$12*(1+Inputs!$B$13/100))-(Inputs!$B$12*(1+Inputs!$B$13/100)))+0.25*(Inputs!$B$14-Inputs!$B$14))*(1+Inputs!$B$7/100))*(F262/100)</f>
        <v/>
      </c>
      <c r="K262">
        <f>J262*(1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263=TRUE,F263,0)/100)*(1+(IF(Skills!A3="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f>
        <v/>
      </c>
      <c r="L262">
        <f>K262*(MIN(Inputs!$B$22+((C284=TRUE)*(F284-Calc!F25)),(Inputs!$B$23+((C289=TRUE)*(F289-Calc!F30))+(IF(ArtifactsInput!$M$15,CHOOSE(ArtifactsInput!$N$15+1,25,30,35,40,45,50)/100*(Inputs!$B$11-Inputs!$B$11),0))))/100+(Inputs!$B$23+((C289=TRUE)*(F289-Calc!F30))+(IF(ArtifactsInput!$M$15,CHOOSE(ArtifactsInput!$N$15+1,25,30,35,40,45,50)/100*(Inputs!$B$11-Inputs!$B$11),0)))/100)/2</f>
        <v/>
      </c>
      <c r="M262">
        <f>L262*(1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
        <f>L262*(1-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
        <f>(1-Summary!$B$11)*T262+Summary!$B$11*V262</f>
        <v/>
      </c>
      <c r="P262">
        <f>IF(B303=0,0,O262/B303)</f>
        <v/>
      </c>
      <c r="Q262">
        <f>IFERROR(1/(IF(Inputs!$B$38="pvp",15,MAX(0.1,Skills!D3-IF(Skills!E3=TRUE,Inputs!$B$32,0)))*(1-IF(AND(ArtifactsInput!$M$27,Inputs!$B$4="Chapter Hunt"),CHOOSE(ArtifactsInput!$N$27+1,20,24,28,32,36,40),0)/100)),0)</f>
        <v/>
      </c>
      <c r="R262">
        <f>IF(AND(Inputs!$B$38&lt;&gt;"pvp",Inputs!$B$43&gt;0),IF(MAX(0,Inputs!$B$43-B300)&lt;=0,0,(INT(MAX(0,Inputs!$B$43-B300)/(IF(Inputs!$B$38="pvp",15,MAX(0.1,Skills!D3-IF(Skills!E3=TRUE,Inputs!$B$32,0)))*(1-IF(AND(ArtifactsInput!$M$27,Inputs!$B$4="Chapter Hunt"),CHOOSE(ArtifactsInput!$N$27+1,20,24,28,32,36,40),0)/100)))+1)),0)</f>
        <v/>
      </c>
      <c r="S262">
        <f>IFERROR(O262/N262,0)</f>
        <v/>
      </c>
      <c r="T262">
        <f>IF(C262,(H262*N262*IF(AND(Inputs!$B$38&lt;&gt;"pvp",Inputs!$B$43&gt;0),((Skills!G3*((R262-1)*IF(Skills!H3&gt;0,Skills!I3/Skills!H3,1)+IF(Skills!H3&gt;0,MIN(Skills!I3,MAX(0,MAX(0,Inputs!$B$43-B300)-((R262-1)*(IF(Inputs!$B$38="pvp",15,MAX(0.1,Skills!D3-IF(Skills!E3=TRUE,Inputs!$B$32,0)))*(1-IF(AND(ArtifactsInput!$M$27,Inputs!$B$4="Chapter Hunt"),CHOOSE(ArtifactsInput!$N$27+1,20,24,28,32,36,40),0)/100)))))/Skills!H3,1)))/Inputs!$B$43),G262*Q262)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262*(1-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2">
        <f>INDEX(FactorTable!$B$2:$Y$301, MATCH(ROUND(MIN(300,MAX(1,U261)),0), FactorTable!$A$2:$A$301,0), 22)</f>
        <v/>
      </c>
      <c r="V262">
        <f>IF(C262,(H262*N262*IF(AND(Inputs!$B$38&lt;&gt;"pvp",Inputs!$B$43&gt;0),((Skills!G3*((R262-1)*IF(Skills!H3&gt;0,Skills!I3/Skills!H3,1)+IF(Skills!H3&gt;0,MIN(Skills!I3,MAX(0,MAX(0,Inputs!$B$43-B300)-((R262-1)*(IF(Inputs!$B$38="pvp",15,MAX(0.1,Skills!D3-IF(Skills!E3=TRUE,Inputs!$B$32,0)))*(1-IF(AND(ArtifactsInput!$M$27,Inputs!$B$4="Chapter Hunt"),CHOOSE(ArtifactsInput!$N$27+1,20,24,28,32,36,40),0)/100)))))/Skills!H3,1)))/Inputs!$B$43),G262*Q262))*IF(Inputs!$B$38="pvp",1,(1+(Inputs!$B$21+Skills!Q3+(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
      <c r="A263">
        <f>Skills!A4</f>
        <v/>
      </c>
      <c r="B263">
        <f>Skills!B4</f>
        <v/>
      </c>
      <c r="C263">
        <f>Inputs!$B$3&gt;=105</f>
        <v/>
      </c>
      <c r="D263">
        <f>IF(Skills!C4=1,60+Inputs!$B$25+Inputs!$B$29,IF(Skills!C4=2,90+Inputs!$B$26+Inputs!$B$29,IF(Skills!C4=3,120+Inputs!$B$27+Inputs!$B$29,MAX(0,(Inputs!$B$3-100)*3)+Inputs!$B$28+Inputs!$B$29)))</f>
        <v/>
      </c>
      <c r="E263">
        <f>INDEX(FactorTable!$B$2:$Y$301, MATCH(ROUND(MIN(300,MAX(1,D263)),0), FactorTable!$A$2:$A$301,0), Skills!M4+1)</f>
        <v/>
      </c>
      <c r="F263">
        <f>IF(Skills!N4=TRUE,(Skills!L4/10)*(E263/1000),Skills!L4/10)+Skills!O4</f>
        <v/>
      </c>
      <c r="G263" t="inlineStr"/>
      <c r="H263" t="inlineStr"/>
      <c r="I263" t="inlineStr">
        <is>
          <t>1</t>
        </is>
      </c>
      <c r="J263" t="inlineStr"/>
      <c r="K263" t="inlineStr"/>
      <c r="L263" t="inlineStr"/>
      <c r="M263" t="inlineStr"/>
      <c r="N263" t="inlineStr"/>
      <c r="O263" t="inlineStr"/>
      <c r="P263" t="inlineStr"/>
      <c r="Q263" t="inlineStr"/>
      <c r="R263" t="inlineStr"/>
      <c r="S263" t="inlineStr"/>
      <c r="T263" t="inlineStr"/>
      <c r="U263">
        <f>290*U262/1000</f>
        <v/>
      </c>
      <c r="V263" t="inlineStr"/>
    </row>
    <row r="264">
      <c r="A264">
        <f>Skills!A5</f>
        <v/>
      </c>
      <c r="B264">
        <f>Skills!B5</f>
        <v/>
      </c>
      <c r="C264">
        <f>Inputs!$B$3&gt;=35</f>
        <v/>
      </c>
      <c r="D264">
        <f>IF(Skills!C5=1,60+Inputs!$B$25+Inputs!$B$29,IF(Skills!C5=2,90+Inputs!$B$26+Inputs!$B$29,IF(Skills!C5=3,120+Inputs!$B$27+Inputs!$B$29,MAX(0,(Inputs!$B$3-100)*3)+Inputs!$B$28+Inputs!$B$29)))</f>
        <v/>
      </c>
      <c r="E264">
        <f>INDEX(FactorTable!$B$2:$Y$301, MATCH(ROUND(MIN(300,MAX(1,D264)),0), FactorTable!$A$2:$A$301,0), Skills!M5+1)</f>
        <v/>
      </c>
      <c r="F264">
        <f>IF(Skills!N5=TRUE,(Skills!L5/10)*(E264/1000),Skills!L5/10)+Skills!O5</f>
        <v/>
      </c>
      <c r="G264">
        <f>Skills!G5*IF(Skills!H5&gt;0,Skills!I5/Skills!H5,1)</f>
        <v/>
      </c>
      <c r="H264">
        <f>1-(1-Skills!J5/100)^Skills!K5</f>
        <v/>
      </c>
      <c r="I264" t="inlineStr">
        <is>
          <t>1</t>
        </is>
      </c>
      <c r="J264">
        <f>((Inputs!$B$6*(1+Inputs!$B$7/100))+(((Inputs!$B$12*(1+Inputs!$B$13/100))-(Inputs!$B$12*(1+Inputs!$B$13/100)))+0.25*(Inputs!$B$14-Inputs!$B$14))*(1+Inputs!$B$7/100))*(F264/100)</f>
        <v/>
      </c>
      <c r="K264">
        <f>J264*(1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270=TRUE,F270,0)/100)*(1+(IF(Skills!A5="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f>
        <v/>
      </c>
      <c r="L264">
        <f>K264*(MIN(Inputs!$B$22+((C284=TRUE)*(F284-Calc!F25)),(Inputs!$B$23+((C289=TRUE)*(F289-Calc!F30))+(IF(ArtifactsInput!$M$15,CHOOSE(ArtifactsInput!$N$15+1,25,30,35,40,45,50)/100*(Inputs!$B$11-Inputs!$B$11),0))))/100+(Inputs!$B$23+((C289=TRUE)*(F289-Calc!F30))+(IF(ArtifactsInput!$M$15,CHOOSE(ArtifactsInput!$N$15+1,25,30,35,40,45,50)/100*(Inputs!$B$11-Inputs!$B$11),0)))/100)/2</f>
        <v/>
      </c>
      <c r="M264">
        <f>L264*(1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
        <f>L264*(1-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
        <f>(1-Summary!$B$11)*T264+Summary!$B$11*V264</f>
        <v/>
      </c>
      <c r="P264">
        <f>IF(B303=0,0,O264/B303)</f>
        <v/>
      </c>
      <c r="Q264">
        <f>IFERROR(1/(IF(Inputs!$B$38="pvp",15,MAX(0.1,Skills!D5-IF(Skills!E5=TRUE,Inputs!$B$32,0)))*(1-IF(AND(ArtifactsInput!$M$27,Inputs!$B$4="Chapter Hunt"),CHOOSE(ArtifactsInput!$N$27+1,20,24,28,32,36,40),0)/100)),0)</f>
        <v/>
      </c>
      <c r="R264">
        <f>IF(AND(Inputs!$B$38&lt;&gt;"pvp",Inputs!$B$43&gt;0),IF(MAX(0,Inputs!$B$43-B300)&lt;=0,0,(INT(MAX(0,Inputs!$B$43-B300)/(IF(Inputs!$B$38="pvp",15,MAX(0.1,Skills!D5-IF(Skills!E5=TRUE,Inputs!$B$32,0)))*(1-IF(AND(ArtifactsInput!$M$27,Inputs!$B$4="Chapter Hunt"),CHOOSE(ArtifactsInput!$N$27+1,20,24,28,32,36,40),0)/100)))+1)),0)</f>
        <v/>
      </c>
      <c r="S264">
        <f>IFERROR(O264/N264,0)</f>
        <v/>
      </c>
      <c r="T264">
        <f>IF(C264,(H264*N264*IF(AND(Inputs!$B$38&lt;&gt;"pvp",Inputs!$B$43&gt;0),((Skills!G5*((R264-1)*IF(Skills!H5&gt;0,Skills!I5/Skills!H5,1)+IF(Skills!H5&gt;0,MIN(Skills!I5,MAX(0,MAX(0,Inputs!$B$43-B300)-((R264-1)*(IF(Inputs!$B$38="pvp",15,MAX(0.1,Skills!D5-IF(Skills!E5=TRUE,Inputs!$B$32,0)))*(1-IF(AND(ArtifactsInput!$M$27,Inputs!$B$4="Chapter Hunt"),CHOOSE(ArtifactsInput!$N$27+1,20,24,28,32,36,40),0)/100)))))/Skills!H5,1)))/Inputs!$B$43),G264*Q264)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264*(1-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
        <f>IF(C264,(H264*N264*IF(AND(Inputs!$B$38&lt;&gt;"pvp",Inputs!$B$43&gt;0),((Skills!G5*((R264-1)*IF(Skills!H5&gt;0,Skills!I5/Skills!H5,1)+IF(Skills!H5&gt;0,MIN(Skills!I5,MAX(0,MAX(0,Inputs!$B$43-B300)-((R264-1)*(IF(Inputs!$B$38="pvp",15,MAX(0.1,Skills!D5-IF(Skills!E5=TRUE,Inputs!$B$32,0)))*(1-IF(AND(ArtifactsInput!$M$27,Inputs!$B$4="Chapter Hunt"),CHOOSE(ArtifactsInput!$N$27+1,20,24,28,32,36,40),0)/100)))))/Skills!H5,1)))/Inputs!$B$43),G264*Q264))*IF(Inputs!$B$38="pvp",1,(1+(Inputs!$B$21+Skills!Q5+(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
      <c r="A265">
        <f>Skills!A6</f>
        <v/>
      </c>
      <c r="B265">
        <f>Skills!B6</f>
        <v/>
      </c>
      <c r="C265">
        <f>Inputs!$B$3&gt;=40</f>
        <v/>
      </c>
      <c r="D265">
        <f>IF(Skills!C6=1,60+Inputs!$B$25+Inputs!$B$29,IF(Skills!C6=2,90+Inputs!$B$26+Inputs!$B$29,IF(Skills!C6=3,120+Inputs!$B$27+Inputs!$B$29,MAX(0,(Inputs!$B$3-100)*3)+Inputs!$B$28+Inputs!$B$29)))</f>
        <v/>
      </c>
      <c r="E265">
        <f>INDEX(FactorTable!$B$2:$Y$301, MATCH(ROUND(MIN(300,MAX(1,D265)),0), FactorTable!$A$2:$A$301,0), Skills!M6+1)</f>
        <v/>
      </c>
      <c r="F265">
        <f>IF(Skills!N6=TRUE,(Skills!L6/10)*(E265/1000),Skills!L6/10)+Skills!O6</f>
        <v/>
      </c>
      <c r="G265">
        <f>Skills!G6*IF(Skills!H6&gt;0,Skills!I6/Skills!H6,1)</f>
        <v/>
      </c>
      <c r="H265">
        <f>1-(1-Skills!J6/100)^Skills!K6</f>
        <v/>
      </c>
      <c r="I265" t="inlineStr">
        <is>
          <t>1</t>
        </is>
      </c>
      <c r="J265">
        <f>((Inputs!$B$6*(1+Inputs!$B$7/100))+(((Inputs!$B$12*(1+Inputs!$B$13/100))-(Inputs!$B$12*(1+Inputs!$B$13/100)))+0.25*(Inputs!$B$14-Inputs!$B$14))*(1+Inputs!$B$7/100))*(F265/100)</f>
        <v/>
      </c>
      <c r="K265">
        <f>J265*(1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266=TRUE,F266,0)/100)*(1+(IF(Skills!A6="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f>
        <v/>
      </c>
      <c r="L265">
        <f>K265*(MIN(Inputs!$B$22+((C284=TRUE)*(F284-Calc!F25)),(Inputs!$B$23+((C289=TRUE)*(F289-Calc!F30))+(IF(ArtifactsInput!$M$15,CHOOSE(ArtifactsInput!$N$15+1,25,30,35,40,45,50)/100*(Inputs!$B$11-Inputs!$B$11),0))))/100+(Inputs!$B$23+((C289=TRUE)*(F289-Calc!F30))+(IF(ArtifactsInput!$M$15,CHOOSE(ArtifactsInput!$N$15+1,25,30,35,40,45,50)/100*(Inputs!$B$11-Inputs!$B$11),0)))/100)/2</f>
        <v/>
      </c>
      <c r="M265">
        <f>L265*(1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
        <f>L265*(1-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
        <f>(1-Summary!$B$11)*T265+Summary!$B$11*V265</f>
        <v/>
      </c>
      <c r="P265">
        <f>IF(B303=0,0,O265/B303)</f>
        <v/>
      </c>
      <c r="Q265">
        <f>IFERROR(1/(IF(Inputs!$B$38="pvp",15,MAX(0.1,Skills!D6-IF(Skills!E6=TRUE,Inputs!$B$32,0)))*(1-IF(AND(ArtifactsInput!$M$27,Inputs!$B$4="Chapter Hunt"),CHOOSE(ArtifactsInput!$N$27+1,20,24,28,32,36,40),0)/100)),0)</f>
        <v/>
      </c>
      <c r="R265">
        <f>IF(AND(Inputs!$B$38&lt;&gt;"pvp",Inputs!$B$43&gt;0),IF(MAX(0,Inputs!$B$43-B300)&lt;=0,0,(INT(MAX(0,Inputs!$B$43-B300)/(IF(Inputs!$B$38="pvp",15,MAX(0.1,Skills!D6-IF(Skills!E6=TRUE,Inputs!$B$32,0)))*(1-IF(AND(ArtifactsInput!$M$27,Inputs!$B$4="Chapter Hunt"),CHOOSE(ArtifactsInput!$N$27+1,20,24,28,32,36,40),0)/100)))+1)),0)</f>
        <v/>
      </c>
      <c r="S265">
        <f>IFERROR(O265/N265,0)</f>
        <v/>
      </c>
      <c r="T265">
        <f>IF(C265,(H265*N265*IF(AND(Inputs!$B$38&lt;&gt;"pvp",Inputs!$B$43&gt;0),((Skills!G6*((R265-1)*IF(Skills!H6&gt;0,Skills!I6/Skills!H6,1)+IF(Skills!H6&gt;0,MIN(Skills!I6,MAX(0,MAX(0,Inputs!$B$43-B300)-((R265-1)*(IF(Inputs!$B$38="pvp",15,MAX(0.1,Skills!D6-IF(Skills!E6=TRUE,Inputs!$B$32,0)))*(1-IF(AND(ArtifactsInput!$M$27,Inputs!$B$4="Chapter Hunt"),CHOOSE(ArtifactsInput!$N$27+1,20,24,28,32,36,40),0)/100)))))/Skills!H6,1)))/Inputs!$B$43),G265*Q265)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265*(1-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
        <f>IF(C265,(H265*N265*IF(AND(Inputs!$B$38&lt;&gt;"pvp",Inputs!$B$43&gt;0),((Skills!G6*((R265-1)*IF(Skills!H6&gt;0,Skills!I6/Skills!H6,1)+IF(Skills!H6&gt;0,MIN(Skills!I6,MAX(0,MAX(0,Inputs!$B$43-B300)-((R265-1)*(IF(Inputs!$B$38="pvp",15,MAX(0.1,Skills!D6-IF(Skills!E6=TRUE,Inputs!$B$32,0)))*(1-IF(AND(ArtifactsInput!$M$27,Inputs!$B$4="Chapter Hunt"),CHOOSE(ArtifactsInput!$N$27+1,20,24,28,32,36,40),0)/100)))))/Skills!H6,1)))/Inputs!$B$43),G265*Q265))*IF(Inputs!$B$38="pvp",1,(1+(Inputs!$B$21+Skills!Q6+(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
      <c r="A266">
        <f>Skills!A7</f>
        <v/>
      </c>
      <c r="B266">
        <f>Skills!B7</f>
        <v/>
      </c>
      <c r="C266">
        <f>Inputs!$B$3&gt;=107</f>
        <v/>
      </c>
      <c r="D266">
        <f>IF(Skills!C7=1,60+Inputs!$B$25+Inputs!$B$29,IF(Skills!C7=2,90+Inputs!$B$26+Inputs!$B$29,IF(Skills!C7=3,120+Inputs!$B$27+Inputs!$B$29,MAX(0,(Inputs!$B$3-100)*3)+Inputs!$B$28+Inputs!$B$29)))</f>
        <v/>
      </c>
      <c r="E266">
        <f>INDEX(FactorTable!$B$2:$Y$301, MATCH(ROUND(MIN(300,MAX(1,D266)),0), FactorTable!$A$2:$A$301,0), Skills!M7+1)</f>
        <v/>
      </c>
      <c r="F266">
        <f>IF(Skills!N7=TRUE,(Skills!L7/10)*(E266/1000),Skills!L7/10)+Skills!O7</f>
        <v/>
      </c>
      <c r="G266" t="inlineStr"/>
      <c r="H266" t="inlineStr"/>
      <c r="I266" t="inlineStr">
        <is>
          <t>1</t>
        </is>
      </c>
      <c r="J266" t="inlineStr"/>
      <c r="K266" t="inlineStr"/>
      <c r="L266" t="inlineStr"/>
      <c r="M266" t="inlineStr"/>
      <c r="N266" t="inlineStr"/>
      <c r="O266" t="inlineStr"/>
      <c r="P266" t="inlineStr"/>
      <c r="Q266" t="inlineStr"/>
      <c r="R266" t="inlineStr"/>
      <c r="S266" t="inlineStr"/>
      <c r="T266" t="inlineStr"/>
      <c r="V266" t="inlineStr"/>
    </row>
    <row r="267">
      <c r="A267">
        <f>Skills!A8</f>
        <v/>
      </c>
      <c r="B267">
        <f>Skills!B8</f>
        <v/>
      </c>
      <c r="C267">
        <f>Inputs!$B$3&gt;=69</f>
        <v/>
      </c>
      <c r="D267">
        <f>IF(Skills!C8=1,60+Inputs!$B$25+Inputs!$B$29,IF(Skills!C8=2,90+Inputs!$B$26+Inputs!$B$29,IF(Skills!C8=3,120+Inputs!$B$27+Inputs!$B$29,MAX(0,(Inputs!$B$3-100)*3)+Inputs!$B$28+Inputs!$B$29)))</f>
        <v/>
      </c>
      <c r="E267">
        <f>INDEX(FactorTable!$B$2:$Y$301, MATCH(ROUND(MIN(300,MAX(1,D267)),0), FactorTable!$A$2:$A$301,0), Skills!M8+1)</f>
        <v/>
      </c>
      <c r="F267">
        <f>IF(Skills!N8=TRUE,(Skills!L8/10)*(E267/1000),Skills!L8/10)+Skills!O8</f>
        <v/>
      </c>
      <c r="G267">
        <f>Skills!G8*IF(Skills!H8&gt;0,Skills!I8/Skills!H8,1)</f>
        <v/>
      </c>
      <c r="H267">
        <f>1-(1-Skills!J8/100)^Skills!K8</f>
        <v/>
      </c>
      <c r="I267" t="inlineStr">
        <is>
          <t>1</t>
        </is>
      </c>
      <c r="J267">
        <f>((Inputs!$B$6*(1+Inputs!$B$7/100))+(((Inputs!$B$12*(1+Inputs!$B$13/100))-(Inputs!$B$12*(1+Inputs!$B$13/100)))+0.25*(Inputs!$B$14-Inputs!$B$14))*(1+Inputs!$B$7/100))*(F267/100)</f>
        <v/>
      </c>
      <c r="K267">
        <f>J267*(1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270=TRUE,F270,0)/100)*(1+(IF(Skills!A8="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f>
        <v/>
      </c>
      <c r="L267">
        <f>K267*(MIN(Inputs!$B$22+((C284=TRUE)*(F284-Calc!F25)),(Inputs!$B$23+((C289=TRUE)*(F289-Calc!F30))+(IF(ArtifactsInput!$M$15,CHOOSE(ArtifactsInput!$N$15+1,25,30,35,40,45,50)/100*(Inputs!$B$11-Inputs!$B$11),0))))/100+(Inputs!$B$23+((C289=TRUE)*(F289-Calc!F30))+(IF(ArtifactsInput!$M$15,CHOOSE(ArtifactsInput!$N$15+1,25,30,35,40,45,50)/100*(Inputs!$B$11-Inputs!$B$11),0)))/100)/2</f>
        <v/>
      </c>
      <c r="M267">
        <f>L267*(1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
        <f>L267*(1-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
        <f>(1-Summary!$B$11)*T267+Summary!$B$11*V267</f>
        <v/>
      </c>
      <c r="P267">
        <f>IF(B303=0,0,O267/B303)</f>
        <v/>
      </c>
      <c r="Q267">
        <f>IFERROR(1/(IF(Inputs!$B$38="pvp",15,MAX(0.1,Skills!D8-IF(Skills!E8=TRUE,Inputs!$B$32,0)))*(1-IF(AND(ArtifactsInput!$M$27,Inputs!$B$4="Chapter Hunt"),CHOOSE(ArtifactsInput!$N$27+1,20,24,28,32,36,40),0)/100)),0)</f>
        <v/>
      </c>
      <c r="R267">
        <f>IF(AND(Inputs!$B$38&lt;&gt;"pvp",Inputs!$B$43&gt;0),IF(MAX(0,Inputs!$B$43-B300)&lt;=0,0,(INT(MAX(0,Inputs!$B$43-B300)/(IF(Inputs!$B$38="pvp",15,MAX(0.1,Skills!D8-IF(Skills!E8=TRUE,Inputs!$B$32,0)))*(1-IF(AND(ArtifactsInput!$M$27,Inputs!$B$4="Chapter Hunt"),CHOOSE(ArtifactsInput!$N$27+1,20,24,28,32,36,40),0)/100)))+1)),0)</f>
        <v/>
      </c>
      <c r="S267">
        <f>IFERROR(O267/N267,0)</f>
        <v/>
      </c>
      <c r="T267">
        <f>IF(C267,(H267*N267*IF(AND(Inputs!$B$38&lt;&gt;"pvp",Inputs!$B$43&gt;0),((Skills!G8*((R267-1)*IF(Skills!H8&gt;0,Skills!I8/Skills!H8,1)+IF(Skills!H8&gt;0,MIN(Skills!I8,MAX(0,MAX(0,Inputs!$B$43-B300)-((R267-1)*(IF(Inputs!$B$38="pvp",15,MAX(0.1,Skills!D8-IF(Skills!E8=TRUE,Inputs!$B$32,0)))*(1-IF(AND(ArtifactsInput!$M$27,Inputs!$B$4="Chapter Hunt"),CHOOSE(ArtifactsInput!$N$27+1,20,24,28,32,36,40),0)/100)))))/Skills!H8,1)))/Inputs!$B$43),G267*Q267)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267*(1-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7">
        <f>IF(C267,(H267*N267*IF(AND(Inputs!$B$38&lt;&gt;"pvp",Inputs!$B$43&gt;0),((Skills!G8*((R267-1)*IF(Skills!H8&gt;0,Skills!I8/Skills!H8,1)+IF(Skills!H8&gt;0,MIN(Skills!I8,MAX(0,MAX(0,Inputs!$B$43-B300)-((R267-1)*(IF(Inputs!$B$38="pvp",15,MAX(0.1,Skills!D8-IF(Skills!E8=TRUE,Inputs!$B$32,0)))*(1-IF(AND(ArtifactsInput!$M$27,Inputs!$B$4="Chapter Hunt"),CHOOSE(ArtifactsInput!$N$27+1,20,24,28,32,36,40),0)/100)))))/Skills!H8,1)))/Inputs!$B$43),G267*Q267))*IF(Inputs!$B$38="pvp",1,(1+(Inputs!$B$21+Skills!Q8+(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
      <c r="A268">
        <f>Skills!A9</f>
        <v/>
      </c>
      <c r="B268">
        <f>Skills!B9</f>
        <v/>
      </c>
      <c r="C268">
        <f>Inputs!$B$3&gt;=63</f>
        <v/>
      </c>
      <c r="D268">
        <f>IF(Skills!C9=1,60+Inputs!$B$25+Inputs!$B$29,IF(Skills!C9=2,90+Inputs!$B$26+Inputs!$B$29,IF(Skills!C9=3,120+Inputs!$B$27+Inputs!$B$29,MAX(0,(Inputs!$B$3-100)*3)+Inputs!$B$28+Inputs!$B$29)))</f>
        <v/>
      </c>
      <c r="E268">
        <f>INDEX(FactorTable!$B$2:$Y$301, MATCH(ROUND(MIN(300,MAX(1,D268)),0), FactorTable!$A$2:$A$301,0), Skills!M9+1)</f>
        <v/>
      </c>
      <c r="F268">
        <f>IF(Skills!N9=TRUE,(Skills!L9/10)*(E268/1000),Skills!L9/10)+Skills!O9</f>
        <v/>
      </c>
      <c r="G268">
        <f>Skills!G9*IF(Skills!H9&gt;0,Skills!I9/Skills!H9,1)</f>
        <v/>
      </c>
      <c r="H268">
        <f>1-(1-Skills!J9/100)^Skills!K9</f>
        <v/>
      </c>
      <c r="I268" t="inlineStr">
        <is>
          <t>1</t>
        </is>
      </c>
      <c r="J268">
        <f>((Inputs!$B$6*(1+Inputs!$B$7/100))+(((Inputs!$B$12*(1+Inputs!$B$13/100))-(Inputs!$B$12*(1+Inputs!$B$13/100)))+0.25*(Inputs!$B$14-Inputs!$B$14))*(1+Inputs!$B$7/100))*(F268/100)</f>
        <v/>
      </c>
      <c r="K268">
        <f>J268*(1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270=TRUE,F270,0)/100)*(1+(IF(Skills!A9="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f>
        <v/>
      </c>
      <c r="L268">
        <f>K268*(MIN(Inputs!$B$22+((C284=TRUE)*(F284-Calc!F25)),(Inputs!$B$23+((C289=TRUE)*(F289-Calc!F30))+(IF(ArtifactsInput!$M$15,CHOOSE(ArtifactsInput!$N$15+1,25,30,35,40,45,50)/100*(Inputs!$B$11-Inputs!$B$11),0))))/100+(Inputs!$B$23+((C289=TRUE)*(F289-Calc!F30))+(IF(ArtifactsInput!$M$15,CHOOSE(ArtifactsInput!$N$15+1,25,30,35,40,45,50)/100*(Inputs!$B$11-Inputs!$B$11),0)))/100)/2</f>
        <v/>
      </c>
      <c r="M268">
        <f>L268*(1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
        <f>L268*(1-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
        <f>(1-Summary!$B$11)*T268+Summary!$B$11*V268</f>
        <v/>
      </c>
      <c r="P268">
        <f>IF(B303=0,0,O268/B303)</f>
        <v/>
      </c>
      <c r="Q268">
        <f>IFERROR(1/(IF(Inputs!$B$38="pvp",15,MAX(0.1,Skills!D9-IF(Skills!E9=TRUE,Inputs!$B$32,0)))*(1-IF(AND(ArtifactsInput!$M$27,Inputs!$B$4="Chapter Hunt"),CHOOSE(ArtifactsInput!$N$27+1,20,24,28,32,36,40),0)/100)),0)</f>
        <v/>
      </c>
      <c r="R268">
        <f>IF(AND(Inputs!$B$38&lt;&gt;"pvp",Inputs!$B$43&gt;0),IF(MAX(0,Inputs!$B$43-B300)&lt;=0,0,(INT(MAX(0,Inputs!$B$43-B300)/(IF(Inputs!$B$38="pvp",15,MAX(0.1,Skills!D9-IF(Skills!E9=TRUE,Inputs!$B$32,0)))*(1-IF(AND(ArtifactsInput!$M$27,Inputs!$B$4="Chapter Hunt"),CHOOSE(ArtifactsInput!$N$27+1,20,24,28,32,36,40),0)/100)))+1)),0)</f>
        <v/>
      </c>
      <c r="S268">
        <f>IFERROR(O268/N268,0)</f>
        <v/>
      </c>
      <c r="T268">
        <f>IF(C268,(H268*N268*IF(AND(Inputs!$B$38&lt;&gt;"pvp",Inputs!$B$43&gt;0),((Skills!G9*((R268-1)*IF(Skills!H9&gt;0,Skills!I9/Skills!H9,1)+IF(Skills!H9&gt;0,MIN(Skills!I9,MAX(0,MAX(0,Inputs!$B$43-B300)-((R268-1)*(IF(Inputs!$B$38="pvp",15,MAX(0.1,Skills!D9-IF(Skills!E9=TRUE,Inputs!$B$32,0)))*(1-IF(AND(ArtifactsInput!$M$27,Inputs!$B$4="Chapter Hunt"),CHOOSE(ArtifactsInput!$N$27+1,20,24,28,32,36,40),0)/100)))))/Skills!H9,1)))/Inputs!$B$43),G268*Q268)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268*(1-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
        <f>IF(C268,(H268*N268*IF(AND(Inputs!$B$38&lt;&gt;"pvp",Inputs!$B$43&gt;0),((Skills!G9*((R268-1)*IF(Skills!H9&gt;0,Skills!I9/Skills!H9,1)+IF(Skills!H9&gt;0,MIN(Skills!I9,MAX(0,MAX(0,Inputs!$B$43-B300)-((R268-1)*(IF(Inputs!$B$38="pvp",15,MAX(0.1,Skills!D9-IF(Skills!E9=TRUE,Inputs!$B$32,0)))*(1-IF(AND(ArtifactsInput!$M$27,Inputs!$B$4="Chapter Hunt"),CHOOSE(ArtifactsInput!$N$27+1,20,24,28,32,36,40),0)/100)))))/Skills!H9,1)))/Inputs!$B$43),G268*Q268))*IF(Inputs!$B$38="pvp",1,(1+(Inputs!$B$21+Skills!Q9+(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
      <c r="A269">
        <f>Skills!A10</f>
        <v/>
      </c>
      <c r="B269">
        <f>Skills!B10</f>
        <v/>
      </c>
      <c r="C269">
        <f>Inputs!$B$3&gt;=103</f>
        <v/>
      </c>
      <c r="D269">
        <f>IF(Skills!C10=1,60+Inputs!$B$25+Inputs!$B$29,IF(Skills!C10=2,90+Inputs!$B$26+Inputs!$B$29,IF(Skills!C10=3,120+Inputs!$B$27+Inputs!$B$29,MAX(0,(Inputs!$B$3-100)*3)+Inputs!$B$28+Inputs!$B$29)))</f>
        <v/>
      </c>
      <c r="E269">
        <f>INDEX(FactorTable!$B$2:$Y$301, MATCH(ROUND(MIN(300,MAX(1,D269)),0), FactorTable!$A$2:$A$301,0), Skills!M10+1)</f>
        <v/>
      </c>
      <c r="F269">
        <f>IF(Skills!N10=TRUE,(Skills!L10/10)*(E269/1000),Skills!L10/10)+Skills!O10</f>
        <v/>
      </c>
      <c r="G269">
        <f>Skills!G10*IF(Skills!H10&gt;0,Skills!I10/Skills!H10,1)</f>
        <v/>
      </c>
      <c r="H269">
        <f>1-(1-Skills!J10/100)^Skills!K10</f>
        <v/>
      </c>
      <c r="I269" t="inlineStr">
        <is>
          <t>1</t>
        </is>
      </c>
      <c r="J269">
        <f>((Inputs!$B$6*(1+Inputs!$B$7/100))+(((Inputs!$B$12*(1+Inputs!$B$13/100))-(Inputs!$B$12*(1+Inputs!$B$13/100)))+0.25*(Inputs!$B$14-Inputs!$B$14))*(1+Inputs!$B$7/100))*(F269/100)</f>
        <v/>
      </c>
      <c r="K269">
        <f>J269*(1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f>
        <v/>
      </c>
      <c r="L269">
        <f>K269*(MIN(Inputs!$B$22+((C284=TRUE)*(F284-Calc!F25)),(Inputs!$B$23+((C289=TRUE)*(F289-Calc!F30))+(IF(ArtifactsInput!$M$15,CHOOSE(ArtifactsInput!$N$15+1,25,30,35,40,45,50)/100*(Inputs!$B$11-Inputs!$B$11),0))))/100+(Inputs!$B$23+((C289=TRUE)*(F289-Calc!F30))+(IF(ArtifactsInput!$M$15,CHOOSE(ArtifactsInput!$N$15+1,25,30,35,40,45,50)/100*(Inputs!$B$11-Inputs!$B$11),0)))/100)/2</f>
        <v/>
      </c>
      <c r="M269">
        <f>L269*(1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
        <f>L269*(1-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
        <f>(1-Summary!$B$11)*T269+Summary!$B$11*V269</f>
        <v/>
      </c>
      <c r="P269">
        <f>IF(B303=0,0,O269/B303)</f>
        <v/>
      </c>
      <c r="Q269">
        <f>IFERROR(1/(IF(Inputs!$B$38="pvp",15,MAX(0.1,Skills!D10-IF(Skills!E10=TRUE,Inputs!$B$32,0)))*(1-IF(AND(ArtifactsInput!$M$27,Inputs!$B$4="Chapter Hunt"),CHOOSE(ArtifactsInput!$N$27+1,20,24,28,32,36,40),0)/100)),0)</f>
        <v/>
      </c>
      <c r="R269">
        <f>IF(AND(Inputs!$B$38&lt;&gt;"pvp",Inputs!$B$43&gt;0),IF(MAX(0,Inputs!$B$43-B300)&lt;=0,0,(INT(MAX(0,Inputs!$B$43-B300)/(IF(Inputs!$B$38="pvp",15,MAX(0.1,Skills!D10-IF(Skills!E10=TRUE,Inputs!$B$32,0)))*(1-IF(AND(ArtifactsInput!$M$27,Inputs!$B$4="Chapter Hunt"),CHOOSE(ArtifactsInput!$N$27+1,20,24,28,32,36,40),0)/100)))+1)),0)</f>
        <v/>
      </c>
      <c r="S269">
        <f>IFERROR(O269/N269,0)</f>
        <v/>
      </c>
      <c r="T269">
        <f>IF(C269,(H269*N269*IF(AND(Inputs!$B$38&lt;&gt;"pvp",Inputs!$B$43&gt;0),((Skills!G10*((R269-1)*IF(Skills!H10&gt;0,Skills!I10/Skills!H10,1)+IF(Skills!H10&gt;0,MIN(Skills!I10,MAX(0,MAX(0,Inputs!$B$43-B300)-((R269-1)*(IF(Inputs!$B$38="pvp",15,MAX(0.1,Skills!D10-IF(Skills!E10=TRUE,Inputs!$B$32,0)))*(1-IF(AND(ArtifactsInput!$M$27,Inputs!$B$4="Chapter Hunt"),CHOOSE(ArtifactsInput!$N$27+1,20,24,28,32,36,40),0)/100)))))/Skills!H10,1)))/Inputs!$B$43),G269*Q269)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269*(1-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
        <f>IF(C269,(H269*N269*IF(AND(Inputs!$B$38&lt;&gt;"pvp",Inputs!$B$43&gt;0),((Skills!G10*((R269-1)*IF(Skills!H10&gt;0,Skills!I10/Skills!H10,1)+IF(Skills!H10&gt;0,MIN(Skills!I10,MAX(0,MAX(0,Inputs!$B$43-B300)-((R269-1)*(IF(Inputs!$B$38="pvp",15,MAX(0.1,Skills!D10-IF(Skills!E10=TRUE,Inputs!$B$32,0)))*(1-IF(AND(ArtifactsInput!$M$27,Inputs!$B$4="Chapter Hunt"),CHOOSE(ArtifactsInput!$N$27+1,20,24,28,32,36,40),0)/100)))))/Skills!H10,1)))/Inputs!$B$43),G269*Q269))*IF(Inputs!$B$38="pvp",1,(1+(Inputs!$B$21+Skills!Q10+(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
      <c r="A270">
        <f>Skills!A11</f>
        <v/>
      </c>
      <c r="B270">
        <f>Skills!B11</f>
        <v/>
      </c>
      <c r="C270">
        <f>Inputs!$B$3&gt;=100</f>
        <v/>
      </c>
      <c r="D270">
        <f>IF(Skills!C11=1,60+Inputs!$B$25+Inputs!$B$29,IF(Skills!C11=2,90+Inputs!$B$26+Inputs!$B$29,IF(Skills!C11=3,120+Inputs!$B$27+Inputs!$B$29,MAX(0,(Inputs!$B$3-100)*3)+Inputs!$B$28+Inputs!$B$29)))</f>
        <v/>
      </c>
      <c r="E270">
        <f>INDEX(FactorTable!$B$2:$Y$301, MATCH(ROUND(MIN(300,MAX(1,D270)),0), FactorTable!$A$2:$A$301,0), Skills!M11+1)</f>
        <v/>
      </c>
      <c r="F270">
        <f>IF(Skills!N11=TRUE,(Skills!L11/10)*(E270/1000),Skills!L11/10)+Skills!O11</f>
        <v/>
      </c>
      <c r="G270" t="inlineStr"/>
      <c r="H270" t="inlineStr"/>
      <c r="I270" t="inlineStr">
        <is>
          <t>1</t>
        </is>
      </c>
      <c r="J270" t="inlineStr"/>
      <c r="K270" t="inlineStr"/>
      <c r="L270" t="inlineStr"/>
      <c r="M270" t="inlineStr"/>
      <c r="N270" t="inlineStr"/>
      <c r="O270" t="inlineStr"/>
      <c r="P270" t="inlineStr"/>
      <c r="Q270" t="inlineStr"/>
      <c r="R270" t="inlineStr"/>
      <c r="S270" t="inlineStr"/>
      <c r="T270" t="inlineStr"/>
      <c r="V270" t="inlineStr"/>
    </row>
    <row r="271">
      <c r="A271">
        <f>Skills!A12</f>
        <v/>
      </c>
      <c r="B271">
        <f>Skills!B12</f>
        <v/>
      </c>
      <c r="C271">
        <f>Inputs!$B$3&gt;=60</f>
        <v/>
      </c>
      <c r="D271">
        <f>IF(Skills!C12=1,60+Inputs!$B$25+Inputs!$B$29,IF(Skills!C12=2,90+Inputs!$B$26+Inputs!$B$29,IF(Skills!C12=3,120+Inputs!$B$27+Inputs!$B$29,MAX(0,(Inputs!$B$3-100)*3)+Inputs!$B$28+Inputs!$B$29)))</f>
        <v/>
      </c>
      <c r="E271">
        <f>INDEX(FactorTable!$B$2:$Y$301, MATCH(ROUND(MIN(300,MAX(1,D271)),0), FactorTable!$A$2:$A$301,0), Skills!M12+1)</f>
        <v/>
      </c>
      <c r="F271">
        <f>IF(Skills!N12=TRUE,(Skills!L12/10)*(E271/1000),Skills!L12/10)+Skills!O12</f>
        <v/>
      </c>
      <c r="G271">
        <f>Skills!G12*IF(Skills!H12&gt;0,Skills!I12/Skills!H12,1)</f>
        <v/>
      </c>
      <c r="H271">
        <f>1-(1-Skills!J12/100)^Skills!K12</f>
        <v/>
      </c>
      <c r="I271" t="inlineStr">
        <is>
          <t>1</t>
        </is>
      </c>
      <c r="J271">
        <f>((Inputs!$B$6*(1+Inputs!$B$7/100))+(((Inputs!$B$12*(1+Inputs!$B$13/100))-(Inputs!$B$12*(1+Inputs!$B$13/100)))+0.25*(Inputs!$B$14-Inputs!$B$14))*(1+Inputs!$B$7/100))*(F271/100)</f>
        <v/>
      </c>
      <c r="K271">
        <f>J271*(1+((Inputs!$B$12*(1+Inputs!$B$13/100))*0.01+Inputs!$B$14*0.0025)/100)*(1+Inputs!$B$15/100)*(1+(Inputs!$B$16+1)/100)*(5000/(6000+Inputs!$B$42*(1-(100*(1-(1-(Inputs!$B$19+((C287=TRUE)*(F287-Calc!F28)))/100)*(1-CHOOSE(ArtifactsInput!$N$40+1,5,6,7,8,9,10)/100)^(ArtifactsInput!$M$40-ArtifactsInput!$M$40)))/100)))*(1+(Inputs!$B$24+((C285=TRUE)*(F285-Calc!F26))+((C286=TRUE)*(F286-Calc!F27))+B299)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TRUE,F272,0)/100)*(1+(IF(Skills!A12="ARROW_STREAM",Inputs!$B$17+((C283=TRUE)*(F283-Calc!F24))+(((IF(AND(ArtifactsInput!$M$42,((Inputs!$B$9+((C280=TRUE)*(F280-Calc!F21))+B293+(ArtifactsInput!$M$24-ArtifactsInput!$M$24)*CHOOSE(ArtifactsInput!$N$24+1,10,12,14,16,18,20)+IF(ArtifactsInput!$M$10,CHOOSE(ArtifactsInput!$N$10+1,15,18,21,24,27,30)*(IF(Inputs!$B$38="pvp",MIN(15,15)/15,IF(AND(Inputs!$B$38&lt;&gt;"pvp",Inputs!$B$43&gt;0),MIN(15,Inputs!$B$43)/(Inputs!$B$43),0))),0)))&gt;=100),MIN(100,((Inputs!$B$9+((C280=TRUE)*(F280-Calc!F21))+B293+(ArtifactsInput!$M$24-ArtifactsInput!$M$24)*CHOOSE(ArtifactsInput!$N$24+1,10,12,14,16,18,20)+IF(ArtifactsInput!$M$10,CHOOSE(ArtifactsInput!$N$10+1,15,18,21,24,27,30)*(IF(Inputs!$B$38="pvp",MIN(15,15)/15,IF(AND(Inputs!$B$38&lt;&gt;"pvp",Inputs!$B$43&gt;0),MIN(15,Inputs!$B$43)/(Inputs!$B$43),0))),0)))-100),0))*CHOOSE(ArtifactsInput!$N$42+1,0.6,0.72,0.84,0.96,1.08,1.2))),Inputs!$B$18+((C288=TRUE)*(F288-Calc!F29))+(IF(AND(ArtifactsInput!$M$42,((Inputs!$B$9+((C280=TRUE)*(F280-Calc!F21))+B293+(ArtifactsInput!$M$24-ArtifactsInput!$M$24)*CHOOSE(ArtifactsInput!$N$24+1,10,12,14,16,18,20)+IF(ArtifactsInput!$M$10,CHOOSE(ArtifactsInput!$N$10+1,15,18,21,24,27,30)*(IF(Inputs!$B$38="pvp",MIN(15,15)/15,IF(AND(Inputs!$B$38&lt;&gt;"pvp",Inputs!$B$43&gt;0),MIN(15,Inputs!$B$43)/(Inputs!$B$43),0))),0)))&gt;=100),CHOOSE(ArtifactsInput!$N$42+1,40,48,56,64,72,80),0))))/100)*((1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f>
        <v/>
      </c>
      <c r="L271">
        <f>K271*(MIN(Inputs!$B$22+((C284=TRUE)*(F284-Calc!F25)),(Inputs!$B$23+((C289=TRUE)*(F289-Calc!F30))+(IF(ArtifactsInput!$M$15,CHOOSE(ArtifactsInput!$N$15+1,25,30,35,40,45,50)/100*(Inputs!$B$11-Inputs!$B$11),0))))/100+(Inputs!$B$23+((C289=TRUE)*(F289-Calc!F30))+(IF(ArtifactsInput!$M$15,CHOOSE(ArtifactsInput!$N$15+1,25,30,35,40,45,50)/100*(Inputs!$B$11-Inputs!$B$11),0)))/100)/2</f>
        <v/>
      </c>
      <c r="M271">
        <f>L271*(1+(Inputs!$B$10+0+B298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
        <f>L271*(1-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MIN((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
        <f>(1-Summary!$B$11)*T271+Summary!$B$11*V271</f>
        <v/>
      </c>
      <c r="P271">
        <f>IF(B303=0,0,O271/B303)</f>
        <v/>
      </c>
      <c r="Q271">
        <f>IFERROR(1/(IF(Inputs!$B$38="pvp",15,MAX(0.1,Skills!D12-IF(Skills!E12=TRUE,Inputs!$B$32,0)))*(1-IF(AND(ArtifactsInput!$M$27,Inputs!$B$4="Chapter Hunt"),CHOOSE(ArtifactsInput!$N$27+1,20,24,28,32,36,40),0)/100)),0)</f>
        <v/>
      </c>
      <c r="R271">
        <f>IF(AND(Inputs!$B$38&lt;&gt;"pvp",Inputs!$B$43&gt;0),IF(MAX(0,Inputs!$B$43-B300)&lt;=0,0,(INT(MAX(0,Inputs!$B$43-B300)/(IF(Inputs!$B$38="pvp",15,MAX(0.1,Skills!D12-IF(Skills!E12=TRUE,Inputs!$B$32,0)))*(1-IF(AND(ArtifactsInput!$M$27,Inputs!$B$4="Chapter Hunt"),CHOOSE(ArtifactsInput!$N$27+1,20,24,28,32,36,40),0)/100)))+1)),0)</f>
        <v/>
      </c>
      <c r="S271">
        <f>IFERROR(O271/N271,0)</f>
        <v/>
      </c>
      <c r="T271">
        <f>IF(C271,(H271*N271*IF(AND(Inputs!$B$38&lt;&gt;"pvp",Inputs!$B$43&gt;0),((Skills!G12*((R271-1)*IF(Skills!H12&gt;0,Skills!I12/Skills!H12,1)+IF(Skills!H12&gt;0,MIN(Skills!I12,MAX(0,MAX(0,Inputs!$B$43-B300)-((R271-1)*(IF(Inputs!$B$38="pvp",15,MAX(0.1,Skills!D12-IF(Skills!E12=TRUE,Inputs!$B$32,0)))*(1-IF(AND(ArtifactsInput!$M$27,Inputs!$B$4="Chapter Hunt"),CHOOSE(ArtifactsInput!$N$27+1,20,24,28,32,36,40),0)/100)))))/Skills!H12,1)))/Inputs!$B$43),G271*Q271)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(5000/(6000+Inputs!$B$42*(1-(100*(1-(1-(100*(1-(1-(Inputs!$B$19+((C287=TRUE)*(F287-Calc!F28)))/100)*(1-CHOOSE(ArtifactsInput!$N$40+1,5,6,7,8,9,10)/100)^(ArtifactsInput!$M$40-ArtifactsInput!$M$40)))/100)*(1-IF(ArtifactsInput!$M$40,CHOOSE(ArtifactsInput!$N$40+1,5,6,7,8,9,10),0)/100)^IF(Inputs!$B$38="pvp",1,2)))/100)))/(5000/(6000+Inputs!$B$42*(1-(100*(1-(1-(Inputs!$B$19+((C287=TRUE)*(F287-Calc!F28)))/100)*(1-CHOOSE(ArtifactsInput!$N$40+1,5,6,7,8,9,10)/100)^(ArtifactsInput!$M$40-ArtifactsInput!$M$40)))/100))))*((L271*(1-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MIN(100,(Inputs!$B$9+((C280=TRUE)*(F280-Calc!F21))+B293+(ArtifactsInput!$M$24-ArtifactsInput!$M$24)*CHOOSE(ArtifactsInput!$N$24+1,10,12,14,16,18,20)+(IF(AND(ArtifactsInput!$M$42,((Inputs!$B$9+((C280=TRUE)*(F280-Calc!F21))+B293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1">
        <f>IF(C271,(H271*N271*IF(AND(Inputs!$B$38&lt;&gt;"pvp",Inputs!$B$43&gt;0),((Skills!G12*((R271-1)*IF(Skills!H12&gt;0,Skills!I12/Skills!H12,1)+IF(Skills!H12&gt;0,MIN(Skills!I12,MAX(0,MAX(0,Inputs!$B$43-B300)-((R271-1)*(IF(Inputs!$B$38="pvp",15,MAX(0.1,Skills!D12-IF(Skills!E12=TRUE,Inputs!$B$32,0)))*(1-IF(AND(ArtifactsInput!$M$27,Inputs!$B$4="Chapter Hunt"),CHOOSE(ArtifactsInput!$N$27+1,20,24,28,32,36,40),0)/100)))))/Skills!H12,1)))/Inputs!$B$43),G271*Q271))*IF(Inputs!$B$38="pvp",1,(1+(Inputs!$B$21+Skills!Q12+(IF(ArtifactsInput!$M$33,CHOOSE(ArtifactsInput!$N$33+1,30,36,42,48,54,60),0))+(IF(AND(ArtifactsInput!$M$35,Inputs!$B$4&lt;&gt;"Chapter Hunt"),CHOOSE(ArtifactsInput!$N$35+1,15,18,21,24,27,30)*(1-EXP(-(0.2*B295)*5)),0)+IF(AND(ArtifactsInput!$M$22,Inputs!$B$4&lt;&gt;"Chapter Hunt"),CHOOSE(ArtifactsInput!$N$22+1,10,12,14,16,18,20)*((0*(((0.15*B295*5))^0/1)+1*(((0.15*B295*5))^1/1)+2*(((0.15*B295*5))^2/2)+3*(((0.15*B295*5))^3/6)+4*(((0.15*B295*5))^4/24)+5*(((0.15*B295*5))^5/120))/((((0.15*B295*5))^0/1)+(((0.15*B295*5))^1/1)+(((0.15*B295*5))^2/2)+(((0.15*B295*5))^3/6)+(((0.15*B295*5))^4/24)+(((0.15*B295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
      <c r="A272">
        <f>Skills!A13</f>
        <v/>
      </c>
      <c r="B272">
        <f>Skills!B13</f>
        <v/>
      </c>
      <c r="C272">
        <f>Inputs!$B$3&gt;=110</f>
        <v/>
      </c>
      <c r="D272">
        <f>IF(Skills!C13=1,60+Inputs!$B$25+Inputs!$B$29,IF(Skills!C13=2,90+Inputs!$B$26+Inputs!$B$29,IF(Skills!C13=3,120+Inputs!$B$27+Inputs!$B$29,MAX(0,(Inputs!$B$3-100)*3)+Inputs!$B$28+Inputs!$B$29)))</f>
        <v/>
      </c>
      <c r="E272">
        <f>INDEX(FactorTable!$B$2:$Y$301, MATCH(ROUND(MIN(300,MAX(1,D272)),0), FactorTable!$A$2:$A$301,0), Skills!M13+1)</f>
        <v/>
      </c>
      <c r="F272">
        <f>IF(Skills!N13=TRUE,(Skills!L13/10)*(E272/1000),Skills!L13/10)+Skills!O13</f>
        <v/>
      </c>
      <c r="G272" t="inlineStr"/>
      <c r="H272" t="inlineStr"/>
      <c r="I272" t="inlineStr">
        <is>
          <t>1</t>
        </is>
      </c>
      <c r="J272" t="inlineStr"/>
      <c r="K272" t="inlineStr"/>
      <c r="L272" t="inlineStr"/>
      <c r="M272" t="inlineStr"/>
      <c r="N272" t="inlineStr"/>
      <c r="O272" t="inlineStr"/>
      <c r="P272" t="inlineStr"/>
      <c r="Q272" t="inlineStr"/>
      <c r="R272" t="inlineStr"/>
      <c r="S272" t="inlineStr"/>
      <c r="T272" t="inlineStr"/>
      <c r="V272" t="inlineStr"/>
    </row>
    <row r="273">
      <c r="A273">
        <f>Skills!A14</f>
        <v/>
      </c>
      <c r="B273">
        <f>Skills!B14</f>
        <v/>
      </c>
      <c r="C273">
        <f>Inputs!$B$3&gt;=74</f>
        <v/>
      </c>
      <c r="D273">
        <f>IF(Skills!C14=1,60+Inputs!$B$25+Inputs!$B$29,IF(Skills!C14=2,90+Inputs!$B$26+Inputs!$B$29,IF(Skills!C14=3,120+Inputs!$B$27+Inputs!$B$29,MAX(0,(Inputs!$B$3-100)*3)+Inputs!$B$28+Inputs!$B$29)))</f>
        <v/>
      </c>
      <c r="E273">
        <f>INDEX(FactorTable!$B$2:$Y$301, MATCH(ROUND(MIN(300,MAX(1,D273)),0), FactorTable!$A$2:$A$301,0), Skills!M14+1)</f>
        <v/>
      </c>
      <c r="F273">
        <f>IF(Skills!N14=TRUE,(Skills!L14/10)*(E273/1000),Skills!L14/10)+Skills!O14</f>
        <v/>
      </c>
      <c r="G273">
        <f>Skills!G14*IF(Skills!H14&gt;0,Skills!I14/Skills!H14,1)</f>
        <v/>
      </c>
      <c r="H273">
        <f>1-(1-Skills!J14/100)^Skills!K14</f>
        <v/>
      </c>
      <c r="I273" t="inlineStr">
        <is>
          <t>1</t>
        </is>
      </c>
      <c r="J273" t="inlineStr"/>
      <c r="K273" t="inlineStr"/>
      <c r="L273" t="inlineStr"/>
      <c r="M273" t="inlineStr"/>
      <c r="N273" t="inlineStr"/>
      <c r="O273">
        <f>(1-Summary!$B$11)*T273+Summary!$B$11*V273</f>
        <v/>
      </c>
      <c r="P273">
        <f>IF(B303=0,0,O273/B303)</f>
        <v/>
      </c>
      <c r="Q273" t="n">
        <v>0</v>
      </c>
      <c r="R273" t="n">
        <v>0</v>
      </c>
      <c r="S273">
        <f>IFERROR(O273/N273,0)</f>
        <v/>
      </c>
      <c r="T273" t="n">
        <v>0</v>
      </c>
      <c r="V273" t="n">
        <v>0</v>
      </c>
    </row>
    <row r="274">
      <c r="A274">
        <f>Skills!A15</f>
        <v/>
      </c>
      <c r="B274">
        <f>Skills!B15</f>
        <v/>
      </c>
      <c r="C274">
        <f>Inputs!$B$3&gt;=74</f>
        <v/>
      </c>
      <c r="D274">
        <f>IF(Skills!C15=1,60+Inputs!$B$25+Inputs!$B$29,IF(Skills!C15=2,90+Inputs!$B$26+Inputs!$B$29,IF(Skills!C15=3,120+Inputs!$B$27+Inputs!$B$29,MAX(0,(Inputs!$B$3-100)*3)+Inputs!$B$28+Inputs!$B$29)))</f>
        <v/>
      </c>
      <c r="E274">
        <f>INDEX(FactorTable!$B$2:$Y$301, MATCH(ROUND(MIN(300,MAX(1,D274)),0), FactorTable!$A$2:$A$301,0), Skills!M15+1)</f>
        <v/>
      </c>
      <c r="F274">
        <f>IF(Skills!N15=TRUE,(Skills!L15/10)*(E274/1000),Skills!L15/10)+Skills!O15</f>
        <v/>
      </c>
      <c r="G274">
        <f>Skills!G15*IF(Skills!H15&gt;0,Skills!I15/Skills!H15,1)</f>
        <v/>
      </c>
      <c r="H274">
        <f>1-(1-Skills!J15/100)^Skills!K15</f>
        <v/>
      </c>
      <c r="I274" t="inlineStr">
        <is>
          <t>1</t>
        </is>
      </c>
      <c r="J274" t="inlineStr"/>
      <c r="K274" t="inlineStr"/>
      <c r="L274" t="inlineStr"/>
      <c r="M274" t="inlineStr"/>
      <c r="N274" t="inlineStr"/>
      <c r="O274">
        <f>(1-Summary!$B$11)*T274+Summary!$B$11*V274</f>
        <v/>
      </c>
      <c r="P274">
        <f>IF(B303=0,0,O274/B303)</f>
        <v/>
      </c>
      <c r="Q274" t="n">
        <v>0</v>
      </c>
      <c r="R274" t="n">
        <v>0</v>
      </c>
      <c r="S274">
        <f>IFERROR(O274/N274,0)</f>
        <v/>
      </c>
      <c r="T274" t="n">
        <v>0</v>
      </c>
      <c r="V274" t="n">
        <v>0</v>
      </c>
    </row>
    <row r="275">
      <c r="A275">
        <f>Skills!A16</f>
        <v/>
      </c>
      <c r="B275">
        <f>Skills!B16</f>
        <v/>
      </c>
      <c r="C275">
        <f>Inputs!$B$3&gt;=117</f>
        <v/>
      </c>
      <c r="D275">
        <f>IF(Skills!C16=1,60+Inputs!$B$25+Inputs!$B$29,IF(Skills!C16=2,90+Inputs!$B$26+Inputs!$B$29,IF(Skills!C16=3,120+Inputs!$B$27+Inputs!$B$29,MAX(0,(Inputs!$B$3-100)*3)+Inputs!$B$28+Inputs!$B$29)))</f>
        <v/>
      </c>
      <c r="E275">
        <f>INDEX(FactorTable!$B$2:$Y$301, MATCH(ROUND(MIN(300,MAX(1,D275)),0), FactorTable!$A$2:$A$301,0), Skills!M16+1)</f>
        <v/>
      </c>
      <c r="F275">
        <f>IF(Skills!N16=TRUE,(Skills!L16/10)*(E275/1000),Skills!L16/10)+Skills!O16</f>
        <v/>
      </c>
      <c r="G275">
        <f>Skills!G16*IF(Skills!H16&gt;0,Skills!I16/Skills!H16,1)</f>
        <v/>
      </c>
      <c r="H275">
        <f>1-(1-Skills!J16/100)^Skills!K16</f>
        <v/>
      </c>
      <c r="I275" t="inlineStr">
        <is>
          <t>1</t>
        </is>
      </c>
      <c r="J275" t="inlineStr"/>
      <c r="K275" t="inlineStr"/>
      <c r="L275" t="inlineStr"/>
      <c r="M275" t="inlineStr"/>
      <c r="N275" t="inlineStr"/>
      <c r="O275">
        <f>(1-Summary!$B$11)*T275+Summary!$B$11*V275</f>
        <v/>
      </c>
      <c r="P275">
        <f>IF(B303=0,0,O275/B303)</f>
        <v/>
      </c>
      <c r="Q275">
        <f>IFERROR(1/(IF(Inputs!$B$38="pvp",15,MAX(0.1,Skills!D16-IF(Skills!E16=TRUE,Inputs!$B$32,0)))*(1-IF(AND(ArtifactsInput!$M$27,Inputs!$B$4="Chapter Hunt"),CHOOSE(ArtifactsInput!$N$27+1,20,24,28,32,36,40),0)/100)),0)</f>
        <v/>
      </c>
      <c r="R275">
        <f>IF(AND(Inputs!$B$38&lt;&gt;"pvp",Inputs!$B$43&gt;0),IF(Inputs!$B$43&lt;=0,0,(INT(Inputs!$B$43/(IF(Inputs!$B$38="pvp",15,MAX(0.1,Skills!D16-IF(Skills!E16=TRUE,Inputs!$B$32,0)))*(1-IF(AND(ArtifactsInput!$M$27,Inputs!$B$4="Chapter Hunt"),CHOOSE(ArtifactsInput!$N$27+1,20,24,28,32,36,40),0)/100)))+1)),0)</f>
        <v/>
      </c>
      <c r="S275">
        <f>IFERROR(O275/N275,0)</f>
        <v/>
      </c>
      <c r="T275" t="n">
        <v>0</v>
      </c>
      <c r="V275" t="n">
        <v>0</v>
      </c>
    </row>
    <row r="276">
      <c r="A276">
        <f>Skills!A17</f>
        <v/>
      </c>
      <c r="B276">
        <f>Skills!B17</f>
        <v/>
      </c>
      <c r="C276">
        <f>Inputs!$B$3&gt;=115</f>
        <v/>
      </c>
      <c r="D276">
        <f>IF(Skills!C17=1,60+Inputs!$B$25+Inputs!$B$29,IF(Skills!C17=2,90+Inputs!$B$26+Inputs!$B$29,IF(Skills!C17=3,120+Inputs!$B$27+Inputs!$B$29,MAX(0,(Inputs!$B$3-100)*3)+Inputs!$B$28+Inputs!$B$29)))</f>
        <v/>
      </c>
      <c r="E276">
        <f>INDEX(FactorTable!$B$2:$Y$301, MATCH(ROUND(MIN(300,MAX(1,D276)),0), FactorTable!$A$2:$A$301,0), Skills!M17+1)</f>
        <v/>
      </c>
      <c r="F276">
        <f>IF(Skills!N17=TRUE,(Skills!L17/10)*(E276/1000),Skills!L17/10)+Skills!O17</f>
        <v/>
      </c>
      <c r="G276">
        <f>Skills!G17*IF(Skills!H17&gt;0,Skills!I17/Skills!H17,1)</f>
        <v/>
      </c>
      <c r="H276">
        <f>1-(1-Skills!J17/100)^Skills!K17</f>
        <v/>
      </c>
      <c r="I276" t="inlineStr">
        <is>
          <t>1</t>
        </is>
      </c>
      <c r="J276" t="inlineStr"/>
      <c r="K276" t="inlineStr"/>
      <c r="L276" t="inlineStr"/>
      <c r="M276" t="inlineStr"/>
      <c r="N276" t="inlineStr"/>
      <c r="O276">
        <f>(1-Summary!$B$11)*T276+Summary!$B$11*V276</f>
        <v/>
      </c>
      <c r="P276">
        <f>IF(B303=0,0,O276/B303)</f>
        <v/>
      </c>
      <c r="Q276">
        <f>IFERROR(1/(IF(Inputs!$B$38="pvp",15,MAX(0.1,Skills!D17-IF(Skills!E17=TRUE,Inputs!$B$32,0)))*(1-IF(AND(ArtifactsInput!$M$27,Inputs!$B$4="Chapter Hunt"),CHOOSE(ArtifactsInput!$N$27+1,20,24,28,32,36,40),0)/100)),0)</f>
        <v/>
      </c>
      <c r="R276">
        <f>IF(AND(Inputs!$B$38&lt;&gt;"pvp",Inputs!$B$43&gt;0),IF(Inputs!$B$43&lt;=0,0,(INT(Inputs!$B$43/(IF(Inputs!$B$38="pvp",15,MAX(0.1,Skills!D17-IF(Skills!E17=TRUE,Inputs!$B$32,0)))*(1-IF(AND(ArtifactsInput!$M$27,Inputs!$B$4="Chapter Hunt"),CHOOSE(ArtifactsInput!$N$27+1,20,24,28,32,36,40),0)/100)))+1)),0)</f>
        <v/>
      </c>
      <c r="S276">
        <f>IFERROR(O276/N276,0)</f>
        <v/>
      </c>
      <c r="T276" t="n">
        <v>0</v>
      </c>
      <c r="V276" t="n">
        <v>0</v>
      </c>
    </row>
    <row r="277">
      <c r="A277">
        <f>Skills!A18</f>
        <v/>
      </c>
      <c r="B277">
        <f>Skills!B18</f>
        <v/>
      </c>
      <c r="C277">
        <f>Inputs!$B$3&gt;=66</f>
        <v/>
      </c>
      <c r="D277">
        <f>IF(Skills!C18=1,60+Inputs!$B$25+Inputs!$B$29,IF(Skills!C18=2,90+Inputs!$B$26+Inputs!$B$29,IF(Skills!C18=3,120+Inputs!$B$27+Inputs!$B$29,MAX(0,(Inputs!$B$3-100)*3)+Inputs!$B$28+Inputs!$B$29)))</f>
        <v/>
      </c>
      <c r="E277">
        <f>INDEX(FactorTable!$B$2:$Y$301, MATCH(ROUND(MIN(300,MAX(1,D277)),0), FactorTable!$A$2:$A$301,0), Skills!M18+1)</f>
        <v/>
      </c>
      <c r="F277">
        <f>IF(Skills!N18=TRUE,(Skills!L18/10)*(E277/1000),Skills!L18/10)+Skills!O18</f>
        <v/>
      </c>
      <c r="G277">
        <f>Skills!G18*IF(Skills!H18&gt;0,Skills!I18/Skills!H18,1)</f>
        <v/>
      </c>
      <c r="H277">
        <f>1-(1-Skills!J18/100)^Skills!K18</f>
        <v/>
      </c>
      <c r="I277" t="inlineStr">
        <is>
          <t>1</t>
        </is>
      </c>
      <c r="J277" t="inlineStr"/>
      <c r="K277" t="inlineStr"/>
      <c r="L277" t="inlineStr"/>
      <c r="M277" t="inlineStr"/>
      <c r="N277" t="inlineStr"/>
      <c r="O277">
        <f>(1-Summary!$B$11)*T277+Summary!$B$11*V277</f>
        <v/>
      </c>
      <c r="P277">
        <f>IF(B303=0,0,O277/B303)</f>
        <v/>
      </c>
      <c r="Q277" t="n">
        <v>0</v>
      </c>
      <c r="R277" t="n">
        <v>0</v>
      </c>
      <c r="S277">
        <f>IFERROR(O277/N277,0)</f>
        <v/>
      </c>
      <c r="T277" t="n">
        <v>0</v>
      </c>
      <c r="V277" t="n">
        <v>0</v>
      </c>
    </row>
    <row r="278">
      <c r="A278">
        <f>Skills!A19</f>
        <v/>
      </c>
      <c r="B278">
        <f>Skills!B19</f>
        <v/>
      </c>
      <c r="C278">
        <f>Inputs!$B$3&gt;=72</f>
        <v/>
      </c>
      <c r="D278">
        <f>IF(Skills!C19=1,60+Inputs!$B$25+Inputs!$B$29,IF(Skills!C19=2,90+Inputs!$B$26+Inputs!$B$29,IF(Skills!C19=3,120+Inputs!$B$27+Inputs!$B$29,MAX(0,(Inputs!$B$3-100)*3)+Inputs!$B$28+Inputs!$B$29)))</f>
        <v/>
      </c>
      <c r="E278">
        <f>INDEX(FactorTable!$B$2:$Y$301, MATCH(ROUND(MIN(300,MAX(1,D278)),0), FactorTable!$A$2:$A$301,0), Skills!M19+1)</f>
        <v/>
      </c>
      <c r="F278">
        <f>IF(Skills!N19=TRUE,(Skills!L19/10)*(E278/1000),Skills!L19/10)+Skills!O19</f>
        <v/>
      </c>
      <c r="G278">
        <f>Skills!G19*IF(Skills!H19&gt;0,Skills!I19/Skills!H19,1)</f>
        <v/>
      </c>
      <c r="H278">
        <f>1-(1-Skills!J19/100)^Skills!K19</f>
        <v/>
      </c>
      <c r="I278" t="inlineStr">
        <is>
          <t>1</t>
        </is>
      </c>
      <c r="J278" t="inlineStr"/>
      <c r="K278" t="inlineStr"/>
      <c r="L278" t="inlineStr"/>
      <c r="M278" t="inlineStr"/>
      <c r="N278" t="inlineStr"/>
      <c r="O278">
        <f>(1-Summary!$B$11)*T278+Summary!$B$11*V278</f>
        <v/>
      </c>
      <c r="P278">
        <f>IF(B303=0,0,O278/B303)</f>
        <v/>
      </c>
      <c r="Q278" t="n">
        <v>0</v>
      </c>
      <c r="R278" t="n">
        <v>0</v>
      </c>
      <c r="S278">
        <f>IFERROR(O278/N278,0)</f>
        <v/>
      </c>
      <c r="T278" t="n">
        <v>0</v>
      </c>
      <c r="V278" t="n">
        <v>0</v>
      </c>
    </row>
    <row r="279">
      <c r="A279">
        <f>Skills!A20</f>
        <v/>
      </c>
      <c r="B279">
        <f>Skills!B20</f>
        <v/>
      </c>
      <c r="C279">
        <f>TRUE</f>
        <v/>
      </c>
      <c r="D279">
        <f>IF(Skills!C20=1,60+Inputs!$B$25+Inputs!$B$29,IF(Skills!C20=2,90+Inputs!$B$26+Inputs!$B$29,IF(Skills!C20=3,120+Inputs!$B$27+Inputs!$B$29,MAX(0,(Inputs!$B$3-100)*3)+Inputs!$B$28+Inputs!$B$29)))</f>
        <v/>
      </c>
      <c r="E279">
        <f>INDEX(FactorTable!$B$2:$Y$301, MATCH(ROUND(MIN(300,MAX(1,D279)),0), FactorTable!$A$2:$A$301,0), Skills!M20+1)</f>
        <v/>
      </c>
      <c r="F279">
        <f>IF(Skills!N20=TRUE,(Skills!L20/10)*(E279/1000),Skills!L20/10)+Skills!O20</f>
        <v/>
      </c>
      <c r="G279">
        <f>Skills!G20*IF(Skills!H20&gt;0,Skills!I20/Skills!H20,1)</f>
        <v/>
      </c>
      <c r="H279">
        <f>1-(1-Skills!J20/100)^Skills!K20</f>
        <v/>
      </c>
      <c r="I279" t="inlineStr">
        <is>
          <t>1</t>
        </is>
      </c>
      <c r="J279" t="inlineStr"/>
      <c r="K279" t="inlineStr"/>
      <c r="L279" t="inlineStr"/>
      <c r="M279" t="inlineStr"/>
      <c r="N279" t="inlineStr"/>
      <c r="O279">
        <f>(1-Summary!$B$11)*T279+Summary!$B$11*V279</f>
        <v/>
      </c>
      <c r="P279">
        <f>IF(B303=0,0,O279/B303)</f>
        <v/>
      </c>
      <c r="Q279">
        <f>IFERROR(1/(IF(Inputs!$B$38="pvp",15,MAX(0.1,Skills!D20-IF(Skills!E20=TRUE,Inputs!$B$32,0)))*(1-IF(AND(ArtifactsInput!$M$27,Inputs!$B$4="Chapter Hunt"),CHOOSE(ArtifactsInput!$N$27+1,20,24,28,32,36,40),0)/100)),0)</f>
        <v/>
      </c>
      <c r="R279">
        <f>IF(AND(Inputs!$B$38&lt;&gt;"pvp",Inputs!$B$43&gt;0),IF(Inputs!$B$43&lt;=0,0,(INT(Inputs!$B$43/(IF(Inputs!$B$38="pvp",15,MAX(0.1,Skills!D20-IF(Skills!E20=TRUE,Inputs!$B$32,0)))*(1-IF(AND(ArtifactsInput!$M$27,Inputs!$B$4="Chapter Hunt"),CHOOSE(ArtifactsInput!$N$27+1,20,24,28,32,36,40),0)/100)))+1)),0)</f>
        <v/>
      </c>
      <c r="S279">
        <f>IFERROR(O279/N279,0)</f>
        <v/>
      </c>
      <c r="T279" t="n">
        <v>0</v>
      </c>
      <c r="V279" t="n">
        <v>0</v>
      </c>
    </row>
    <row r="280">
      <c r="A280">
        <f>Skills!A21</f>
        <v/>
      </c>
      <c r="B280">
        <f>Skills!B21</f>
        <v/>
      </c>
      <c r="C280">
        <f>Inputs!$B$3&gt;=15</f>
        <v/>
      </c>
      <c r="D280">
        <f>IF(Skills!C21=1,60+Inputs!$B$25+Inputs!$B$29,IF(Skills!C21=2,90+Inputs!$B$26+Inputs!$B$29,IF(Skills!C21=3,120+Inputs!$B$27+Inputs!$B$29,MAX(0,(Inputs!$B$3-100)*3)+Inputs!$B$28+Inputs!$B$29)))</f>
        <v/>
      </c>
      <c r="E280">
        <f>INDEX(FactorTable!$B$2:$Y$301, MATCH(ROUND(MIN(300,MAX(1,D280)),0), FactorTable!$A$2:$A$301,0), Skills!M21+1)</f>
        <v/>
      </c>
      <c r="F280">
        <f>IF(Skills!N21=TRUE,(Skills!L21/10)*(E280/1000),Skills!L21/10)+Skills!O21</f>
        <v/>
      </c>
      <c r="G280">
        <f>Skills!G21*IF(Skills!H21&gt;0,Skills!I21/Skills!H21,1)</f>
        <v/>
      </c>
      <c r="H280">
        <f>1-(1-Skills!J21/100)^Skills!K21</f>
        <v/>
      </c>
      <c r="I280" t="inlineStr">
        <is>
          <t>1</t>
        </is>
      </c>
      <c r="J280" t="inlineStr"/>
      <c r="K280" t="inlineStr"/>
      <c r="L280" t="inlineStr"/>
      <c r="M280" t="inlineStr"/>
      <c r="N280" t="inlineStr"/>
      <c r="O280">
        <f>(1-Summary!$B$11)*T280+Summary!$B$11*V280</f>
        <v/>
      </c>
      <c r="P280">
        <f>IF(B303=0,0,O280/B303)</f>
        <v/>
      </c>
      <c r="Q280" t="n">
        <v>0</v>
      </c>
      <c r="R280" t="n">
        <v>0</v>
      </c>
      <c r="S280">
        <f>IFERROR(O280/N280,0)</f>
        <v/>
      </c>
      <c r="T280" t="n">
        <v>0</v>
      </c>
      <c r="V280" t="n">
        <v>0</v>
      </c>
    </row>
    <row r="281">
      <c r="A281">
        <f>Skills!A22</f>
        <v/>
      </c>
      <c r="B281">
        <f>Skills!B22</f>
        <v/>
      </c>
      <c r="C281">
        <f>Inputs!$B$3&gt;=10</f>
        <v/>
      </c>
      <c r="D281">
        <f>IF(Skills!C22=1,60+Inputs!$B$25+Inputs!$B$29,IF(Skills!C22=2,90+Inputs!$B$26+Inputs!$B$29,IF(Skills!C22=3,120+Inputs!$B$27+Inputs!$B$29,MAX(0,(Inputs!$B$3-100)*3)+Inputs!$B$28+Inputs!$B$29)))</f>
        <v/>
      </c>
      <c r="E281">
        <f>INDEX(FactorTable!$B$2:$Y$301, MATCH(ROUND(MIN(300,MAX(1,D281)),0), FactorTable!$A$2:$A$301,0), Skills!M22+1)</f>
        <v/>
      </c>
      <c r="F281">
        <f>IF(Skills!N22=TRUE,(Skills!L22/10)*(E281/1000),Skills!L22/10)+Skills!O22</f>
        <v/>
      </c>
      <c r="G281">
        <f>Skills!G22*IF(Skills!H22&gt;0,Skills!I22/Skills!H22,1)</f>
        <v/>
      </c>
      <c r="H281">
        <f>1-(1-Skills!J22/100)^Skills!K22</f>
        <v/>
      </c>
      <c r="I281" t="inlineStr">
        <is>
          <t>1</t>
        </is>
      </c>
      <c r="J281" t="inlineStr"/>
      <c r="K281" t="inlineStr"/>
      <c r="L281" t="inlineStr"/>
      <c r="M281" t="inlineStr"/>
      <c r="N281" t="inlineStr"/>
      <c r="O281">
        <f>(1-Summary!$B$11)*T281+Summary!$B$11*V281</f>
        <v/>
      </c>
      <c r="P281">
        <f>IF(B303=0,0,O281/B303)</f>
        <v/>
      </c>
      <c r="Q281" t="n">
        <v>0</v>
      </c>
      <c r="R281" t="n">
        <v>0</v>
      </c>
      <c r="S281">
        <f>IFERROR(O281/N281,0)</f>
        <v/>
      </c>
      <c r="T281" t="n">
        <v>0</v>
      </c>
      <c r="V281" t="n">
        <v>0</v>
      </c>
    </row>
    <row r="282">
      <c r="A282">
        <f>Skills!A23</f>
        <v/>
      </c>
      <c r="B282">
        <f>Skills!B23</f>
        <v/>
      </c>
      <c r="C282">
        <f>Inputs!$B$3&gt;=33</f>
        <v/>
      </c>
      <c r="D282">
        <f>IF(Skills!C23=1,60+Inputs!$B$25+Inputs!$B$29,IF(Skills!C23=2,90+Inputs!$B$26+Inputs!$B$29,IF(Skills!C23=3,120+Inputs!$B$27+Inputs!$B$29,MAX(0,(Inputs!$B$3-100)*3)+Inputs!$B$28+Inputs!$B$29)))</f>
        <v/>
      </c>
      <c r="E282">
        <f>INDEX(FactorTable!$B$2:$Y$301, MATCH(ROUND(MIN(300,MAX(1,D282)),0), FactorTable!$A$2:$A$301,0), Skills!M23+1)</f>
        <v/>
      </c>
      <c r="F282">
        <f>IF(Skills!N23=TRUE,(Skills!L23/10)*(E282/1000),Skills!L23/10)+Skills!O23</f>
        <v/>
      </c>
      <c r="G282">
        <f>Skills!G23*IF(Skills!H23&gt;0,Skills!I23/Skills!H23,1)</f>
        <v/>
      </c>
      <c r="H282">
        <f>1-(1-Skills!J23/100)^Skills!K23</f>
        <v/>
      </c>
      <c r="I282" t="inlineStr">
        <is>
          <t>1</t>
        </is>
      </c>
      <c r="J282" t="inlineStr"/>
      <c r="K282" t="inlineStr"/>
      <c r="L282" t="inlineStr"/>
      <c r="M282" t="inlineStr"/>
      <c r="N282" t="inlineStr"/>
      <c r="O282">
        <f>(1-Summary!$B$11)*T282+Summary!$B$11*V282</f>
        <v/>
      </c>
      <c r="P282">
        <f>IF(B303=0,0,O282/B303)</f>
        <v/>
      </c>
      <c r="Q282" t="n">
        <v>0</v>
      </c>
      <c r="R282" t="n">
        <v>0</v>
      </c>
      <c r="S282">
        <f>IFERROR(O282/N282,0)</f>
        <v/>
      </c>
      <c r="T282" t="n">
        <v>0</v>
      </c>
      <c r="V282" t="n">
        <v>0</v>
      </c>
    </row>
    <row r="283">
      <c r="A283">
        <f>Skills!A24</f>
        <v/>
      </c>
      <c r="B283">
        <f>Skills!B24</f>
        <v/>
      </c>
      <c r="C283">
        <f>Inputs!$B$3&gt;=38</f>
        <v/>
      </c>
      <c r="D283">
        <f>IF(Skills!C24=1,60+Inputs!$B$25+Inputs!$B$29,IF(Skills!C24=2,90+Inputs!$B$26+Inputs!$B$29,IF(Skills!C24=3,120+Inputs!$B$27+Inputs!$B$29,MAX(0,(Inputs!$B$3-100)*3)+Inputs!$B$28+Inputs!$B$29)))</f>
        <v/>
      </c>
      <c r="E283">
        <f>INDEX(FactorTable!$B$2:$Y$301, MATCH(ROUND(MIN(300,MAX(1,D283)),0), FactorTable!$A$2:$A$301,0), Skills!M24+1)</f>
        <v/>
      </c>
      <c r="F283">
        <f>IF(Skills!N24=TRUE,(Skills!L24/10)*(E283/1000),Skills!L24/10)+Skills!O24</f>
        <v/>
      </c>
      <c r="G283">
        <f>Skills!G24*IF(Skills!H24&gt;0,Skills!I24/Skills!H24,1)</f>
        <v/>
      </c>
      <c r="H283">
        <f>1-(1-Skills!J24/100)^Skills!K24</f>
        <v/>
      </c>
      <c r="I283" t="inlineStr">
        <is>
          <t>1</t>
        </is>
      </c>
      <c r="J283" t="inlineStr"/>
      <c r="K283" t="inlineStr"/>
      <c r="L283" t="inlineStr"/>
      <c r="M283" t="inlineStr"/>
      <c r="N283" t="inlineStr"/>
      <c r="O283">
        <f>(1-Summary!$B$11)*T283+Summary!$B$11*V283</f>
        <v/>
      </c>
      <c r="P283">
        <f>IF(B303=0,0,O283/B303)</f>
        <v/>
      </c>
      <c r="Q283" t="n">
        <v>0</v>
      </c>
      <c r="R283" t="n">
        <v>0</v>
      </c>
      <c r="S283">
        <f>IFERROR(O283/N283,0)</f>
        <v/>
      </c>
      <c r="T283" t="n">
        <v>0</v>
      </c>
      <c r="V283" t="n">
        <v>0</v>
      </c>
    </row>
    <row r="284">
      <c r="A284">
        <f>Skills!A25</f>
        <v/>
      </c>
      <c r="B284">
        <f>Skills!B25</f>
        <v/>
      </c>
      <c r="C284">
        <f>Inputs!$B$3&gt;=43</f>
        <v/>
      </c>
      <c r="D284">
        <f>IF(Skills!C25=1,60+Inputs!$B$25+Inputs!$B$29,IF(Skills!C25=2,90+Inputs!$B$26+Inputs!$B$29,IF(Skills!C25=3,120+Inputs!$B$27+Inputs!$B$29,MAX(0,(Inputs!$B$3-100)*3)+Inputs!$B$28+Inputs!$B$29)))</f>
        <v/>
      </c>
      <c r="E284">
        <f>INDEX(FactorTable!$B$2:$Y$301, MATCH(ROUND(MIN(300,MAX(1,D284)),0), FactorTable!$A$2:$A$301,0), Skills!M25+1)</f>
        <v/>
      </c>
      <c r="F284">
        <f>IF(Skills!N25=TRUE,(Skills!L25/10)*(E284/1000),Skills!L25/10)+Skills!O25</f>
        <v/>
      </c>
      <c r="G284">
        <f>Skills!G25*IF(Skills!H25&gt;0,Skills!I25/Skills!H25,1)</f>
        <v/>
      </c>
      <c r="H284">
        <f>1-(1-Skills!J25/100)^Skills!K25</f>
        <v/>
      </c>
      <c r="I284" t="inlineStr">
        <is>
          <t>1</t>
        </is>
      </c>
      <c r="J284" t="inlineStr"/>
      <c r="K284" t="inlineStr"/>
      <c r="L284" t="inlineStr"/>
      <c r="M284" t="inlineStr"/>
      <c r="N284" t="inlineStr"/>
      <c r="O284">
        <f>(1-Summary!$B$11)*T284+Summary!$B$11*V284</f>
        <v/>
      </c>
      <c r="P284">
        <f>IF(B303=0,0,O284/B303)</f>
        <v/>
      </c>
      <c r="Q284" t="n">
        <v>0</v>
      </c>
      <c r="R284" t="n">
        <v>0</v>
      </c>
      <c r="S284">
        <f>IFERROR(O284/N284,0)</f>
        <v/>
      </c>
      <c r="T284" t="n">
        <v>0</v>
      </c>
      <c r="V284" t="n">
        <v>0</v>
      </c>
    </row>
    <row r="285">
      <c r="A285">
        <f>Skills!A26</f>
        <v/>
      </c>
      <c r="B285">
        <f>Skills!B26</f>
        <v/>
      </c>
      <c r="C285">
        <f>Inputs!$B$3&gt;=75</f>
        <v/>
      </c>
      <c r="D285">
        <f>IF(Skills!C26=1,60+Inputs!$B$25+Inputs!$B$29,IF(Skills!C26=2,90+Inputs!$B$26+Inputs!$B$29,IF(Skills!C26=3,120+Inputs!$B$27+Inputs!$B$29,MAX(0,(Inputs!$B$3-100)*3)+Inputs!$B$28+Inputs!$B$29)))</f>
        <v/>
      </c>
      <c r="E285">
        <f>INDEX(FactorTable!$B$2:$Y$301, MATCH(ROUND(MIN(300,MAX(1,D285)),0), FactorTable!$A$2:$A$301,0), Skills!M26+1)</f>
        <v/>
      </c>
      <c r="F285">
        <f>IF(Skills!N26=TRUE,(Skills!L26/10)*(E285/1000),Skills!L26/10)+Skills!O26</f>
        <v/>
      </c>
      <c r="G285">
        <f>Skills!G26*IF(Skills!H26&gt;0,Skills!I26/Skills!H26,1)</f>
        <v/>
      </c>
      <c r="H285">
        <f>1-(1-Skills!J26/100)^Skills!K26</f>
        <v/>
      </c>
      <c r="I285" t="inlineStr">
        <is>
          <t>1</t>
        </is>
      </c>
      <c r="J285" t="inlineStr"/>
      <c r="K285" t="inlineStr"/>
      <c r="L285" t="inlineStr"/>
      <c r="M285" t="inlineStr"/>
      <c r="N285" t="inlineStr"/>
      <c r="O285">
        <f>(1-Summary!$B$11)*T285+Summary!$B$11*V285</f>
        <v/>
      </c>
      <c r="P285">
        <f>IF(B303=0,0,O285/B303)</f>
        <v/>
      </c>
      <c r="Q285" t="n">
        <v>0</v>
      </c>
      <c r="R285" t="n">
        <v>0</v>
      </c>
      <c r="S285">
        <f>IFERROR(O285/N285,0)</f>
        <v/>
      </c>
      <c r="T285" t="n">
        <v>0</v>
      </c>
      <c r="V285" t="n">
        <v>0</v>
      </c>
    </row>
    <row r="286">
      <c r="A286">
        <f>Skills!A27</f>
        <v/>
      </c>
      <c r="B286">
        <f>Skills!B27</f>
        <v/>
      </c>
      <c r="C286">
        <f>Inputs!$B$3&gt;=125</f>
        <v/>
      </c>
      <c r="D286">
        <f>IF(Skills!C27=1,60+Inputs!$B$25+Inputs!$B$29,IF(Skills!C27=2,90+Inputs!$B$26+Inputs!$B$29,IF(Skills!C27=3,120+Inputs!$B$27+Inputs!$B$29,MAX(0,(Inputs!$B$3-100)*3)+Inputs!$B$28+Inputs!$B$29)))</f>
        <v/>
      </c>
      <c r="E286">
        <f>INDEX(FactorTable!$B$2:$Y$301, MATCH(ROUND(MIN(300,MAX(1,D286)),0), FactorTable!$A$2:$A$301,0), Skills!M27+1)</f>
        <v/>
      </c>
      <c r="F286">
        <f>IF(Skills!N27=TRUE,(Skills!L27/10)*(E286/1000),Skills!L27/10)+Skills!O27</f>
        <v/>
      </c>
      <c r="G286">
        <f>Skills!G27*IF(Skills!H27&gt;0,Skills!I27/Skills!H27,1)</f>
        <v/>
      </c>
      <c r="H286">
        <f>1-(1-Skills!J27/100)^Skills!K27</f>
        <v/>
      </c>
      <c r="I286" t="inlineStr">
        <is>
          <t>1</t>
        </is>
      </c>
      <c r="J286" t="inlineStr"/>
      <c r="K286" t="inlineStr"/>
      <c r="L286" t="inlineStr"/>
      <c r="M286" t="inlineStr"/>
      <c r="N286" t="inlineStr"/>
      <c r="O286">
        <f>(1-Summary!$B$11)*T286+Summary!$B$11*V286</f>
        <v/>
      </c>
      <c r="P286">
        <f>IF(B303=0,0,O286/B303)</f>
        <v/>
      </c>
      <c r="Q286" t="n">
        <v>0</v>
      </c>
      <c r="R286" t="n">
        <v>0</v>
      </c>
      <c r="S286">
        <f>IFERROR(O286/N286,0)</f>
        <v/>
      </c>
      <c r="T286" t="n">
        <v>0</v>
      </c>
      <c r="V286" t="n">
        <v>0</v>
      </c>
    </row>
    <row r="287">
      <c r="A287">
        <f>Skills!A28</f>
        <v/>
      </c>
      <c r="B287">
        <f>Skills!B28</f>
        <v/>
      </c>
      <c r="C287">
        <f>Inputs!$B$3&gt;=125</f>
        <v/>
      </c>
      <c r="D287">
        <f>IF(Skills!C28=1,60+Inputs!$B$25+Inputs!$B$29,IF(Skills!C28=2,90+Inputs!$B$26+Inputs!$B$29,IF(Skills!C28=3,120+Inputs!$B$27+Inputs!$B$29,MAX(0,(Inputs!$B$3-100)*3)+Inputs!$B$28+Inputs!$B$29)))</f>
        <v/>
      </c>
      <c r="E287">
        <f>INDEX(FactorTable!$B$2:$Y$301, MATCH(ROUND(MIN(300,MAX(1,D287)),0), FactorTable!$A$2:$A$301,0), Skills!M28+1)</f>
        <v/>
      </c>
      <c r="F287">
        <f>IF(Skills!N28=TRUE,(Skills!L28/10)*(E287/1000),Skills!L28/10)+Skills!O28</f>
        <v/>
      </c>
      <c r="G287">
        <f>Skills!G28*IF(Skills!H28&gt;0,Skills!I28/Skills!H28,1)</f>
        <v/>
      </c>
      <c r="H287">
        <f>1-(1-Skills!J28/100)^Skills!K28</f>
        <v/>
      </c>
      <c r="I287" t="inlineStr">
        <is>
          <t>1</t>
        </is>
      </c>
      <c r="J287" t="inlineStr"/>
      <c r="K287" t="inlineStr"/>
      <c r="L287" t="inlineStr"/>
      <c r="M287" t="inlineStr"/>
      <c r="N287" t="inlineStr"/>
      <c r="O287">
        <f>(1-Summary!$B$11)*T287+Summary!$B$11*V287</f>
        <v/>
      </c>
      <c r="P287">
        <f>IF(B303=0,0,O287/B303)</f>
        <v/>
      </c>
      <c r="Q287" t="n">
        <v>0</v>
      </c>
      <c r="R287" t="n">
        <v>0</v>
      </c>
      <c r="S287">
        <f>IFERROR(O287/N287,0)</f>
        <v/>
      </c>
      <c r="T287" t="n">
        <v>0</v>
      </c>
      <c r="V287" t="n">
        <v>0</v>
      </c>
    </row>
    <row r="288">
      <c r="A288">
        <f>Skills!A29</f>
        <v/>
      </c>
      <c r="B288">
        <f>Skills!B29</f>
        <v/>
      </c>
      <c r="C288">
        <f>Inputs!$B$3&gt;=120</f>
        <v/>
      </c>
      <c r="D288">
        <f>IF(Skills!C29=1,60+Inputs!$B$25+Inputs!$B$29,IF(Skills!C29=2,90+Inputs!$B$26+Inputs!$B$29,IF(Skills!C29=3,120+Inputs!$B$27+Inputs!$B$29,MAX(0,(Inputs!$B$3-100)*3)+Inputs!$B$28+Inputs!$B$29)))</f>
        <v/>
      </c>
      <c r="E288">
        <f>INDEX(FactorTable!$B$2:$Y$301, MATCH(ROUND(MIN(300,MAX(1,D288)),0), FactorTable!$A$2:$A$301,0), Skills!M29+1)</f>
        <v/>
      </c>
      <c r="F288">
        <f>IF(Skills!N29=TRUE,(Skills!L29/10)*(E288/1000),Skills!L29/10)+Skills!O29</f>
        <v/>
      </c>
      <c r="G288">
        <f>Skills!G29*IF(Skills!H29&gt;0,Skills!I29/Skills!H29,1)</f>
        <v/>
      </c>
      <c r="H288">
        <f>1-(1-Skills!J29/100)^Skills!K29</f>
        <v/>
      </c>
      <c r="I288" t="inlineStr">
        <is>
          <t>1</t>
        </is>
      </c>
      <c r="J288" t="inlineStr"/>
      <c r="K288" t="inlineStr"/>
      <c r="L288" t="inlineStr"/>
      <c r="M288" t="inlineStr"/>
      <c r="N288" t="inlineStr"/>
      <c r="O288">
        <f>(1-Summary!$B$11)*T288+Summary!$B$11*V288</f>
        <v/>
      </c>
      <c r="P288">
        <f>IF(B303=0,0,O288/B303)</f>
        <v/>
      </c>
      <c r="Q288" t="n">
        <v>0</v>
      </c>
      <c r="R288" t="n">
        <v>0</v>
      </c>
      <c r="S288">
        <f>IFERROR(O288/N288,0)</f>
        <v/>
      </c>
      <c r="T288" t="n">
        <v>0</v>
      </c>
      <c r="V288" t="n">
        <v>0</v>
      </c>
    </row>
    <row r="289">
      <c r="A289">
        <f>Skills!A30</f>
        <v/>
      </c>
      <c r="B289">
        <f>Skills!B30</f>
        <v/>
      </c>
      <c r="C289">
        <f>Inputs!$B$3&gt;=120</f>
        <v/>
      </c>
      <c r="D289">
        <f>IF(Skills!C30=1,60+Inputs!$B$25+Inputs!$B$29,IF(Skills!C30=2,90+Inputs!$B$26+Inputs!$B$29,IF(Skills!C30=3,120+Inputs!$B$27+Inputs!$B$29,MAX(0,(Inputs!$B$3-100)*3)+Inputs!$B$28+Inputs!$B$29)))</f>
        <v/>
      </c>
      <c r="E289">
        <f>INDEX(FactorTable!$B$2:$Y$301, MATCH(ROUND(MIN(300,MAX(1,D289)),0), FactorTable!$A$2:$A$301,0), Skills!M30+1)</f>
        <v/>
      </c>
      <c r="F289">
        <f>IF(Skills!N30=TRUE,(Skills!L30/10)*(E289/1000),Skills!L30/10)+Skills!O30</f>
        <v/>
      </c>
      <c r="G289">
        <f>Skills!G30*IF(Skills!H30&gt;0,Skills!I30/Skills!H30,1)</f>
        <v/>
      </c>
      <c r="H289">
        <f>1-(1-Skills!J30/100)^Skills!K30</f>
        <v/>
      </c>
      <c r="I289" t="inlineStr">
        <is>
          <t>1</t>
        </is>
      </c>
      <c r="J289" t="inlineStr"/>
      <c r="K289" t="inlineStr"/>
      <c r="L289" t="inlineStr"/>
      <c r="M289" t="inlineStr"/>
      <c r="N289" t="inlineStr"/>
      <c r="O289">
        <f>(1-Summary!$B$11)*T289+Summary!$B$11*V289</f>
        <v/>
      </c>
      <c r="P289">
        <f>IF(B303=0,0,O289/B303)</f>
        <v/>
      </c>
      <c r="Q289" t="n">
        <v>0</v>
      </c>
      <c r="R289" t="n">
        <v>0</v>
      </c>
      <c r="S289">
        <f>IFERROR(O289/N289,0)</f>
        <v/>
      </c>
      <c r="T289" t="n">
        <v>0</v>
      </c>
      <c r="V289" t="n">
        <v>0</v>
      </c>
    </row>
    <row r="290">
      <c r="A290">
        <f>Skills!A31</f>
        <v/>
      </c>
      <c r="B290">
        <f>Skills!B31</f>
        <v/>
      </c>
      <c r="C290">
        <f>Inputs!$B$3&gt;=45</f>
        <v/>
      </c>
      <c r="D290">
        <f>IF(Skills!C31=1,60+Inputs!$B$25+Inputs!$B$29,IF(Skills!C31=2,90+Inputs!$B$26+Inputs!$B$29,IF(Skills!C31=3,120+Inputs!$B$27+Inputs!$B$29,MAX(0,(Inputs!$B$3-100)*3)+Inputs!$B$28+Inputs!$B$29)))</f>
        <v/>
      </c>
      <c r="E290">
        <f>INDEX(FactorTable!$B$2:$Y$301, MATCH(ROUND(MIN(300,MAX(1,D290)),0), FactorTable!$A$2:$A$301,0), Skills!M31+1)</f>
        <v/>
      </c>
      <c r="F290">
        <f>IF(Skills!N31=TRUE,(Skills!L31/10)*(E290/1000),Skills!L31/10)+Skills!O31</f>
        <v/>
      </c>
      <c r="G290">
        <f>Skills!G31*IF(Skills!H31&gt;0,Skills!I31/Skills!H31,1)</f>
        <v/>
      </c>
      <c r="H290">
        <f>1-(1-Skills!J31/100)^Skills!K31</f>
        <v/>
      </c>
      <c r="I290" t="inlineStr">
        <is>
          <t>1</t>
        </is>
      </c>
      <c r="J290" t="inlineStr"/>
      <c r="K290" t="inlineStr"/>
      <c r="L290" t="inlineStr"/>
      <c r="M290" t="inlineStr"/>
      <c r="N290" t="inlineStr"/>
      <c r="O290">
        <f>(1-Summary!$B$11)*T290+Summary!$B$11*V290</f>
        <v/>
      </c>
      <c r="P290">
        <f>IF(B303=0,0,O290/B303)</f>
        <v/>
      </c>
      <c r="Q290" t="n">
        <v>0</v>
      </c>
      <c r="R290" t="n">
        <v>0</v>
      </c>
      <c r="S290">
        <f>IFERROR(O290/N290,0)</f>
        <v/>
      </c>
      <c r="T290" t="n">
        <v>0</v>
      </c>
      <c r="V290" t="n">
        <v>0</v>
      </c>
    </row>
    <row r="292">
      <c r="A292" t="inlineStr">
        <is>
          <t>Attack% Bucket Multiplier</t>
        </is>
      </c>
      <c r="B292">
        <f>(1+(((C273=TRUE)*F273)+((C274=TRUE)*IF(Inputs!$B$38="pvp",F274,(1-Summary!$B$11)*(F274)+Summary!$B$11*(0)))+((C275=TRUE)*F275*IF(AND(Inputs!$B$38&lt;&gt;"pvp",Inputs!$B$43&gt;0),(((R275-1)*(Skills!T16*(1+Inputs!$B$34/100))+MIN((Skills!T16*(1+Inputs!$B$34/100)),MAX(0,Inputs!$B$43-((R275-1)*Skills!D16))))/Inputs!$B$43),IF(Inputs!$B$38="pvp",MIN((Skills!T16*(1+Inputs!$B$34/100)),15)/15,(Skills!T16*(1+Inputs!$B$34/100))/Skills!D16)))+((C290=TRUE)*(F290-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3">
      <c r="A293" t="inlineStr">
        <is>
          <t>Global Crit Rate Bonus %</t>
        </is>
      </c>
      <c r="B293">
        <f>(C276=TRUE)*20*IF(AND(Inputs!$B$38&lt;&gt;"pvp",Inputs!$B$43&gt;0),(((R276-1)*(Skills!T17*(1+Inputs!$B$34/100))+MIN((Skills!T17*(1+Inputs!$B$34/100)),MAX(0,Inputs!$B$43-((R276-1)*Skills!D17))))/Inputs!$B$43),IF(Inputs!$B$38="pvp",MIN((Skills!T17*(1+Inputs!$B$34/100)),15)/15,(Skills!T17*(1+Inputs!$B$34/100))/Skills!D17))</f>
        <v/>
      </c>
    </row>
    <row r="294">
      <c r="A294" t="inlineStr">
        <is>
          <t>Attack Speed Buff Bonus %</t>
        </is>
      </c>
      <c r="B294">
        <f>((C279=TRUE)*F279*IF(AND(Inputs!$B$38&lt;&gt;"pvp",Inputs!$B$43&gt;0),(((R279-1)*(Skills!T20*(1+Inputs!$B$34/100))+MIN((Skills!T20*(1+Inputs!$B$34/100)),MAX(0,Inputs!$B$43-((R279-1)*Skills!D20))))/Inputs!$B$43),IF(Inputs!$B$38="pvp",MIN((Skills!T20*(1+Inputs!$B$34/100)),15)/15,(Skills!T20*(1+Inputs!$B$34/100))/Skills!D20)))</f>
        <v/>
      </c>
    </row>
    <row r="295">
      <c r="A295" t="inlineStr">
        <is>
          <t>Actions Per Second</t>
        </is>
      </c>
      <c r="B295">
        <f>1+MIN(150,150*(1-(1-(Inputs!$B$11+((C281=TRUE)*(F281-Calc!F22))+((C282=TRUE)*(F282-Calc!F23)))/150)*(1-B294/150)))/100</f>
        <v/>
      </c>
    </row>
    <row r="296">
      <c r="A296" t="inlineStr">
        <is>
          <t>Skill + Buff Cast Rate</t>
        </is>
      </c>
      <c r="B296">
        <f>IF(AND(Inputs!$B$38&lt;&gt;"pvp",Inputs!$B$43&gt;0),SUMPRODUCT((Skills!E2:E31=TRUE)*(C261:C290=TRUE)*R261:R290*Skills!F2:F31)/Inputs!$B$43,SUMPRODUCT((Skills!E2:E31=TRUE)*(C261:C290=TRUE)*Q261:Q290*Skills!F2:F31))</f>
        <v/>
      </c>
    </row>
    <row r="297">
      <c r="A297" t="inlineStr">
        <is>
          <t>Arrow Stream Casts Per Second</t>
        </is>
      </c>
      <c r="B297">
        <f>MAX(0,B295-B296)</f>
        <v/>
      </c>
    </row>
    <row r="298">
      <c r="A298" t="inlineStr">
        <is>
          <t>Global Critical Damage Bonus % (Sharp Eyes + Concentration)</t>
        </is>
      </c>
      <c r="B298">
        <f>(C276=TRUE)*F276*IF(AND(Inputs!$B$38&lt;&gt;"pvp",Inputs!$B$43&gt;0),(((R276-1)*(Skills!T17*(1+Inputs!$B$34/100))+MIN((Skills!T17*(1+Inputs!$B$34/100)),MAX(0,Inputs!$B$43-((R276-1)*Skills!D17))))/Inputs!$B$43),IF(Inputs!$B$38="pvp",MIN((Skills!T17*(1+Inputs!$B$34/100)),15)/15,(Skills!T17*(1+Inputs!$B$34/100))/Skills!D17))+(C277=TRUE)*30</f>
        <v/>
      </c>
    </row>
    <row r="299">
      <c r="A299" t="inlineStr">
        <is>
          <t>Global Final Damage Bonus % (Mortal Blow)</t>
        </is>
      </c>
      <c r="B299">
        <f>(C278=TRUE)*F278</f>
        <v/>
      </c>
    </row>
    <row r="300">
      <c r="A300" t="inlineStr">
        <is>
          <t>Buff-Casting Startup Delay (s, fixed-duration only)</t>
        </is>
      </c>
      <c r="B300">
        <f>IF(AND(Inputs!$B$38&lt;&gt;"pvp",Inputs!$B$43&gt;0),SUMPRODUCT((Skills!T2:T31&gt;0)*(Skills!E2:E31=TRUE)*(C261:C290=TRUE))/B295,0)</f>
        <v/>
      </c>
    </row>
    <row r="301">
      <c r="A301" t="inlineStr">
        <is>
          <t>Boss-Only Total DPS (this block's swept value)</t>
        </is>
      </c>
      <c r="B301">
        <f>SUM(T261:T290)</f>
        <v/>
      </c>
    </row>
    <row r="302">
      <c r="A302" t="inlineStr">
        <is>
          <t>Normal-Only Total DPS (this block's swept value)</t>
        </is>
      </c>
      <c r="B302">
        <f>SUM(V261:V290)</f>
        <v/>
      </c>
    </row>
    <row r="303">
      <c r="A303" s="6" t="inlineStr">
        <is>
          <t>TOTAL DPS</t>
        </is>
      </c>
      <c r="B303" s="6">
        <f>SUM(O261:O290)</f>
        <v/>
      </c>
    </row>
    <row r="306">
      <c r="A306" s="6" t="inlineStr">
        <is>
          <t>Stat: BOSS_DAMAGE %</t>
        </is>
      </c>
    </row>
    <row r="307">
      <c r="A307" s="5" t="inlineStr">
        <is>
          <t>Key</t>
        </is>
      </c>
      <c r="B307" s="5" t="inlineStr">
        <is>
          <t>Name</t>
        </is>
      </c>
      <c r="C307" s="5" t="inlineStr">
        <is>
          <t>Unlocked</t>
        </is>
      </c>
      <c r="D307" s="5" t="inlineStr">
        <is>
          <t>InputLevel</t>
        </is>
      </c>
      <c r="E307" s="5" t="inlineStr">
        <is>
          <t>Factor</t>
        </is>
      </c>
      <c r="F307" s="5" t="inlineStr">
        <is>
          <t>CoefficientPercent</t>
        </is>
      </c>
      <c r="G307" s="5" t="inlineStr">
        <is>
          <t>EffectiveHits</t>
        </is>
      </c>
      <c r="H307" s="5" t="inlineStr">
        <is>
          <t>ProcProbability</t>
        </is>
      </c>
      <c r="I307" s="5" t="inlineStr">
        <is>
          <t>MapleHeroMultiplier</t>
        </is>
      </c>
      <c r="J307" s="5" t="inlineStr">
        <is>
          <t>BaseDamage</t>
        </is>
      </c>
      <c r="K307" s="5" t="inlineStr">
        <is>
          <t>BaseHitDamage</t>
        </is>
      </c>
      <c r="L307" s="5" t="inlineStr">
        <is>
          <t>NonCritAvg</t>
        </is>
      </c>
      <c r="M307" s="5" t="inlineStr">
        <is>
          <t>CritAvg</t>
        </is>
      </c>
      <c r="N307" s="5" t="inlineStr">
        <is>
          <t>ExpectedDamage(perHit)</t>
        </is>
      </c>
      <c r="O307" s="5" t="inlineStr">
        <is>
          <t>DPS</t>
        </is>
      </c>
      <c r="P307" s="5" t="inlineStr">
        <is>
          <t>% of Total</t>
        </is>
      </c>
      <c r="Q307" s="5" t="inlineStr">
        <is>
          <t>InvCooldown</t>
        </is>
      </c>
      <c r="R307" s="5" t="inlineStr">
        <is>
          <t>CastsInFight</t>
        </is>
      </c>
      <c r="S307" s="5" t="inlineStr">
        <is>
          <t>HitRate(perSec)</t>
        </is>
      </c>
      <c r="U307" t="inlineStr">
        <is>
          <t>helpers</t>
        </is>
      </c>
    </row>
    <row r="308">
      <c r="A308">
        <f>Skills!A2</f>
        <v/>
      </c>
      <c r="B308">
        <f>Skills!B2</f>
        <v/>
      </c>
      <c r="C308">
        <f>Inputs!$B$3&gt;=100</f>
        <v/>
      </c>
      <c r="D308" t="inlineStr"/>
      <c r="E308" t="inlineStr"/>
      <c r="F308">
        <f>U310+Skills!O2</f>
        <v/>
      </c>
      <c r="G308">
        <f>Skills!G2*IF(Skills!H2&gt;0,Skills!I2/Skills!H2,1)</f>
        <v/>
      </c>
      <c r="H308">
        <f>1-(1-Skills!J2/100)^Skills!K2</f>
        <v/>
      </c>
      <c r="I308" t="inlineStr">
        <is>
          <t>1</t>
        </is>
      </c>
      <c r="J308">
        <f>((Inputs!$B$6*(1+Inputs!$B$7/100))+(((Inputs!$B$12*(1+Inputs!$B$13/100))-(Inputs!$B$12*(1+Inputs!$B$13/100)))+0.25*(Inputs!$B$14-Inputs!$B$14))*(1+Inputs!$B$7/100))*(F308/100)</f>
        <v/>
      </c>
      <c r="K308">
        <f>J308*(1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f>
        <v/>
      </c>
      <c r="L308">
        <f>K308*(MIN(Inputs!$B$22+((C331=TRUE)*(F331-Calc!F25)),(Inputs!$B$23+((C336=TRUE)*(F336-Calc!F30))+(IF(ArtifactsInput!$M$15,CHOOSE(ArtifactsInput!$N$15+1,25,30,35,40,45,50)/100*(Inputs!$B$11-Inputs!$B$11),0))))/100+(Inputs!$B$23+((C336=TRUE)*(F336-Calc!F30))+(IF(ArtifactsInput!$M$15,CHOOSE(ArtifactsInput!$N$15+1,25,30,35,40,45,50)/100*(Inputs!$B$11-Inputs!$B$11),0)))/100)/2</f>
        <v/>
      </c>
      <c r="M308">
        <f>L308*(1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
        <f>L308*(1-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
        <f>(1-Summary!$B$11)*T308+Summary!$B$11*V308</f>
        <v/>
      </c>
      <c r="P308">
        <f>IF(B350=0,0,O308/B350)</f>
        <v/>
      </c>
      <c r="Q308" t="n">
        <v>0</v>
      </c>
      <c r="R308" t="n">
        <v>0</v>
      </c>
      <c r="S308">
        <f>IFERROR(O308/N308,0)</f>
        <v/>
      </c>
      <c r="T308">
        <f>IF(C308,(Skills!G2*N308*B344)*IF(Inputs!$B$38="pvp",1,1+((Inputs!$B$20+1)+0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308*(1-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
        <f>MAX(0,(Inputs!$B$3-100)*3)+Inputs!$B$28+Inputs!$B$29</f>
        <v/>
      </c>
      <c r="V308">
        <f>IF(C308,(Skills!G2*N308*B344)*IF(Inputs!$B$38="pvp",1,(1+(Inputs!$B$21+Skills!Q2+(IF(ArtifactsInput!$M$33,CHOOSE(ArtifactsInput!$N$33+1,30,36,42,48,54,60),0))+(IF(AND(ArtifactsInput!$M$35,Inputs!$B$4&lt;&gt;"Chapter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
      <c r="A309">
        <f>Skills!A3</f>
        <v/>
      </c>
      <c r="B309">
        <f>Skills!B3</f>
        <v/>
      </c>
      <c r="C309">
        <f>Inputs!$B$3&gt;=50</f>
        <v/>
      </c>
      <c r="D309">
        <f>IF(Skills!C3=1,60+Inputs!$B$25+Inputs!$B$29,IF(Skills!C3=2,90+Inputs!$B$26+Inputs!$B$29,IF(Skills!C3=3,120+Inputs!$B$27+Inputs!$B$29,MAX(0,(Inputs!$B$3-100)*3)+Inputs!$B$28+Inputs!$B$29)))</f>
        <v/>
      </c>
      <c r="E309">
        <f>INDEX(FactorTable!$B$2:$Y$301, MATCH(ROUND(MIN(300,MAX(1,D309)),0), FactorTable!$A$2:$A$301,0), Skills!M3+1)</f>
        <v/>
      </c>
      <c r="F309">
        <f>IF(Skills!N3=TRUE,(Skills!L3/10)*(E309/1000),Skills!L3/10)+Skills!O3</f>
        <v/>
      </c>
      <c r="G309">
        <f>Skills!G3*IF(Skills!H3&gt;0,Skills!I3/Skills!H3,1)</f>
        <v/>
      </c>
      <c r="H309">
        <f>1-(1-Skills!J3/100)^Skills!K3</f>
        <v/>
      </c>
      <c r="I309" t="inlineStr">
        <is>
          <t>1</t>
        </is>
      </c>
      <c r="J309">
        <f>((Inputs!$B$6*(1+Inputs!$B$7/100))+(((Inputs!$B$12*(1+Inputs!$B$13/100))-(Inputs!$B$12*(1+Inputs!$B$13/100)))+0.25*(Inputs!$B$14-Inputs!$B$14))*(1+Inputs!$B$7/100))*(F309/100)</f>
        <v/>
      </c>
      <c r="K309">
        <f>J309*(1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310=TRUE,F310,0)/100)*(1+(IF(Skills!A3="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f>
        <v/>
      </c>
      <c r="L309">
        <f>K309*(MIN(Inputs!$B$22+((C331=TRUE)*(F331-Calc!F25)),(Inputs!$B$23+((C336=TRUE)*(F336-Calc!F30))+(IF(ArtifactsInput!$M$15,CHOOSE(ArtifactsInput!$N$15+1,25,30,35,40,45,50)/100*(Inputs!$B$11-Inputs!$B$11),0))))/100+(Inputs!$B$23+((C336=TRUE)*(F336-Calc!F30))+(IF(ArtifactsInput!$M$15,CHOOSE(ArtifactsInput!$N$15+1,25,30,35,40,45,50)/100*(Inputs!$B$11-Inputs!$B$11),0)))/100)/2</f>
        <v/>
      </c>
      <c r="M309">
        <f>L309*(1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
        <f>L309*(1-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
        <f>(1-Summary!$B$11)*T309+Summary!$B$11*V309</f>
        <v/>
      </c>
      <c r="P309">
        <f>IF(B350=0,0,O309/B350)</f>
        <v/>
      </c>
      <c r="Q309">
        <f>IFERROR(1/(IF(Inputs!$B$38="pvp",15,MAX(0.1,Skills!D3-IF(Skills!E3=TRUE,Inputs!$B$32,0)))*(1-IF(AND(ArtifactsInput!$M$27,Inputs!$B$4="Chapter Hunt"),CHOOSE(ArtifactsInput!$N$27+1,20,24,28,32,36,40),0)/100)),0)</f>
        <v/>
      </c>
      <c r="R309">
        <f>IF(AND(Inputs!$B$38&lt;&gt;"pvp",Inputs!$B$43&gt;0),IF(MAX(0,Inputs!$B$43-B347)&lt;=0,0,(INT(MAX(0,Inputs!$B$43-B347)/(IF(Inputs!$B$38="pvp",15,MAX(0.1,Skills!D3-IF(Skills!E3=TRUE,Inputs!$B$32,0)))*(1-IF(AND(ArtifactsInput!$M$27,Inputs!$B$4="Chapter Hunt"),CHOOSE(ArtifactsInput!$N$27+1,20,24,28,32,36,40),0)/100)))+1)),0)</f>
        <v/>
      </c>
      <c r="S309">
        <f>IFERROR(O309/N309,0)</f>
        <v/>
      </c>
      <c r="T309">
        <f>IF(C309,(H309*N309*IF(AND(Inputs!$B$38&lt;&gt;"pvp",Inputs!$B$43&gt;0),((Skills!G3*((R309-1)*IF(Skills!H3&gt;0,Skills!I3/Skills!H3,1)+IF(Skills!H3&gt;0,MIN(Skills!I3,MAX(0,MAX(0,Inputs!$B$43-B347)-((R309-1)*(IF(Inputs!$B$38="pvp",15,MAX(0.1,Skills!D3-IF(Skills!E3=TRUE,Inputs!$B$32,0)))*(1-IF(AND(ArtifactsInput!$M$27,Inputs!$B$4="Chapter Hunt"),CHOOSE(ArtifactsInput!$N$27+1,20,24,28,32,36,40),0)/100)))))/Skills!H3,1)))/Inputs!$B$43),G309*Q309))*IF(Inputs!$B$38="pvp",1,1+((Inputs!$B$20+1)+0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309*(1-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
        <f>INDEX(FactorTable!$B$2:$Y$301, MATCH(ROUND(MIN(300,MAX(1,U308)),0), FactorTable!$A$2:$A$301,0), 22)</f>
        <v/>
      </c>
      <c r="V309">
        <f>IF(C309,(H309*N309*IF(AND(Inputs!$B$38&lt;&gt;"pvp",Inputs!$B$43&gt;0),((Skills!G3*((R309-1)*IF(Skills!H3&gt;0,Skills!I3/Skills!H3,1)+IF(Skills!H3&gt;0,MIN(Skills!I3,MAX(0,MAX(0,Inputs!$B$43-B347)-((R309-1)*(IF(Inputs!$B$38="pvp",15,MAX(0.1,Skills!D3-IF(Skills!E3=TRUE,Inputs!$B$32,0)))*(1-IF(AND(ArtifactsInput!$M$27,Inputs!$B$4="Chapter Hunt"),CHOOSE(ArtifactsInput!$N$27+1,20,24,28,32,36,40),0)/100)))))/Skills!H3,1)))/Inputs!$B$43),G309*Q309))*IF(Inputs!$B$38="pvp",1,(1+(Inputs!$B$21+Skills!Q3+(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
      <c r="A310">
        <f>Skills!A4</f>
        <v/>
      </c>
      <c r="B310">
        <f>Skills!B4</f>
        <v/>
      </c>
      <c r="C310">
        <f>Inputs!$B$3&gt;=105</f>
        <v/>
      </c>
      <c r="D310">
        <f>IF(Skills!C4=1,60+Inputs!$B$25+Inputs!$B$29,IF(Skills!C4=2,90+Inputs!$B$26+Inputs!$B$29,IF(Skills!C4=3,120+Inputs!$B$27+Inputs!$B$29,MAX(0,(Inputs!$B$3-100)*3)+Inputs!$B$28+Inputs!$B$29)))</f>
        <v/>
      </c>
      <c r="E310">
        <f>INDEX(FactorTable!$B$2:$Y$301, MATCH(ROUND(MIN(300,MAX(1,D310)),0), FactorTable!$A$2:$A$301,0), Skills!M4+1)</f>
        <v/>
      </c>
      <c r="F310">
        <f>IF(Skills!N4=TRUE,(Skills!L4/10)*(E310/1000),Skills!L4/10)+Skills!O4</f>
        <v/>
      </c>
      <c r="G310" t="inlineStr"/>
      <c r="H310" t="inlineStr"/>
      <c r="I310" t="inlineStr">
        <is>
          <t>1</t>
        </is>
      </c>
      <c r="J310" t="inlineStr"/>
      <c r="K310" t="inlineStr"/>
      <c r="L310" t="inlineStr"/>
      <c r="M310" t="inlineStr"/>
      <c r="N310" t="inlineStr"/>
      <c r="O310" t="inlineStr"/>
      <c r="P310" t="inlineStr"/>
      <c r="Q310" t="inlineStr"/>
      <c r="R310" t="inlineStr"/>
      <c r="S310" t="inlineStr"/>
      <c r="T310" t="inlineStr"/>
      <c r="U310">
        <f>290*U309/1000</f>
        <v/>
      </c>
      <c r="V310" t="inlineStr"/>
    </row>
    <row r="311">
      <c r="A311">
        <f>Skills!A5</f>
        <v/>
      </c>
      <c r="B311">
        <f>Skills!B5</f>
        <v/>
      </c>
      <c r="C311">
        <f>Inputs!$B$3&gt;=35</f>
        <v/>
      </c>
      <c r="D311">
        <f>IF(Skills!C5=1,60+Inputs!$B$25+Inputs!$B$29,IF(Skills!C5=2,90+Inputs!$B$26+Inputs!$B$29,IF(Skills!C5=3,120+Inputs!$B$27+Inputs!$B$29,MAX(0,(Inputs!$B$3-100)*3)+Inputs!$B$28+Inputs!$B$29)))</f>
        <v/>
      </c>
      <c r="E311">
        <f>INDEX(FactorTable!$B$2:$Y$301, MATCH(ROUND(MIN(300,MAX(1,D311)),0), FactorTable!$A$2:$A$301,0), Skills!M5+1)</f>
        <v/>
      </c>
      <c r="F311">
        <f>IF(Skills!N5=TRUE,(Skills!L5/10)*(E311/1000),Skills!L5/10)+Skills!O5</f>
        <v/>
      </c>
      <c r="G311">
        <f>Skills!G5*IF(Skills!H5&gt;0,Skills!I5/Skills!H5,1)</f>
        <v/>
      </c>
      <c r="H311">
        <f>1-(1-Skills!J5/100)^Skills!K5</f>
        <v/>
      </c>
      <c r="I311" t="inlineStr">
        <is>
          <t>1</t>
        </is>
      </c>
      <c r="J311">
        <f>((Inputs!$B$6*(1+Inputs!$B$7/100))+(((Inputs!$B$12*(1+Inputs!$B$13/100))-(Inputs!$B$12*(1+Inputs!$B$13/100)))+0.25*(Inputs!$B$14-Inputs!$B$14))*(1+Inputs!$B$7/100))*(F311/100)</f>
        <v/>
      </c>
      <c r="K311">
        <f>J311*(1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317=TRUE,F317,0)/100)*(1+(IF(Skills!A5="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f>
        <v/>
      </c>
      <c r="L311">
        <f>K311*(MIN(Inputs!$B$22+((C331=TRUE)*(F331-Calc!F25)),(Inputs!$B$23+((C336=TRUE)*(F336-Calc!F30))+(IF(ArtifactsInput!$M$15,CHOOSE(ArtifactsInput!$N$15+1,25,30,35,40,45,50)/100*(Inputs!$B$11-Inputs!$B$11),0))))/100+(Inputs!$B$23+((C336=TRUE)*(F336-Calc!F30))+(IF(ArtifactsInput!$M$15,CHOOSE(ArtifactsInput!$N$15+1,25,30,35,40,45,50)/100*(Inputs!$B$11-Inputs!$B$11),0)))/100)/2</f>
        <v/>
      </c>
      <c r="M311">
        <f>L311*(1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
        <f>L311*(1-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
        <f>(1-Summary!$B$11)*T311+Summary!$B$11*V311</f>
        <v/>
      </c>
      <c r="P311">
        <f>IF(B350=0,0,O311/B350)</f>
        <v/>
      </c>
      <c r="Q311">
        <f>IFERROR(1/(IF(Inputs!$B$38="pvp",15,MAX(0.1,Skills!D5-IF(Skills!E5=TRUE,Inputs!$B$32,0)))*(1-IF(AND(ArtifactsInput!$M$27,Inputs!$B$4="Chapter Hunt"),CHOOSE(ArtifactsInput!$N$27+1,20,24,28,32,36,40),0)/100)),0)</f>
        <v/>
      </c>
      <c r="R311">
        <f>IF(AND(Inputs!$B$38&lt;&gt;"pvp",Inputs!$B$43&gt;0),IF(MAX(0,Inputs!$B$43-B347)&lt;=0,0,(INT(MAX(0,Inputs!$B$43-B347)/(IF(Inputs!$B$38="pvp",15,MAX(0.1,Skills!D5-IF(Skills!E5=TRUE,Inputs!$B$32,0)))*(1-IF(AND(ArtifactsInput!$M$27,Inputs!$B$4="Chapter Hunt"),CHOOSE(ArtifactsInput!$N$27+1,20,24,28,32,36,40),0)/100)))+1)),0)</f>
        <v/>
      </c>
      <c r="S311">
        <f>IFERROR(O311/N311,0)</f>
        <v/>
      </c>
      <c r="T311">
        <f>IF(C311,(H311*N311*IF(AND(Inputs!$B$38&lt;&gt;"pvp",Inputs!$B$43&gt;0),((Skills!G5*((R311-1)*IF(Skills!H5&gt;0,Skills!I5/Skills!H5,1)+IF(Skills!H5&gt;0,MIN(Skills!I5,MAX(0,MAX(0,Inputs!$B$43-B347)-((R311-1)*(IF(Inputs!$B$38="pvp",15,MAX(0.1,Skills!D5-IF(Skills!E5=TRUE,Inputs!$B$32,0)))*(1-IF(AND(ArtifactsInput!$M$27,Inputs!$B$4="Chapter Hunt"),CHOOSE(ArtifactsInput!$N$27+1,20,24,28,32,36,40),0)/100)))))/Skills!H5,1)))/Inputs!$B$43),G311*Q311))*IF(Inputs!$B$38="pvp",1,1+((Inputs!$B$20+1)+0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311*(1-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
        <f>IF(C311,(H311*N311*IF(AND(Inputs!$B$38&lt;&gt;"pvp",Inputs!$B$43&gt;0),((Skills!G5*((R311-1)*IF(Skills!H5&gt;0,Skills!I5/Skills!H5,1)+IF(Skills!H5&gt;0,MIN(Skills!I5,MAX(0,MAX(0,Inputs!$B$43-B347)-((R311-1)*(IF(Inputs!$B$38="pvp",15,MAX(0.1,Skills!D5-IF(Skills!E5=TRUE,Inputs!$B$32,0)))*(1-IF(AND(ArtifactsInput!$M$27,Inputs!$B$4="Chapter Hunt"),CHOOSE(ArtifactsInput!$N$27+1,20,24,28,32,36,40),0)/100)))))/Skills!H5,1)))/Inputs!$B$43),G311*Q311))*IF(Inputs!$B$38="pvp",1,(1+(Inputs!$B$21+Skills!Q5+(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
      <c r="A312">
        <f>Skills!A6</f>
        <v/>
      </c>
      <c r="B312">
        <f>Skills!B6</f>
        <v/>
      </c>
      <c r="C312">
        <f>Inputs!$B$3&gt;=40</f>
        <v/>
      </c>
      <c r="D312">
        <f>IF(Skills!C6=1,60+Inputs!$B$25+Inputs!$B$29,IF(Skills!C6=2,90+Inputs!$B$26+Inputs!$B$29,IF(Skills!C6=3,120+Inputs!$B$27+Inputs!$B$29,MAX(0,(Inputs!$B$3-100)*3)+Inputs!$B$28+Inputs!$B$29)))</f>
        <v/>
      </c>
      <c r="E312">
        <f>INDEX(FactorTable!$B$2:$Y$301, MATCH(ROUND(MIN(300,MAX(1,D312)),0), FactorTable!$A$2:$A$301,0), Skills!M6+1)</f>
        <v/>
      </c>
      <c r="F312">
        <f>IF(Skills!N6=TRUE,(Skills!L6/10)*(E312/1000),Skills!L6/10)+Skills!O6</f>
        <v/>
      </c>
      <c r="G312">
        <f>Skills!G6*IF(Skills!H6&gt;0,Skills!I6/Skills!H6,1)</f>
        <v/>
      </c>
      <c r="H312">
        <f>1-(1-Skills!J6/100)^Skills!K6</f>
        <v/>
      </c>
      <c r="I312" t="inlineStr">
        <is>
          <t>1</t>
        </is>
      </c>
      <c r="J312">
        <f>((Inputs!$B$6*(1+Inputs!$B$7/100))+(((Inputs!$B$12*(1+Inputs!$B$13/100))-(Inputs!$B$12*(1+Inputs!$B$13/100)))+0.25*(Inputs!$B$14-Inputs!$B$14))*(1+Inputs!$B$7/100))*(F312/100)</f>
        <v/>
      </c>
      <c r="K312">
        <f>J312*(1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313=TRUE,F313,0)/100)*(1+(IF(Skills!A6="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f>
        <v/>
      </c>
      <c r="L312">
        <f>K312*(MIN(Inputs!$B$22+((C331=TRUE)*(F331-Calc!F25)),(Inputs!$B$23+((C336=TRUE)*(F336-Calc!F30))+(IF(ArtifactsInput!$M$15,CHOOSE(ArtifactsInput!$N$15+1,25,30,35,40,45,50)/100*(Inputs!$B$11-Inputs!$B$11),0))))/100+(Inputs!$B$23+((C336=TRUE)*(F336-Calc!F30))+(IF(ArtifactsInput!$M$15,CHOOSE(ArtifactsInput!$N$15+1,25,30,35,40,45,50)/100*(Inputs!$B$11-Inputs!$B$11),0)))/100)/2</f>
        <v/>
      </c>
      <c r="M312">
        <f>L312*(1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
        <f>L312*(1-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
        <f>(1-Summary!$B$11)*T312+Summary!$B$11*V312</f>
        <v/>
      </c>
      <c r="P312">
        <f>IF(B350=0,0,O312/B350)</f>
        <v/>
      </c>
      <c r="Q312">
        <f>IFERROR(1/(IF(Inputs!$B$38="pvp",15,MAX(0.1,Skills!D6-IF(Skills!E6=TRUE,Inputs!$B$32,0)))*(1-IF(AND(ArtifactsInput!$M$27,Inputs!$B$4="Chapter Hunt"),CHOOSE(ArtifactsInput!$N$27+1,20,24,28,32,36,40),0)/100)),0)</f>
        <v/>
      </c>
      <c r="R312">
        <f>IF(AND(Inputs!$B$38&lt;&gt;"pvp",Inputs!$B$43&gt;0),IF(MAX(0,Inputs!$B$43-B347)&lt;=0,0,(INT(MAX(0,Inputs!$B$43-B347)/(IF(Inputs!$B$38="pvp",15,MAX(0.1,Skills!D6-IF(Skills!E6=TRUE,Inputs!$B$32,0)))*(1-IF(AND(ArtifactsInput!$M$27,Inputs!$B$4="Chapter Hunt"),CHOOSE(ArtifactsInput!$N$27+1,20,24,28,32,36,40),0)/100)))+1)),0)</f>
        <v/>
      </c>
      <c r="S312">
        <f>IFERROR(O312/N312,0)</f>
        <v/>
      </c>
      <c r="T312">
        <f>IF(C312,(H312*N312*IF(AND(Inputs!$B$38&lt;&gt;"pvp",Inputs!$B$43&gt;0),((Skills!G6*((R312-1)*IF(Skills!H6&gt;0,Skills!I6/Skills!H6,1)+IF(Skills!H6&gt;0,MIN(Skills!I6,MAX(0,MAX(0,Inputs!$B$43-B347)-((R312-1)*(IF(Inputs!$B$38="pvp",15,MAX(0.1,Skills!D6-IF(Skills!E6=TRUE,Inputs!$B$32,0)))*(1-IF(AND(ArtifactsInput!$M$27,Inputs!$B$4="Chapter Hunt"),CHOOSE(ArtifactsInput!$N$27+1,20,24,28,32,36,40),0)/100)))))/Skills!H6,1)))/Inputs!$B$43),G312*Q312))*IF(Inputs!$B$38="pvp",1,1+((Inputs!$B$20+1)+0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312*(1-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
        <f>IF(C312,(H312*N312*IF(AND(Inputs!$B$38&lt;&gt;"pvp",Inputs!$B$43&gt;0),((Skills!G6*((R312-1)*IF(Skills!H6&gt;0,Skills!I6/Skills!H6,1)+IF(Skills!H6&gt;0,MIN(Skills!I6,MAX(0,MAX(0,Inputs!$B$43-B347)-((R312-1)*(IF(Inputs!$B$38="pvp",15,MAX(0.1,Skills!D6-IF(Skills!E6=TRUE,Inputs!$B$32,0)))*(1-IF(AND(ArtifactsInput!$M$27,Inputs!$B$4="Chapter Hunt"),CHOOSE(ArtifactsInput!$N$27+1,20,24,28,32,36,40),0)/100)))))/Skills!H6,1)))/Inputs!$B$43),G312*Q312))*IF(Inputs!$B$38="pvp",1,(1+(Inputs!$B$21+Skills!Q6+(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
      <c r="A313">
        <f>Skills!A7</f>
        <v/>
      </c>
      <c r="B313">
        <f>Skills!B7</f>
        <v/>
      </c>
      <c r="C313">
        <f>Inputs!$B$3&gt;=107</f>
        <v/>
      </c>
      <c r="D313">
        <f>IF(Skills!C7=1,60+Inputs!$B$25+Inputs!$B$29,IF(Skills!C7=2,90+Inputs!$B$26+Inputs!$B$29,IF(Skills!C7=3,120+Inputs!$B$27+Inputs!$B$29,MAX(0,(Inputs!$B$3-100)*3)+Inputs!$B$28+Inputs!$B$29)))</f>
        <v/>
      </c>
      <c r="E313">
        <f>INDEX(FactorTable!$B$2:$Y$301, MATCH(ROUND(MIN(300,MAX(1,D313)),0), FactorTable!$A$2:$A$301,0), Skills!M7+1)</f>
        <v/>
      </c>
      <c r="F313">
        <f>IF(Skills!N7=TRUE,(Skills!L7/10)*(E313/1000),Skills!L7/10)+Skills!O7</f>
        <v/>
      </c>
      <c r="G313" t="inlineStr"/>
      <c r="H313" t="inlineStr"/>
      <c r="I313" t="inlineStr">
        <is>
          <t>1</t>
        </is>
      </c>
      <c r="J313" t="inlineStr"/>
      <c r="K313" t="inlineStr"/>
      <c r="L313" t="inlineStr"/>
      <c r="M313" t="inlineStr"/>
      <c r="N313" t="inlineStr"/>
      <c r="O313" t="inlineStr"/>
      <c r="P313" t="inlineStr"/>
      <c r="Q313" t="inlineStr"/>
      <c r="R313" t="inlineStr"/>
      <c r="S313" t="inlineStr"/>
      <c r="T313" t="inlineStr"/>
      <c r="V313" t="inlineStr"/>
    </row>
    <row r="314">
      <c r="A314">
        <f>Skills!A8</f>
        <v/>
      </c>
      <c r="B314">
        <f>Skills!B8</f>
        <v/>
      </c>
      <c r="C314">
        <f>Inputs!$B$3&gt;=69</f>
        <v/>
      </c>
      <c r="D314">
        <f>IF(Skills!C8=1,60+Inputs!$B$25+Inputs!$B$29,IF(Skills!C8=2,90+Inputs!$B$26+Inputs!$B$29,IF(Skills!C8=3,120+Inputs!$B$27+Inputs!$B$29,MAX(0,(Inputs!$B$3-100)*3)+Inputs!$B$28+Inputs!$B$29)))</f>
        <v/>
      </c>
      <c r="E314">
        <f>INDEX(FactorTable!$B$2:$Y$301, MATCH(ROUND(MIN(300,MAX(1,D314)),0), FactorTable!$A$2:$A$301,0), Skills!M8+1)</f>
        <v/>
      </c>
      <c r="F314">
        <f>IF(Skills!N8=TRUE,(Skills!L8/10)*(E314/1000),Skills!L8/10)+Skills!O8</f>
        <v/>
      </c>
      <c r="G314">
        <f>Skills!G8*IF(Skills!H8&gt;0,Skills!I8/Skills!H8,1)</f>
        <v/>
      </c>
      <c r="H314">
        <f>1-(1-Skills!J8/100)^Skills!K8</f>
        <v/>
      </c>
      <c r="I314" t="inlineStr">
        <is>
          <t>1</t>
        </is>
      </c>
      <c r="J314">
        <f>((Inputs!$B$6*(1+Inputs!$B$7/100))+(((Inputs!$B$12*(1+Inputs!$B$13/100))-(Inputs!$B$12*(1+Inputs!$B$13/100)))+0.25*(Inputs!$B$14-Inputs!$B$14))*(1+Inputs!$B$7/100))*(F314/100)</f>
        <v/>
      </c>
      <c r="K314">
        <f>J314*(1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317=TRUE,F317,0)/100)*(1+(IF(Skills!A8="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f>
        <v/>
      </c>
      <c r="L314">
        <f>K314*(MIN(Inputs!$B$22+((C331=TRUE)*(F331-Calc!F25)),(Inputs!$B$23+((C336=TRUE)*(F336-Calc!F30))+(IF(ArtifactsInput!$M$15,CHOOSE(ArtifactsInput!$N$15+1,25,30,35,40,45,50)/100*(Inputs!$B$11-Inputs!$B$11),0))))/100+(Inputs!$B$23+((C336=TRUE)*(F336-Calc!F30))+(IF(ArtifactsInput!$M$15,CHOOSE(ArtifactsInput!$N$15+1,25,30,35,40,45,50)/100*(Inputs!$B$11-Inputs!$B$11),0)))/100)/2</f>
        <v/>
      </c>
      <c r="M314">
        <f>L314*(1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
        <f>L314*(1-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
        <f>(1-Summary!$B$11)*T314+Summary!$B$11*V314</f>
        <v/>
      </c>
      <c r="P314">
        <f>IF(B350=0,0,O314/B350)</f>
        <v/>
      </c>
      <c r="Q314">
        <f>IFERROR(1/(IF(Inputs!$B$38="pvp",15,MAX(0.1,Skills!D8-IF(Skills!E8=TRUE,Inputs!$B$32,0)))*(1-IF(AND(ArtifactsInput!$M$27,Inputs!$B$4="Chapter Hunt"),CHOOSE(ArtifactsInput!$N$27+1,20,24,28,32,36,40),0)/100)),0)</f>
        <v/>
      </c>
      <c r="R314">
        <f>IF(AND(Inputs!$B$38&lt;&gt;"pvp",Inputs!$B$43&gt;0),IF(MAX(0,Inputs!$B$43-B347)&lt;=0,0,(INT(MAX(0,Inputs!$B$43-B347)/(IF(Inputs!$B$38="pvp",15,MAX(0.1,Skills!D8-IF(Skills!E8=TRUE,Inputs!$B$32,0)))*(1-IF(AND(ArtifactsInput!$M$27,Inputs!$B$4="Chapter Hunt"),CHOOSE(ArtifactsInput!$N$27+1,20,24,28,32,36,40),0)/100)))+1)),0)</f>
        <v/>
      </c>
      <c r="S314">
        <f>IFERROR(O314/N314,0)</f>
        <v/>
      </c>
      <c r="T314">
        <f>IF(C314,(H314*N314*IF(AND(Inputs!$B$38&lt;&gt;"pvp",Inputs!$B$43&gt;0),((Skills!G8*((R314-1)*IF(Skills!H8&gt;0,Skills!I8/Skills!H8,1)+IF(Skills!H8&gt;0,MIN(Skills!I8,MAX(0,MAX(0,Inputs!$B$43-B347)-((R314-1)*(IF(Inputs!$B$38="pvp",15,MAX(0.1,Skills!D8-IF(Skills!E8=TRUE,Inputs!$B$32,0)))*(1-IF(AND(ArtifactsInput!$M$27,Inputs!$B$4="Chapter Hunt"),CHOOSE(ArtifactsInput!$N$27+1,20,24,28,32,36,40),0)/100)))))/Skills!H8,1)))/Inputs!$B$43),G314*Q314))*IF(Inputs!$B$38="pvp",1,1+((Inputs!$B$20+1)+0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314*(1-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
        <f>IF(C314,(H314*N314*IF(AND(Inputs!$B$38&lt;&gt;"pvp",Inputs!$B$43&gt;0),((Skills!G8*((R314-1)*IF(Skills!H8&gt;0,Skills!I8/Skills!H8,1)+IF(Skills!H8&gt;0,MIN(Skills!I8,MAX(0,MAX(0,Inputs!$B$43-B347)-((R314-1)*(IF(Inputs!$B$38="pvp",15,MAX(0.1,Skills!D8-IF(Skills!E8=TRUE,Inputs!$B$32,0)))*(1-IF(AND(ArtifactsInput!$M$27,Inputs!$B$4="Chapter Hunt"),CHOOSE(ArtifactsInput!$N$27+1,20,24,28,32,36,40),0)/100)))))/Skills!H8,1)))/Inputs!$B$43),G314*Q314))*IF(Inputs!$B$38="pvp",1,(1+(Inputs!$B$21+Skills!Q8+(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
      <c r="A315">
        <f>Skills!A9</f>
        <v/>
      </c>
      <c r="B315">
        <f>Skills!B9</f>
        <v/>
      </c>
      <c r="C315">
        <f>Inputs!$B$3&gt;=63</f>
        <v/>
      </c>
      <c r="D315">
        <f>IF(Skills!C9=1,60+Inputs!$B$25+Inputs!$B$29,IF(Skills!C9=2,90+Inputs!$B$26+Inputs!$B$29,IF(Skills!C9=3,120+Inputs!$B$27+Inputs!$B$29,MAX(0,(Inputs!$B$3-100)*3)+Inputs!$B$28+Inputs!$B$29)))</f>
        <v/>
      </c>
      <c r="E315">
        <f>INDEX(FactorTable!$B$2:$Y$301, MATCH(ROUND(MIN(300,MAX(1,D315)),0), FactorTable!$A$2:$A$301,0), Skills!M9+1)</f>
        <v/>
      </c>
      <c r="F315">
        <f>IF(Skills!N9=TRUE,(Skills!L9/10)*(E315/1000),Skills!L9/10)+Skills!O9</f>
        <v/>
      </c>
      <c r="G315">
        <f>Skills!G9*IF(Skills!H9&gt;0,Skills!I9/Skills!H9,1)</f>
        <v/>
      </c>
      <c r="H315">
        <f>1-(1-Skills!J9/100)^Skills!K9</f>
        <v/>
      </c>
      <c r="I315" t="inlineStr">
        <is>
          <t>1</t>
        </is>
      </c>
      <c r="J315">
        <f>((Inputs!$B$6*(1+Inputs!$B$7/100))+(((Inputs!$B$12*(1+Inputs!$B$13/100))-(Inputs!$B$12*(1+Inputs!$B$13/100)))+0.25*(Inputs!$B$14-Inputs!$B$14))*(1+Inputs!$B$7/100))*(F315/100)</f>
        <v/>
      </c>
      <c r="K315">
        <f>J315*(1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317=TRUE,F317,0)/100)*(1+(IF(Skills!A9="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f>
        <v/>
      </c>
      <c r="L315">
        <f>K315*(MIN(Inputs!$B$22+((C331=TRUE)*(F331-Calc!F25)),(Inputs!$B$23+((C336=TRUE)*(F336-Calc!F30))+(IF(ArtifactsInput!$M$15,CHOOSE(ArtifactsInput!$N$15+1,25,30,35,40,45,50)/100*(Inputs!$B$11-Inputs!$B$11),0))))/100+(Inputs!$B$23+((C336=TRUE)*(F336-Calc!F30))+(IF(ArtifactsInput!$M$15,CHOOSE(ArtifactsInput!$N$15+1,25,30,35,40,45,50)/100*(Inputs!$B$11-Inputs!$B$11),0)))/100)/2</f>
        <v/>
      </c>
      <c r="M315">
        <f>L315*(1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
        <f>L315*(1-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
        <f>(1-Summary!$B$11)*T315+Summary!$B$11*V315</f>
        <v/>
      </c>
      <c r="P315">
        <f>IF(B350=0,0,O315/B350)</f>
        <v/>
      </c>
      <c r="Q315">
        <f>IFERROR(1/(IF(Inputs!$B$38="pvp",15,MAX(0.1,Skills!D9-IF(Skills!E9=TRUE,Inputs!$B$32,0)))*(1-IF(AND(ArtifactsInput!$M$27,Inputs!$B$4="Chapter Hunt"),CHOOSE(ArtifactsInput!$N$27+1,20,24,28,32,36,40),0)/100)),0)</f>
        <v/>
      </c>
      <c r="R315">
        <f>IF(AND(Inputs!$B$38&lt;&gt;"pvp",Inputs!$B$43&gt;0),IF(MAX(0,Inputs!$B$43-B347)&lt;=0,0,(INT(MAX(0,Inputs!$B$43-B347)/(IF(Inputs!$B$38="pvp",15,MAX(0.1,Skills!D9-IF(Skills!E9=TRUE,Inputs!$B$32,0)))*(1-IF(AND(ArtifactsInput!$M$27,Inputs!$B$4="Chapter Hunt"),CHOOSE(ArtifactsInput!$N$27+1,20,24,28,32,36,40),0)/100)))+1)),0)</f>
        <v/>
      </c>
      <c r="S315">
        <f>IFERROR(O315/N315,0)</f>
        <v/>
      </c>
      <c r="T315">
        <f>IF(C315,(H315*N315*IF(AND(Inputs!$B$38&lt;&gt;"pvp",Inputs!$B$43&gt;0),((Skills!G9*((R315-1)*IF(Skills!H9&gt;0,Skills!I9/Skills!H9,1)+IF(Skills!H9&gt;0,MIN(Skills!I9,MAX(0,MAX(0,Inputs!$B$43-B347)-((R315-1)*(IF(Inputs!$B$38="pvp",15,MAX(0.1,Skills!D9-IF(Skills!E9=TRUE,Inputs!$B$32,0)))*(1-IF(AND(ArtifactsInput!$M$27,Inputs!$B$4="Chapter Hunt"),CHOOSE(ArtifactsInput!$N$27+1,20,24,28,32,36,40),0)/100)))))/Skills!H9,1)))/Inputs!$B$43),G315*Q315))*IF(Inputs!$B$38="pvp",1,1+((Inputs!$B$20+1)+0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315*(1-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
        <f>IF(C315,(H315*N315*IF(AND(Inputs!$B$38&lt;&gt;"pvp",Inputs!$B$43&gt;0),((Skills!G9*((R315-1)*IF(Skills!H9&gt;0,Skills!I9/Skills!H9,1)+IF(Skills!H9&gt;0,MIN(Skills!I9,MAX(0,MAX(0,Inputs!$B$43-B347)-((R315-1)*(IF(Inputs!$B$38="pvp",15,MAX(0.1,Skills!D9-IF(Skills!E9=TRUE,Inputs!$B$32,0)))*(1-IF(AND(ArtifactsInput!$M$27,Inputs!$B$4="Chapter Hunt"),CHOOSE(ArtifactsInput!$N$27+1,20,24,28,32,36,40),0)/100)))))/Skills!H9,1)))/Inputs!$B$43),G315*Q315))*IF(Inputs!$B$38="pvp",1,(1+(Inputs!$B$21+Skills!Q9+(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6">
      <c r="A316">
        <f>Skills!A10</f>
        <v/>
      </c>
      <c r="B316">
        <f>Skills!B10</f>
        <v/>
      </c>
      <c r="C316">
        <f>Inputs!$B$3&gt;=103</f>
        <v/>
      </c>
      <c r="D316">
        <f>IF(Skills!C10=1,60+Inputs!$B$25+Inputs!$B$29,IF(Skills!C10=2,90+Inputs!$B$26+Inputs!$B$29,IF(Skills!C10=3,120+Inputs!$B$27+Inputs!$B$29,MAX(0,(Inputs!$B$3-100)*3)+Inputs!$B$28+Inputs!$B$29)))</f>
        <v/>
      </c>
      <c r="E316">
        <f>INDEX(FactorTable!$B$2:$Y$301, MATCH(ROUND(MIN(300,MAX(1,D316)),0), FactorTable!$A$2:$A$301,0), Skills!M10+1)</f>
        <v/>
      </c>
      <c r="F316">
        <f>IF(Skills!N10=TRUE,(Skills!L10/10)*(E316/1000),Skills!L10/10)+Skills!O10</f>
        <v/>
      </c>
      <c r="G316">
        <f>Skills!G10*IF(Skills!H10&gt;0,Skills!I10/Skills!H10,1)</f>
        <v/>
      </c>
      <c r="H316">
        <f>1-(1-Skills!J10/100)^Skills!K10</f>
        <v/>
      </c>
      <c r="I316" t="inlineStr">
        <is>
          <t>1</t>
        </is>
      </c>
      <c r="J316">
        <f>((Inputs!$B$6*(1+Inputs!$B$7/100))+(((Inputs!$B$12*(1+Inputs!$B$13/100))-(Inputs!$B$12*(1+Inputs!$B$13/100)))+0.25*(Inputs!$B$14-Inputs!$B$14))*(1+Inputs!$B$7/100))*(F316/100)</f>
        <v/>
      </c>
      <c r="K316">
        <f>J316*(1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f>
        <v/>
      </c>
      <c r="L316">
        <f>K316*(MIN(Inputs!$B$22+((C331=TRUE)*(F331-Calc!F25)),(Inputs!$B$23+((C336=TRUE)*(F336-Calc!F30))+(IF(ArtifactsInput!$M$15,CHOOSE(ArtifactsInput!$N$15+1,25,30,35,40,45,50)/100*(Inputs!$B$11-Inputs!$B$11),0))))/100+(Inputs!$B$23+((C336=TRUE)*(F336-Calc!F30))+(IF(ArtifactsInput!$M$15,CHOOSE(ArtifactsInput!$N$15+1,25,30,35,40,45,50)/100*(Inputs!$B$11-Inputs!$B$11),0)))/100)/2</f>
        <v/>
      </c>
      <c r="M316">
        <f>L316*(1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
        <f>L316*(1-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
        <f>(1-Summary!$B$11)*T316+Summary!$B$11*V316</f>
        <v/>
      </c>
      <c r="P316">
        <f>IF(B350=0,0,O316/B350)</f>
        <v/>
      </c>
      <c r="Q316">
        <f>IFERROR(1/(IF(Inputs!$B$38="pvp",15,MAX(0.1,Skills!D10-IF(Skills!E10=TRUE,Inputs!$B$32,0)))*(1-IF(AND(ArtifactsInput!$M$27,Inputs!$B$4="Chapter Hunt"),CHOOSE(ArtifactsInput!$N$27+1,20,24,28,32,36,40),0)/100)),0)</f>
        <v/>
      </c>
      <c r="R316">
        <f>IF(AND(Inputs!$B$38&lt;&gt;"pvp",Inputs!$B$43&gt;0),IF(MAX(0,Inputs!$B$43-B347)&lt;=0,0,(INT(MAX(0,Inputs!$B$43-B347)/(IF(Inputs!$B$38="pvp",15,MAX(0.1,Skills!D10-IF(Skills!E10=TRUE,Inputs!$B$32,0)))*(1-IF(AND(ArtifactsInput!$M$27,Inputs!$B$4="Chapter Hunt"),CHOOSE(ArtifactsInput!$N$27+1,20,24,28,32,36,40),0)/100)))+1)),0)</f>
        <v/>
      </c>
      <c r="S316">
        <f>IFERROR(O316/N316,0)</f>
        <v/>
      </c>
      <c r="T316">
        <f>IF(C316,(H316*N316*IF(AND(Inputs!$B$38&lt;&gt;"pvp",Inputs!$B$43&gt;0),((Skills!G10*((R316-1)*IF(Skills!H10&gt;0,Skills!I10/Skills!H10,1)+IF(Skills!H10&gt;0,MIN(Skills!I10,MAX(0,MAX(0,Inputs!$B$43-B347)-((R316-1)*(IF(Inputs!$B$38="pvp",15,MAX(0.1,Skills!D10-IF(Skills!E10=TRUE,Inputs!$B$32,0)))*(1-IF(AND(ArtifactsInput!$M$27,Inputs!$B$4="Chapter Hunt"),CHOOSE(ArtifactsInput!$N$27+1,20,24,28,32,36,40),0)/100)))))/Skills!H10,1)))/Inputs!$B$43),G316*Q316))*IF(Inputs!$B$38="pvp",1,1+((Inputs!$B$20+1)+0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316*(1-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6">
        <f>IF(C316,(H316*N316*IF(AND(Inputs!$B$38&lt;&gt;"pvp",Inputs!$B$43&gt;0),((Skills!G10*((R316-1)*IF(Skills!H10&gt;0,Skills!I10/Skills!H10,1)+IF(Skills!H10&gt;0,MIN(Skills!I10,MAX(0,MAX(0,Inputs!$B$43-B347)-((R316-1)*(IF(Inputs!$B$38="pvp",15,MAX(0.1,Skills!D10-IF(Skills!E10=TRUE,Inputs!$B$32,0)))*(1-IF(AND(ArtifactsInput!$M$27,Inputs!$B$4="Chapter Hunt"),CHOOSE(ArtifactsInput!$N$27+1,20,24,28,32,36,40),0)/100)))))/Skills!H10,1)))/Inputs!$B$43),G316*Q316))*IF(Inputs!$B$38="pvp",1,(1+(Inputs!$B$21+Skills!Q10+(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
      <c r="A317">
        <f>Skills!A11</f>
        <v/>
      </c>
      <c r="B317">
        <f>Skills!B11</f>
        <v/>
      </c>
      <c r="C317">
        <f>Inputs!$B$3&gt;=100</f>
        <v/>
      </c>
      <c r="D317">
        <f>IF(Skills!C11=1,60+Inputs!$B$25+Inputs!$B$29,IF(Skills!C11=2,90+Inputs!$B$26+Inputs!$B$29,IF(Skills!C11=3,120+Inputs!$B$27+Inputs!$B$29,MAX(0,(Inputs!$B$3-100)*3)+Inputs!$B$28+Inputs!$B$29)))</f>
        <v/>
      </c>
      <c r="E317">
        <f>INDEX(FactorTable!$B$2:$Y$301, MATCH(ROUND(MIN(300,MAX(1,D317)),0), FactorTable!$A$2:$A$301,0), Skills!M11+1)</f>
        <v/>
      </c>
      <c r="F317">
        <f>IF(Skills!N11=TRUE,(Skills!L11/10)*(E317/1000),Skills!L11/10)+Skills!O11</f>
        <v/>
      </c>
      <c r="G317" t="inlineStr"/>
      <c r="H317" t="inlineStr"/>
      <c r="I317" t="inlineStr">
        <is>
          <t>1</t>
        </is>
      </c>
      <c r="J317" t="inlineStr"/>
      <c r="K317" t="inlineStr"/>
      <c r="L317" t="inlineStr"/>
      <c r="M317" t="inlineStr"/>
      <c r="N317" t="inlineStr"/>
      <c r="O317" t="inlineStr"/>
      <c r="P317" t="inlineStr"/>
      <c r="Q317" t="inlineStr"/>
      <c r="R317" t="inlineStr"/>
      <c r="S317" t="inlineStr"/>
      <c r="T317" t="inlineStr"/>
      <c r="V317" t="inlineStr"/>
    </row>
    <row r="318">
      <c r="A318">
        <f>Skills!A12</f>
        <v/>
      </c>
      <c r="B318">
        <f>Skills!B12</f>
        <v/>
      </c>
      <c r="C318">
        <f>Inputs!$B$3&gt;=60</f>
        <v/>
      </c>
      <c r="D318">
        <f>IF(Skills!C12=1,60+Inputs!$B$25+Inputs!$B$29,IF(Skills!C12=2,90+Inputs!$B$26+Inputs!$B$29,IF(Skills!C12=3,120+Inputs!$B$27+Inputs!$B$29,MAX(0,(Inputs!$B$3-100)*3)+Inputs!$B$28+Inputs!$B$29)))</f>
        <v/>
      </c>
      <c r="E318">
        <f>INDEX(FactorTable!$B$2:$Y$301, MATCH(ROUND(MIN(300,MAX(1,D318)),0), FactorTable!$A$2:$A$301,0), Skills!M12+1)</f>
        <v/>
      </c>
      <c r="F318">
        <f>IF(Skills!N12=TRUE,(Skills!L12/10)*(E318/1000),Skills!L12/10)+Skills!O12</f>
        <v/>
      </c>
      <c r="G318">
        <f>Skills!G12*IF(Skills!H12&gt;0,Skills!I12/Skills!H12,1)</f>
        <v/>
      </c>
      <c r="H318">
        <f>1-(1-Skills!J12/100)^Skills!K12</f>
        <v/>
      </c>
      <c r="I318" t="inlineStr">
        <is>
          <t>1</t>
        </is>
      </c>
      <c r="J318">
        <f>((Inputs!$B$6*(1+Inputs!$B$7/100))+(((Inputs!$B$12*(1+Inputs!$B$13/100))-(Inputs!$B$12*(1+Inputs!$B$13/100)))+0.25*(Inputs!$B$14-Inputs!$B$14))*(1+Inputs!$B$7/100))*(F318/100)</f>
        <v/>
      </c>
      <c r="K318">
        <f>J318*(1+((Inputs!$B$12*(1+Inputs!$B$13/100))*0.01+Inputs!$B$14*0.0025)/100)*(1+Inputs!$B$15/100)*(1+Inputs!$B$16/100)*(5000/(6000+Inputs!$B$42*(1-(100*(1-(1-(Inputs!$B$19+((C334=TRUE)*(F334-Calc!F28)))/100)*(1-CHOOSE(ArtifactsInput!$N$40+1,5,6,7,8,9,10)/100)^(ArtifactsInput!$M$40-ArtifactsInput!$M$40)))/100)))*(1+(Inputs!$B$24+((C332=TRUE)*(F332-Calc!F26))+((C333=TRUE)*(F333-Calc!F27))+B346)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319=TRUE,F319,0)/100)*(1+(IF(Skills!A12="ARROW_STREAM",Inputs!$B$17+((C330=TRUE)*(F330-Calc!F24))+(((IF(AND(ArtifactsInput!$M$42,((Inputs!$B$9+((C327=TRUE)*(F327-Calc!F21))+B340+(ArtifactsInput!$M$24-ArtifactsInput!$M$24)*CHOOSE(ArtifactsInput!$N$24+1,10,12,14,16,18,20)+IF(ArtifactsInput!$M$10,CHOOSE(ArtifactsInput!$N$10+1,15,18,21,24,27,30)*(IF(Inputs!$B$38="pvp",MIN(15,15)/15,IF(AND(Inputs!$B$38&lt;&gt;"pvp",Inputs!$B$43&gt;0),MIN(15,Inputs!$B$43)/(Inputs!$B$43),0))),0)))&gt;=100),MIN(100,((Inputs!$B$9+((C327=TRUE)*(F327-Calc!F21))+B340+(ArtifactsInput!$M$24-ArtifactsInput!$M$24)*CHOOSE(ArtifactsInput!$N$24+1,10,12,14,16,18,20)+IF(ArtifactsInput!$M$10,CHOOSE(ArtifactsInput!$N$10+1,15,18,21,24,27,30)*(IF(Inputs!$B$38="pvp",MIN(15,15)/15,IF(AND(Inputs!$B$38&lt;&gt;"pvp",Inputs!$B$43&gt;0),MIN(15,Inputs!$B$43)/(Inputs!$B$43),0))),0)))-100),0))*CHOOSE(ArtifactsInput!$N$42+1,0.6,0.72,0.84,0.96,1.08,1.2))),Inputs!$B$18+((C335=TRUE)*(F335-Calc!F29))+(IF(AND(ArtifactsInput!$M$42,((Inputs!$B$9+((C327=TRUE)*(F327-Calc!F21))+B340+(ArtifactsInput!$M$24-ArtifactsInput!$M$24)*CHOOSE(ArtifactsInput!$N$24+1,10,12,14,16,18,20)+IF(ArtifactsInput!$M$10,CHOOSE(ArtifactsInput!$N$10+1,15,18,21,24,27,30)*(IF(Inputs!$B$38="pvp",MIN(15,15)/15,IF(AND(Inputs!$B$38&lt;&gt;"pvp",Inputs!$B$43&gt;0),MIN(15,Inputs!$B$43)/(Inputs!$B$43),0))),0)))&gt;=100),CHOOSE(ArtifactsInput!$N$42+1,40,48,56,64,72,80),0))))/100)*((1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f>
        <v/>
      </c>
      <c r="L318">
        <f>K318*(MIN(Inputs!$B$22+((C331=TRUE)*(F331-Calc!F25)),(Inputs!$B$23+((C336=TRUE)*(F336-Calc!F30))+(IF(ArtifactsInput!$M$15,CHOOSE(ArtifactsInput!$N$15+1,25,30,35,40,45,50)/100*(Inputs!$B$11-Inputs!$B$11),0))))/100+(Inputs!$B$23+((C336=TRUE)*(F336-Calc!F30))+(IF(ArtifactsInput!$M$15,CHOOSE(ArtifactsInput!$N$15+1,25,30,35,40,45,50)/100*(Inputs!$B$11-Inputs!$B$11),0)))/100)/2</f>
        <v/>
      </c>
      <c r="M318">
        <f>L318*(1+(Inputs!$B$10+0+B345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
        <f>L318*(1-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MIN((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
        <f>(1-Summary!$B$11)*T318+Summary!$B$11*V318</f>
        <v/>
      </c>
      <c r="P318">
        <f>IF(B350=0,0,O318/B350)</f>
        <v/>
      </c>
      <c r="Q318">
        <f>IFERROR(1/(IF(Inputs!$B$38="pvp",15,MAX(0.1,Skills!D12-IF(Skills!E12=TRUE,Inputs!$B$32,0)))*(1-IF(AND(ArtifactsInput!$M$27,Inputs!$B$4="Chapter Hunt"),CHOOSE(ArtifactsInput!$N$27+1,20,24,28,32,36,40),0)/100)),0)</f>
        <v/>
      </c>
      <c r="R318">
        <f>IF(AND(Inputs!$B$38&lt;&gt;"pvp",Inputs!$B$43&gt;0),IF(MAX(0,Inputs!$B$43-B347)&lt;=0,0,(INT(MAX(0,Inputs!$B$43-B347)/(IF(Inputs!$B$38="pvp",15,MAX(0.1,Skills!D12-IF(Skills!E12=TRUE,Inputs!$B$32,0)))*(1-IF(AND(ArtifactsInput!$M$27,Inputs!$B$4="Chapter Hunt"),CHOOSE(ArtifactsInput!$N$27+1,20,24,28,32,36,40),0)/100)))+1)),0)</f>
        <v/>
      </c>
      <c r="S318">
        <f>IFERROR(O318/N318,0)</f>
        <v/>
      </c>
      <c r="T318">
        <f>IF(C318,(H318*N318*IF(AND(Inputs!$B$38&lt;&gt;"pvp",Inputs!$B$43&gt;0),((Skills!G12*((R318-1)*IF(Skills!H12&gt;0,Skills!I12/Skills!H12,1)+IF(Skills!H12&gt;0,MIN(Skills!I12,MAX(0,MAX(0,Inputs!$B$43-B347)-((R318-1)*(IF(Inputs!$B$38="pvp",15,MAX(0.1,Skills!D12-IF(Skills!E12=TRUE,Inputs!$B$32,0)))*(1-IF(AND(ArtifactsInput!$M$27,Inputs!$B$4="Chapter Hunt"),CHOOSE(ArtifactsInput!$N$27+1,20,24,28,32,36,40),0)/100)))))/Skills!H12,1)))/Inputs!$B$43),G318*Q318))*IF(Inputs!$B$38="pvp",1,1+((Inputs!$B$20+1)+0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(5000/(6000+Inputs!$B$42*(1-(100*(1-(1-(100*(1-(1-(Inputs!$B$19+((C334=TRUE)*(F334-Calc!F28)))/100)*(1-CHOOSE(ArtifactsInput!$N$40+1,5,6,7,8,9,10)/100)^(ArtifactsInput!$M$40-ArtifactsInput!$M$40)))/100)*(1-IF(ArtifactsInput!$M$40,CHOOSE(ArtifactsInput!$N$40+1,5,6,7,8,9,10),0)/100)^IF(Inputs!$B$38="pvp",1,2)))/100)))/(5000/(6000+Inputs!$B$42*(1-(100*(1-(1-(Inputs!$B$19+((C334=TRUE)*(F334-Calc!F28)))/100)*(1-CHOOSE(ArtifactsInput!$N$40+1,5,6,7,8,9,10)/100)^(ArtifactsInput!$M$40-ArtifactsInput!$M$40)))/100))))*((L318*(1-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(1-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MIN(100,(Inputs!$B$9+((C327=TRUE)*(F327-Calc!F21))+B340+(ArtifactsInput!$M$24-ArtifactsInput!$M$24)*CHOOSE(ArtifactsInput!$N$24+1,10,12,14,16,18,20)+(IF(AND(ArtifactsInput!$M$42,((Inputs!$B$9+((C327=TRUE)*(F327-Calc!F21))+B340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8">
        <f>IF(C318,(H318*N318*IF(AND(Inputs!$B$38&lt;&gt;"pvp",Inputs!$B$43&gt;0),((Skills!G12*((R318-1)*IF(Skills!H12&gt;0,Skills!I12/Skills!H12,1)+IF(Skills!H12&gt;0,MIN(Skills!I12,MAX(0,MAX(0,Inputs!$B$43-B347)-((R318-1)*(IF(Inputs!$B$38="pvp",15,MAX(0.1,Skills!D12-IF(Skills!E12=TRUE,Inputs!$B$32,0)))*(1-IF(AND(ArtifactsInput!$M$27,Inputs!$B$4="Chapter Hunt"),CHOOSE(ArtifactsInput!$N$27+1,20,24,28,32,36,40),0)/100)))))/Skills!H12,1)))/Inputs!$B$43),G318*Q318))*IF(Inputs!$B$38="pvp",1,(1+(Inputs!$B$21+Skills!Q12+(IF(ArtifactsInput!$M$33,CHOOSE(ArtifactsInput!$N$33+1,30,36,42,48,54,60),0))+(IF(AND(ArtifactsInput!$M$35,Inputs!$B$4&lt;&gt;"Chapter Hunt"),CHOOSE(ArtifactsInput!$N$35+1,15,18,21,24,27,30)*(1-EXP(-(0.2*B342)*5)),0)+IF(AND(ArtifactsInput!$M$22,Inputs!$B$4&lt;&gt;"Chapter Hunt"),CHOOSE(ArtifactsInput!$N$22+1,10,12,14,16,18,20)*((0*(((0.15*B342*5))^0/1)+1*(((0.15*B342*5))^1/1)+2*(((0.15*B342*5))^2/2)+3*(((0.15*B342*5))^3/6)+4*(((0.15*B342*5))^4/24)+5*(((0.15*B342*5))^5/120))/((((0.15*B342*5))^0/1)+(((0.15*B342*5))^1/1)+(((0.15*B342*5))^2/2)+(((0.15*B342*5))^3/6)+(((0.15*B342*5))^4/24)+(((0.15*B342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
      <c r="A319">
        <f>Skills!A13</f>
        <v/>
      </c>
      <c r="B319">
        <f>Skills!B13</f>
        <v/>
      </c>
      <c r="C319">
        <f>Inputs!$B$3&gt;=110</f>
        <v/>
      </c>
      <c r="D319">
        <f>IF(Skills!C13=1,60+Inputs!$B$25+Inputs!$B$29,IF(Skills!C13=2,90+Inputs!$B$26+Inputs!$B$29,IF(Skills!C13=3,120+Inputs!$B$27+Inputs!$B$29,MAX(0,(Inputs!$B$3-100)*3)+Inputs!$B$28+Inputs!$B$29)))</f>
        <v/>
      </c>
      <c r="E319">
        <f>INDEX(FactorTable!$B$2:$Y$301, MATCH(ROUND(MIN(300,MAX(1,D319)),0), FactorTable!$A$2:$A$301,0), Skills!M13+1)</f>
        <v/>
      </c>
      <c r="F319">
        <f>IF(Skills!N13=TRUE,(Skills!L13/10)*(E319/1000),Skills!L13/10)+Skills!O13</f>
        <v/>
      </c>
      <c r="G319" t="inlineStr"/>
      <c r="H319" t="inlineStr"/>
      <c r="I319" t="inlineStr">
        <is>
          <t>1</t>
        </is>
      </c>
      <c r="J319" t="inlineStr"/>
      <c r="K319" t="inlineStr"/>
      <c r="L319" t="inlineStr"/>
      <c r="M319" t="inlineStr"/>
      <c r="N319" t="inlineStr"/>
      <c r="O319" t="inlineStr"/>
      <c r="P319" t="inlineStr"/>
      <c r="Q319" t="inlineStr"/>
      <c r="R319" t="inlineStr"/>
      <c r="S319" t="inlineStr"/>
      <c r="T319" t="inlineStr"/>
      <c r="V319" t="inlineStr"/>
    </row>
    <row r="320">
      <c r="A320">
        <f>Skills!A14</f>
        <v/>
      </c>
      <c r="B320">
        <f>Skills!B14</f>
        <v/>
      </c>
      <c r="C320">
        <f>Inputs!$B$3&gt;=74</f>
        <v/>
      </c>
      <c r="D320">
        <f>IF(Skills!C14=1,60+Inputs!$B$25+Inputs!$B$29,IF(Skills!C14=2,90+Inputs!$B$26+Inputs!$B$29,IF(Skills!C14=3,120+Inputs!$B$27+Inputs!$B$29,MAX(0,(Inputs!$B$3-100)*3)+Inputs!$B$28+Inputs!$B$29)))</f>
        <v/>
      </c>
      <c r="E320">
        <f>INDEX(FactorTable!$B$2:$Y$301, MATCH(ROUND(MIN(300,MAX(1,D320)),0), FactorTable!$A$2:$A$301,0), Skills!M14+1)</f>
        <v/>
      </c>
      <c r="F320">
        <f>IF(Skills!N14=TRUE,(Skills!L14/10)*(E320/1000),Skills!L14/10)+Skills!O14</f>
        <v/>
      </c>
      <c r="G320">
        <f>Skills!G14*IF(Skills!H14&gt;0,Skills!I14/Skills!H14,1)</f>
        <v/>
      </c>
      <c r="H320">
        <f>1-(1-Skills!J14/100)^Skills!K14</f>
        <v/>
      </c>
      <c r="I320" t="inlineStr">
        <is>
          <t>1</t>
        </is>
      </c>
      <c r="J320" t="inlineStr"/>
      <c r="K320" t="inlineStr"/>
      <c r="L320" t="inlineStr"/>
      <c r="M320" t="inlineStr"/>
      <c r="N320" t="inlineStr"/>
      <c r="O320">
        <f>(1-Summary!$B$11)*T320+Summary!$B$11*V320</f>
        <v/>
      </c>
      <c r="P320">
        <f>IF(B350=0,0,O320/B350)</f>
        <v/>
      </c>
      <c r="Q320" t="n">
        <v>0</v>
      </c>
      <c r="R320" t="n">
        <v>0</v>
      </c>
      <c r="S320">
        <f>IFERROR(O320/N320,0)</f>
        <v/>
      </c>
      <c r="T320" t="n">
        <v>0</v>
      </c>
      <c r="V320" t="n">
        <v>0</v>
      </c>
    </row>
    <row r="321">
      <c r="A321">
        <f>Skills!A15</f>
        <v/>
      </c>
      <c r="B321">
        <f>Skills!B15</f>
        <v/>
      </c>
      <c r="C321">
        <f>Inputs!$B$3&gt;=74</f>
        <v/>
      </c>
      <c r="D321">
        <f>IF(Skills!C15=1,60+Inputs!$B$25+Inputs!$B$29,IF(Skills!C15=2,90+Inputs!$B$26+Inputs!$B$29,IF(Skills!C15=3,120+Inputs!$B$27+Inputs!$B$29,MAX(0,(Inputs!$B$3-100)*3)+Inputs!$B$28+Inputs!$B$29)))</f>
        <v/>
      </c>
      <c r="E321">
        <f>INDEX(FactorTable!$B$2:$Y$301, MATCH(ROUND(MIN(300,MAX(1,D321)),0), FactorTable!$A$2:$A$301,0), Skills!M15+1)</f>
        <v/>
      </c>
      <c r="F321">
        <f>IF(Skills!N15=TRUE,(Skills!L15/10)*(E321/1000),Skills!L15/10)+Skills!O15</f>
        <v/>
      </c>
      <c r="G321">
        <f>Skills!G15*IF(Skills!H15&gt;0,Skills!I15/Skills!H15,1)</f>
        <v/>
      </c>
      <c r="H321">
        <f>1-(1-Skills!J15/100)^Skills!K15</f>
        <v/>
      </c>
      <c r="I321" t="inlineStr">
        <is>
          <t>1</t>
        </is>
      </c>
      <c r="J321" t="inlineStr"/>
      <c r="K321" t="inlineStr"/>
      <c r="L321" t="inlineStr"/>
      <c r="M321" t="inlineStr"/>
      <c r="N321" t="inlineStr"/>
      <c r="O321">
        <f>(1-Summary!$B$11)*T321+Summary!$B$11*V321</f>
        <v/>
      </c>
      <c r="P321">
        <f>IF(B350=0,0,O321/B350)</f>
        <v/>
      </c>
      <c r="Q321" t="n">
        <v>0</v>
      </c>
      <c r="R321" t="n">
        <v>0</v>
      </c>
      <c r="S321">
        <f>IFERROR(O321/N321,0)</f>
        <v/>
      </c>
      <c r="T321" t="n">
        <v>0</v>
      </c>
      <c r="V321" t="n">
        <v>0</v>
      </c>
    </row>
    <row r="322">
      <c r="A322">
        <f>Skills!A16</f>
        <v/>
      </c>
      <c r="B322">
        <f>Skills!B16</f>
        <v/>
      </c>
      <c r="C322">
        <f>Inputs!$B$3&gt;=117</f>
        <v/>
      </c>
      <c r="D322">
        <f>IF(Skills!C16=1,60+Inputs!$B$25+Inputs!$B$29,IF(Skills!C16=2,90+Inputs!$B$26+Inputs!$B$29,IF(Skills!C16=3,120+Inputs!$B$27+Inputs!$B$29,MAX(0,(Inputs!$B$3-100)*3)+Inputs!$B$28+Inputs!$B$29)))</f>
        <v/>
      </c>
      <c r="E322">
        <f>INDEX(FactorTable!$B$2:$Y$301, MATCH(ROUND(MIN(300,MAX(1,D322)),0), FactorTable!$A$2:$A$301,0), Skills!M16+1)</f>
        <v/>
      </c>
      <c r="F322">
        <f>IF(Skills!N16=TRUE,(Skills!L16/10)*(E322/1000),Skills!L16/10)+Skills!O16</f>
        <v/>
      </c>
      <c r="G322">
        <f>Skills!G16*IF(Skills!H16&gt;0,Skills!I16/Skills!H16,1)</f>
        <v/>
      </c>
      <c r="H322">
        <f>1-(1-Skills!J16/100)^Skills!K16</f>
        <v/>
      </c>
      <c r="I322" t="inlineStr">
        <is>
          <t>1</t>
        </is>
      </c>
      <c r="J322" t="inlineStr"/>
      <c r="K322" t="inlineStr"/>
      <c r="L322" t="inlineStr"/>
      <c r="M322" t="inlineStr"/>
      <c r="N322" t="inlineStr"/>
      <c r="O322">
        <f>(1-Summary!$B$11)*T322+Summary!$B$11*V322</f>
        <v/>
      </c>
      <c r="P322">
        <f>IF(B350=0,0,O322/B350)</f>
        <v/>
      </c>
      <c r="Q322">
        <f>IFERROR(1/(IF(Inputs!$B$38="pvp",15,MAX(0.1,Skills!D16-IF(Skills!E16=TRUE,Inputs!$B$32,0)))*(1-IF(AND(ArtifactsInput!$M$27,Inputs!$B$4="Chapter Hunt"),CHOOSE(ArtifactsInput!$N$27+1,20,24,28,32,36,40),0)/100)),0)</f>
        <v/>
      </c>
      <c r="R322">
        <f>IF(AND(Inputs!$B$38&lt;&gt;"pvp",Inputs!$B$43&gt;0),IF(Inputs!$B$43&lt;=0,0,(INT(Inputs!$B$43/(IF(Inputs!$B$38="pvp",15,MAX(0.1,Skills!D16-IF(Skills!E16=TRUE,Inputs!$B$32,0)))*(1-IF(AND(ArtifactsInput!$M$27,Inputs!$B$4="Chapter Hunt"),CHOOSE(ArtifactsInput!$N$27+1,20,24,28,32,36,40),0)/100)))+1)),0)</f>
        <v/>
      </c>
      <c r="S322">
        <f>IFERROR(O322/N322,0)</f>
        <v/>
      </c>
      <c r="T322" t="n">
        <v>0</v>
      </c>
      <c r="V322" t="n">
        <v>0</v>
      </c>
    </row>
    <row r="323">
      <c r="A323">
        <f>Skills!A17</f>
        <v/>
      </c>
      <c r="B323">
        <f>Skills!B17</f>
        <v/>
      </c>
      <c r="C323">
        <f>Inputs!$B$3&gt;=115</f>
        <v/>
      </c>
      <c r="D323">
        <f>IF(Skills!C17=1,60+Inputs!$B$25+Inputs!$B$29,IF(Skills!C17=2,90+Inputs!$B$26+Inputs!$B$29,IF(Skills!C17=3,120+Inputs!$B$27+Inputs!$B$29,MAX(0,(Inputs!$B$3-100)*3)+Inputs!$B$28+Inputs!$B$29)))</f>
        <v/>
      </c>
      <c r="E323">
        <f>INDEX(FactorTable!$B$2:$Y$301, MATCH(ROUND(MIN(300,MAX(1,D323)),0), FactorTable!$A$2:$A$301,0), Skills!M17+1)</f>
        <v/>
      </c>
      <c r="F323">
        <f>IF(Skills!N17=TRUE,(Skills!L17/10)*(E323/1000),Skills!L17/10)+Skills!O17</f>
        <v/>
      </c>
      <c r="G323">
        <f>Skills!G17*IF(Skills!H17&gt;0,Skills!I17/Skills!H17,1)</f>
        <v/>
      </c>
      <c r="H323">
        <f>1-(1-Skills!J17/100)^Skills!K17</f>
        <v/>
      </c>
      <c r="I323" t="inlineStr">
        <is>
          <t>1</t>
        </is>
      </c>
      <c r="J323" t="inlineStr"/>
      <c r="K323" t="inlineStr"/>
      <c r="L323" t="inlineStr"/>
      <c r="M323" t="inlineStr"/>
      <c r="N323" t="inlineStr"/>
      <c r="O323">
        <f>(1-Summary!$B$11)*T323+Summary!$B$11*V323</f>
        <v/>
      </c>
      <c r="P323">
        <f>IF(B350=0,0,O323/B350)</f>
        <v/>
      </c>
      <c r="Q323">
        <f>IFERROR(1/(IF(Inputs!$B$38="pvp",15,MAX(0.1,Skills!D17-IF(Skills!E17=TRUE,Inputs!$B$32,0)))*(1-IF(AND(ArtifactsInput!$M$27,Inputs!$B$4="Chapter Hunt"),CHOOSE(ArtifactsInput!$N$27+1,20,24,28,32,36,40),0)/100)),0)</f>
        <v/>
      </c>
      <c r="R323">
        <f>IF(AND(Inputs!$B$38&lt;&gt;"pvp",Inputs!$B$43&gt;0),IF(Inputs!$B$43&lt;=0,0,(INT(Inputs!$B$43/(IF(Inputs!$B$38="pvp",15,MAX(0.1,Skills!D17-IF(Skills!E17=TRUE,Inputs!$B$32,0)))*(1-IF(AND(ArtifactsInput!$M$27,Inputs!$B$4="Chapter Hunt"),CHOOSE(ArtifactsInput!$N$27+1,20,24,28,32,36,40),0)/100)))+1)),0)</f>
        <v/>
      </c>
      <c r="S323">
        <f>IFERROR(O323/N323,0)</f>
        <v/>
      </c>
      <c r="T323" t="n">
        <v>0</v>
      </c>
      <c r="V323" t="n">
        <v>0</v>
      </c>
    </row>
    <row r="324">
      <c r="A324">
        <f>Skills!A18</f>
        <v/>
      </c>
      <c r="B324">
        <f>Skills!B18</f>
        <v/>
      </c>
      <c r="C324">
        <f>Inputs!$B$3&gt;=66</f>
        <v/>
      </c>
      <c r="D324">
        <f>IF(Skills!C18=1,60+Inputs!$B$25+Inputs!$B$29,IF(Skills!C18=2,90+Inputs!$B$26+Inputs!$B$29,IF(Skills!C18=3,120+Inputs!$B$27+Inputs!$B$29,MAX(0,(Inputs!$B$3-100)*3)+Inputs!$B$28+Inputs!$B$29)))</f>
        <v/>
      </c>
      <c r="E324">
        <f>INDEX(FactorTable!$B$2:$Y$301, MATCH(ROUND(MIN(300,MAX(1,D324)),0), FactorTable!$A$2:$A$301,0), Skills!M18+1)</f>
        <v/>
      </c>
      <c r="F324">
        <f>IF(Skills!N18=TRUE,(Skills!L18/10)*(E324/1000),Skills!L18/10)+Skills!O18</f>
        <v/>
      </c>
      <c r="G324">
        <f>Skills!G18*IF(Skills!H18&gt;0,Skills!I18/Skills!H18,1)</f>
        <v/>
      </c>
      <c r="H324">
        <f>1-(1-Skills!J18/100)^Skills!K18</f>
        <v/>
      </c>
      <c r="I324" t="inlineStr">
        <is>
          <t>1</t>
        </is>
      </c>
      <c r="J324" t="inlineStr"/>
      <c r="K324" t="inlineStr"/>
      <c r="L324" t="inlineStr"/>
      <c r="M324" t="inlineStr"/>
      <c r="N324" t="inlineStr"/>
      <c r="O324">
        <f>(1-Summary!$B$11)*T324+Summary!$B$11*V324</f>
        <v/>
      </c>
      <c r="P324">
        <f>IF(B350=0,0,O324/B350)</f>
        <v/>
      </c>
      <c r="Q324" t="n">
        <v>0</v>
      </c>
      <c r="R324" t="n">
        <v>0</v>
      </c>
      <c r="S324">
        <f>IFERROR(O324/N324,0)</f>
        <v/>
      </c>
      <c r="T324" t="n">
        <v>0</v>
      </c>
      <c r="V324" t="n">
        <v>0</v>
      </c>
    </row>
    <row r="325">
      <c r="A325">
        <f>Skills!A19</f>
        <v/>
      </c>
      <c r="B325">
        <f>Skills!B19</f>
        <v/>
      </c>
      <c r="C325">
        <f>Inputs!$B$3&gt;=72</f>
        <v/>
      </c>
      <c r="D325">
        <f>IF(Skills!C19=1,60+Inputs!$B$25+Inputs!$B$29,IF(Skills!C19=2,90+Inputs!$B$26+Inputs!$B$29,IF(Skills!C19=3,120+Inputs!$B$27+Inputs!$B$29,MAX(0,(Inputs!$B$3-100)*3)+Inputs!$B$28+Inputs!$B$29)))</f>
        <v/>
      </c>
      <c r="E325">
        <f>INDEX(FactorTable!$B$2:$Y$301, MATCH(ROUND(MIN(300,MAX(1,D325)),0), FactorTable!$A$2:$A$301,0), Skills!M19+1)</f>
        <v/>
      </c>
      <c r="F325">
        <f>IF(Skills!N19=TRUE,(Skills!L19/10)*(E325/1000),Skills!L19/10)+Skills!O19</f>
        <v/>
      </c>
      <c r="G325">
        <f>Skills!G19*IF(Skills!H19&gt;0,Skills!I19/Skills!H19,1)</f>
        <v/>
      </c>
      <c r="H325">
        <f>1-(1-Skills!J19/100)^Skills!K19</f>
        <v/>
      </c>
      <c r="I325" t="inlineStr">
        <is>
          <t>1</t>
        </is>
      </c>
      <c r="J325" t="inlineStr"/>
      <c r="K325" t="inlineStr"/>
      <c r="L325" t="inlineStr"/>
      <c r="M325" t="inlineStr"/>
      <c r="N325" t="inlineStr"/>
      <c r="O325">
        <f>(1-Summary!$B$11)*T325+Summary!$B$11*V325</f>
        <v/>
      </c>
      <c r="P325">
        <f>IF(B350=0,0,O325/B350)</f>
        <v/>
      </c>
      <c r="Q325" t="n">
        <v>0</v>
      </c>
      <c r="R325" t="n">
        <v>0</v>
      </c>
      <c r="S325">
        <f>IFERROR(O325/N325,0)</f>
        <v/>
      </c>
      <c r="T325" t="n">
        <v>0</v>
      </c>
      <c r="V325" t="n">
        <v>0</v>
      </c>
    </row>
    <row r="326">
      <c r="A326">
        <f>Skills!A20</f>
        <v/>
      </c>
      <c r="B326">
        <f>Skills!B20</f>
        <v/>
      </c>
      <c r="C326">
        <f>TRUE</f>
        <v/>
      </c>
      <c r="D326">
        <f>IF(Skills!C20=1,60+Inputs!$B$25+Inputs!$B$29,IF(Skills!C20=2,90+Inputs!$B$26+Inputs!$B$29,IF(Skills!C20=3,120+Inputs!$B$27+Inputs!$B$29,MAX(0,(Inputs!$B$3-100)*3)+Inputs!$B$28+Inputs!$B$29)))</f>
        <v/>
      </c>
      <c r="E326">
        <f>INDEX(FactorTable!$B$2:$Y$301, MATCH(ROUND(MIN(300,MAX(1,D326)),0), FactorTable!$A$2:$A$301,0), Skills!M20+1)</f>
        <v/>
      </c>
      <c r="F326">
        <f>IF(Skills!N20=TRUE,(Skills!L20/10)*(E326/1000),Skills!L20/10)+Skills!O20</f>
        <v/>
      </c>
      <c r="G326">
        <f>Skills!G20*IF(Skills!H20&gt;0,Skills!I20/Skills!H20,1)</f>
        <v/>
      </c>
      <c r="H326">
        <f>1-(1-Skills!J20/100)^Skills!K20</f>
        <v/>
      </c>
      <c r="I326" t="inlineStr">
        <is>
          <t>1</t>
        </is>
      </c>
      <c r="J326" t="inlineStr"/>
      <c r="K326" t="inlineStr"/>
      <c r="L326" t="inlineStr"/>
      <c r="M326" t="inlineStr"/>
      <c r="N326" t="inlineStr"/>
      <c r="O326">
        <f>(1-Summary!$B$11)*T326+Summary!$B$11*V326</f>
        <v/>
      </c>
      <c r="P326">
        <f>IF(B350=0,0,O326/B350)</f>
        <v/>
      </c>
      <c r="Q326">
        <f>IFERROR(1/(IF(Inputs!$B$38="pvp",15,MAX(0.1,Skills!D20-IF(Skills!E20=TRUE,Inputs!$B$32,0)))*(1-IF(AND(ArtifactsInput!$M$27,Inputs!$B$4="Chapter Hunt"),CHOOSE(ArtifactsInput!$N$27+1,20,24,28,32,36,40),0)/100)),0)</f>
        <v/>
      </c>
      <c r="R326">
        <f>IF(AND(Inputs!$B$38&lt;&gt;"pvp",Inputs!$B$43&gt;0),IF(Inputs!$B$43&lt;=0,0,(INT(Inputs!$B$43/(IF(Inputs!$B$38="pvp",15,MAX(0.1,Skills!D20-IF(Skills!E20=TRUE,Inputs!$B$32,0)))*(1-IF(AND(ArtifactsInput!$M$27,Inputs!$B$4="Chapter Hunt"),CHOOSE(ArtifactsInput!$N$27+1,20,24,28,32,36,40),0)/100)))+1)),0)</f>
        <v/>
      </c>
      <c r="S326">
        <f>IFERROR(O326/N326,0)</f>
        <v/>
      </c>
      <c r="T326" t="n">
        <v>0</v>
      </c>
      <c r="V326" t="n">
        <v>0</v>
      </c>
    </row>
    <row r="327">
      <c r="A327">
        <f>Skills!A21</f>
        <v/>
      </c>
      <c r="B327">
        <f>Skills!B21</f>
        <v/>
      </c>
      <c r="C327">
        <f>Inputs!$B$3&gt;=15</f>
        <v/>
      </c>
      <c r="D327">
        <f>IF(Skills!C21=1,60+Inputs!$B$25+Inputs!$B$29,IF(Skills!C21=2,90+Inputs!$B$26+Inputs!$B$29,IF(Skills!C21=3,120+Inputs!$B$27+Inputs!$B$29,MAX(0,(Inputs!$B$3-100)*3)+Inputs!$B$28+Inputs!$B$29)))</f>
        <v/>
      </c>
      <c r="E327">
        <f>INDEX(FactorTable!$B$2:$Y$301, MATCH(ROUND(MIN(300,MAX(1,D327)),0), FactorTable!$A$2:$A$301,0), Skills!M21+1)</f>
        <v/>
      </c>
      <c r="F327">
        <f>IF(Skills!N21=TRUE,(Skills!L21/10)*(E327/1000),Skills!L21/10)+Skills!O21</f>
        <v/>
      </c>
      <c r="G327">
        <f>Skills!G21*IF(Skills!H21&gt;0,Skills!I21/Skills!H21,1)</f>
        <v/>
      </c>
      <c r="H327">
        <f>1-(1-Skills!J21/100)^Skills!K21</f>
        <v/>
      </c>
      <c r="I327" t="inlineStr">
        <is>
          <t>1</t>
        </is>
      </c>
      <c r="J327" t="inlineStr"/>
      <c r="K327" t="inlineStr"/>
      <c r="L327" t="inlineStr"/>
      <c r="M327" t="inlineStr"/>
      <c r="N327" t="inlineStr"/>
      <c r="O327">
        <f>(1-Summary!$B$11)*T327+Summary!$B$11*V327</f>
        <v/>
      </c>
      <c r="P327">
        <f>IF(B350=0,0,O327/B350)</f>
        <v/>
      </c>
      <c r="Q327" t="n">
        <v>0</v>
      </c>
      <c r="R327" t="n">
        <v>0</v>
      </c>
      <c r="S327">
        <f>IFERROR(O327/N327,0)</f>
        <v/>
      </c>
      <c r="T327" t="n">
        <v>0</v>
      </c>
      <c r="V327" t="n">
        <v>0</v>
      </c>
    </row>
    <row r="328">
      <c r="A328">
        <f>Skills!A22</f>
        <v/>
      </c>
      <c r="B328">
        <f>Skills!B22</f>
        <v/>
      </c>
      <c r="C328">
        <f>Inputs!$B$3&gt;=10</f>
        <v/>
      </c>
      <c r="D328">
        <f>IF(Skills!C22=1,60+Inputs!$B$25+Inputs!$B$29,IF(Skills!C22=2,90+Inputs!$B$26+Inputs!$B$29,IF(Skills!C22=3,120+Inputs!$B$27+Inputs!$B$29,MAX(0,(Inputs!$B$3-100)*3)+Inputs!$B$28+Inputs!$B$29)))</f>
        <v/>
      </c>
      <c r="E328">
        <f>INDEX(FactorTable!$B$2:$Y$301, MATCH(ROUND(MIN(300,MAX(1,D328)),0), FactorTable!$A$2:$A$301,0), Skills!M22+1)</f>
        <v/>
      </c>
      <c r="F328">
        <f>IF(Skills!N22=TRUE,(Skills!L22/10)*(E328/1000),Skills!L22/10)+Skills!O22</f>
        <v/>
      </c>
      <c r="G328">
        <f>Skills!G22*IF(Skills!H22&gt;0,Skills!I22/Skills!H22,1)</f>
        <v/>
      </c>
      <c r="H328">
        <f>1-(1-Skills!J22/100)^Skills!K22</f>
        <v/>
      </c>
      <c r="I328" t="inlineStr">
        <is>
          <t>1</t>
        </is>
      </c>
      <c r="J328" t="inlineStr"/>
      <c r="K328" t="inlineStr"/>
      <c r="L328" t="inlineStr"/>
      <c r="M328" t="inlineStr"/>
      <c r="N328" t="inlineStr"/>
      <c r="O328">
        <f>(1-Summary!$B$11)*T328+Summary!$B$11*V328</f>
        <v/>
      </c>
      <c r="P328">
        <f>IF(B350=0,0,O328/B350)</f>
        <v/>
      </c>
      <c r="Q328" t="n">
        <v>0</v>
      </c>
      <c r="R328" t="n">
        <v>0</v>
      </c>
      <c r="S328">
        <f>IFERROR(O328/N328,0)</f>
        <v/>
      </c>
      <c r="T328" t="n">
        <v>0</v>
      </c>
      <c r="V328" t="n">
        <v>0</v>
      </c>
    </row>
    <row r="329">
      <c r="A329">
        <f>Skills!A23</f>
        <v/>
      </c>
      <c r="B329">
        <f>Skills!B23</f>
        <v/>
      </c>
      <c r="C329">
        <f>Inputs!$B$3&gt;=33</f>
        <v/>
      </c>
      <c r="D329">
        <f>IF(Skills!C23=1,60+Inputs!$B$25+Inputs!$B$29,IF(Skills!C23=2,90+Inputs!$B$26+Inputs!$B$29,IF(Skills!C23=3,120+Inputs!$B$27+Inputs!$B$29,MAX(0,(Inputs!$B$3-100)*3)+Inputs!$B$28+Inputs!$B$29)))</f>
        <v/>
      </c>
      <c r="E329">
        <f>INDEX(FactorTable!$B$2:$Y$301, MATCH(ROUND(MIN(300,MAX(1,D329)),0), FactorTable!$A$2:$A$301,0), Skills!M23+1)</f>
        <v/>
      </c>
      <c r="F329">
        <f>IF(Skills!N23=TRUE,(Skills!L23/10)*(E329/1000),Skills!L23/10)+Skills!O23</f>
        <v/>
      </c>
      <c r="G329">
        <f>Skills!G23*IF(Skills!H23&gt;0,Skills!I23/Skills!H23,1)</f>
        <v/>
      </c>
      <c r="H329">
        <f>1-(1-Skills!J23/100)^Skills!K23</f>
        <v/>
      </c>
      <c r="I329" t="inlineStr">
        <is>
          <t>1</t>
        </is>
      </c>
      <c r="J329" t="inlineStr"/>
      <c r="K329" t="inlineStr"/>
      <c r="L329" t="inlineStr"/>
      <c r="M329" t="inlineStr"/>
      <c r="N329" t="inlineStr"/>
      <c r="O329">
        <f>(1-Summary!$B$11)*T329+Summary!$B$11*V329</f>
        <v/>
      </c>
      <c r="P329">
        <f>IF(B350=0,0,O329/B350)</f>
        <v/>
      </c>
      <c r="Q329" t="n">
        <v>0</v>
      </c>
      <c r="R329" t="n">
        <v>0</v>
      </c>
      <c r="S329">
        <f>IFERROR(O329/N329,0)</f>
        <v/>
      </c>
      <c r="T329" t="n">
        <v>0</v>
      </c>
      <c r="V329" t="n">
        <v>0</v>
      </c>
    </row>
    <row r="330">
      <c r="A330">
        <f>Skills!A24</f>
        <v/>
      </c>
      <c r="B330">
        <f>Skills!B24</f>
        <v/>
      </c>
      <c r="C330">
        <f>Inputs!$B$3&gt;=38</f>
        <v/>
      </c>
      <c r="D330">
        <f>IF(Skills!C24=1,60+Inputs!$B$25+Inputs!$B$29,IF(Skills!C24=2,90+Inputs!$B$26+Inputs!$B$29,IF(Skills!C24=3,120+Inputs!$B$27+Inputs!$B$29,MAX(0,(Inputs!$B$3-100)*3)+Inputs!$B$28+Inputs!$B$29)))</f>
        <v/>
      </c>
      <c r="E330">
        <f>INDEX(FactorTable!$B$2:$Y$301, MATCH(ROUND(MIN(300,MAX(1,D330)),0), FactorTable!$A$2:$A$301,0), Skills!M24+1)</f>
        <v/>
      </c>
      <c r="F330">
        <f>IF(Skills!N24=TRUE,(Skills!L24/10)*(E330/1000),Skills!L24/10)+Skills!O24</f>
        <v/>
      </c>
      <c r="G330">
        <f>Skills!G24*IF(Skills!H24&gt;0,Skills!I24/Skills!H24,1)</f>
        <v/>
      </c>
      <c r="H330">
        <f>1-(1-Skills!J24/100)^Skills!K24</f>
        <v/>
      </c>
      <c r="I330" t="inlineStr">
        <is>
          <t>1</t>
        </is>
      </c>
      <c r="J330" t="inlineStr"/>
      <c r="K330" t="inlineStr"/>
      <c r="L330" t="inlineStr"/>
      <c r="M330" t="inlineStr"/>
      <c r="N330" t="inlineStr"/>
      <c r="O330">
        <f>(1-Summary!$B$11)*T330+Summary!$B$11*V330</f>
        <v/>
      </c>
      <c r="P330">
        <f>IF(B350=0,0,O330/B350)</f>
        <v/>
      </c>
      <c r="Q330" t="n">
        <v>0</v>
      </c>
      <c r="R330" t="n">
        <v>0</v>
      </c>
      <c r="S330">
        <f>IFERROR(O330/N330,0)</f>
        <v/>
      </c>
      <c r="T330" t="n">
        <v>0</v>
      </c>
      <c r="V330" t="n">
        <v>0</v>
      </c>
    </row>
    <row r="331">
      <c r="A331">
        <f>Skills!A25</f>
        <v/>
      </c>
      <c r="B331">
        <f>Skills!B25</f>
        <v/>
      </c>
      <c r="C331">
        <f>Inputs!$B$3&gt;=43</f>
        <v/>
      </c>
      <c r="D331">
        <f>IF(Skills!C25=1,60+Inputs!$B$25+Inputs!$B$29,IF(Skills!C25=2,90+Inputs!$B$26+Inputs!$B$29,IF(Skills!C25=3,120+Inputs!$B$27+Inputs!$B$29,MAX(0,(Inputs!$B$3-100)*3)+Inputs!$B$28+Inputs!$B$29)))</f>
        <v/>
      </c>
      <c r="E331">
        <f>INDEX(FactorTable!$B$2:$Y$301, MATCH(ROUND(MIN(300,MAX(1,D331)),0), FactorTable!$A$2:$A$301,0), Skills!M25+1)</f>
        <v/>
      </c>
      <c r="F331">
        <f>IF(Skills!N25=TRUE,(Skills!L25/10)*(E331/1000),Skills!L25/10)+Skills!O25</f>
        <v/>
      </c>
      <c r="G331">
        <f>Skills!G25*IF(Skills!H25&gt;0,Skills!I25/Skills!H25,1)</f>
        <v/>
      </c>
      <c r="H331">
        <f>1-(1-Skills!J25/100)^Skills!K25</f>
        <v/>
      </c>
      <c r="I331" t="inlineStr">
        <is>
          <t>1</t>
        </is>
      </c>
      <c r="J331" t="inlineStr"/>
      <c r="K331" t="inlineStr"/>
      <c r="L331" t="inlineStr"/>
      <c r="M331" t="inlineStr"/>
      <c r="N331" t="inlineStr"/>
      <c r="O331">
        <f>(1-Summary!$B$11)*T331+Summary!$B$11*V331</f>
        <v/>
      </c>
      <c r="P331">
        <f>IF(B350=0,0,O331/B350)</f>
        <v/>
      </c>
      <c r="Q331" t="n">
        <v>0</v>
      </c>
      <c r="R331" t="n">
        <v>0</v>
      </c>
      <c r="S331">
        <f>IFERROR(O331/N331,0)</f>
        <v/>
      </c>
      <c r="T331" t="n">
        <v>0</v>
      </c>
      <c r="V331" t="n">
        <v>0</v>
      </c>
    </row>
    <row r="332">
      <c r="A332">
        <f>Skills!A26</f>
        <v/>
      </c>
      <c r="B332">
        <f>Skills!B26</f>
        <v/>
      </c>
      <c r="C332">
        <f>Inputs!$B$3&gt;=75</f>
        <v/>
      </c>
      <c r="D332">
        <f>IF(Skills!C26=1,60+Inputs!$B$25+Inputs!$B$29,IF(Skills!C26=2,90+Inputs!$B$26+Inputs!$B$29,IF(Skills!C26=3,120+Inputs!$B$27+Inputs!$B$29,MAX(0,(Inputs!$B$3-100)*3)+Inputs!$B$28+Inputs!$B$29)))</f>
        <v/>
      </c>
      <c r="E332">
        <f>INDEX(FactorTable!$B$2:$Y$301, MATCH(ROUND(MIN(300,MAX(1,D332)),0), FactorTable!$A$2:$A$301,0), Skills!M26+1)</f>
        <v/>
      </c>
      <c r="F332">
        <f>IF(Skills!N26=TRUE,(Skills!L26/10)*(E332/1000),Skills!L26/10)+Skills!O26</f>
        <v/>
      </c>
      <c r="G332">
        <f>Skills!G26*IF(Skills!H26&gt;0,Skills!I26/Skills!H26,1)</f>
        <v/>
      </c>
      <c r="H332">
        <f>1-(1-Skills!J26/100)^Skills!K26</f>
        <v/>
      </c>
      <c r="I332" t="inlineStr">
        <is>
          <t>1</t>
        </is>
      </c>
      <c r="J332" t="inlineStr"/>
      <c r="K332" t="inlineStr"/>
      <c r="L332" t="inlineStr"/>
      <c r="M332" t="inlineStr"/>
      <c r="N332" t="inlineStr"/>
      <c r="O332">
        <f>(1-Summary!$B$11)*T332+Summary!$B$11*V332</f>
        <v/>
      </c>
      <c r="P332">
        <f>IF(B350=0,0,O332/B350)</f>
        <v/>
      </c>
      <c r="Q332" t="n">
        <v>0</v>
      </c>
      <c r="R332" t="n">
        <v>0</v>
      </c>
      <c r="S332">
        <f>IFERROR(O332/N332,0)</f>
        <v/>
      </c>
      <c r="T332" t="n">
        <v>0</v>
      </c>
      <c r="V332" t="n">
        <v>0</v>
      </c>
    </row>
    <row r="333">
      <c r="A333">
        <f>Skills!A27</f>
        <v/>
      </c>
      <c r="B333">
        <f>Skills!B27</f>
        <v/>
      </c>
      <c r="C333">
        <f>Inputs!$B$3&gt;=125</f>
        <v/>
      </c>
      <c r="D333">
        <f>IF(Skills!C27=1,60+Inputs!$B$25+Inputs!$B$29,IF(Skills!C27=2,90+Inputs!$B$26+Inputs!$B$29,IF(Skills!C27=3,120+Inputs!$B$27+Inputs!$B$29,MAX(0,(Inputs!$B$3-100)*3)+Inputs!$B$28+Inputs!$B$29)))</f>
        <v/>
      </c>
      <c r="E333">
        <f>INDEX(FactorTable!$B$2:$Y$301, MATCH(ROUND(MIN(300,MAX(1,D333)),0), FactorTable!$A$2:$A$301,0), Skills!M27+1)</f>
        <v/>
      </c>
      <c r="F333">
        <f>IF(Skills!N27=TRUE,(Skills!L27/10)*(E333/1000),Skills!L27/10)+Skills!O27</f>
        <v/>
      </c>
      <c r="G333">
        <f>Skills!G27*IF(Skills!H27&gt;0,Skills!I27/Skills!H27,1)</f>
        <v/>
      </c>
      <c r="H333">
        <f>1-(1-Skills!J27/100)^Skills!K27</f>
        <v/>
      </c>
      <c r="I333" t="inlineStr">
        <is>
          <t>1</t>
        </is>
      </c>
      <c r="J333" t="inlineStr"/>
      <c r="K333" t="inlineStr"/>
      <c r="L333" t="inlineStr"/>
      <c r="M333" t="inlineStr"/>
      <c r="N333" t="inlineStr"/>
      <c r="O333">
        <f>(1-Summary!$B$11)*T333+Summary!$B$11*V333</f>
        <v/>
      </c>
      <c r="P333">
        <f>IF(B350=0,0,O333/B350)</f>
        <v/>
      </c>
      <c r="Q333" t="n">
        <v>0</v>
      </c>
      <c r="R333" t="n">
        <v>0</v>
      </c>
      <c r="S333">
        <f>IFERROR(O333/N333,0)</f>
        <v/>
      </c>
      <c r="T333" t="n">
        <v>0</v>
      </c>
      <c r="V333" t="n">
        <v>0</v>
      </c>
    </row>
    <row r="334">
      <c r="A334">
        <f>Skills!A28</f>
        <v/>
      </c>
      <c r="B334">
        <f>Skills!B28</f>
        <v/>
      </c>
      <c r="C334">
        <f>Inputs!$B$3&gt;=125</f>
        <v/>
      </c>
      <c r="D334">
        <f>IF(Skills!C28=1,60+Inputs!$B$25+Inputs!$B$29,IF(Skills!C28=2,90+Inputs!$B$26+Inputs!$B$29,IF(Skills!C28=3,120+Inputs!$B$27+Inputs!$B$29,MAX(0,(Inputs!$B$3-100)*3)+Inputs!$B$28+Inputs!$B$29)))</f>
        <v/>
      </c>
      <c r="E334">
        <f>INDEX(FactorTable!$B$2:$Y$301, MATCH(ROUND(MIN(300,MAX(1,D334)),0), FactorTable!$A$2:$A$301,0), Skills!M28+1)</f>
        <v/>
      </c>
      <c r="F334">
        <f>IF(Skills!N28=TRUE,(Skills!L28/10)*(E334/1000),Skills!L28/10)+Skills!O28</f>
        <v/>
      </c>
      <c r="G334">
        <f>Skills!G28*IF(Skills!H28&gt;0,Skills!I28/Skills!H28,1)</f>
        <v/>
      </c>
      <c r="H334">
        <f>1-(1-Skills!J28/100)^Skills!K28</f>
        <v/>
      </c>
      <c r="I334" t="inlineStr">
        <is>
          <t>1</t>
        </is>
      </c>
      <c r="J334" t="inlineStr"/>
      <c r="K334" t="inlineStr"/>
      <c r="L334" t="inlineStr"/>
      <c r="M334" t="inlineStr"/>
      <c r="N334" t="inlineStr"/>
      <c r="O334">
        <f>(1-Summary!$B$11)*T334+Summary!$B$11*V334</f>
        <v/>
      </c>
      <c r="P334">
        <f>IF(B350=0,0,O334/B350)</f>
        <v/>
      </c>
      <c r="Q334" t="n">
        <v>0</v>
      </c>
      <c r="R334" t="n">
        <v>0</v>
      </c>
      <c r="S334">
        <f>IFERROR(O334/N334,0)</f>
        <v/>
      </c>
      <c r="T334" t="n">
        <v>0</v>
      </c>
      <c r="V334" t="n">
        <v>0</v>
      </c>
    </row>
    <row r="335">
      <c r="A335">
        <f>Skills!A29</f>
        <v/>
      </c>
      <c r="B335">
        <f>Skills!B29</f>
        <v/>
      </c>
      <c r="C335">
        <f>Inputs!$B$3&gt;=120</f>
        <v/>
      </c>
      <c r="D335">
        <f>IF(Skills!C29=1,60+Inputs!$B$25+Inputs!$B$29,IF(Skills!C29=2,90+Inputs!$B$26+Inputs!$B$29,IF(Skills!C29=3,120+Inputs!$B$27+Inputs!$B$29,MAX(0,(Inputs!$B$3-100)*3)+Inputs!$B$28+Inputs!$B$29)))</f>
        <v/>
      </c>
      <c r="E335">
        <f>INDEX(FactorTable!$B$2:$Y$301, MATCH(ROUND(MIN(300,MAX(1,D335)),0), FactorTable!$A$2:$A$301,0), Skills!M29+1)</f>
        <v/>
      </c>
      <c r="F335">
        <f>IF(Skills!N29=TRUE,(Skills!L29/10)*(E335/1000),Skills!L29/10)+Skills!O29</f>
        <v/>
      </c>
      <c r="G335">
        <f>Skills!G29*IF(Skills!H29&gt;0,Skills!I29/Skills!H29,1)</f>
        <v/>
      </c>
      <c r="H335">
        <f>1-(1-Skills!J29/100)^Skills!K29</f>
        <v/>
      </c>
      <c r="I335" t="inlineStr">
        <is>
          <t>1</t>
        </is>
      </c>
      <c r="J335" t="inlineStr"/>
      <c r="K335" t="inlineStr"/>
      <c r="L335" t="inlineStr"/>
      <c r="M335" t="inlineStr"/>
      <c r="N335" t="inlineStr"/>
      <c r="O335">
        <f>(1-Summary!$B$11)*T335+Summary!$B$11*V335</f>
        <v/>
      </c>
      <c r="P335">
        <f>IF(B350=0,0,O335/B350)</f>
        <v/>
      </c>
      <c r="Q335" t="n">
        <v>0</v>
      </c>
      <c r="R335" t="n">
        <v>0</v>
      </c>
      <c r="S335">
        <f>IFERROR(O335/N335,0)</f>
        <v/>
      </c>
      <c r="T335" t="n">
        <v>0</v>
      </c>
      <c r="V335" t="n">
        <v>0</v>
      </c>
    </row>
    <row r="336">
      <c r="A336">
        <f>Skills!A30</f>
        <v/>
      </c>
      <c r="B336">
        <f>Skills!B30</f>
        <v/>
      </c>
      <c r="C336">
        <f>Inputs!$B$3&gt;=120</f>
        <v/>
      </c>
      <c r="D336">
        <f>IF(Skills!C30=1,60+Inputs!$B$25+Inputs!$B$29,IF(Skills!C30=2,90+Inputs!$B$26+Inputs!$B$29,IF(Skills!C30=3,120+Inputs!$B$27+Inputs!$B$29,MAX(0,(Inputs!$B$3-100)*3)+Inputs!$B$28+Inputs!$B$29)))</f>
        <v/>
      </c>
      <c r="E336">
        <f>INDEX(FactorTable!$B$2:$Y$301, MATCH(ROUND(MIN(300,MAX(1,D336)),0), FactorTable!$A$2:$A$301,0), Skills!M30+1)</f>
        <v/>
      </c>
      <c r="F336">
        <f>IF(Skills!N30=TRUE,(Skills!L30/10)*(E336/1000),Skills!L30/10)+Skills!O30</f>
        <v/>
      </c>
      <c r="G336">
        <f>Skills!G30*IF(Skills!H30&gt;0,Skills!I30/Skills!H30,1)</f>
        <v/>
      </c>
      <c r="H336">
        <f>1-(1-Skills!J30/100)^Skills!K30</f>
        <v/>
      </c>
      <c r="I336" t="inlineStr">
        <is>
          <t>1</t>
        </is>
      </c>
      <c r="J336" t="inlineStr"/>
      <c r="K336" t="inlineStr"/>
      <c r="L336" t="inlineStr"/>
      <c r="M336" t="inlineStr"/>
      <c r="N336" t="inlineStr"/>
      <c r="O336">
        <f>(1-Summary!$B$11)*T336+Summary!$B$11*V336</f>
        <v/>
      </c>
      <c r="P336">
        <f>IF(B350=0,0,O336/B350)</f>
        <v/>
      </c>
      <c r="Q336" t="n">
        <v>0</v>
      </c>
      <c r="R336" t="n">
        <v>0</v>
      </c>
      <c r="S336">
        <f>IFERROR(O336/N336,0)</f>
        <v/>
      </c>
      <c r="T336" t="n">
        <v>0</v>
      </c>
      <c r="V336" t="n">
        <v>0</v>
      </c>
    </row>
    <row r="337">
      <c r="A337">
        <f>Skills!A31</f>
        <v/>
      </c>
      <c r="B337">
        <f>Skills!B31</f>
        <v/>
      </c>
      <c r="C337">
        <f>Inputs!$B$3&gt;=45</f>
        <v/>
      </c>
      <c r="D337">
        <f>IF(Skills!C31=1,60+Inputs!$B$25+Inputs!$B$29,IF(Skills!C31=2,90+Inputs!$B$26+Inputs!$B$29,IF(Skills!C31=3,120+Inputs!$B$27+Inputs!$B$29,MAX(0,(Inputs!$B$3-100)*3)+Inputs!$B$28+Inputs!$B$29)))</f>
        <v/>
      </c>
      <c r="E337">
        <f>INDEX(FactorTable!$B$2:$Y$301, MATCH(ROUND(MIN(300,MAX(1,D337)),0), FactorTable!$A$2:$A$301,0), Skills!M31+1)</f>
        <v/>
      </c>
      <c r="F337">
        <f>IF(Skills!N31=TRUE,(Skills!L31/10)*(E337/1000),Skills!L31/10)+Skills!O31</f>
        <v/>
      </c>
      <c r="G337">
        <f>Skills!G31*IF(Skills!H31&gt;0,Skills!I31/Skills!H31,1)</f>
        <v/>
      </c>
      <c r="H337">
        <f>1-(1-Skills!J31/100)^Skills!K31</f>
        <v/>
      </c>
      <c r="I337" t="inlineStr">
        <is>
          <t>1</t>
        </is>
      </c>
      <c r="J337" t="inlineStr"/>
      <c r="K337" t="inlineStr"/>
      <c r="L337" t="inlineStr"/>
      <c r="M337" t="inlineStr"/>
      <c r="N337" t="inlineStr"/>
      <c r="O337">
        <f>(1-Summary!$B$11)*T337+Summary!$B$11*V337</f>
        <v/>
      </c>
      <c r="P337">
        <f>IF(B350=0,0,O337/B350)</f>
        <v/>
      </c>
      <c r="Q337" t="n">
        <v>0</v>
      </c>
      <c r="R337" t="n">
        <v>0</v>
      </c>
      <c r="S337">
        <f>IFERROR(O337/N337,0)</f>
        <v/>
      </c>
      <c r="T337" t="n">
        <v>0</v>
      </c>
      <c r="V337" t="n">
        <v>0</v>
      </c>
    </row>
    <row r="339">
      <c r="A339" t="inlineStr">
        <is>
          <t>Attack% Bucket Multiplier</t>
        </is>
      </c>
      <c r="B339">
        <f>(1+(((C320=TRUE)*F320)+((C321=TRUE)*IF(Inputs!$B$38="pvp",F321,(1-Summary!$B$11)*(F321)+Summary!$B$11*(0)))+((C322=TRUE)*F322*IF(AND(Inputs!$B$38&lt;&gt;"pvp",Inputs!$B$43&gt;0),(((R322-1)*(Skills!T16*(1+Inputs!$B$34/100))+MIN((Skills!T16*(1+Inputs!$B$34/100)),MAX(0,Inputs!$B$43-((R322-1)*Skills!D16))))/Inputs!$B$43),IF(Inputs!$B$38="pvp",MIN((Skills!T16*(1+Inputs!$B$34/100)),15)/15,(Skills!T16*(1+Inputs!$B$34/100))/Skills!D16)))+((C337=TRUE)*(F337-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40">
      <c r="A340" t="inlineStr">
        <is>
          <t>Global Crit Rate Bonus %</t>
        </is>
      </c>
      <c r="B340">
        <f>(C323=TRUE)*20*IF(AND(Inputs!$B$38&lt;&gt;"pvp",Inputs!$B$43&gt;0),(((R323-1)*(Skills!T17*(1+Inputs!$B$34/100))+MIN((Skills!T17*(1+Inputs!$B$34/100)),MAX(0,Inputs!$B$43-((R323-1)*Skills!D17))))/Inputs!$B$43),IF(Inputs!$B$38="pvp",MIN((Skills!T17*(1+Inputs!$B$34/100)),15)/15,(Skills!T17*(1+Inputs!$B$34/100))/Skills!D17))</f>
        <v/>
      </c>
    </row>
    <row r="341">
      <c r="A341" t="inlineStr">
        <is>
          <t>Attack Speed Buff Bonus %</t>
        </is>
      </c>
      <c r="B341">
        <f>((C326=TRUE)*F326*IF(AND(Inputs!$B$38&lt;&gt;"pvp",Inputs!$B$43&gt;0),(((R326-1)*(Skills!T20*(1+Inputs!$B$34/100))+MIN((Skills!T20*(1+Inputs!$B$34/100)),MAX(0,Inputs!$B$43-((R326-1)*Skills!D20))))/Inputs!$B$43),IF(Inputs!$B$38="pvp",MIN((Skills!T20*(1+Inputs!$B$34/100)),15)/15,(Skills!T20*(1+Inputs!$B$34/100))/Skills!D20)))</f>
        <v/>
      </c>
    </row>
    <row r="342">
      <c r="A342" t="inlineStr">
        <is>
          <t>Actions Per Second</t>
        </is>
      </c>
      <c r="B342">
        <f>1+MIN(150,150*(1-(1-(Inputs!$B$11+((C328=TRUE)*(F328-Calc!F22))+((C329=TRUE)*(F329-Calc!F23)))/150)*(1-B341/150)))/100</f>
        <v/>
      </c>
    </row>
    <row r="343">
      <c r="A343" t="inlineStr">
        <is>
          <t>Skill + Buff Cast Rate</t>
        </is>
      </c>
      <c r="B343">
        <f>IF(AND(Inputs!$B$38&lt;&gt;"pvp",Inputs!$B$43&gt;0),SUMPRODUCT((Skills!E2:E31=TRUE)*(C308:C337=TRUE)*R308:R337*Skills!F2:F31)/Inputs!$B$43,SUMPRODUCT((Skills!E2:E31=TRUE)*(C308:C337=TRUE)*Q308:Q337*Skills!F2:F31))</f>
        <v/>
      </c>
    </row>
    <row r="344">
      <c r="A344" t="inlineStr">
        <is>
          <t>Arrow Stream Casts Per Second</t>
        </is>
      </c>
      <c r="B344">
        <f>MAX(0,B342-B343)</f>
        <v/>
      </c>
    </row>
    <row r="345">
      <c r="A345" t="inlineStr">
        <is>
          <t>Global Critical Damage Bonus % (Sharp Eyes + Concentration)</t>
        </is>
      </c>
      <c r="B345">
        <f>(C323=TRUE)*F323*IF(AND(Inputs!$B$38&lt;&gt;"pvp",Inputs!$B$43&gt;0),(((R323-1)*(Skills!T17*(1+Inputs!$B$34/100))+MIN((Skills!T17*(1+Inputs!$B$34/100)),MAX(0,Inputs!$B$43-((R323-1)*Skills!D17))))/Inputs!$B$43),IF(Inputs!$B$38="pvp",MIN((Skills!T17*(1+Inputs!$B$34/100)),15)/15,(Skills!T17*(1+Inputs!$B$34/100))/Skills!D17))+(C324=TRUE)*30</f>
        <v/>
      </c>
    </row>
    <row r="346">
      <c r="A346" t="inlineStr">
        <is>
          <t>Global Final Damage Bonus % (Mortal Blow)</t>
        </is>
      </c>
      <c r="B346">
        <f>(C325=TRUE)*F325</f>
        <v/>
      </c>
    </row>
    <row r="347">
      <c r="A347" t="inlineStr">
        <is>
          <t>Buff-Casting Startup Delay (s, fixed-duration only)</t>
        </is>
      </c>
      <c r="B347">
        <f>IF(AND(Inputs!$B$38&lt;&gt;"pvp",Inputs!$B$43&gt;0),SUMPRODUCT((Skills!T2:T31&gt;0)*(Skills!E2:E31=TRUE)*(C308:C337=TRUE))/B342,0)</f>
        <v/>
      </c>
    </row>
    <row r="348">
      <c r="A348" t="inlineStr">
        <is>
          <t>Boss-Only Total DPS (this block's swept value)</t>
        </is>
      </c>
      <c r="B348">
        <f>SUM(T308:T337)</f>
        <v/>
      </c>
    </row>
    <row r="349">
      <c r="A349" t="inlineStr">
        <is>
          <t>Normal-Only Total DPS (this block's swept value)</t>
        </is>
      </c>
      <c r="B349">
        <f>SUM(V308:V337)</f>
        <v/>
      </c>
    </row>
    <row r="350">
      <c r="A350" s="6" t="inlineStr">
        <is>
          <t>TOTAL DPS</t>
        </is>
      </c>
      <c r="B350" s="6">
        <f>SUM(O308:O337)</f>
        <v/>
      </c>
    </row>
    <row r="353">
      <c r="A353" s="6" t="inlineStr">
        <is>
          <t>Stat: NORMAL_DAMAGE %</t>
        </is>
      </c>
    </row>
    <row r="354">
      <c r="A354" s="5" t="inlineStr">
        <is>
          <t>Key</t>
        </is>
      </c>
      <c r="B354" s="5" t="inlineStr">
        <is>
          <t>Name</t>
        </is>
      </c>
      <c r="C354" s="5" t="inlineStr">
        <is>
          <t>Unlocked</t>
        </is>
      </c>
      <c r="D354" s="5" t="inlineStr">
        <is>
          <t>InputLevel</t>
        </is>
      </c>
      <c r="E354" s="5" t="inlineStr">
        <is>
          <t>Factor</t>
        </is>
      </c>
      <c r="F354" s="5" t="inlineStr">
        <is>
          <t>CoefficientPercent</t>
        </is>
      </c>
      <c r="G354" s="5" t="inlineStr">
        <is>
          <t>EffectiveHits</t>
        </is>
      </c>
      <c r="H354" s="5" t="inlineStr">
        <is>
          <t>ProcProbability</t>
        </is>
      </c>
      <c r="I354" s="5" t="inlineStr">
        <is>
          <t>MapleHeroMultiplier</t>
        </is>
      </c>
      <c r="J354" s="5" t="inlineStr">
        <is>
          <t>BaseDamage</t>
        </is>
      </c>
      <c r="K354" s="5" t="inlineStr">
        <is>
          <t>BaseHitDamage</t>
        </is>
      </c>
      <c r="L354" s="5" t="inlineStr">
        <is>
          <t>NonCritAvg</t>
        </is>
      </c>
      <c r="M354" s="5" t="inlineStr">
        <is>
          <t>CritAvg</t>
        </is>
      </c>
      <c r="N354" s="5" t="inlineStr">
        <is>
          <t>ExpectedDamage(perHit)</t>
        </is>
      </c>
      <c r="O354" s="5" t="inlineStr">
        <is>
          <t>DPS</t>
        </is>
      </c>
      <c r="P354" s="5" t="inlineStr">
        <is>
          <t>% of Total</t>
        </is>
      </c>
      <c r="Q354" s="5" t="inlineStr">
        <is>
          <t>InvCooldown</t>
        </is>
      </c>
      <c r="R354" s="5" t="inlineStr">
        <is>
          <t>CastsInFight</t>
        </is>
      </c>
      <c r="S354" s="5" t="inlineStr">
        <is>
          <t>HitRate(perSec)</t>
        </is>
      </c>
      <c r="U354" t="inlineStr">
        <is>
          <t>helpers</t>
        </is>
      </c>
    </row>
    <row r="355">
      <c r="A355">
        <f>Skills!A2</f>
        <v/>
      </c>
      <c r="B355">
        <f>Skills!B2</f>
        <v/>
      </c>
      <c r="C355">
        <f>Inputs!$B$3&gt;=100</f>
        <v/>
      </c>
      <c r="D355" t="inlineStr"/>
      <c r="E355" t="inlineStr"/>
      <c r="F355">
        <f>U357+Skills!O2</f>
        <v/>
      </c>
      <c r="G355">
        <f>Skills!G2*IF(Skills!H2&gt;0,Skills!I2/Skills!H2,1)</f>
        <v/>
      </c>
      <c r="H355">
        <f>1-(1-Skills!J2/100)^Skills!K2</f>
        <v/>
      </c>
      <c r="I355" t="inlineStr">
        <is>
          <t>1</t>
        </is>
      </c>
      <c r="J355">
        <f>((Inputs!$B$6*(1+Inputs!$B$7/100))+(((Inputs!$B$12*(1+Inputs!$B$13/100))-(Inputs!$B$12*(1+Inputs!$B$13/100)))+0.25*(Inputs!$B$14-Inputs!$B$14))*(1+Inputs!$B$7/100))*(F355/100)</f>
        <v/>
      </c>
      <c r="K355">
        <f>J355*(1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355)</f>
        <v/>
      </c>
      <c r="L355">
        <f>K355*(MIN(Inputs!$B$22+((C378=TRUE)*(F378-Calc!F25)),(Inputs!$B$23+((C383=TRUE)*(F383-Calc!F30))+(IF(ArtifactsInput!$M$15,CHOOSE(ArtifactsInput!$N$15+1,25,30,35,40,45,50)/100*(Inputs!$B$11-Inputs!$B$11),0))))/100+(Inputs!$B$23+((C383=TRUE)*(F383-Calc!F30))+(IF(ArtifactsInput!$M$15,CHOOSE(ArtifactsInput!$N$15+1,25,30,35,40,45,50)/100*(Inputs!$B$11-Inputs!$B$11),0)))/100)/2</f>
        <v/>
      </c>
      <c r="M355">
        <f>L355*(1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5">
        <f>L355*(1-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355*(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5">
        <f>(1-Summary!$B$11)*T355+Summary!$B$11*V355</f>
        <v/>
      </c>
      <c r="P355">
        <f>IF(B397=0,0,O355/B397)</f>
        <v/>
      </c>
      <c r="Q355" t="n">
        <v>0</v>
      </c>
      <c r="R355" t="n">
        <v>0</v>
      </c>
      <c r="S355">
        <f>IFERROR(O355/N355,0)</f>
        <v/>
      </c>
      <c r="T355">
        <f>IF(C355,(Skills!G2*N355*B391)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355*(1-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355*(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355*(1-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355*(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5">
        <f>MAX(0,(Inputs!$B$3-100)*3)+Inputs!$B$28+Inputs!$B$29</f>
        <v/>
      </c>
      <c r="V355">
        <f>IF(C355,(Skills!G2*N355*B391)*IF(Inputs!$B$38="pvp",1,(1+((Inputs!$B$21+1)+Skills!Q2+(IF(ArtifactsInput!$M$33,CHOOSE(ArtifactsInput!$N$33+1,30,36,42,48,54,60),0))+(IF(AND(ArtifactsInput!$M$35,Inputs!$B$4&lt;&gt;"Chapter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6">
      <c r="A356">
        <f>Skills!A3</f>
        <v/>
      </c>
      <c r="B356">
        <f>Skills!B3</f>
        <v/>
      </c>
      <c r="C356">
        <f>Inputs!$B$3&gt;=50</f>
        <v/>
      </c>
      <c r="D356">
        <f>IF(Skills!C3=1,60+Inputs!$B$25+Inputs!$B$29,IF(Skills!C3=2,90+Inputs!$B$26+Inputs!$B$29,IF(Skills!C3=3,120+Inputs!$B$27+Inputs!$B$29,MAX(0,(Inputs!$B$3-100)*3)+Inputs!$B$28+Inputs!$B$29)))</f>
        <v/>
      </c>
      <c r="E356">
        <f>INDEX(FactorTable!$B$2:$Y$301, MATCH(ROUND(MIN(300,MAX(1,D356)),0), FactorTable!$A$2:$A$301,0), Skills!M3+1)</f>
        <v/>
      </c>
      <c r="F356">
        <f>IF(Skills!N3=TRUE,(Skills!L3/10)*(E356/1000),Skills!L3/10)+Skills!O3</f>
        <v/>
      </c>
      <c r="G356">
        <f>Skills!G3*IF(Skills!H3&gt;0,Skills!I3/Skills!H3,1)</f>
        <v/>
      </c>
      <c r="H356">
        <f>1-(1-Skills!J3/100)^Skills!K3</f>
        <v/>
      </c>
      <c r="I356" t="inlineStr">
        <is>
          <t>1</t>
        </is>
      </c>
      <c r="J356">
        <f>((Inputs!$B$6*(1+Inputs!$B$7/100))+(((Inputs!$B$12*(1+Inputs!$B$13/100))-(Inputs!$B$12*(1+Inputs!$B$13/100)))+0.25*(Inputs!$B$14-Inputs!$B$14))*(1+Inputs!$B$7/100))*(F356/100)</f>
        <v/>
      </c>
      <c r="K356">
        <f>J356*(1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357=TRUE,F357,0)/100)*(1+(IF(Skills!A3="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356)</f>
        <v/>
      </c>
      <c r="L356">
        <f>K356*(MIN(Inputs!$B$22+((C378=TRUE)*(F378-Calc!F25)),(Inputs!$B$23+((C383=TRUE)*(F383-Calc!F30))+(IF(ArtifactsInput!$M$15,CHOOSE(ArtifactsInput!$N$15+1,25,30,35,40,45,50)/100*(Inputs!$B$11-Inputs!$B$11),0))))/100+(Inputs!$B$23+((C383=TRUE)*(F383-Calc!F30))+(IF(ArtifactsInput!$M$15,CHOOSE(ArtifactsInput!$N$15+1,25,30,35,40,45,50)/100*(Inputs!$B$11-Inputs!$B$11),0)))/100)/2</f>
        <v/>
      </c>
      <c r="M356">
        <f>L356*(1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6">
        <f>L356*(1-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356*(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6">
        <f>(1-Summary!$B$11)*T356+Summary!$B$11*V356</f>
        <v/>
      </c>
      <c r="P356">
        <f>IF(B397=0,0,O356/B397)</f>
        <v/>
      </c>
      <c r="Q356">
        <f>IFERROR(1/(IF(Inputs!$B$38="pvp",15,MAX(0.1,Skills!D3-IF(Skills!E3=TRUE,Inputs!$B$32,0)))*(1-IF(AND(ArtifactsInput!$M$27,Inputs!$B$4="Chapter Hunt"),CHOOSE(ArtifactsInput!$N$27+1,20,24,28,32,36,40),0)/100)),0)</f>
        <v/>
      </c>
      <c r="R356">
        <f>IF(AND(Inputs!$B$38&lt;&gt;"pvp",Inputs!$B$43&gt;0),IF(MAX(0,Inputs!$B$43-B394)&lt;=0,0,(INT(MAX(0,Inputs!$B$43-B394)/(IF(Inputs!$B$38="pvp",15,MAX(0.1,Skills!D3-IF(Skills!E3=TRUE,Inputs!$B$32,0)))*(1-IF(AND(ArtifactsInput!$M$27,Inputs!$B$4="Chapter Hunt"),CHOOSE(ArtifactsInput!$N$27+1,20,24,28,32,36,40),0)/100)))+1)),0)</f>
        <v/>
      </c>
      <c r="S356">
        <f>IFERROR(O356/N356,0)</f>
        <v/>
      </c>
      <c r="T356">
        <f>IF(C356,(H356*N356*IF(AND(Inputs!$B$38&lt;&gt;"pvp",Inputs!$B$43&gt;0),((Skills!G3*((R356-1)*IF(Skills!H3&gt;0,Skills!I3/Skills!H3,1)+IF(Skills!H3&gt;0,MIN(Skills!I3,MAX(0,MAX(0,Inputs!$B$43-B394)-((R356-1)*(IF(Inputs!$B$38="pvp",15,MAX(0.1,Skills!D3-IF(Skills!E3=TRUE,Inputs!$B$32,0)))*(1-IF(AND(ArtifactsInput!$M$27,Inputs!$B$4="Chapter Hunt"),CHOOSE(ArtifactsInput!$N$27+1,20,24,28,32,36,40),0)/100)))))/Skills!H3,1)))/Inputs!$B$43),G356*Q356)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356*(1-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356*(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356*(1-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356*(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6">
        <f>INDEX(FactorTable!$B$2:$Y$301, MATCH(ROUND(MIN(300,MAX(1,U355)),0), FactorTable!$A$2:$A$301,0), 22)</f>
        <v/>
      </c>
      <c r="V356">
        <f>IF(C356,(H356*N356*IF(AND(Inputs!$B$38&lt;&gt;"pvp",Inputs!$B$43&gt;0),((Skills!G3*((R356-1)*IF(Skills!H3&gt;0,Skills!I3/Skills!H3,1)+IF(Skills!H3&gt;0,MIN(Skills!I3,MAX(0,MAX(0,Inputs!$B$43-B394)-((R356-1)*(IF(Inputs!$B$38="pvp",15,MAX(0.1,Skills!D3-IF(Skills!E3=TRUE,Inputs!$B$32,0)))*(1-IF(AND(ArtifactsInput!$M$27,Inputs!$B$4="Chapter Hunt"),CHOOSE(ArtifactsInput!$N$27+1,20,24,28,32,36,40),0)/100)))))/Skills!H3,1)))/Inputs!$B$43),G356*Q356))*IF(Inputs!$B$38="pvp",1,(1+((Inputs!$B$21+1)+Skills!Q3+(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7">
      <c r="A357">
        <f>Skills!A4</f>
        <v/>
      </c>
      <c r="B357">
        <f>Skills!B4</f>
        <v/>
      </c>
      <c r="C357">
        <f>Inputs!$B$3&gt;=105</f>
        <v/>
      </c>
      <c r="D357">
        <f>IF(Skills!C4=1,60+Inputs!$B$25+Inputs!$B$29,IF(Skills!C4=2,90+Inputs!$B$26+Inputs!$B$29,IF(Skills!C4=3,120+Inputs!$B$27+Inputs!$B$29,MAX(0,(Inputs!$B$3-100)*3)+Inputs!$B$28+Inputs!$B$29)))</f>
        <v/>
      </c>
      <c r="E357">
        <f>INDEX(FactorTable!$B$2:$Y$301, MATCH(ROUND(MIN(300,MAX(1,D357)),0), FactorTable!$A$2:$A$301,0), Skills!M4+1)</f>
        <v/>
      </c>
      <c r="F357">
        <f>IF(Skills!N4=TRUE,(Skills!L4/10)*(E357/1000),Skills!L4/10)+Skills!O4</f>
        <v/>
      </c>
      <c r="G357" t="inlineStr"/>
      <c r="H357" t="inlineStr"/>
      <c r="I357" t="inlineStr">
        <is>
          <t>1</t>
        </is>
      </c>
      <c r="J357" t="inlineStr"/>
      <c r="K357" t="inlineStr"/>
      <c r="L357" t="inlineStr"/>
      <c r="M357" t="inlineStr"/>
      <c r="N357" t="inlineStr"/>
      <c r="O357" t="inlineStr"/>
      <c r="P357" t="inlineStr"/>
      <c r="Q357" t="inlineStr"/>
      <c r="R357" t="inlineStr"/>
      <c r="S357" t="inlineStr"/>
      <c r="T357" t="inlineStr"/>
      <c r="U357">
        <f>290*U356/1000</f>
        <v/>
      </c>
      <c r="V357" t="inlineStr"/>
    </row>
    <row r="358">
      <c r="A358">
        <f>Skills!A5</f>
        <v/>
      </c>
      <c r="B358">
        <f>Skills!B5</f>
        <v/>
      </c>
      <c r="C358">
        <f>Inputs!$B$3&gt;=35</f>
        <v/>
      </c>
      <c r="D358">
        <f>IF(Skills!C5=1,60+Inputs!$B$25+Inputs!$B$29,IF(Skills!C5=2,90+Inputs!$B$26+Inputs!$B$29,IF(Skills!C5=3,120+Inputs!$B$27+Inputs!$B$29,MAX(0,(Inputs!$B$3-100)*3)+Inputs!$B$28+Inputs!$B$29)))</f>
        <v/>
      </c>
      <c r="E358">
        <f>INDEX(FactorTable!$B$2:$Y$301, MATCH(ROUND(MIN(300,MAX(1,D358)),0), FactorTable!$A$2:$A$301,0), Skills!M5+1)</f>
        <v/>
      </c>
      <c r="F358">
        <f>IF(Skills!N5=TRUE,(Skills!L5/10)*(E358/1000),Skills!L5/10)+Skills!O5</f>
        <v/>
      </c>
      <c r="G358">
        <f>Skills!G5*IF(Skills!H5&gt;0,Skills!I5/Skills!H5,1)</f>
        <v/>
      </c>
      <c r="H358">
        <f>1-(1-Skills!J5/100)^Skills!K5</f>
        <v/>
      </c>
      <c r="I358" t="inlineStr">
        <is>
          <t>1</t>
        </is>
      </c>
      <c r="J358">
        <f>((Inputs!$B$6*(1+Inputs!$B$7/100))+(((Inputs!$B$12*(1+Inputs!$B$13/100))-(Inputs!$B$12*(1+Inputs!$B$13/100)))+0.25*(Inputs!$B$14-Inputs!$B$14))*(1+Inputs!$B$7/100))*(F358/100)</f>
        <v/>
      </c>
      <c r="K358">
        <f>J358*(1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364=TRUE,F364,0)/100)*(1+(IF(Skills!A5="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358)</f>
        <v/>
      </c>
      <c r="L358">
        <f>K358*(MIN(Inputs!$B$22+((C378=TRUE)*(F378-Calc!F25)),(Inputs!$B$23+((C383=TRUE)*(F383-Calc!F30))+(IF(ArtifactsInput!$M$15,CHOOSE(ArtifactsInput!$N$15+1,25,30,35,40,45,50)/100*(Inputs!$B$11-Inputs!$B$11),0))))/100+(Inputs!$B$23+((C383=TRUE)*(F383-Calc!F30))+(IF(ArtifactsInput!$M$15,CHOOSE(ArtifactsInput!$N$15+1,25,30,35,40,45,50)/100*(Inputs!$B$11-Inputs!$B$11),0)))/100)/2</f>
        <v/>
      </c>
      <c r="M358">
        <f>L358*(1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8">
        <f>L358*(1-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358*(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8">
        <f>(1-Summary!$B$11)*T358+Summary!$B$11*V358</f>
        <v/>
      </c>
      <c r="P358">
        <f>IF(B397=0,0,O358/B397)</f>
        <v/>
      </c>
      <c r="Q358">
        <f>IFERROR(1/(IF(Inputs!$B$38="pvp",15,MAX(0.1,Skills!D5-IF(Skills!E5=TRUE,Inputs!$B$32,0)))*(1-IF(AND(ArtifactsInput!$M$27,Inputs!$B$4="Chapter Hunt"),CHOOSE(ArtifactsInput!$N$27+1,20,24,28,32,36,40),0)/100)),0)</f>
        <v/>
      </c>
      <c r="R358">
        <f>IF(AND(Inputs!$B$38&lt;&gt;"pvp",Inputs!$B$43&gt;0),IF(MAX(0,Inputs!$B$43-B394)&lt;=0,0,(INT(MAX(0,Inputs!$B$43-B394)/(IF(Inputs!$B$38="pvp",15,MAX(0.1,Skills!D5-IF(Skills!E5=TRUE,Inputs!$B$32,0)))*(1-IF(AND(ArtifactsInput!$M$27,Inputs!$B$4="Chapter Hunt"),CHOOSE(ArtifactsInput!$N$27+1,20,24,28,32,36,40),0)/100)))+1)),0)</f>
        <v/>
      </c>
      <c r="S358">
        <f>IFERROR(O358/N358,0)</f>
        <v/>
      </c>
      <c r="T358">
        <f>IF(C358,(H358*N358*IF(AND(Inputs!$B$38&lt;&gt;"pvp",Inputs!$B$43&gt;0),((Skills!G5*((R358-1)*IF(Skills!H5&gt;0,Skills!I5/Skills!H5,1)+IF(Skills!H5&gt;0,MIN(Skills!I5,MAX(0,MAX(0,Inputs!$B$43-B394)-((R358-1)*(IF(Inputs!$B$38="pvp",15,MAX(0.1,Skills!D5-IF(Skills!E5=TRUE,Inputs!$B$32,0)))*(1-IF(AND(ArtifactsInput!$M$27,Inputs!$B$4="Chapter Hunt"),CHOOSE(ArtifactsInput!$N$27+1,20,24,28,32,36,40),0)/100)))))/Skills!H5,1)))/Inputs!$B$43),G358*Q358)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358*(1-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358*(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358*(1-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358*(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8">
        <f>IF(C358,(H358*N358*IF(AND(Inputs!$B$38&lt;&gt;"pvp",Inputs!$B$43&gt;0),((Skills!G5*((R358-1)*IF(Skills!H5&gt;0,Skills!I5/Skills!H5,1)+IF(Skills!H5&gt;0,MIN(Skills!I5,MAX(0,MAX(0,Inputs!$B$43-B394)-((R358-1)*(IF(Inputs!$B$38="pvp",15,MAX(0.1,Skills!D5-IF(Skills!E5=TRUE,Inputs!$B$32,0)))*(1-IF(AND(ArtifactsInput!$M$27,Inputs!$B$4="Chapter Hunt"),CHOOSE(ArtifactsInput!$N$27+1,20,24,28,32,36,40),0)/100)))))/Skills!H5,1)))/Inputs!$B$43),G358*Q358))*IF(Inputs!$B$38="pvp",1,(1+((Inputs!$B$21+1)+Skills!Q5+(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9">
      <c r="A359">
        <f>Skills!A6</f>
        <v/>
      </c>
      <c r="B359">
        <f>Skills!B6</f>
        <v/>
      </c>
      <c r="C359">
        <f>Inputs!$B$3&gt;=40</f>
        <v/>
      </c>
      <c r="D359">
        <f>IF(Skills!C6=1,60+Inputs!$B$25+Inputs!$B$29,IF(Skills!C6=2,90+Inputs!$B$26+Inputs!$B$29,IF(Skills!C6=3,120+Inputs!$B$27+Inputs!$B$29,MAX(0,(Inputs!$B$3-100)*3)+Inputs!$B$28+Inputs!$B$29)))</f>
        <v/>
      </c>
      <c r="E359">
        <f>INDEX(FactorTable!$B$2:$Y$301, MATCH(ROUND(MIN(300,MAX(1,D359)),0), FactorTable!$A$2:$A$301,0), Skills!M6+1)</f>
        <v/>
      </c>
      <c r="F359">
        <f>IF(Skills!N6=TRUE,(Skills!L6/10)*(E359/1000),Skills!L6/10)+Skills!O6</f>
        <v/>
      </c>
      <c r="G359">
        <f>Skills!G6*IF(Skills!H6&gt;0,Skills!I6/Skills!H6,1)</f>
        <v/>
      </c>
      <c r="H359">
        <f>1-(1-Skills!J6/100)^Skills!K6</f>
        <v/>
      </c>
      <c r="I359" t="inlineStr">
        <is>
          <t>1</t>
        </is>
      </c>
      <c r="J359">
        <f>((Inputs!$B$6*(1+Inputs!$B$7/100))+(((Inputs!$B$12*(1+Inputs!$B$13/100))-(Inputs!$B$12*(1+Inputs!$B$13/100)))+0.25*(Inputs!$B$14-Inputs!$B$14))*(1+Inputs!$B$7/100))*(F359/100)</f>
        <v/>
      </c>
      <c r="K359">
        <f>J359*(1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360=TRUE,F360,0)/100)*(1+(IF(Skills!A6="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359)</f>
        <v/>
      </c>
      <c r="L359">
        <f>K359*(MIN(Inputs!$B$22+((C378=TRUE)*(F378-Calc!F25)),(Inputs!$B$23+((C383=TRUE)*(F383-Calc!F30))+(IF(ArtifactsInput!$M$15,CHOOSE(ArtifactsInput!$N$15+1,25,30,35,40,45,50)/100*(Inputs!$B$11-Inputs!$B$11),0))))/100+(Inputs!$B$23+((C383=TRUE)*(F383-Calc!F30))+(IF(ArtifactsInput!$M$15,CHOOSE(ArtifactsInput!$N$15+1,25,30,35,40,45,50)/100*(Inputs!$B$11-Inputs!$B$11),0)))/100)/2</f>
        <v/>
      </c>
      <c r="M359">
        <f>L359*(1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9">
        <f>L359*(1-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359*(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9">
        <f>(1-Summary!$B$11)*T359+Summary!$B$11*V359</f>
        <v/>
      </c>
      <c r="P359">
        <f>IF(B397=0,0,O359/B397)</f>
        <v/>
      </c>
      <c r="Q359">
        <f>IFERROR(1/(IF(Inputs!$B$38="pvp",15,MAX(0.1,Skills!D6-IF(Skills!E6=TRUE,Inputs!$B$32,0)))*(1-IF(AND(ArtifactsInput!$M$27,Inputs!$B$4="Chapter Hunt"),CHOOSE(ArtifactsInput!$N$27+1,20,24,28,32,36,40),0)/100)),0)</f>
        <v/>
      </c>
      <c r="R359">
        <f>IF(AND(Inputs!$B$38&lt;&gt;"pvp",Inputs!$B$43&gt;0),IF(MAX(0,Inputs!$B$43-B394)&lt;=0,0,(INT(MAX(0,Inputs!$B$43-B394)/(IF(Inputs!$B$38="pvp",15,MAX(0.1,Skills!D6-IF(Skills!E6=TRUE,Inputs!$B$32,0)))*(1-IF(AND(ArtifactsInput!$M$27,Inputs!$B$4="Chapter Hunt"),CHOOSE(ArtifactsInput!$N$27+1,20,24,28,32,36,40),0)/100)))+1)),0)</f>
        <v/>
      </c>
      <c r="S359">
        <f>IFERROR(O359/N359,0)</f>
        <v/>
      </c>
      <c r="T359">
        <f>IF(C359,(H359*N359*IF(AND(Inputs!$B$38&lt;&gt;"pvp",Inputs!$B$43&gt;0),((Skills!G6*((R359-1)*IF(Skills!H6&gt;0,Skills!I6/Skills!H6,1)+IF(Skills!H6&gt;0,MIN(Skills!I6,MAX(0,MAX(0,Inputs!$B$43-B394)-((R359-1)*(IF(Inputs!$B$38="pvp",15,MAX(0.1,Skills!D6-IF(Skills!E6=TRUE,Inputs!$B$32,0)))*(1-IF(AND(ArtifactsInput!$M$27,Inputs!$B$4="Chapter Hunt"),CHOOSE(ArtifactsInput!$N$27+1,20,24,28,32,36,40),0)/100)))))/Skills!H6,1)))/Inputs!$B$43),G359*Q359)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359*(1-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359*(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359*(1-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359*(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9">
        <f>IF(C359,(H359*N359*IF(AND(Inputs!$B$38&lt;&gt;"pvp",Inputs!$B$43&gt;0),((Skills!G6*((R359-1)*IF(Skills!H6&gt;0,Skills!I6/Skills!H6,1)+IF(Skills!H6&gt;0,MIN(Skills!I6,MAX(0,MAX(0,Inputs!$B$43-B394)-((R359-1)*(IF(Inputs!$B$38="pvp",15,MAX(0.1,Skills!D6-IF(Skills!E6=TRUE,Inputs!$B$32,0)))*(1-IF(AND(ArtifactsInput!$M$27,Inputs!$B$4="Chapter Hunt"),CHOOSE(ArtifactsInput!$N$27+1,20,24,28,32,36,40),0)/100)))))/Skills!H6,1)))/Inputs!$B$43),G359*Q359))*IF(Inputs!$B$38="pvp",1,(1+((Inputs!$B$21+1)+Skills!Q6+(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0">
      <c r="A360">
        <f>Skills!A7</f>
        <v/>
      </c>
      <c r="B360">
        <f>Skills!B7</f>
        <v/>
      </c>
      <c r="C360">
        <f>Inputs!$B$3&gt;=107</f>
        <v/>
      </c>
      <c r="D360">
        <f>IF(Skills!C7=1,60+Inputs!$B$25+Inputs!$B$29,IF(Skills!C7=2,90+Inputs!$B$26+Inputs!$B$29,IF(Skills!C7=3,120+Inputs!$B$27+Inputs!$B$29,MAX(0,(Inputs!$B$3-100)*3)+Inputs!$B$28+Inputs!$B$29)))</f>
        <v/>
      </c>
      <c r="E360">
        <f>INDEX(FactorTable!$B$2:$Y$301, MATCH(ROUND(MIN(300,MAX(1,D360)),0), FactorTable!$A$2:$A$301,0), Skills!M7+1)</f>
        <v/>
      </c>
      <c r="F360">
        <f>IF(Skills!N7=TRUE,(Skills!L7/10)*(E360/1000),Skills!L7/10)+Skills!O7</f>
        <v/>
      </c>
      <c r="G360" t="inlineStr"/>
      <c r="H360" t="inlineStr"/>
      <c r="I360" t="inlineStr">
        <is>
          <t>1</t>
        </is>
      </c>
      <c r="J360" t="inlineStr"/>
      <c r="K360" t="inlineStr"/>
      <c r="L360" t="inlineStr"/>
      <c r="M360" t="inlineStr"/>
      <c r="N360" t="inlineStr"/>
      <c r="O360" t="inlineStr"/>
      <c r="P360" t="inlineStr"/>
      <c r="Q360" t="inlineStr"/>
      <c r="R360" t="inlineStr"/>
      <c r="S360" t="inlineStr"/>
      <c r="T360" t="inlineStr"/>
      <c r="V360" t="inlineStr"/>
    </row>
    <row r="361">
      <c r="A361">
        <f>Skills!A8</f>
        <v/>
      </c>
      <c r="B361">
        <f>Skills!B8</f>
        <v/>
      </c>
      <c r="C361">
        <f>Inputs!$B$3&gt;=69</f>
        <v/>
      </c>
      <c r="D361">
        <f>IF(Skills!C8=1,60+Inputs!$B$25+Inputs!$B$29,IF(Skills!C8=2,90+Inputs!$B$26+Inputs!$B$29,IF(Skills!C8=3,120+Inputs!$B$27+Inputs!$B$29,MAX(0,(Inputs!$B$3-100)*3)+Inputs!$B$28+Inputs!$B$29)))</f>
        <v/>
      </c>
      <c r="E361">
        <f>INDEX(FactorTable!$B$2:$Y$301, MATCH(ROUND(MIN(300,MAX(1,D361)),0), FactorTable!$A$2:$A$301,0), Skills!M8+1)</f>
        <v/>
      </c>
      <c r="F361">
        <f>IF(Skills!N8=TRUE,(Skills!L8/10)*(E361/1000),Skills!L8/10)+Skills!O8</f>
        <v/>
      </c>
      <c r="G361">
        <f>Skills!G8*IF(Skills!H8&gt;0,Skills!I8/Skills!H8,1)</f>
        <v/>
      </c>
      <c r="H361">
        <f>1-(1-Skills!J8/100)^Skills!K8</f>
        <v/>
      </c>
      <c r="I361" t="inlineStr">
        <is>
          <t>1</t>
        </is>
      </c>
      <c r="J361">
        <f>((Inputs!$B$6*(1+Inputs!$B$7/100))+(((Inputs!$B$12*(1+Inputs!$B$13/100))-(Inputs!$B$12*(1+Inputs!$B$13/100)))+0.25*(Inputs!$B$14-Inputs!$B$14))*(1+Inputs!$B$7/100))*(F361/100)</f>
        <v/>
      </c>
      <c r="K361">
        <f>J361*(1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364=TRUE,F364,0)/100)*(1+(IF(Skills!A8="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361)</f>
        <v/>
      </c>
      <c r="L361">
        <f>K361*(MIN(Inputs!$B$22+((C378=TRUE)*(F378-Calc!F25)),(Inputs!$B$23+((C383=TRUE)*(F383-Calc!F30))+(IF(ArtifactsInput!$M$15,CHOOSE(ArtifactsInput!$N$15+1,25,30,35,40,45,50)/100*(Inputs!$B$11-Inputs!$B$11),0))))/100+(Inputs!$B$23+((C383=TRUE)*(F383-Calc!F30))+(IF(ArtifactsInput!$M$15,CHOOSE(ArtifactsInput!$N$15+1,25,30,35,40,45,50)/100*(Inputs!$B$11-Inputs!$B$11),0)))/100)/2</f>
        <v/>
      </c>
      <c r="M361">
        <f>L361*(1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1">
        <f>L361*(1-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1">
        <f>(1-Summary!$B$11)*T361+Summary!$B$11*V361</f>
        <v/>
      </c>
      <c r="P361">
        <f>IF(B397=0,0,O361/B397)</f>
        <v/>
      </c>
      <c r="Q361">
        <f>IFERROR(1/(IF(Inputs!$B$38="pvp",15,MAX(0.1,Skills!D8-IF(Skills!E8=TRUE,Inputs!$B$32,0)))*(1-IF(AND(ArtifactsInput!$M$27,Inputs!$B$4="Chapter Hunt"),CHOOSE(ArtifactsInput!$N$27+1,20,24,28,32,36,40),0)/100)),0)</f>
        <v/>
      </c>
      <c r="R361">
        <f>IF(AND(Inputs!$B$38&lt;&gt;"pvp",Inputs!$B$43&gt;0),IF(MAX(0,Inputs!$B$43-B394)&lt;=0,0,(INT(MAX(0,Inputs!$B$43-B394)/(IF(Inputs!$B$38="pvp",15,MAX(0.1,Skills!D8-IF(Skills!E8=TRUE,Inputs!$B$32,0)))*(1-IF(AND(ArtifactsInput!$M$27,Inputs!$B$4="Chapter Hunt"),CHOOSE(ArtifactsInput!$N$27+1,20,24,28,32,36,40),0)/100)))+1)),0)</f>
        <v/>
      </c>
      <c r="S361">
        <f>IFERROR(O361/N361,0)</f>
        <v/>
      </c>
      <c r="T361">
        <f>IF(C361,(H361*N361*IF(AND(Inputs!$B$38&lt;&gt;"pvp",Inputs!$B$43&gt;0),((Skills!G8*((R361-1)*IF(Skills!H8&gt;0,Skills!I8/Skills!H8,1)+IF(Skills!H8&gt;0,MIN(Skills!I8,MAX(0,MAX(0,Inputs!$B$43-B394)-((R361-1)*(IF(Inputs!$B$38="pvp",15,MAX(0.1,Skills!D8-IF(Skills!E8=TRUE,Inputs!$B$32,0)))*(1-IF(AND(ArtifactsInput!$M$27,Inputs!$B$4="Chapter Hunt"),CHOOSE(ArtifactsInput!$N$27+1,20,24,28,32,36,40),0)/100)))))/Skills!H8,1)))/Inputs!$B$43),G361*Q361)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361*(1-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361*(1-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1">
        <f>IF(C361,(H361*N361*IF(AND(Inputs!$B$38&lt;&gt;"pvp",Inputs!$B$43&gt;0),((Skills!G8*((R361-1)*IF(Skills!H8&gt;0,Skills!I8/Skills!H8,1)+IF(Skills!H8&gt;0,MIN(Skills!I8,MAX(0,MAX(0,Inputs!$B$43-B394)-((R361-1)*(IF(Inputs!$B$38="pvp",15,MAX(0.1,Skills!D8-IF(Skills!E8=TRUE,Inputs!$B$32,0)))*(1-IF(AND(ArtifactsInput!$M$27,Inputs!$B$4="Chapter Hunt"),CHOOSE(ArtifactsInput!$N$27+1,20,24,28,32,36,40),0)/100)))))/Skills!H8,1)))/Inputs!$B$43),G361*Q361))*IF(Inputs!$B$38="pvp",1,(1+((Inputs!$B$21+1)+Skills!Q8+(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2">
      <c r="A362">
        <f>Skills!A9</f>
        <v/>
      </c>
      <c r="B362">
        <f>Skills!B9</f>
        <v/>
      </c>
      <c r="C362">
        <f>Inputs!$B$3&gt;=63</f>
        <v/>
      </c>
      <c r="D362">
        <f>IF(Skills!C9=1,60+Inputs!$B$25+Inputs!$B$29,IF(Skills!C9=2,90+Inputs!$B$26+Inputs!$B$29,IF(Skills!C9=3,120+Inputs!$B$27+Inputs!$B$29,MAX(0,(Inputs!$B$3-100)*3)+Inputs!$B$28+Inputs!$B$29)))</f>
        <v/>
      </c>
      <c r="E362">
        <f>INDEX(FactorTable!$B$2:$Y$301, MATCH(ROUND(MIN(300,MAX(1,D362)),0), FactorTable!$A$2:$A$301,0), Skills!M9+1)</f>
        <v/>
      </c>
      <c r="F362">
        <f>IF(Skills!N9=TRUE,(Skills!L9/10)*(E362/1000),Skills!L9/10)+Skills!O9</f>
        <v/>
      </c>
      <c r="G362">
        <f>Skills!G9*IF(Skills!H9&gt;0,Skills!I9/Skills!H9,1)</f>
        <v/>
      </c>
      <c r="H362">
        <f>1-(1-Skills!J9/100)^Skills!K9</f>
        <v/>
      </c>
      <c r="I362" t="inlineStr">
        <is>
          <t>1</t>
        </is>
      </c>
      <c r="J362">
        <f>((Inputs!$B$6*(1+Inputs!$B$7/100))+(((Inputs!$B$12*(1+Inputs!$B$13/100))-(Inputs!$B$12*(1+Inputs!$B$13/100)))+0.25*(Inputs!$B$14-Inputs!$B$14))*(1+Inputs!$B$7/100))*(F362/100)</f>
        <v/>
      </c>
      <c r="K362">
        <f>J362*(1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364=TRUE,F364,0)/100)*(1+(IF(Skills!A9="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362)</f>
        <v/>
      </c>
      <c r="L362">
        <f>K362*(MIN(Inputs!$B$22+((C378=TRUE)*(F378-Calc!F25)),(Inputs!$B$23+((C383=TRUE)*(F383-Calc!F30))+(IF(ArtifactsInput!$M$15,CHOOSE(ArtifactsInput!$N$15+1,25,30,35,40,45,50)/100*(Inputs!$B$11-Inputs!$B$11),0))))/100+(Inputs!$B$23+((C383=TRUE)*(F383-Calc!F30))+(IF(ArtifactsInput!$M$15,CHOOSE(ArtifactsInput!$N$15+1,25,30,35,40,45,50)/100*(Inputs!$B$11-Inputs!$B$11),0)))/100)/2</f>
        <v/>
      </c>
      <c r="M362">
        <f>L362*(1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2">
        <f>L362*(1-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362*(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2">
        <f>(1-Summary!$B$11)*T362+Summary!$B$11*V362</f>
        <v/>
      </c>
      <c r="P362">
        <f>IF(B397=0,0,O362/B397)</f>
        <v/>
      </c>
      <c r="Q362">
        <f>IFERROR(1/(IF(Inputs!$B$38="pvp",15,MAX(0.1,Skills!D9-IF(Skills!E9=TRUE,Inputs!$B$32,0)))*(1-IF(AND(ArtifactsInput!$M$27,Inputs!$B$4="Chapter Hunt"),CHOOSE(ArtifactsInput!$N$27+1,20,24,28,32,36,40),0)/100)),0)</f>
        <v/>
      </c>
      <c r="R362">
        <f>IF(AND(Inputs!$B$38&lt;&gt;"pvp",Inputs!$B$43&gt;0),IF(MAX(0,Inputs!$B$43-B394)&lt;=0,0,(INT(MAX(0,Inputs!$B$43-B394)/(IF(Inputs!$B$38="pvp",15,MAX(0.1,Skills!D9-IF(Skills!E9=TRUE,Inputs!$B$32,0)))*(1-IF(AND(ArtifactsInput!$M$27,Inputs!$B$4="Chapter Hunt"),CHOOSE(ArtifactsInput!$N$27+1,20,24,28,32,36,40),0)/100)))+1)),0)</f>
        <v/>
      </c>
      <c r="S362">
        <f>IFERROR(O362/N362,0)</f>
        <v/>
      </c>
      <c r="T362">
        <f>IF(C362,(H362*N362*IF(AND(Inputs!$B$38&lt;&gt;"pvp",Inputs!$B$43&gt;0),((Skills!G9*((R362-1)*IF(Skills!H9&gt;0,Skills!I9/Skills!H9,1)+IF(Skills!H9&gt;0,MIN(Skills!I9,MAX(0,MAX(0,Inputs!$B$43-B394)-((R362-1)*(IF(Inputs!$B$38="pvp",15,MAX(0.1,Skills!D9-IF(Skills!E9=TRUE,Inputs!$B$32,0)))*(1-IF(AND(ArtifactsInput!$M$27,Inputs!$B$4="Chapter Hunt"),CHOOSE(ArtifactsInput!$N$27+1,20,24,28,32,36,40),0)/100)))))/Skills!H9,1)))/Inputs!$B$43),G362*Q362)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362*(1-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362*(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362*(1-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362*(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2">
        <f>IF(C362,(H362*N362*IF(AND(Inputs!$B$38&lt;&gt;"pvp",Inputs!$B$43&gt;0),((Skills!G9*((R362-1)*IF(Skills!H9&gt;0,Skills!I9/Skills!H9,1)+IF(Skills!H9&gt;0,MIN(Skills!I9,MAX(0,MAX(0,Inputs!$B$43-B394)-((R362-1)*(IF(Inputs!$B$38="pvp",15,MAX(0.1,Skills!D9-IF(Skills!E9=TRUE,Inputs!$B$32,0)))*(1-IF(AND(ArtifactsInput!$M$27,Inputs!$B$4="Chapter Hunt"),CHOOSE(ArtifactsInput!$N$27+1,20,24,28,32,36,40),0)/100)))))/Skills!H9,1)))/Inputs!$B$43),G362*Q362))*IF(Inputs!$B$38="pvp",1,(1+((Inputs!$B$21+1)+Skills!Q9+(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3">
      <c r="A363">
        <f>Skills!A10</f>
        <v/>
      </c>
      <c r="B363">
        <f>Skills!B10</f>
        <v/>
      </c>
      <c r="C363">
        <f>Inputs!$B$3&gt;=103</f>
        <v/>
      </c>
      <c r="D363">
        <f>IF(Skills!C10=1,60+Inputs!$B$25+Inputs!$B$29,IF(Skills!C10=2,90+Inputs!$B$26+Inputs!$B$29,IF(Skills!C10=3,120+Inputs!$B$27+Inputs!$B$29,MAX(0,(Inputs!$B$3-100)*3)+Inputs!$B$28+Inputs!$B$29)))</f>
        <v/>
      </c>
      <c r="E363">
        <f>INDEX(FactorTable!$B$2:$Y$301, MATCH(ROUND(MIN(300,MAX(1,D363)),0), FactorTable!$A$2:$A$301,0), Skills!M10+1)</f>
        <v/>
      </c>
      <c r="F363">
        <f>IF(Skills!N10=TRUE,(Skills!L10/10)*(E363/1000),Skills!L10/10)+Skills!O10</f>
        <v/>
      </c>
      <c r="G363">
        <f>Skills!G10*IF(Skills!H10&gt;0,Skills!I10/Skills!H10,1)</f>
        <v/>
      </c>
      <c r="H363">
        <f>1-(1-Skills!J10/100)^Skills!K10</f>
        <v/>
      </c>
      <c r="I363" t="inlineStr">
        <is>
          <t>1</t>
        </is>
      </c>
      <c r="J363">
        <f>((Inputs!$B$6*(1+Inputs!$B$7/100))+(((Inputs!$B$12*(1+Inputs!$B$13/100))-(Inputs!$B$12*(1+Inputs!$B$13/100)))+0.25*(Inputs!$B$14-Inputs!$B$14))*(1+Inputs!$B$7/100))*(F363/100)</f>
        <v/>
      </c>
      <c r="K363">
        <f>J363*(1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363)</f>
        <v/>
      </c>
      <c r="L363">
        <f>K363*(MIN(Inputs!$B$22+((C378=TRUE)*(F378-Calc!F25)),(Inputs!$B$23+((C383=TRUE)*(F383-Calc!F30))+(IF(ArtifactsInput!$M$15,CHOOSE(ArtifactsInput!$N$15+1,25,30,35,40,45,50)/100*(Inputs!$B$11-Inputs!$B$11),0))))/100+(Inputs!$B$23+((C383=TRUE)*(F383-Calc!F30))+(IF(ArtifactsInput!$M$15,CHOOSE(ArtifactsInput!$N$15+1,25,30,35,40,45,50)/100*(Inputs!$B$11-Inputs!$B$11),0)))/100)/2</f>
        <v/>
      </c>
      <c r="M363">
        <f>L363*(1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3">
        <f>L363*(1-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363*(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3">
        <f>(1-Summary!$B$11)*T363+Summary!$B$11*V363</f>
        <v/>
      </c>
      <c r="P363">
        <f>IF(B397=0,0,O363/B397)</f>
        <v/>
      </c>
      <c r="Q363">
        <f>IFERROR(1/(IF(Inputs!$B$38="pvp",15,MAX(0.1,Skills!D10-IF(Skills!E10=TRUE,Inputs!$B$32,0)))*(1-IF(AND(ArtifactsInput!$M$27,Inputs!$B$4="Chapter Hunt"),CHOOSE(ArtifactsInput!$N$27+1,20,24,28,32,36,40),0)/100)),0)</f>
        <v/>
      </c>
      <c r="R363">
        <f>IF(AND(Inputs!$B$38&lt;&gt;"pvp",Inputs!$B$43&gt;0),IF(MAX(0,Inputs!$B$43-B394)&lt;=0,0,(INT(MAX(0,Inputs!$B$43-B394)/(IF(Inputs!$B$38="pvp",15,MAX(0.1,Skills!D10-IF(Skills!E10=TRUE,Inputs!$B$32,0)))*(1-IF(AND(ArtifactsInput!$M$27,Inputs!$B$4="Chapter Hunt"),CHOOSE(ArtifactsInput!$N$27+1,20,24,28,32,36,40),0)/100)))+1)),0)</f>
        <v/>
      </c>
      <c r="S363">
        <f>IFERROR(O363/N363,0)</f>
        <v/>
      </c>
      <c r="T363">
        <f>IF(C363,(H363*N363*IF(AND(Inputs!$B$38&lt;&gt;"pvp",Inputs!$B$43&gt;0),((Skills!G10*((R363-1)*IF(Skills!H10&gt;0,Skills!I10/Skills!H10,1)+IF(Skills!H10&gt;0,MIN(Skills!I10,MAX(0,MAX(0,Inputs!$B$43-B394)-((R363-1)*(IF(Inputs!$B$38="pvp",15,MAX(0.1,Skills!D10-IF(Skills!E10=TRUE,Inputs!$B$32,0)))*(1-IF(AND(ArtifactsInput!$M$27,Inputs!$B$4="Chapter Hunt"),CHOOSE(ArtifactsInput!$N$27+1,20,24,28,32,36,40),0)/100)))))/Skills!H10,1)))/Inputs!$B$43),G363*Q363)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363*(1-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363*(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363*(1-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363*(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3">
        <f>IF(C363,(H363*N363*IF(AND(Inputs!$B$38&lt;&gt;"pvp",Inputs!$B$43&gt;0),((Skills!G10*((R363-1)*IF(Skills!H10&gt;0,Skills!I10/Skills!H10,1)+IF(Skills!H10&gt;0,MIN(Skills!I10,MAX(0,MAX(0,Inputs!$B$43-B394)-((R363-1)*(IF(Inputs!$B$38="pvp",15,MAX(0.1,Skills!D10-IF(Skills!E10=TRUE,Inputs!$B$32,0)))*(1-IF(AND(ArtifactsInput!$M$27,Inputs!$B$4="Chapter Hunt"),CHOOSE(ArtifactsInput!$N$27+1,20,24,28,32,36,40),0)/100)))))/Skills!H10,1)))/Inputs!$B$43),G363*Q363))*IF(Inputs!$B$38="pvp",1,(1+((Inputs!$B$21+1)+Skills!Q10+(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4">
      <c r="A364">
        <f>Skills!A11</f>
        <v/>
      </c>
      <c r="B364">
        <f>Skills!B11</f>
        <v/>
      </c>
      <c r="C364">
        <f>Inputs!$B$3&gt;=100</f>
        <v/>
      </c>
      <c r="D364">
        <f>IF(Skills!C11=1,60+Inputs!$B$25+Inputs!$B$29,IF(Skills!C11=2,90+Inputs!$B$26+Inputs!$B$29,IF(Skills!C11=3,120+Inputs!$B$27+Inputs!$B$29,MAX(0,(Inputs!$B$3-100)*3)+Inputs!$B$28+Inputs!$B$29)))</f>
        <v/>
      </c>
      <c r="E364">
        <f>INDEX(FactorTable!$B$2:$Y$301, MATCH(ROUND(MIN(300,MAX(1,D364)),0), FactorTable!$A$2:$A$301,0), Skills!M11+1)</f>
        <v/>
      </c>
      <c r="F364">
        <f>IF(Skills!N11=TRUE,(Skills!L11/10)*(E364/1000),Skills!L11/10)+Skills!O11</f>
        <v/>
      </c>
      <c r="G364" t="inlineStr"/>
      <c r="H364" t="inlineStr"/>
      <c r="I364" t="inlineStr">
        <is>
          <t>1</t>
        </is>
      </c>
      <c r="J364" t="inlineStr"/>
      <c r="K364" t="inlineStr"/>
      <c r="L364" t="inlineStr"/>
      <c r="M364" t="inlineStr"/>
      <c r="N364" t="inlineStr"/>
      <c r="O364" t="inlineStr"/>
      <c r="P364" t="inlineStr"/>
      <c r="Q364" t="inlineStr"/>
      <c r="R364" t="inlineStr"/>
      <c r="S364" t="inlineStr"/>
      <c r="T364" t="inlineStr"/>
      <c r="V364" t="inlineStr"/>
    </row>
    <row r="365">
      <c r="A365">
        <f>Skills!A12</f>
        <v/>
      </c>
      <c r="B365">
        <f>Skills!B12</f>
        <v/>
      </c>
      <c r="C365">
        <f>Inputs!$B$3&gt;=60</f>
        <v/>
      </c>
      <c r="D365">
        <f>IF(Skills!C12=1,60+Inputs!$B$25+Inputs!$B$29,IF(Skills!C12=2,90+Inputs!$B$26+Inputs!$B$29,IF(Skills!C12=3,120+Inputs!$B$27+Inputs!$B$29,MAX(0,(Inputs!$B$3-100)*3)+Inputs!$B$28+Inputs!$B$29)))</f>
        <v/>
      </c>
      <c r="E365">
        <f>INDEX(FactorTable!$B$2:$Y$301, MATCH(ROUND(MIN(300,MAX(1,D365)),0), FactorTable!$A$2:$A$301,0), Skills!M12+1)</f>
        <v/>
      </c>
      <c r="F365">
        <f>IF(Skills!N12=TRUE,(Skills!L12/10)*(E365/1000),Skills!L12/10)+Skills!O12</f>
        <v/>
      </c>
      <c r="G365">
        <f>Skills!G12*IF(Skills!H12&gt;0,Skills!I12/Skills!H12,1)</f>
        <v/>
      </c>
      <c r="H365">
        <f>1-(1-Skills!J12/100)^Skills!K12</f>
        <v/>
      </c>
      <c r="I365" t="inlineStr">
        <is>
          <t>1</t>
        </is>
      </c>
      <c r="J365">
        <f>((Inputs!$B$6*(1+Inputs!$B$7/100))+(((Inputs!$B$12*(1+Inputs!$B$13/100))-(Inputs!$B$12*(1+Inputs!$B$13/100)))+0.25*(Inputs!$B$14-Inputs!$B$14))*(1+Inputs!$B$7/100))*(F365/100)</f>
        <v/>
      </c>
      <c r="K365">
        <f>J365*(1+((Inputs!$B$12*(1+Inputs!$B$13/100))*0.01+Inputs!$B$14*0.0025)/100)*(1+Inputs!$B$15/100)*(1+Inputs!$B$16/100)*(5000/(6000+Inputs!$B$42*(1-(100*(1-(1-(Inputs!$B$19+((C381=TRUE)*(F381-Calc!F28)))/100)*(1-CHOOSE(ArtifactsInput!$N$40+1,5,6,7,8,9,10)/100)^(ArtifactsInput!$M$40-ArtifactsInput!$M$40)))/100)))*(1+(Inputs!$B$24+((C379=TRUE)*(F379-Calc!F26))+((C380=TRUE)*(F380-Calc!F27))+B393)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366=TRUE,F366,0)/100)*(1+(IF(Skills!A12="ARROW_STREAM",Inputs!$B$17+((C377=TRUE)*(F377-Calc!F24))+(((IF(AND(ArtifactsInput!$M$42,((Inputs!$B$9+((C374=TRUE)*(F374-Calc!F21))+B387+(ArtifactsInput!$M$24-ArtifactsInput!$M$24)*CHOOSE(ArtifactsInput!$N$24+1,10,12,14,16,18,20)+IF(ArtifactsInput!$M$10,CHOOSE(ArtifactsInput!$N$10+1,15,18,21,24,27,30)*(IF(Inputs!$B$38="pvp",MIN(15,15)/15,IF(AND(Inputs!$B$38&lt;&gt;"pvp",Inputs!$B$43&gt;0),MIN(15,Inputs!$B$43)/(Inputs!$B$43),0))),0)))&gt;=100),MIN(100,((Inputs!$B$9+((C374=TRUE)*(F374-Calc!F21))+B387+(ArtifactsInput!$M$24-ArtifactsInput!$M$24)*CHOOSE(ArtifactsInput!$N$24+1,10,12,14,16,18,20)+IF(ArtifactsInput!$M$10,CHOOSE(ArtifactsInput!$N$10+1,15,18,21,24,27,30)*(IF(Inputs!$B$38="pvp",MIN(15,15)/15,IF(AND(Inputs!$B$38&lt;&gt;"pvp",Inputs!$B$43&gt;0),MIN(15,Inputs!$B$43)/(Inputs!$B$43),0))),0)))-100),0))*CHOOSE(ArtifactsInput!$N$42+1,0.6,0.72,0.84,0.96,1.08,1.2))),Inputs!$B$18+((C382=TRUE)*(F382-Calc!F29))+(IF(AND(ArtifactsInput!$M$42,((Inputs!$B$9+((C374=TRUE)*(F374-Calc!F21))+B387+(ArtifactsInput!$M$24-ArtifactsInput!$M$24)*CHOOSE(ArtifactsInput!$N$24+1,10,12,14,16,18,20)+IF(ArtifactsInput!$M$10,CHOOSE(ArtifactsInput!$N$10+1,15,18,21,24,27,30)*(IF(Inputs!$B$38="pvp",MIN(15,15)/15,IF(AND(Inputs!$B$38&lt;&gt;"pvp",Inputs!$B$43&gt;0),MIN(15,Inputs!$B$43)/(Inputs!$B$43),0))),0)))&gt;=100),CHOOSE(ArtifactsInput!$N$42+1,40,48,56,64,72,80),0))))/100)*((1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365)</f>
        <v/>
      </c>
      <c r="L365">
        <f>K365*(MIN(Inputs!$B$22+((C378=TRUE)*(F378-Calc!F25)),(Inputs!$B$23+((C383=TRUE)*(F383-Calc!F30))+(IF(ArtifactsInput!$M$15,CHOOSE(ArtifactsInput!$N$15+1,25,30,35,40,45,50)/100*(Inputs!$B$11-Inputs!$B$11),0))))/100+(Inputs!$B$23+((C383=TRUE)*(F383-Calc!F30))+(IF(ArtifactsInput!$M$15,CHOOSE(ArtifactsInput!$N$15+1,25,30,35,40,45,50)/100*(Inputs!$B$11-Inputs!$B$11),0)))/100)/2</f>
        <v/>
      </c>
      <c r="M365">
        <f>L365*(1+(Inputs!$B$10+0+B392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5">
        <f>L365*(1-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365*(MIN((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5">
        <f>(1-Summary!$B$11)*T365+Summary!$B$11*V365</f>
        <v/>
      </c>
      <c r="P365">
        <f>IF(B397=0,0,O365/B397)</f>
        <v/>
      </c>
      <c r="Q365">
        <f>IFERROR(1/(IF(Inputs!$B$38="pvp",15,MAX(0.1,Skills!D12-IF(Skills!E12=TRUE,Inputs!$B$32,0)))*(1-IF(AND(ArtifactsInput!$M$27,Inputs!$B$4="Chapter Hunt"),CHOOSE(ArtifactsInput!$N$27+1,20,24,28,32,36,40),0)/100)),0)</f>
        <v/>
      </c>
      <c r="R365">
        <f>IF(AND(Inputs!$B$38&lt;&gt;"pvp",Inputs!$B$43&gt;0),IF(MAX(0,Inputs!$B$43-B394)&lt;=0,0,(INT(MAX(0,Inputs!$B$43-B394)/(IF(Inputs!$B$38="pvp",15,MAX(0.1,Skills!D12-IF(Skills!E12=TRUE,Inputs!$B$32,0)))*(1-IF(AND(ArtifactsInput!$M$27,Inputs!$B$4="Chapter Hunt"),CHOOSE(ArtifactsInput!$N$27+1,20,24,28,32,36,40),0)/100)))+1)),0)</f>
        <v/>
      </c>
      <c r="S365">
        <f>IFERROR(O365/N365,0)</f>
        <v/>
      </c>
      <c r="T365">
        <f>IF(C365,(H365*N365*IF(AND(Inputs!$B$38&lt;&gt;"pvp",Inputs!$B$43&gt;0),((Skills!G12*((R365-1)*IF(Skills!H12&gt;0,Skills!I12/Skills!H12,1)+IF(Skills!H12&gt;0,MIN(Skills!I12,MAX(0,MAX(0,Inputs!$B$43-B394)-((R365-1)*(IF(Inputs!$B$38="pvp",15,MAX(0.1,Skills!D12-IF(Skills!E12=TRUE,Inputs!$B$32,0)))*(1-IF(AND(ArtifactsInput!$M$27,Inputs!$B$4="Chapter Hunt"),CHOOSE(ArtifactsInput!$N$27+1,20,24,28,32,36,40),0)/100)))))/Skills!H12,1)))/Inputs!$B$43),G365*Q365)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(5000/(6000+Inputs!$B$42*(1-(100*(1-(1-(100*(1-(1-(Inputs!$B$19+((C381=TRUE)*(F381-Calc!F28)))/100)*(1-CHOOSE(ArtifactsInput!$N$40+1,5,6,7,8,9,10)/100)^(ArtifactsInput!$M$40-ArtifactsInput!$M$40)))/100)*(1-IF(ArtifactsInput!$M$40,CHOOSE(ArtifactsInput!$N$40+1,5,6,7,8,9,10),0)/100)^IF(Inputs!$B$38="pvp",1,2)))/100)))/(5000/(6000+Inputs!$B$42*(1-(100*(1-(1-(Inputs!$B$19+((C381=TRUE)*(F381-Calc!F28)))/100)*(1-CHOOSE(ArtifactsInput!$N$40+1,5,6,7,8,9,10)/100)^(ArtifactsInput!$M$40-ArtifactsInput!$M$40)))/100))))*((L365*(1-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365*(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365*(1-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365*(MIN(100,(Inputs!$B$9+((C374=TRUE)*(F374-Calc!F21))+B387+(ArtifactsInput!$M$24-ArtifactsInput!$M$24)*CHOOSE(ArtifactsInput!$N$24+1,10,12,14,16,18,20)+(IF(AND(ArtifactsInput!$M$42,((Inputs!$B$9+((C374=TRUE)*(F374-Calc!F21))+B387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5">
        <f>IF(C365,(H365*N365*IF(AND(Inputs!$B$38&lt;&gt;"pvp",Inputs!$B$43&gt;0),((Skills!G12*((R365-1)*IF(Skills!H12&gt;0,Skills!I12/Skills!H12,1)+IF(Skills!H12&gt;0,MIN(Skills!I12,MAX(0,MAX(0,Inputs!$B$43-B394)-((R365-1)*(IF(Inputs!$B$38="pvp",15,MAX(0.1,Skills!D12-IF(Skills!E12=TRUE,Inputs!$B$32,0)))*(1-IF(AND(ArtifactsInput!$M$27,Inputs!$B$4="Chapter Hunt"),CHOOSE(ArtifactsInput!$N$27+1,20,24,28,32,36,40),0)/100)))))/Skills!H12,1)))/Inputs!$B$43),G365*Q365))*IF(Inputs!$B$38="pvp",1,(1+((Inputs!$B$21+1)+Skills!Q12+(IF(ArtifactsInput!$M$33,CHOOSE(ArtifactsInput!$N$33+1,30,36,42,48,54,60),0))+(IF(AND(ArtifactsInput!$M$35,Inputs!$B$4&lt;&gt;"Chapter Hunt"),CHOOSE(ArtifactsInput!$N$35+1,15,18,21,24,27,30)*(1-EXP(-(0.2*B389)*5)),0)+IF(AND(ArtifactsInput!$M$22,Inputs!$B$4&lt;&gt;"Chapter Hunt"),CHOOSE(ArtifactsInput!$N$22+1,10,12,14,16,18,20)*((0*(((0.15*B389*5))^0/1)+1*(((0.15*B389*5))^1/1)+2*(((0.15*B389*5))^2/2)+3*(((0.15*B389*5))^3/6)+4*(((0.15*B389*5))^4/24)+5*(((0.15*B389*5))^5/120))/((((0.15*B389*5))^0/1)+(((0.15*B389*5))^1/1)+(((0.15*B389*5))^2/2)+(((0.15*B389*5))^3/6)+(((0.15*B389*5))^4/24)+(((0.15*B389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6">
      <c r="A366">
        <f>Skills!A13</f>
        <v/>
      </c>
      <c r="B366">
        <f>Skills!B13</f>
        <v/>
      </c>
      <c r="C366">
        <f>Inputs!$B$3&gt;=110</f>
        <v/>
      </c>
      <c r="D366">
        <f>IF(Skills!C13=1,60+Inputs!$B$25+Inputs!$B$29,IF(Skills!C13=2,90+Inputs!$B$26+Inputs!$B$29,IF(Skills!C13=3,120+Inputs!$B$27+Inputs!$B$29,MAX(0,(Inputs!$B$3-100)*3)+Inputs!$B$28+Inputs!$B$29)))</f>
        <v/>
      </c>
      <c r="E366">
        <f>INDEX(FactorTable!$B$2:$Y$301, MATCH(ROUND(MIN(300,MAX(1,D366)),0), FactorTable!$A$2:$A$301,0), Skills!M13+1)</f>
        <v/>
      </c>
      <c r="F366">
        <f>IF(Skills!N13=TRUE,(Skills!L13/10)*(E366/1000),Skills!L13/10)+Skills!O13</f>
        <v/>
      </c>
      <c r="G366" t="inlineStr"/>
      <c r="H366" t="inlineStr"/>
      <c r="I366" t="inlineStr">
        <is>
          <t>1</t>
        </is>
      </c>
      <c r="J366" t="inlineStr"/>
      <c r="K366" t="inlineStr"/>
      <c r="L366" t="inlineStr"/>
      <c r="M366" t="inlineStr"/>
      <c r="N366" t="inlineStr"/>
      <c r="O366" t="inlineStr"/>
      <c r="P366" t="inlineStr"/>
      <c r="Q366" t="inlineStr"/>
      <c r="R366" t="inlineStr"/>
      <c r="S366" t="inlineStr"/>
      <c r="T366" t="inlineStr"/>
      <c r="V366" t="inlineStr"/>
    </row>
    <row r="367">
      <c r="A367">
        <f>Skills!A14</f>
        <v/>
      </c>
      <c r="B367">
        <f>Skills!B14</f>
        <v/>
      </c>
      <c r="C367">
        <f>Inputs!$B$3&gt;=74</f>
        <v/>
      </c>
      <c r="D367">
        <f>IF(Skills!C14=1,60+Inputs!$B$25+Inputs!$B$29,IF(Skills!C14=2,90+Inputs!$B$26+Inputs!$B$29,IF(Skills!C14=3,120+Inputs!$B$27+Inputs!$B$29,MAX(0,(Inputs!$B$3-100)*3)+Inputs!$B$28+Inputs!$B$29)))</f>
        <v/>
      </c>
      <c r="E367">
        <f>INDEX(FactorTable!$B$2:$Y$301, MATCH(ROUND(MIN(300,MAX(1,D367)),0), FactorTable!$A$2:$A$301,0), Skills!M14+1)</f>
        <v/>
      </c>
      <c r="F367">
        <f>IF(Skills!N14=TRUE,(Skills!L14/10)*(E367/1000),Skills!L14/10)+Skills!O14</f>
        <v/>
      </c>
      <c r="G367">
        <f>Skills!G14*IF(Skills!H14&gt;0,Skills!I14/Skills!H14,1)</f>
        <v/>
      </c>
      <c r="H367">
        <f>1-(1-Skills!J14/100)^Skills!K14</f>
        <v/>
      </c>
      <c r="I367" t="inlineStr">
        <is>
          <t>1</t>
        </is>
      </c>
      <c r="J367" t="inlineStr"/>
      <c r="K367" t="inlineStr"/>
      <c r="L367" t="inlineStr"/>
      <c r="M367" t="inlineStr"/>
      <c r="N367" t="inlineStr"/>
      <c r="O367">
        <f>(1-Summary!$B$11)*T367+Summary!$B$11*V367</f>
        <v/>
      </c>
      <c r="P367">
        <f>IF(B397=0,0,O367/B397)</f>
        <v/>
      </c>
      <c r="Q367" t="n">
        <v>0</v>
      </c>
      <c r="R367" t="n">
        <v>0</v>
      </c>
      <c r="S367">
        <f>IFERROR(O367/N367,0)</f>
        <v/>
      </c>
      <c r="T367" t="n">
        <v>0</v>
      </c>
      <c r="V367" t="n">
        <v>0</v>
      </c>
    </row>
    <row r="368">
      <c r="A368">
        <f>Skills!A15</f>
        <v/>
      </c>
      <c r="B368">
        <f>Skills!B15</f>
        <v/>
      </c>
      <c r="C368">
        <f>Inputs!$B$3&gt;=74</f>
        <v/>
      </c>
      <c r="D368">
        <f>IF(Skills!C15=1,60+Inputs!$B$25+Inputs!$B$29,IF(Skills!C15=2,90+Inputs!$B$26+Inputs!$B$29,IF(Skills!C15=3,120+Inputs!$B$27+Inputs!$B$29,MAX(0,(Inputs!$B$3-100)*3)+Inputs!$B$28+Inputs!$B$29)))</f>
        <v/>
      </c>
      <c r="E368">
        <f>INDEX(FactorTable!$B$2:$Y$301, MATCH(ROUND(MIN(300,MAX(1,D368)),0), FactorTable!$A$2:$A$301,0), Skills!M15+1)</f>
        <v/>
      </c>
      <c r="F368">
        <f>IF(Skills!N15=TRUE,(Skills!L15/10)*(E368/1000),Skills!L15/10)+Skills!O15</f>
        <v/>
      </c>
      <c r="G368">
        <f>Skills!G15*IF(Skills!H15&gt;0,Skills!I15/Skills!H15,1)</f>
        <v/>
      </c>
      <c r="H368">
        <f>1-(1-Skills!J15/100)^Skills!K15</f>
        <v/>
      </c>
      <c r="I368" t="inlineStr">
        <is>
          <t>1</t>
        </is>
      </c>
      <c r="J368" t="inlineStr"/>
      <c r="K368" t="inlineStr"/>
      <c r="L368" t="inlineStr"/>
      <c r="M368" t="inlineStr"/>
      <c r="N368" t="inlineStr"/>
      <c r="O368">
        <f>(1-Summary!$B$11)*T368+Summary!$B$11*V368</f>
        <v/>
      </c>
      <c r="P368">
        <f>IF(B397=0,0,O368/B397)</f>
        <v/>
      </c>
      <c r="Q368" t="n">
        <v>0</v>
      </c>
      <c r="R368" t="n">
        <v>0</v>
      </c>
      <c r="S368">
        <f>IFERROR(O368/N368,0)</f>
        <v/>
      </c>
      <c r="T368" t="n">
        <v>0</v>
      </c>
      <c r="V368" t="n">
        <v>0</v>
      </c>
    </row>
    <row r="369">
      <c r="A369">
        <f>Skills!A16</f>
        <v/>
      </c>
      <c r="B369">
        <f>Skills!B16</f>
        <v/>
      </c>
      <c r="C369">
        <f>Inputs!$B$3&gt;=117</f>
        <v/>
      </c>
      <c r="D369">
        <f>IF(Skills!C16=1,60+Inputs!$B$25+Inputs!$B$29,IF(Skills!C16=2,90+Inputs!$B$26+Inputs!$B$29,IF(Skills!C16=3,120+Inputs!$B$27+Inputs!$B$29,MAX(0,(Inputs!$B$3-100)*3)+Inputs!$B$28+Inputs!$B$29)))</f>
        <v/>
      </c>
      <c r="E369">
        <f>INDEX(FactorTable!$B$2:$Y$301, MATCH(ROUND(MIN(300,MAX(1,D369)),0), FactorTable!$A$2:$A$301,0), Skills!M16+1)</f>
        <v/>
      </c>
      <c r="F369">
        <f>IF(Skills!N16=TRUE,(Skills!L16/10)*(E369/1000),Skills!L16/10)+Skills!O16</f>
        <v/>
      </c>
      <c r="G369">
        <f>Skills!G16*IF(Skills!H16&gt;0,Skills!I16/Skills!H16,1)</f>
        <v/>
      </c>
      <c r="H369">
        <f>1-(1-Skills!J16/100)^Skills!K16</f>
        <v/>
      </c>
      <c r="I369" t="inlineStr">
        <is>
          <t>1</t>
        </is>
      </c>
      <c r="J369" t="inlineStr"/>
      <c r="K369" t="inlineStr"/>
      <c r="L369" t="inlineStr"/>
      <c r="M369" t="inlineStr"/>
      <c r="N369" t="inlineStr"/>
      <c r="O369">
        <f>(1-Summary!$B$11)*T369+Summary!$B$11*V369</f>
        <v/>
      </c>
      <c r="P369">
        <f>IF(B397=0,0,O369/B397)</f>
        <v/>
      </c>
      <c r="Q369">
        <f>IFERROR(1/(IF(Inputs!$B$38="pvp",15,MAX(0.1,Skills!D16-IF(Skills!E16=TRUE,Inputs!$B$32,0)))*(1-IF(AND(ArtifactsInput!$M$27,Inputs!$B$4="Chapter Hunt"),CHOOSE(ArtifactsInput!$N$27+1,20,24,28,32,36,40),0)/100)),0)</f>
        <v/>
      </c>
      <c r="R369">
        <f>IF(AND(Inputs!$B$38&lt;&gt;"pvp",Inputs!$B$43&gt;0),IF(Inputs!$B$43&lt;=0,0,(INT(Inputs!$B$43/(IF(Inputs!$B$38="pvp",15,MAX(0.1,Skills!D16-IF(Skills!E16=TRUE,Inputs!$B$32,0)))*(1-IF(AND(ArtifactsInput!$M$27,Inputs!$B$4="Chapter Hunt"),CHOOSE(ArtifactsInput!$N$27+1,20,24,28,32,36,40),0)/100)))+1)),0)</f>
        <v/>
      </c>
      <c r="S369">
        <f>IFERROR(O369/N369,0)</f>
        <v/>
      </c>
      <c r="T369" t="n">
        <v>0</v>
      </c>
      <c r="V369" t="n">
        <v>0</v>
      </c>
    </row>
    <row r="370">
      <c r="A370">
        <f>Skills!A17</f>
        <v/>
      </c>
      <c r="B370">
        <f>Skills!B17</f>
        <v/>
      </c>
      <c r="C370">
        <f>Inputs!$B$3&gt;=115</f>
        <v/>
      </c>
      <c r="D370">
        <f>IF(Skills!C17=1,60+Inputs!$B$25+Inputs!$B$29,IF(Skills!C17=2,90+Inputs!$B$26+Inputs!$B$29,IF(Skills!C17=3,120+Inputs!$B$27+Inputs!$B$29,MAX(0,(Inputs!$B$3-100)*3)+Inputs!$B$28+Inputs!$B$29)))</f>
        <v/>
      </c>
      <c r="E370">
        <f>INDEX(FactorTable!$B$2:$Y$301, MATCH(ROUND(MIN(300,MAX(1,D370)),0), FactorTable!$A$2:$A$301,0), Skills!M17+1)</f>
        <v/>
      </c>
      <c r="F370">
        <f>IF(Skills!N17=TRUE,(Skills!L17/10)*(E370/1000),Skills!L17/10)+Skills!O17</f>
        <v/>
      </c>
      <c r="G370">
        <f>Skills!G17*IF(Skills!H17&gt;0,Skills!I17/Skills!H17,1)</f>
        <v/>
      </c>
      <c r="H370">
        <f>1-(1-Skills!J17/100)^Skills!K17</f>
        <v/>
      </c>
      <c r="I370" t="inlineStr">
        <is>
          <t>1</t>
        </is>
      </c>
      <c r="J370" t="inlineStr"/>
      <c r="K370" t="inlineStr"/>
      <c r="L370" t="inlineStr"/>
      <c r="M370" t="inlineStr"/>
      <c r="N370" t="inlineStr"/>
      <c r="O370">
        <f>(1-Summary!$B$11)*T370+Summary!$B$11*V370</f>
        <v/>
      </c>
      <c r="P370">
        <f>IF(B397=0,0,O370/B397)</f>
        <v/>
      </c>
      <c r="Q370">
        <f>IFERROR(1/(IF(Inputs!$B$38="pvp",15,MAX(0.1,Skills!D17-IF(Skills!E17=TRUE,Inputs!$B$32,0)))*(1-IF(AND(ArtifactsInput!$M$27,Inputs!$B$4="Chapter Hunt"),CHOOSE(ArtifactsInput!$N$27+1,20,24,28,32,36,40),0)/100)),0)</f>
        <v/>
      </c>
      <c r="R370">
        <f>IF(AND(Inputs!$B$38&lt;&gt;"pvp",Inputs!$B$43&gt;0),IF(Inputs!$B$43&lt;=0,0,(INT(Inputs!$B$43/(IF(Inputs!$B$38="pvp",15,MAX(0.1,Skills!D17-IF(Skills!E17=TRUE,Inputs!$B$32,0)))*(1-IF(AND(ArtifactsInput!$M$27,Inputs!$B$4="Chapter Hunt"),CHOOSE(ArtifactsInput!$N$27+1,20,24,28,32,36,40),0)/100)))+1)),0)</f>
        <v/>
      </c>
      <c r="S370">
        <f>IFERROR(O370/N370,0)</f>
        <v/>
      </c>
      <c r="T370" t="n">
        <v>0</v>
      </c>
      <c r="V370" t="n">
        <v>0</v>
      </c>
    </row>
    <row r="371">
      <c r="A371">
        <f>Skills!A18</f>
        <v/>
      </c>
      <c r="B371">
        <f>Skills!B18</f>
        <v/>
      </c>
      <c r="C371">
        <f>Inputs!$B$3&gt;=66</f>
        <v/>
      </c>
      <c r="D371">
        <f>IF(Skills!C18=1,60+Inputs!$B$25+Inputs!$B$29,IF(Skills!C18=2,90+Inputs!$B$26+Inputs!$B$29,IF(Skills!C18=3,120+Inputs!$B$27+Inputs!$B$29,MAX(0,(Inputs!$B$3-100)*3)+Inputs!$B$28+Inputs!$B$29)))</f>
        <v/>
      </c>
      <c r="E371">
        <f>INDEX(FactorTable!$B$2:$Y$301, MATCH(ROUND(MIN(300,MAX(1,D371)),0), FactorTable!$A$2:$A$301,0), Skills!M18+1)</f>
        <v/>
      </c>
      <c r="F371">
        <f>IF(Skills!N18=TRUE,(Skills!L18/10)*(E371/1000),Skills!L18/10)+Skills!O18</f>
        <v/>
      </c>
      <c r="G371">
        <f>Skills!G18*IF(Skills!H18&gt;0,Skills!I18/Skills!H18,1)</f>
        <v/>
      </c>
      <c r="H371">
        <f>1-(1-Skills!J18/100)^Skills!K18</f>
        <v/>
      </c>
      <c r="I371" t="inlineStr">
        <is>
          <t>1</t>
        </is>
      </c>
      <c r="J371" t="inlineStr"/>
      <c r="K371" t="inlineStr"/>
      <c r="L371" t="inlineStr"/>
      <c r="M371" t="inlineStr"/>
      <c r="N371" t="inlineStr"/>
      <c r="O371">
        <f>(1-Summary!$B$11)*T371+Summary!$B$11*V371</f>
        <v/>
      </c>
      <c r="P371">
        <f>IF(B397=0,0,O371/B397)</f>
        <v/>
      </c>
      <c r="Q371" t="n">
        <v>0</v>
      </c>
      <c r="R371" t="n">
        <v>0</v>
      </c>
      <c r="S371">
        <f>IFERROR(O371/N371,0)</f>
        <v/>
      </c>
      <c r="T371" t="n">
        <v>0</v>
      </c>
      <c r="V371" t="n">
        <v>0</v>
      </c>
    </row>
    <row r="372">
      <c r="A372">
        <f>Skills!A19</f>
        <v/>
      </c>
      <c r="B372">
        <f>Skills!B19</f>
        <v/>
      </c>
      <c r="C372">
        <f>Inputs!$B$3&gt;=72</f>
        <v/>
      </c>
      <c r="D372">
        <f>IF(Skills!C19=1,60+Inputs!$B$25+Inputs!$B$29,IF(Skills!C19=2,90+Inputs!$B$26+Inputs!$B$29,IF(Skills!C19=3,120+Inputs!$B$27+Inputs!$B$29,MAX(0,(Inputs!$B$3-100)*3)+Inputs!$B$28+Inputs!$B$29)))</f>
        <v/>
      </c>
      <c r="E372">
        <f>INDEX(FactorTable!$B$2:$Y$301, MATCH(ROUND(MIN(300,MAX(1,D372)),0), FactorTable!$A$2:$A$301,0), Skills!M19+1)</f>
        <v/>
      </c>
      <c r="F372">
        <f>IF(Skills!N19=TRUE,(Skills!L19/10)*(E372/1000),Skills!L19/10)+Skills!O19</f>
        <v/>
      </c>
      <c r="G372">
        <f>Skills!G19*IF(Skills!H19&gt;0,Skills!I19/Skills!H19,1)</f>
        <v/>
      </c>
      <c r="H372">
        <f>1-(1-Skills!J19/100)^Skills!K19</f>
        <v/>
      </c>
      <c r="I372" t="inlineStr">
        <is>
          <t>1</t>
        </is>
      </c>
      <c r="J372" t="inlineStr"/>
      <c r="K372" t="inlineStr"/>
      <c r="L372" t="inlineStr"/>
      <c r="M372" t="inlineStr"/>
      <c r="N372" t="inlineStr"/>
      <c r="O372">
        <f>(1-Summary!$B$11)*T372+Summary!$B$11*V372</f>
        <v/>
      </c>
      <c r="P372">
        <f>IF(B397=0,0,O372/B397)</f>
        <v/>
      </c>
      <c r="Q372" t="n">
        <v>0</v>
      </c>
      <c r="R372" t="n">
        <v>0</v>
      </c>
      <c r="S372">
        <f>IFERROR(O372/N372,0)</f>
        <v/>
      </c>
      <c r="T372" t="n">
        <v>0</v>
      </c>
      <c r="V372" t="n">
        <v>0</v>
      </c>
    </row>
    <row r="373">
      <c r="A373">
        <f>Skills!A20</f>
        <v/>
      </c>
      <c r="B373">
        <f>Skills!B20</f>
        <v/>
      </c>
      <c r="C373">
        <f>TRUE</f>
        <v/>
      </c>
      <c r="D373">
        <f>IF(Skills!C20=1,60+Inputs!$B$25+Inputs!$B$29,IF(Skills!C20=2,90+Inputs!$B$26+Inputs!$B$29,IF(Skills!C20=3,120+Inputs!$B$27+Inputs!$B$29,MAX(0,(Inputs!$B$3-100)*3)+Inputs!$B$28+Inputs!$B$29)))</f>
        <v/>
      </c>
      <c r="E373">
        <f>INDEX(FactorTable!$B$2:$Y$301, MATCH(ROUND(MIN(300,MAX(1,D373)),0), FactorTable!$A$2:$A$301,0), Skills!M20+1)</f>
        <v/>
      </c>
      <c r="F373">
        <f>IF(Skills!N20=TRUE,(Skills!L20/10)*(E373/1000),Skills!L20/10)+Skills!O20</f>
        <v/>
      </c>
      <c r="G373">
        <f>Skills!G20*IF(Skills!H20&gt;0,Skills!I20/Skills!H20,1)</f>
        <v/>
      </c>
      <c r="H373">
        <f>1-(1-Skills!J20/100)^Skills!K20</f>
        <v/>
      </c>
      <c r="I373" t="inlineStr">
        <is>
          <t>1</t>
        </is>
      </c>
      <c r="J373" t="inlineStr"/>
      <c r="K373" t="inlineStr"/>
      <c r="L373" t="inlineStr"/>
      <c r="M373" t="inlineStr"/>
      <c r="N373" t="inlineStr"/>
      <c r="O373">
        <f>(1-Summary!$B$11)*T373+Summary!$B$11*V373</f>
        <v/>
      </c>
      <c r="P373">
        <f>IF(B397=0,0,O373/B397)</f>
        <v/>
      </c>
      <c r="Q373">
        <f>IFERROR(1/(IF(Inputs!$B$38="pvp",15,MAX(0.1,Skills!D20-IF(Skills!E20=TRUE,Inputs!$B$32,0)))*(1-IF(AND(ArtifactsInput!$M$27,Inputs!$B$4="Chapter Hunt"),CHOOSE(ArtifactsInput!$N$27+1,20,24,28,32,36,40),0)/100)),0)</f>
        <v/>
      </c>
      <c r="R373">
        <f>IF(AND(Inputs!$B$38&lt;&gt;"pvp",Inputs!$B$43&gt;0),IF(Inputs!$B$43&lt;=0,0,(INT(Inputs!$B$43/(IF(Inputs!$B$38="pvp",15,MAX(0.1,Skills!D20-IF(Skills!E20=TRUE,Inputs!$B$32,0)))*(1-IF(AND(ArtifactsInput!$M$27,Inputs!$B$4="Chapter Hunt"),CHOOSE(ArtifactsInput!$N$27+1,20,24,28,32,36,40),0)/100)))+1)),0)</f>
        <v/>
      </c>
      <c r="S373">
        <f>IFERROR(O373/N373,0)</f>
        <v/>
      </c>
      <c r="T373" t="n">
        <v>0</v>
      </c>
      <c r="V373" t="n">
        <v>0</v>
      </c>
    </row>
    <row r="374">
      <c r="A374">
        <f>Skills!A21</f>
        <v/>
      </c>
      <c r="B374">
        <f>Skills!B21</f>
        <v/>
      </c>
      <c r="C374">
        <f>Inputs!$B$3&gt;=15</f>
        <v/>
      </c>
      <c r="D374">
        <f>IF(Skills!C21=1,60+Inputs!$B$25+Inputs!$B$29,IF(Skills!C21=2,90+Inputs!$B$26+Inputs!$B$29,IF(Skills!C21=3,120+Inputs!$B$27+Inputs!$B$29,MAX(0,(Inputs!$B$3-100)*3)+Inputs!$B$28+Inputs!$B$29)))</f>
        <v/>
      </c>
      <c r="E374">
        <f>INDEX(FactorTable!$B$2:$Y$301, MATCH(ROUND(MIN(300,MAX(1,D374)),0), FactorTable!$A$2:$A$301,0), Skills!M21+1)</f>
        <v/>
      </c>
      <c r="F374">
        <f>IF(Skills!N21=TRUE,(Skills!L21/10)*(E374/1000),Skills!L21/10)+Skills!O21</f>
        <v/>
      </c>
      <c r="G374">
        <f>Skills!G21*IF(Skills!H21&gt;0,Skills!I21/Skills!H21,1)</f>
        <v/>
      </c>
      <c r="H374">
        <f>1-(1-Skills!J21/100)^Skills!K21</f>
        <v/>
      </c>
      <c r="I374" t="inlineStr">
        <is>
          <t>1</t>
        </is>
      </c>
      <c r="J374" t="inlineStr"/>
      <c r="K374" t="inlineStr"/>
      <c r="L374" t="inlineStr"/>
      <c r="M374" t="inlineStr"/>
      <c r="N374" t="inlineStr"/>
      <c r="O374">
        <f>(1-Summary!$B$11)*T374+Summary!$B$11*V374</f>
        <v/>
      </c>
      <c r="P374">
        <f>IF(B397=0,0,O374/B397)</f>
        <v/>
      </c>
      <c r="Q374" t="n">
        <v>0</v>
      </c>
      <c r="R374" t="n">
        <v>0</v>
      </c>
      <c r="S374">
        <f>IFERROR(O374/N374,0)</f>
        <v/>
      </c>
      <c r="T374" t="n">
        <v>0</v>
      </c>
      <c r="V374" t="n">
        <v>0</v>
      </c>
    </row>
    <row r="375">
      <c r="A375">
        <f>Skills!A22</f>
        <v/>
      </c>
      <c r="B375">
        <f>Skills!B22</f>
        <v/>
      </c>
      <c r="C375">
        <f>Inputs!$B$3&gt;=10</f>
        <v/>
      </c>
      <c r="D375">
        <f>IF(Skills!C22=1,60+Inputs!$B$25+Inputs!$B$29,IF(Skills!C22=2,90+Inputs!$B$26+Inputs!$B$29,IF(Skills!C22=3,120+Inputs!$B$27+Inputs!$B$29,MAX(0,(Inputs!$B$3-100)*3)+Inputs!$B$28+Inputs!$B$29)))</f>
        <v/>
      </c>
      <c r="E375">
        <f>INDEX(FactorTable!$B$2:$Y$301, MATCH(ROUND(MIN(300,MAX(1,D375)),0), FactorTable!$A$2:$A$301,0), Skills!M22+1)</f>
        <v/>
      </c>
      <c r="F375">
        <f>IF(Skills!N22=TRUE,(Skills!L22/10)*(E375/1000),Skills!L22/10)+Skills!O22</f>
        <v/>
      </c>
      <c r="G375">
        <f>Skills!G22*IF(Skills!H22&gt;0,Skills!I22/Skills!H22,1)</f>
        <v/>
      </c>
      <c r="H375">
        <f>1-(1-Skills!J22/100)^Skills!K22</f>
        <v/>
      </c>
      <c r="I375" t="inlineStr">
        <is>
          <t>1</t>
        </is>
      </c>
      <c r="J375" t="inlineStr"/>
      <c r="K375" t="inlineStr"/>
      <c r="L375" t="inlineStr"/>
      <c r="M375" t="inlineStr"/>
      <c r="N375" t="inlineStr"/>
      <c r="O375">
        <f>(1-Summary!$B$11)*T375+Summary!$B$11*V375</f>
        <v/>
      </c>
      <c r="P375">
        <f>IF(B397=0,0,O375/B397)</f>
        <v/>
      </c>
      <c r="Q375" t="n">
        <v>0</v>
      </c>
      <c r="R375" t="n">
        <v>0</v>
      </c>
      <c r="S375">
        <f>IFERROR(O375/N375,0)</f>
        <v/>
      </c>
      <c r="T375" t="n">
        <v>0</v>
      </c>
      <c r="V375" t="n">
        <v>0</v>
      </c>
    </row>
    <row r="376">
      <c r="A376">
        <f>Skills!A23</f>
        <v/>
      </c>
      <c r="B376">
        <f>Skills!B23</f>
        <v/>
      </c>
      <c r="C376">
        <f>Inputs!$B$3&gt;=33</f>
        <v/>
      </c>
      <c r="D376">
        <f>IF(Skills!C23=1,60+Inputs!$B$25+Inputs!$B$29,IF(Skills!C23=2,90+Inputs!$B$26+Inputs!$B$29,IF(Skills!C23=3,120+Inputs!$B$27+Inputs!$B$29,MAX(0,(Inputs!$B$3-100)*3)+Inputs!$B$28+Inputs!$B$29)))</f>
        <v/>
      </c>
      <c r="E376">
        <f>INDEX(FactorTable!$B$2:$Y$301, MATCH(ROUND(MIN(300,MAX(1,D376)),0), FactorTable!$A$2:$A$301,0), Skills!M23+1)</f>
        <v/>
      </c>
      <c r="F376">
        <f>IF(Skills!N23=TRUE,(Skills!L23/10)*(E376/1000),Skills!L23/10)+Skills!O23</f>
        <v/>
      </c>
      <c r="G376">
        <f>Skills!G23*IF(Skills!H23&gt;0,Skills!I23/Skills!H23,1)</f>
        <v/>
      </c>
      <c r="H376">
        <f>1-(1-Skills!J23/100)^Skills!K23</f>
        <v/>
      </c>
      <c r="I376" t="inlineStr">
        <is>
          <t>1</t>
        </is>
      </c>
      <c r="J376" t="inlineStr"/>
      <c r="K376" t="inlineStr"/>
      <c r="L376" t="inlineStr"/>
      <c r="M376" t="inlineStr"/>
      <c r="N376" t="inlineStr"/>
      <c r="O376">
        <f>(1-Summary!$B$11)*T376+Summary!$B$11*V376</f>
        <v/>
      </c>
      <c r="P376">
        <f>IF(B397=0,0,O376/B397)</f>
        <v/>
      </c>
      <c r="Q376" t="n">
        <v>0</v>
      </c>
      <c r="R376" t="n">
        <v>0</v>
      </c>
      <c r="S376">
        <f>IFERROR(O376/N376,0)</f>
        <v/>
      </c>
      <c r="T376" t="n">
        <v>0</v>
      </c>
      <c r="V376" t="n">
        <v>0</v>
      </c>
    </row>
    <row r="377">
      <c r="A377">
        <f>Skills!A24</f>
        <v/>
      </c>
      <c r="B377">
        <f>Skills!B24</f>
        <v/>
      </c>
      <c r="C377">
        <f>Inputs!$B$3&gt;=38</f>
        <v/>
      </c>
      <c r="D377">
        <f>IF(Skills!C24=1,60+Inputs!$B$25+Inputs!$B$29,IF(Skills!C24=2,90+Inputs!$B$26+Inputs!$B$29,IF(Skills!C24=3,120+Inputs!$B$27+Inputs!$B$29,MAX(0,(Inputs!$B$3-100)*3)+Inputs!$B$28+Inputs!$B$29)))</f>
        <v/>
      </c>
      <c r="E377">
        <f>INDEX(FactorTable!$B$2:$Y$301, MATCH(ROUND(MIN(300,MAX(1,D377)),0), FactorTable!$A$2:$A$301,0), Skills!M24+1)</f>
        <v/>
      </c>
      <c r="F377">
        <f>IF(Skills!N24=TRUE,(Skills!L24/10)*(E377/1000),Skills!L24/10)+Skills!O24</f>
        <v/>
      </c>
      <c r="G377">
        <f>Skills!G24*IF(Skills!H24&gt;0,Skills!I24/Skills!H24,1)</f>
        <v/>
      </c>
      <c r="H377">
        <f>1-(1-Skills!J24/100)^Skills!K24</f>
        <v/>
      </c>
      <c r="I377" t="inlineStr">
        <is>
          <t>1</t>
        </is>
      </c>
      <c r="J377" t="inlineStr"/>
      <c r="K377" t="inlineStr"/>
      <c r="L377" t="inlineStr"/>
      <c r="M377" t="inlineStr"/>
      <c r="N377" t="inlineStr"/>
      <c r="O377">
        <f>(1-Summary!$B$11)*T377+Summary!$B$11*V377</f>
        <v/>
      </c>
      <c r="P377">
        <f>IF(B397=0,0,O377/B397)</f>
        <v/>
      </c>
      <c r="Q377" t="n">
        <v>0</v>
      </c>
      <c r="R377" t="n">
        <v>0</v>
      </c>
      <c r="S377">
        <f>IFERROR(O377/N377,0)</f>
        <v/>
      </c>
      <c r="T377" t="n">
        <v>0</v>
      </c>
      <c r="V377" t="n">
        <v>0</v>
      </c>
    </row>
    <row r="378">
      <c r="A378">
        <f>Skills!A25</f>
        <v/>
      </c>
      <c r="B378">
        <f>Skills!B25</f>
        <v/>
      </c>
      <c r="C378">
        <f>Inputs!$B$3&gt;=43</f>
        <v/>
      </c>
      <c r="D378">
        <f>IF(Skills!C25=1,60+Inputs!$B$25+Inputs!$B$29,IF(Skills!C25=2,90+Inputs!$B$26+Inputs!$B$29,IF(Skills!C25=3,120+Inputs!$B$27+Inputs!$B$29,MAX(0,(Inputs!$B$3-100)*3)+Inputs!$B$28+Inputs!$B$29)))</f>
        <v/>
      </c>
      <c r="E378">
        <f>INDEX(FactorTable!$B$2:$Y$301, MATCH(ROUND(MIN(300,MAX(1,D378)),0), FactorTable!$A$2:$A$301,0), Skills!M25+1)</f>
        <v/>
      </c>
      <c r="F378">
        <f>IF(Skills!N25=TRUE,(Skills!L25/10)*(E378/1000),Skills!L25/10)+Skills!O25</f>
        <v/>
      </c>
      <c r="G378">
        <f>Skills!G25*IF(Skills!H25&gt;0,Skills!I25/Skills!H25,1)</f>
        <v/>
      </c>
      <c r="H378">
        <f>1-(1-Skills!J25/100)^Skills!K25</f>
        <v/>
      </c>
      <c r="I378" t="inlineStr">
        <is>
          <t>1</t>
        </is>
      </c>
      <c r="J378" t="inlineStr"/>
      <c r="K378" t="inlineStr"/>
      <c r="L378" t="inlineStr"/>
      <c r="M378" t="inlineStr"/>
      <c r="N378" t="inlineStr"/>
      <c r="O378">
        <f>(1-Summary!$B$11)*T378+Summary!$B$11*V378</f>
        <v/>
      </c>
      <c r="P378">
        <f>IF(B397=0,0,O378/B397)</f>
        <v/>
      </c>
      <c r="Q378" t="n">
        <v>0</v>
      </c>
      <c r="R378" t="n">
        <v>0</v>
      </c>
      <c r="S378">
        <f>IFERROR(O378/N378,0)</f>
        <v/>
      </c>
      <c r="T378" t="n">
        <v>0</v>
      </c>
      <c r="V378" t="n">
        <v>0</v>
      </c>
    </row>
    <row r="379">
      <c r="A379">
        <f>Skills!A26</f>
        <v/>
      </c>
      <c r="B379">
        <f>Skills!B26</f>
        <v/>
      </c>
      <c r="C379">
        <f>Inputs!$B$3&gt;=75</f>
        <v/>
      </c>
      <c r="D379">
        <f>IF(Skills!C26=1,60+Inputs!$B$25+Inputs!$B$29,IF(Skills!C26=2,90+Inputs!$B$26+Inputs!$B$29,IF(Skills!C26=3,120+Inputs!$B$27+Inputs!$B$29,MAX(0,(Inputs!$B$3-100)*3)+Inputs!$B$28+Inputs!$B$29)))</f>
        <v/>
      </c>
      <c r="E379">
        <f>INDEX(FactorTable!$B$2:$Y$301, MATCH(ROUND(MIN(300,MAX(1,D379)),0), FactorTable!$A$2:$A$301,0), Skills!M26+1)</f>
        <v/>
      </c>
      <c r="F379">
        <f>IF(Skills!N26=TRUE,(Skills!L26/10)*(E379/1000),Skills!L26/10)+Skills!O26</f>
        <v/>
      </c>
      <c r="G379">
        <f>Skills!G26*IF(Skills!H26&gt;0,Skills!I26/Skills!H26,1)</f>
        <v/>
      </c>
      <c r="H379">
        <f>1-(1-Skills!J26/100)^Skills!K26</f>
        <v/>
      </c>
      <c r="I379" t="inlineStr">
        <is>
          <t>1</t>
        </is>
      </c>
      <c r="J379" t="inlineStr"/>
      <c r="K379" t="inlineStr"/>
      <c r="L379" t="inlineStr"/>
      <c r="M379" t="inlineStr"/>
      <c r="N379" t="inlineStr"/>
      <c r="O379">
        <f>(1-Summary!$B$11)*T379+Summary!$B$11*V379</f>
        <v/>
      </c>
      <c r="P379">
        <f>IF(B397=0,0,O379/B397)</f>
        <v/>
      </c>
      <c r="Q379" t="n">
        <v>0</v>
      </c>
      <c r="R379" t="n">
        <v>0</v>
      </c>
      <c r="S379">
        <f>IFERROR(O379/N379,0)</f>
        <v/>
      </c>
      <c r="T379" t="n">
        <v>0</v>
      </c>
      <c r="V379" t="n">
        <v>0</v>
      </c>
    </row>
    <row r="380">
      <c r="A380">
        <f>Skills!A27</f>
        <v/>
      </c>
      <c r="B380">
        <f>Skills!B27</f>
        <v/>
      </c>
      <c r="C380">
        <f>Inputs!$B$3&gt;=125</f>
        <v/>
      </c>
      <c r="D380">
        <f>IF(Skills!C27=1,60+Inputs!$B$25+Inputs!$B$29,IF(Skills!C27=2,90+Inputs!$B$26+Inputs!$B$29,IF(Skills!C27=3,120+Inputs!$B$27+Inputs!$B$29,MAX(0,(Inputs!$B$3-100)*3)+Inputs!$B$28+Inputs!$B$29)))</f>
        <v/>
      </c>
      <c r="E380">
        <f>INDEX(FactorTable!$B$2:$Y$301, MATCH(ROUND(MIN(300,MAX(1,D380)),0), FactorTable!$A$2:$A$301,0), Skills!M27+1)</f>
        <v/>
      </c>
      <c r="F380">
        <f>IF(Skills!N27=TRUE,(Skills!L27/10)*(E380/1000),Skills!L27/10)+Skills!O27</f>
        <v/>
      </c>
      <c r="G380">
        <f>Skills!G27*IF(Skills!H27&gt;0,Skills!I27/Skills!H27,1)</f>
        <v/>
      </c>
      <c r="H380">
        <f>1-(1-Skills!J27/100)^Skills!K27</f>
        <v/>
      </c>
      <c r="I380" t="inlineStr">
        <is>
          <t>1</t>
        </is>
      </c>
      <c r="J380" t="inlineStr"/>
      <c r="K380" t="inlineStr"/>
      <c r="L380" t="inlineStr"/>
      <c r="M380" t="inlineStr"/>
      <c r="N380" t="inlineStr"/>
      <c r="O380">
        <f>(1-Summary!$B$11)*T380+Summary!$B$11*V380</f>
        <v/>
      </c>
      <c r="P380">
        <f>IF(B397=0,0,O380/B397)</f>
        <v/>
      </c>
      <c r="Q380" t="n">
        <v>0</v>
      </c>
      <c r="R380" t="n">
        <v>0</v>
      </c>
      <c r="S380">
        <f>IFERROR(O380/N380,0)</f>
        <v/>
      </c>
      <c r="T380" t="n">
        <v>0</v>
      </c>
      <c r="V380" t="n">
        <v>0</v>
      </c>
    </row>
    <row r="381">
      <c r="A381">
        <f>Skills!A28</f>
        <v/>
      </c>
      <c r="B381">
        <f>Skills!B28</f>
        <v/>
      </c>
      <c r="C381">
        <f>Inputs!$B$3&gt;=125</f>
        <v/>
      </c>
      <c r="D381">
        <f>IF(Skills!C28=1,60+Inputs!$B$25+Inputs!$B$29,IF(Skills!C28=2,90+Inputs!$B$26+Inputs!$B$29,IF(Skills!C28=3,120+Inputs!$B$27+Inputs!$B$29,MAX(0,(Inputs!$B$3-100)*3)+Inputs!$B$28+Inputs!$B$29)))</f>
        <v/>
      </c>
      <c r="E381">
        <f>INDEX(FactorTable!$B$2:$Y$301, MATCH(ROUND(MIN(300,MAX(1,D381)),0), FactorTable!$A$2:$A$301,0), Skills!M28+1)</f>
        <v/>
      </c>
      <c r="F381">
        <f>IF(Skills!N28=TRUE,(Skills!L28/10)*(E381/1000),Skills!L28/10)+Skills!O28</f>
        <v/>
      </c>
      <c r="G381">
        <f>Skills!G28*IF(Skills!H28&gt;0,Skills!I28/Skills!H28,1)</f>
        <v/>
      </c>
      <c r="H381">
        <f>1-(1-Skills!J28/100)^Skills!K28</f>
        <v/>
      </c>
      <c r="I381" t="inlineStr">
        <is>
          <t>1</t>
        </is>
      </c>
      <c r="J381" t="inlineStr"/>
      <c r="K381" t="inlineStr"/>
      <c r="L381" t="inlineStr"/>
      <c r="M381" t="inlineStr"/>
      <c r="N381" t="inlineStr"/>
      <c r="O381">
        <f>(1-Summary!$B$11)*T381+Summary!$B$11*V381</f>
        <v/>
      </c>
      <c r="P381">
        <f>IF(B397=0,0,O381/B397)</f>
        <v/>
      </c>
      <c r="Q381" t="n">
        <v>0</v>
      </c>
      <c r="R381" t="n">
        <v>0</v>
      </c>
      <c r="S381">
        <f>IFERROR(O381/N381,0)</f>
        <v/>
      </c>
      <c r="T381" t="n">
        <v>0</v>
      </c>
      <c r="V381" t="n">
        <v>0</v>
      </c>
    </row>
    <row r="382">
      <c r="A382">
        <f>Skills!A29</f>
        <v/>
      </c>
      <c r="B382">
        <f>Skills!B29</f>
        <v/>
      </c>
      <c r="C382">
        <f>Inputs!$B$3&gt;=120</f>
        <v/>
      </c>
      <c r="D382">
        <f>IF(Skills!C29=1,60+Inputs!$B$25+Inputs!$B$29,IF(Skills!C29=2,90+Inputs!$B$26+Inputs!$B$29,IF(Skills!C29=3,120+Inputs!$B$27+Inputs!$B$29,MAX(0,(Inputs!$B$3-100)*3)+Inputs!$B$28+Inputs!$B$29)))</f>
        <v/>
      </c>
      <c r="E382">
        <f>INDEX(FactorTable!$B$2:$Y$301, MATCH(ROUND(MIN(300,MAX(1,D382)),0), FactorTable!$A$2:$A$301,0), Skills!M29+1)</f>
        <v/>
      </c>
      <c r="F382">
        <f>IF(Skills!N29=TRUE,(Skills!L29/10)*(E382/1000),Skills!L29/10)+Skills!O29</f>
        <v/>
      </c>
      <c r="G382">
        <f>Skills!G29*IF(Skills!H29&gt;0,Skills!I29/Skills!H29,1)</f>
        <v/>
      </c>
      <c r="H382">
        <f>1-(1-Skills!J29/100)^Skills!K29</f>
        <v/>
      </c>
      <c r="I382" t="inlineStr">
        <is>
          <t>1</t>
        </is>
      </c>
      <c r="J382" t="inlineStr"/>
      <c r="K382" t="inlineStr"/>
      <c r="L382" t="inlineStr"/>
      <c r="M382" t="inlineStr"/>
      <c r="N382" t="inlineStr"/>
      <c r="O382">
        <f>(1-Summary!$B$11)*T382+Summary!$B$11*V382</f>
        <v/>
      </c>
      <c r="P382">
        <f>IF(B397=0,0,O382/B397)</f>
        <v/>
      </c>
      <c r="Q382" t="n">
        <v>0</v>
      </c>
      <c r="R382" t="n">
        <v>0</v>
      </c>
      <c r="S382">
        <f>IFERROR(O382/N382,0)</f>
        <v/>
      </c>
      <c r="T382" t="n">
        <v>0</v>
      </c>
      <c r="V382" t="n">
        <v>0</v>
      </c>
    </row>
    <row r="383">
      <c r="A383">
        <f>Skills!A30</f>
        <v/>
      </c>
      <c r="B383">
        <f>Skills!B30</f>
        <v/>
      </c>
      <c r="C383">
        <f>Inputs!$B$3&gt;=120</f>
        <v/>
      </c>
      <c r="D383">
        <f>IF(Skills!C30=1,60+Inputs!$B$25+Inputs!$B$29,IF(Skills!C30=2,90+Inputs!$B$26+Inputs!$B$29,IF(Skills!C30=3,120+Inputs!$B$27+Inputs!$B$29,MAX(0,(Inputs!$B$3-100)*3)+Inputs!$B$28+Inputs!$B$29)))</f>
        <v/>
      </c>
      <c r="E383">
        <f>INDEX(FactorTable!$B$2:$Y$301, MATCH(ROUND(MIN(300,MAX(1,D383)),0), FactorTable!$A$2:$A$301,0), Skills!M30+1)</f>
        <v/>
      </c>
      <c r="F383">
        <f>IF(Skills!N30=TRUE,(Skills!L30/10)*(E383/1000),Skills!L30/10)+Skills!O30</f>
        <v/>
      </c>
      <c r="G383">
        <f>Skills!G30*IF(Skills!H30&gt;0,Skills!I30/Skills!H30,1)</f>
        <v/>
      </c>
      <c r="H383">
        <f>1-(1-Skills!J30/100)^Skills!K30</f>
        <v/>
      </c>
      <c r="I383" t="inlineStr">
        <is>
          <t>1</t>
        </is>
      </c>
      <c r="J383" t="inlineStr"/>
      <c r="K383" t="inlineStr"/>
      <c r="L383" t="inlineStr"/>
      <c r="M383" t="inlineStr"/>
      <c r="N383" t="inlineStr"/>
      <c r="O383">
        <f>(1-Summary!$B$11)*T383+Summary!$B$11*V383</f>
        <v/>
      </c>
      <c r="P383">
        <f>IF(B397=0,0,O383/B397)</f>
        <v/>
      </c>
      <c r="Q383" t="n">
        <v>0</v>
      </c>
      <c r="R383" t="n">
        <v>0</v>
      </c>
      <c r="S383">
        <f>IFERROR(O383/N383,0)</f>
        <v/>
      </c>
      <c r="T383" t="n">
        <v>0</v>
      </c>
      <c r="V383" t="n">
        <v>0</v>
      </c>
    </row>
    <row r="384">
      <c r="A384">
        <f>Skills!A31</f>
        <v/>
      </c>
      <c r="B384">
        <f>Skills!B31</f>
        <v/>
      </c>
      <c r="C384">
        <f>Inputs!$B$3&gt;=45</f>
        <v/>
      </c>
      <c r="D384">
        <f>IF(Skills!C31=1,60+Inputs!$B$25+Inputs!$B$29,IF(Skills!C31=2,90+Inputs!$B$26+Inputs!$B$29,IF(Skills!C31=3,120+Inputs!$B$27+Inputs!$B$29,MAX(0,(Inputs!$B$3-100)*3)+Inputs!$B$28+Inputs!$B$29)))</f>
        <v/>
      </c>
      <c r="E384">
        <f>INDEX(FactorTable!$B$2:$Y$301, MATCH(ROUND(MIN(300,MAX(1,D384)),0), FactorTable!$A$2:$A$301,0), Skills!M31+1)</f>
        <v/>
      </c>
      <c r="F384">
        <f>IF(Skills!N31=TRUE,(Skills!L31/10)*(E384/1000),Skills!L31/10)+Skills!O31</f>
        <v/>
      </c>
      <c r="G384">
        <f>Skills!G31*IF(Skills!H31&gt;0,Skills!I31/Skills!H31,1)</f>
        <v/>
      </c>
      <c r="H384">
        <f>1-(1-Skills!J31/100)^Skills!K31</f>
        <v/>
      </c>
      <c r="I384" t="inlineStr">
        <is>
          <t>1</t>
        </is>
      </c>
      <c r="J384" t="inlineStr"/>
      <c r="K384" t="inlineStr"/>
      <c r="L384" t="inlineStr"/>
      <c r="M384" t="inlineStr"/>
      <c r="N384" t="inlineStr"/>
      <c r="O384">
        <f>(1-Summary!$B$11)*T384+Summary!$B$11*V384</f>
        <v/>
      </c>
      <c r="P384">
        <f>IF(B397=0,0,O384/B397)</f>
        <v/>
      </c>
      <c r="Q384" t="n">
        <v>0</v>
      </c>
      <c r="R384" t="n">
        <v>0</v>
      </c>
      <c r="S384">
        <f>IFERROR(O384/N384,0)</f>
        <v/>
      </c>
      <c r="T384" t="n">
        <v>0</v>
      </c>
      <c r="V384" t="n">
        <v>0</v>
      </c>
    </row>
    <row r="386">
      <c r="A386" t="inlineStr">
        <is>
          <t>Attack% Bucket Multiplier</t>
        </is>
      </c>
      <c r="B386">
        <f>(1+(((C367=TRUE)*F367)+((C368=TRUE)*IF(Inputs!$B$38="pvp",F368,(1-Summary!$B$11)*(F368)+Summary!$B$11*(0)))+((C369=TRUE)*F369*IF(AND(Inputs!$B$38&lt;&gt;"pvp",Inputs!$B$43&gt;0),(((R369-1)*(Skills!T16*(1+Inputs!$B$34/100))+MIN((Skills!T16*(1+Inputs!$B$34/100)),MAX(0,Inputs!$B$43-((R369-1)*Skills!D16))))/Inputs!$B$43),IF(Inputs!$B$38="pvp",MIN((Skills!T16*(1+Inputs!$B$34/100)),15)/15,(Skills!T16*(1+Inputs!$B$34/100))/Skills!D16)))+((C384=TRUE)*(F384-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87">
      <c r="A387" t="inlineStr">
        <is>
          <t>Global Crit Rate Bonus %</t>
        </is>
      </c>
      <c r="B387">
        <f>(C370=TRUE)*20*IF(AND(Inputs!$B$38&lt;&gt;"pvp",Inputs!$B$43&gt;0),(((R370-1)*(Skills!T17*(1+Inputs!$B$34/100))+MIN((Skills!T17*(1+Inputs!$B$34/100)),MAX(0,Inputs!$B$43-((R370-1)*Skills!D17))))/Inputs!$B$43),IF(Inputs!$B$38="pvp",MIN((Skills!T17*(1+Inputs!$B$34/100)),15)/15,(Skills!T17*(1+Inputs!$B$34/100))/Skills!D17))</f>
        <v/>
      </c>
    </row>
    <row r="388">
      <c r="A388" t="inlineStr">
        <is>
          <t>Attack Speed Buff Bonus %</t>
        </is>
      </c>
      <c r="B388">
        <f>((C373=TRUE)*F373*IF(AND(Inputs!$B$38&lt;&gt;"pvp",Inputs!$B$43&gt;0),(((R373-1)*(Skills!T20*(1+Inputs!$B$34/100))+MIN((Skills!T20*(1+Inputs!$B$34/100)),MAX(0,Inputs!$B$43-((R373-1)*Skills!D20))))/Inputs!$B$43),IF(Inputs!$B$38="pvp",MIN((Skills!T20*(1+Inputs!$B$34/100)),15)/15,(Skills!T20*(1+Inputs!$B$34/100))/Skills!D20)))</f>
        <v/>
      </c>
    </row>
    <row r="389">
      <c r="A389" t="inlineStr">
        <is>
          <t>Actions Per Second</t>
        </is>
      </c>
      <c r="B389">
        <f>1+MIN(150,150*(1-(1-(Inputs!$B$11+((C375=TRUE)*(F375-Calc!F22))+((C376=TRUE)*(F376-Calc!F23)))/150)*(1-B388/150)))/100</f>
        <v/>
      </c>
    </row>
    <row r="390">
      <c r="A390" t="inlineStr">
        <is>
          <t>Skill + Buff Cast Rate</t>
        </is>
      </c>
      <c r="B390">
        <f>IF(AND(Inputs!$B$38&lt;&gt;"pvp",Inputs!$B$43&gt;0),SUMPRODUCT((Skills!E2:E31=TRUE)*(C355:C384=TRUE)*R355:R384*Skills!F2:F31)/Inputs!$B$43,SUMPRODUCT((Skills!E2:E31=TRUE)*(C355:C384=TRUE)*Q355:Q384*Skills!F2:F31))</f>
        <v/>
      </c>
    </row>
    <row r="391">
      <c r="A391" t="inlineStr">
        <is>
          <t>Arrow Stream Casts Per Second</t>
        </is>
      </c>
      <c r="B391">
        <f>MAX(0,B389-B390)</f>
        <v/>
      </c>
    </row>
    <row r="392">
      <c r="A392" t="inlineStr">
        <is>
          <t>Global Critical Damage Bonus % (Sharp Eyes + Concentration)</t>
        </is>
      </c>
      <c r="B392">
        <f>(C370=TRUE)*F370*IF(AND(Inputs!$B$38&lt;&gt;"pvp",Inputs!$B$43&gt;0),(((R370-1)*(Skills!T17*(1+Inputs!$B$34/100))+MIN((Skills!T17*(1+Inputs!$B$34/100)),MAX(0,Inputs!$B$43-((R370-1)*Skills!D17))))/Inputs!$B$43),IF(Inputs!$B$38="pvp",MIN((Skills!T17*(1+Inputs!$B$34/100)),15)/15,(Skills!T17*(1+Inputs!$B$34/100))/Skills!D17))+(C371=TRUE)*30</f>
        <v/>
      </c>
    </row>
    <row r="393">
      <c r="A393" t="inlineStr">
        <is>
          <t>Global Final Damage Bonus % (Mortal Blow)</t>
        </is>
      </c>
      <c r="B393">
        <f>(C372=TRUE)*F372</f>
        <v/>
      </c>
    </row>
    <row r="394">
      <c r="A394" t="inlineStr">
        <is>
          <t>Buff-Casting Startup Delay (s, fixed-duration only)</t>
        </is>
      </c>
      <c r="B394">
        <f>IF(AND(Inputs!$B$38&lt;&gt;"pvp",Inputs!$B$43&gt;0),SUMPRODUCT((Skills!T2:T31&gt;0)*(Skills!E2:E31=TRUE)*(C355:C384=TRUE))/B389,0)</f>
        <v/>
      </c>
    </row>
    <row r="395">
      <c r="A395" t="inlineStr">
        <is>
          <t>Boss-Only Total DPS (this block's swept value)</t>
        </is>
      </c>
      <c r="B395">
        <f>SUM(T355:T384)</f>
        <v/>
      </c>
    </row>
    <row r="396">
      <c r="A396" t="inlineStr">
        <is>
          <t>Normal-Only Total DPS (this block's swept value)</t>
        </is>
      </c>
      <c r="B396">
        <f>SUM(V355:V384)</f>
        <v/>
      </c>
    </row>
    <row r="397">
      <c r="A397" s="6" t="inlineStr">
        <is>
          <t>TOTAL DPS</t>
        </is>
      </c>
      <c r="B397" s="6">
        <f>SUM(O355:O384)</f>
        <v/>
      </c>
    </row>
    <row r="400">
      <c r="A400" s="6" t="inlineStr">
        <is>
          <t>Stat: FINAL_DAMAGE % (multiplicative source)</t>
        </is>
      </c>
    </row>
    <row r="401">
      <c r="A401" s="5" t="inlineStr">
        <is>
          <t>Key</t>
        </is>
      </c>
      <c r="B401" s="5" t="inlineStr">
        <is>
          <t>Name</t>
        </is>
      </c>
      <c r="C401" s="5" t="inlineStr">
        <is>
          <t>Unlocked</t>
        </is>
      </c>
      <c r="D401" s="5" t="inlineStr">
        <is>
          <t>InputLevel</t>
        </is>
      </c>
      <c r="E401" s="5" t="inlineStr">
        <is>
          <t>Factor</t>
        </is>
      </c>
      <c r="F401" s="5" t="inlineStr">
        <is>
          <t>CoefficientPercent</t>
        </is>
      </c>
      <c r="G401" s="5" t="inlineStr">
        <is>
          <t>EffectiveHits</t>
        </is>
      </c>
      <c r="H401" s="5" t="inlineStr">
        <is>
          <t>ProcProbability</t>
        </is>
      </c>
      <c r="I401" s="5" t="inlineStr">
        <is>
          <t>MapleHeroMultiplier</t>
        </is>
      </c>
      <c r="J401" s="5" t="inlineStr">
        <is>
          <t>BaseDamage</t>
        </is>
      </c>
      <c r="K401" s="5" t="inlineStr">
        <is>
          <t>BaseHitDamage</t>
        </is>
      </c>
      <c r="L401" s="5" t="inlineStr">
        <is>
          <t>NonCritAvg</t>
        </is>
      </c>
      <c r="M401" s="5" t="inlineStr">
        <is>
          <t>CritAvg</t>
        </is>
      </c>
      <c r="N401" s="5" t="inlineStr">
        <is>
          <t>ExpectedDamage(perHit)</t>
        </is>
      </c>
      <c r="O401" s="5" t="inlineStr">
        <is>
          <t>DPS</t>
        </is>
      </c>
      <c r="P401" s="5" t="inlineStr">
        <is>
          <t>% of Total</t>
        </is>
      </c>
      <c r="Q401" s="5" t="inlineStr">
        <is>
          <t>InvCooldown</t>
        </is>
      </c>
      <c r="R401" s="5" t="inlineStr">
        <is>
          <t>CastsInFight</t>
        </is>
      </c>
      <c r="S401" s="5" t="inlineStr">
        <is>
          <t>HitRate(perSec)</t>
        </is>
      </c>
      <c r="U401" t="inlineStr">
        <is>
          <t>helpers</t>
        </is>
      </c>
    </row>
    <row r="402">
      <c r="A402">
        <f>Skills!A2</f>
        <v/>
      </c>
      <c r="B402">
        <f>Skills!B2</f>
        <v/>
      </c>
      <c r="C402">
        <f>Inputs!$B$3&gt;=100</f>
        <v/>
      </c>
      <c r="D402" t="inlineStr"/>
      <c r="E402" t="inlineStr"/>
      <c r="F402">
        <f>U404+Skills!O2</f>
        <v/>
      </c>
      <c r="G402">
        <f>Skills!G2*IF(Skills!H2&gt;0,Skills!I2/Skills!H2,1)</f>
        <v/>
      </c>
      <c r="H402">
        <f>1-(1-Skills!J2/100)^Skills!K2</f>
        <v/>
      </c>
      <c r="I402" t="inlineStr">
        <is>
          <t>1</t>
        </is>
      </c>
      <c r="J402">
        <f>((Inputs!$B$6*(1+Inputs!$B$7/100))+(((Inputs!$B$12*(1+Inputs!$B$13/100))-(Inputs!$B$12*(1+Inputs!$B$13/100)))+0.25*(Inputs!$B$14-Inputs!$B$14))*(1+Inputs!$B$7/100))*(F402/100)</f>
        <v/>
      </c>
      <c r="K402">
        <f>J402*(1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402)</f>
        <v/>
      </c>
      <c r="L402">
        <f>K402*(MIN(Inputs!$B$22+((C425=TRUE)*(F425-Calc!F25)),(Inputs!$B$23+((C430=TRUE)*(F430-Calc!F30))+(IF(ArtifactsInput!$M$15,CHOOSE(ArtifactsInput!$N$15+1,25,30,35,40,45,50)/100*(Inputs!$B$11-Inputs!$B$11),0))))/100+(Inputs!$B$23+((C430=TRUE)*(F430-Calc!F30))+(IF(ArtifactsInput!$M$15,CHOOSE(ArtifactsInput!$N$15+1,25,30,35,40,45,50)/100*(Inputs!$B$11-Inputs!$B$11),0)))/100)/2</f>
        <v/>
      </c>
      <c r="M402">
        <f>L402*(1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2">
        <f>L402*(1-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402*(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2">
        <f>(1-Summary!$B$11)*T402+Summary!$B$11*V402</f>
        <v/>
      </c>
      <c r="P402">
        <f>IF(B444=0,0,O402/B444)</f>
        <v/>
      </c>
      <c r="Q402" t="n">
        <v>0</v>
      </c>
      <c r="R402" t="n">
        <v>0</v>
      </c>
      <c r="S402">
        <f>IFERROR(O402/N402,0)</f>
        <v/>
      </c>
      <c r="T402">
        <f>IF(C402,(Skills!G2*N402*B438)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402*(1-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402*(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402*(1-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402*(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2">
        <f>MAX(0,(Inputs!$B$3-100)*3)+Inputs!$B$28+Inputs!$B$29</f>
        <v/>
      </c>
      <c r="V402">
        <f>IF(C402,(Skills!G2*N402*B438)*IF(Inputs!$B$38="pvp",1,(1+(Inputs!$B$21+Skills!Q2+(IF(ArtifactsInput!$M$33,CHOOSE(ArtifactsInput!$N$33+1,30,36,42,48,54,60),0))+(IF(AND(ArtifactsInput!$M$35,Inputs!$B$4&lt;&gt;"Chapter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3">
      <c r="A403">
        <f>Skills!A3</f>
        <v/>
      </c>
      <c r="B403">
        <f>Skills!B3</f>
        <v/>
      </c>
      <c r="C403">
        <f>Inputs!$B$3&gt;=50</f>
        <v/>
      </c>
      <c r="D403">
        <f>IF(Skills!C3=1,60+Inputs!$B$25+Inputs!$B$29,IF(Skills!C3=2,90+Inputs!$B$26+Inputs!$B$29,IF(Skills!C3=3,120+Inputs!$B$27+Inputs!$B$29,MAX(0,(Inputs!$B$3-100)*3)+Inputs!$B$28+Inputs!$B$29)))</f>
        <v/>
      </c>
      <c r="E403">
        <f>INDEX(FactorTable!$B$2:$Y$301, MATCH(ROUND(MIN(300,MAX(1,D403)),0), FactorTable!$A$2:$A$301,0), Skills!M3+1)</f>
        <v/>
      </c>
      <c r="F403">
        <f>IF(Skills!N3=TRUE,(Skills!L3/10)*(E403/1000),Skills!L3/10)+Skills!O3</f>
        <v/>
      </c>
      <c r="G403">
        <f>Skills!G3*IF(Skills!H3&gt;0,Skills!I3/Skills!H3,1)</f>
        <v/>
      </c>
      <c r="H403">
        <f>1-(1-Skills!J3/100)^Skills!K3</f>
        <v/>
      </c>
      <c r="I403" t="inlineStr">
        <is>
          <t>1</t>
        </is>
      </c>
      <c r="J403">
        <f>((Inputs!$B$6*(1+Inputs!$B$7/100))+(((Inputs!$B$12*(1+Inputs!$B$13/100))-(Inputs!$B$12*(1+Inputs!$B$13/100)))+0.25*(Inputs!$B$14-Inputs!$B$14))*(1+Inputs!$B$7/100))*(F403/100)</f>
        <v/>
      </c>
      <c r="K403">
        <f>J403*(1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404=TRUE,F404,0)/100)*(1+(IF(Skills!A3="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403)</f>
        <v/>
      </c>
      <c r="L403">
        <f>K403*(MIN(Inputs!$B$22+((C425=TRUE)*(F425-Calc!F25)),(Inputs!$B$23+((C430=TRUE)*(F430-Calc!F30))+(IF(ArtifactsInput!$M$15,CHOOSE(ArtifactsInput!$N$15+1,25,30,35,40,45,50)/100*(Inputs!$B$11-Inputs!$B$11),0))))/100+(Inputs!$B$23+((C430=TRUE)*(F430-Calc!F30))+(IF(ArtifactsInput!$M$15,CHOOSE(ArtifactsInput!$N$15+1,25,30,35,40,45,50)/100*(Inputs!$B$11-Inputs!$B$11),0)))/100)/2</f>
        <v/>
      </c>
      <c r="M403">
        <f>L403*(1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3">
        <f>L403*(1-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403*(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3">
        <f>(1-Summary!$B$11)*T403+Summary!$B$11*V403</f>
        <v/>
      </c>
      <c r="P403">
        <f>IF(B444=0,0,O403/B444)</f>
        <v/>
      </c>
      <c r="Q403">
        <f>IFERROR(1/(IF(Inputs!$B$38="pvp",15,MAX(0.1,Skills!D3-IF(Skills!E3=TRUE,Inputs!$B$32,0)))*(1-IF(AND(ArtifactsInput!$M$27,Inputs!$B$4="Chapter Hunt"),CHOOSE(ArtifactsInput!$N$27+1,20,24,28,32,36,40),0)/100)),0)</f>
        <v/>
      </c>
      <c r="R403">
        <f>IF(AND(Inputs!$B$38&lt;&gt;"pvp",Inputs!$B$43&gt;0),IF(MAX(0,Inputs!$B$43-B441)&lt;=0,0,(INT(MAX(0,Inputs!$B$43-B441)/(IF(Inputs!$B$38="pvp",15,MAX(0.1,Skills!D3-IF(Skills!E3=TRUE,Inputs!$B$32,0)))*(1-IF(AND(ArtifactsInput!$M$27,Inputs!$B$4="Chapter Hunt"),CHOOSE(ArtifactsInput!$N$27+1,20,24,28,32,36,40),0)/100)))+1)),0)</f>
        <v/>
      </c>
      <c r="S403">
        <f>IFERROR(O403/N403,0)</f>
        <v/>
      </c>
      <c r="T403">
        <f>IF(C403,(H403*N403*IF(AND(Inputs!$B$38&lt;&gt;"pvp",Inputs!$B$43&gt;0),((Skills!G3*((R403-1)*IF(Skills!H3&gt;0,Skills!I3/Skills!H3,1)+IF(Skills!H3&gt;0,MIN(Skills!I3,MAX(0,MAX(0,Inputs!$B$43-B441)-((R403-1)*(IF(Inputs!$B$38="pvp",15,MAX(0.1,Skills!D3-IF(Skills!E3=TRUE,Inputs!$B$32,0)))*(1-IF(AND(ArtifactsInput!$M$27,Inputs!$B$4="Chapter Hunt"),CHOOSE(ArtifactsInput!$N$27+1,20,24,28,32,36,40),0)/100)))))/Skills!H3,1)))/Inputs!$B$43),G403*Q403)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403*(1-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403*(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403*(1-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403*(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3">
        <f>INDEX(FactorTable!$B$2:$Y$301, MATCH(ROUND(MIN(300,MAX(1,U402)),0), FactorTable!$A$2:$A$301,0), 22)</f>
        <v/>
      </c>
      <c r="V403">
        <f>IF(C403,(H403*N403*IF(AND(Inputs!$B$38&lt;&gt;"pvp",Inputs!$B$43&gt;0),((Skills!G3*((R403-1)*IF(Skills!H3&gt;0,Skills!I3/Skills!H3,1)+IF(Skills!H3&gt;0,MIN(Skills!I3,MAX(0,MAX(0,Inputs!$B$43-B441)-((R403-1)*(IF(Inputs!$B$38="pvp",15,MAX(0.1,Skills!D3-IF(Skills!E3=TRUE,Inputs!$B$32,0)))*(1-IF(AND(ArtifactsInput!$M$27,Inputs!$B$4="Chapter Hunt"),CHOOSE(ArtifactsInput!$N$27+1,20,24,28,32,36,40),0)/100)))))/Skills!H3,1)))/Inputs!$B$43),G403*Q403))*IF(Inputs!$B$38="pvp",1,(1+(Inputs!$B$21+Skills!Q3+(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4">
      <c r="A404">
        <f>Skills!A4</f>
        <v/>
      </c>
      <c r="B404">
        <f>Skills!B4</f>
        <v/>
      </c>
      <c r="C404">
        <f>Inputs!$B$3&gt;=105</f>
        <v/>
      </c>
      <c r="D404">
        <f>IF(Skills!C4=1,60+Inputs!$B$25+Inputs!$B$29,IF(Skills!C4=2,90+Inputs!$B$26+Inputs!$B$29,IF(Skills!C4=3,120+Inputs!$B$27+Inputs!$B$29,MAX(0,(Inputs!$B$3-100)*3)+Inputs!$B$28+Inputs!$B$29)))</f>
        <v/>
      </c>
      <c r="E404">
        <f>INDEX(FactorTable!$B$2:$Y$301, MATCH(ROUND(MIN(300,MAX(1,D404)),0), FactorTable!$A$2:$A$301,0), Skills!M4+1)</f>
        <v/>
      </c>
      <c r="F404">
        <f>IF(Skills!N4=TRUE,(Skills!L4/10)*(E404/1000),Skills!L4/10)+Skills!O4</f>
        <v/>
      </c>
      <c r="G404" t="inlineStr"/>
      <c r="H404" t="inlineStr"/>
      <c r="I404" t="inlineStr">
        <is>
          <t>1</t>
        </is>
      </c>
      <c r="J404" t="inlineStr"/>
      <c r="K404" t="inlineStr"/>
      <c r="L404" t="inlineStr"/>
      <c r="M404" t="inlineStr"/>
      <c r="N404" t="inlineStr"/>
      <c r="O404" t="inlineStr"/>
      <c r="P404" t="inlineStr"/>
      <c r="Q404" t="inlineStr"/>
      <c r="R404" t="inlineStr"/>
      <c r="S404" t="inlineStr"/>
      <c r="T404" t="inlineStr"/>
      <c r="U404">
        <f>290*U403/1000</f>
        <v/>
      </c>
      <c r="V404" t="inlineStr"/>
    </row>
    <row r="405">
      <c r="A405">
        <f>Skills!A5</f>
        <v/>
      </c>
      <c r="B405">
        <f>Skills!B5</f>
        <v/>
      </c>
      <c r="C405">
        <f>Inputs!$B$3&gt;=35</f>
        <v/>
      </c>
      <c r="D405">
        <f>IF(Skills!C5=1,60+Inputs!$B$25+Inputs!$B$29,IF(Skills!C5=2,90+Inputs!$B$26+Inputs!$B$29,IF(Skills!C5=3,120+Inputs!$B$27+Inputs!$B$29,MAX(0,(Inputs!$B$3-100)*3)+Inputs!$B$28+Inputs!$B$29)))</f>
        <v/>
      </c>
      <c r="E405">
        <f>INDEX(FactorTable!$B$2:$Y$301, MATCH(ROUND(MIN(300,MAX(1,D405)),0), FactorTable!$A$2:$A$301,0), Skills!M5+1)</f>
        <v/>
      </c>
      <c r="F405">
        <f>IF(Skills!N5=TRUE,(Skills!L5/10)*(E405/1000),Skills!L5/10)+Skills!O5</f>
        <v/>
      </c>
      <c r="G405">
        <f>Skills!G5*IF(Skills!H5&gt;0,Skills!I5/Skills!H5,1)</f>
        <v/>
      </c>
      <c r="H405">
        <f>1-(1-Skills!J5/100)^Skills!K5</f>
        <v/>
      </c>
      <c r="I405" t="inlineStr">
        <is>
          <t>1</t>
        </is>
      </c>
      <c r="J405">
        <f>((Inputs!$B$6*(1+Inputs!$B$7/100))+(((Inputs!$B$12*(1+Inputs!$B$13/100))-(Inputs!$B$12*(1+Inputs!$B$13/100)))+0.25*(Inputs!$B$14-Inputs!$B$14))*(1+Inputs!$B$7/100))*(F405/100)</f>
        <v/>
      </c>
      <c r="K405">
        <f>J405*(1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411=TRUE,F411,0)/100)*(1+(IF(Skills!A5="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405)</f>
        <v/>
      </c>
      <c r="L405">
        <f>K405*(MIN(Inputs!$B$22+((C425=TRUE)*(F425-Calc!F25)),(Inputs!$B$23+((C430=TRUE)*(F430-Calc!F30))+(IF(ArtifactsInput!$M$15,CHOOSE(ArtifactsInput!$N$15+1,25,30,35,40,45,50)/100*(Inputs!$B$11-Inputs!$B$11),0))))/100+(Inputs!$B$23+((C430=TRUE)*(F430-Calc!F30))+(IF(ArtifactsInput!$M$15,CHOOSE(ArtifactsInput!$N$15+1,25,30,35,40,45,50)/100*(Inputs!$B$11-Inputs!$B$11),0)))/100)/2</f>
        <v/>
      </c>
      <c r="M405">
        <f>L405*(1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5">
        <f>L405*(1-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405*(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5">
        <f>(1-Summary!$B$11)*T405+Summary!$B$11*V405</f>
        <v/>
      </c>
      <c r="P405">
        <f>IF(B444=0,0,O405/B444)</f>
        <v/>
      </c>
      <c r="Q405">
        <f>IFERROR(1/(IF(Inputs!$B$38="pvp",15,MAX(0.1,Skills!D5-IF(Skills!E5=TRUE,Inputs!$B$32,0)))*(1-IF(AND(ArtifactsInput!$M$27,Inputs!$B$4="Chapter Hunt"),CHOOSE(ArtifactsInput!$N$27+1,20,24,28,32,36,40),0)/100)),0)</f>
        <v/>
      </c>
      <c r="R405">
        <f>IF(AND(Inputs!$B$38&lt;&gt;"pvp",Inputs!$B$43&gt;0),IF(MAX(0,Inputs!$B$43-B441)&lt;=0,0,(INT(MAX(0,Inputs!$B$43-B441)/(IF(Inputs!$B$38="pvp",15,MAX(0.1,Skills!D5-IF(Skills!E5=TRUE,Inputs!$B$32,0)))*(1-IF(AND(ArtifactsInput!$M$27,Inputs!$B$4="Chapter Hunt"),CHOOSE(ArtifactsInput!$N$27+1,20,24,28,32,36,40),0)/100)))+1)),0)</f>
        <v/>
      </c>
      <c r="S405">
        <f>IFERROR(O405/N405,0)</f>
        <v/>
      </c>
      <c r="T405">
        <f>IF(C405,(H405*N405*IF(AND(Inputs!$B$38&lt;&gt;"pvp",Inputs!$B$43&gt;0),((Skills!G5*((R405-1)*IF(Skills!H5&gt;0,Skills!I5/Skills!H5,1)+IF(Skills!H5&gt;0,MIN(Skills!I5,MAX(0,MAX(0,Inputs!$B$43-B441)-((R405-1)*(IF(Inputs!$B$38="pvp",15,MAX(0.1,Skills!D5-IF(Skills!E5=TRUE,Inputs!$B$32,0)))*(1-IF(AND(ArtifactsInput!$M$27,Inputs!$B$4="Chapter Hunt"),CHOOSE(ArtifactsInput!$N$27+1,20,24,28,32,36,40),0)/100)))))/Skills!H5,1)))/Inputs!$B$43),G405*Q405)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405*(1-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405*(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405*(1-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405*(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5">
        <f>IF(C405,(H405*N405*IF(AND(Inputs!$B$38&lt;&gt;"pvp",Inputs!$B$43&gt;0),((Skills!G5*((R405-1)*IF(Skills!H5&gt;0,Skills!I5/Skills!H5,1)+IF(Skills!H5&gt;0,MIN(Skills!I5,MAX(0,MAX(0,Inputs!$B$43-B441)-((R405-1)*(IF(Inputs!$B$38="pvp",15,MAX(0.1,Skills!D5-IF(Skills!E5=TRUE,Inputs!$B$32,0)))*(1-IF(AND(ArtifactsInput!$M$27,Inputs!$B$4="Chapter Hunt"),CHOOSE(ArtifactsInput!$N$27+1,20,24,28,32,36,40),0)/100)))))/Skills!H5,1)))/Inputs!$B$43),G405*Q405))*IF(Inputs!$B$38="pvp",1,(1+(Inputs!$B$21+Skills!Q5+(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6">
      <c r="A406">
        <f>Skills!A6</f>
        <v/>
      </c>
      <c r="B406">
        <f>Skills!B6</f>
        <v/>
      </c>
      <c r="C406">
        <f>Inputs!$B$3&gt;=40</f>
        <v/>
      </c>
      <c r="D406">
        <f>IF(Skills!C6=1,60+Inputs!$B$25+Inputs!$B$29,IF(Skills!C6=2,90+Inputs!$B$26+Inputs!$B$29,IF(Skills!C6=3,120+Inputs!$B$27+Inputs!$B$29,MAX(0,(Inputs!$B$3-100)*3)+Inputs!$B$28+Inputs!$B$29)))</f>
        <v/>
      </c>
      <c r="E406">
        <f>INDEX(FactorTable!$B$2:$Y$301, MATCH(ROUND(MIN(300,MAX(1,D406)),0), FactorTable!$A$2:$A$301,0), Skills!M6+1)</f>
        <v/>
      </c>
      <c r="F406">
        <f>IF(Skills!N6=TRUE,(Skills!L6/10)*(E406/1000),Skills!L6/10)+Skills!O6</f>
        <v/>
      </c>
      <c r="G406">
        <f>Skills!G6*IF(Skills!H6&gt;0,Skills!I6/Skills!H6,1)</f>
        <v/>
      </c>
      <c r="H406">
        <f>1-(1-Skills!J6/100)^Skills!K6</f>
        <v/>
      </c>
      <c r="I406" t="inlineStr">
        <is>
          <t>1</t>
        </is>
      </c>
      <c r="J406">
        <f>((Inputs!$B$6*(1+Inputs!$B$7/100))+(((Inputs!$B$12*(1+Inputs!$B$13/100))-(Inputs!$B$12*(1+Inputs!$B$13/100)))+0.25*(Inputs!$B$14-Inputs!$B$14))*(1+Inputs!$B$7/100))*(F406/100)</f>
        <v/>
      </c>
      <c r="K406">
        <f>J406*(1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407=TRUE,F407,0)/100)*(1+(IF(Skills!A6="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406)</f>
        <v/>
      </c>
      <c r="L406">
        <f>K406*(MIN(Inputs!$B$22+((C425=TRUE)*(F425-Calc!F25)),(Inputs!$B$23+((C430=TRUE)*(F430-Calc!F30))+(IF(ArtifactsInput!$M$15,CHOOSE(ArtifactsInput!$N$15+1,25,30,35,40,45,50)/100*(Inputs!$B$11-Inputs!$B$11),0))))/100+(Inputs!$B$23+((C430=TRUE)*(F430-Calc!F30))+(IF(ArtifactsInput!$M$15,CHOOSE(ArtifactsInput!$N$15+1,25,30,35,40,45,50)/100*(Inputs!$B$11-Inputs!$B$11),0)))/100)/2</f>
        <v/>
      </c>
      <c r="M406">
        <f>L406*(1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6">
        <f>L406*(1-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406*(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6">
        <f>(1-Summary!$B$11)*T406+Summary!$B$11*V406</f>
        <v/>
      </c>
      <c r="P406">
        <f>IF(B444=0,0,O406/B444)</f>
        <v/>
      </c>
      <c r="Q406">
        <f>IFERROR(1/(IF(Inputs!$B$38="pvp",15,MAX(0.1,Skills!D6-IF(Skills!E6=TRUE,Inputs!$B$32,0)))*(1-IF(AND(ArtifactsInput!$M$27,Inputs!$B$4="Chapter Hunt"),CHOOSE(ArtifactsInput!$N$27+1,20,24,28,32,36,40),0)/100)),0)</f>
        <v/>
      </c>
      <c r="R406">
        <f>IF(AND(Inputs!$B$38&lt;&gt;"pvp",Inputs!$B$43&gt;0),IF(MAX(0,Inputs!$B$43-B441)&lt;=0,0,(INT(MAX(0,Inputs!$B$43-B441)/(IF(Inputs!$B$38="pvp",15,MAX(0.1,Skills!D6-IF(Skills!E6=TRUE,Inputs!$B$32,0)))*(1-IF(AND(ArtifactsInput!$M$27,Inputs!$B$4="Chapter Hunt"),CHOOSE(ArtifactsInput!$N$27+1,20,24,28,32,36,40),0)/100)))+1)),0)</f>
        <v/>
      </c>
      <c r="S406">
        <f>IFERROR(O406/N406,0)</f>
        <v/>
      </c>
      <c r="T406">
        <f>IF(C406,(H406*N406*IF(AND(Inputs!$B$38&lt;&gt;"pvp",Inputs!$B$43&gt;0),((Skills!G6*((R406-1)*IF(Skills!H6&gt;0,Skills!I6/Skills!H6,1)+IF(Skills!H6&gt;0,MIN(Skills!I6,MAX(0,MAX(0,Inputs!$B$43-B441)-((R406-1)*(IF(Inputs!$B$38="pvp",15,MAX(0.1,Skills!D6-IF(Skills!E6=TRUE,Inputs!$B$32,0)))*(1-IF(AND(ArtifactsInput!$M$27,Inputs!$B$4="Chapter Hunt"),CHOOSE(ArtifactsInput!$N$27+1,20,24,28,32,36,40),0)/100)))))/Skills!H6,1)))/Inputs!$B$43),G406*Q406)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406*(1-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406*(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406*(1-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406*(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6">
        <f>IF(C406,(H406*N406*IF(AND(Inputs!$B$38&lt;&gt;"pvp",Inputs!$B$43&gt;0),((Skills!G6*((R406-1)*IF(Skills!H6&gt;0,Skills!I6/Skills!H6,1)+IF(Skills!H6&gt;0,MIN(Skills!I6,MAX(0,MAX(0,Inputs!$B$43-B441)-((R406-1)*(IF(Inputs!$B$38="pvp",15,MAX(0.1,Skills!D6-IF(Skills!E6=TRUE,Inputs!$B$32,0)))*(1-IF(AND(ArtifactsInput!$M$27,Inputs!$B$4="Chapter Hunt"),CHOOSE(ArtifactsInput!$N$27+1,20,24,28,32,36,40),0)/100)))))/Skills!H6,1)))/Inputs!$B$43),G406*Q406))*IF(Inputs!$B$38="pvp",1,(1+(Inputs!$B$21+Skills!Q6+(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7">
      <c r="A407">
        <f>Skills!A7</f>
        <v/>
      </c>
      <c r="B407">
        <f>Skills!B7</f>
        <v/>
      </c>
      <c r="C407">
        <f>Inputs!$B$3&gt;=107</f>
        <v/>
      </c>
      <c r="D407">
        <f>IF(Skills!C7=1,60+Inputs!$B$25+Inputs!$B$29,IF(Skills!C7=2,90+Inputs!$B$26+Inputs!$B$29,IF(Skills!C7=3,120+Inputs!$B$27+Inputs!$B$29,MAX(0,(Inputs!$B$3-100)*3)+Inputs!$B$28+Inputs!$B$29)))</f>
        <v/>
      </c>
      <c r="E407">
        <f>INDEX(FactorTable!$B$2:$Y$301, MATCH(ROUND(MIN(300,MAX(1,D407)),0), FactorTable!$A$2:$A$301,0), Skills!M7+1)</f>
        <v/>
      </c>
      <c r="F407">
        <f>IF(Skills!N7=TRUE,(Skills!L7/10)*(E407/1000),Skills!L7/10)+Skills!O7</f>
        <v/>
      </c>
      <c r="G407" t="inlineStr"/>
      <c r="H407" t="inlineStr"/>
      <c r="I407" t="inlineStr">
        <is>
          <t>1</t>
        </is>
      </c>
      <c r="J407" t="inlineStr"/>
      <c r="K407" t="inlineStr"/>
      <c r="L407" t="inlineStr"/>
      <c r="M407" t="inlineStr"/>
      <c r="N407" t="inlineStr"/>
      <c r="O407" t="inlineStr"/>
      <c r="P407" t="inlineStr"/>
      <c r="Q407" t="inlineStr"/>
      <c r="R407" t="inlineStr"/>
      <c r="S407" t="inlineStr"/>
      <c r="T407" t="inlineStr"/>
      <c r="V407" t="inlineStr"/>
    </row>
    <row r="408">
      <c r="A408">
        <f>Skills!A8</f>
        <v/>
      </c>
      <c r="B408">
        <f>Skills!B8</f>
        <v/>
      </c>
      <c r="C408">
        <f>Inputs!$B$3&gt;=69</f>
        <v/>
      </c>
      <c r="D408">
        <f>IF(Skills!C8=1,60+Inputs!$B$25+Inputs!$B$29,IF(Skills!C8=2,90+Inputs!$B$26+Inputs!$B$29,IF(Skills!C8=3,120+Inputs!$B$27+Inputs!$B$29,MAX(0,(Inputs!$B$3-100)*3)+Inputs!$B$28+Inputs!$B$29)))</f>
        <v/>
      </c>
      <c r="E408">
        <f>INDEX(FactorTable!$B$2:$Y$301, MATCH(ROUND(MIN(300,MAX(1,D408)),0), FactorTable!$A$2:$A$301,0), Skills!M8+1)</f>
        <v/>
      </c>
      <c r="F408">
        <f>IF(Skills!N8=TRUE,(Skills!L8/10)*(E408/1000),Skills!L8/10)+Skills!O8</f>
        <v/>
      </c>
      <c r="G408">
        <f>Skills!G8*IF(Skills!H8&gt;0,Skills!I8/Skills!H8,1)</f>
        <v/>
      </c>
      <c r="H408">
        <f>1-(1-Skills!J8/100)^Skills!K8</f>
        <v/>
      </c>
      <c r="I408" t="inlineStr">
        <is>
          <t>1</t>
        </is>
      </c>
      <c r="J408">
        <f>((Inputs!$B$6*(1+Inputs!$B$7/100))+(((Inputs!$B$12*(1+Inputs!$B$13/100))-(Inputs!$B$12*(1+Inputs!$B$13/100)))+0.25*(Inputs!$B$14-Inputs!$B$14))*(1+Inputs!$B$7/100))*(F408/100)</f>
        <v/>
      </c>
      <c r="K408">
        <f>J408*(1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411=TRUE,F411,0)/100)*(1+(IF(Skills!A8="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408)</f>
        <v/>
      </c>
      <c r="L408">
        <f>K408*(MIN(Inputs!$B$22+((C425=TRUE)*(F425-Calc!F25)),(Inputs!$B$23+((C430=TRUE)*(F430-Calc!F30))+(IF(ArtifactsInput!$M$15,CHOOSE(ArtifactsInput!$N$15+1,25,30,35,40,45,50)/100*(Inputs!$B$11-Inputs!$B$11),0))))/100+(Inputs!$B$23+((C430=TRUE)*(F430-Calc!F30))+(IF(ArtifactsInput!$M$15,CHOOSE(ArtifactsInput!$N$15+1,25,30,35,40,45,50)/100*(Inputs!$B$11-Inputs!$B$11),0)))/100)/2</f>
        <v/>
      </c>
      <c r="M408">
        <f>L408*(1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8">
        <f>L408*(1-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408*(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8">
        <f>(1-Summary!$B$11)*T408+Summary!$B$11*V408</f>
        <v/>
      </c>
      <c r="P408">
        <f>IF(B444=0,0,O408/B444)</f>
        <v/>
      </c>
      <c r="Q408">
        <f>IFERROR(1/(IF(Inputs!$B$38="pvp",15,MAX(0.1,Skills!D8-IF(Skills!E8=TRUE,Inputs!$B$32,0)))*(1-IF(AND(ArtifactsInput!$M$27,Inputs!$B$4="Chapter Hunt"),CHOOSE(ArtifactsInput!$N$27+1,20,24,28,32,36,40),0)/100)),0)</f>
        <v/>
      </c>
      <c r="R408">
        <f>IF(AND(Inputs!$B$38&lt;&gt;"pvp",Inputs!$B$43&gt;0),IF(MAX(0,Inputs!$B$43-B441)&lt;=0,0,(INT(MAX(0,Inputs!$B$43-B441)/(IF(Inputs!$B$38="pvp",15,MAX(0.1,Skills!D8-IF(Skills!E8=TRUE,Inputs!$B$32,0)))*(1-IF(AND(ArtifactsInput!$M$27,Inputs!$B$4="Chapter Hunt"),CHOOSE(ArtifactsInput!$N$27+1,20,24,28,32,36,40),0)/100)))+1)),0)</f>
        <v/>
      </c>
      <c r="S408">
        <f>IFERROR(O408/N408,0)</f>
        <v/>
      </c>
      <c r="T408">
        <f>IF(C408,(H408*N408*IF(AND(Inputs!$B$38&lt;&gt;"pvp",Inputs!$B$43&gt;0),((Skills!G8*((R408-1)*IF(Skills!H8&gt;0,Skills!I8/Skills!H8,1)+IF(Skills!H8&gt;0,MIN(Skills!I8,MAX(0,MAX(0,Inputs!$B$43-B441)-((R408-1)*(IF(Inputs!$B$38="pvp",15,MAX(0.1,Skills!D8-IF(Skills!E8=TRUE,Inputs!$B$32,0)))*(1-IF(AND(ArtifactsInput!$M$27,Inputs!$B$4="Chapter Hunt"),CHOOSE(ArtifactsInput!$N$27+1,20,24,28,32,36,40),0)/100)))))/Skills!H8,1)))/Inputs!$B$43),G408*Q408)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408*(1-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408*(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408*(1-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408*(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8">
        <f>IF(C408,(H408*N408*IF(AND(Inputs!$B$38&lt;&gt;"pvp",Inputs!$B$43&gt;0),((Skills!G8*((R408-1)*IF(Skills!H8&gt;0,Skills!I8/Skills!H8,1)+IF(Skills!H8&gt;0,MIN(Skills!I8,MAX(0,MAX(0,Inputs!$B$43-B441)-((R408-1)*(IF(Inputs!$B$38="pvp",15,MAX(0.1,Skills!D8-IF(Skills!E8=TRUE,Inputs!$B$32,0)))*(1-IF(AND(ArtifactsInput!$M$27,Inputs!$B$4="Chapter Hunt"),CHOOSE(ArtifactsInput!$N$27+1,20,24,28,32,36,40),0)/100)))))/Skills!H8,1)))/Inputs!$B$43),G408*Q408))*IF(Inputs!$B$38="pvp",1,(1+(Inputs!$B$21+Skills!Q8+(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9">
      <c r="A409">
        <f>Skills!A9</f>
        <v/>
      </c>
      <c r="B409">
        <f>Skills!B9</f>
        <v/>
      </c>
      <c r="C409">
        <f>Inputs!$B$3&gt;=63</f>
        <v/>
      </c>
      <c r="D409">
        <f>IF(Skills!C9=1,60+Inputs!$B$25+Inputs!$B$29,IF(Skills!C9=2,90+Inputs!$B$26+Inputs!$B$29,IF(Skills!C9=3,120+Inputs!$B$27+Inputs!$B$29,MAX(0,(Inputs!$B$3-100)*3)+Inputs!$B$28+Inputs!$B$29)))</f>
        <v/>
      </c>
      <c r="E409">
        <f>INDEX(FactorTable!$B$2:$Y$301, MATCH(ROUND(MIN(300,MAX(1,D409)),0), FactorTable!$A$2:$A$301,0), Skills!M9+1)</f>
        <v/>
      </c>
      <c r="F409">
        <f>IF(Skills!N9=TRUE,(Skills!L9/10)*(E409/1000),Skills!L9/10)+Skills!O9</f>
        <v/>
      </c>
      <c r="G409">
        <f>Skills!G9*IF(Skills!H9&gt;0,Skills!I9/Skills!H9,1)</f>
        <v/>
      </c>
      <c r="H409">
        <f>1-(1-Skills!J9/100)^Skills!K9</f>
        <v/>
      </c>
      <c r="I409" t="inlineStr">
        <is>
          <t>1</t>
        </is>
      </c>
      <c r="J409">
        <f>((Inputs!$B$6*(1+Inputs!$B$7/100))+(((Inputs!$B$12*(1+Inputs!$B$13/100))-(Inputs!$B$12*(1+Inputs!$B$13/100)))+0.25*(Inputs!$B$14-Inputs!$B$14))*(1+Inputs!$B$7/100))*(F409/100)</f>
        <v/>
      </c>
      <c r="K409">
        <f>J409*(1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411=TRUE,F411,0)/100)*(1+(IF(Skills!A9="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409)</f>
        <v/>
      </c>
      <c r="L409">
        <f>K409*(MIN(Inputs!$B$22+((C425=TRUE)*(F425-Calc!F25)),(Inputs!$B$23+((C430=TRUE)*(F430-Calc!F30))+(IF(ArtifactsInput!$M$15,CHOOSE(ArtifactsInput!$N$15+1,25,30,35,40,45,50)/100*(Inputs!$B$11-Inputs!$B$11),0))))/100+(Inputs!$B$23+((C430=TRUE)*(F430-Calc!F30))+(IF(ArtifactsInput!$M$15,CHOOSE(ArtifactsInput!$N$15+1,25,30,35,40,45,50)/100*(Inputs!$B$11-Inputs!$B$11),0)))/100)/2</f>
        <v/>
      </c>
      <c r="M409">
        <f>L409*(1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9">
        <f>L409*(1-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409*(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9">
        <f>(1-Summary!$B$11)*T409+Summary!$B$11*V409</f>
        <v/>
      </c>
      <c r="P409">
        <f>IF(B444=0,0,O409/B444)</f>
        <v/>
      </c>
      <c r="Q409">
        <f>IFERROR(1/(IF(Inputs!$B$38="pvp",15,MAX(0.1,Skills!D9-IF(Skills!E9=TRUE,Inputs!$B$32,0)))*(1-IF(AND(ArtifactsInput!$M$27,Inputs!$B$4="Chapter Hunt"),CHOOSE(ArtifactsInput!$N$27+1,20,24,28,32,36,40),0)/100)),0)</f>
        <v/>
      </c>
      <c r="R409">
        <f>IF(AND(Inputs!$B$38&lt;&gt;"pvp",Inputs!$B$43&gt;0),IF(MAX(0,Inputs!$B$43-B441)&lt;=0,0,(INT(MAX(0,Inputs!$B$43-B441)/(IF(Inputs!$B$38="pvp",15,MAX(0.1,Skills!D9-IF(Skills!E9=TRUE,Inputs!$B$32,0)))*(1-IF(AND(ArtifactsInput!$M$27,Inputs!$B$4="Chapter Hunt"),CHOOSE(ArtifactsInput!$N$27+1,20,24,28,32,36,40),0)/100)))+1)),0)</f>
        <v/>
      </c>
      <c r="S409">
        <f>IFERROR(O409/N409,0)</f>
        <v/>
      </c>
      <c r="T409">
        <f>IF(C409,(H409*N409*IF(AND(Inputs!$B$38&lt;&gt;"pvp",Inputs!$B$43&gt;0),((Skills!G9*((R409-1)*IF(Skills!H9&gt;0,Skills!I9/Skills!H9,1)+IF(Skills!H9&gt;0,MIN(Skills!I9,MAX(0,MAX(0,Inputs!$B$43-B441)-((R409-1)*(IF(Inputs!$B$38="pvp",15,MAX(0.1,Skills!D9-IF(Skills!E9=TRUE,Inputs!$B$32,0)))*(1-IF(AND(ArtifactsInput!$M$27,Inputs!$B$4="Chapter Hunt"),CHOOSE(ArtifactsInput!$N$27+1,20,24,28,32,36,40),0)/100)))))/Skills!H9,1)))/Inputs!$B$43),G409*Q409)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409*(1-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409*(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409*(1-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409*(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9">
        <f>IF(C409,(H409*N409*IF(AND(Inputs!$B$38&lt;&gt;"pvp",Inputs!$B$43&gt;0),((Skills!G9*((R409-1)*IF(Skills!H9&gt;0,Skills!I9/Skills!H9,1)+IF(Skills!H9&gt;0,MIN(Skills!I9,MAX(0,MAX(0,Inputs!$B$43-B441)-((R409-1)*(IF(Inputs!$B$38="pvp",15,MAX(0.1,Skills!D9-IF(Skills!E9=TRUE,Inputs!$B$32,0)))*(1-IF(AND(ArtifactsInput!$M$27,Inputs!$B$4="Chapter Hunt"),CHOOSE(ArtifactsInput!$N$27+1,20,24,28,32,36,40),0)/100)))))/Skills!H9,1)))/Inputs!$B$43),G409*Q409))*IF(Inputs!$B$38="pvp",1,(1+(Inputs!$B$21+Skills!Q9+(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0">
      <c r="A410">
        <f>Skills!A10</f>
        <v/>
      </c>
      <c r="B410">
        <f>Skills!B10</f>
        <v/>
      </c>
      <c r="C410">
        <f>Inputs!$B$3&gt;=103</f>
        <v/>
      </c>
      <c r="D410">
        <f>IF(Skills!C10=1,60+Inputs!$B$25+Inputs!$B$29,IF(Skills!C10=2,90+Inputs!$B$26+Inputs!$B$29,IF(Skills!C10=3,120+Inputs!$B$27+Inputs!$B$29,MAX(0,(Inputs!$B$3-100)*3)+Inputs!$B$28+Inputs!$B$29)))</f>
        <v/>
      </c>
      <c r="E410">
        <f>INDEX(FactorTable!$B$2:$Y$301, MATCH(ROUND(MIN(300,MAX(1,D410)),0), FactorTable!$A$2:$A$301,0), Skills!M10+1)</f>
        <v/>
      </c>
      <c r="F410">
        <f>IF(Skills!N10=TRUE,(Skills!L10/10)*(E410/1000),Skills!L10/10)+Skills!O10</f>
        <v/>
      </c>
      <c r="G410">
        <f>Skills!G10*IF(Skills!H10&gt;0,Skills!I10/Skills!H10,1)</f>
        <v/>
      </c>
      <c r="H410">
        <f>1-(1-Skills!J10/100)^Skills!K10</f>
        <v/>
      </c>
      <c r="I410" t="inlineStr">
        <is>
          <t>1</t>
        </is>
      </c>
      <c r="J410">
        <f>((Inputs!$B$6*(1+Inputs!$B$7/100))+(((Inputs!$B$12*(1+Inputs!$B$13/100))-(Inputs!$B$12*(1+Inputs!$B$13/100)))+0.25*(Inputs!$B$14-Inputs!$B$14))*(1+Inputs!$B$7/100))*(F410/100)</f>
        <v/>
      </c>
      <c r="K410">
        <f>J410*(1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410)</f>
        <v/>
      </c>
      <c r="L410">
        <f>K410*(MIN(Inputs!$B$22+((C425=TRUE)*(F425-Calc!F25)),(Inputs!$B$23+((C430=TRUE)*(F430-Calc!F30))+(IF(ArtifactsInput!$M$15,CHOOSE(ArtifactsInput!$N$15+1,25,30,35,40,45,50)/100*(Inputs!$B$11-Inputs!$B$11),0))))/100+(Inputs!$B$23+((C430=TRUE)*(F430-Calc!F30))+(IF(ArtifactsInput!$M$15,CHOOSE(ArtifactsInput!$N$15+1,25,30,35,40,45,50)/100*(Inputs!$B$11-Inputs!$B$11),0)))/100)/2</f>
        <v/>
      </c>
      <c r="M410">
        <f>L410*(1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0">
        <f>L410*(1-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410*(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0">
        <f>(1-Summary!$B$11)*T410+Summary!$B$11*V410</f>
        <v/>
      </c>
      <c r="P410">
        <f>IF(B444=0,0,O410/B444)</f>
        <v/>
      </c>
      <c r="Q410">
        <f>IFERROR(1/(IF(Inputs!$B$38="pvp",15,MAX(0.1,Skills!D10-IF(Skills!E10=TRUE,Inputs!$B$32,0)))*(1-IF(AND(ArtifactsInput!$M$27,Inputs!$B$4="Chapter Hunt"),CHOOSE(ArtifactsInput!$N$27+1,20,24,28,32,36,40),0)/100)),0)</f>
        <v/>
      </c>
      <c r="R410">
        <f>IF(AND(Inputs!$B$38&lt;&gt;"pvp",Inputs!$B$43&gt;0),IF(MAX(0,Inputs!$B$43-B441)&lt;=0,0,(INT(MAX(0,Inputs!$B$43-B441)/(IF(Inputs!$B$38="pvp",15,MAX(0.1,Skills!D10-IF(Skills!E10=TRUE,Inputs!$B$32,0)))*(1-IF(AND(ArtifactsInput!$M$27,Inputs!$B$4="Chapter Hunt"),CHOOSE(ArtifactsInput!$N$27+1,20,24,28,32,36,40),0)/100)))+1)),0)</f>
        <v/>
      </c>
      <c r="S410">
        <f>IFERROR(O410/N410,0)</f>
        <v/>
      </c>
      <c r="T410">
        <f>IF(C410,(H410*N410*IF(AND(Inputs!$B$38&lt;&gt;"pvp",Inputs!$B$43&gt;0),((Skills!G10*((R410-1)*IF(Skills!H10&gt;0,Skills!I10/Skills!H10,1)+IF(Skills!H10&gt;0,MIN(Skills!I10,MAX(0,MAX(0,Inputs!$B$43-B441)-((R410-1)*(IF(Inputs!$B$38="pvp",15,MAX(0.1,Skills!D10-IF(Skills!E10=TRUE,Inputs!$B$32,0)))*(1-IF(AND(ArtifactsInput!$M$27,Inputs!$B$4="Chapter Hunt"),CHOOSE(ArtifactsInput!$N$27+1,20,24,28,32,36,40),0)/100)))))/Skills!H10,1)))/Inputs!$B$43),G410*Q410)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410*(1-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410*(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410*(1-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410*(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0">
        <f>IF(C410,(H410*N410*IF(AND(Inputs!$B$38&lt;&gt;"pvp",Inputs!$B$43&gt;0),((Skills!G10*((R410-1)*IF(Skills!H10&gt;0,Skills!I10/Skills!H10,1)+IF(Skills!H10&gt;0,MIN(Skills!I10,MAX(0,MAX(0,Inputs!$B$43-B441)-((R410-1)*(IF(Inputs!$B$38="pvp",15,MAX(0.1,Skills!D10-IF(Skills!E10=TRUE,Inputs!$B$32,0)))*(1-IF(AND(ArtifactsInput!$M$27,Inputs!$B$4="Chapter Hunt"),CHOOSE(ArtifactsInput!$N$27+1,20,24,28,32,36,40),0)/100)))))/Skills!H10,1)))/Inputs!$B$43),G410*Q410))*IF(Inputs!$B$38="pvp",1,(1+(Inputs!$B$21+Skills!Q10+(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1">
      <c r="A411">
        <f>Skills!A11</f>
        <v/>
      </c>
      <c r="B411">
        <f>Skills!B11</f>
        <v/>
      </c>
      <c r="C411">
        <f>Inputs!$B$3&gt;=100</f>
        <v/>
      </c>
      <c r="D411">
        <f>IF(Skills!C11=1,60+Inputs!$B$25+Inputs!$B$29,IF(Skills!C11=2,90+Inputs!$B$26+Inputs!$B$29,IF(Skills!C11=3,120+Inputs!$B$27+Inputs!$B$29,MAX(0,(Inputs!$B$3-100)*3)+Inputs!$B$28+Inputs!$B$29)))</f>
        <v/>
      </c>
      <c r="E411">
        <f>INDEX(FactorTable!$B$2:$Y$301, MATCH(ROUND(MIN(300,MAX(1,D411)),0), FactorTable!$A$2:$A$301,0), Skills!M11+1)</f>
        <v/>
      </c>
      <c r="F411">
        <f>IF(Skills!N11=TRUE,(Skills!L11/10)*(E411/1000),Skills!L11/10)+Skills!O11</f>
        <v/>
      </c>
      <c r="G411" t="inlineStr"/>
      <c r="H411" t="inlineStr"/>
      <c r="I411" t="inlineStr">
        <is>
          <t>1</t>
        </is>
      </c>
      <c r="J411" t="inlineStr"/>
      <c r="K411" t="inlineStr"/>
      <c r="L411" t="inlineStr"/>
      <c r="M411" t="inlineStr"/>
      <c r="N411" t="inlineStr"/>
      <c r="O411" t="inlineStr"/>
      <c r="P411" t="inlineStr"/>
      <c r="Q411" t="inlineStr"/>
      <c r="R411" t="inlineStr"/>
      <c r="S411" t="inlineStr"/>
      <c r="T411" t="inlineStr"/>
      <c r="V411" t="inlineStr"/>
    </row>
    <row r="412">
      <c r="A412">
        <f>Skills!A12</f>
        <v/>
      </c>
      <c r="B412">
        <f>Skills!B12</f>
        <v/>
      </c>
      <c r="C412">
        <f>Inputs!$B$3&gt;=60</f>
        <v/>
      </c>
      <c r="D412">
        <f>IF(Skills!C12=1,60+Inputs!$B$25+Inputs!$B$29,IF(Skills!C12=2,90+Inputs!$B$26+Inputs!$B$29,IF(Skills!C12=3,120+Inputs!$B$27+Inputs!$B$29,MAX(0,(Inputs!$B$3-100)*3)+Inputs!$B$28+Inputs!$B$29)))</f>
        <v/>
      </c>
      <c r="E412">
        <f>INDEX(FactorTable!$B$2:$Y$301, MATCH(ROUND(MIN(300,MAX(1,D412)),0), FactorTable!$A$2:$A$301,0), Skills!M12+1)</f>
        <v/>
      </c>
      <c r="F412">
        <f>IF(Skills!N12=TRUE,(Skills!L12/10)*(E412/1000),Skills!L12/10)+Skills!O12</f>
        <v/>
      </c>
      <c r="G412">
        <f>Skills!G12*IF(Skills!H12&gt;0,Skills!I12/Skills!H12,1)</f>
        <v/>
      </c>
      <c r="H412">
        <f>1-(1-Skills!J12/100)^Skills!K12</f>
        <v/>
      </c>
      <c r="I412" t="inlineStr">
        <is>
          <t>1</t>
        </is>
      </c>
      <c r="J412">
        <f>((Inputs!$B$6*(1+Inputs!$B$7/100))+(((Inputs!$B$12*(1+Inputs!$B$13/100))-(Inputs!$B$12*(1+Inputs!$B$13/100)))+0.25*(Inputs!$B$14-Inputs!$B$14))*(1+Inputs!$B$7/100))*(F412/100)</f>
        <v/>
      </c>
      <c r="K412">
        <f>J412*(1+((Inputs!$B$12*(1+Inputs!$B$13/100))*0.01+Inputs!$B$14*0.0025)/100)*(1+Inputs!$B$15/100)*(1+Inputs!$B$16/100)*(5000/(6000+Inputs!$B$42*(1-(100*(1-(1-(Inputs!$B$19+((C428=TRUE)*(F428-Calc!F28)))/100)*(1-CHOOSE(ArtifactsInput!$N$40+1,5,6,7,8,9,10)/100)^(ArtifactsInput!$M$40-ArtifactsInput!$M$40)))/100)))*(1+(((((1+(Inputs!$B$24+Summary!$B$21)/100)*(1.01))-1)*100-(Summary!$B$21))+((C426=TRUE)*(F426-Calc!F26))+((C427=TRUE)*(F427-Calc!F27))+B440)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Skills!A12="ARROW_STREAM",Inputs!$B$17+((C424=TRUE)*(F424-Calc!F24))+(((IF(AND(ArtifactsInput!$M$42,((Inputs!$B$9+((C421=TRUE)*(F421-Calc!F21))+B434+(ArtifactsInput!$M$24-ArtifactsInput!$M$24)*CHOOSE(ArtifactsInput!$N$24+1,10,12,14,16,18,20)+IF(ArtifactsInput!$M$10,CHOOSE(ArtifactsInput!$N$10+1,15,18,21,24,27,30)*(IF(Inputs!$B$38="pvp",MIN(15,15)/15,IF(AND(Inputs!$B$38&lt;&gt;"pvp",Inputs!$B$43&gt;0),MIN(15,Inputs!$B$43)/(Inputs!$B$43),0))),0)))&gt;=100),MIN(100,((Inputs!$B$9+((C421=TRUE)*(F421-Calc!F21))+B434+(ArtifactsInput!$M$24-ArtifactsInput!$M$24)*CHOOSE(ArtifactsInput!$N$24+1,10,12,14,16,18,20)+IF(ArtifactsInput!$M$10,CHOOSE(ArtifactsInput!$N$10+1,15,18,21,24,27,30)*(IF(Inputs!$B$38="pvp",MIN(15,15)/15,IF(AND(Inputs!$B$38&lt;&gt;"pvp",Inputs!$B$43&gt;0),MIN(15,Inputs!$B$43)/(Inputs!$B$43),0))),0)))-100),0))*CHOOSE(ArtifactsInput!$N$42+1,0.6,0.72,0.84,0.96,1.08,1.2))),Inputs!$B$18+((C429=TRUE)*(F429-Calc!F29))+(IF(AND(ArtifactsInput!$M$42,((Inputs!$B$9+((C421=TRUE)*(F421-Calc!F21))+B434+(ArtifactsInput!$M$24-ArtifactsInput!$M$24)*CHOOSE(ArtifactsInput!$N$24+1,10,12,14,16,18,20)+IF(ArtifactsInput!$M$10,CHOOSE(ArtifactsInput!$N$10+1,15,18,21,24,27,30)*(IF(Inputs!$B$38="pvp",MIN(15,15)/15,IF(AND(Inputs!$B$38&lt;&gt;"pvp",Inputs!$B$43&gt;0),MIN(15,Inputs!$B$43)/(Inputs!$B$43),0))),0)))&gt;=100),CHOOSE(ArtifactsInput!$N$42+1,40,48,56,64,72,80),0))))/100)*((1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412)</f>
        <v/>
      </c>
      <c r="L412">
        <f>K412*(MIN(Inputs!$B$22+((C425=TRUE)*(F425-Calc!F25)),(Inputs!$B$23+((C430=TRUE)*(F430-Calc!F30))+(IF(ArtifactsInput!$M$15,CHOOSE(ArtifactsInput!$N$15+1,25,30,35,40,45,50)/100*(Inputs!$B$11-Inputs!$B$11),0))))/100+(Inputs!$B$23+((C430=TRUE)*(F430-Calc!F30))+(IF(ArtifactsInput!$M$15,CHOOSE(ArtifactsInput!$N$15+1,25,30,35,40,45,50)/100*(Inputs!$B$11-Inputs!$B$11),0)))/100)/2</f>
        <v/>
      </c>
      <c r="M412">
        <f>L412*(1+(Inputs!$B$10+0+B439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2">
        <f>L412*(1-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412*(MIN((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2">
        <f>(1-Summary!$B$11)*T412+Summary!$B$11*V412</f>
        <v/>
      </c>
      <c r="P412">
        <f>IF(B444=0,0,O412/B444)</f>
        <v/>
      </c>
      <c r="Q412">
        <f>IFERROR(1/(IF(Inputs!$B$38="pvp",15,MAX(0.1,Skills!D12-IF(Skills!E12=TRUE,Inputs!$B$32,0)))*(1-IF(AND(ArtifactsInput!$M$27,Inputs!$B$4="Chapter Hunt"),CHOOSE(ArtifactsInput!$N$27+1,20,24,28,32,36,40),0)/100)),0)</f>
        <v/>
      </c>
      <c r="R412">
        <f>IF(AND(Inputs!$B$38&lt;&gt;"pvp",Inputs!$B$43&gt;0),IF(MAX(0,Inputs!$B$43-B441)&lt;=0,0,(INT(MAX(0,Inputs!$B$43-B441)/(IF(Inputs!$B$38="pvp",15,MAX(0.1,Skills!D12-IF(Skills!E12=TRUE,Inputs!$B$32,0)))*(1-IF(AND(ArtifactsInput!$M$27,Inputs!$B$4="Chapter Hunt"),CHOOSE(ArtifactsInput!$N$27+1,20,24,28,32,36,40),0)/100)))+1)),0)</f>
        <v/>
      </c>
      <c r="S412">
        <f>IFERROR(O412/N412,0)</f>
        <v/>
      </c>
      <c r="T412">
        <f>IF(C412,(H412*N412*IF(AND(Inputs!$B$38&lt;&gt;"pvp",Inputs!$B$43&gt;0),((Skills!G12*((R412-1)*IF(Skills!H12&gt;0,Skills!I12/Skills!H12,1)+IF(Skills!H12&gt;0,MIN(Skills!I12,MAX(0,MAX(0,Inputs!$B$43-B441)-((R412-1)*(IF(Inputs!$B$38="pvp",15,MAX(0.1,Skills!D12-IF(Skills!E12=TRUE,Inputs!$B$32,0)))*(1-IF(AND(ArtifactsInput!$M$27,Inputs!$B$4="Chapter Hunt"),CHOOSE(ArtifactsInput!$N$27+1,20,24,28,32,36,40),0)/100)))))/Skills!H12,1)))/Inputs!$B$43),G412*Q412)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(5000/(6000+Inputs!$B$42*(1-(100*(1-(1-(100*(1-(1-(Inputs!$B$19+((C428=TRUE)*(F428-Calc!F28)))/100)*(1-CHOOSE(ArtifactsInput!$N$40+1,5,6,7,8,9,10)/100)^(ArtifactsInput!$M$40-ArtifactsInput!$M$40)))/100)*(1-IF(ArtifactsInput!$M$40,CHOOSE(ArtifactsInput!$N$40+1,5,6,7,8,9,10),0)/100)^IF(Inputs!$B$38="pvp",1,2)))/100)))/(5000/(6000+Inputs!$B$42*(1-(100*(1-(1-(Inputs!$B$19+((C428=TRUE)*(F428-Calc!F28)))/100)*(1-CHOOSE(ArtifactsInput!$N$40+1,5,6,7,8,9,10)/100)^(ArtifactsInput!$M$40-ArtifactsInput!$M$40)))/100))))*((L412*(1-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412*(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412*(1-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412*(MIN(100,(Inputs!$B$9+((C421=TRUE)*(F421-Calc!F21))+B434+(ArtifactsInput!$M$24-ArtifactsInput!$M$24)*CHOOSE(ArtifactsInput!$N$24+1,10,12,14,16,18,20)+(IF(AND(ArtifactsInput!$M$42,((Inputs!$B$9+((C421=TRUE)*(F421-Calc!F21))+B434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2">
        <f>IF(C412,(H412*N412*IF(AND(Inputs!$B$38&lt;&gt;"pvp",Inputs!$B$43&gt;0),((Skills!G12*((R412-1)*IF(Skills!H12&gt;0,Skills!I12/Skills!H12,1)+IF(Skills!H12&gt;0,MIN(Skills!I12,MAX(0,MAX(0,Inputs!$B$43-B441)-((R412-1)*(IF(Inputs!$B$38="pvp",15,MAX(0.1,Skills!D12-IF(Skills!E12=TRUE,Inputs!$B$32,0)))*(1-IF(AND(ArtifactsInput!$M$27,Inputs!$B$4="Chapter Hunt"),CHOOSE(ArtifactsInput!$N$27+1,20,24,28,32,36,40),0)/100)))))/Skills!H12,1)))/Inputs!$B$43),G412*Q412))*IF(Inputs!$B$38="pvp",1,(1+(Inputs!$B$21+Skills!Q12+(IF(ArtifactsInput!$M$33,CHOOSE(ArtifactsInput!$N$33+1,30,36,42,48,54,60),0))+(IF(AND(ArtifactsInput!$M$35,Inputs!$B$4&lt;&gt;"Chapter Hunt"),CHOOSE(ArtifactsInput!$N$35+1,15,18,21,24,27,30)*(1-EXP(-(0.2*B436)*5)),0)+IF(AND(ArtifactsInput!$M$22,Inputs!$B$4&lt;&gt;"Chapter Hunt"),CHOOSE(ArtifactsInput!$N$22+1,10,12,14,16,18,20)*((0*(((0.15*B436*5))^0/1)+1*(((0.15*B436*5))^1/1)+2*(((0.15*B436*5))^2/2)+3*(((0.15*B436*5))^3/6)+4*(((0.15*B436*5))^4/24)+5*(((0.15*B436*5))^5/120))/((((0.15*B436*5))^0/1)+(((0.15*B436*5))^1/1)+(((0.15*B436*5))^2/2)+(((0.15*B436*5))^3/6)+(((0.15*B436*5))^4/24)+(((0.15*B436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3">
      <c r="A413">
        <f>Skills!A13</f>
        <v/>
      </c>
      <c r="B413">
        <f>Skills!B13</f>
        <v/>
      </c>
      <c r="C413">
        <f>Inputs!$B$3&gt;=110</f>
        <v/>
      </c>
      <c r="D413">
        <f>IF(Skills!C13=1,60+Inputs!$B$25+Inputs!$B$29,IF(Skills!C13=2,90+Inputs!$B$26+Inputs!$B$29,IF(Skills!C13=3,120+Inputs!$B$27+Inputs!$B$29,MAX(0,(Inputs!$B$3-100)*3)+Inputs!$B$28+Inputs!$B$29)))</f>
        <v/>
      </c>
      <c r="E413">
        <f>INDEX(FactorTable!$B$2:$Y$301, MATCH(ROUND(MIN(300,MAX(1,D413)),0), FactorTable!$A$2:$A$301,0), Skills!M13+1)</f>
        <v/>
      </c>
      <c r="F413">
        <f>IF(Skills!N13=TRUE,(Skills!L13/10)*(E413/1000),Skills!L13/10)+Skills!O13</f>
        <v/>
      </c>
      <c r="G413" t="inlineStr"/>
      <c r="H413" t="inlineStr"/>
      <c r="I413" t="inlineStr">
        <is>
          <t>1</t>
        </is>
      </c>
      <c r="J413" t="inlineStr"/>
      <c r="K413" t="inlineStr"/>
      <c r="L413" t="inlineStr"/>
      <c r="M413" t="inlineStr"/>
      <c r="N413" t="inlineStr"/>
      <c r="O413" t="inlineStr"/>
      <c r="P413" t="inlineStr"/>
      <c r="Q413" t="inlineStr"/>
      <c r="R413" t="inlineStr"/>
      <c r="S413" t="inlineStr"/>
      <c r="T413" t="inlineStr"/>
      <c r="V413" t="inlineStr"/>
    </row>
    <row r="414">
      <c r="A414">
        <f>Skills!A14</f>
        <v/>
      </c>
      <c r="B414">
        <f>Skills!B14</f>
        <v/>
      </c>
      <c r="C414">
        <f>Inputs!$B$3&gt;=74</f>
        <v/>
      </c>
      <c r="D414">
        <f>IF(Skills!C14=1,60+Inputs!$B$25+Inputs!$B$29,IF(Skills!C14=2,90+Inputs!$B$26+Inputs!$B$29,IF(Skills!C14=3,120+Inputs!$B$27+Inputs!$B$29,MAX(0,(Inputs!$B$3-100)*3)+Inputs!$B$28+Inputs!$B$29)))</f>
        <v/>
      </c>
      <c r="E414">
        <f>INDEX(FactorTable!$B$2:$Y$301, MATCH(ROUND(MIN(300,MAX(1,D414)),0), FactorTable!$A$2:$A$301,0), Skills!M14+1)</f>
        <v/>
      </c>
      <c r="F414">
        <f>IF(Skills!N14=TRUE,(Skills!L14/10)*(E414/1000),Skills!L14/10)+Skills!O14</f>
        <v/>
      </c>
      <c r="G414">
        <f>Skills!G14*IF(Skills!H14&gt;0,Skills!I14/Skills!H14,1)</f>
        <v/>
      </c>
      <c r="H414">
        <f>1-(1-Skills!J14/100)^Skills!K14</f>
        <v/>
      </c>
      <c r="I414" t="inlineStr">
        <is>
          <t>1</t>
        </is>
      </c>
      <c r="J414" t="inlineStr"/>
      <c r="K414" t="inlineStr"/>
      <c r="L414" t="inlineStr"/>
      <c r="M414" t="inlineStr"/>
      <c r="N414" t="inlineStr"/>
      <c r="O414">
        <f>(1-Summary!$B$11)*T414+Summary!$B$11*V414</f>
        <v/>
      </c>
      <c r="P414">
        <f>IF(B444=0,0,O414/B444)</f>
        <v/>
      </c>
      <c r="Q414" t="n">
        <v>0</v>
      </c>
      <c r="R414" t="n">
        <v>0</v>
      </c>
      <c r="S414">
        <f>IFERROR(O414/N414,0)</f>
        <v/>
      </c>
      <c r="T414" t="n">
        <v>0</v>
      </c>
      <c r="V414" t="n">
        <v>0</v>
      </c>
    </row>
    <row r="415">
      <c r="A415">
        <f>Skills!A15</f>
        <v/>
      </c>
      <c r="B415">
        <f>Skills!B15</f>
        <v/>
      </c>
      <c r="C415">
        <f>Inputs!$B$3&gt;=74</f>
        <v/>
      </c>
      <c r="D415">
        <f>IF(Skills!C15=1,60+Inputs!$B$25+Inputs!$B$29,IF(Skills!C15=2,90+Inputs!$B$26+Inputs!$B$29,IF(Skills!C15=3,120+Inputs!$B$27+Inputs!$B$29,MAX(0,(Inputs!$B$3-100)*3)+Inputs!$B$28+Inputs!$B$29)))</f>
        <v/>
      </c>
      <c r="E415">
        <f>INDEX(FactorTable!$B$2:$Y$301, MATCH(ROUND(MIN(300,MAX(1,D415)),0), FactorTable!$A$2:$A$301,0), Skills!M15+1)</f>
        <v/>
      </c>
      <c r="F415">
        <f>IF(Skills!N15=TRUE,(Skills!L15/10)*(E415/1000),Skills!L15/10)+Skills!O15</f>
        <v/>
      </c>
      <c r="G415">
        <f>Skills!G15*IF(Skills!H15&gt;0,Skills!I15/Skills!H15,1)</f>
        <v/>
      </c>
      <c r="H415">
        <f>1-(1-Skills!J15/100)^Skills!K15</f>
        <v/>
      </c>
      <c r="I415" t="inlineStr">
        <is>
          <t>1</t>
        </is>
      </c>
      <c r="J415" t="inlineStr"/>
      <c r="K415" t="inlineStr"/>
      <c r="L415" t="inlineStr"/>
      <c r="M415" t="inlineStr"/>
      <c r="N415" t="inlineStr"/>
      <c r="O415">
        <f>(1-Summary!$B$11)*T415+Summary!$B$11*V415</f>
        <v/>
      </c>
      <c r="P415">
        <f>IF(B444=0,0,O415/B444)</f>
        <v/>
      </c>
      <c r="Q415" t="n">
        <v>0</v>
      </c>
      <c r="R415" t="n">
        <v>0</v>
      </c>
      <c r="S415">
        <f>IFERROR(O415/N415,0)</f>
        <v/>
      </c>
      <c r="T415" t="n">
        <v>0</v>
      </c>
      <c r="V415" t="n">
        <v>0</v>
      </c>
    </row>
    <row r="416">
      <c r="A416">
        <f>Skills!A16</f>
        <v/>
      </c>
      <c r="B416">
        <f>Skills!B16</f>
        <v/>
      </c>
      <c r="C416">
        <f>Inputs!$B$3&gt;=117</f>
        <v/>
      </c>
      <c r="D416">
        <f>IF(Skills!C16=1,60+Inputs!$B$25+Inputs!$B$29,IF(Skills!C16=2,90+Inputs!$B$26+Inputs!$B$29,IF(Skills!C16=3,120+Inputs!$B$27+Inputs!$B$29,MAX(0,(Inputs!$B$3-100)*3)+Inputs!$B$28+Inputs!$B$29)))</f>
        <v/>
      </c>
      <c r="E416">
        <f>INDEX(FactorTable!$B$2:$Y$301, MATCH(ROUND(MIN(300,MAX(1,D416)),0), FactorTable!$A$2:$A$301,0), Skills!M16+1)</f>
        <v/>
      </c>
      <c r="F416">
        <f>IF(Skills!N16=TRUE,(Skills!L16/10)*(E416/1000),Skills!L16/10)+Skills!O16</f>
        <v/>
      </c>
      <c r="G416">
        <f>Skills!G16*IF(Skills!H16&gt;0,Skills!I16/Skills!H16,1)</f>
        <v/>
      </c>
      <c r="H416">
        <f>1-(1-Skills!J16/100)^Skills!K16</f>
        <v/>
      </c>
      <c r="I416" t="inlineStr">
        <is>
          <t>1</t>
        </is>
      </c>
      <c r="J416" t="inlineStr"/>
      <c r="K416" t="inlineStr"/>
      <c r="L416" t="inlineStr"/>
      <c r="M416" t="inlineStr"/>
      <c r="N416" t="inlineStr"/>
      <c r="O416">
        <f>(1-Summary!$B$11)*T416+Summary!$B$11*V416</f>
        <v/>
      </c>
      <c r="P416">
        <f>IF(B444=0,0,O416/B444)</f>
        <v/>
      </c>
      <c r="Q416">
        <f>IFERROR(1/(IF(Inputs!$B$38="pvp",15,MAX(0.1,Skills!D16-IF(Skills!E16=TRUE,Inputs!$B$32,0)))*(1-IF(AND(ArtifactsInput!$M$27,Inputs!$B$4="Chapter Hunt"),CHOOSE(ArtifactsInput!$N$27+1,20,24,28,32,36,40),0)/100)),0)</f>
        <v/>
      </c>
      <c r="R416">
        <f>IF(AND(Inputs!$B$38&lt;&gt;"pvp",Inputs!$B$43&gt;0),IF(Inputs!$B$43&lt;=0,0,(INT(Inputs!$B$43/(IF(Inputs!$B$38="pvp",15,MAX(0.1,Skills!D16-IF(Skills!E16=TRUE,Inputs!$B$32,0)))*(1-IF(AND(ArtifactsInput!$M$27,Inputs!$B$4="Chapter Hunt"),CHOOSE(ArtifactsInput!$N$27+1,20,24,28,32,36,40),0)/100)))+1)),0)</f>
        <v/>
      </c>
      <c r="S416">
        <f>IFERROR(O416/N416,0)</f>
        <v/>
      </c>
      <c r="T416" t="n">
        <v>0</v>
      </c>
      <c r="V416" t="n">
        <v>0</v>
      </c>
    </row>
    <row r="417">
      <c r="A417">
        <f>Skills!A17</f>
        <v/>
      </c>
      <c r="B417">
        <f>Skills!B17</f>
        <v/>
      </c>
      <c r="C417">
        <f>Inputs!$B$3&gt;=115</f>
        <v/>
      </c>
      <c r="D417">
        <f>IF(Skills!C17=1,60+Inputs!$B$25+Inputs!$B$29,IF(Skills!C17=2,90+Inputs!$B$26+Inputs!$B$29,IF(Skills!C17=3,120+Inputs!$B$27+Inputs!$B$29,MAX(0,(Inputs!$B$3-100)*3)+Inputs!$B$28+Inputs!$B$29)))</f>
        <v/>
      </c>
      <c r="E417">
        <f>INDEX(FactorTable!$B$2:$Y$301, MATCH(ROUND(MIN(300,MAX(1,D417)),0), FactorTable!$A$2:$A$301,0), Skills!M17+1)</f>
        <v/>
      </c>
      <c r="F417">
        <f>IF(Skills!N17=TRUE,(Skills!L17/10)*(E417/1000),Skills!L17/10)+Skills!O17</f>
        <v/>
      </c>
      <c r="G417">
        <f>Skills!G17*IF(Skills!H17&gt;0,Skills!I17/Skills!H17,1)</f>
        <v/>
      </c>
      <c r="H417">
        <f>1-(1-Skills!J17/100)^Skills!K17</f>
        <v/>
      </c>
      <c r="I417" t="inlineStr">
        <is>
          <t>1</t>
        </is>
      </c>
      <c r="J417" t="inlineStr"/>
      <c r="K417" t="inlineStr"/>
      <c r="L417" t="inlineStr"/>
      <c r="M417" t="inlineStr"/>
      <c r="N417" t="inlineStr"/>
      <c r="O417">
        <f>(1-Summary!$B$11)*T417+Summary!$B$11*V417</f>
        <v/>
      </c>
      <c r="P417">
        <f>IF(B444=0,0,O417/B444)</f>
        <v/>
      </c>
      <c r="Q417">
        <f>IFERROR(1/(IF(Inputs!$B$38="pvp",15,MAX(0.1,Skills!D17-IF(Skills!E17=TRUE,Inputs!$B$32,0)))*(1-IF(AND(ArtifactsInput!$M$27,Inputs!$B$4="Chapter Hunt"),CHOOSE(ArtifactsInput!$N$27+1,20,24,28,32,36,40),0)/100)),0)</f>
        <v/>
      </c>
      <c r="R417">
        <f>IF(AND(Inputs!$B$38&lt;&gt;"pvp",Inputs!$B$43&gt;0),IF(Inputs!$B$43&lt;=0,0,(INT(Inputs!$B$43/(IF(Inputs!$B$38="pvp",15,MAX(0.1,Skills!D17-IF(Skills!E17=TRUE,Inputs!$B$32,0)))*(1-IF(AND(ArtifactsInput!$M$27,Inputs!$B$4="Chapter Hunt"),CHOOSE(ArtifactsInput!$N$27+1,20,24,28,32,36,40),0)/100)))+1)),0)</f>
        <v/>
      </c>
      <c r="S417">
        <f>IFERROR(O417/N417,0)</f>
        <v/>
      </c>
      <c r="T417" t="n">
        <v>0</v>
      </c>
      <c r="V417" t="n">
        <v>0</v>
      </c>
    </row>
    <row r="418">
      <c r="A418">
        <f>Skills!A18</f>
        <v/>
      </c>
      <c r="B418">
        <f>Skills!B18</f>
        <v/>
      </c>
      <c r="C418">
        <f>Inputs!$B$3&gt;=66</f>
        <v/>
      </c>
      <c r="D418">
        <f>IF(Skills!C18=1,60+Inputs!$B$25+Inputs!$B$29,IF(Skills!C18=2,90+Inputs!$B$26+Inputs!$B$29,IF(Skills!C18=3,120+Inputs!$B$27+Inputs!$B$29,MAX(0,(Inputs!$B$3-100)*3)+Inputs!$B$28+Inputs!$B$29)))</f>
        <v/>
      </c>
      <c r="E418">
        <f>INDEX(FactorTable!$B$2:$Y$301, MATCH(ROUND(MIN(300,MAX(1,D418)),0), FactorTable!$A$2:$A$301,0), Skills!M18+1)</f>
        <v/>
      </c>
      <c r="F418">
        <f>IF(Skills!N18=TRUE,(Skills!L18/10)*(E418/1000),Skills!L18/10)+Skills!O18</f>
        <v/>
      </c>
      <c r="G418">
        <f>Skills!G18*IF(Skills!H18&gt;0,Skills!I18/Skills!H18,1)</f>
        <v/>
      </c>
      <c r="H418">
        <f>1-(1-Skills!J18/100)^Skills!K18</f>
        <v/>
      </c>
      <c r="I418" t="inlineStr">
        <is>
          <t>1</t>
        </is>
      </c>
      <c r="J418" t="inlineStr"/>
      <c r="K418" t="inlineStr"/>
      <c r="L418" t="inlineStr"/>
      <c r="M418" t="inlineStr"/>
      <c r="N418" t="inlineStr"/>
      <c r="O418">
        <f>(1-Summary!$B$11)*T418+Summary!$B$11*V418</f>
        <v/>
      </c>
      <c r="P418">
        <f>IF(B444=0,0,O418/B444)</f>
        <v/>
      </c>
      <c r="Q418" t="n">
        <v>0</v>
      </c>
      <c r="R418" t="n">
        <v>0</v>
      </c>
      <c r="S418">
        <f>IFERROR(O418/N418,0)</f>
        <v/>
      </c>
      <c r="T418" t="n">
        <v>0</v>
      </c>
      <c r="V418" t="n">
        <v>0</v>
      </c>
    </row>
    <row r="419">
      <c r="A419">
        <f>Skills!A19</f>
        <v/>
      </c>
      <c r="B419">
        <f>Skills!B19</f>
        <v/>
      </c>
      <c r="C419">
        <f>Inputs!$B$3&gt;=72</f>
        <v/>
      </c>
      <c r="D419">
        <f>IF(Skills!C19=1,60+Inputs!$B$25+Inputs!$B$29,IF(Skills!C19=2,90+Inputs!$B$26+Inputs!$B$29,IF(Skills!C19=3,120+Inputs!$B$27+Inputs!$B$29,MAX(0,(Inputs!$B$3-100)*3)+Inputs!$B$28+Inputs!$B$29)))</f>
        <v/>
      </c>
      <c r="E419">
        <f>INDEX(FactorTable!$B$2:$Y$301, MATCH(ROUND(MIN(300,MAX(1,D419)),0), FactorTable!$A$2:$A$301,0), Skills!M19+1)</f>
        <v/>
      </c>
      <c r="F419">
        <f>IF(Skills!N19=TRUE,(Skills!L19/10)*(E419/1000),Skills!L19/10)+Skills!O19</f>
        <v/>
      </c>
      <c r="G419">
        <f>Skills!G19*IF(Skills!H19&gt;0,Skills!I19/Skills!H19,1)</f>
        <v/>
      </c>
      <c r="H419">
        <f>1-(1-Skills!J19/100)^Skills!K19</f>
        <v/>
      </c>
      <c r="I419" t="inlineStr">
        <is>
          <t>1</t>
        </is>
      </c>
      <c r="J419" t="inlineStr"/>
      <c r="K419" t="inlineStr"/>
      <c r="L419" t="inlineStr"/>
      <c r="M419" t="inlineStr"/>
      <c r="N419" t="inlineStr"/>
      <c r="O419">
        <f>(1-Summary!$B$11)*T419+Summary!$B$11*V419</f>
        <v/>
      </c>
      <c r="P419">
        <f>IF(B444=0,0,O419/B444)</f>
        <v/>
      </c>
      <c r="Q419" t="n">
        <v>0</v>
      </c>
      <c r="R419" t="n">
        <v>0</v>
      </c>
      <c r="S419">
        <f>IFERROR(O419/N419,0)</f>
        <v/>
      </c>
      <c r="T419" t="n">
        <v>0</v>
      </c>
      <c r="V419" t="n">
        <v>0</v>
      </c>
    </row>
    <row r="420">
      <c r="A420">
        <f>Skills!A20</f>
        <v/>
      </c>
      <c r="B420">
        <f>Skills!B20</f>
        <v/>
      </c>
      <c r="C420">
        <f>TRUE</f>
        <v/>
      </c>
      <c r="D420">
        <f>IF(Skills!C20=1,60+Inputs!$B$25+Inputs!$B$29,IF(Skills!C20=2,90+Inputs!$B$26+Inputs!$B$29,IF(Skills!C20=3,120+Inputs!$B$27+Inputs!$B$29,MAX(0,(Inputs!$B$3-100)*3)+Inputs!$B$28+Inputs!$B$29)))</f>
        <v/>
      </c>
      <c r="E420">
        <f>INDEX(FactorTable!$B$2:$Y$301, MATCH(ROUND(MIN(300,MAX(1,D420)),0), FactorTable!$A$2:$A$301,0), Skills!M20+1)</f>
        <v/>
      </c>
      <c r="F420">
        <f>IF(Skills!N20=TRUE,(Skills!L20/10)*(E420/1000),Skills!L20/10)+Skills!O20</f>
        <v/>
      </c>
      <c r="G420">
        <f>Skills!G20*IF(Skills!H20&gt;0,Skills!I20/Skills!H20,1)</f>
        <v/>
      </c>
      <c r="H420">
        <f>1-(1-Skills!J20/100)^Skills!K20</f>
        <v/>
      </c>
      <c r="I420" t="inlineStr">
        <is>
          <t>1</t>
        </is>
      </c>
      <c r="J420" t="inlineStr"/>
      <c r="K420" t="inlineStr"/>
      <c r="L420" t="inlineStr"/>
      <c r="M420" t="inlineStr"/>
      <c r="N420" t="inlineStr"/>
      <c r="O420">
        <f>(1-Summary!$B$11)*T420+Summary!$B$11*V420</f>
        <v/>
      </c>
      <c r="P420">
        <f>IF(B444=0,0,O420/B444)</f>
        <v/>
      </c>
      <c r="Q420">
        <f>IFERROR(1/(IF(Inputs!$B$38="pvp",15,MAX(0.1,Skills!D20-IF(Skills!E20=TRUE,Inputs!$B$32,0)))*(1-IF(AND(ArtifactsInput!$M$27,Inputs!$B$4="Chapter Hunt"),CHOOSE(ArtifactsInput!$N$27+1,20,24,28,32,36,40),0)/100)),0)</f>
        <v/>
      </c>
      <c r="R420">
        <f>IF(AND(Inputs!$B$38&lt;&gt;"pvp",Inputs!$B$43&gt;0),IF(Inputs!$B$43&lt;=0,0,(INT(Inputs!$B$43/(IF(Inputs!$B$38="pvp",15,MAX(0.1,Skills!D20-IF(Skills!E20=TRUE,Inputs!$B$32,0)))*(1-IF(AND(ArtifactsInput!$M$27,Inputs!$B$4="Chapter Hunt"),CHOOSE(ArtifactsInput!$N$27+1,20,24,28,32,36,40),0)/100)))+1)),0)</f>
        <v/>
      </c>
      <c r="S420">
        <f>IFERROR(O420/N420,0)</f>
        <v/>
      </c>
      <c r="T420" t="n">
        <v>0</v>
      </c>
      <c r="V420" t="n">
        <v>0</v>
      </c>
    </row>
    <row r="421">
      <c r="A421">
        <f>Skills!A21</f>
        <v/>
      </c>
      <c r="B421">
        <f>Skills!B21</f>
        <v/>
      </c>
      <c r="C421">
        <f>Inputs!$B$3&gt;=15</f>
        <v/>
      </c>
      <c r="D421">
        <f>IF(Skills!C21=1,60+Inputs!$B$25+Inputs!$B$29,IF(Skills!C21=2,90+Inputs!$B$26+Inputs!$B$29,IF(Skills!C21=3,120+Inputs!$B$27+Inputs!$B$29,MAX(0,(Inputs!$B$3-100)*3)+Inputs!$B$28+Inputs!$B$29)))</f>
        <v/>
      </c>
      <c r="E421">
        <f>INDEX(FactorTable!$B$2:$Y$301, MATCH(ROUND(MIN(300,MAX(1,D421)),0), FactorTable!$A$2:$A$301,0), Skills!M21+1)</f>
        <v/>
      </c>
      <c r="F421">
        <f>IF(Skills!N21=TRUE,(Skills!L21/10)*(E421/1000),Skills!L21/10)+Skills!O21</f>
        <v/>
      </c>
      <c r="G421">
        <f>Skills!G21*IF(Skills!H21&gt;0,Skills!I21/Skills!H21,1)</f>
        <v/>
      </c>
      <c r="H421">
        <f>1-(1-Skills!J21/100)^Skills!K21</f>
        <v/>
      </c>
      <c r="I421" t="inlineStr">
        <is>
          <t>1</t>
        </is>
      </c>
      <c r="J421" t="inlineStr"/>
      <c r="K421" t="inlineStr"/>
      <c r="L421" t="inlineStr"/>
      <c r="M421" t="inlineStr"/>
      <c r="N421" t="inlineStr"/>
      <c r="O421">
        <f>(1-Summary!$B$11)*T421+Summary!$B$11*V421</f>
        <v/>
      </c>
      <c r="P421">
        <f>IF(B444=0,0,O421/B444)</f>
        <v/>
      </c>
      <c r="Q421" t="n">
        <v>0</v>
      </c>
      <c r="R421" t="n">
        <v>0</v>
      </c>
      <c r="S421">
        <f>IFERROR(O421/N421,0)</f>
        <v/>
      </c>
      <c r="T421" t="n">
        <v>0</v>
      </c>
      <c r="V421" t="n">
        <v>0</v>
      </c>
    </row>
    <row r="422">
      <c r="A422">
        <f>Skills!A22</f>
        <v/>
      </c>
      <c r="B422">
        <f>Skills!B22</f>
        <v/>
      </c>
      <c r="C422">
        <f>Inputs!$B$3&gt;=10</f>
        <v/>
      </c>
      <c r="D422">
        <f>IF(Skills!C22=1,60+Inputs!$B$25+Inputs!$B$29,IF(Skills!C22=2,90+Inputs!$B$26+Inputs!$B$29,IF(Skills!C22=3,120+Inputs!$B$27+Inputs!$B$29,MAX(0,(Inputs!$B$3-100)*3)+Inputs!$B$28+Inputs!$B$29)))</f>
        <v/>
      </c>
      <c r="E422">
        <f>INDEX(FactorTable!$B$2:$Y$301, MATCH(ROUND(MIN(300,MAX(1,D422)),0), FactorTable!$A$2:$A$301,0), Skills!M22+1)</f>
        <v/>
      </c>
      <c r="F422">
        <f>IF(Skills!N22=TRUE,(Skills!L22/10)*(E422/1000),Skills!L22/10)+Skills!O22</f>
        <v/>
      </c>
      <c r="G422">
        <f>Skills!G22*IF(Skills!H22&gt;0,Skills!I22/Skills!H22,1)</f>
        <v/>
      </c>
      <c r="H422">
        <f>1-(1-Skills!J22/100)^Skills!K22</f>
        <v/>
      </c>
      <c r="I422" t="inlineStr">
        <is>
          <t>1</t>
        </is>
      </c>
      <c r="J422" t="inlineStr"/>
      <c r="K422" t="inlineStr"/>
      <c r="L422" t="inlineStr"/>
      <c r="M422" t="inlineStr"/>
      <c r="N422" t="inlineStr"/>
      <c r="O422">
        <f>(1-Summary!$B$11)*T422+Summary!$B$11*V422</f>
        <v/>
      </c>
      <c r="P422">
        <f>IF(B444=0,0,O422/B444)</f>
        <v/>
      </c>
      <c r="Q422" t="n">
        <v>0</v>
      </c>
      <c r="R422" t="n">
        <v>0</v>
      </c>
      <c r="S422">
        <f>IFERROR(O422/N422,0)</f>
        <v/>
      </c>
      <c r="T422" t="n">
        <v>0</v>
      </c>
      <c r="V422" t="n">
        <v>0</v>
      </c>
    </row>
    <row r="423">
      <c r="A423">
        <f>Skills!A23</f>
        <v/>
      </c>
      <c r="B423">
        <f>Skills!B23</f>
        <v/>
      </c>
      <c r="C423">
        <f>Inputs!$B$3&gt;=33</f>
        <v/>
      </c>
      <c r="D423">
        <f>IF(Skills!C23=1,60+Inputs!$B$25+Inputs!$B$29,IF(Skills!C23=2,90+Inputs!$B$26+Inputs!$B$29,IF(Skills!C23=3,120+Inputs!$B$27+Inputs!$B$29,MAX(0,(Inputs!$B$3-100)*3)+Inputs!$B$28+Inputs!$B$29)))</f>
        <v/>
      </c>
      <c r="E423">
        <f>INDEX(FactorTable!$B$2:$Y$301, MATCH(ROUND(MIN(300,MAX(1,D423)),0), FactorTable!$A$2:$A$301,0), Skills!M23+1)</f>
        <v/>
      </c>
      <c r="F423">
        <f>IF(Skills!N23=TRUE,(Skills!L23/10)*(E423/1000),Skills!L23/10)+Skills!O23</f>
        <v/>
      </c>
      <c r="G423">
        <f>Skills!G23*IF(Skills!H23&gt;0,Skills!I23/Skills!H23,1)</f>
        <v/>
      </c>
      <c r="H423">
        <f>1-(1-Skills!J23/100)^Skills!K23</f>
        <v/>
      </c>
      <c r="I423" t="inlineStr">
        <is>
          <t>1</t>
        </is>
      </c>
      <c r="J423" t="inlineStr"/>
      <c r="K423" t="inlineStr"/>
      <c r="L423" t="inlineStr"/>
      <c r="M423" t="inlineStr"/>
      <c r="N423" t="inlineStr"/>
      <c r="O423">
        <f>(1-Summary!$B$11)*T423+Summary!$B$11*V423</f>
        <v/>
      </c>
      <c r="P423">
        <f>IF(B444=0,0,O423/B444)</f>
        <v/>
      </c>
      <c r="Q423" t="n">
        <v>0</v>
      </c>
      <c r="R423" t="n">
        <v>0</v>
      </c>
      <c r="S423">
        <f>IFERROR(O423/N423,0)</f>
        <v/>
      </c>
      <c r="T423" t="n">
        <v>0</v>
      </c>
      <c r="V423" t="n">
        <v>0</v>
      </c>
    </row>
    <row r="424">
      <c r="A424">
        <f>Skills!A24</f>
        <v/>
      </c>
      <c r="B424">
        <f>Skills!B24</f>
        <v/>
      </c>
      <c r="C424">
        <f>Inputs!$B$3&gt;=38</f>
        <v/>
      </c>
      <c r="D424">
        <f>IF(Skills!C24=1,60+Inputs!$B$25+Inputs!$B$29,IF(Skills!C24=2,90+Inputs!$B$26+Inputs!$B$29,IF(Skills!C24=3,120+Inputs!$B$27+Inputs!$B$29,MAX(0,(Inputs!$B$3-100)*3)+Inputs!$B$28+Inputs!$B$29)))</f>
        <v/>
      </c>
      <c r="E424">
        <f>INDEX(FactorTable!$B$2:$Y$301, MATCH(ROUND(MIN(300,MAX(1,D424)),0), FactorTable!$A$2:$A$301,0), Skills!M24+1)</f>
        <v/>
      </c>
      <c r="F424">
        <f>IF(Skills!N24=TRUE,(Skills!L24/10)*(E424/1000),Skills!L24/10)+Skills!O24</f>
        <v/>
      </c>
      <c r="G424">
        <f>Skills!G24*IF(Skills!H24&gt;0,Skills!I24/Skills!H24,1)</f>
        <v/>
      </c>
      <c r="H424">
        <f>1-(1-Skills!J24/100)^Skills!K24</f>
        <v/>
      </c>
      <c r="I424" t="inlineStr">
        <is>
          <t>1</t>
        </is>
      </c>
      <c r="J424" t="inlineStr"/>
      <c r="K424" t="inlineStr"/>
      <c r="L424" t="inlineStr"/>
      <c r="M424" t="inlineStr"/>
      <c r="N424" t="inlineStr"/>
      <c r="O424">
        <f>(1-Summary!$B$11)*T424+Summary!$B$11*V424</f>
        <v/>
      </c>
      <c r="P424">
        <f>IF(B444=0,0,O424/B444)</f>
        <v/>
      </c>
      <c r="Q424" t="n">
        <v>0</v>
      </c>
      <c r="R424" t="n">
        <v>0</v>
      </c>
      <c r="S424">
        <f>IFERROR(O424/N424,0)</f>
        <v/>
      </c>
      <c r="T424" t="n">
        <v>0</v>
      </c>
      <c r="V424" t="n">
        <v>0</v>
      </c>
    </row>
    <row r="425">
      <c r="A425">
        <f>Skills!A25</f>
        <v/>
      </c>
      <c r="B425">
        <f>Skills!B25</f>
        <v/>
      </c>
      <c r="C425">
        <f>Inputs!$B$3&gt;=43</f>
        <v/>
      </c>
      <c r="D425">
        <f>IF(Skills!C25=1,60+Inputs!$B$25+Inputs!$B$29,IF(Skills!C25=2,90+Inputs!$B$26+Inputs!$B$29,IF(Skills!C25=3,120+Inputs!$B$27+Inputs!$B$29,MAX(0,(Inputs!$B$3-100)*3)+Inputs!$B$28+Inputs!$B$29)))</f>
        <v/>
      </c>
      <c r="E425">
        <f>INDEX(FactorTable!$B$2:$Y$301, MATCH(ROUND(MIN(300,MAX(1,D425)),0), FactorTable!$A$2:$A$301,0), Skills!M25+1)</f>
        <v/>
      </c>
      <c r="F425">
        <f>IF(Skills!N25=TRUE,(Skills!L25/10)*(E425/1000),Skills!L25/10)+Skills!O25</f>
        <v/>
      </c>
      <c r="G425">
        <f>Skills!G25*IF(Skills!H25&gt;0,Skills!I25/Skills!H25,1)</f>
        <v/>
      </c>
      <c r="H425">
        <f>1-(1-Skills!J25/100)^Skills!K25</f>
        <v/>
      </c>
      <c r="I425" t="inlineStr">
        <is>
          <t>1</t>
        </is>
      </c>
      <c r="J425" t="inlineStr"/>
      <c r="K425" t="inlineStr"/>
      <c r="L425" t="inlineStr"/>
      <c r="M425" t="inlineStr"/>
      <c r="N425" t="inlineStr"/>
      <c r="O425">
        <f>(1-Summary!$B$11)*T425+Summary!$B$11*V425</f>
        <v/>
      </c>
      <c r="P425">
        <f>IF(B444=0,0,O425/B444)</f>
        <v/>
      </c>
      <c r="Q425" t="n">
        <v>0</v>
      </c>
      <c r="R425" t="n">
        <v>0</v>
      </c>
      <c r="S425">
        <f>IFERROR(O425/N425,0)</f>
        <v/>
      </c>
      <c r="T425" t="n">
        <v>0</v>
      </c>
      <c r="V425" t="n">
        <v>0</v>
      </c>
    </row>
    <row r="426">
      <c r="A426">
        <f>Skills!A26</f>
        <v/>
      </c>
      <c r="B426">
        <f>Skills!B26</f>
        <v/>
      </c>
      <c r="C426">
        <f>Inputs!$B$3&gt;=75</f>
        <v/>
      </c>
      <c r="D426">
        <f>IF(Skills!C26=1,60+Inputs!$B$25+Inputs!$B$29,IF(Skills!C26=2,90+Inputs!$B$26+Inputs!$B$29,IF(Skills!C26=3,120+Inputs!$B$27+Inputs!$B$29,MAX(0,(Inputs!$B$3-100)*3)+Inputs!$B$28+Inputs!$B$29)))</f>
        <v/>
      </c>
      <c r="E426">
        <f>INDEX(FactorTable!$B$2:$Y$301, MATCH(ROUND(MIN(300,MAX(1,D426)),0), FactorTable!$A$2:$A$301,0), Skills!M26+1)</f>
        <v/>
      </c>
      <c r="F426">
        <f>IF(Skills!N26=TRUE,(Skills!L26/10)*(E426/1000),Skills!L26/10)+Skills!O26</f>
        <v/>
      </c>
      <c r="G426">
        <f>Skills!G26*IF(Skills!H26&gt;0,Skills!I26/Skills!H26,1)</f>
        <v/>
      </c>
      <c r="H426">
        <f>1-(1-Skills!J26/100)^Skills!K26</f>
        <v/>
      </c>
      <c r="I426" t="inlineStr">
        <is>
          <t>1</t>
        </is>
      </c>
      <c r="J426" t="inlineStr"/>
      <c r="K426" t="inlineStr"/>
      <c r="L426" t="inlineStr"/>
      <c r="M426" t="inlineStr"/>
      <c r="N426" t="inlineStr"/>
      <c r="O426">
        <f>(1-Summary!$B$11)*T426+Summary!$B$11*V426</f>
        <v/>
      </c>
      <c r="P426">
        <f>IF(B444=0,0,O426/B444)</f>
        <v/>
      </c>
      <c r="Q426" t="n">
        <v>0</v>
      </c>
      <c r="R426" t="n">
        <v>0</v>
      </c>
      <c r="S426">
        <f>IFERROR(O426/N426,0)</f>
        <v/>
      </c>
      <c r="T426" t="n">
        <v>0</v>
      </c>
      <c r="V426" t="n">
        <v>0</v>
      </c>
    </row>
    <row r="427">
      <c r="A427">
        <f>Skills!A27</f>
        <v/>
      </c>
      <c r="B427">
        <f>Skills!B27</f>
        <v/>
      </c>
      <c r="C427">
        <f>Inputs!$B$3&gt;=125</f>
        <v/>
      </c>
      <c r="D427">
        <f>IF(Skills!C27=1,60+Inputs!$B$25+Inputs!$B$29,IF(Skills!C27=2,90+Inputs!$B$26+Inputs!$B$29,IF(Skills!C27=3,120+Inputs!$B$27+Inputs!$B$29,MAX(0,(Inputs!$B$3-100)*3)+Inputs!$B$28+Inputs!$B$29)))</f>
        <v/>
      </c>
      <c r="E427">
        <f>INDEX(FactorTable!$B$2:$Y$301, MATCH(ROUND(MIN(300,MAX(1,D427)),0), FactorTable!$A$2:$A$301,0), Skills!M27+1)</f>
        <v/>
      </c>
      <c r="F427">
        <f>IF(Skills!N27=TRUE,(Skills!L27/10)*(E427/1000),Skills!L27/10)+Skills!O27</f>
        <v/>
      </c>
      <c r="G427">
        <f>Skills!G27*IF(Skills!H27&gt;0,Skills!I27/Skills!H27,1)</f>
        <v/>
      </c>
      <c r="H427">
        <f>1-(1-Skills!J27/100)^Skills!K27</f>
        <v/>
      </c>
      <c r="I427" t="inlineStr">
        <is>
          <t>1</t>
        </is>
      </c>
      <c r="J427" t="inlineStr"/>
      <c r="K427" t="inlineStr"/>
      <c r="L427" t="inlineStr"/>
      <c r="M427" t="inlineStr"/>
      <c r="N427" t="inlineStr"/>
      <c r="O427">
        <f>(1-Summary!$B$11)*T427+Summary!$B$11*V427</f>
        <v/>
      </c>
      <c r="P427">
        <f>IF(B444=0,0,O427/B444)</f>
        <v/>
      </c>
      <c r="Q427" t="n">
        <v>0</v>
      </c>
      <c r="R427" t="n">
        <v>0</v>
      </c>
      <c r="S427">
        <f>IFERROR(O427/N427,0)</f>
        <v/>
      </c>
      <c r="T427" t="n">
        <v>0</v>
      </c>
      <c r="V427" t="n">
        <v>0</v>
      </c>
    </row>
    <row r="428">
      <c r="A428">
        <f>Skills!A28</f>
        <v/>
      </c>
      <c r="B428">
        <f>Skills!B28</f>
        <v/>
      </c>
      <c r="C428">
        <f>Inputs!$B$3&gt;=125</f>
        <v/>
      </c>
      <c r="D428">
        <f>IF(Skills!C28=1,60+Inputs!$B$25+Inputs!$B$29,IF(Skills!C28=2,90+Inputs!$B$26+Inputs!$B$29,IF(Skills!C28=3,120+Inputs!$B$27+Inputs!$B$29,MAX(0,(Inputs!$B$3-100)*3)+Inputs!$B$28+Inputs!$B$29)))</f>
        <v/>
      </c>
      <c r="E428">
        <f>INDEX(FactorTable!$B$2:$Y$301, MATCH(ROUND(MIN(300,MAX(1,D428)),0), FactorTable!$A$2:$A$301,0), Skills!M28+1)</f>
        <v/>
      </c>
      <c r="F428">
        <f>IF(Skills!N28=TRUE,(Skills!L28/10)*(E428/1000),Skills!L28/10)+Skills!O28</f>
        <v/>
      </c>
      <c r="G428">
        <f>Skills!G28*IF(Skills!H28&gt;0,Skills!I28/Skills!H28,1)</f>
        <v/>
      </c>
      <c r="H428">
        <f>1-(1-Skills!J28/100)^Skills!K28</f>
        <v/>
      </c>
      <c r="I428" t="inlineStr">
        <is>
          <t>1</t>
        </is>
      </c>
      <c r="J428" t="inlineStr"/>
      <c r="K428" t="inlineStr"/>
      <c r="L428" t="inlineStr"/>
      <c r="M428" t="inlineStr"/>
      <c r="N428" t="inlineStr"/>
      <c r="O428">
        <f>(1-Summary!$B$11)*T428+Summary!$B$11*V428</f>
        <v/>
      </c>
      <c r="P428">
        <f>IF(B444=0,0,O428/B444)</f>
        <v/>
      </c>
      <c r="Q428" t="n">
        <v>0</v>
      </c>
      <c r="R428" t="n">
        <v>0</v>
      </c>
      <c r="S428">
        <f>IFERROR(O428/N428,0)</f>
        <v/>
      </c>
      <c r="T428" t="n">
        <v>0</v>
      </c>
      <c r="V428" t="n">
        <v>0</v>
      </c>
    </row>
    <row r="429">
      <c r="A429">
        <f>Skills!A29</f>
        <v/>
      </c>
      <c r="B429">
        <f>Skills!B29</f>
        <v/>
      </c>
      <c r="C429">
        <f>Inputs!$B$3&gt;=120</f>
        <v/>
      </c>
      <c r="D429">
        <f>IF(Skills!C29=1,60+Inputs!$B$25+Inputs!$B$29,IF(Skills!C29=2,90+Inputs!$B$26+Inputs!$B$29,IF(Skills!C29=3,120+Inputs!$B$27+Inputs!$B$29,MAX(0,(Inputs!$B$3-100)*3)+Inputs!$B$28+Inputs!$B$29)))</f>
        <v/>
      </c>
      <c r="E429">
        <f>INDEX(FactorTable!$B$2:$Y$301, MATCH(ROUND(MIN(300,MAX(1,D429)),0), FactorTable!$A$2:$A$301,0), Skills!M29+1)</f>
        <v/>
      </c>
      <c r="F429">
        <f>IF(Skills!N29=TRUE,(Skills!L29/10)*(E429/1000),Skills!L29/10)+Skills!O29</f>
        <v/>
      </c>
      <c r="G429">
        <f>Skills!G29*IF(Skills!H29&gt;0,Skills!I29/Skills!H29,1)</f>
        <v/>
      </c>
      <c r="H429">
        <f>1-(1-Skills!J29/100)^Skills!K29</f>
        <v/>
      </c>
      <c r="I429" t="inlineStr">
        <is>
          <t>1</t>
        </is>
      </c>
      <c r="J429" t="inlineStr"/>
      <c r="K429" t="inlineStr"/>
      <c r="L429" t="inlineStr"/>
      <c r="M429" t="inlineStr"/>
      <c r="N429" t="inlineStr"/>
      <c r="O429">
        <f>(1-Summary!$B$11)*T429+Summary!$B$11*V429</f>
        <v/>
      </c>
      <c r="P429">
        <f>IF(B444=0,0,O429/B444)</f>
        <v/>
      </c>
      <c r="Q429" t="n">
        <v>0</v>
      </c>
      <c r="R429" t="n">
        <v>0</v>
      </c>
      <c r="S429">
        <f>IFERROR(O429/N429,0)</f>
        <v/>
      </c>
      <c r="T429" t="n">
        <v>0</v>
      </c>
      <c r="V429" t="n">
        <v>0</v>
      </c>
    </row>
    <row r="430">
      <c r="A430">
        <f>Skills!A30</f>
        <v/>
      </c>
      <c r="B430">
        <f>Skills!B30</f>
        <v/>
      </c>
      <c r="C430">
        <f>Inputs!$B$3&gt;=120</f>
        <v/>
      </c>
      <c r="D430">
        <f>IF(Skills!C30=1,60+Inputs!$B$25+Inputs!$B$29,IF(Skills!C30=2,90+Inputs!$B$26+Inputs!$B$29,IF(Skills!C30=3,120+Inputs!$B$27+Inputs!$B$29,MAX(0,(Inputs!$B$3-100)*3)+Inputs!$B$28+Inputs!$B$29)))</f>
        <v/>
      </c>
      <c r="E430">
        <f>INDEX(FactorTable!$B$2:$Y$301, MATCH(ROUND(MIN(300,MAX(1,D430)),0), FactorTable!$A$2:$A$301,0), Skills!M30+1)</f>
        <v/>
      </c>
      <c r="F430">
        <f>IF(Skills!N30=TRUE,(Skills!L30/10)*(E430/1000),Skills!L30/10)+Skills!O30</f>
        <v/>
      </c>
      <c r="G430">
        <f>Skills!G30*IF(Skills!H30&gt;0,Skills!I30/Skills!H30,1)</f>
        <v/>
      </c>
      <c r="H430">
        <f>1-(1-Skills!J30/100)^Skills!K30</f>
        <v/>
      </c>
      <c r="I430" t="inlineStr">
        <is>
          <t>1</t>
        </is>
      </c>
      <c r="J430" t="inlineStr"/>
      <c r="K430" t="inlineStr"/>
      <c r="L430" t="inlineStr"/>
      <c r="M430" t="inlineStr"/>
      <c r="N430" t="inlineStr"/>
      <c r="O430">
        <f>(1-Summary!$B$11)*T430+Summary!$B$11*V430</f>
        <v/>
      </c>
      <c r="P430">
        <f>IF(B444=0,0,O430/B444)</f>
        <v/>
      </c>
      <c r="Q430" t="n">
        <v>0</v>
      </c>
      <c r="R430" t="n">
        <v>0</v>
      </c>
      <c r="S430">
        <f>IFERROR(O430/N430,0)</f>
        <v/>
      </c>
      <c r="T430" t="n">
        <v>0</v>
      </c>
      <c r="V430" t="n">
        <v>0</v>
      </c>
    </row>
    <row r="431">
      <c r="A431">
        <f>Skills!A31</f>
        <v/>
      </c>
      <c r="B431">
        <f>Skills!B31</f>
        <v/>
      </c>
      <c r="C431">
        <f>Inputs!$B$3&gt;=45</f>
        <v/>
      </c>
      <c r="D431">
        <f>IF(Skills!C31=1,60+Inputs!$B$25+Inputs!$B$29,IF(Skills!C31=2,90+Inputs!$B$26+Inputs!$B$29,IF(Skills!C31=3,120+Inputs!$B$27+Inputs!$B$29,MAX(0,(Inputs!$B$3-100)*3)+Inputs!$B$28+Inputs!$B$29)))</f>
        <v/>
      </c>
      <c r="E431">
        <f>INDEX(FactorTable!$B$2:$Y$301, MATCH(ROUND(MIN(300,MAX(1,D431)),0), FactorTable!$A$2:$A$301,0), Skills!M31+1)</f>
        <v/>
      </c>
      <c r="F431">
        <f>IF(Skills!N31=TRUE,(Skills!L31/10)*(E431/1000),Skills!L31/10)+Skills!O31</f>
        <v/>
      </c>
      <c r="G431">
        <f>Skills!G31*IF(Skills!H31&gt;0,Skills!I31/Skills!H31,1)</f>
        <v/>
      </c>
      <c r="H431">
        <f>1-(1-Skills!J31/100)^Skills!K31</f>
        <v/>
      </c>
      <c r="I431" t="inlineStr">
        <is>
          <t>1</t>
        </is>
      </c>
      <c r="J431" t="inlineStr"/>
      <c r="K431" t="inlineStr"/>
      <c r="L431" t="inlineStr"/>
      <c r="M431" t="inlineStr"/>
      <c r="N431" t="inlineStr"/>
      <c r="O431">
        <f>(1-Summary!$B$11)*T431+Summary!$B$11*V431</f>
        <v/>
      </c>
      <c r="P431">
        <f>IF(B444=0,0,O431/B444)</f>
        <v/>
      </c>
      <c r="Q431" t="n">
        <v>0</v>
      </c>
      <c r="R431" t="n">
        <v>0</v>
      </c>
      <c r="S431">
        <f>IFERROR(O431/N431,0)</f>
        <v/>
      </c>
      <c r="T431" t="n">
        <v>0</v>
      </c>
      <c r="V431" t="n">
        <v>0</v>
      </c>
    </row>
    <row r="433">
      <c r="A433" t="inlineStr">
        <is>
          <t>Attack% Bucket Multiplier</t>
        </is>
      </c>
      <c r="B433">
        <f>(1+(((C414=TRUE)*F414)+((C415=TRUE)*IF(Inputs!$B$38="pvp",F415,(1-Summary!$B$11)*(F415)+Summary!$B$11*(0)))+((C416=TRUE)*F416*IF(AND(Inputs!$B$38&lt;&gt;"pvp",Inputs!$B$43&gt;0),(((R416-1)*(Skills!T16*(1+Inputs!$B$34/100))+MIN((Skills!T16*(1+Inputs!$B$34/100)),MAX(0,Inputs!$B$43-((R416-1)*Skills!D16))))/Inputs!$B$43),IF(Inputs!$B$38="pvp",MIN((Skills!T16*(1+Inputs!$B$34/100)),15)/15,(Skills!T16*(1+Inputs!$B$34/100))/Skills!D16)))+((C431=TRUE)*(F431-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34">
      <c r="A434" t="inlineStr">
        <is>
          <t>Global Crit Rate Bonus %</t>
        </is>
      </c>
      <c r="B434">
        <f>(C417=TRUE)*20*IF(AND(Inputs!$B$38&lt;&gt;"pvp",Inputs!$B$43&gt;0),(((R417-1)*(Skills!T17*(1+Inputs!$B$34/100))+MIN((Skills!T17*(1+Inputs!$B$34/100)),MAX(0,Inputs!$B$43-((R417-1)*Skills!D17))))/Inputs!$B$43),IF(Inputs!$B$38="pvp",MIN((Skills!T17*(1+Inputs!$B$34/100)),15)/15,(Skills!T17*(1+Inputs!$B$34/100))/Skills!D17))</f>
        <v/>
      </c>
    </row>
    <row r="435">
      <c r="A435" t="inlineStr">
        <is>
          <t>Attack Speed Buff Bonus %</t>
        </is>
      </c>
      <c r="B435">
        <f>((C420=TRUE)*F420*IF(AND(Inputs!$B$38&lt;&gt;"pvp",Inputs!$B$43&gt;0),(((R420-1)*(Skills!T20*(1+Inputs!$B$34/100))+MIN((Skills!T20*(1+Inputs!$B$34/100)),MAX(0,Inputs!$B$43-((R420-1)*Skills!D20))))/Inputs!$B$43),IF(Inputs!$B$38="pvp",MIN((Skills!T20*(1+Inputs!$B$34/100)),15)/15,(Skills!T20*(1+Inputs!$B$34/100))/Skills!D20)))</f>
        <v/>
      </c>
    </row>
    <row r="436">
      <c r="A436" t="inlineStr">
        <is>
          <t>Actions Per Second</t>
        </is>
      </c>
      <c r="B436">
        <f>1+MIN(150,150*(1-(1-(Inputs!$B$11+((C422=TRUE)*(F422-Calc!F22))+((C423=TRUE)*(F423-Calc!F23)))/150)*(1-B435/150)))/100</f>
        <v/>
      </c>
    </row>
    <row r="437">
      <c r="A437" t="inlineStr">
        <is>
          <t>Skill + Buff Cast Rate</t>
        </is>
      </c>
      <c r="B437">
        <f>IF(AND(Inputs!$B$38&lt;&gt;"pvp",Inputs!$B$43&gt;0),SUMPRODUCT((Skills!E2:E31=TRUE)*(C402:C431=TRUE)*R402:R431*Skills!F2:F31)/Inputs!$B$43,SUMPRODUCT((Skills!E2:E31=TRUE)*(C402:C431=TRUE)*Q402:Q431*Skills!F2:F31))</f>
        <v/>
      </c>
    </row>
    <row r="438">
      <c r="A438" t="inlineStr">
        <is>
          <t>Arrow Stream Casts Per Second</t>
        </is>
      </c>
      <c r="B438">
        <f>MAX(0,B436-B437)</f>
        <v/>
      </c>
    </row>
    <row r="439">
      <c r="A439" t="inlineStr">
        <is>
          <t>Global Critical Damage Bonus % (Sharp Eyes + Concentration)</t>
        </is>
      </c>
      <c r="B439">
        <f>(C417=TRUE)*F417*IF(AND(Inputs!$B$38&lt;&gt;"pvp",Inputs!$B$43&gt;0),(((R417-1)*(Skills!T17*(1+Inputs!$B$34/100))+MIN((Skills!T17*(1+Inputs!$B$34/100)),MAX(0,Inputs!$B$43-((R417-1)*Skills!D17))))/Inputs!$B$43),IF(Inputs!$B$38="pvp",MIN((Skills!T17*(1+Inputs!$B$34/100)),15)/15,(Skills!T17*(1+Inputs!$B$34/100))/Skills!D17))+(C418=TRUE)*30</f>
        <v/>
      </c>
    </row>
    <row r="440">
      <c r="A440" t="inlineStr">
        <is>
          <t>Global Final Damage Bonus % (Mortal Blow)</t>
        </is>
      </c>
      <c r="B440">
        <f>(C419=TRUE)*F419</f>
        <v/>
      </c>
    </row>
    <row r="441">
      <c r="A441" t="inlineStr">
        <is>
          <t>Buff-Casting Startup Delay (s, fixed-duration only)</t>
        </is>
      </c>
      <c r="B441">
        <f>IF(AND(Inputs!$B$38&lt;&gt;"pvp",Inputs!$B$43&gt;0),SUMPRODUCT((Skills!T2:T31&gt;0)*(Skills!E2:E31=TRUE)*(C402:C431=TRUE))/B436,0)</f>
        <v/>
      </c>
    </row>
    <row r="442">
      <c r="A442" t="inlineStr">
        <is>
          <t>Boss-Only Total DPS (this block's swept value)</t>
        </is>
      </c>
      <c r="B442">
        <f>SUM(T402:T431)</f>
        <v/>
      </c>
    </row>
    <row r="443">
      <c r="A443" t="inlineStr">
        <is>
          <t>Normal-Only Total DPS (this block's swept value)</t>
        </is>
      </c>
      <c r="B443">
        <f>SUM(V402:V431)</f>
        <v/>
      </c>
    </row>
    <row r="444">
      <c r="A444" s="6" t="inlineStr">
        <is>
          <t>TOTAL DPS</t>
        </is>
      </c>
      <c r="B444" s="6">
        <f>SUM(O402:O431)</f>
        <v/>
      </c>
    </row>
    <row r="447">
      <c r="A447" s="6" t="inlineStr">
        <is>
          <t>Stat: MIN_DAMAGE %</t>
        </is>
      </c>
    </row>
    <row r="448">
      <c r="A448" s="5" t="inlineStr">
        <is>
          <t>Key</t>
        </is>
      </c>
      <c r="B448" s="5" t="inlineStr">
        <is>
          <t>Name</t>
        </is>
      </c>
      <c r="C448" s="5" t="inlineStr">
        <is>
          <t>Unlocked</t>
        </is>
      </c>
      <c r="D448" s="5" t="inlineStr">
        <is>
          <t>InputLevel</t>
        </is>
      </c>
      <c r="E448" s="5" t="inlineStr">
        <is>
          <t>Factor</t>
        </is>
      </c>
      <c r="F448" s="5" t="inlineStr">
        <is>
          <t>CoefficientPercent</t>
        </is>
      </c>
      <c r="G448" s="5" t="inlineStr">
        <is>
          <t>EffectiveHits</t>
        </is>
      </c>
      <c r="H448" s="5" t="inlineStr">
        <is>
          <t>ProcProbability</t>
        </is>
      </c>
      <c r="I448" s="5" t="inlineStr">
        <is>
          <t>MapleHeroMultiplier</t>
        </is>
      </c>
      <c r="J448" s="5" t="inlineStr">
        <is>
          <t>BaseDamage</t>
        </is>
      </c>
      <c r="K448" s="5" t="inlineStr">
        <is>
          <t>BaseHitDamage</t>
        </is>
      </c>
      <c r="L448" s="5" t="inlineStr">
        <is>
          <t>NonCritAvg</t>
        </is>
      </c>
      <c r="M448" s="5" t="inlineStr">
        <is>
          <t>CritAvg</t>
        </is>
      </c>
      <c r="N448" s="5" t="inlineStr">
        <is>
          <t>ExpectedDamage(perHit)</t>
        </is>
      </c>
      <c r="O448" s="5" t="inlineStr">
        <is>
          <t>DPS</t>
        </is>
      </c>
      <c r="P448" s="5" t="inlineStr">
        <is>
          <t>% of Total</t>
        </is>
      </c>
      <c r="Q448" s="5" t="inlineStr">
        <is>
          <t>InvCooldown</t>
        </is>
      </c>
      <c r="R448" s="5" t="inlineStr">
        <is>
          <t>CastsInFight</t>
        </is>
      </c>
      <c r="S448" s="5" t="inlineStr">
        <is>
          <t>HitRate(perSec)</t>
        </is>
      </c>
      <c r="U448" t="inlineStr">
        <is>
          <t>helpers</t>
        </is>
      </c>
    </row>
    <row r="449">
      <c r="A449">
        <f>Skills!A2</f>
        <v/>
      </c>
      <c r="B449">
        <f>Skills!B2</f>
        <v/>
      </c>
      <c r="C449">
        <f>Inputs!$B$3&gt;=100</f>
        <v/>
      </c>
      <c r="D449" t="inlineStr"/>
      <c r="E449" t="inlineStr"/>
      <c r="F449">
        <f>U451+Skills!O2</f>
        <v/>
      </c>
      <c r="G449">
        <f>Skills!G2*IF(Skills!H2&gt;0,Skills!I2/Skills!H2,1)</f>
        <v/>
      </c>
      <c r="H449">
        <f>1-(1-Skills!J2/100)^Skills!K2</f>
        <v/>
      </c>
      <c r="I449" t="inlineStr">
        <is>
          <t>1</t>
        </is>
      </c>
      <c r="J449">
        <f>((Inputs!$B$6*(1+Inputs!$B$7/100))+(((Inputs!$B$12*(1+Inputs!$B$13/100))-(Inputs!$B$12*(1+Inputs!$B$13/100)))+0.25*(Inputs!$B$14-Inputs!$B$14))*(1+Inputs!$B$7/100))*(F449/100)</f>
        <v/>
      </c>
      <c r="K449">
        <f>J449*(1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449)</f>
        <v/>
      </c>
      <c r="L449">
        <f>K449*(MIN((Inputs!$B$22+1)+((C472=TRUE)*(F472-Calc!F25)),(Inputs!$B$23+((C477=TRUE)*(F477-Calc!F30))+(IF(ArtifactsInput!$M$15,CHOOSE(ArtifactsInput!$N$15+1,25,30,35,40,45,50)/100*(Inputs!$B$11-Inputs!$B$11),0))))/100+(Inputs!$B$23+((C477=TRUE)*(F477-Calc!F30))+(IF(ArtifactsInput!$M$15,CHOOSE(ArtifactsInput!$N$15+1,25,30,35,40,45,50)/100*(Inputs!$B$11-Inputs!$B$11),0)))/100)/2</f>
        <v/>
      </c>
      <c r="M449">
        <f>L449*(1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9">
        <f>L449*(1-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449*(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9">
        <f>(1-Summary!$B$11)*T449+Summary!$B$11*V449</f>
        <v/>
      </c>
      <c r="P449">
        <f>IF(B491=0,0,O449/B491)</f>
        <v/>
      </c>
      <c r="Q449" t="n">
        <v>0</v>
      </c>
      <c r="R449" t="n">
        <v>0</v>
      </c>
      <c r="S449">
        <f>IFERROR(O449/N449,0)</f>
        <v/>
      </c>
      <c r="T449">
        <f>IF(C449,(Skills!G2*N449*B485)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449*(1-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449*(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449*(1-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449*(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9">
        <f>MAX(0,(Inputs!$B$3-100)*3)+Inputs!$B$28+Inputs!$B$29</f>
        <v/>
      </c>
      <c r="V449">
        <f>IF(C449,(Skills!G2*N449*B485)*IF(Inputs!$B$38="pvp",1,(1+(Inputs!$B$21+Skills!Q2+(IF(ArtifactsInput!$M$33,CHOOSE(ArtifactsInput!$N$33+1,30,36,42,48,54,60),0))+(IF(AND(ArtifactsInput!$M$35,Inputs!$B$4&lt;&gt;"Chapter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0">
      <c r="A450">
        <f>Skills!A3</f>
        <v/>
      </c>
      <c r="B450">
        <f>Skills!B3</f>
        <v/>
      </c>
      <c r="C450">
        <f>Inputs!$B$3&gt;=50</f>
        <v/>
      </c>
      <c r="D450">
        <f>IF(Skills!C3=1,60+Inputs!$B$25+Inputs!$B$29,IF(Skills!C3=2,90+Inputs!$B$26+Inputs!$B$29,IF(Skills!C3=3,120+Inputs!$B$27+Inputs!$B$29,MAX(0,(Inputs!$B$3-100)*3)+Inputs!$B$28+Inputs!$B$29)))</f>
        <v/>
      </c>
      <c r="E450">
        <f>INDEX(FactorTable!$B$2:$Y$301, MATCH(ROUND(MIN(300,MAX(1,D450)),0), FactorTable!$A$2:$A$301,0), Skills!M3+1)</f>
        <v/>
      </c>
      <c r="F450">
        <f>IF(Skills!N3=TRUE,(Skills!L3/10)*(E450/1000),Skills!L3/10)+Skills!O3</f>
        <v/>
      </c>
      <c r="G450">
        <f>Skills!G3*IF(Skills!H3&gt;0,Skills!I3/Skills!H3,1)</f>
        <v/>
      </c>
      <c r="H450">
        <f>1-(1-Skills!J3/100)^Skills!K3</f>
        <v/>
      </c>
      <c r="I450" t="inlineStr">
        <is>
          <t>1</t>
        </is>
      </c>
      <c r="J450">
        <f>((Inputs!$B$6*(1+Inputs!$B$7/100))+(((Inputs!$B$12*(1+Inputs!$B$13/100))-(Inputs!$B$12*(1+Inputs!$B$13/100)))+0.25*(Inputs!$B$14-Inputs!$B$14))*(1+Inputs!$B$7/100))*(F450/100)</f>
        <v/>
      </c>
      <c r="K450">
        <f>J450*(1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451=TRUE,F451,0)/100)*(1+(IF(Skills!A3="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450)</f>
        <v/>
      </c>
      <c r="L450">
        <f>K450*(MIN((Inputs!$B$22+1)+((C472=TRUE)*(F472-Calc!F25)),(Inputs!$B$23+((C477=TRUE)*(F477-Calc!F30))+(IF(ArtifactsInput!$M$15,CHOOSE(ArtifactsInput!$N$15+1,25,30,35,40,45,50)/100*(Inputs!$B$11-Inputs!$B$11),0))))/100+(Inputs!$B$23+((C477=TRUE)*(F477-Calc!F30))+(IF(ArtifactsInput!$M$15,CHOOSE(ArtifactsInput!$N$15+1,25,30,35,40,45,50)/100*(Inputs!$B$11-Inputs!$B$11),0)))/100)/2</f>
        <v/>
      </c>
      <c r="M450">
        <f>L450*(1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0">
        <f>L450*(1-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450*(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0">
        <f>(1-Summary!$B$11)*T450+Summary!$B$11*V450</f>
        <v/>
      </c>
      <c r="P450">
        <f>IF(B491=0,0,O450/B491)</f>
        <v/>
      </c>
      <c r="Q450">
        <f>IFERROR(1/(IF(Inputs!$B$38="pvp",15,MAX(0.1,Skills!D3-IF(Skills!E3=TRUE,Inputs!$B$32,0)))*(1-IF(AND(ArtifactsInput!$M$27,Inputs!$B$4="Chapter Hunt"),CHOOSE(ArtifactsInput!$N$27+1,20,24,28,32,36,40),0)/100)),0)</f>
        <v/>
      </c>
      <c r="R450">
        <f>IF(AND(Inputs!$B$38&lt;&gt;"pvp",Inputs!$B$43&gt;0),IF(MAX(0,Inputs!$B$43-B488)&lt;=0,0,(INT(MAX(0,Inputs!$B$43-B488)/(IF(Inputs!$B$38="pvp",15,MAX(0.1,Skills!D3-IF(Skills!E3=TRUE,Inputs!$B$32,0)))*(1-IF(AND(ArtifactsInput!$M$27,Inputs!$B$4="Chapter Hunt"),CHOOSE(ArtifactsInput!$N$27+1,20,24,28,32,36,40),0)/100)))+1)),0)</f>
        <v/>
      </c>
      <c r="S450">
        <f>IFERROR(O450/N450,0)</f>
        <v/>
      </c>
      <c r="T450">
        <f>IF(C450,(H450*N450*IF(AND(Inputs!$B$38&lt;&gt;"pvp",Inputs!$B$43&gt;0),((Skills!G3*((R450-1)*IF(Skills!H3&gt;0,Skills!I3/Skills!H3,1)+IF(Skills!H3&gt;0,MIN(Skills!I3,MAX(0,MAX(0,Inputs!$B$43-B488)-((R450-1)*(IF(Inputs!$B$38="pvp",15,MAX(0.1,Skills!D3-IF(Skills!E3=TRUE,Inputs!$B$32,0)))*(1-IF(AND(ArtifactsInput!$M$27,Inputs!$B$4="Chapter Hunt"),CHOOSE(ArtifactsInput!$N$27+1,20,24,28,32,36,40),0)/100)))))/Skills!H3,1)))/Inputs!$B$43),G450*Q450)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450*(1-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450*(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450*(1-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450*(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50">
        <f>INDEX(FactorTable!$B$2:$Y$301, MATCH(ROUND(MIN(300,MAX(1,U449)),0), FactorTable!$A$2:$A$301,0), 22)</f>
        <v/>
      </c>
      <c r="V450">
        <f>IF(C450,(H450*N450*IF(AND(Inputs!$B$38&lt;&gt;"pvp",Inputs!$B$43&gt;0),((Skills!G3*((R450-1)*IF(Skills!H3&gt;0,Skills!I3/Skills!H3,1)+IF(Skills!H3&gt;0,MIN(Skills!I3,MAX(0,MAX(0,Inputs!$B$43-B488)-((R450-1)*(IF(Inputs!$B$38="pvp",15,MAX(0.1,Skills!D3-IF(Skills!E3=TRUE,Inputs!$B$32,0)))*(1-IF(AND(ArtifactsInput!$M$27,Inputs!$B$4="Chapter Hunt"),CHOOSE(ArtifactsInput!$N$27+1,20,24,28,32,36,40),0)/100)))))/Skills!H3,1)))/Inputs!$B$43),G450*Q450))*IF(Inputs!$B$38="pvp",1,(1+(Inputs!$B$21+Skills!Q3+(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1">
      <c r="A451">
        <f>Skills!A4</f>
        <v/>
      </c>
      <c r="B451">
        <f>Skills!B4</f>
        <v/>
      </c>
      <c r="C451">
        <f>Inputs!$B$3&gt;=105</f>
        <v/>
      </c>
      <c r="D451">
        <f>IF(Skills!C4=1,60+Inputs!$B$25+Inputs!$B$29,IF(Skills!C4=2,90+Inputs!$B$26+Inputs!$B$29,IF(Skills!C4=3,120+Inputs!$B$27+Inputs!$B$29,MAX(0,(Inputs!$B$3-100)*3)+Inputs!$B$28+Inputs!$B$29)))</f>
        <v/>
      </c>
      <c r="E451">
        <f>INDEX(FactorTable!$B$2:$Y$301, MATCH(ROUND(MIN(300,MAX(1,D451)),0), FactorTable!$A$2:$A$301,0), Skills!M4+1)</f>
        <v/>
      </c>
      <c r="F451">
        <f>IF(Skills!N4=TRUE,(Skills!L4/10)*(E451/1000),Skills!L4/10)+Skills!O4</f>
        <v/>
      </c>
      <c r="G451" t="inlineStr"/>
      <c r="H451" t="inlineStr"/>
      <c r="I451" t="inlineStr">
        <is>
          <t>1</t>
        </is>
      </c>
      <c r="J451" t="inlineStr"/>
      <c r="K451" t="inlineStr"/>
      <c r="L451" t="inlineStr"/>
      <c r="M451" t="inlineStr"/>
      <c r="N451" t="inlineStr"/>
      <c r="O451" t="inlineStr"/>
      <c r="P451" t="inlineStr"/>
      <c r="Q451" t="inlineStr"/>
      <c r="R451" t="inlineStr"/>
      <c r="S451" t="inlineStr"/>
      <c r="T451" t="inlineStr"/>
      <c r="U451">
        <f>290*U450/1000</f>
        <v/>
      </c>
      <c r="V451" t="inlineStr"/>
    </row>
    <row r="452">
      <c r="A452">
        <f>Skills!A5</f>
        <v/>
      </c>
      <c r="B452">
        <f>Skills!B5</f>
        <v/>
      </c>
      <c r="C452">
        <f>Inputs!$B$3&gt;=35</f>
        <v/>
      </c>
      <c r="D452">
        <f>IF(Skills!C5=1,60+Inputs!$B$25+Inputs!$B$29,IF(Skills!C5=2,90+Inputs!$B$26+Inputs!$B$29,IF(Skills!C5=3,120+Inputs!$B$27+Inputs!$B$29,MAX(0,(Inputs!$B$3-100)*3)+Inputs!$B$28+Inputs!$B$29)))</f>
        <v/>
      </c>
      <c r="E452">
        <f>INDEX(FactorTable!$B$2:$Y$301, MATCH(ROUND(MIN(300,MAX(1,D452)),0), FactorTable!$A$2:$A$301,0), Skills!M5+1)</f>
        <v/>
      </c>
      <c r="F452">
        <f>IF(Skills!N5=TRUE,(Skills!L5/10)*(E452/1000),Skills!L5/10)+Skills!O5</f>
        <v/>
      </c>
      <c r="G452">
        <f>Skills!G5*IF(Skills!H5&gt;0,Skills!I5/Skills!H5,1)</f>
        <v/>
      </c>
      <c r="H452">
        <f>1-(1-Skills!J5/100)^Skills!K5</f>
        <v/>
      </c>
      <c r="I452" t="inlineStr">
        <is>
          <t>1</t>
        </is>
      </c>
      <c r="J452">
        <f>((Inputs!$B$6*(1+Inputs!$B$7/100))+(((Inputs!$B$12*(1+Inputs!$B$13/100))-(Inputs!$B$12*(1+Inputs!$B$13/100)))+0.25*(Inputs!$B$14-Inputs!$B$14))*(1+Inputs!$B$7/100))*(F452/100)</f>
        <v/>
      </c>
      <c r="K452">
        <f>J452*(1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458=TRUE,F458,0)/100)*(1+(IF(Skills!A5="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452)</f>
        <v/>
      </c>
      <c r="L452">
        <f>K452*(MIN((Inputs!$B$22+1)+((C472=TRUE)*(F472-Calc!F25)),(Inputs!$B$23+((C477=TRUE)*(F477-Calc!F30))+(IF(ArtifactsInput!$M$15,CHOOSE(ArtifactsInput!$N$15+1,25,30,35,40,45,50)/100*(Inputs!$B$11-Inputs!$B$11),0))))/100+(Inputs!$B$23+((C477=TRUE)*(F477-Calc!F30))+(IF(ArtifactsInput!$M$15,CHOOSE(ArtifactsInput!$N$15+1,25,30,35,40,45,50)/100*(Inputs!$B$11-Inputs!$B$11),0)))/100)/2</f>
        <v/>
      </c>
      <c r="M452">
        <f>L452*(1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2">
        <f>L452*(1-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452*(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2">
        <f>(1-Summary!$B$11)*T452+Summary!$B$11*V452</f>
        <v/>
      </c>
      <c r="P452">
        <f>IF(B491=0,0,O452/B491)</f>
        <v/>
      </c>
      <c r="Q452">
        <f>IFERROR(1/(IF(Inputs!$B$38="pvp",15,MAX(0.1,Skills!D5-IF(Skills!E5=TRUE,Inputs!$B$32,0)))*(1-IF(AND(ArtifactsInput!$M$27,Inputs!$B$4="Chapter Hunt"),CHOOSE(ArtifactsInput!$N$27+1,20,24,28,32,36,40),0)/100)),0)</f>
        <v/>
      </c>
      <c r="R452">
        <f>IF(AND(Inputs!$B$38&lt;&gt;"pvp",Inputs!$B$43&gt;0),IF(MAX(0,Inputs!$B$43-B488)&lt;=0,0,(INT(MAX(0,Inputs!$B$43-B488)/(IF(Inputs!$B$38="pvp",15,MAX(0.1,Skills!D5-IF(Skills!E5=TRUE,Inputs!$B$32,0)))*(1-IF(AND(ArtifactsInput!$M$27,Inputs!$B$4="Chapter Hunt"),CHOOSE(ArtifactsInput!$N$27+1,20,24,28,32,36,40),0)/100)))+1)),0)</f>
        <v/>
      </c>
      <c r="S452">
        <f>IFERROR(O452/N452,0)</f>
        <v/>
      </c>
      <c r="T452">
        <f>IF(C452,(H452*N452*IF(AND(Inputs!$B$38&lt;&gt;"pvp",Inputs!$B$43&gt;0),((Skills!G5*((R452-1)*IF(Skills!H5&gt;0,Skills!I5/Skills!H5,1)+IF(Skills!H5&gt;0,MIN(Skills!I5,MAX(0,MAX(0,Inputs!$B$43-B488)-((R452-1)*(IF(Inputs!$B$38="pvp",15,MAX(0.1,Skills!D5-IF(Skills!E5=TRUE,Inputs!$B$32,0)))*(1-IF(AND(ArtifactsInput!$M$27,Inputs!$B$4="Chapter Hunt"),CHOOSE(ArtifactsInput!$N$27+1,20,24,28,32,36,40),0)/100)))))/Skills!H5,1)))/Inputs!$B$43),G452*Q452)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452*(1-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452*(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452*(1-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452*(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2">
        <f>IF(C452,(H452*N452*IF(AND(Inputs!$B$38&lt;&gt;"pvp",Inputs!$B$43&gt;0),((Skills!G5*((R452-1)*IF(Skills!H5&gt;0,Skills!I5/Skills!H5,1)+IF(Skills!H5&gt;0,MIN(Skills!I5,MAX(0,MAX(0,Inputs!$B$43-B488)-((R452-1)*(IF(Inputs!$B$38="pvp",15,MAX(0.1,Skills!D5-IF(Skills!E5=TRUE,Inputs!$B$32,0)))*(1-IF(AND(ArtifactsInput!$M$27,Inputs!$B$4="Chapter Hunt"),CHOOSE(ArtifactsInput!$N$27+1,20,24,28,32,36,40),0)/100)))))/Skills!H5,1)))/Inputs!$B$43),G452*Q452))*IF(Inputs!$B$38="pvp",1,(1+(Inputs!$B$21+Skills!Q5+(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3">
      <c r="A453">
        <f>Skills!A6</f>
        <v/>
      </c>
      <c r="B453">
        <f>Skills!B6</f>
        <v/>
      </c>
      <c r="C453">
        <f>Inputs!$B$3&gt;=40</f>
        <v/>
      </c>
      <c r="D453">
        <f>IF(Skills!C6=1,60+Inputs!$B$25+Inputs!$B$29,IF(Skills!C6=2,90+Inputs!$B$26+Inputs!$B$29,IF(Skills!C6=3,120+Inputs!$B$27+Inputs!$B$29,MAX(0,(Inputs!$B$3-100)*3)+Inputs!$B$28+Inputs!$B$29)))</f>
        <v/>
      </c>
      <c r="E453">
        <f>INDEX(FactorTable!$B$2:$Y$301, MATCH(ROUND(MIN(300,MAX(1,D453)),0), FactorTable!$A$2:$A$301,0), Skills!M6+1)</f>
        <v/>
      </c>
      <c r="F453">
        <f>IF(Skills!N6=TRUE,(Skills!L6/10)*(E453/1000),Skills!L6/10)+Skills!O6</f>
        <v/>
      </c>
      <c r="G453">
        <f>Skills!G6*IF(Skills!H6&gt;0,Skills!I6/Skills!H6,1)</f>
        <v/>
      </c>
      <c r="H453">
        <f>1-(1-Skills!J6/100)^Skills!K6</f>
        <v/>
      </c>
      <c r="I453" t="inlineStr">
        <is>
          <t>1</t>
        </is>
      </c>
      <c r="J453">
        <f>((Inputs!$B$6*(1+Inputs!$B$7/100))+(((Inputs!$B$12*(1+Inputs!$B$13/100))-(Inputs!$B$12*(1+Inputs!$B$13/100)))+0.25*(Inputs!$B$14-Inputs!$B$14))*(1+Inputs!$B$7/100))*(F453/100)</f>
        <v/>
      </c>
      <c r="K453">
        <f>J453*(1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Skills!A6="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453)</f>
        <v/>
      </c>
      <c r="L453">
        <f>K453*(MIN((Inputs!$B$22+1)+((C472=TRUE)*(F472-Calc!F25)),(Inputs!$B$23+((C477=TRUE)*(F477-Calc!F30))+(IF(ArtifactsInput!$M$15,CHOOSE(ArtifactsInput!$N$15+1,25,30,35,40,45,50)/100*(Inputs!$B$11-Inputs!$B$11),0))))/100+(Inputs!$B$23+((C477=TRUE)*(F477-Calc!F30))+(IF(ArtifactsInput!$M$15,CHOOSE(ArtifactsInput!$N$15+1,25,30,35,40,45,50)/100*(Inputs!$B$11-Inputs!$B$11),0)))/100)/2</f>
        <v/>
      </c>
      <c r="M453">
        <f>L453*(1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3">
        <f>L453*(1-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453*(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3">
        <f>(1-Summary!$B$11)*T453+Summary!$B$11*V453</f>
        <v/>
      </c>
      <c r="P453">
        <f>IF(B491=0,0,O453/B491)</f>
        <v/>
      </c>
      <c r="Q453">
        <f>IFERROR(1/(IF(Inputs!$B$38="pvp",15,MAX(0.1,Skills!D6-IF(Skills!E6=TRUE,Inputs!$B$32,0)))*(1-IF(AND(ArtifactsInput!$M$27,Inputs!$B$4="Chapter Hunt"),CHOOSE(ArtifactsInput!$N$27+1,20,24,28,32,36,40),0)/100)),0)</f>
        <v/>
      </c>
      <c r="R453">
        <f>IF(AND(Inputs!$B$38&lt;&gt;"pvp",Inputs!$B$43&gt;0),IF(MAX(0,Inputs!$B$43-B488)&lt;=0,0,(INT(MAX(0,Inputs!$B$43-B488)/(IF(Inputs!$B$38="pvp",15,MAX(0.1,Skills!D6-IF(Skills!E6=TRUE,Inputs!$B$32,0)))*(1-IF(AND(ArtifactsInput!$M$27,Inputs!$B$4="Chapter Hunt"),CHOOSE(ArtifactsInput!$N$27+1,20,24,28,32,36,40),0)/100)))+1)),0)</f>
        <v/>
      </c>
      <c r="S453">
        <f>IFERROR(O453/N453,0)</f>
        <v/>
      </c>
      <c r="T453">
        <f>IF(C453,(H453*N453*IF(AND(Inputs!$B$38&lt;&gt;"pvp",Inputs!$B$43&gt;0),((Skills!G6*((R453-1)*IF(Skills!H6&gt;0,Skills!I6/Skills!H6,1)+IF(Skills!H6&gt;0,MIN(Skills!I6,MAX(0,MAX(0,Inputs!$B$43-B488)-((R453-1)*(IF(Inputs!$B$38="pvp",15,MAX(0.1,Skills!D6-IF(Skills!E6=TRUE,Inputs!$B$32,0)))*(1-IF(AND(ArtifactsInput!$M$27,Inputs!$B$4="Chapter Hunt"),CHOOSE(ArtifactsInput!$N$27+1,20,24,28,32,36,40),0)/100)))))/Skills!H6,1)))/Inputs!$B$43),G453*Q453)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453*(1-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453*(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453*(1-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453*(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3">
        <f>IF(C453,(H453*N453*IF(AND(Inputs!$B$38&lt;&gt;"pvp",Inputs!$B$43&gt;0),((Skills!G6*((R453-1)*IF(Skills!H6&gt;0,Skills!I6/Skills!H6,1)+IF(Skills!H6&gt;0,MIN(Skills!I6,MAX(0,MAX(0,Inputs!$B$43-B488)-((R453-1)*(IF(Inputs!$B$38="pvp",15,MAX(0.1,Skills!D6-IF(Skills!E6=TRUE,Inputs!$B$32,0)))*(1-IF(AND(ArtifactsInput!$M$27,Inputs!$B$4="Chapter Hunt"),CHOOSE(ArtifactsInput!$N$27+1,20,24,28,32,36,40),0)/100)))))/Skills!H6,1)))/Inputs!$B$43),G453*Q453))*IF(Inputs!$B$38="pvp",1,(1+(Inputs!$B$21+Skills!Q6+(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4">
      <c r="A454">
        <f>Skills!A7</f>
        <v/>
      </c>
      <c r="B454">
        <f>Skills!B7</f>
        <v/>
      </c>
      <c r="C454">
        <f>Inputs!$B$3&gt;=107</f>
        <v/>
      </c>
      <c r="D454">
        <f>IF(Skills!C7=1,60+Inputs!$B$25+Inputs!$B$29,IF(Skills!C7=2,90+Inputs!$B$26+Inputs!$B$29,IF(Skills!C7=3,120+Inputs!$B$27+Inputs!$B$29,MAX(0,(Inputs!$B$3-100)*3)+Inputs!$B$28+Inputs!$B$29)))</f>
        <v/>
      </c>
      <c r="E454">
        <f>INDEX(FactorTable!$B$2:$Y$301, MATCH(ROUND(MIN(300,MAX(1,D454)),0), FactorTable!$A$2:$A$301,0), Skills!M7+1)</f>
        <v/>
      </c>
      <c r="F454">
        <f>IF(Skills!N7=TRUE,(Skills!L7/10)*(E454/1000),Skills!L7/10)+Skills!O7</f>
        <v/>
      </c>
      <c r="G454" t="inlineStr"/>
      <c r="H454" t="inlineStr"/>
      <c r="I454" t="inlineStr">
        <is>
          <t>1</t>
        </is>
      </c>
      <c r="J454" t="inlineStr"/>
      <c r="K454" t="inlineStr"/>
      <c r="L454" t="inlineStr"/>
      <c r="M454" t="inlineStr"/>
      <c r="N454" t="inlineStr"/>
      <c r="O454" t="inlineStr"/>
      <c r="P454" t="inlineStr"/>
      <c r="Q454" t="inlineStr"/>
      <c r="R454" t="inlineStr"/>
      <c r="S454" t="inlineStr"/>
      <c r="T454" t="inlineStr"/>
      <c r="V454" t="inlineStr"/>
    </row>
    <row r="455">
      <c r="A455">
        <f>Skills!A8</f>
        <v/>
      </c>
      <c r="B455">
        <f>Skills!B8</f>
        <v/>
      </c>
      <c r="C455">
        <f>Inputs!$B$3&gt;=69</f>
        <v/>
      </c>
      <c r="D455">
        <f>IF(Skills!C8=1,60+Inputs!$B$25+Inputs!$B$29,IF(Skills!C8=2,90+Inputs!$B$26+Inputs!$B$29,IF(Skills!C8=3,120+Inputs!$B$27+Inputs!$B$29,MAX(0,(Inputs!$B$3-100)*3)+Inputs!$B$28+Inputs!$B$29)))</f>
        <v/>
      </c>
      <c r="E455">
        <f>INDEX(FactorTable!$B$2:$Y$301, MATCH(ROUND(MIN(300,MAX(1,D455)),0), FactorTable!$A$2:$A$301,0), Skills!M8+1)</f>
        <v/>
      </c>
      <c r="F455">
        <f>IF(Skills!N8=TRUE,(Skills!L8/10)*(E455/1000),Skills!L8/10)+Skills!O8</f>
        <v/>
      </c>
      <c r="G455">
        <f>Skills!G8*IF(Skills!H8&gt;0,Skills!I8/Skills!H8,1)</f>
        <v/>
      </c>
      <c r="H455">
        <f>1-(1-Skills!J8/100)^Skills!K8</f>
        <v/>
      </c>
      <c r="I455" t="inlineStr">
        <is>
          <t>1</t>
        </is>
      </c>
      <c r="J455">
        <f>((Inputs!$B$6*(1+Inputs!$B$7/100))+(((Inputs!$B$12*(1+Inputs!$B$13/100))-(Inputs!$B$12*(1+Inputs!$B$13/100)))+0.25*(Inputs!$B$14-Inputs!$B$14))*(1+Inputs!$B$7/100))*(F455/100)</f>
        <v/>
      </c>
      <c r="K455">
        <f>J455*(1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458=TRUE,F458,0)/100)*(1+(IF(Skills!A8="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455)</f>
        <v/>
      </c>
      <c r="L455">
        <f>K455*(MIN((Inputs!$B$22+1)+((C472=TRUE)*(F472-Calc!F25)),(Inputs!$B$23+((C477=TRUE)*(F477-Calc!F30))+(IF(ArtifactsInput!$M$15,CHOOSE(ArtifactsInput!$N$15+1,25,30,35,40,45,50)/100*(Inputs!$B$11-Inputs!$B$11),0))))/100+(Inputs!$B$23+((C477=TRUE)*(F477-Calc!F30))+(IF(ArtifactsInput!$M$15,CHOOSE(ArtifactsInput!$N$15+1,25,30,35,40,45,50)/100*(Inputs!$B$11-Inputs!$B$11),0)))/100)/2</f>
        <v/>
      </c>
      <c r="M455">
        <f>L455*(1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5">
        <f>L455*(1-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455*(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5">
        <f>(1-Summary!$B$11)*T455+Summary!$B$11*V455</f>
        <v/>
      </c>
      <c r="P455">
        <f>IF(B491=0,0,O455/B491)</f>
        <v/>
      </c>
      <c r="Q455">
        <f>IFERROR(1/(IF(Inputs!$B$38="pvp",15,MAX(0.1,Skills!D8-IF(Skills!E8=TRUE,Inputs!$B$32,0)))*(1-IF(AND(ArtifactsInput!$M$27,Inputs!$B$4="Chapter Hunt"),CHOOSE(ArtifactsInput!$N$27+1,20,24,28,32,36,40),0)/100)),0)</f>
        <v/>
      </c>
      <c r="R455">
        <f>IF(AND(Inputs!$B$38&lt;&gt;"pvp",Inputs!$B$43&gt;0),IF(MAX(0,Inputs!$B$43-B488)&lt;=0,0,(INT(MAX(0,Inputs!$B$43-B488)/(IF(Inputs!$B$38="pvp",15,MAX(0.1,Skills!D8-IF(Skills!E8=TRUE,Inputs!$B$32,0)))*(1-IF(AND(ArtifactsInput!$M$27,Inputs!$B$4="Chapter Hunt"),CHOOSE(ArtifactsInput!$N$27+1,20,24,28,32,36,40),0)/100)))+1)),0)</f>
        <v/>
      </c>
      <c r="S455">
        <f>IFERROR(O455/N455,0)</f>
        <v/>
      </c>
      <c r="T455">
        <f>IF(C455,(H455*N455*IF(AND(Inputs!$B$38&lt;&gt;"pvp",Inputs!$B$43&gt;0),((Skills!G8*((R455-1)*IF(Skills!H8&gt;0,Skills!I8/Skills!H8,1)+IF(Skills!H8&gt;0,MIN(Skills!I8,MAX(0,MAX(0,Inputs!$B$43-B488)-((R455-1)*(IF(Inputs!$B$38="pvp",15,MAX(0.1,Skills!D8-IF(Skills!E8=TRUE,Inputs!$B$32,0)))*(1-IF(AND(ArtifactsInput!$M$27,Inputs!$B$4="Chapter Hunt"),CHOOSE(ArtifactsInput!$N$27+1,20,24,28,32,36,40),0)/100)))))/Skills!H8,1)))/Inputs!$B$43),G455*Q455)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455*(1-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455*(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455*(1-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455*(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5">
        <f>IF(C455,(H455*N455*IF(AND(Inputs!$B$38&lt;&gt;"pvp",Inputs!$B$43&gt;0),((Skills!G8*((R455-1)*IF(Skills!H8&gt;0,Skills!I8/Skills!H8,1)+IF(Skills!H8&gt;0,MIN(Skills!I8,MAX(0,MAX(0,Inputs!$B$43-B488)-((R455-1)*(IF(Inputs!$B$38="pvp",15,MAX(0.1,Skills!D8-IF(Skills!E8=TRUE,Inputs!$B$32,0)))*(1-IF(AND(ArtifactsInput!$M$27,Inputs!$B$4="Chapter Hunt"),CHOOSE(ArtifactsInput!$N$27+1,20,24,28,32,36,40),0)/100)))))/Skills!H8,1)))/Inputs!$B$43),G455*Q455))*IF(Inputs!$B$38="pvp",1,(1+(Inputs!$B$21+Skills!Q8+(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6">
      <c r="A456">
        <f>Skills!A9</f>
        <v/>
      </c>
      <c r="B456">
        <f>Skills!B9</f>
        <v/>
      </c>
      <c r="C456">
        <f>Inputs!$B$3&gt;=63</f>
        <v/>
      </c>
      <c r="D456">
        <f>IF(Skills!C9=1,60+Inputs!$B$25+Inputs!$B$29,IF(Skills!C9=2,90+Inputs!$B$26+Inputs!$B$29,IF(Skills!C9=3,120+Inputs!$B$27+Inputs!$B$29,MAX(0,(Inputs!$B$3-100)*3)+Inputs!$B$28+Inputs!$B$29)))</f>
        <v/>
      </c>
      <c r="E456">
        <f>INDEX(FactorTable!$B$2:$Y$301, MATCH(ROUND(MIN(300,MAX(1,D456)),0), FactorTable!$A$2:$A$301,0), Skills!M9+1)</f>
        <v/>
      </c>
      <c r="F456">
        <f>IF(Skills!N9=TRUE,(Skills!L9/10)*(E456/1000),Skills!L9/10)+Skills!O9</f>
        <v/>
      </c>
      <c r="G456">
        <f>Skills!G9*IF(Skills!H9&gt;0,Skills!I9/Skills!H9,1)</f>
        <v/>
      </c>
      <c r="H456">
        <f>1-(1-Skills!J9/100)^Skills!K9</f>
        <v/>
      </c>
      <c r="I456" t="inlineStr">
        <is>
          <t>1</t>
        </is>
      </c>
      <c r="J456">
        <f>((Inputs!$B$6*(1+Inputs!$B$7/100))+(((Inputs!$B$12*(1+Inputs!$B$13/100))-(Inputs!$B$12*(1+Inputs!$B$13/100)))+0.25*(Inputs!$B$14-Inputs!$B$14))*(1+Inputs!$B$7/100))*(F456/100)</f>
        <v/>
      </c>
      <c r="K456">
        <f>J456*(1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458=TRUE,F458,0)/100)*(1+(IF(Skills!A9="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456)</f>
        <v/>
      </c>
      <c r="L456">
        <f>K456*(MIN((Inputs!$B$22+1)+((C472=TRUE)*(F472-Calc!F25)),(Inputs!$B$23+((C477=TRUE)*(F477-Calc!F30))+(IF(ArtifactsInput!$M$15,CHOOSE(ArtifactsInput!$N$15+1,25,30,35,40,45,50)/100*(Inputs!$B$11-Inputs!$B$11),0))))/100+(Inputs!$B$23+((C477=TRUE)*(F477-Calc!F30))+(IF(ArtifactsInput!$M$15,CHOOSE(ArtifactsInput!$N$15+1,25,30,35,40,45,50)/100*(Inputs!$B$11-Inputs!$B$11),0)))/100)/2</f>
        <v/>
      </c>
      <c r="M456">
        <f>L456*(1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6">
        <f>L456*(1-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456*(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6">
        <f>(1-Summary!$B$11)*T456+Summary!$B$11*V456</f>
        <v/>
      </c>
      <c r="P456">
        <f>IF(B491=0,0,O456/B491)</f>
        <v/>
      </c>
      <c r="Q456">
        <f>IFERROR(1/(IF(Inputs!$B$38="pvp",15,MAX(0.1,Skills!D9-IF(Skills!E9=TRUE,Inputs!$B$32,0)))*(1-IF(AND(ArtifactsInput!$M$27,Inputs!$B$4="Chapter Hunt"),CHOOSE(ArtifactsInput!$N$27+1,20,24,28,32,36,40),0)/100)),0)</f>
        <v/>
      </c>
      <c r="R456">
        <f>IF(AND(Inputs!$B$38&lt;&gt;"pvp",Inputs!$B$43&gt;0),IF(MAX(0,Inputs!$B$43-B488)&lt;=0,0,(INT(MAX(0,Inputs!$B$43-B488)/(IF(Inputs!$B$38="pvp",15,MAX(0.1,Skills!D9-IF(Skills!E9=TRUE,Inputs!$B$32,0)))*(1-IF(AND(ArtifactsInput!$M$27,Inputs!$B$4="Chapter Hunt"),CHOOSE(ArtifactsInput!$N$27+1,20,24,28,32,36,40),0)/100)))+1)),0)</f>
        <v/>
      </c>
      <c r="S456">
        <f>IFERROR(O456/N456,0)</f>
        <v/>
      </c>
      <c r="T456">
        <f>IF(C456,(H456*N456*IF(AND(Inputs!$B$38&lt;&gt;"pvp",Inputs!$B$43&gt;0),((Skills!G9*((R456-1)*IF(Skills!H9&gt;0,Skills!I9/Skills!H9,1)+IF(Skills!H9&gt;0,MIN(Skills!I9,MAX(0,MAX(0,Inputs!$B$43-B488)-((R456-1)*(IF(Inputs!$B$38="pvp",15,MAX(0.1,Skills!D9-IF(Skills!E9=TRUE,Inputs!$B$32,0)))*(1-IF(AND(ArtifactsInput!$M$27,Inputs!$B$4="Chapter Hunt"),CHOOSE(ArtifactsInput!$N$27+1,20,24,28,32,36,40),0)/100)))))/Skills!H9,1)))/Inputs!$B$43),G456*Q456)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456*(1-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456*(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456*(1-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456*(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6">
        <f>IF(C456,(H456*N456*IF(AND(Inputs!$B$38&lt;&gt;"pvp",Inputs!$B$43&gt;0),((Skills!G9*((R456-1)*IF(Skills!H9&gt;0,Skills!I9/Skills!H9,1)+IF(Skills!H9&gt;0,MIN(Skills!I9,MAX(0,MAX(0,Inputs!$B$43-B488)-((R456-1)*(IF(Inputs!$B$38="pvp",15,MAX(0.1,Skills!D9-IF(Skills!E9=TRUE,Inputs!$B$32,0)))*(1-IF(AND(ArtifactsInput!$M$27,Inputs!$B$4="Chapter Hunt"),CHOOSE(ArtifactsInput!$N$27+1,20,24,28,32,36,40),0)/100)))))/Skills!H9,1)))/Inputs!$B$43),G456*Q456))*IF(Inputs!$B$38="pvp",1,(1+(Inputs!$B$21+Skills!Q9+(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7">
      <c r="A457">
        <f>Skills!A10</f>
        <v/>
      </c>
      <c r="B457">
        <f>Skills!B10</f>
        <v/>
      </c>
      <c r="C457">
        <f>Inputs!$B$3&gt;=103</f>
        <v/>
      </c>
      <c r="D457">
        <f>IF(Skills!C10=1,60+Inputs!$B$25+Inputs!$B$29,IF(Skills!C10=2,90+Inputs!$B$26+Inputs!$B$29,IF(Skills!C10=3,120+Inputs!$B$27+Inputs!$B$29,MAX(0,(Inputs!$B$3-100)*3)+Inputs!$B$28+Inputs!$B$29)))</f>
        <v/>
      </c>
      <c r="E457">
        <f>INDEX(FactorTable!$B$2:$Y$301, MATCH(ROUND(MIN(300,MAX(1,D457)),0), FactorTable!$A$2:$A$301,0), Skills!M10+1)</f>
        <v/>
      </c>
      <c r="F457">
        <f>IF(Skills!N10=TRUE,(Skills!L10/10)*(E457/1000),Skills!L10/10)+Skills!O10</f>
        <v/>
      </c>
      <c r="G457">
        <f>Skills!G10*IF(Skills!H10&gt;0,Skills!I10/Skills!H10,1)</f>
        <v/>
      </c>
      <c r="H457">
        <f>1-(1-Skills!J10/100)^Skills!K10</f>
        <v/>
      </c>
      <c r="I457" t="inlineStr">
        <is>
          <t>1</t>
        </is>
      </c>
      <c r="J457">
        <f>((Inputs!$B$6*(1+Inputs!$B$7/100))+(((Inputs!$B$12*(1+Inputs!$B$13/100))-(Inputs!$B$12*(1+Inputs!$B$13/100)))+0.25*(Inputs!$B$14-Inputs!$B$14))*(1+Inputs!$B$7/100))*(F457/100)</f>
        <v/>
      </c>
      <c r="K457">
        <f>J457*(1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457)</f>
        <v/>
      </c>
      <c r="L457">
        <f>K457*(MIN((Inputs!$B$22+1)+((C472=TRUE)*(F472-Calc!F25)),(Inputs!$B$23+((C477=TRUE)*(F477-Calc!F30))+(IF(ArtifactsInput!$M$15,CHOOSE(ArtifactsInput!$N$15+1,25,30,35,40,45,50)/100*(Inputs!$B$11-Inputs!$B$11),0))))/100+(Inputs!$B$23+((C477=TRUE)*(F477-Calc!F30))+(IF(ArtifactsInput!$M$15,CHOOSE(ArtifactsInput!$N$15+1,25,30,35,40,45,50)/100*(Inputs!$B$11-Inputs!$B$11),0)))/100)/2</f>
        <v/>
      </c>
      <c r="M457">
        <f>L457*(1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7">
        <f>L457*(1-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457*(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7">
        <f>(1-Summary!$B$11)*T457+Summary!$B$11*V457</f>
        <v/>
      </c>
      <c r="P457">
        <f>IF(B491=0,0,O457/B491)</f>
        <v/>
      </c>
      <c r="Q457">
        <f>IFERROR(1/(IF(Inputs!$B$38="pvp",15,MAX(0.1,Skills!D10-IF(Skills!E10=TRUE,Inputs!$B$32,0)))*(1-IF(AND(ArtifactsInput!$M$27,Inputs!$B$4="Chapter Hunt"),CHOOSE(ArtifactsInput!$N$27+1,20,24,28,32,36,40),0)/100)),0)</f>
        <v/>
      </c>
      <c r="R457">
        <f>IF(AND(Inputs!$B$38&lt;&gt;"pvp",Inputs!$B$43&gt;0),IF(MAX(0,Inputs!$B$43-B488)&lt;=0,0,(INT(MAX(0,Inputs!$B$43-B488)/(IF(Inputs!$B$38="pvp",15,MAX(0.1,Skills!D10-IF(Skills!E10=TRUE,Inputs!$B$32,0)))*(1-IF(AND(ArtifactsInput!$M$27,Inputs!$B$4="Chapter Hunt"),CHOOSE(ArtifactsInput!$N$27+1,20,24,28,32,36,40),0)/100)))+1)),0)</f>
        <v/>
      </c>
      <c r="S457">
        <f>IFERROR(O457/N457,0)</f>
        <v/>
      </c>
      <c r="T457">
        <f>IF(C457,(H457*N457*IF(AND(Inputs!$B$38&lt;&gt;"pvp",Inputs!$B$43&gt;0),((Skills!G10*((R457-1)*IF(Skills!H10&gt;0,Skills!I10/Skills!H10,1)+IF(Skills!H10&gt;0,MIN(Skills!I10,MAX(0,MAX(0,Inputs!$B$43-B488)-((R457-1)*(IF(Inputs!$B$38="pvp",15,MAX(0.1,Skills!D10-IF(Skills!E10=TRUE,Inputs!$B$32,0)))*(1-IF(AND(ArtifactsInput!$M$27,Inputs!$B$4="Chapter Hunt"),CHOOSE(ArtifactsInput!$N$27+1,20,24,28,32,36,40),0)/100)))))/Skills!H10,1)))/Inputs!$B$43),G457*Q457)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457*(1-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457*(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457*(1-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457*(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7">
        <f>IF(C457,(H457*N457*IF(AND(Inputs!$B$38&lt;&gt;"pvp",Inputs!$B$43&gt;0),((Skills!G10*((R457-1)*IF(Skills!H10&gt;0,Skills!I10/Skills!H10,1)+IF(Skills!H10&gt;0,MIN(Skills!I10,MAX(0,MAX(0,Inputs!$B$43-B488)-((R457-1)*(IF(Inputs!$B$38="pvp",15,MAX(0.1,Skills!D10-IF(Skills!E10=TRUE,Inputs!$B$32,0)))*(1-IF(AND(ArtifactsInput!$M$27,Inputs!$B$4="Chapter Hunt"),CHOOSE(ArtifactsInput!$N$27+1,20,24,28,32,36,40),0)/100)))))/Skills!H10,1)))/Inputs!$B$43),G457*Q457))*IF(Inputs!$B$38="pvp",1,(1+(Inputs!$B$21+Skills!Q10+(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8">
      <c r="A458">
        <f>Skills!A11</f>
        <v/>
      </c>
      <c r="B458">
        <f>Skills!B11</f>
        <v/>
      </c>
      <c r="C458">
        <f>Inputs!$B$3&gt;=100</f>
        <v/>
      </c>
      <c r="D458">
        <f>IF(Skills!C11=1,60+Inputs!$B$25+Inputs!$B$29,IF(Skills!C11=2,90+Inputs!$B$26+Inputs!$B$29,IF(Skills!C11=3,120+Inputs!$B$27+Inputs!$B$29,MAX(0,(Inputs!$B$3-100)*3)+Inputs!$B$28+Inputs!$B$29)))</f>
        <v/>
      </c>
      <c r="E458">
        <f>INDEX(FactorTable!$B$2:$Y$301, MATCH(ROUND(MIN(300,MAX(1,D458)),0), FactorTable!$A$2:$A$301,0), Skills!M11+1)</f>
        <v/>
      </c>
      <c r="F458">
        <f>IF(Skills!N11=TRUE,(Skills!L11/10)*(E458/1000),Skills!L11/10)+Skills!O11</f>
        <v/>
      </c>
      <c r="G458" t="inlineStr"/>
      <c r="H458" t="inlineStr"/>
      <c r="I458" t="inlineStr">
        <is>
          <t>1</t>
        </is>
      </c>
      <c r="J458" t="inlineStr"/>
      <c r="K458" t="inlineStr"/>
      <c r="L458" t="inlineStr"/>
      <c r="M458" t="inlineStr"/>
      <c r="N458" t="inlineStr"/>
      <c r="O458" t="inlineStr"/>
      <c r="P458" t="inlineStr"/>
      <c r="Q458" t="inlineStr"/>
      <c r="R458" t="inlineStr"/>
      <c r="S458" t="inlineStr"/>
      <c r="T458" t="inlineStr"/>
      <c r="V458" t="inlineStr"/>
    </row>
    <row r="459">
      <c r="A459">
        <f>Skills!A12</f>
        <v/>
      </c>
      <c r="B459">
        <f>Skills!B12</f>
        <v/>
      </c>
      <c r="C459">
        <f>Inputs!$B$3&gt;=60</f>
        <v/>
      </c>
      <c r="D459">
        <f>IF(Skills!C12=1,60+Inputs!$B$25+Inputs!$B$29,IF(Skills!C12=2,90+Inputs!$B$26+Inputs!$B$29,IF(Skills!C12=3,120+Inputs!$B$27+Inputs!$B$29,MAX(0,(Inputs!$B$3-100)*3)+Inputs!$B$28+Inputs!$B$29)))</f>
        <v/>
      </c>
      <c r="E459">
        <f>INDEX(FactorTable!$B$2:$Y$301, MATCH(ROUND(MIN(300,MAX(1,D459)),0), FactorTable!$A$2:$A$301,0), Skills!M12+1)</f>
        <v/>
      </c>
      <c r="F459">
        <f>IF(Skills!N12=TRUE,(Skills!L12/10)*(E459/1000),Skills!L12/10)+Skills!O12</f>
        <v/>
      </c>
      <c r="G459">
        <f>Skills!G12*IF(Skills!H12&gt;0,Skills!I12/Skills!H12,1)</f>
        <v/>
      </c>
      <c r="H459">
        <f>1-(1-Skills!J12/100)^Skills!K12</f>
        <v/>
      </c>
      <c r="I459" t="inlineStr">
        <is>
          <t>1</t>
        </is>
      </c>
      <c r="J459">
        <f>((Inputs!$B$6*(1+Inputs!$B$7/100))+(((Inputs!$B$12*(1+Inputs!$B$13/100))-(Inputs!$B$12*(1+Inputs!$B$13/100)))+0.25*(Inputs!$B$14-Inputs!$B$14))*(1+Inputs!$B$7/100))*(F459/100)</f>
        <v/>
      </c>
      <c r="K459">
        <f>J459*(1+((Inputs!$B$12*(1+Inputs!$B$13/100))*0.01+Inputs!$B$14*0.0025)/100)*(1+Inputs!$B$15/100)*(1+Inputs!$B$16/100)*(5000/(6000+Inputs!$B$42*(1-(100*(1-(1-(Inputs!$B$19+((C475=TRUE)*(F475-Calc!F28)))/100)*(1-CHOOSE(ArtifactsInput!$N$40+1,5,6,7,8,9,10)/100)^(ArtifactsInput!$M$40-ArtifactsInput!$M$40)))/100)))*(1+(Inputs!$B$24+((C473=TRUE)*(F473-Calc!F26))+((C474=TRUE)*(F474-Calc!F27))+B487)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460=TRUE,F460,0)/100)*(1+(IF(Skills!A12="ARROW_STREAM",Inputs!$B$17+((C471=TRUE)*(F471-Calc!F24))+(((IF(AND(ArtifactsInput!$M$42,((Inputs!$B$9+((C468=TRUE)*(F468-Calc!F21))+B481+(ArtifactsInput!$M$24-ArtifactsInput!$M$24)*CHOOSE(ArtifactsInput!$N$24+1,10,12,14,16,18,20)+IF(ArtifactsInput!$M$10,CHOOSE(ArtifactsInput!$N$10+1,15,18,21,24,27,30)*(IF(Inputs!$B$38="pvp",MIN(15,15)/15,IF(AND(Inputs!$B$38&lt;&gt;"pvp",Inputs!$B$43&gt;0),MIN(15,Inputs!$B$43)/(Inputs!$B$43),0))),0)))&gt;=100),MIN(100,((Inputs!$B$9+((C468=TRUE)*(F468-Calc!F21))+B481+(ArtifactsInput!$M$24-ArtifactsInput!$M$24)*CHOOSE(ArtifactsInput!$N$24+1,10,12,14,16,18,20)+IF(ArtifactsInput!$M$10,CHOOSE(ArtifactsInput!$N$10+1,15,18,21,24,27,30)*(IF(Inputs!$B$38="pvp",MIN(15,15)/15,IF(AND(Inputs!$B$38&lt;&gt;"pvp",Inputs!$B$43&gt;0),MIN(15,Inputs!$B$43)/(Inputs!$B$43),0))),0)))-100),0))*CHOOSE(ArtifactsInput!$N$42+1,0.6,0.72,0.84,0.96,1.08,1.2))),Inputs!$B$18+((C476=TRUE)*(F476-Calc!F29))+(IF(AND(ArtifactsInput!$M$42,((Inputs!$B$9+((C468=TRUE)*(F468-Calc!F21))+B481+(ArtifactsInput!$M$24-ArtifactsInput!$M$24)*CHOOSE(ArtifactsInput!$N$24+1,10,12,14,16,18,20)+IF(ArtifactsInput!$M$10,CHOOSE(ArtifactsInput!$N$10+1,15,18,21,24,27,30)*(IF(Inputs!$B$38="pvp",MIN(15,15)/15,IF(AND(Inputs!$B$38&lt;&gt;"pvp",Inputs!$B$43&gt;0),MIN(15,Inputs!$B$43)/(Inputs!$B$43),0))),0)))&gt;=100),CHOOSE(ArtifactsInput!$N$42+1,40,48,56,64,72,80),0))))/100)*((1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459)</f>
        <v/>
      </c>
      <c r="L459">
        <f>K459*(MIN((Inputs!$B$22+1)+((C472=TRUE)*(F472-Calc!F25)),(Inputs!$B$23+((C477=TRUE)*(F477-Calc!F30))+(IF(ArtifactsInput!$M$15,CHOOSE(ArtifactsInput!$N$15+1,25,30,35,40,45,50)/100*(Inputs!$B$11-Inputs!$B$11),0))))/100+(Inputs!$B$23+((C477=TRUE)*(F477-Calc!F30))+(IF(ArtifactsInput!$M$15,CHOOSE(ArtifactsInput!$N$15+1,25,30,35,40,45,50)/100*(Inputs!$B$11-Inputs!$B$11),0)))/100)/2</f>
        <v/>
      </c>
      <c r="M459">
        <f>L459*(1+(Inputs!$B$10+0+B486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9">
        <f>L459*(1-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459*(MIN((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9">
        <f>(1-Summary!$B$11)*T459+Summary!$B$11*V459</f>
        <v/>
      </c>
      <c r="P459">
        <f>IF(B491=0,0,O459/B491)</f>
        <v/>
      </c>
      <c r="Q459">
        <f>IFERROR(1/(IF(Inputs!$B$38="pvp",15,MAX(0.1,Skills!D12-IF(Skills!E12=TRUE,Inputs!$B$32,0)))*(1-IF(AND(ArtifactsInput!$M$27,Inputs!$B$4="Chapter Hunt"),CHOOSE(ArtifactsInput!$N$27+1,20,24,28,32,36,40),0)/100)),0)</f>
        <v/>
      </c>
      <c r="R459">
        <f>IF(AND(Inputs!$B$38&lt;&gt;"pvp",Inputs!$B$43&gt;0),IF(MAX(0,Inputs!$B$43-B488)&lt;=0,0,(INT(MAX(0,Inputs!$B$43-B488)/(IF(Inputs!$B$38="pvp",15,MAX(0.1,Skills!D12-IF(Skills!E12=TRUE,Inputs!$B$32,0)))*(1-IF(AND(ArtifactsInput!$M$27,Inputs!$B$4="Chapter Hunt"),CHOOSE(ArtifactsInput!$N$27+1,20,24,28,32,36,40),0)/100)))+1)),0)</f>
        <v/>
      </c>
      <c r="S459">
        <f>IFERROR(O459/N459,0)</f>
        <v/>
      </c>
      <c r="T459">
        <f>IF(C459,(H459*N459*IF(AND(Inputs!$B$38&lt;&gt;"pvp",Inputs!$B$43&gt;0),((Skills!G12*((R459-1)*IF(Skills!H12&gt;0,Skills!I12/Skills!H12,1)+IF(Skills!H12&gt;0,MIN(Skills!I12,MAX(0,MAX(0,Inputs!$B$43-B488)-((R459-1)*(IF(Inputs!$B$38="pvp",15,MAX(0.1,Skills!D12-IF(Skills!E12=TRUE,Inputs!$B$32,0)))*(1-IF(AND(ArtifactsInput!$M$27,Inputs!$B$4="Chapter Hunt"),CHOOSE(ArtifactsInput!$N$27+1,20,24,28,32,36,40),0)/100)))))/Skills!H12,1)))/Inputs!$B$43),G459*Q459)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(5000/(6000+Inputs!$B$42*(1-(100*(1-(1-(100*(1-(1-(Inputs!$B$19+((C475=TRUE)*(F475-Calc!F28)))/100)*(1-CHOOSE(ArtifactsInput!$N$40+1,5,6,7,8,9,10)/100)^(ArtifactsInput!$M$40-ArtifactsInput!$M$40)))/100)*(1-IF(ArtifactsInput!$M$40,CHOOSE(ArtifactsInput!$N$40+1,5,6,7,8,9,10),0)/100)^IF(Inputs!$B$38="pvp",1,2)))/100)))/(5000/(6000+Inputs!$B$42*(1-(100*(1-(1-(Inputs!$B$19+((C475=TRUE)*(F475-Calc!F28)))/100)*(1-CHOOSE(ArtifactsInput!$N$40+1,5,6,7,8,9,10)/100)^(ArtifactsInput!$M$40-ArtifactsInput!$M$40)))/100))))*((L459*(1-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459*(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459*(1-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459*(MIN(100,(Inputs!$B$9+((C468=TRUE)*(F468-Calc!F21))+B481+(ArtifactsInput!$M$24-ArtifactsInput!$M$24)*CHOOSE(ArtifactsInput!$N$24+1,10,12,14,16,18,20)+(IF(AND(ArtifactsInput!$M$42,((Inputs!$B$9+((C468=TRUE)*(F468-Calc!F21))+B481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9">
        <f>IF(C459,(H459*N459*IF(AND(Inputs!$B$38&lt;&gt;"pvp",Inputs!$B$43&gt;0),((Skills!G12*((R459-1)*IF(Skills!H12&gt;0,Skills!I12/Skills!H12,1)+IF(Skills!H12&gt;0,MIN(Skills!I12,MAX(0,MAX(0,Inputs!$B$43-B488)-((R459-1)*(IF(Inputs!$B$38="pvp",15,MAX(0.1,Skills!D12-IF(Skills!E12=TRUE,Inputs!$B$32,0)))*(1-IF(AND(ArtifactsInput!$M$27,Inputs!$B$4="Chapter Hunt"),CHOOSE(ArtifactsInput!$N$27+1,20,24,28,32,36,40),0)/100)))))/Skills!H12,1)))/Inputs!$B$43),G459*Q459))*IF(Inputs!$B$38="pvp",1,(1+(Inputs!$B$21+Skills!Q12+(IF(ArtifactsInput!$M$33,CHOOSE(ArtifactsInput!$N$33+1,30,36,42,48,54,60),0))+(IF(AND(ArtifactsInput!$M$35,Inputs!$B$4&lt;&gt;"Chapter Hunt"),CHOOSE(ArtifactsInput!$N$35+1,15,18,21,24,27,30)*(1-EXP(-(0.2*B483)*5)),0)+IF(AND(ArtifactsInput!$M$22,Inputs!$B$4&lt;&gt;"Chapter Hunt"),CHOOSE(ArtifactsInput!$N$22+1,10,12,14,16,18,20)*((0*(((0.15*B483*5))^0/1)+1*(((0.15*B483*5))^1/1)+2*(((0.15*B483*5))^2/2)+3*(((0.15*B483*5))^3/6)+4*(((0.15*B483*5))^4/24)+5*(((0.15*B483*5))^5/120))/((((0.15*B483*5))^0/1)+(((0.15*B483*5))^1/1)+(((0.15*B483*5))^2/2)+(((0.15*B483*5))^3/6)+(((0.15*B483*5))^4/24)+(((0.15*B483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60">
      <c r="A460">
        <f>Skills!A13</f>
        <v/>
      </c>
      <c r="B460">
        <f>Skills!B13</f>
        <v/>
      </c>
      <c r="C460">
        <f>Inputs!$B$3&gt;=110</f>
        <v/>
      </c>
      <c r="D460">
        <f>IF(Skills!C13=1,60+Inputs!$B$25+Inputs!$B$29,IF(Skills!C13=2,90+Inputs!$B$26+Inputs!$B$29,IF(Skills!C13=3,120+Inputs!$B$27+Inputs!$B$29,MAX(0,(Inputs!$B$3-100)*3)+Inputs!$B$28+Inputs!$B$29)))</f>
        <v/>
      </c>
      <c r="E460">
        <f>INDEX(FactorTable!$B$2:$Y$301, MATCH(ROUND(MIN(300,MAX(1,D460)),0), FactorTable!$A$2:$A$301,0), Skills!M13+1)</f>
        <v/>
      </c>
      <c r="F460">
        <f>IF(Skills!N13=TRUE,(Skills!L13/10)*(E460/1000),Skills!L13/10)+Skills!O13</f>
        <v/>
      </c>
      <c r="G460" t="inlineStr"/>
      <c r="H460" t="inlineStr"/>
      <c r="I460" t="inlineStr">
        <is>
          <t>1</t>
        </is>
      </c>
      <c r="J460" t="inlineStr"/>
      <c r="K460" t="inlineStr"/>
      <c r="L460" t="inlineStr"/>
      <c r="M460" t="inlineStr"/>
      <c r="N460" t="inlineStr"/>
      <c r="O460" t="inlineStr"/>
      <c r="P460" t="inlineStr"/>
      <c r="Q460" t="inlineStr"/>
      <c r="R460" t="inlineStr"/>
      <c r="S460" t="inlineStr"/>
      <c r="T460" t="inlineStr"/>
      <c r="V460" t="inlineStr"/>
    </row>
    <row r="461">
      <c r="A461">
        <f>Skills!A14</f>
        <v/>
      </c>
      <c r="B461">
        <f>Skills!B14</f>
        <v/>
      </c>
      <c r="C461">
        <f>Inputs!$B$3&gt;=74</f>
        <v/>
      </c>
      <c r="D461">
        <f>IF(Skills!C14=1,60+Inputs!$B$25+Inputs!$B$29,IF(Skills!C14=2,90+Inputs!$B$26+Inputs!$B$29,IF(Skills!C14=3,120+Inputs!$B$27+Inputs!$B$29,MAX(0,(Inputs!$B$3-100)*3)+Inputs!$B$28+Inputs!$B$29)))</f>
        <v/>
      </c>
      <c r="E461">
        <f>INDEX(FactorTable!$B$2:$Y$301, MATCH(ROUND(MIN(300,MAX(1,D461)),0), FactorTable!$A$2:$A$301,0), Skills!M14+1)</f>
        <v/>
      </c>
      <c r="F461">
        <f>IF(Skills!N14=TRUE,(Skills!L14/10)*(E461/1000),Skills!L14/10)+Skills!O14</f>
        <v/>
      </c>
      <c r="G461">
        <f>Skills!G14*IF(Skills!H14&gt;0,Skills!I14/Skills!H14,1)</f>
        <v/>
      </c>
      <c r="H461">
        <f>1-(1-Skills!J14/100)^Skills!K14</f>
        <v/>
      </c>
      <c r="I461" t="inlineStr">
        <is>
          <t>1</t>
        </is>
      </c>
      <c r="J461" t="inlineStr"/>
      <c r="K461" t="inlineStr"/>
      <c r="L461" t="inlineStr"/>
      <c r="M461" t="inlineStr"/>
      <c r="N461" t="inlineStr"/>
      <c r="O461">
        <f>(1-Summary!$B$11)*T461+Summary!$B$11*V461</f>
        <v/>
      </c>
      <c r="P461">
        <f>IF(B491=0,0,O461/B491)</f>
        <v/>
      </c>
      <c r="Q461" t="n">
        <v>0</v>
      </c>
      <c r="R461" t="n">
        <v>0</v>
      </c>
      <c r="S461">
        <f>IFERROR(O461/N461,0)</f>
        <v/>
      </c>
      <c r="T461" t="n">
        <v>0</v>
      </c>
      <c r="V461" t="n">
        <v>0</v>
      </c>
    </row>
    <row r="462">
      <c r="A462">
        <f>Skills!A15</f>
        <v/>
      </c>
      <c r="B462">
        <f>Skills!B15</f>
        <v/>
      </c>
      <c r="C462">
        <f>Inputs!$B$3&gt;=74</f>
        <v/>
      </c>
      <c r="D462">
        <f>IF(Skills!C15=1,60+Inputs!$B$25+Inputs!$B$29,IF(Skills!C15=2,90+Inputs!$B$26+Inputs!$B$29,IF(Skills!C15=3,120+Inputs!$B$27+Inputs!$B$29,MAX(0,(Inputs!$B$3-100)*3)+Inputs!$B$28+Inputs!$B$29)))</f>
        <v/>
      </c>
      <c r="E462">
        <f>INDEX(FactorTable!$B$2:$Y$301, MATCH(ROUND(MIN(300,MAX(1,D462)),0), FactorTable!$A$2:$A$301,0), Skills!M15+1)</f>
        <v/>
      </c>
      <c r="F462">
        <f>IF(Skills!N15=TRUE,(Skills!L15/10)*(E462/1000),Skills!L15/10)+Skills!O15</f>
        <v/>
      </c>
      <c r="G462">
        <f>Skills!G15*IF(Skills!H15&gt;0,Skills!I15/Skills!H15,1)</f>
        <v/>
      </c>
      <c r="H462">
        <f>1-(1-Skills!J15/100)^Skills!K15</f>
        <v/>
      </c>
      <c r="I462" t="inlineStr">
        <is>
          <t>1</t>
        </is>
      </c>
      <c r="J462" t="inlineStr"/>
      <c r="K462" t="inlineStr"/>
      <c r="L462" t="inlineStr"/>
      <c r="M462" t="inlineStr"/>
      <c r="N462" t="inlineStr"/>
      <c r="O462">
        <f>(1-Summary!$B$11)*T462+Summary!$B$11*V462</f>
        <v/>
      </c>
      <c r="P462">
        <f>IF(B491=0,0,O462/B491)</f>
        <v/>
      </c>
      <c r="Q462" t="n">
        <v>0</v>
      </c>
      <c r="R462" t="n">
        <v>0</v>
      </c>
      <c r="S462">
        <f>IFERROR(O462/N462,0)</f>
        <v/>
      </c>
      <c r="T462" t="n">
        <v>0</v>
      </c>
      <c r="V462" t="n">
        <v>0</v>
      </c>
    </row>
    <row r="463">
      <c r="A463">
        <f>Skills!A16</f>
        <v/>
      </c>
      <c r="B463">
        <f>Skills!B16</f>
        <v/>
      </c>
      <c r="C463">
        <f>Inputs!$B$3&gt;=117</f>
        <v/>
      </c>
      <c r="D463">
        <f>IF(Skills!C16=1,60+Inputs!$B$25+Inputs!$B$29,IF(Skills!C16=2,90+Inputs!$B$26+Inputs!$B$29,IF(Skills!C16=3,120+Inputs!$B$27+Inputs!$B$29,MAX(0,(Inputs!$B$3-100)*3)+Inputs!$B$28+Inputs!$B$29)))</f>
        <v/>
      </c>
      <c r="E463">
        <f>INDEX(FactorTable!$B$2:$Y$301, MATCH(ROUND(MIN(300,MAX(1,D463)),0), FactorTable!$A$2:$A$301,0), Skills!M16+1)</f>
        <v/>
      </c>
      <c r="F463">
        <f>IF(Skills!N16=TRUE,(Skills!L16/10)*(E463/1000),Skills!L16/10)+Skills!O16</f>
        <v/>
      </c>
      <c r="G463">
        <f>Skills!G16*IF(Skills!H16&gt;0,Skills!I16/Skills!H16,1)</f>
        <v/>
      </c>
      <c r="H463">
        <f>1-(1-Skills!J16/100)^Skills!K16</f>
        <v/>
      </c>
      <c r="I463" t="inlineStr">
        <is>
          <t>1</t>
        </is>
      </c>
      <c r="J463" t="inlineStr"/>
      <c r="K463" t="inlineStr"/>
      <c r="L463" t="inlineStr"/>
      <c r="M463" t="inlineStr"/>
      <c r="N463" t="inlineStr"/>
      <c r="O463">
        <f>(1-Summary!$B$11)*T463+Summary!$B$11*V463</f>
        <v/>
      </c>
      <c r="P463">
        <f>IF(B491=0,0,O463/B491)</f>
        <v/>
      </c>
      <c r="Q463">
        <f>IFERROR(1/(IF(Inputs!$B$38="pvp",15,MAX(0.1,Skills!D16-IF(Skills!E16=TRUE,Inputs!$B$32,0)))*(1-IF(AND(ArtifactsInput!$M$27,Inputs!$B$4="Chapter Hunt"),CHOOSE(ArtifactsInput!$N$27+1,20,24,28,32,36,40),0)/100)),0)</f>
        <v/>
      </c>
      <c r="R463">
        <f>IF(AND(Inputs!$B$38&lt;&gt;"pvp",Inputs!$B$43&gt;0),IF(Inputs!$B$43&lt;=0,0,(INT(Inputs!$B$43/(IF(Inputs!$B$38="pvp",15,MAX(0.1,Skills!D16-IF(Skills!E16=TRUE,Inputs!$B$32,0)))*(1-IF(AND(ArtifactsInput!$M$27,Inputs!$B$4="Chapter Hunt"),CHOOSE(ArtifactsInput!$N$27+1,20,24,28,32,36,40),0)/100)))+1)),0)</f>
        <v/>
      </c>
      <c r="S463">
        <f>IFERROR(O463/N463,0)</f>
        <v/>
      </c>
      <c r="T463" t="n">
        <v>0</v>
      </c>
      <c r="V463" t="n">
        <v>0</v>
      </c>
    </row>
    <row r="464">
      <c r="A464">
        <f>Skills!A17</f>
        <v/>
      </c>
      <c r="B464">
        <f>Skills!B17</f>
        <v/>
      </c>
      <c r="C464">
        <f>Inputs!$B$3&gt;=115</f>
        <v/>
      </c>
      <c r="D464">
        <f>IF(Skills!C17=1,60+Inputs!$B$25+Inputs!$B$29,IF(Skills!C17=2,90+Inputs!$B$26+Inputs!$B$29,IF(Skills!C17=3,120+Inputs!$B$27+Inputs!$B$29,MAX(0,(Inputs!$B$3-100)*3)+Inputs!$B$28+Inputs!$B$29)))</f>
        <v/>
      </c>
      <c r="E464">
        <f>INDEX(FactorTable!$B$2:$Y$301, MATCH(ROUND(MIN(300,MAX(1,D464)),0), FactorTable!$A$2:$A$301,0), Skills!M17+1)</f>
        <v/>
      </c>
      <c r="F464">
        <f>IF(Skills!N17=TRUE,(Skills!L17/10)*(E464/1000),Skills!L17/10)+Skills!O17</f>
        <v/>
      </c>
      <c r="G464">
        <f>Skills!G17*IF(Skills!H17&gt;0,Skills!I17/Skills!H17,1)</f>
        <v/>
      </c>
      <c r="H464">
        <f>1-(1-Skills!J17/100)^Skills!K17</f>
        <v/>
      </c>
      <c r="I464" t="inlineStr">
        <is>
          <t>1</t>
        </is>
      </c>
      <c r="J464" t="inlineStr"/>
      <c r="K464" t="inlineStr"/>
      <c r="L464" t="inlineStr"/>
      <c r="M464" t="inlineStr"/>
      <c r="N464" t="inlineStr"/>
      <c r="O464">
        <f>(1-Summary!$B$11)*T464+Summary!$B$11*V464</f>
        <v/>
      </c>
      <c r="P464">
        <f>IF(B491=0,0,O464/B491)</f>
        <v/>
      </c>
      <c r="Q464">
        <f>IFERROR(1/(IF(Inputs!$B$38="pvp",15,MAX(0.1,Skills!D17-IF(Skills!E17=TRUE,Inputs!$B$32,0)))*(1-IF(AND(ArtifactsInput!$M$27,Inputs!$B$4="Chapter Hunt"),CHOOSE(ArtifactsInput!$N$27+1,20,24,28,32,36,40),0)/100)),0)</f>
        <v/>
      </c>
      <c r="R464">
        <f>IF(AND(Inputs!$B$38&lt;&gt;"pvp",Inputs!$B$43&gt;0),IF(Inputs!$B$43&lt;=0,0,(INT(Inputs!$B$43/(IF(Inputs!$B$38="pvp",15,MAX(0.1,Skills!D17-IF(Skills!E17=TRUE,Inputs!$B$32,0)))*(1-IF(AND(ArtifactsInput!$M$27,Inputs!$B$4="Chapter Hunt"),CHOOSE(ArtifactsInput!$N$27+1,20,24,28,32,36,40),0)/100)))+1)),0)</f>
        <v/>
      </c>
      <c r="S464">
        <f>IFERROR(O464/N464,0)</f>
        <v/>
      </c>
      <c r="T464" t="n">
        <v>0</v>
      </c>
      <c r="V464" t="n">
        <v>0</v>
      </c>
    </row>
    <row r="465">
      <c r="A465">
        <f>Skills!A18</f>
        <v/>
      </c>
      <c r="B465">
        <f>Skills!B18</f>
        <v/>
      </c>
      <c r="C465">
        <f>Inputs!$B$3&gt;=66</f>
        <v/>
      </c>
      <c r="D465">
        <f>IF(Skills!C18=1,60+Inputs!$B$25+Inputs!$B$29,IF(Skills!C18=2,90+Inputs!$B$26+Inputs!$B$29,IF(Skills!C18=3,120+Inputs!$B$27+Inputs!$B$29,MAX(0,(Inputs!$B$3-100)*3)+Inputs!$B$28+Inputs!$B$29)))</f>
        <v/>
      </c>
      <c r="E465">
        <f>INDEX(FactorTable!$B$2:$Y$301, MATCH(ROUND(MIN(300,MAX(1,D465)),0), FactorTable!$A$2:$A$301,0), Skills!M18+1)</f>
        <v/>
      </c>
      <c r="F465">
        <f>IF(Skills!N18=TRUE,(Skills!L18/10)*(E465/1000),Skills!L18/10)+Skills!O18</f>
        <v/>
      </c>
      <c r="G465">
        <f>Skills!G18*IF(Skills!H18&gt;0,Skills!I18/Skills!H18,1)</f>
        <v/>
      </c>
      <c r="H465">
        <f>1-(1-Skills!J18/100)^Skills!K18</f>
        <v/>
      </c>
      <c r="I465" t="inlineStr">
        <is>
          <t>1</t>
        </is>
      </c>
      <c r="J465" t="inlineStr"/>
      <c r="K465" t="inlineStr"/>
      <c r="L465" t="inlineStr"/>
      <c r="M465" t="inlineStr"/>
      <c r="N465" t="inlineStr"/>
      <c r="O465">
        <f>(1-Summary!$B$11)*T465+Summary!$B$11*V465</f>
        <v/>
      </c>
      <c r="P465">
        <f>IF(B491=0,0,O465/B491)</f>
        <v/>
      </c>
      <c r="Q465" t="n">
        <v>0</v>
      </c>
      <c r="R465" t="n">
        <v>0</v>
      </c>
      <c r="S465">
        <f>IFERROR(O465/N465,0)</f>
        <v/>
      </c>
      <c r="T465" t="n">
        <v>0</v>
      </c>
      <c r="V465" t="n">
        <v>0</v>
      </c>
    </row>
    <row r="466">
      <c r="A466">
        <f>Skills!A19</f>
        <v/>
      </c>
      <c r="B466">
        <f>Skills!B19</f>
        <v/>
      </c>
      <c r="C466">
        <f>Inputs!$B$3&gt;=72</f>
        <v/>
      </c>
      <c r="D466">
        <f>IF(Skills!C19=1,60+Inputs!$B$25+Inputs!$B$29,IF(Skills!C19=2,90+Inputs!$B$26+Inputs!$B$29,IF(Skills!C19=3,120+Inputs!$B$27+Inputs!$B$29,MAX(0,(Inputs!$B$3-100)*3)+Inputs!$B$28+Inputs!$B$29)))</f>
        <v/>
      </c>
      <c r="E466">
        <f>INDEX(FactorTable!$B$2:$Y$301, MATCH(ROUND(MIN(300,MAX(1,D466)),0), FactorTable!$A$2:$A$301,0), Skills!M19+1)</f>
        <v/>
      </c>
      <c r="F466">
        <f>IF(Skills!N19=TRUE,(Skills!L19/10)*(E466/1000),Skills!L19/10)+Skills!O19</f>
        <v/>
      </c>
      <c r="G466">
        <f>Skills!G19*IF(Skills!H19&gt;0,Skills!I19/Skills!H19,1)</f>
        <v/>
      </c>
      <c r="H466">
        <f>1-(1-Skills!J19/100)^Skills!K19</f>
        <v/>
      </c>
      <c r="I466" t="inlineStr">
        <is>
          <t>1</t>
        </is>
      </c>
      <c r="J466" t="inlineStr"/>
      <c r="K466" t="inlineStr"/>
      <c r="L466" t="inlineStr"/>
      <c r="M466" t="inlineStr"/>
      <c r="N466" t="inlineStr"/>
      <c r="O466">
        <f>(1-Summary!$B$11)*T466+Summary!$B$11*V466</f>
        <v/>
      </c>
      <c r="P466">
        <f>IF(B491=0,0,O466/B491)</f>
        <v/>
      </c>
      <c r="Q466" t="n">
        <v>0</v>
      </c>
      <c r="R466" t="n">
        <v>0</v>
      </c>
      <c r="S466">
        <f>IFERROR(O466/N466,0)</f>
        <v/>
      </c>
      <c r="T466" t="n">
        <v>0</v>
      </c>
      <c r="V466" t="n">
        <v>0</v>
      </c>
    </row>
    <row r="467">
      <c r="A467">
        <f>Skills!A20</f>
        <v/>
      </c>
      <c r="B467">
        <f>Skills!B20</f>
        <v/>
      </c>
      <c r="C467">
        <f>TRUE</f>
        <v/>
      </c>
      <c r="D467">
        <f>IF(Skills!C20=1,60+Inputs!$B$25+Inputs!$B$29,IF(Skills!C20=2,90+Inputs!$B$26+Inputs!$B$29,IF(Skills!C20=3,120+Inputs!$B$27+Inputs!$B$29,MAX(0,(Inputs!$B$3-100)*3)+Inputs!$B$28+Inputs!$B$29)))</f>
        <v/>
      </c>
      <c r="E467">
        <f>INDEX(FactorTable!$B$2:$Y$301, MATCH(ROUND(MIN(300,MAX(1,D467)),0), FactorTable!$A$2:$A$301,0), Skills!M20+1)</f>
        <v/>
      </c>
      <c r="F467">
        <f>IF(Skills!N20=TRUE,(Skills!L20/10)*(E467/1000),Skills!L20/10)+Skills!O20</f>
        <v/>
      </c>
      <c r="G467">
        <f>Skills!G20*IF(Skills!H20&gt;0,Skills!I20/Skills!H20,1)</f>
        <v/>
      </c>
      <c r="H467">
        <f>1-(1-Skills!J20/100)^Skills!K20</f>
        <v/>
      </c>
      <c r="I467" t="inlineStr">
        <is>
          <t>1</t>
        </is>
      </c>
      <c r="J467" t="inlineStr"/>
      <c r="K467" t="inlineStr"/>
      <c r="L467" t="inlineStr"/>
      <c r="M467" t="inlineStr"/>
      <c r="N467" t="inlineStr"/>
      <c r="O467">
        <f>(1-Summary!$B$11)*T467+Summary!$B$11*V467</f>
        <v/>
      </c>
      <c r="P467">
        <f>IF(B491=0,0,O467/B491)</f>
        <v/>
      </c>
      <c r="Q467">
        <f>IFERROR(1/(IF(Inputs!$B$38="pvp",15,MAX(0.1,Skills!D20-IF(Skills!E20=TRUE,Inputs!$B$32,0)))*(1-IF(AND(ArtifactsInput!$M$27,Inputs!$B$4="Chapter Hunt"),CHOOSE(ArtifactsInput!$N$27+1,20,24,28,32,36,40),0)/100)),0)</f>
        <v/>
      </c>
      <c r="R467">
        <f>IF(AND(Inputs!$B$38&lt;&gt;"pvp",Inputs!$B$43&gt;0),IF(Inputs!$B$43&lt;=0,0,(INT(Inputs!$B$43/(IF(Inputs!$B$38="pvp",15,MAX(0.1,Skills!D20-IF(Skills!E20=TRUE,Inputs!$B$32,0)))*(1-IF(AND(ArtifactsInput!$M$27,Inputs!$B$4="Chapter Hunt"),CHOOSE(ArtifactsInput!$N$27+1,20,24,28,32,36,40),0)/100)))+1)),0)</f>
        <v/>
      </c>
      <c r="S467">
        <f>IFERROR(O467/N467,0)</f>
        <v/>
      </c>
      <c r="T467" t="n">
        <v>0</v>
      </c>
      <c r="V467" t="n">
        <v>0</v>
      </c>
    </row>
    <row r="468">
      <c r="A468">
        <f>Skills!A21</f>
        <v/>
      </c>
      <c r="B468">
        <f>Skills!B21</f>
        <v/>
      </c>
      <c r="C468">
        <f>Inputs!$B$3&gt;=15</f>
        <v/>
      </c>
      <c r="D468">
        <f>IF(Skills!C21=1,60+Inputs!$B$25+Inputs!$B$29,IF(Skills!C21=2,90+Inputs!$B$26+Inputs!$B$29,IF(Skills!C21=3,120+Inputs!$B$27+Inputs!$B$29,MAX(0,(Inputs!$B$3-100)*3)+Inputs!$B$28+Inputs!$B$29)))</f>
        <v/>
      </c>
      <c r="E468">
        <f>INDEX(FactorTable!$B$2:$Y$301, MATCH(ROUND(MIN(300,MAX(1,D468)),0), FactorTable!$A$2:$A$301,0), Skills!M21+1)</f>
        <v/>
      </c>
      <c r="F468">
        <f>IF(Skills!N21=TRUE,(Skills!L21/10)*(E468/1000),Skills!L21/10)+Skills!O21</f>
        <v/>
      </c>
      <c r="G468">
        <f>Skills!G21*IF(Skills!H21&gt;0,Skills!I21/Skills!H21,1)</f>
        <v/>
      </c>
      <c r="H468">
        <f>1-(1-Skills!J21/100)^Skills!K21</f>
        <v/>
      </c>
      <c r="I468" t="inlineStr">
        <is>
          <t>1</t>
        </is>
      </c>
      <c r="J468" t="inlineStr"/>
      <c r="K468" t="inlineStr"/>
      <c r="L468" t="inlineStr"/>
      <c r="M468" t="inlineStr"/>
      <c r="N468" t="inlineStr"/>
      <c r="O468">
        <f>(1-Summary!$B$11)*T468+Summary!$B$11*V468</f>
        <v/>
      </c>
      <c r="P468">
        <f>IF(B491=0,0,O468/B491)</f>
        <v/>
      </c>
      <c r="Q468" t="n">
        <v>0</v>
      </c>
      <c r="R468" t="n">
        <v>0</v>
      </c>
      <c r="S468">
        <f>IFERROR(O468/N468,0)</f>
        <v/>
      </c>
      <c r="T468" t="n">
        <v>0</v>
      </c>
      <c r="V468" t="n">
        <v>0</v>
      </c>
    </row>
    <row r="469">
      <c r="A469">
        <f>Skills!A22</f>
        <v/>
      </c>
      <c r="B469">
        <f>Skills!B22</f>
        <v/>
      </c>
      <c r="C469">
        <f>Inputs!$B$3&gt;=10</f>
        <v/>
      </c>
      <c r="D469">
        <f>IF(Skills!C22=1,60+Inputs!$B$25+Inputs!$B$29,IF(Skills!C22=2,90+Inputs!$B$26+Inputs!$B$29,IF(Skills!C22=3,120+Inputs!$B$27+Inputs!$B$29,MAX(0,(Inputs!$B$3-100)*3)+Inputs!$B$28+Inputs!$B$29)))</f>
        <v/>
      </c>
      <c r="E469">
        <f>INDEX(FactorTable!$B$2:$Y$301, MATCH(ROUND(MIN(300,MAX(1,D469)),0), FactorTable!$A$2:$A$301,0), Skills!M22+1)</f>
        <v/>
      </c>
      <c r="F469">
        <f>IF(Skills!N22=TRUE,(Skills!L22/10)*(E469/1000),Skills!L22/10)+Skills!O22</f>
        <v/>
      </c>
      <c r="G469">
        <f>Skills!G22*IF(Skills!H22&gt;0,Skills!I22/Skills!H22,1)</f>
        <v/>
      </c>
      <c r="H469">
        <f>1-(1-Skills!J22/100)^Skills!K22</f>
        <v/>
      </c>
      <c r="I469" t="inlineStr">
        <is>
          <t>1</t>
        </is>
      </c>
      <c r="J469" t="inlineStr"/>
      <c r="K469" t="inlineStr"/>
      <c r="L469" t="inlineStr"/>
      <c r="M469" t="inlineStr"/>
      <c r="N469" t="inlineStr"/>
      <c r="O469">
        <f>(1-Summary!$B$11)*T469+Summary!$B$11*V469</f>
        <v/>
      </c>
      <c r="P469">
        <f>IF(B491=0,0,O469/B491)</f>
        <v/>
      </c>
      <c r="Q469" t="n">
        <v>0</v>
      </c>
      <c r="R469" t="n">
        <v>0</v>
      </c>
      <c r="S469">
        <f>IFERROR(O469/N469,0)</f>
        <v/>
      </c>
      <c r="T469" t="n">
        <v>0</v>
      </c>
      <c r="V469" t="n">
        <v>0</v>
      </c>
    </row>
    <row r="470">
      <c r="A470">
        <f>Skills!A23</f>
        <v/>
      </c>
      <c r="B470">
        <f>Skills!B23</f>
        <v/>
      </c>
      <c r="C470">
        <f>Inputs!$B$3&gt;=33</f>
        <v/>
      </c>
      <c r="D470">
        <f>IF(Skills!C23=1,60+Inputs!$B$25+Inputs!$B$29,IF(Skills!C23=2,90+Inputs!$B$26+Inputs!$B$29,IF(Skills!C23=3,120+Inputs!$B$27+Inputs!$B$29,MAX(0,(Inputs!$B$3-100)*3)+Inputs!$B$28+Inputs!$B$29)))</f>
        <v/>
      </c>
      <c r="E470">
        <f>INDEX(FactorTable!$B$2:$Y$301, MATCH(ROUND(MIN(300,MAX(1,D470)),0), FactorTable!$A$2:$A$301,0), Skills!M23+1)</f>
        <v/>
      </c>
      <c r="F470">
        <f>IF(Skills!N23=TRUE,(Skills!L23/10)*(E470/1000),Skills!L23/10)+Skills!O23</f>
        <v/>
      </c>
      <c r="G470">
        <f>Skills!G23*IF(Skills!H23&gt;0,Skills!I23/Skills!H23,1)</f>
        <v/>
      </c>
      <c r="H470">
        <f>1-(1-Skills!J23/100)^Skills!K23</f>
        <v/>
      </c>
      <c r="I470" t="inlineStr">
        <is>
          <t>1</t>
        </is>
      </c>
      <c r="J470" t="inlineStr"/>
      <c r="K470" t="inlineStr"/>
      <c r="L470" t="inlineStr"/>
      <c r="M470" t="inlineStr"/>
      <c r="N470" t="inlineStr"/>
      <c r="O470">
        <f>(1-Summary!$B$11)*T470+Summary!$B$11*V470</f>
        <v/>
      </c>
      <c r="P470">
        <f>IF(B491=0,0,O470/B491)</f>
        <v/>
      </c>
      <c r="Q470" t="n">
        <v>0</v>
      </c>
      <c r="R470" t="n">
        <v>0</v>
      </c>
      <c r="S470">
        <f>IFERROR(O470/N470,0)</f>
        <v/>
      </c>
      <c r="T470" t="n">
        <v>0</v>
      </c>
      <c r="V470" t="n">
        <v>0</v>
      </c>
    </row>
    <row r="471">
      <c r="A471">
        <f>Skills!A24</f>
        <v/>
      </c>
      <c r="B471">
        <f>Skills!B24</f>
        <v/>
      </c>
      <c r="C471">
        <f>Inputs!$B$3&gt;=38</f>
        <v/>
      </c>
      <c r="D471">
        <f>IF(Skills!C24=1,60+Inputs!$B$25+Inputs!$B$29,IF(Skills!C24=2,90+Inputs!$B$26+Inputs!$B$29,IF(Skills!C24=3,120+Inputs!$B$27+Inputs!$B$29,MAX(0,(Inputs!$B$3-100)*3)+Inputs!$B$28+Inputs!$B$29)))</f>
        <v/>
      </c>
      <c r="E471">
        <f>INDEX(FactorTable!$B$2:$Y$301, MATCH(ROUND(MIN(300,MAX(1,D471)),0), FactorTable!$A$2:$A$301,0), Skills!M24+1)</f>
        <v/>
      </c>
      <c r="F471">
        <f>IF(Skills!N24=TRUE,(Skills!L24/10)*(E471/1000),Skills!L24/10)+Skills!O24</f>
        <v/>
      </c>
      <c r="G471">
        <f>Skills!G24*IF(Skills!H24&gt;0,Skills!I24/Skills!H24,1)</f>
        <v/>
      </c>
      <c r="H471">
        <f>1-(1-Skills!J24/100)^Skills!K24</f>
        <v/>
      </c>
      <c r="I471" t="inlineStr">
        <is>
          <t>1</t>
        </is>
      </c>
      <c r="J471" t="inlineStr"/>
      <c r="K471" t="inlineStr"/>
      <c r="L471" t="inlineStr"/>
      <c r="M471" t="inlineStr"/>
      <c r="N471" t="inlineStr"/>
      <c r="O471">
        <f>(1-Summary!$B$11)*T471+Summary!$B$11*V471</f>
        <v/>
      </c>
      <c r="P471">
        <f>IF(B491=0,0,O471/B491)</f>
        <v/>
      </c>
      <c r="Q471" t="n">
        <v>0</v>
      </c>
      <c r="R471" t="n">
        <v>0</v>
      </c>
      <c r="S471">
        <f>IFERROR(O471/N471,0)</f>
        <v/>
      </c>
      <c r="T471" t="n">
        <v>0</v>
      </c>
      <c r="V471" t="n">
        <v>0</v>
      </c>
    </row>
    <row r="472">
      <c r="A472">
        <f>Skills!A25</f>
        <v/>
      </c>
      <c r="B472">
        <f>Skills!B25</f>
        <v/>
      </c>
      <c r="C472">
        <f>Inputs!$B$3&gt;=43</f>
        <v/>
      </c>
      <c r="D472">
        <f>IF(Skills!C25=1,60+Inputs!$B$25+Inputs!$B$29,IF(Skills!C25=2,90+Inputs!$B$26+Inputs!$B$29,IF(Skills!C25=3,120+Inputs!$B$27+Inputs!$B$29,MAX(0,(Inputs!$B$3-100)*3)+Inputs!$B$28+Inputs!$B$29)))</f>
        <v/>
      </c>
      <c r="E472">
        <f>INDEX(FactorTable!$B$2:$Y$301, MATCH(ROUND(MIN(300,MAX(1,D472)),0), FactorTable!$A$2:$A$301,0), Skills!M25+1)</f>
        <v/>
      </c>
      <c r="F472">
        <f>IF(Skills!N25=TRUE,(Skills!L25/10)*(E472/1000),Skills!L25/10)+Skills!O25</f>
        <v/>
      </c>
      <c r="G472">
        <f>Skills!G25*IF(Skills!H25&gt;0,Skills!I25/Skills!H25,1)</f>
        <v/>
      </c>
      <c r="H472">
        <f>1-(1-Skills!J25/100)^Skills!K25</f>
        <v/>
      </c>
      <c r="I472" t="inlineStr">
        <is>
          <t>1</t>
        </is>
      </c>
      <c r="J472" t="inlineStr"/>
      <c r="K472" t="inlineStr"/>
      <c r="L472" t="inlineStr"/>
      <c r="M472" t="inlineStr"/>
      <c r="N472" t="inlineStr"/>
      <c r="O472">
        <f>(1-Summary!$B$11)*T472+Summary!$B$11*V472</f>
        <v/>
      </c>
      <c r="P472">
        <f>IF(B491=0,0,O472/B491)</f>
        <v/>
      </c>
      <c r="Q472" t="n">
        <v>0</v>
      </c>
      <c r="R472" t="n">
        <v>0</v>
      </c>
      <c r="S472">
        <f>IFERROR(O472/N472,0)</f>
        <v/>
      </c>
      <c r="T472" t="n">
        <v>0</v>
      </c>
      <c r="V472" t="n">
        <v>0</v>
      </c>
    </row>
    <row r="473">
      <c r="A473">
        <f>Skills!A26</f>
        <v/>
      </c>
      <c r="B473">
        <f>Skills!B26</f>
        <v/>
      </c>
      <c r="C473">
        <f>Inputs!$B$3&gt;=75</f>
        <v/>
      </c>
      <c r="D473">
        <f>IF(Skills!C26=1,60+Inputs!$B$25+Inputs!$B$29,IF(Skills!C26=2,90+Inputs!$B$26+Inputs!$B$29,IF(Skills!C26=3,120+Inputs!$B$27+Inputs!$B$29,MAX(0,(Inputs!$B$3-100)*3)+Inputs!$B$28+Inputs!$B$29)))</f>
        <v/>
      </c>
      <c r="E473">
        <f>INDEX(FactorTable!$B$2:$Y$301, MATCH(ROUND(MIN(300,MAX(1,D473)),0), FactorTable!$A$2:$A$301,0), Skills!M26+1)</f>
        <v/>
      </c>
      <c r="F473">
        <f>IF(Skills!N26=TRUE,(Skills!L26/10)*(E473/1000),Skills!L26/10)+Skills!O26</f>
        <v/>
      </c>
      <c r="G473">
        <f>Skills!G26*IF(Skills!H26&gt;0,Skills!I26/Skills!H26,1)</f>
        <v/>
      </c>
      <c r="H473">
        <f>1-(1-Skills!J26/100)^Skills!K26</f>
        <v/>
      </c>
      <c r="I473" t="inlineStr">
        <is>
          <t>1</t>
        </is>
      </c>
      <c r="J473" t="inlineStr"/>
      <c r="K473" t="inlineStr"/>
      <c r="L473" t="inlineStr"/>
      <c r="M473" t="inlineStr"/>
      <c r="N473" t="inlineStr"/>
      <c r="O473">
        <f>(1-Summary!$B$11)*T473+Summary!$B$11*V473</f>
        <v/>
      </c>
      <c r="P473">
        <f>IF(B491=0,0,O473/B491)</f>
        <v/>
      </c>
      <c r="Q473" t="n">
        <v>0</v>
      </c>
      <c r="R473" t="n">
        <v>0</v>
      </c>
      <c r="S473">
        <f>IFERROR(O473/N473,0)</f>
        <v/>
      </c>
      <c r="T473" t="n">
        <v>0</v>
      </c>
      <c r="V473" t="n">
        <v>0</v>
      </c>
    </row>
    <row r="474">
      <c r="A474">
        <f>Skills!A27</f>
        <v/>
      </c>
      <c r="B474">
        <f>Skills!B27</f>
        <v/>
      </c>
      <c r="C474">
        <f>Inputs!$B$3&gt;=125</f>
        <v/>
      </c>
      <c r="D474">
        <f>IF(Skills!C27=1,60+Inputs!$B$25+Inputs!$B$29,IF(Skills!C27=2,90+Inputs!$B$26+Inputs!$B$29,IF(Skills!C27=3,120+Inputs!$B$27+Inputs!$B$29,MAX(0,(Inputs!$B$3-100)*3)+Inputs!$B$28+Inputs!$B$29)))</f>
        <v/>
      </c>
      <c r="E474">
        <f>INDEX(FactorTable!$B$2:$Y$301, MATCH(ROUND(MIN(300,MAX(1,D474)),0), FactorTable!$A$2:$A$301,0), Skills!M27+1)</f>
        <v/>
      </c>
      <c r="F474">
        <f>IF(Skills!N27=TRUE,(Skills!L27/10)*(E474/1000),Skills!L27/10)+Skills!O27</f>
        <v/>
      </c>
      <c r="G474">
        <f>Skills!G27*IF(Skills!H27&gt;0,Skills!I27/Skills!H27,1)</f>
        <v/>
      </c>
      <c r="H474">
        <f>1-(1-Skills!J27/100)^Skills!K27</f>
        <v/>
      </c>
      <c r="I474" t="inlineStr">
        <is>
          <t>1</t>
        </is>
      </c>
      <c r="J474" t="inlineStr"/>
      <c r="K474" t="inlineStr"/>
      <c r="L474" t="inlineStr"/>
      <c r="M474" t="inlineStr"/>
      <c r="N474" t="inlineStr"/>
      <c r="O474">
        <f>(1-Summary!$B$11)*T474+Summary!$B$11*V474</f>
        <v/>
      </c>
      <c r="P474">
        <f>IF(B491=0,0,O474/B491)</f>
        <v/>
      </c>
      <c r="Q474" t="n">
        <v>0</v>
      </c>
      <c r="R474" t="n">
        <v>0</v>
      </c>
      <c r="S474">
        <f>IFERROR(O474/N474,0)</f>
        <v/>
      </c>
      <c r="T474" t="n">
        <v>0</v>
      </c>
      <c r="V474" t="n">
        <v>0</v>
      </c>
    </row>
    <row r="475">
      <c r="A475">
        <f>Skills!A28</f>
        <v/>
      </c>
      <c r="B475">
        <f>Skills!B28</f>
        <v/>
      </c>
      <c r="C475">
        <f>Inputs!$B$3&gt;=125</f>
        <v/>
      </c>
      <c r="D475">
        <f>IF(Skills!C28=1,60+Inputs!$B$25+Inputs!$B$29,IF(Skills!C28=2,90+Inputs!$B$26+Inputs!$B$29,IF(Skills!C28=3,120+Inputs!$B$27+Inputs!$B$29,MAX(0,(Inputs!$B$3-100)*3)+Inputs!$B$28+Inputs!$B$29)))</f>
        <v/>
      </c>
      <c r="E475">
        <f>INDEX(FactorTable!$B$2:$Y$301, MATCH(ROUND(MIN(300,MAX(1,D475)),0), FactorTable!$A$2:$A$301,0), Skills!M28+1)</f>
        <v/>
      </c>
      <c r="F475">
        <f>IF(Skills!N28=TRUE,(Skills!L28/10)*(E475/1000),Skills!L28/10)+Skills!O28</f>
        <v/>
      </c>
      <c r="G475">
        <f>Skills!G28*IF(Skills!H28&gt;0,Skills!I28/Skills!H28,1)</f>
        <v/>
      </c>
      <c r="H475">
        <f>1-(1-Skills!J28/100)^Skills!K28</f>
        <v/>
      </c>
      <c r="I475" t="inlineStr">
        <is>
          <t>1</t>
        </is>
      </c>
      <c r="J475" t="inlineStr"/>
      <c r="K475" t="inlineStr"/>
      <c r="L475" t="inlineStr"/>
      <c r="M475" t="inlineStr"/>
      <c r="N475" t="inlineStr"/>
      <c r="O475">
        <f>(1-Summary!$B$11)*T475+Summary!$B$11*V475</f>
        <v/>
      </c>
      <c r="P475">
        <f>IF(B491=0,0,O475/B491)</f>
        <v/>
      </c>
      <c r="Q475" t="n">
        <v>0</v>
      </c>
      <c r="R475" t="n">
        <v>0</v>
      </c>
      <c r="S475">
        <f>IFERROR(O475/N475,0)</f>
        <v/>
      </c>
      <c r="T475" t="n">
        <v>0</v>
      </c>
      <c r="V475" t="n">
        <v>0</v>
      </c>
    </row>
    <row r="476">
      <c r="A476">
        <f>Skills!A29</f>
        <v/>
      </c>
      <c r="B476">
        <f>Skills!B29</f>
        <v/>
      </c>
      <c r="C476">
        <f>Inputs!$B$3&gt;=120</f>
        <v/>
      </c>
      <c r="D476">
        <f>IF(Skills!C29=1,60+Inputs!$B$25+Inputs!$B$29,IF(Skills!C29=2,90+Inputs!$B$26+Inputs!$B$29,IF(Skills!C29=3,120+Inputs!$B$27+Inputs!$B$29,MAX(0,(Inputs!$B$3-100)*3)+Inputs!$B$28+Inputs!$B$29)))</f>
        <v/>
      </c>
      <c r="E476">
        <f>INDEX(FactorTable!$B$2:$Y$301, MATCH(ROUND(MIN(300,MAX(1,D476)),0), FactorTable!$A$2:$A$301,0), Skills!M29+1)</f>
        <v/>
      </c>
      <c r="F476">
        <f>IF(Skills!N29=TRUE,(Skills!L29/10)*(E476/1000),Skills!L29/10)+Skills!O29</f>
        <v/>
      </c>
      <c r="G476">
        <f>Skills!G29*IF(Skills!H29&gt;0,Skills!I29/Skills!H29,1)</f>
        <v/>
      </c>
      <c r="H476">
        <f>1-(1-Skills!J29/100)^Skills!K29</f>
        <v/>
      </c>
      <c r="I476" t="inlineStr">
        <is>
          <t>1</t>
        </is>
      </c>
      <c r="J476" t="inlineStr"/>
      <c r="K476" t="inlineStr"/>
      <c r="L476" t="inlineStr"/>
      <c r="M476" t="inlineStr"/>
      <c r="N476" t="inlineStr"/>
      <c r="O476">
        <f>(1-Summary!$B$11)*T476+Summary!$B$11*V476</f>
        <v/>
      </c>
      <c r="P476">
        <f>IF(B491=0,0,O476/B491)</f>
        <v/>
      </c>
      <c r="Q476" t="n">
        <v>0</v>
      </c>
      <c r="R476" t="n">
        <v>0</v>
      </c>
      <c r="S476">
        <f>IFERROR(O476/N476,0)</f>
        <v/>
      </c>
      <c r="T476" t="n">
        <v>0</v>
      </c>
      <c r="V476" t="n">
        <v>0</v>
      </c>
    </row>
    <row r="477">
      <c r="A477">
        <f>Skills!A30</f>
        <v/>
      </c>
      <c r="B477">
        <f>Skills!B30</f>
        <v/>
      </c>
      <c r="C477">
        <f>Inputs!$B$3&gt;=120</f>
        <v/>
      </c>
      <c r="D477">
        <f>IF(Skills!C30=1,60+Inputs!$B$25+Inputs!$B$29,IF(Skills!C30=2,90+Inputs!$B$26+Inputs!$B$29,IF(Skills!C30=3,120+Inputs!$B$27+Inputs!$B$29,MAX(0,(Inputs!$B$3-100)*3)+Inputs!$B$28+Inputs!$B$29)))</f>
        <v/>
      </c>
      <c r="E477">
        <f>INDEX(FactorTable!$B$2:$Y$301, MATCH(ROUND(MIN(300,MAX(1,D477)),0), FactorTable!$A$2:$A$301,0), Skills!M30+1)</f>
        <v/>
      </c>
      <c r="F477">
        <f>IF(Skills!N30=TRUE,(Skills!L30/10)*(E477/1000),Skills!L30/10)+Skills!O30</f>
        <v/>
      </c>
      <c r="G477">
        <f>Skills!G30*IF(Skills!H30&gt;0,Skills!I30/Skills!H30,1)</f>
        <v/>
      </c>
      <c r="H477">
        <f>1-(1-Skills!J30/100)^Skills!K30</f>
        <v/>
      </c>
      <c r="I477" t="inlineStr">
        <is>
          <t>1</t>
        </is>
      </c>
      <c r="J477" t="inlineStr"/>
      <c r="K477" t="inlineStr"/>
      <c r="L477" t="inlineStr"/>
      <c r="M477" t="inlineStr"/>
      <c r="N477" t="inlineStr"/>
      <c r="O477">
        <f>(1-Summary!$B$11)*T477+Summary!$B$11*V477</f>
        <v/>
      </c>
      <c r="P477">
        <f>IF(B491=0,0,O477/B491)</f>
        <v/>
      </c>
      <c r="Q477" t="n">
        <v>0</v>
      </c>
      <c r="R477" t="n">
        <v>0</v>
      </c>
      <c r="S477">
        <f>IFERROR(O477/N477,0)</f>
        <v/>
      </c>
      <c r="T477" t="n">
        <v>0</v>
      </c>
      <c r="V477" t="n">
        <v>0</v>
      </c>
    </row>
    <row r="478">
      <c r="A478">
        <f>Skills!A31</f>
        <v/>
      </c>
      <c r="B478">
        <f>Skills!B31</f>
        <v/>
      </c>
      <c r="C478">
        <f>Inputs!$B$3&gt;=45</f>
        <v/>
      </c>
      <c r="D478">
        <f>IF(Skills!C31=1,60+Inputs!$B$25+Inputs!$B$29,IF(Skills!C31=2,90+Inputs!$B$26+Inputs!$B$29,IF(Skills!C31=3,120+Inputs!$B$27+Inputs!$B$29,MAX(0,(Inputs!$B$3-100)*3)+Inputs!$B$28+Inputs!$B$29)))</f>
        <v/>
      </c>
      <c r="E478">
        <f>INDEX(FactorTable!$B$2:$Y$301, MATCH(ROUND(MIN(300,MAX(1,D478)),0), FactorTable!$A$2:$A$301,0), Skills!M31+1)</f>
        <v/>
      </c>
      <c r="F478">
        <f>IF(Skills!N31=TRUE,(Skills!L31/10)*(E478/1000),Skills!L31/10)+Skills!O31</f>
        <v/>
      </c>
      <c r="G478">
        <f>Skills!G31*IF(Skills!H31&gt;0,Skills!I31/Skills!H31,1)</f>
        <v/>
      </c>
      <c r="H478">
        <f>1-(1-Skills!J31/100)^Skills!K31</f>
        <v/>
      </c>
      <c r="I478" t="inlineStr">
        <is>
          <t>1</t>
        </is>
      </c>
      <c r="J478" t="inlineStr"/>
      <c r="K478" t="inlineStr"/>
      <c r="L478" t="inlineStr"/>
      <c r="M478" t="inlineStr"/>
      <c r="N478" t="inlineStr"/>
      <c r="O478">
        <f>(1-Summary!$B$11)*T478+Summary!$B$11*V478</f>
        <v/>
      </c>
      <c r="P478">
        <f>IF(B491=0,0,O478/B491)</f>
        <v/>
      </c>
      <c r="Q478" t="n">
        <v>0</v>
      </c>
      <c r="R478" t="n">
        <v>0</v>
      </c>
      <c r="S478">
        <f>IFERROR(O478/N478,0)</f>
        <v/>
      </c>
      <c r="T478" t="n">
        <v>0</v>
      </c>
      <c r="V478" t="n">
        <v>0</v>
      </c>
    </row>
    <row r="480">
      <c r="A480" t="inlineStr">
        <is>
          <t>Attack% Bucket Multiplier</t>
        </is>
      </c>
      <c r="B480">
        <f>(1+(((C461=TRUE)*F461)+((C462=TRUE)*IF(Inputs!$B$38="pvp",F462,(1-Summary!$B$11)*(F462)+Summary!$B$11*(0)))+((C463=TRUE)*F463*IF(AND(Inputs!$B$38&lt;&gt;"pvp",Inputs!$B$43&gt;0),(((R463-1)*(Skills!T16*(1+Inputs!$B$34/100))+MIN((Skills!T16*(1+Inputs!$B$34/100)),MAX(0,Inputs!$B$43-((R463-1)*Skills!D16))))/Inputs!$B$43),IF(Inputs!$B$38="pvp",MIN((Skills!T16*(1+Inputs!$B$34/100)),15)/15,(Skills!T16*(1+Inputs!$B$34/100))/Skills!D16)))+((C478=TRUE)*(F478-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81">
      <c r="A481" t="inlineStr">
        <is>
          <t>Global Crit Rate Bonus %</t>
        </is>
      </c>
      <c r="B481">
        <f>(C464=TRUE)*20*IF(AND(Inputs!$B$38&lt;&gt;"pvp",Inputs!$B$43&gt;0),(((R464-1)*(Skills!T17*(1+Inputs!$B$34/100))+MIN((Skills!T17*(1+Inputs!$B$34/100)),MAX(0,Inputs!$B$43-((R464-1)*Skills!D17))))/Inputs!$B$43),IF(Inputs!$B$38="pvp",MIN((Skills!T17*(1+Inputs!$B$34/100)),15)/15,(Skills!T17*(1+Inputs!$B$34/100))/Skills!D17))</f>
        <v/>
      </c>
    </row>
    <row r="482">
      <c r="A482" t="inlineStr">
        <is>
          <t>Attack Speed Buff Bonus %</t>
        </is>
      </c>
      <c r="B482">
        <f>((C467=TRUE)*F467*IF(AND(Inputs!$B$38&lt;&gt;"pvp",Inputs!$B$43&gt;0),(((R467-1)*(Skills!T20*(1+Inputs!$B$34/100))+MIN((Skills!T20*(1+Inputs!$B$34/100)),MAX(0,Inputs!$B$43-((R467-1)*Skills!D20))))/Inputs!$B$43),IF(Inputs!$B$38="pvp",MIN((Skills!T20*(1+Inputs!$B$34/100)),15)/15,(Skills!T20*(1+Inputs!$B$34/100))/Skills!D20)))</f>
        <v/>
      </c>
    </row>
    <row r="483">
      <c r="A483" t="inlineStr">
        <is>
          <t>Actions Per Second</t>
        </is>
      </c>
      <c r="B483">
        <f>1+MIN(150,150*(1-(1-(Inputs!$B$11+((C469=TRUE)*(F469-Calc!F22))+((C470=TRUE)*(F470-Calc!F23)))/150)*(1-B482/150)))/100</f>
        <v/>
      </c>
    </row>
    <row r="484">
      <c r="A484" t="inlineStr">
        <is>
          <t>Skill + Buff Cast Rate</t>
        </is>
      </c>
      <c r="B484">
        <f>IF(AND(Inputs!$B$38&lt;&gt;"pvp",Inputs!$B$43&gt;0),SUMPRODUCT((Skills!E2:E31=TRUE)*(C449:C478=TRUE)*R449:R478*Skills!F2:F31)/Inputs!$B$43,SUMPRODUCT((Skills!E2:E31=TRUE)*(C449:C478=TRUE)*Q449:Q478*Skills!F2:F31))</f>
        <v/>
      </c>
    </row>
    <row r="485">
      <c r="A485" t="inlineStr">
        <is>
          <t>Arrow Stream Casts Per Second</t>
        </is>
      </c>
      <c r="B485">
        <f>MAX(0,B483-B484)</f>
        <v/>
      </c>
    </row>
    <row r="486">
      <c r="A486" t="inlineStr">
        <is>
          <t>Global Critical Damage Bonus % (Sharp Eyes + Concentration)</t>
        </is>
      </c>
      <c r="B486">
        <f>(C464=TRUE)*F464*IF(AND(Inputs!$B$38&lt;&gt;"pvp",Inputs!$B$43&gt;0),(((R464-1)*(Skills!T17*(1+Inputs!$B$34/100))+MIN((Skills!T17*(1+Inputs!$B$34/100)),MAX(0,Inputs!$B$43-((R464-1)*Skills!D17))))/Inputs!$B$43),IF(Inputs!$B$38="pvp",MIN((Skills!T17*(1+Inputs!$B$34/100)),15)/15,(Skills!T17*(1+Inputs!$B$34/100))/Skills!D17))+(C465=TRUE)*30</f>
        <v/>
      </c>
    </row>
    <row r="487">
      <c r="A487" t="inlineStr">
        <is>
          <t>Global Final Damage Bonus % (Mortal Blow)</t>
        </is>
      </c>
      <c r="B487">
        <f>(C466=TRUE)*F466</f>
        <v/>
      </c>
    </row>
    <row r="488">
      <c r="A488" t="inlineStr">
        <is>
          <t>Buff-Casting Startup Delay (s, fixed-duration only)</t>
        </is>
      </c>
      <c r="B488">
        <f>IF(AND(Inputs!$B$38&lt;&gt;"pvp",Inputs!$B$43&gt;0),SUMPRODUCT((Skills!T2:T31&gt;0)*(Skills!E2:E31=TRUE)*(C449:C478=TRUE))/B483,0)</f>
        <v/>
      </c>
    </row>
    <row r="489">
      <c r="A489" t="inlineStr">
        <is>
          <t>Boss-Only Total DPS (this block's swept value)</t>
        </is>
      </c>
      <c r="B489">
        <f>SUM(T449:T478)</f>
        <v/>
      </c>
    </row>
    <row r="490">
      <c r="A490" t="inlineStr">
        <is>
          <t>Normal-Only Total DPS (this block's swept value)</t>
        </is>
      </c>
      <c r="B490">
        <f>SUM(V449:V478)</f>
        <v/>
      </c>
    </row>
    <row r="491">
      <c r="A491" s="6" t="inlineStr">
        <is>
          <t>TOTAL DPS</t>
        </is>
      </c>
      <c r="B491" s="6">
        <f>SUM(O449:O478)</f>
        <v/>
      </c>
    </row>
    <row r="494">
      <c r="A494" s="6" t="inlineStr">
        <is>
          <t>Stat: MAX_DAMAGE %</t>
        </is>
      </c>
    </row>
    <row r="495">
      <c r="A495" s="5" t="inlineStr">
        <is>
          <t>Key</t>
        </is>
      </c>
      <c r="B495" s="5" t="inlineStr">
        <is>
          <t>Name</t>
        </is>
      </c>
      <c r="C495" s="5" t="inlineStr">
        <is>
          <t>Unlocked</t>
        </is>
      </c>
      <c r="D495" s="5" t="inlineStr">
        <is>
          <t>InputLevel</t>
        </is>
      </c>
      <c r="E495" s="5" t="inlineStr">
        <is>
          <t>Factor</t>
        </is>
      </c>
      <c r="F495" s="5" t="inlineStr">
        <is>
          <t>CoefficientPercent</t>
        </is>
      </c>
      <c r="G495" s="5" t="inlineStr">
        <is>
          <t>EffectiveHits</t>
        </is>
      </c>
      <c r="H495" s="5" t="inlineStr">
        <is>
          <t>ProcProbability</t>
        </is>
      </c>
      <c r="I495" s="5" t="inlineStr">
        <is>
          <t>MapleHeroMultiplier</t>
        </is>
      </c>
      <c r="J495" s="5" t="inlineStr">
        <is>
          <t>BaseDamage</t>
        </is>
      </c>
      <c r="K495" s="5" t="inlineStr">
        <is>
          <t>BaseHitDamage</t>
        </is>
      </c>
      <c r="L495" s="5" t="inlineStr">
        <is>
          <t>NonCritAvg</t>
        </is>
      </c>
      <c r="M495" s="5" t="inlineStr">
        <is>
          <t>CritAvg</t>
        </is>
      </c>
      <c r="N495" s="5" t="inlineStr">
        <is>
          <t>ExpectedDamage(perHit)</t>
        </is>
      </c>
      <c r="O495" s="5" t="inlineStr">
        <is>
          <t>DPS</t>
        </is>
      </c>
      <c r="P495" s="5" t="inlineStr">
        <is>
          <t>% of Total</t>
        </is>
      </c>
      <c r="Q495" s="5" t="inlineStr">
        <is>
          <t>InvCooldown</t>
        </is>
      </c>
      <c r="R495" s="5" t="inlineStr">
        <is>
          <t>CastsInFight</t>
        </is>
      </c>
      <c r="S495" s="5" t="inlineStr">
        <is>
          <t>HitRate(perSec)</t>
        </is>
      </c>
      <c r="U495" t="inlineStr">
        <is>
          <t>helpers</t>
        </is>
      </c>
    </row>
    <row r="496">
      <c r="A496">
        <f>Skills!A2</f>
        <v/>
      </c>
      <c r="B496">
        <f>Skills!B2</f>
        <v/>
      </c>
      <c r="C496">
        <f>Inputs!$B$3&gt;=100</f>
        <v/>
      </c>
      <c r="D496" t="inlineStr"/>
      <c r="E496" t="inlineStr"/>
      <c r="F496">
        <f>U498+Skills!O2</f>
        <v/>
      </c>
      <c r="G496">
        <f>Skills!G2*IF(Skills!H2&gt;0,Skills!I2/Skills!H2,1)</f>
        <v/>
      </c>
      <c r="H496">
        <f>1-(1-Skills!J2/100)^Skills!K2</f>
        <v/>
      </c>
      <c r="I496" t="inlineStr">
        <is>
          <t>1</t>
        </is>
      </c>
      <c r="J496">
        <f>((Inputs!$B$6*(1+Inputs!$B$7/100))+(((Inputs!$B$12*(1+Inputs!$B$13/100))-(Inputs!$B$12*(1+Inputs!$B$13/100)))+0.25*(Inputs!$B$14-Inputs!$B$14))*(1+Inputs!$B$7/100))*(F496/100)</f>
        <v/>
      </c>
      <c r="K496">
        <f>J496*(1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496)</f>
        <v/>
      </c>
      <c r="L496">
        <f>K496*(MIN(Inputs!$B$22+((C519=TRUE)*(F519-Calc!F25)),((Inputs!$B$23+1)+((C524=TRUE)*(F524-Calc!F30))+(IF(ArtifactsInput!$M$15,CHOOSE(ArtifactsInput!$N$15+1,25,30,35,40,45,50)/100*(Inputs!$B$11-Inputs!$B$11),0))))/100+((Inputs!$B$23+1)+((C524=TRUE)*(F524-Calc!F30))+(IF(ArtifactsInput!$M$15,CHOOSE(ArtifactsInput!$N$15+1,25,30,35,40,45,50)/100*(Inputs!$B$11-Inputs!$B$11),0)))/100)/2</f>
        <v/>
      </c>
      <c r="M496">
        <f>L496*(1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6">
        <f>L496*(1-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496*(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6">
        <f>(1-Summary!$B$11)*T496+Summary!$B$11*V496</f>
        <v/>
      </c>
      <c r="P496">
        <f>IF(B538=0,0,O496/B538)</f>
        <v/>
      </c>
      <c r="Q496" t="n">
        <v>0</v>
      </c>
      <c r="R496" t="n">
        <v>0</v>
      </c>
      <c r="S496">
        <f>IFERROR(O496/N496,0)</f>
        <v/>
      </c>
      <c r="T496">
        <f>IF(C496,(Skills!G2*N496*B532)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496*(1-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496*(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496*(1-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496*(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6">
        <f>MAX(0,(Inputs!$B$3-100)*3)+Inputs!$B$28+Inputs!$B$29</f>
        <v/>
      </c>
      <c r="V496">
        <f>IF(C496,(Skills!G2*N496*B532)*IF(Inputs!$B$38="pvp",1,(1+(Inputs!$B$21+Skills!Q2+(IF(ArtifactsInput!$M$33,CHOOSE(ArtifactsInput!$N$33+1,30,36,42,48,54,60),0))+(IF(AND(ArtifactsInput!$M$35,Inputs!$B$4&lt;&gt;"Chapter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7">
      <c r="A497">
        <f>Skills!A3</f>
        <v/>
      </c>
      <c r="B497">
        <f>Skills!B3</f>
        <v/>
      </c>
      <c r="C497">
        <f>Inputs!$B$3&gt;=50</f>
        <v/>
      </c>
      <c r="D497">
        <f>IF(Skills!C3=1,60+Inputs!$B$25+Inputs!$B$29,IF(Skills!C3=2,90+Inputs!$B$26+Inputs!$B$29,IF(Skills!C3=3,120+Inputs!$B$27+Inputs!$B$29,MAX(0,(Inputs!$B$3-100)*3)+Inputs!$B$28+Inputs!$B$29)))</f>
        <v/>
      </c>
      <c r="E497">
        <f>INDEX(FactorTable!$B$2:$Y$301, MATCH(ROUND(MIN(300,MAX(1,D497)),0), FactorTable!$A$2:$A$301,0), Skills!M3+1)</f>
        <v/>
      </c>
      <c r="F497">
        <f>IF(Skills!N3=TRUE,(Skills!L3/10)*(E497/1000),Skills!L3/10)+Skills!O3</f>
        <v/>
      </c>
      <c r="G497">
        <f>Skills!G3*IF(Skills!H3&gt;0,Skills!I3/Skills!H3,1)</f>
        <v/>
      </c>
      <c r="H497">
        <f>1-(1-Skills!J3/100)^Skills!K3</f>
        <v/>
      </c>
      <c r="I497" t="inlineStr">
        <is>
          <t>1</t>
        </is>
      </c>
      <c r="J497">
        <f>((Inputs!$B$6*(1+Inputs!$B$7/100))+(((Inputs!$B$12*(1+Inputs!$B$13/100))-(Inputs!$B$12*(1+Inputs!$B$13/100)))+0.25*(Inputs!$B$14-Inputs!$B$14))*(1+Inputs!$B$7/100))*(F497/100)</f>
        <v/>
      </c>
      <c r="K497">
        <f>J497*(1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498=TRUE,F498,0)/100)*(1+(IF(Skills!A3="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497)</f>
        <v/>
      </c>
      <c r="L497">
        <f>K497*(MIN(Inputs!$B$22+((C519=TRUE)*(F519-Calc!F25)),((Inputs!$B$23+1)+((C524=TRUE)*(F524-Calc!F30))+(IF(ArtifactsInput!$M$15,CHOOSE(ArtifactsInput!$N$15+1,25,30,35,40,45,50)/100*(Inputs!$B$11-Inputs!$B$11),0))))/100+((Inputs!$B$23+1)+((C524=TRUE)*(F524-Calc!F30))+(IF(ArtifactsInput!$M$15,CHOOSE(ArtifactsInput!$N$15+1,25,30,35,40,45,50)/100*(Inputs!$B$11-Inputs!$B$11),0)))/100)/2</f>
        <v/>
      </c>
      <c r="M497">
        <f>L497*(1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7">
        <f>L497*(1-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497*(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7">
        <f>(1-Summary!$B$11)*T497+Summary!$B$11*V497</f>
        <v/>
      </c>
      <c r="P497">
        <f>IF(B538=0,0,O497/B538)</f>
        <v/>
      </c>
      <c r="Q497">
        <f>IFERROR(1/(IF(Inputs!$B$38="pvp",15,MAX(0.1,Skills!D3-IF(Skills!E3=TRUE,Inputs!$B$32,0)))*(1-IF(AND(ArtifactsInput!$M$27,Inputs!$B$4="Chapter Hunt"),CHOOSE(ArtifactsInput!$N$27+1,20,24,28,32,36,40),0)/100)),0)</f>
        <v/>
      </c>
      <c r="R497">
        <f>IF(AND(Inputs!$B$38&lt;&gt;"pvp",Inputs!$B$43&gt;0),IF(MAX(0,Inputs!$B$43-B535)&lt;=0,0,(INT(MAX(0,Inputs!$B$43-B535)/(IF(Inputs!$B$38="pvp",15,MAX(0.1,Skills!D3-IF(Skills!E3=TRUE,Inputs!$B$32,0)))*(1-IF(AND(ArtifactsInput!$M$27,Inputs!$B$4="Chapter Hunt"),CHOOSE(ArtifactsInput!$N$27+1,20,24,28,32,36,40),0)/100)))+1)),0)</f>
        <v/>
      </c>
      <c r="S497">
        <f>IFERROR(O497/N497,0)</f>
        <v/>
      </c>
      <c r="T497">
        <f>IF(C497,(H497*N497*IF(AND(Inputs!$B$38&lt;&gt;"pvp",Inputs!$B$43&gt;0),((Skills!G3*((R497-1)*IF(Skills!H3&gt;0,Skills!I3/Skills!H3,1)+IF(Skills!H3&gt;0,MIN(Skills!I3,MAX(0,MAX(0,Inputs!$B$43-B535)-((R497-1)*(IF(Inputs!$B$38="pvp",15,MAX(0.1,Skills!D3-IF(Skills!E3=TRUE,Inputs!$B$32,0)))*(1-IF(AND(ArtifactsInput!$M$27,Inputs!$B$4="Chapter Hunt"),CHOOSE(ArtifactsInput!$N$27+1,20,24,28,32,36,40),0)/100)))))/Skills!H3,1)))/Inputs!$B$43),G497*Q497)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497*(1-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497*(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497*(1-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497*(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7">
        <f>INDEX(FactorTable!$B$2:$Y$301, MATCH(ROUND(MIN(300,MAX(1,U496)),0), FactorTable!$A$2:$A$301,0), 22)</f>
        <v/>
      </c>
      <c r="V497">
        <f>IF(C497,(H497*N497*IF(AND(Inputs!$B$38&lt;&gt;"pvp",Inputs!$B$43&gt;0),((Skills!G3*((R497-1)*IF(Skills!H3&gt;0,Skills!I3/Skills!H3,1)+IF(Skills!H3&gt;0,MIN(Skills!I3,MAX(0,MAX(0,Inputs!$B$43-B535)-((R497-1)*(IF(Inputs!$B$38="pvp",15,MAX(0.1,Skills!D3-IF(Skills!E3=TRUE,Inputs!$B$32,0)))*(1-IF(AND(ArtifactsInput!$M$27,Inputs!$B$4="Chapter Hunt"),CHOOSE(ArtifactsInput!$N$27+1,20,24,28,32,36,40),0)/100)))))/Skills!H3,1)))/Inputs!$B$43),G497*Q497))*IF(Inputs!$B$38="pvp",1,(1+(Inputs!$B$21+Skills!Q3+(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8">
      <c r="A498">
        <f>Skills!A4</f>
        <v/>
      </c>
      <c r="B498">
        <f>Skills!B4</f>
        <v/>
      </c>
      <c r="C498">
        <f>Inputs!$B$3&gt;=105</f>
        <v/>
      </c>
      <c r="D498">
        <f>IF(Skills!C4=1,60+Inputs!$B$25+Inputs!$B$29,IF(Skills!C4=2,90+Inputs!$B$26+Inputs!$B$29,IF(Skills!C4=3,120+Inputs!$B$27+Inputs!$B$29,MAX(0,(Inputs!$B$3-100)*3)+Inputs!$B$28+Inputs!$B$29)))</f>
        <v/>
      </c>
      <c r="E498">
        <f>INDEX(FactorTable!$B$2:$Y$301, MATCH(ROUND(MIN(300,MAX(1,D498)),0), FactorTable!$A$2:$A$301,0), Skills!M4+1)</f>
        <v/>
      </c>
      <c r="F498">
        <f>IF(Skills!N4=TRUE,(Skills!L4/10)*(E498/1000),Skills!L4/10)+Skills!O4</f>
        <v/>
      </c>
      <c r="G498" t="inlineStr"/>
      <c r="H498" t="inlineStr"/>
      <c r="I498" t="inlineStr">
        <is>
          <t>1</t>
        </is>
      </c>
      <c r="J498" t="inlineStr"/>
      <c r="K498" t="inlineStr"/>
      <c r="L498" t="inlineStr"/>
      <c r="M498" t="inlineStr"/>
      <c r="N498" t="inlineStr"/>
      <c r="O498" t="inlineStr"/>
      <c r="P498" t="inlineStr"/>
      <c r="Q498" t="inlineStr"/>
      <c r="R498" t="inlineStr"/>
      <c r="S498" t="inlineStr"/>
      <c r="T498" t="inlineStr"/>
      <c r="U498">
        <f>290*U497/1000</f>
        <v/>
      </c>
      <c r="V498" t="inlineStr"/>
    </row>
    <row r="499">
      <c r="A499">
        <f>Skills!A5</f>
        <v/>
      </c>
      <c r="B499">
        <f>Skills!B5</f>
        <v/>
      </c>
      <c r="C499">
        <f>Inputs!$B$3&gt;=35</f>
        <v/>
      </c>
      <c r="D499">
        <f>IF(Skills!C5=1,60+Inputs!$B$25+Inputs!$B$29,IF(Skills!C5=2,90+Inputs!$B$26+Inputs!$B$29,IF(Skills!C5=3,120+Inputs!$B$27+Inputs!$B$29,MAX(0,(Inputs!$B$3-100)*3)+Inputs!$B$28+Inputs!$B$29)))</f>
        <v/>
      </c>
      <c r="E499">
        <f>INDEX(FactorTable!$B$2:$Y$301, MATCH(ROUND(MIN(300,MAX(1,D499)),0), FactorTable!$A$2:$A$301,0), Skills!M5+1)</f>
        <v/>
      </c>
      <c r="F499">
        <f>IF(Skills!N5=TRUE,(Skills!L5/10)*(E499/1000),Skills!L5/10)+Skills!O5</f>
        <v/>
      </c>
      <c r="G499">
        <f>Skills!G5*IF(Skills!H5&gt;0,Skills!I5/Skills!H5,1)</f>
        <v/>
      </c>
      <c r="H499">
        <f>1-(1-Skills!J5/100)^Skills!K5</f>
        <v/>
      </c>
      <c r="I499" t="inlineStr">
        <is>
          <t>1</t>
        </is>
      </c>
      <c r="J499">
        <f>((Inputs!$B$6*(1+Inputs!$B$7/100))+(((Inputs!$B$12*(1+Inputs!$B$13/100))-(Inputs!$B$12*(1+Inputs!$B$13/100)))+0.25*(Inputs!$B$14-Inputs!$B$14))*(1+Inputs!$B$7/100))*(F499/100)</f>
        <v/>
      </c>
      <c r="K499">
        <f>J499*(1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505=TRUE,F505,0)/100)*(1+(IF(Skills!A5="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499)</f>
        <v/>
      </c>
      <c r="L499">
        <f>K499*(MIN(Inputs!$B$22+((C519=TRUE)*(F519-Calc!F25)),((Inputs!$B$23+1)+((C524=TRUE)*(F524-Calc!F30))+(IF(ArtifactsInput!$M$15,CHOOSE(ArtifactsInput!$N$15+1,25,30,35,40,45,50)/100*(Inputs!$B$11-Inputs!$B$11),0))))/100+((Inputs!$B$23+1)+((C524=TRUE)*(F524-Calc!F30))+(IF(ArtifactsInput!$M$15,CHOOSE(ArtifactsInput!$N$15+1,25,30,35,40,45,50)/100*(Inputs!$B$11-Inputs!$B$11),0)))/100)/2</f>
        <v/>
      </c>
      <c r="M499">
        <f>L499*(1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9">
        <f>L499*(1-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499*(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9">
        <f>(1-Summary!$B$11)*T499+Summary!$B$11*V499</f>
        <v/>
      </c>
      <c r="P499">
        <f>IF(B538=0,0,O499/B538)</f>
        <v/>
      </c>
      <c r="Q499">
        <f>IFERROR(1/(IF(Inputs!$B$38="pvp",15,MAX(0.1,Skills!D5-IF(Skills!E5=TRUE,Inputs!$B$32,0)))*(1-IF(AND(ArtifactsInput!$M$27,Inputs!$B$4="Chapter Hunt"),CHOOSE(ArtifactsInput!$N$27+1,20,24,28,32,36,40),0)/100)),0)</f>
        <v/>
      </c>
      <c r="R499">
        <f>IF(AND(Inputs!$B$38&lt;&gt;"pvp",Inputs!$B$43&gt;0),IF(MAX(0,Inputs!$B$43-B535)&lt;=0,0,(INT(MAX(0,Inputs!$B$43-B535)/(IF(Inputs!$B$38="pvp",15,MAX(0.1,Skills!D5-IF(Skills!E5=TRUE,Inputs!$B$32,0)))*(1-IF(AND(ArtifactsInput!$M$27,Inputs!$B$4="Chapter Hunt"),CHOOSE(ArtifactsInput!$N$27+1,20,24,28,32,36,40),0)/100)))+1)),0)</f>
        <v/>
      </c>
      <c r="S499">
        <f>IFERROR(O499/N499,0)</f>
        <v/>
      </c>
      <c r="T499">
        <f>IF(C499,(H499*N499*IF(AND(Inputs!$B$38&lt;&gt;"pvp",Inputs!$B$43&gt;0),((Skills!G5*((R499-1)*IF(Skills!H5&gt;0,Skills!I5/Skills!H5,1)+IF(Skills!H5&gt;0,MIN(Skills!I5,MAX(0,MAX(0,Inputs!$B$43-B535)-((R499-1)*(IF(Inputs!$B$38="pvp",15,MAX(0.1,Skills!D5-IF(Skills!E5=TRUE,Inputs!$B$32,0)))*(1-IF(AND(ArtifactsInput!$M$27,Inputs!$B$4="Chapter Hunt"),CHOOSE(ArtifactsInput!$N$27+1,20,24,28,32,36,40),0)/100)))))/Skills!H5,1)))/Inputs!$B$43),G499*Q499)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499*(1-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499*(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499*(1-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499*(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9">
        <f>IF(C499,(H499*N499*IF(AND(Inputs!$B$38&lt;&gt;"pvp",Inputs!$B$43&gt;0),((Skills!G5*((R499-1)*IF(Skills!H5&gt;0,Skills!I5/Skills!H5,1)+IF(Skills!H5&gt;0,MIN(Skills!I5,MAX(0,MAX(0,Inputs!$B$43-B535)-((R499-1)*(IF(Inputs!$B$38="pvp",15,MAX(0.1,Skills!D5-IF(Skills!E5=TRUE,Inputs!$B$32,0)))*(1-IF(AND(ArtifactsInput!$M$27,Inputs!$B$4="Chapter Hunt"),CHOOSE(ArtifactsInput!$N$27+1,20,24,28,32,36,40),0)/100)))))/Skills!H5,1)))/Inputs!$B$43),G499*Q499))*IF(Inputs!$B$38="pvp",1,(1+(Inputs!$B$21+Skills!Q5+(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0">
      <c r="A500">
        <f>Skills!A6</f>
        <v/>
      </c>
      <c r="B500">
        <f>Skills!B6</f>
        <v/>
      </c>
      <c r="C500">
        <f>Inputs!$B$3&gt;=40</f>
        <v/>
      </c>
      <c r="D500">
        <f>IF(Skills!C6=1,60+Inputs!$B$25+Inputs!$B$29,IF(Skills!C6=2,90+Inputs!$B$26+Inputs!$B$29,IF(Skills!C6=3,120+Inputs!$B$27+Inputs!$B$29,MAX(0,(Inputs!$B$3-100)*3)+Inputs!$B$28+Inputs!$B$29)))</f>
        <v/>
      </c>
      <c r="E500">
        <f>INDEX(FactorTable!$B$2:$Y$301, MATCH(ROUND(MIN(300,MAX(1,D500)),0), FactorTable!$A$2:$A$301,0), Skills!M6+1)</f>
        <v/>
      </c>
      <c r="F500">
        <f>IF(Skills!N6=TRUE,(Skills!L6/10)*(E500/1000),Skills!L6/10)+Skills!O6</f>
        <v/>
      </c>
      <c r="G500">
        <f>Skills!G6*IF(Skills!H6&gt;0,Skills!I6/Skills!H6,1)</f>
        <v/>
      </c>
      <c r="H500">
        <f>1-(1-Skills!J6/100)^Skills!K6</f>
        <v/>
      </c>
      <c r="I500" t="inlineStr">
        <is>
          <t>1</t>
        </is>
      </c>
      <c r="J500">
        <f>((Inputs!$B$6*(1+Inputs!$B$7/100))+(((Inputs!$B$12*(1+Inputs!$B$13/100))-(Inputs!$B$12*(1+Inputs!$B$13/100)))+0.25*(Inputs!$B$14-Inputs!$B$14))*(1+Inputs!$B$7/100))*(F500/100)</f>
        <v/>
      </c>
      <c r="K500">
        <f>J500*(1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501=TRUE,F501,0)/100)*(1+(IF(Skills!A6="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500)</f>
        <v/>
      </c>
      <c r="L500">
        <f>K500*(MIN(Inputs!$B$22+((C519=TRUE)*(F519-Calc!F25)),((Inputs!$B$23+1)+((C524=TRUE)*(F524-Calc!F30))+(IF(ArtifactsInput!$M$15,CHOOSE(ArtifactsInput!$N$15+1,25,30,35,40,45,50)/100*(Inputs!$B$11-Inputs!$B$11),0))))/100+((Inputs!$B$23+1)+((C524=TRUE)*(F524-Calc!F30))+(IF(ArtifactsInput!$M$15,CHOOSE(ArtifactsInput!$N$15+1,25,30,35,40,45,50)/100*(Inputs!$B$11-Inputs!$B$11),0)))/100)/2</f>
        <v/>
      </c>
      <c r="M500">
        <f>L500*(1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00">
        <f>L500*(1-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500*(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0">
        <f>(1-Summary!$B$11)*T500+Summary!$B$11*V500</f>
        <v/>
      </c>
      <c r="P500">
        <f>IF(B538=0,0,O500/B538)</f>
        <v/>
      </c>
      <c r="Q500">
        <f>IFERROR(1/(IF(Inputs!$B$38="pvp",15,MAX(0.1,Skills!D6-IF(Skills!E6=TRUE,Inputs!$B$32,0)))*(1-IF(AND(ArtifactsInput!$M$27,Inputs!$B$4="Chapter Hunt"),CHOOSE(ArtifactsInput!$N$27+1,20,24,28,32,36,40),0)/100)),0)</f>
        <v/>
      </c>
      <c r="R500">
        <f>IF(AND(Inputs!$B$38&lt;&gt;"pvp",Inputs!$B$43&gt;0),IF(MAX(0,Inputs!$B$43-B535)&lt;=0,0,(INT(MAX(0,Inputs!$B$43-B535)/(IF(Inputs!$B$38="pvp",15,MAX(0.1,Skills!D6-IF(Skills!E6=TRUE,Inputs!$B$32,0)))*(1-IF(AND(ArtifactsInput!$M$27,Inputs!$B$4="Chapter Hunt"),CHOOSE(ArtifactsInput!$N$27+1,20,24,28,32,36,40),0)/100)))+1)),0)</f>
        <v/>
      </c>
      <c r="S500">
        <f>IFERROR(O500/N500,0)</f>
        <v/>
      </c>
      <c r="T500">
        <f>IF(C500,(H500*N500*IF(AND(Inputs!$B$38&lt;&gt;"pvp",Inputs!$B$43&gt;0),((Skills!G6*((R500-1)*IF(Skills!H6&gt;0,Skills!I6/Skills!H6,1)+IF(Skills!H6&gt;0,MIN(Skills!I6,MAX(0,MAX(0,Inputs!$B$43-B535)-((R500-1)*(IF(Inputs!$B$38="pvp",15,MAX(0.1,Skills!D6-IF(Skills!E6=TRUE,Inputs!$B$32,0)))*(1-IF(AND(ArtifactsInput!$M$27,Inputs!$B$4="Chapter Hunt"),CHOOSE(ArtifactsInput!$N$27+1,20,24,28,32,36,40),0)/100)))))/Skills!H6,1)))/Inputs!$B$43),G500*Q500)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500*(1-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500*(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500*(1-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500*(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0">
        <f>IF(C500,(H500*N500*IF(AND(Inputs!$B$38&lt;&gt;"pvp",Inputs!$B$43&gt;0),((Skills!G6*((R500-1)*IF(Skills!H6&gt;0,Skills!I6/Skills!H6,1)+IF(Skills!H6&gt;0,MIN(Skills!I6,MAX(0,MAX(0,Inputs!$B$43-B535)-((R500-1)*(IF(Inputs!$B$38="pvp",15,MAX(0.1,Skills!D6-IF(Skills!E6=TRUE,Inputs!$B$32,0)))*(1-IF(AND(ArtifactsInput!$M$27,Inputs!$B$4="Chapter Hunt"),CHOOSE(ArtifactsInput!$N$27+1,20,24,28,32,36,40),0)/100)))))/Skills!H6,1)))/Inputs!$B$43),G500*Q500))*IF(Inputs!$B$38="pvp",1,(1+(Inputs!$B$21+Skills!Q6+(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1">
      <c r="A501">
        <f>Skills!A7</f>
        <v/>
      </c>
      <c r="B501">
        <f>Skills!B7</f>
        <v/>
      </c>
      <c r="C501">
        <f>Inputs!$B$3&gt;=107</f>
        <v/>
      </c>
      <c r="D501">
        <f>IF(Skills!C7=1,60+Inputs!$B$25+Inputs!$B$29,IF(Skills!C7=2,90+Inputs!$B$26+Inputs!$B$29,IF(Skills!C7=3,120+Inputs!$B$27+Inputs!$B$29,MAX(0,(Inputs!$B$3-100)*3)+Inputs!$B$28+Inputs!$B$29)))</f>
        <v/>
      </c>
      <c r="E501">
        <f>INDEX(FactorTable!$B$2:$Y$301, MATCH(ROUND(MIN(300,MAX(1,D501)),0), FactorTable!$A$2:$A$301,0), Skills!M7+1)</f>
        <v/>
      </c>
      <c r="F501">
        <f>IF(Skills!N7=TRUE,(Skills!L7/10)*(E501/1000),Skills!L7/10)+Skills!O7</f>
        <v/>
      </c>
      <c r="G501" t="inlineStr"/>
      <c r="H501" t="inlineStr"/>
      <c r="I501" t="inlineStr">
        <is>
          <t>1</t>
        </is>
      </c>
      <c r="J501" t="inlineStr"/>
      <c r="K501" t="inlineStr"/>
      <c r="L501" t="inlineStr"/>
      <c r="M501" t="inlineStr"/>
      <c r="N501" t="inlineStr"/>
      <c r="O501" t="inlineStr"/>
      <c r="P501" t="inlineStr"/>
      <c r="Q501" t="inlineStr"/>
      <c r="R501" t="inlineStr"/>
      <c r="S501" t="inlineStr"/>
      <c r="T501" t="inlineStr"/>
      <c r="V501" t="inlineStr"/>
    </row>
    <row r="502">
      <c r="A502">
        <f>Skills!A8</f>
        <v/>
      </c>
      <c r="B502">
        <f>Skills!B8</f>
        <v/>
      </c>
      <c r="C502">
        <f>Inputs!$B$3&gt;=69</f>
        <v/>
      </c>
      <c r="D502">
        <f>IF(Skills!C8=1,60+Inputs!$B$25+Inputs!$B$29,IF(Skills!C8=2,90+Inputs!$B$26+Inputs!$B$29,IF(Skills!C8=3,120+Inputs!$B$27+Inputs!$B$29,MAX(0,(Inputs!$B$3-100)*3)+Inputs!$B$28+Inputs!$B$29)))</f>
        <v/>
      </c>
      <c r="E502">
        <f>INDEX(FactorTable!$B$2:$Y$301, MATCH(ROUND(MIN(300,MAX(1,D502)),0), FactorTable!$A$2:$A$301,0), Skills!M8+1)</f>
        <v/>
      </c>
      <c r="F502">
        <f>IF(Skills!N8=TRUE,(Skills!L8/10)*(E502/1000),Skills!L8/10)+Skills!O8</f>
        <v/>
      </c>
      <c r="G502">
        <f>Skills!G8*IF(Skills!H8&gt;0,Skills!I8/Skills!H8,1)</f>
        <v/>
      </c>
      <c r="H502">
        <f>1-(1-Skills!J8/100)^Skills!K8</f>
        <v/>
      </c>
      <c r="I502" t="inlineStr">
        <is>
          <t>1</t>
        </is>
      </c>
      <c r="J502">
        <f>((Inputs!$B$6*(1+Inputs!$B$7/100))+(((Inputs!$B$12*(1+Inputs!$B$13/100))-(Inputs!$B$12*(1+Inputs!$B$13/100)))+0.25*(Inputs!$B$14-Inputs!$B$14))*(1+Inputs!$B$7/100))*(F502/100)</f>
        <v/>
      </c>
      <c r="K502">
        <f>J502*(1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505=TRUE,F505,0)/100)*(1+(IF(Skills!A8="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502)</f>
        <v/>
      </c>
      <c r="L502">
        <f>K502*(MIN(Inputs!$B$22+((C519=TRUE)*(F519-Calc!F25)),((Inputs!$B$23+1)+((C524=TRUE)*(F524-Calc!F30))+(IF(ArtifactsInput!$M$15,CHOOSE(ArtifactsInput!$N$15+1,25,30,35,40,45,50)/100*(Inputs!$B$11-Inputs!$B$11),0))))/100+((Inputs!$B$23+1)+((C524=TRUE)*(F524-Calc!F30))+(IF(ArtifactsInput!$M$15,CHOOSE(ArtifactsInput!$N$15+1,25,30,35,40,45,50)/100*(Inputs!$B$11-Inputs!$B$11),0)))/100)/2</f>
        <v/>
      </c>
      <c r="M502">
        <f>L502*(1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02">
        <f>L502*(1-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502*(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2">
        <f>(1-Summary!$B$11)*T502+Summary!$B$11*V502</f>
        <v/>
      </c>
      <c r="P502">
        <f>IF(B538=0,0,O502/B538)</f>
        <v/>
      </c>
      <c r="Q502">
        <f>IFERROR(1/(IF(Inputs!$B$38="pvp",15,MAX(0.1,Skills!D8-IF(Skills!E8=TRUE,Inputs!$B$32,0)))*(1-IF(AND(ArtifactsInput!$M$27,Inputs!$B$4="Chapter Hunt"),CHOOSE(ArtifactsInput!$N$27+1,20,24,28,32,36,40),0)/100)),0)</f>
        <v/>
      </c>
      <c r="R502">
        <f>IF(AND(Inputs!$B$38&lt;&gt;"pvp",Inputs!$B$43&gt;0),IF(MAX(0,Inputs!$B$43-B535)&lt;=0,0,(INT(MAX(0,Inputs!$B$43-B535)/(IF(Inputs!$B$38="pvp",15,MAX(0.1,Skills!D8-IF(Skills!E8=TRUE,Inputs!$B$32,0)))*(1-IF(AND(ArtifactsInput!$M$27,Inputs!$B$4="Chapter Hunt"),CHOOSE(ArtifactsInput!$N$27+1,20,24,28,32,36,40),0)/100)))+1)),0)</f>
        <v/>
      </c>
      <c r="S502">
        <f>IFERROR(O502/N502,0)</f>
        <v/>
      </c>
      <c r="T502">
        <f>IF(C502,(H502*N502*IF(AND(Inputs!$B$38&lt;&gt;"pvp",Inputs!$B$43&gt;0),((Skills!G8*((R502-1)*IF(Skills!H8&gt;0,Skills!I8/Skills!H8,1)+IF(Skills!H8&gt;0,MIN(Skills!I8,MAX(0,MAX(0,Inputs!$B$43-B535)-((R502-1)*(IF(Inputs!$B$38="pvp",15,MAX(0.1,Skills!D8-IF(Skills!E8=TRUE,Inputs!$B$32,0)))*(1-IF(AND(ArtifactsInput!$M$27,Inputs!$B$4="Chapter Hunt"),CHOOSE(ArtifactsInput!$N$27+1,20,24,28,32,36,40),0)/100)))))/Skills!H8,1)))/Inputs!$B$43),G502*Q502)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502*(1-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502*(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502*(1-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502*(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2">
        <f>IF(C502,(H502*N502*IF(AND(Inputs!$B$38&lt;&gt;"pvp",Inputs!$B$43&gt;0),((Skills!G8*((R502-1)*IF(Skills!H8&gt;0,Skills!I8/Skills!H8,1)+IF(Skills!H8&gt;0,MIN(Skills!I8,MAX(0,MAX(0,Inputs!$B$43-B535)-((R502-1)*(IF(Inputs!$B$38="pvp",15,MAX(0.1,Skills!D8-IF(Skills!E8=TRUE,Inputs!$B$32,0)))*(1-IF(AND(ArtifactsInput!$M$27,Inputs!$B$4="Chapter Hunt"),CHOOSE(ArtifactsInput!$N$27+1,20,24,28,32,36,40),0)/100)))))/Skills!H8,1)))/Inputs!$B$43),G502*Q502))*IF(Inputs!$B$38="pvp",1,(1+(Inputs!$B$21+Skills!Q8+(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3">
      <c r="A503">
        <f>Skills!A9</f>
        <v/>
      </c>
      <c r="B503">
        <f>Skills!B9</f>
        <v/>
      </c>
      <c r="C503">
        <f>Inputs!$B$3&gt;=63</f>
        <v/>
      </c>
      <c r="D503">
        <f>IF(Skills!C9=1,60+Inputs!$B$25+Inputs!$B$29,IF(Skills!C9=2,90+Inputs!$B$26+Inputs!$B$29,IF(Skills!C9=3,120+Inputs!$B$27+Inputs!$B$29,MAX(0,(Inputs!$B$3-100)*3)+Inputs!$B$28+Inputs!$B$29)))</f>
        <v/>
      </c>
      <c r="E503">
        <f>INDEX(FactorTable!$B$2:$Y$301, MATCH(ROUND(MIN(300,MAX(1,D503)),0), FactorTable!$A$2:$A$301,0), Skills!M9+1)</f>
        <v/>
      </c>
      <c r="F503">
        <f>IF(Skills!N9=TRUE,(Skills!L9/10)*(E503/1000),Skills!L9/10)+Skills!O9</f>
        <v/>
      </c>
      <c r="G503">
        <f>Skills!G9*IF(Skills!H9&gt;0,Skills!I9/Skills!H9,1)</f>
        <v/>
      </c>
      <c r="H503">
        <f>1-(1-Skills!J9/100)^Skills!K9</f>
        <v/>
      </c>
      <c r="I503" t="inlineStr">
        <is>
          <t>1</t>
        </is>
      </c>
      <c r="J503">
        <f>((Inputs!$B$6*(1+Inputs!$B$7/100))+(((Inputs!$B$12*(1+Inputs!$B$13/100))-(Inputs!$B$12*(1+Inputs!$B$13/100)))+0.25*(Inputs!$B$14-Inputs!$B$14))*(1+Inputs!$B$7/100))*(F503/100)</f>
        <v/>
      </c>
      <c r="K503">
        <f>J503*(1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505=TRUE,F505,0)/100)*(1+(IF(Skills!A9="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503)</f>
        <v/>
      </c>
      <c r="L503">
        <f>K503*(MIN(Inputs!$B$22+((C519=TRUE)*(F519-Calc!F25)),((Inputs!$B$23+1)+((C524=TRUE)*(F524-Calc!F30))+(IF(ArtifactsInput!$M$15,CHOOSE(ArtifactsInput!$N$15+1,25,30,35,40,45,50)/100*(Inputs!$B$11-Inputs!$B$11),0))))/100+((Inputs!$B$23+1)+((C524=TRUE)*(F524-Calc!F30))+(IF(ArtifactsInput!$M$15,CHOOSE(ArtifactsInput!$N$15+1,25,30,35,40,45,50)/100*(Inputs!$B$11-Inputs!$B$11),0)))/100)/2</f>
        <v/>
      </c>
      <c r="M503">
        <f>L503*(1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03">
        <f>L503*(1-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503*(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3">
        <f>(1-Summary!$B$11)*T503+Summary!$B$11*V503</f>
        <v/>
      </c>
      <c r="P503">
        <f>IF(B538=0,0,O503/B538)</f>
        <v/>
      </c>
      <c r="Q503">
        <f>IFERROR(1/(IF(Inputs!$B$38="pvp",15,MAX(0.1,Skills!D9-IF(Skills!E9=TRUE,Inputs!$B$32,0)))*(1-IF(AND(ArtifactsInput!$M$27,Inputs!$B$4="Chapter Hunt"),CHOOSE(ArtifactsInput!$N$27+1,20,24,28,32,36,40),0)/100)),0)</f>
        <v/>
      </c>
      <c r="R503">
        <f>IF(AND(Inputs!$B$38&lt;&gt;"pvp",Inputs!$B$43&gt;0),IF(MAX(0,Inputs!$B$43-B535)&lt;=0,0,(INT(MAX(0,Inputs!$B$43-B535)/(IF(Inputs!$B$38="pvp",15,MAX(0.1,Skills!D9-IF(Skills!E9=TRUE,Inputs!$B$32,0)))*(1-IF(AND(ArtifactsInput!$M$27,Inputs!$B$4="Chapter Hunt"),CHOOSE(ArtifactsInput!$N$27+1,20,24,28,32,36,40),0)/100)))+1)),0)</f>
        <v/>
      </c>
      <c r="S503">
        <f>IFERROR(O503/N503,0)</f>
        <v/>
      </c>
      <c r="T503">
        <f>IF(C503,(H503*N503*IF(AND(Inputs!$B$38&lt;&gt;"pvp",Inputs!$B$43&gt;0),((Skills!G9*((R503-1)*IF(Skills!H9&gt;0,Skills!I9/Skills!H9,1)+IF(Skills!H9&gt;0,MIN(Skills!I9,MAX(0,MAX(0,Inputs!$B$43-B535)-((R503-1)*(IF(Inputs!$B$38="pvp",15,MAX(0.1,Skills!D9-IF(Skills!E9=TRUE,Inputs!$B$32,0)))*(1-IF(AND(ArtifactsInput!$M$27,Inputs!$B$4="Chapter Hunt"),CHOOSE(ArtifactsInput!$N$27+1,20,24,28,32,36,40),0)/100)))))/Skills!H9,1)))/Inputs!$B$43),G503*Q503)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503*(1-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503*(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503*(1-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503*(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3">
        <f>IF(C503,(H503*N503*IF(AND(Inputs!$B$38&lt;&gt;"pvp",Inputs!$B$43&gt;0),((Skills!G9*((R503-1)*IF(Skills!H9&gt;0,Skills!I9/Skills!H9,1)+IF(Skills!H9&gt;0,MIN(Skills!I9,MAX(0,MAX(0,Inputs!$B$43-B535)-((R503-1)*(IF(Inputs!$B$38="pvp",15,MAX(0.1,Skills!D9-IF(Skills!E9=TRUE,Inputs!$B$32,0)))*(1-IF(AND(ArtifactsInput!$M$27,Inputs!$B$4="Chapter Hunt"),CHOOSE(ArtifactsInput!$N$27+1,20,24,28,32,36,40),0)/100)))))/Skills!H9,1)))/Inputs!$B$43),G503*Q503))*IF(Inputs!$B$38="pvp",1,(1+(Inputs!$B$21+Skills!Q9+(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4">
      <c r="A504">
        <f>Skills!A10</f>
        <v/>
      </c>
      <c r="B504">
        <f>Skills!B10</f>
        <v/>
      </c>
      <c r="C504">
        <f>Inputs!$B$3&gt;=103</f>
        <v/>
      </c>
      <c r="D504">
        <f>IF(Skills!C10=1,60+Inputs!$B$25+Inputs!$B$29,IF(Skills!C10=2,90+Inputs!$B$26+Inputs!$B$29,IF(Skills!C10=3,120+Inputs!$B$27+Inputs!$B$29,MAX(0,(Inputs!$B$3-100)*3)+Inputs!$B$28+Inputs!$B$29)))</f>
        <v/>
      </c>
      <c r="E504">
        <f>INDEX(FactorTable!$B$2:$Y$301, MATCH(ROUND(MIN(300,MAX(1,D504)),0), FactorTable!$A$2:$A$301,0), Skills!M10+1)</f>
        <v/>
      </c>
      <c r="F504">
        <f>IF(Skills!N10=TRUE,(Skills!L10/10)*(E504/1000),Skills!L10/10)+Skills!O10</f>
        <v/>
      </c>
      <c r="G504">
        <f>Skills!G10*IF(Skills!H10&gt;0,Skills!I10/Skills!H10,1)</f>
        <v/>
      </c>
      <c r="H504">
        <f>1-(1-Skills!J10/100)^Skills!K10</f>
        <v/>
      </c>
      <c r="I504" t="inlineStr">
        <is>
          <t>1</t>
        </is>
      </c>
      <c r="J504">
        <f>((Inputs!$B$6*(1+Inputs!$B$7/100))+(((Inputs!$B$12*(1+Inputs!$B$13/100))-(Inputs!$B$12*(1+Inputs!$B$13/100)))+0.25*(Inputs!$B$14-Inputs!$B$14))*(1+Inputs!$B$7/100))*(F504/100)</f>
        <v/>
      </c>
      <c r="K504">
        <f>J504*(1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504)</f>
        <v/>
      </c>
      <c r="L504">
        <f>K504*(MIN(Inputs!$B$22+((C519=TRUE)*(F519-Calc!F25)),((Inputs!$B$23+1)+((C524=TRUE)*(F524-Calc!F30))+(IF(ArtifactsInput!$M$15,CHOOSE(ArtifactsInput!$N$15+1,25,30,35,40,45,50)/100*(Inputs!$B$11-Inputs!$B$11),0))))/100+((Inputs!$B$23+1)+((C524=TRUE)*(F524-Calc!F30))+(IF(ArtifactsInput!$M$15,CHOOSE(ArtifactsInput!$N$15+1,25,30,35,40,45,50)/100*(Inputs!$B$11-Inputs!$B$11),0)))/100)/2</f>
        <v/>
      </c>
      <c r="M504">
        <f>L504*(1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04">
        <f>L504*(1-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504*(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4">
        <f>(1-Summary!$B$11)*T504+Summary!$B$11*V504</f>
        <v/>
      </c>
      <c r="P504">
        <f>IF(B538=0,0,O504/B538)</f>
        <v/>
      </c>
      <c r="Q504">
        <f>IFERROR(1/(IF(Inputs!$B$38="pvp",15,MAX(0.1,Skills!D10-IF(Skills!E10=TRUE,Inputs!$B$32,0)))*(1-IF(AND(ArtifactsInput!$M$27,Inputs!$B$4="Chapter Hunt"),CHOOSE(ArtifactsInput!$N$27+1,20,24,28,32,36,40),0)/100)),0)</f>
        <v/>
      </c>
      <c r="R504">
        <f>IF(AND(Inputs!$B$38&lt;&gt;"pvp",Inputs!$B$43&gt;0),IF(MAX(0,Inputs!$B$43-B535)&lt;=0,0,(INT(MAX(0,Inputs!$B$43-B535)/(IF(Inputs!$B$38="pvp",15,MAX(0.1,Skills!D10-IF(Skills!E10=TRUE,Inputs!$B$32,0)))*(1-IF(AND(ArtifactsInput!$M$27,Inputs!$B$4="Chapter Hunt"),CHOOSE(ArtifactsInput!$N$27+1,20,24,28,32,36,40),0)/100)))+1)),0)</f>
        <v/>
      </c>
      <c r="S504">
        <f>IFERROR(O504/N504,0)</f>
        <v/>
      </c>
      <c r="T504">
        <f>IF(C504,(H504*N504*IF(AND(Inputs!$B$38&lt;&gt;"pvp",Inputs!$B$43&gt;0),((Skills!G10*((R504-1)*IF(Skills!H10&gt;0,Skills!I10/Skills!H10,1)+IF(Skills!H10&gt;0,MIN(Skills!I10,MAX(0,MAX(0,Inputs!$B$43-B535)-((R504-1)*(IF(Inputs!$B$38="pvp",15,MAX(0.1,Skills!D10-IF(Skills!E10=TRUE,Inputs!$B$32,0)))*(1-IF(AND(ArtifactsInput!$M$27,Inputs!$B$4="Chapter Hunt"),CHOOSE(ArtifactsInput!$N$27+1,20,24,28,32,36,40),0)/100)))))/Skills!H10,1)))/Inputs!$B$43),G504*Q504)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504*(1-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504*(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504*(1-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504*(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4">
        <f>IF(C504,(H504*N504*IF(AND(Inputs!$B$38&lt;&gt;"pvp",Inputs!$B$43&gt;0),((Skills!G10*((R504-1)*IF(Skills!H10&gt;0,Skills!I10/Skills!H10,1)+IF(Skills!H10&gt;0,MIN(Skills!I10,MAX(0,MAX(0,Inputs!$B$43-B535)-((R504-1)*(IF(Inputs!$B$38="pvp",15,MAX(0.1,Skills!D10-IF(Skills!E10=TRUE,Inputs!$B$32,0)))*(1-IF(AND(ArtifactsInput!$M$27,Inputs!$B$4="Chapter Hunt"),CHOOSE(ArtifactsInput!$N$27+1,20,24,28,32,36,40),0)/100)))))/Skills!H10,1)))/Inputs!$B$43),G504*Q504))*IF(Inputs!$B$38="pvp",1,(1+(Inputs!$B$21+Skills!Q10+(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5">
      <c r="A505">
        <f>Skills!A11</f>
        <v/>
      </c>
      <c r="B505">
        <f>Skills!B11</f>
        <v/>
      </c>
      <c r="C505">
        <f>Inputs!$B$3&gt;=100</f>
        <v/>
      </c>
      <c r="D505">
        <f>IF(Skills!C11=1,60+Inputs!$B$25+Inputs!$B$29,IF(Skills!C11=2,90+Inputs!$B$26+Inputs!$B$29,IF(Skills!C11=3,120+Inputs!$B$27+Inputs!$B$29,MAX(0,(Inputs!$B$3-100)*3)+Inputs!$B$28+Inputs!$B$29)))</f>
        <v/>
      </c>
      <c r="E505">
        <f>INDEX(FactorTable!$B$2:$Y$301, MATCH(ROUND(MIN(300,MAX(1,D505)),0), FactorTable!$A$2:$A$301,0), Skills!M11+1)</f>
        <v/>
      </c>
      <c r="F505">
        <f>IF(Skills!N11=TRUE,(Skills!L11/10)*(E505/1000),Skills!L11/10)+Skills!O11</f>
        <v/>
      </c>
      <c r="G505" t="inlineStr"/>
      <c r="H505" t="inlineStr"/>
      <c r="I505" t="inlineStr">
        <is>
          <t>1</t>
        </is>
      </c>
      <c r="J505" t="inlineStr"/>
      <c r="K505" t="inlineStr"/>
      <c r="L505" t="inlineStr"/>
      <c r="M505" t="inlineStr"/>
      <c r="N505" t="inlineStr"/>
      <c r="O505" t="inlineStr"/>
      <c r="P505" t="inlineStr"/>
      <c r="Q505" t="inlineStr"/>
      <c r="R505" t="inlineStr"/>
      <c r="S505" t="inlineStr"/>
      <c r="T505" t="inlineStr"/>
      <c r="V505" t="inlineStr"/>
    </row>
    <row r="506">
      <c r="A506">
        <f>Skills!A12</f>
        <v/>
      </c>
      <c r="B506">
        <f>Skills!B12</f>
        <v/>
      </c>
      <c r="C506">
        <f>Inputs!$B$3&gt;=60</f>
        <v/>
      </c>
      <c r="D506">
        <f>IF(Skills!C12=1,60+Inputs!$B$25+Inputs!$B$29,IF(Skills!C12=2,90+Inputs!$B$26+Inputs!$B$29,IF(Skills!C12=3,120+Inputs!$B$27+Inputs!$B$29,MAX(0,(Inputs!$B$3-100)*3)+Inputs!$B$28+Inputs!$B$29)))</f>
        <v/>
      </c>
      <c r="E506">
        <f>INDEX(FactorTable!$B$2:$Y$301, MATCH(ROUND(MIN(300,MAX(1,D506)),0), FactorTable!$A$2:$A$301,0), Skills!M12+1)</f>
        <v/>
      </c>
      <c r="F506">
        <f>IF(Skills!N12=TRUE,(Skills!L12/10)*(E506/1000),Skills!L12/10)+Skills!O12</f>
        <v/>
      </c>
      <c r="G506">
        <f>Skills!G12*IF(Skills!H12&gt;0,Skills!I12/Skills!H12,1)</f>
        <v/>
      </c>
      <c r="H506">
        <f>1-(1-Skills!J12/100)^Skills!K12</f>
        <v/>
      </c>
      <c r="I506" t="inlineStr">
        <is>
          <t>1</t>
        </is>
      </c>
      <c r="J506">
        <f>((Inputs!$B$6*(1+Inputs!$B$7/100))+(((Inputs!$B$12*(1+Inputs!$B$13/100))-(Inputs!$B$12*(1+Inputs!$B$13/100)))+0.25*(Inputs!$B$14-Inputs!$B$14))*(1+Inputs!$B$7/100))*(F506/100)</f>
        <v/>
      </c>
      <c r="K506">
        <f>J506*(1+((Inputs!$B$12*(1+Inputs!$B$13/100))*0.01+Inputs!$B$14*0.0025)/100)*(1+Inputs!$B$15/100)*(1+Inputs!$B$16/100)*(5000/(6000+Inputs!$B$42*(1-(100*(1-(1-(Inputs!$B$19+((C522=TRUE)*(F522-Calc!F28)))/100)*(1-CHOOSE(ArtifactsInput!$N$40+1,5,6,7,8,9,10)/100)^(ArtifactsInput!$M$40-ArtifactsInput!$M$40)))/100)))*(1+(Inputs!$B$24+((C520=TRUE)*(F520-Calc!F26))+((C521=TRUE)*(F521-Calc!F27))+B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507=TRUE,F507,0)/100)*(1+(IF(Skills!A12="ARROW_STREAM",Inputs!$B$17+((C518=TRUE)*(F518-Calc!F24))+(((IF(AND(ArtifactsInput!$M$42,((Inputs!$B$9+((C515=TRUE)*(F515-Calc!F21))+B528+(ArtifactsInput!$M$24-ArtifactsInput!$M$24)*CHOOSE(ArtifactsInput!$N$24+1,10,12,14,16,18,20)+IF(ArtifactsInput!$M$10,CHOOSE(ArtifactsInput!$N$10+1,15,18,21,24,27,30)*(IF(Inputs!$B$38="pvp",MIN(15,15)/15,IF(AND(Inputs!$B$38&lt;&gt;"pvp",Inputs!$B$43&gt;0),MIN(15,Inputs!$B$43)/(Inputs!$B$43),0))),0)))&gt;=100),MIN(100,((Inputs!$B$9+((C515=TRUE)*(F515-Calc!F21))+B528+(ArtifactsInput!$M$24-ArtifactsInput!$M$24)*CHOOSE(ArtifactsInput!$N$24+1,10,12,14,16,18,20)+IF(ArtifactsInput!$M$10,CHOOSE(ArtifactsInput!$N$10+1,15,18,21,24,27,30)*(IF(Inputs!$B$38="pvp",MIN(15,15)/15,IF(AND(Inputs!$B$38&lt;&gt;"pvp",Inputs!$B$43&gt;0),MIN(15,Inputs!$B$43)/(Inputs!$B$43),0))),0)))-100),0))*CHOOSE(ArtifactsInput!$N$42+1,0.6,0.72,0.84,0.96,1.08,1.2))),Inputs!$B$18+((C523=TRUE)*(F523-Calc!F29))+(IF(AND(ArtifactsInput!$M$42,((Inputs!$B$9+((C515=TRUE)*(F515-Calc!F21))+B528+(ArtifactsInput!$M$24-ArtifactsInput!$M$24)*CHOOSE(ArtifactsInput!$N$24+1,10,12,14,16,18,20)+IF(ArtifactsInput!$M$10,CHOOSE(ArtifactsInput!$N$10+1,15,18,21,24,27,30)*(IF(Inputs!$B$38="pvp",MIN(15,15)/15,IF(AND(Inputs!$B$38&lt;&gt;"pvp",Inputs!$B$43&gt;0),MIN(15,Inputs!$B$43)/(Inputs!$B$43),0))),0)))&gt;=100),CHOOSE(ArtifactsInput!$N$42+1,40,48,56,64,72,80),0))))/100)*((1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506)</f>
        <v/>
      </c>
      <c r="L506">
        <f>K506*(MIN(Inputs!$B$22+((C519=TRUE)*(F519-Calc!F25)),((Inputs!$B$23+1)+((C524=TRUE)*(F524-Calc!F30))+(IF(ArtifactsInput!$M$15,CHOOSE(ArtifactsInput!$N$15+1,25,30,35,40,45,50)/100*(Inputs!$B$11-Inputs!$B$11),0))))/100+((Inputs!$B$23+1)+((C524=TRUE)*(F524-Calc!F30))+(IF(ArtifactsInput!$M$15,CHOOSE(ArtifactsInput!$N$15+1,25,30,35,40,45,50)/100*(Inputs!$B$11-Inputs!$B$11),0)))/100)/2</f>
        <v/>
      </c>
      <c r="M506">
        <f>L506*(1+(Inputs!$B$10+0+B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06">
        <f>L506*(1-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506*(MIN((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6">
        <f>(1-Summary!$B$11)*T506+Summary!$B$11*V506</f>
        <v/>
      </c>
      <c r="P506">
        <f>IF(B538=0,0,O506/B538)</f>
        <v/>
      </c>
      <c r="Q506">
        <f>IFERROR(1/(IF(Inputs!$B$38="pvp",15,MAX(0.1,Skills!D12-IF(Skills!E12=TRUE,Inputs!$B$32,0)))*(1-IF(AND(ArtifactsInput!$M$27,Inputs!$B$4="Chapter Hunt"),CHOOSE(ArtifactsInput!$N$27+1,20,24,28,32,36,40),0)/100)),0)</f>
        <v/>
      </c>
      <c r="R506">
        <f>IF(AND(Inputs!$B$38&lt;&gt;"pvp",Inputs!$B$43&gt;0),IF(MAX(0,Inputs!$B$43-B535)&lt;=0,0,(INT(MAX(0,Inputs!$B$43-B535)/(IF(Inputs!$B$38="pvp",15,MAX(0.1,Skills!D12-IF(Skills!E12=TRUE,Inputs!$B$32,0)))*(1-IF(AND(ArtifactsInput!$M$27,Inputs!$B$4="Chapter Hunt"),CHOOSE(ArtifactsInput!$N$27+1,20,24,28,32,36,40),0)/100)))+1)),0)</f>
        <v/>
      </c>
      <c r="S506">
        <f>IFERROR(O506/N506,0)</f>
        <v/>
      </c>
      <c r="T506">
        <f>IF(C506,(H506*N506*IF(AND(Inputs!$B$38&lt;&gt;"pvp",Inputs!$B$43&gt;0),((Skills!G12*((R506-1)*IF(Skills!H12&gt;0,Skills!I12/Skills!H12,1)+IF(Skills!H12&gt;0,MIN(Skills!I12,MAX(0,MAX(0,Inputs!$B$43-B535)-((R506-1)*(IF(Inputs!$B$38="pvp",15,MAX(0.1,Skills!D12-IF(Skills!E12=TRUE,Inputs!$B$32,0)))*(1-IF(AND(ArtifactsInput!$M$27,Inputs!$B$4="Chapter Hunt"),CHOOSE(ArtifactsInput!$N$27+1,20,24,28,32,36,40),0)/100)))))/Skills!H12,1)))/Inputs!$B$43),G506*Q506)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(5000/(6000+Inputs!$B$42*(1-(100*(1-(1-(100*(1-(1-(Inputs!$B$19+((C522=TRUE)*(F522-Calc!F28)))/100)*(1-CHOOSE(ArtifactsInput!$N$40+1,5,6,7,8,9,10)/100)^(ArtifactsInput!$M$40-ArtifactsInput!$M$40)))/100)*(1-IF(ArtifactsInput!$M$40,CHOOSE(ArtifactsInput!$N$40+1,5,6,7,8,9,10),0)/100)^IF(Inputs!$B$38="pvp",1,2)))/100)))/(5000/(6000+Inputs!$B$42*(1-(100*(1-(1-(Inputs!$B$19+((C522=TRUE)*(F522-Calc!F28)))/100)*(1-CHOOSE(ArtifactsInput!$N$40+1,5,6,7,8,9,10)/100)^(ArtifactsInput!$M$40-ArtifactsInput!$M$40)))/100))))*((L506*(1-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506*(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506*(1-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506*(MIN(100,(Inputs!$B$9+((C515=TRUE)*(F515-Calc!F21))+B528+(ArtifactsInput!$M$24-ArtifactsInput!$M$24)*CHOOSE(ArtifactsInput!$N$24+1,10,12,14,16,18,20)+(IF(AND(ArtifactsInput!$M$42,((Inputs!$B$9+((C515=TRUE)*(F515-Calc!F21))+B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6">
        <f>IF(C506,(H506*N506*IF(AND(Inputs!$B$38&lt;&gt;"pvp",Inputs!$B$43&gt;0),((Skills!G12*((R506-1)*IF(Skills!H12&gt;0,Skills!I12/Skills!H12,1)+IF(Skills!H12&gt;0,MIN(Skills!I12,MAX(0,MAX(0,Inputs!$B$43-B535)-((R506-1)*(IF(Inputs!$B$38="pvp",15,MAX(0.1,Skills!D12-IF(Skills!E12=TRUE,Inputs!$B$32,0)))*(1-IF(AND(ArtifactsInput!$M$27,Inputs!$B$4="Chapter Hunt"),CHOOSE(ArtifactsInput!$N$27+1,20,24,28,32,36,40),0)/100)))))/Skills!H12,1)))/Inputs!$B$43),G506*Q506))*IF(Inputs!$B$38="pvp",1,(1+(Inputs!$B$21+Skills!Q12+(IF(ArtifactsInput!$M$33,CHOOSE(ArtifactsInput!$N$33+1,30,36,42,48,54,60),0))+(IF(AND(ArtifactsInput!$M$35,Inputs!$B$4&lt;&gt;"Chapter Hunt"),CHOOSE(ArtifactsInput!$N$35+1,15,18,21,24,27,30)*(1-EXP(-(0.2*B530)*5)),0)+IF(AND(ArtifactsInput!$M$22,Inputs!$B$4&lt;&gt;"Chapter Hunt"),CHOOSE(ArtifactsInput!$N$22+1,10,12,14,16,18,20)*((0*(((0.15*B530*5))^0/1)+1*(((0.15*B530*5))^1/1)+2*(((0.15*B530*5))^2/2)+3*(((0.15*B530*5))^3/6)+4*(((0.15*B530*5))^4/24)+5*(((0.15*B530*5))^5/120))/((((0.15*B530*5))^0/1)+(((0.15*B530*5))^1/1)+(((0.15*B530*5))^2/2)+(((0.15*B530*5))^3/6)+(((0.15*B530*5))^4/24)+(((0.15*B530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7">
      <c r="A507">
        <f>Skills!A13</f>
        <v/>
      </c>
      <c r="B507">
        <f>Skills!B13</f>
        <v/>
      </c>
      <c r="C507">
        <f>Inputs!$B$3&gt;=110</f>
        <v/>
      </c>
      <c r="D507">
        <f>IF(Skills!C13=1,60+Inputs!$B$25+Inputs!$B$29,IF(Skills!C13=2,90+Inputs!$B$26+Inputs!$B$29,IF(Skills!C13=3,120+Inputs!$B$27+Inputs!$B$29,MAX(0,(Inputs!$B$3-100)*3)+Inputs!$B$28+Inputs!$B$29)))</f>
        <v/>
      </c>
      <c r="E507">
        <f>INDEX(FactorTable!$B$2:$Y$301, MATCH(ROUND(MIN(300,MAX(1,D507)),0), FactorTable!$A$2:$A$301,0), Skills!M13+1)</f>
        <v/>
      </c>
      <c r="F507">
        <f>IF(Skills!N13=TRUE,(Skills!L13/10)*(E507/1000),Skills!L13/10)+Skills!O13</f>
        <v/>
      </c>
      <c r="G507" t="inlineStr"/>
      <c r="H507" t="inlineStr"/>
      <c r="I507" t="inlineStr">
        <is>
          <t>1</t>
        </is>
      </c>
      <c r="J507" t="inlineStr"/>
      <c r="K507" t="inlineStr"/>
      <c r="L507" t="inlineStr"/>
      <c r="M507" t="inlineStr"/>
      <c r="N507" t="inlineStr"/>
      <c r="O507" t="inlineStr"/>
      <c r="P507" t="inlineStr"/>
      <c r="Q507" t="inlineStr"/>
      <c r="R507" t="inlineStr"/>
      <c r="S507" t="inlineStr"/>
      <c r="T507" t="inlineStr"/>
      <c r="V507" t="inlineStr"/>
    </row>
    <row r="508">
      <c r="A508">
        <f>Skills!A14</f>
        <v/>
      </c>
      <c r="B508">
        <f>Skills!B14</f>
        <v/>
      </c>
      <c r="C508">
        <f>Inputs!$B$3&gt;=74</f>
        <v/>
      </c>
      <c r="D508">
        <f>IF(Skills!C14=1,60+Inputs!$B$25+Inputs!$B$29,IF(Skills!C14=2,90+Inputs!$B$26+Inputs!$B$29,IF(Skills!C14=3,120+Inputs!$B$27+Inputs!$B$29,MAX(0,(Inputs!$B$3-100)*3)+Inputs!$B$28+Inputs!$B$29)))</f>
        <v/>
      </c>
      <c r="E508">
        <f>INDEX(FactorTable!$B$2:$Y$301, MATCH(ROUND(MIN(300,MAX(1,D508)),0), FactorTable!$A$2:$A$301,0), Skills!M14+1)</f>
        <v/>
      </c>
      <c r="F508">
        <f>IF(Skills!N14=TRUE,(Skills!L14/10)*(E508/1000),Skills!L14/10)+Skills!O14</f>
        <v/>
      </c>
      <c r="G508">
        <f>Skills!G14*IF(Skills!H14&gt;0,Skills!I14/Skills!H14,1)</f>
        <v/>
      </c>
      <c r="H508">
        <f>1-(1-Skills!J14/100)^Skills!K14</f>
        <v/>
      </c>
      <c r="I508" t="inlineStr">
        <is>
          <t>1</t>
        </is>
      </c>
      <c r="J508" t="inlineStr"/>
      <c r="K508" t="inlineStr"/>
      <c r="L508" t="inlineStr"/>
      <c r="M508" t="inlineStr"/>
      <c r="N508" t="inlineStr"/>
      <c r="O508">
        <f>(1-Summary!$B$11)*T508+Summary!$B$11*V508</f>
        <v/>
      </c>
      <c r="P508">
        <f>IF(B538=0,0,O508/B538)</f>
        <v/>
      </c>
      <c r="Q508" t="n">
        <v>0</v>
      </c>
      <c r="R508" t="n">
        <v>0</v>
      </c>
      <c r="S508">
        <f>IFERROR(O508/N508,0)</f>
        <v/>
      </c>
      <c r="T508" t="n">
        <v>0</v>
      </c>
      <c r="V508" t="n">
        <v>0</v>
      </c>
    </row>
    <row r="509">
      <c r="A509">
        <f>Skills!A15</f>
        <v/>
      </c>
      <c r="B509">
        <f>Skills!B15</f>
        <v/>
      </c>
      <c r="C509">
        <f>Inputs!$B$3&gt;=74</f>
        <v/>
      </c>
      <c r="D509">
        <f>IF(Skills!C15=1,60+Inputs!$B$25+Inputs!$B$29,IF(Skills!C15=2,90+Inputs!$B$26+Inputs!$B$29,IF(Skills!C15=3,120+Inputs!$B$27+Inputs!$B$29,MAX(0,(Inputs!$B$3-100)*3)+Inputs!$B$28+Inputs!$B$29)))</f>
        <v/>
      </c>
      <c r="E509">
        <f>INDEX(FactorTable!$B$2:$Y$301, MATCH(ROUND(MIN(300,MAX(1,D509)),0), FactorTable!$A$2:$A$301,0), Skills!M15+1)</f>
        <v/>
      </c>
      <c r="F509">
        <f>IF(Skills!N15=TRUE,(Skills!L15/10)*(E509/1000),Skills!L15/10)+Skills!O15</f>
        <v/>
      </c>
      <c r="G509">
        <f>Skills!G15*IF(Skills!H15&gt;0,Skills!I15/Skills!H15,1)</f>
        <v/>
      </c>
      <c r="H509">
        <f>1-(1-Skills!J15/100)^Skills!K15</f>
        <v/>
      </c>
      <c r="I509" t="inlineStr">
        <is>
          <t>1</t>
        </is>
      </c>
      <c r="J509" t="inlineStr"/>
      <c r="K509" t="inlineStr"/>
      <c r="L509" t="inlineStr"/>
      <c r="M509" t="inlineStr"/>
      <c r="N509" t="inlineStr"/>
      <c r="O509">
        <f>(1-Summary!$B$11)*T509+Summary!$B$11*V509</f>
        <v/>
      </c>
      <c r="P509">
        <f>IF(B538=0,0,O509/B538)</f>
        <v/>
      </c>
      <c r="Q509" t="n">
        <v>0</v>
      </c>
      <c r="R509" t="n">
        <v>0</v>
      </c>
      <c r="S509">
        <f>IFERROR(O509/N509,0)</f>
        <v/>
      </c>
      <c r="T509" t="n">
        <v>0</v>
      </c>
      <c r="V509" t="n">
        <v>0</v>
      </c>
    </row>
    <row r="510">
      <c r="A510">
        <f>Skills!A16</f>
        <v/>
      </c>
      <c r="B510">
        <f>Skills!B16</f>
        <v/>
      </c>
      <c r="C510">
        <f>Inputs!$B$3&gt;=117</f>
        <v/>
      </c>
      <c r="D510">
        <f>IF(Skills!C16=1,60+Inputs!$B$25+Inputs!$B$29,IF(Skills!C16=2,90+Inputs!$B$26+Inputs!$B$29,IF(Skills!C16=3,120+Inputs!$B$27+Inputs!$B$29,MAX(0,(Inputs!$B$3-100)*3)+Inputs!$B$28+Inputs!$B$29)))</f>
        <v/>
      </c>
      <c r="E510">
        <f>INDEX(FactorTable!$B$2:$Y$301, MATCH(ROUND(MIN(300,MAX(1,D510)),0), FactorTable!$A$2:$A$301,0), Skills!M16+1)</f>
        <v/>
      </c>
      <c r="F510">
        <f>IF(Skills!N16=TRUE,(Skills!L16/10)*(E510/1000),Skills!L16/10)+Skills!O16</f>
        <v/>
      </c>
      <c r="G510">
        <f>Skills!G16*IF(Skills!H16&gt;0,Skills!I16/Skills!H16,1)</f>
        <v/>
      </c>
      <c r="H510">
        <f>1-(1-Skills!J16/100)^Skills!K16</f>
        <v/>
      </c>
      <c r="I510" t="inlineStr">
        <is>
          <t>1</t>
        </is>
      </c>
      <c r="J510" t="inlineStr"/>
      <c r="K510" t="inlineStr"/>
      <c r="L510" t="inlineStr"/>
      <c r="M510" t="inlineStr"/>
      <c r="N510" t="inlineStr"/>
      <c r="O510">
        <f>(1-Summary!$B$11)*T510+Summary!$B$11*V510</f>
        <v/>
      </c>
      <c r="P510">
        <f>IF(B538=0,0,O510/B538)</f>
        <v/>
      </c>
      <c r="Q510">
        <f>IFERROR(1/(IF(Inputs!$B$38="pvp",15,MAX(0.1,Skills!D16-IF(Skills!E16=TRUE,Inputs!$B$32,0)))*(1-IF(AND(ArtifactsInput!$M$27,Inputs!$B$4="Chapter Hunt"),CHOOSE(ArtifactsInput!$N$27+1,20,24,28,32,36,40),0)/100)),0)</f>
        <v/>
      </c>
      <c r="R510">
        <f>IF(AND(Inputs!$B$38&lt;&gt;"pvp",Inputs!$B$43&gt;0),IF(Inputs!$B$43&lt;=0,0,(INT(Inputs!$B$43/(IF(Inputs!$B$38="pvp",15,MAX(0.1,Skills!D16-IF(Skills!E16=TRUE,Inputs!$B$32,0)))*(1-IF(AND(ArtifactsInput!$M$27,Inputs!$B$4="Chapter Hunt"),CHOOSE(ArtifactsInput!$N$27+1,20,24,28,32,36,40),0)/100)))+1)),0)</f>
        <v/>
      </c>
      <c r="S510">
        <f>IFERROR(O510/N510,0)</f>
        <v/>
      </c>
      <c r="T510" t="n">
        <v>0</v>
      </c>
      <c r="V510" t="n">
        <v>0</v>
      </c>
    </row>
    <row r="511">
      <c r="A511">
        <f>Skills!A17</f>
        <v/>
      </c>
      <c r="B511">
        <f>Skills!B17</f>
        <v/>
      </c>
      <c r="C511">
        <f>Inputs!$B$3&gt;=115</f>
        <v/>
      </c>
      <c r="D511">
        <f>IF(Skills!C17=1,60+Inputs!$B$25+Inputs!$B$29,IF(Skills!C17=2,90+Inputs!$B$26+Inputs!$B$29,IF(Skills!C17=3,120+Inputs!$B$27+Inputs!$B$29,MAX(0,(Inputs!$B$3-100)*3)+Inputs!$B$28+Inputs!$B$29)))</f>
        <v/>
      </c>
      <c r="E511">
        <f>INDEX(FactorTable!$B$2:$Y$301, MATCH(ROUND(MIN(300,MAX(1,D511)),0), FactorTable!$A$2:$A$301,0), Skills!M17+1)</f>
        <v/>
      </c>
      <c r="F511">
        <f>IF(Skills!N17=TRUE,(Skills!L17/10)*(E511/1000),Skills!L17/10)+Skills!O17</f>
        <v/>
      </c>
      <c r="G511">
        <f>Skills!G17*IF(Skills!H17&gt;0,Skills!I17/Skills!H17,1)</f>
        <v/>
      </c>
      <c r="H511">
        <f>1-(1-Skills!J17/100)^Skills!K17</f>
        <v/>
      </c>
      <c r="I511" t="inlineStr">
        <is>
          <t>1</t>
        </is>
      </c>
      <c r="J511" t="inlineStr"/>
      <c r="K511" t="inlineStr"/>
      <c r="L511" t="inlineStr"/>
      <c r="M511" t="inlineStr"/>
      <c r="N511" t="inlineStr"/>
      <c r="O511">
        <f>(1-Summary!$B$11)*T511+Summary!$B$11*V511</f>
        <v/>
      </c>
      <c r="P511">
        <f>IF(B538=0,0,O511/B538)</f>
        <v/>
      </c>
      <c r="Q511">
        <f>IFERROR(1/(IF(Inputs!$B$38="pvp",15,MAX(0.1,Skills!D17-IF(Skills!E17=TRUE,Inputs!$B$32,0)))*(1-IF(AND(ArtifactsInput!$M$27,Inputs!$B$4="Chapter Hunt"),CHOOSE(ArtifactsInput!$N$27+1,20,24,28,32,36,40),0)/100)),0)</f>
        <v/>
      </c>
      <c r="R511">
        <f>IF(AND(Inputs!$B$38&lt;&gt;"pvp",Inputs!$B$43&gt;0),IF(Inputs!$B$43&lt;=0,0,(INT(Inputs!$B$43/(IF(Inputs!$B$38="pvp",15,MAX(0.1,Skills!D17-IF(Skills!E17=TRUE,Inputs!$B$32,0)))*(1-IF(AND(ArtifactsInput!$M$27,Inputs!$B$4="Chapter Hunt"),CHOOSE(ArtifactsInput!$N$27+1,20,24,28,32,36,40),0)/100)))+1)),0)</f>
        <v/>
      </c>
      <c r="S511">
        <f>IFERROR(O511/N511,0)</f>
        <v/>
      </c>
      <c r="T511" t="n">
        <v>0</v>
      </c>
      <c r="V511" t="n">
        <v>0</v>
      </c>
    </row>
    <row r="512">
      <c r="A512">
        <f>Skills!A18</f>
        <v/>
      </c>
      <c r="B512">
        <f>Skills!B18</f>
        <v/>
      </c>
      <c r="C512">
        <f>Inputs!$B$3&gt;=66</f>
        <v/>
      </c>
      <c r="D512">
        <f>IF(Skills!C18=1,60+Inputs!$B$25+Inputs!$B$29,IF(Skills!C18=2,90+Inputs!$B$26+Inputs!$B$29,IF(Skills!C18=3,120+Inputs!$B$27+Inputs!$B$29,MAX(0,(Inputs!$B$3-100)*3)+Inputs!$B$28+Inputs!$B$29)))</f>
        <v/>
      </c>
      <c r="E512">
        <f>INDEX(FactorTable!$B$2:$Y$301, MATCH(ROUND(MIN(300,MAX(1,D512)),0), FactorTable!$A$2:$A$301,0), Skills!M18+1)</f>
        <v/>
      </c>
      <c r="F512">
        <f>IF(Skills!N18=TRUE,(Skills!L18/10)*(E512/1000),Skills!L18/10)+Skills!O18</f>
        <v/>
      </c>
      <c r="G512">
        <f>Skills!G18*IF(Skills!H18&gt;0,Skills!I18/Skills!H18,1)</f>
        <v/>
      </c>
      <c r="H512">
        <f>1-(1-Skills!J18/100)^Skills!K18</f>
        <v/>
      </c>
      <c r="I512" t="inlineStr">
        <is>
          <t>1</t>
        </is>
      </c>
      <c r="J512" t="inlineStr"/>
      <c r="K512" t="inlineStr"/>
      <c r="L512" t="inlineStr"/>
      <c r="M512" t="inlineStr"/>
      <c r="N512" t="inlineStr"/>
      <c r="O512">
        <f>(1-Summary!$B$11)*T512+Summary!$B$11*V512</f>
        <v/>
      </c>
      <c r="P512">
        <f>IF(B538=0,0,O512/B538)</f>
        <v/>
      </c>
      <c r="Q512" t="n">
        <v>0</v>
      </c>
      <c r="R512" t="n">
        <v>0</v>
      </c>
      <c r="S512">
        <f>IFERROR(O512/N512,0)</f>
        <v/>
      </c>
      <c r="T512" t="n">
        <v>0</v>
      </c>
      <c r="V512" t="n">
        <v>0</v>
      </c>
    </row>
    <row r="513">
      <c r="A513">
        <f>Skills!A19</f>
        <v/>
      </c>
      <c r="B513">
        <f>Skills!B19</f>
        <v/>
      </c>
      <c r="C513">
        <f>Inputs!$B$3&gt;=72</f>
        <v/>
      </c>
      <c r="D513">
        <f>IF(Skills!C19=1,60+Inputs!$B$25+Inputs!$B$29,IF(Skills!C19=2,90+Inputs!$B$26+Inputs!$B$29,IF(Skills!C19=3,120+Inputs!$B$27+Inputs!$B$29,MAX(0,(Inputs!$B$3-100)*3)+Inputs!$B$28+Inputs!$B$29)))</f>
        <v/>
      </c>
      <c r="E513">
        <f>INDEX(FactorTable!$B$2:$Y$301, MATCH(ROUND(MIN(300,MAX(1,D513)),0), FactorTable!$A$2:$A$301,0), Skills!M19+1)</f>
        <v/>
      </c>
      <c r="F513">
        <f>IF(Skills!N19=TRUE,(Skills!L19/10)*(E513/1000),Skills!L19/10)+Skills!O19</f>
        <v/>
      </c>
      <c r="G513">
        <f>Skills!G19*IF(Skills!H19&gt;0,Skills!I19/Skills!H19,1)</f>
        <v/>
      </c>
      <c r="H513">
        <f>1-(1-Skills!J19/100)^Skills!K19</f>
        <v/>
      </c>
      <c r="I513" t="inlineStr">
        <is>
          <t>1</t>
        </is>
      </c>
      <c r="J513" t="inlineStr"/>
      <c r="K513" t="inlineStr"/>
      <c r="L513" t="inlineStr"/>
      <c r="M513" t="inlineStr"/>
      <c r="N513" t="inlineStr"/>
      <c r="O513">
        <f>(1-Summary!$B$11)*T513+Summary!$B$11*V513</f>
        <v/>
      </c>
      <c r="P513">
        <f>IF(B538=0,0,O513/B538)</f>
        <v/>
      </c>
      <c r="Q513" t="n">
        <v>0</v>
      </c>
      <c r="R513" t="n">
        <v>0</v>
      </c>
      <c r="S513">
        <f>IFERROR(O513/N513,0)</f>
        <v/>
      </c>
      <c r="T513" t="n">
        <v>0</v>
      </c>
      <c r="V513" t="n">
        <v>0</v>
      </c>
    </row>
    <row r="514">
      <c r="A514">
        <f>Skills!A20</f>
        <v/>
      </c>
      <c r="B514">
        <f>Skills!B20</f>
        <v/>
      </c>
      <c r="C514">
        <f>TRUE</f>
        <v/>
      </c>
      <c r="D514">
        <f>IF(Skills!C20=1,60+Inputs!$B$25+Inputs!$B$29,IF(Skills!C20=2,90+Inputs!$B$26+Inputs!$B$29,IF(Skills!C20=3,120+Inputs!$B$27+Inputs!$B$29,MAX(0,(Inputs!$B$3-100)*3)+Inputs!$B$28+Inputs!$B$29)))</f>
        <v/>
      </c>
      <c r="E514">
        <f>INDEX(FactorTable!$B$2:$Y$301, MATCH(ROUND(MIN(300,MAX(1,D514)),0), FactorTable!$A$2:$A$301,0), Skills!M20+1)</f>
        <v/>
      </c>
      <c r="F514">
        <f>IF(Skills!N20=TRUE,(Skills!L20/10)*(E514/1000),Skills!L20/10)+Skills!O20</f>
        <v/>
      </c>
      <c r="G514">
        <f>Skills!G20*IF(Skills!H20&gt;0,Skills!I20/Skills!H20,1)</f>
        <v/>
      </c>
      <c r="H514">
        <f>1-(1-Skills!J20/100)^Skills!K20</f>
        <v/>
      </c>
      <c r="I514" t="inlineStr">
        <is>
          <t>1</t>
        </is>
      </c>
      <c r="J514" t="inlineStr"/>
      <c r="K514" t="inlineStr"/>
      <c r="L514" t="inlineStr"/>
      <c r="M514" t="inlineStr"/>
      <c r="N514" t="inlineStr"/>
      <c r="O514">
        <f>(1-Summary!$B$11)*T514+Summary!$B$11*V514</f>
        <v/>
      </c>
      <c r="P514">
        <f>IF(B538=0,0,O514/B538)</f>
        <v/>
      </c>
      <c r="Q514">
        <f>IFERROR(1/(IF(Inputs!$B$38="pvp",15,MAX(0.1,Skills!D20-IF(Skills!E20=TRUE,Inputs!$B$32,0)))*(1-IF(AND(ArtifactsInput!$M$27,Inputs!$B$4="Chapter Hunt"),CHOOSE(ArtifactsInput!$N$27+1,20,24,28,32,36,40),0)/100)),0)</f>
        <v/>
      </c>
      <c r="R514">
        <f>IF(AND(Inputs!$B$38&lt;&gt;"pvp",Inputs!$B$43&gt;0),IF(Inputs!$B$43&lt;=0,0,(INT(Inputs!$B$43/(IF(Inputs!$B$38="pvp",15,MAX(0.1,Skills!D20-IF(Skills!E20=TRUE,Inputs!$B$32,0)))*(1-IF(AND(ArtifactsInput!$M$27,Inputs!$B$4="Chapter Hunt"),CHOOSE(ArtifactsInput!$N$27+1,20,24,28,32,36,40),0)/100)))+1)),0)</f>
        <v/>
      </c>
      <c r="S514">
        <f>IFERROR(O514/N514,0)</f>
        <v/>
      </c>
      <c r="T514" t="n">
        <v>0</v>
      </c>
      <c r="V514" t="n">
        <v>0</v>
      </c>
    </row>
    <row r="515">
      <c r="A515">
        <f>Skills!A21</f>
        <v/>
      </c>
      <c r="B515">
        <f>Skills!B21</f>
        <v/>
      </c>
      <c r="C515">
        <f>Inputs!$B$3&gt;=15</f>
        <v/>
      </c>
      <c r="D515">
        <f>IF(Skills!C21=1,60+Inputs!$B$25+Inputs!$B$29,IF(Skills!C21=2,90+Inputs!$B$26+Inputs!$B$29,IF(Skills!C21=3,120+Inputs!$B$27+Inputs!$B$29,MAX(0,(Inputs!$B$3-100)*3)+Inputs!$B$28+Inputs!$B$29)))</f>
        <v/>
      </c>
      <c r="E515">
        <f>INDEX(FactorTable!$B$2:$Y$301, MATCH(ROUND(MIN(300,MAX(1,D515)),0), FactorTable!$A$2:$A$301,0), Skills!M21+1)</f>
        <v/>
      </c>
      <c r="F515">
        <f>IF(Skills!N21=TRUE,(Skills!L21/10)*(E515/1000),Skills!L21/10)+Skills!O21</f>
        <v/>
      </c>
      <c r="G515">
        <f>Skills!G21*IF(Skills!H21&gt;0,Skills!I21/Skills!H21,1)</f>
        <v/>
      </c>
      <c r="H515">
        <f>1-(1-Skills!J21/100)^Skills!K21</f>
        <v/>
      </c>
      <c r="I515" t="inlineStr">
        <is>
          <t>1</t>
        </is>
      </c>
      <c r="J515" t="inlineStr"/>
      <c r="K515" t="inlineStr"/>
      <c r="L515" t="inlineStr"/>
      <c r="M515" t="inlineStr"/>
      <c r="N515" t="inlineStr"/>
      <c r="O515">
        <f>(1-Summary!$B$11)*T515+Summary!$B$11*V515</f>
        <v/>
      </c>
      <c r="P515">
        <f>IF(B538=0,0,O515/B538)</f>
        <v/>
      </c>
      <c r="Q515" t="n">
        <v>0</v>
      </c>
      <c r="R515" t="n">
        <v>0</v>
      </c>
      <c r="S515">
        <f>IFERROR(O515/N515,0)</f>
        <v/>
      </c>
      <c r="T515" t="n">
        <v>0</v>
      </c>
      <c r="V515" t="n">
        <v>0</v>
      </c>
    </row>
    <row r="516">
      <c r="A516">
        <f>Skills!A22</f>
        <v/>
      </c>
      <c r="B516">
        <f>Skills!B22</f>
        <v/>
      </c>
      <c r="C516">
        <f>Inputs!$B$3&gt;=10</f>
        <v/>
      </c>
      <c r="D516">
        <f>IF(Skills!C22=1,60+Inputs!$B$25+Inputs!$B$29,IF(Skills!C22=2,90+Inputs!$B$26+Inputs!$B$29,IF(Skills!C22=3,120+Inputs!$B$27+Inputs!$B$29,MAX(0,(Inputs!$B$3-100)*3)+Inputs!$B$28+Inputs!$B$29)))</f>
        <v/>
      </c>
      <c r="E516">
        <f>INDEX(FactorTable!$B$2:$Y$301, MATCH(ROUND(MIN(300,MAX(1,D516)),0), FactorTable!$A$2:$A$301,0), Skills!M22+1)</f>
        <v/>
      </c>
      <c r="F516">
        <f>IF(Skills!N22=TRUE,(Skills!L22/10)*(E516/1000),Skills!L22/10)+Skills!O22</f>
        <v/>
      </c>
      <c r="G516">
        <f>Skills!G22*IF(Skills!H22&gt;0,Skills!I22/Skills!H22,1)</f>
        <v/>
      </c>
      <c r="H516">
        <f>1-(1-Skills!J22/100)^Skills!K22</f>
        <v/>
      </c>
      <c r="I516" t="inlineStr">
        <is>
          <t>1</t>
        </is>
      </c>
      <c r="J516" t="inlineStr"/>
      <c r="K516" t="inlineStr"/>
      <c r="L516" t="inlineStr"/>
      <c r="M516" t="inlineStr"/>
      <c r="N516" t="inlineStr"/>
      <c r="O516">
        <f>(1-Summary!$B$11)*T516+Summary!$B$11*V516</f>
        <v/>
      </c>
      <c r="P516">
        <f>IF(B538=0,0,O516/B538)</f>
        <v/>
      </c>
      <c r="Q516" t="n">
        <v>0</v>
      </c>
      <c r="R516" t="n">
        <v>0</v>
      </c>
      <c r="S516">
        <f>IFERROR(O516/N516,0)</f>
        <v/>
      </c>
      <c r="T516" t="n">
        <v>0</v>
      </c>
      <c r="V516" t="n">
        <v>0</v>
      </c>
    </row>
    <row r="517">
      <c r="A517">
        <f>Skills!A23</f>
        <v/>
      </c>
      <c r="B517">
        <f>Skills!B23</f>
        <v/>
      </c>
      <c r="C517">
        <f>Inputs!$B$3&gt;=33</f>
        <v/>
      </c>
      <c r="D517">
        <f>IF(Skills!C23=1,60+Inputs!$B$25+Inputs!$B$29,IF(Skills!C23=2,90+Inputs!$B$26+Inputs!$B$29,IF(Skills!C23=3,120+Inputs!$B$27+Inputs!$B$29,MAX(0,(Inputs!$B$3-100)*3)+Inputs!$B$28+Inputs!$B$29)))</f>
        <v/>
      </c>
      <c r="E517">
        <f>INDEX(FactorTable!$B$2:$Y$301, MATCH(ROUND(MIN(300,MAX(1,D517)),0), FactorTable!$A$2:$A$301,0), Skills!M23+1)</f>
        <v/>
      </c>
      <c r="F517">
        <f>IF(Skills!N23=TRUE,(Skills!L23/10)*(E517/1000),Skills!L23/10)+Skills!O23</f>
        <v/>
      </c>
      <c r="G517">
        <f>Skills!G23*IF(Skills!H23&gt;0,Skills!I23/Skills!H23,1)</f>
        <v/>
      </c>
      <c r="H517">
        <f>1-(1-Skills!J23/100)^Skills!K23</f>
        <v/>
      </c>
      <c r="I517" t="inlineStr">
        <is>
          <t>1</t>
        </is>
      </c>
      <c r="J517" t="inlineStr"/>
      <c r="K517" t="inlineStr"/>
      <c r="L517" t="inlineStr"/>
      <c r="M517" t="inlineStr"/>
      <c r="N517" t="inlineStr"/>
      <c r="O517">
        <f>(1-Summary!$B$11)*T517+Summary!$B$11*V517</f>
        <v/>
      </c>
      <c r="P517">
        <f>IF(B538=0,0,O517/B538)</f>
        <v/>
      </c>
      <c r="Q517" t="n">
        <v>0</v>
      </c>
      <c r="R517" t="n">
        <v>0</v>
      </c>
      <c r="S517">
        <f>IFERROR(O517/N517,0)</f>
        <v/>
      </c>
      <c r="T517" t="n">
        <v>0</v>
      </c>
      <c r="V517" t="n">
        <v>0</v>
      </c>
    </row>
    <row r="518">
      <c r="A518">
        <f>Skills!A24</f>
        <v/>
      </c>
      <c r="B518">
        <f>Skills!B24</f>
        <v/>
      </c>
      <c r="C518">
        <f>Inputs!$B$3&gt;=38</f>
        <v/>
      </c>
      <c r="D518">
        <f>IF(Skills!C24=1,60+Inputs!$B$25+Inputs!$B$29,IF(Skills!C24=2,90+Inputs!$B$26+Inputs!$B$29,IF(Skills!C24=3,120+Inputs!$B$27+Inputs!$B$29,MAX(0,(Inputs!$B$3-100)*3)+Inputs!$B$28+Inputs!$B$29)))</f>
        <v/>
      </c>
      <c r="E518">
        <f>INDEX(FactorTable!$B$2:$Y$301, MATCH(ROUND(MIN(300,MAX(1,D518)),0), FactorTable!$A$2:$A$301,0), Skills!M24+1)</f>
        <v/>
      </c>
      <c r="F518">
        <f>IF(Skills!N24=TRUE,(Skills!L24/10)*(E518/1000),Skills!L24/10)+Skills!O24</f>
        <v/>
      </c>
      <c r="G518">
        <f>Skills!G24*IF(Skills!H24&gt;0,Skills!I24/Skills!H24,1)</f>
        <v/>
      </c>
      <c r="H518">
        <f>1-(1-Skills!J24/100)^Skills!K24</f>
        <v/>
      </c>
      <c r="I518" t="inlineStr">
        <is>
          <t>1</t>
        </is>
      </c>
      <c r="J518" t="inlineStr"/>
      <c r="K518" t="inlineStr"/>
      <c r="L518" t="inlineStr"/>
      <c r="M518" t="inlineStr"/>
      <c r="N518" t="inlineStr"/>
      <c r="O518">
        <f>(1-Summary!$B$11)*T518+Summary!$B$11*V518</f>
        <v/>
      </c>
      <c r="P518">
        <f>IF(B538=0,0,O518/B538)</f>
        <v/>
      </c>
      <c r="Q518" t="n">
        <v>0</v>
      </c>
      <c r="R518" t="n">
        <v>0</v>
      </c>
      <c r="S518">
        <f>IFERROR(O518/N518,0)</f>
        <v/>
      </c>
      <c r="T518" t="n">
        <v>0</v>
      </c>
      <c r="V518" t="n">
        <v>0</v>
      </c>
    </row>
    <row r="519">
      <c r="A519">
        <f>Skills!A25</f>
        <v/>
      </c>
      <c r="B519">
        <f>Skills!B25</f>
        <v/>
      </c>
      <c r="C519">
        <f>Inputs!$B$3&gt;=43</f>
        <v/>
      </c>
      <c r="D519">
        <f>IF(Skills!C25=1,60+Inputs!$B$25+Inputs!$B$29,IF(Skills!C25=2,90+Inputs!$B$26+Inputs!$B$29,IF(Skills!C25=3,120+Inputs!$B$27+Inputs!$B$29,MAX(0,(Inputs!$B$3-100)*3)+Inputs!$B$28+Inputs!$B$29)))</f>
        <v/>
      </c>
      <c r="E519">
        <f>INDEX(FactorTable!$B$2:$Y$301, MATCH(ROUND(MIN(300,MAX(1,D519)),0), FactorTable!$A$2:$A$301,0), Skills!M25+1)</f>
        <v/>
      </c>
      <c r="F519">
        <f>IF(Skills!N25=TRUE,(Skills!L25/10)*(E519/1000),Skills!L25/10)+Skills!O25</f>
        <v/>
      </c>
      <c r="G519">
        <f>Skills!G25*IF(Skills!H25&gt;0,Skills!I25/Skills!H25,1)</f>
        <v/>
      </c>
      <c r="H519">
        <f>1-(1-Skills!J25/100)^Skills!K25</f>
        <v/>
      </c>
      <c r="I519" t="inlineStr">
        <is>
          <t>1</t>
        </is>
      </c>
      <c r="J519" t="inlineStr"/>
      <c r="K519" t="inlineStr"/>
      <c r="L519" t="inlineStr"/>
      <c r="M519" t="inlineStr"/>
      <c r="N519" t="inlineStr"/>
      <c r="O519">
        <f>(1-Summary!$B$11)*T519+Summary!$B$11*V519</f>
        <v/>
      </c>
      <c r="P519">
        <f>IF(B538=0,0,O519/B538)</f>
        <v/>
      </c>
      <c r="Q519" t="n">
        <v>0</v>
      </c>
      <c r="R519" t="n">
        <v>0</v>
      </c>
      <c r="S519">
        <f>IFERROR(O519/N519,0)</f>
        <v/>
      </c>
      <c r="T519" t="n">
        <v>0</v>
      </c>
      <c r="V519" t="n">
        <v>0</v>
      </c>
    </row>
    <row r="520">
      <c r="A520">
        <f>Skills!A26</f>
        <v/>
      </c>
      <c r="B520">
        <f>Skills!B26</f>
        <v/>
      </c>
      <c r="C520">
        <f>Inputs!$B$3&gt;=75</f>
        <v/>
      </c>
      <c r="D520">
        <f>IF(Skills!C26=1,60+Inputs!$B$25+Inputs!$B$29,IF(Skills!C26=2,90+Inputs!$B$26+Inputs!$B$29,IF(Skills!C26=3,120+Inputs!$B$27+Inputs!$B$29,MAX(0,(Inputs!$B$3-100)*3)+Inputs!$B$28+Inputs!$B$29)))</f>
        <v/>
      </c>
      <c r="E520">
        <f>INDEX(FactorTable!$B$2:$Y$301, MATCH(ROUND(MIN(300,MAX(1,D520)),0), FactorTable!$A$2:$A$301,0), Skills!M26+1)</f>
        <v/>
      </c>
      <c r="F520">
        <f>IF(Skills!N26=TRUE,(Skills!L26/10)*(E520/1000),Skills!L26/10)+Skills!O26</f>
        <v/>
      </c>
      <c r="G520">
        <f>Skills!G26*IF(Skills!H26&gt;0,Skills!I26/Skills!H26,1)</f>
        <v/>
      </c>
      <c r="H520">
        <f>1-(1-Skills!J26/100)^Skills!K26</f>
        <v/>
      </c>
      <c r="I520" t="inlineStr">
        <is>
          <t>1</t>
        </is>
      </c>
      <c r="J520" t="inlineStr"/>
      <c r="K520" t="inlineStr"/>
      <c r="L520" t="inlineStr"/>
      <c r="M520" t="inlineStr"/>
      <c r="N520" t="inlineStr"/>
      <c r="O520">
        <f>(1-Summary!$B$11)*T520+Summary!$B$11*V520</f>
        <v/>
      </c>
      <c r="P520">
        <f>IF(B538=0,0,O520/B538)</f>
        <v/>
      </c>
      <c r="Q520" t="n">
        <v>0</v>
      </c>
      <c r="R520" t="n">
        <v>0</v>
      </c>
      <c r="S520">
        <f>IFERROR(O520/N520,0)</f>
        <v/>
      </c>
      <c r="T520" t="n">
        <v>0</v>
      </c>
      <c r="V520" t="n">
        <v>0</v>
      </c>
    </row>
    <row r="521">
      <c r="A521">
        <f>Skills!A27</f>
        <v/>
      </c>
      <c r="B521">
        <f>Skills!B27</f>
        <v/>
      </c>
      <c r="C521">
        <f>Inputs!$B$3&gt;=125</f>
        <v/>
      </c>
      <c r="D521">
        <f>IF(Skills!C27=1,60+Inputs!$B$25+Inputs!$B$29,IF(Skills!C27=2,90+Inputs!$B$26+Inputs!$B$29,IF(Skills!C27=3,120+Inputs!$B$27+Inputs!$B$29,MAX(0,(Inputs!$B$3-100)*3)+Inputs!$B$28+Inputs!$B$29)))</f>
        <v/>
      </c>
      <c r="E521">
        <f>INDEX(FactorTable!$B$2:$Y$301, MATCH(ROUND(MIN(300,MAX(1,D521)),0), FactorTable!$A$2:$A$301,0), Skills!M27+1)</f>
        <v/>
      </c>
      <c r="F521">
        <f>IF(Skills!N27=TRUE,(Skills!L27/10)*(E521/1000),Skills!L27/10)+Skills!O27</f>
        <v/>
      </c>
      <c r="G521">
        <f>Skills!G27*IF(Skills!H27&gt;0,Skills!I27/Skills!H27,1)</f>
        <v/>
      </c>
      <c r="H521">
        <f>1-(1-Skills!J27/100)^Skills!K27</f>
        <v/>
      </c>
      <c r="I521" t="inlineStr">
        <is>
          <t>1</t>
        </is>
      </c>
      <c r="J521" t="inlineStr"/>
      <c r="K521" t="inlineStr"/>
      <c r="L521" t="inlineStr"/>
      <c r="M521" t="inlineStr"/>
      <c r="N521" t="inlineStr"/>
      <c r="O521">
        <f>(1-Summary!$B$11)*T521+Summary!$B$11*V521</f>
        <v/>
      </c>
      <c r="P521">
        <f>IF(B538=0,0,O521/B538)</f>
        <v/>
      </c>
      <c r="Q521" t="n">
        <v>0</v>
      </c>
      <c r="R521" t="n">
        <v>0</v>
      </c>
      <c r="S521">
        <f>IFERROR(O521/N521,0)</f>
        <v/>
      </c>
      <c r="T521" t="n">
        <v>0</v>
      </c>
      <c r="V521" t="n">
        <v>0</v>
      </c>
    </row>
    <row r="522">
      <c r="A522">
        <f>Skills!A28</f>
        <v/>
      </c>
      <c r="B522">
        <f>Skills!B28</f>
        <v/>
      </c>
      <c r="C522">
        <f>Inputs!$B$3&gt;=125</f>
        <v/>
      </c>
      <c r="D522">
        <f>IF(Skills!C28=1,60+Inputs!$B$25+Inputs!$B$29,IF(Skills!C28=2,90+Inputs!$B$26+Inputs!$B$29,IF(Skills!C28=3,120+Inputs!$B$27+Inputs!$B$29,MAX(0,(Inputs!$B$3-100)*3)+Inputs!$B$28+Inputs!$B$29)))</f>
        <v/>
      </c>
      <c r="E522">
        <f>INDEX(FactorTable!$B$2:$Y$301, MATCH(ROUND(MIN(300,MAX(1,D522)),0), FactorTable!$A$2:$A$301,0), Skills!M28+1)</f>
        <v/>
      </c>
      <c r="F522">
        <f>IF(Skills!N28=TRUE,(Skills!L28/10)*(E522/1000),Skills!L28/10)+Skills!O28</f>
        <v/>
      </c>
      <c r="G522">
        <f>Skills!G28*IF(Skills!H28&gt;0,Skills!I28/Skills!H28,1)</f>
        <v/>
      </c>
      <c r="H522">
        <f>1-(1-Skills!J28/100)^Skills!K28</f>
        <v/>
      </c>
      <c r="I522" t="inlineStr">
        <is>
          <t>1</t>
        </is>
      </c>
      <c r="J522" t="inlineStr"/>
      <c r="K522" t="inlineStr"/>
      <c r="L522" t="inlineStr"/>
      <c r="M522" t="inlineStr"/>
      <c r="N522" t="inlineStr"/>
      <c r="O522">
        <f>(1-Summary!$B$11)*T522+Summary!$B$11*V522</f>
        <v/>
      </c>
      <c r="P522">
        <f>IF(B538=0,0,O522/B538)</f>
        <v/>
      </c>
      <c r="Q522" t="n">
        <v>0</v>
      </c>
      <c r="R522" t="n">
        <v>0</v>
      </c>
      <c r="S522">
        <f>IFERROR(O522/N522,0)</f>
        <v/>
      </c>
      <c r="T522" t="n">
        <v>0</v>
      </c>
      <c r="V522" t="n">
        <v>0</v>
      </c>
    </row>
    <row r="523">
      <c r="A523">
        <f>Skills!A29</f>
        <v/>
      </c>
      <c r="B523">
        <f>Skills!B29</f>
        <v/>
      </c>
      <c r="C523">
        <f>Inputs!$B$3&gt;=120</f>
        <v/>
      </c>
      <c r="D523">
        <f>IF(Skills!C29=1,60+Inputs!$B$25+Inputs!$B$29,IF(Skills!C29=2,90+Inputs!$B$26+Inputs!$B$29,IF(Skills!C29=3,120+Inputs!$B$27+Inputs!$B$29,MAX(0,(Inputs!$B$3-100)*3)+Inputs!$B$28+Inputs!$B$29)))</f>
        <v/>
      </c>
      <c r="E523">
        <f>INDEX(FactorTable!$B$2:$Y$301, MATCH(ROUND(MIN(300,MAX(1,D523)),0), FactorTable!$A$2:$A$301,0), Skills!M29+1)</f>
        <v/>
      </c>
      <c r="F523">
        <f>IF(Skills!N29=TRUE,(Skills!L29/10)*(E523/1000),Skills!L29/10)+Skills!O29</f>
        <v/>
      </c>
      <c r="G523">
        <f>Skills!G29*IF(Skills!H29&gt;0,Skills!I29/Skills!H29,1)</f>
        <v/>
      </c>
      <c r="H523">
        <f>1-(1-Skills!J29/100)^Skills!K29</f>
        <v/>
      </c>
      <c r="I523" t="inlineStr">
        <is>
          <t>1</t>
        </is>
      </c>
      <c r="J523" t="inlineStr"/>
      <c r="K523" t="inlineStr"/>
      <c r="L523" t="inlineStr"/>
      <c r="M523" t="inlineStr"/>
      <c r="N523" t="inlineStr"/>
      <c r="O523">
        <f>(1-Summary!$B$11)*T523+Summary!$B$11*V523</f>
        <v/>
      </c>
      <c r="P523">
        <f>IF(B538=0,0,O523/B538)</f>
        <v/>
      </c>
      <c r="Q523" t="n">
        <v>0</v>
      </c>
      <c r="R523" t="n">
        <v>0</v>
      </c>
      <c r="S523">
        <f>IFERROR(O523/N523,0)</f>
        <v/>
      </c>
      <c r="T523" t="n">
        <v>0</v>
      </c>
      <c r="V523" t="n">
        <v>0</v>
      </c>
    </row>
    <row r="524">
      <c r="A524">
        <f>Skills!A30</f>
        <v/>
      </c>
      <c r="B524">
        <f>Skills!B30</f>
        <v/>
      </c>
      <c r="C524">
        <f>Inputs!$B$3&gt;=120</f>
        <v/>
      </c>
      <c r="D524">
        <f>IF(Skills!C30=1,60+Inputs!$B$25+Inputs!$B$29,IF(Skills!C30=2,90+Inputs!$B$26+Inputs!$B$29,IF(Skills!C30=3,120+Inputs!$B$27+Inputs!$B$29,MAX(0,(Inputs!$B$3-100)*3)+Inputs!$B$28+Inputs!$B$29)))</f>
        <v/>
      </c>
      <c r="E524">
        <f>INDEX(FactorTable!$B$2:$Y$301, MATCH(ROUND(MIN(300,MAX(1,D524)),0), FactorTable!$A$2:$A$301,0), Skills!M30+1)</f>
        <v/>
      </c>
      <c r="F524">
        <f>IF(Skills!N30=TRUE,(Skills!L30/10)*(E524/1000),Skills!L30/10)+Skills!O30</f>
        <v/>
      </c>
      <c r="G524">
        <f>Skills!G30*IF(Skills!H30&gt;0,Skills!I30/Skills!H30,1)</f>
        <v/>
      </c>
      <c r="H524">
        <f>1-(1-Skills!J30/100)^Skills!K30</f>
        <v/>
      </c>
      <c r="I524" t="inlineStr">
        <is>
          <t>1</t>
        </is>
      </c>
      <c r="J524" t="inlineStr"/>
      <c r="K524" t="inlineStr"/>
      <c r="L524" t="inlineStr"/>
      <c r="M524" t="inlineStr"/>
      <c r="N524" t="inlineStr"/>
      <c r="O524">
        <f>(1-Summary!$B$11)*T524+Summary!$B$11*V524</f>
        <v/>
      </c>
      <c r="P524">
        <f>IF(B538=0,0,O524/B538)</f>
        <v/>
      </c>
      <c r="Q524" t="n">
        <v>0</v>
      </c>
      <c r="R524" t="n">
        <v>0</v>
      </c>
      <c r="S524">
        <f>IFERROR(O524/N524,0)</f>
        <v/>
      </c>
      <c r="T524" t="n">
        <v>0</v>
      </c>
      <c r="V524" t="n">
        <v>0</v>
      </c>
    </row>
    <row r="525">
      <c r="A525">
        <f>Skills!A31</f>
        <v/>
      </c>
      <c r="B525">
        <f>Skills!B31</f>
        <v/>
      </c>
      <c r="C525">
        <f>Inputs!$B$3&gt;=45</f>
        <v/>
      </c>
      <c r="D525">
        <f>IF(Skills!C31=1,60+Inputs!$B$25+Inputs!$B$29,IF(Skills!C31=2,90+Inputs!$B$26+Inputs!$B$29,IF(Skills!C31=3,120+Inputs!$B$27+Inputs!$B$29,MAX(0,(Inputs!$B$3-100)*3)+Inputs!$B$28+Inputs!$B$29)))</f>
        <v/>
      </c>
      <c r="E525">
        <f>INDEX(FactorTable!$B$2:$Y$301, MATCH(ROUND(MIN(300,MAX(1,D525)),0), FactorTable!$A$2:$A$301,0), Skills!M31+1)</f>
        <v/>
      </c>
      <c r="F525">
        <f>IF(Skills!N31=TRUE,(Skills!L31/10)*(E525/1000),Skills!L31/10)+Skills!O31</f>
        <v/>
      </c>
      <c r="G525">
        <f>Skills!G31*IF(Skills!H31&gt;0,Skills!I31/Skills!H31,1)</f>
        <v/>
      </c>
      <c r="H525">
        <f>1-(1-Skills!J31/100)^Skills!K31</f>
        <v/>
      </c>
      <c r="I525" t="inlineStr">
        <is>
          <t>1</t>
        </is>
      </c>
      <c r="J525" t="inlineStr"/>
      <c r="K525" t="inlineStr"/>
      <c r="L525" t="inlineStr"/>
      <c r="M525" t="inlineStr"/>
      <c r="N525" t="inlineStr"/>
      <c r="O525">
        <f>(1-Summary!$B$11)*T525+Summary!$B$11*V525</f>
        <v/>
      </c>
      <c r="P525">
        <f>IF(B538=0,0,O525/B538)</f>
        <v/>
      </c>
      <c r="Q525" t="n">
        <v>0</v>
      </c>
      <c r="R525" t="n">
        <v>0</v>
      </c>
      <c r="S525">
        <f>IFERROR(O525/N525,0)</f>
        <v/>
      </c>
      <c r="T525" t="n">
        <v>0</v>
      </c>
      <c r="V525" t="n">
        <v>0</v>
      </c>
    </row>
    <row r="527">
      <c r="A527" t="inlineStr">
        <is>
          <t>Attack% Bucket Multiplier</t>
        </is>
      </c>
      <c r="B527">
        <f>(1+(((C508=TRUE)*F508)+((C509=TRUE)*IF(Inputs!$B$38="pvp",F509,(1-Summary!$B$11)*(F509)+Summary!$B$11*(0)))+((C510=TRUE)*F510*IF(AND(Inputs!$B$38&lt;&gt;"pvp",Inputs!$B$43&gt;0),(((R510-1)*(Skills!T16*(1+Inputs!$B$34/100))+MIN((Skills!T16*(1+Inputs!$B$34/100)),MAX(0,Inputs!$B$43-((R510-1)*Skills!D16))))/Inputs!$B$43),IF(Inputs!$B$38="pvp",MIN((Skills!T16*(1+Inputs!$B$34/100)),15)/15,(Skills!T16*(1+Inputs!$B$34/100))/Skills!D16)))+((C525=TRUE)*(F525-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28">
      <c r="A528" t="inlineStr">
        <is>
          <t>Global Crit Rate Bonus %</t>
        </is>
      </c>
      <c r="B528">
        <f>(C511=TRUE)*20*IF(AND(Inputs!$B$38&lt;&gt;"pvp",Inputs!$B$43&gt;0),(((R511-1)*(Skills!T17*(1+Inputs!$B$34/100))+MIN((Skills!T17*(1+Inputs!$B$34/100)),MAX(0,Inputs!$B$43-((R511-1)*Skills!D17))))/Inputs!$B$43),IF(Inputs!$B$38="pvp",MIN((Skills!T17*(1+Inputs!$B$34/100)),15)/15,(Skills!T17*(1+Inputs!$B$34/100))/Skills!D17))</f>
        <v/>
      </c>
    </row>
    <row r="529">
      <c r="A529" t="inlineStr">
        <is>
          <t>Attack Speed Buff Bonus %</t>
        </is>
      </c>
      <c r="B529">
        <f>((C514=TRUE)*F514*IF(AND(Inputs!$B$38&lt;&gt;"pvp",Inputs!$B$43&gt;0),(((R514-1)*(Skills!T20*(1+Inputs!$B$34/100))+MIN((Skills!T20*(1+Inputs!$B$34/100)),MAX(0,Inputs!$B$43-((R514-1)*Skills!D20))))/Inputs!$B$43),IF(Inputs!$B$38="pvp",MIN((Skills!T20*(1+Inputs!$B$34/100)),15)/15,(Skills!T20*(1+Inputs!$B$34/100))/Skills!D20)))</f>
        <v/>
      </c>
    </row>
    <row r="530">
      <c r="A530" t="inlineStr">
        <is>
          <t>Actions Per Second</t>
        </is>
      </c>
      <c r="B530">
        <f>1+MIN(150,150*(1-(1-(Inputs!$B$11+((C516=TRUE)*(F516-Calc!F22))+((C517=TRUE)*(F517-Calc!F23)))/150)*(1-B529/150)))/100</f>
        <v/>
      </c>
    </row>
    <row r="531">
      <c r="A531" t="inlineStr">
        <is>
          <t>Skill + Buff Cast Rate</t>
        </is>
      </c>
      <c r="B531">
        <f>IF(AND(Inputs!$B$38&lt;&gt;"pvp",Inputs!$B$43&gt;0),SUMPRODUCT((Skills!E2:E31=TRUE)*(C496:C525=TRUE)*R496:R525*Skills!F2:F31)/Inputs!$B$43,SUMPRODUCT((Skills!E2:E31=TRUE)*(C496:C525=TRUE)*Q496:Q525*Skills!F2:F31))</f>
        <v/>
      </c>
    </row>
    <row r="532">
      <c r="A532" t="inlineStr">
        <is>
          <t>Arrow Stream Casts Per Second</t>
        </is>
      </c>
      <c r="B532">
        <f>MAX(0,B530-B531)</f>
        <v/>
      </c>
    </row>
    <row r="533">
      <c r="A533" t="inlineStr">
        <is>
          <t>Global Critical Damage Bonus % (Sharp Eyes + Concentration)</t>
        </is>
      </c>
      <c r="B533">
        <f>(C511=TRUE)*F511*IF(AND(Inputs!$B$38&lt;&gt;"pvp",Inputs!$B$43&gt;0),(((R511-1)*(Skills!T17*(1+Inputs!$B$34/100))+MIN((Skills!T17*(1+Inputs!$B$34/100)),MAX(0,Inputs!$B$43-((R511-1)*Skills!D17))))/Inputs!$B$43),IF(Inputs!$B$38="pvp",MIN((Skills!T17*(1+Inputs!$B$34/100)),15)/15,(Skills!T17*(1+Inputs!$B$34/100))/Skills!D17))+(C512=TRUE)*30</f>
        <v/>
      </c>
    </row>
    <row r="534">
      <c r="A534" t="inlineStr">
        <is>
          <t>Global Final Damage Bonus % (Mortal Blow)</t>
        </is>
      </c>
      <c r="B534">
        <f>(C513=TRUE)*F513</f>
        <v/>
      </c>
    </row>
    <row r="535">
      <c r="A535" t="inlineStr">
        <is>
          <t>Buff-Casting Startup Delay (s, fixed-duration only)</t>
        </is>
      </c>
      <c r="B535">
        <f>IF(AND(Inputs!$B$38&lt;&gt;"pvp",Inputs!$B$43&gt;0),SUMPRODUCT((Skills!T2:T31&gt;0)*(Skills!E2:E31=TRUE)*(C496:C525=TRUE))/B530,0)</f>
        <v/>
      </c>
    </row>
    <row r="536">
      <c r="A536" t="inlineStr">
        <is>
          <t>Boss-Only Total DPS (this block's swept value)</t>
        </is>
      </c>
      <c r="B536">
        <f>SUM(T496:T525)</f>
        <v/>
      </c>
    </row>
    <row r="537">
      <c r="A537" t="inlineStr">
        <is>
          <t>Normal-Only Total DPS (this block's swept value)</t>
        </is>
      </c>
      <c r="B537">
        <f>SUM(V496:V525)</f>
        <v/>
      </c>
    </row>
    <row r="538">
      <c r="A538" s="6" t="inlineStr">
        <is>
          <t>TOTAL DPS</t>
        </is>
      </c>
      <c r="B538" s="6">
        <f>SUM(O496:O525)</f>
        <v/>
      </c>
    </row>
    <row r="541">
      <c r="A541" s="6" t="inlineStr">
        <is>
          <t>Stat: CRIT_RATE %</t>
        </is>
      </c>
    </row>
    <row r="542">
      <c r="A542" s="5" t="inlineStr">
        <is>
          <t>Key</t>
        </is>
      </c>
      <c r="B542" s="5" t="inlineStr">
        <is>
          <t>Name</t>
        </is>
      </c>
      <c r="C542" s="5" t="inlineStr">
        <is>
          <t>Unlocked</t>
        </is>
      </c>
      <c r="D542" s="5" t="inlineStr">
        <is>
          <t>InputLevel</t>
        </is>
      </c>
      <c r="E542" s="5" t="inlineStr">
        <is>
          <t>Factor</t>
        </is>
      </c>
      <c r="F542" s="5" t="inlineStr">
        <is>
          <t>CoefficientPercent</t>
        </is>
      </c>
      <c r="G542" s="5" t="inlineStr">
        <is>
          <t>EffectiveHits</t>
        </is>
      </c>
      <c r="H542" s="5" t="inlineStr">
        <is>
          <t>ProcProbability</t>
        </is>
      </c>
      <c r="I542" s="5" t="inlineStr">
        <is>
          <t>MapleHeroMultiplier</t>
        </is>
      </c>
      <c r="J542" s="5" t="inlineStr">
        <is>
          <t>BaseDamage</t>
        </is>
      </c>
      <c r="K542" s="5" t="inlineStr">
        <is>
          <t>BaseHitDamage</t>
        </is>
      </c>
      <c r="L542" s="5" t="inlineStr">
        <is>
          <t>NonCritAvg</t>
        </is>
      </c>
      <c r="M542" s="5" t="inlineStr">
        <is>
          <t>CritAvg</t>
        </is>
      </c>
      <c r="N542" s="5" t="inlineStr">
        <is>
          <t>ExpectedDamage(perHit)</t>
        </is>
      </c>
      <c r="O542" s="5" t="inlineStr">
        <is>
          <t>DPS</t>
        </is>
      </c>
      <c r="P542" s="5" t="inlineStr">
        <is>
          <t>% of Total</t>
        </is>
      </c>
      <c r="Q542" s="5" t="inlineStr">
        <is>
          <t>InvCooldown</t>
        </is>
      </c>
      <c r="R542" s="5" t="inlineStr">
        <is>
          <t>CastsInFight</t>
        </is>
      </c>
      <c r="S542" s="5" t="inlineStr">
        <is>
          <t>HitRate(perSec)</t>
        </is>
      </c>
      <c r="U542" t="inlineStr">
        <is>
          <t>helpers</t>
        </is>
      </c>
    </row>
    <row r="543">
      <c r="A543">
        <f>Skills!A2</f>
        <v/>
      </c>
      <c r="B543">
        <f>Skills!B2</f>
        <v/>
      </c>
      <c r="C543">
        <f>Inputs!$B$3&gt;=100</f>
        <v/>
      </c>
      <c r="D543" t="inlineStr"/>
      <c r="E543" t="inlineStr"/>
      <c r="F543">
        <f>U545+Skills!O2</f>
        <v/>
      </c>
      <c r="G543">
        <f>Skills!G2*IF(Skills!H2&gt;0,Skills!I2/Skills!H2,1)</f>
        <v/>
      </c>
      <c r="H543">
        <f>1-(1-Skills!J2/100)^Skills!K2</f>
        <v/>
      </c>
      <c r="I543" t="inlineStr">
        <is>
          <t>1</t>
        </is>
      </c>
      <c r="J543">
        <f>((Inputs!$B$6*(1+Inputs!$B$7/100))+(((Inputs!$B$12*(1+Inputs!$B$13/100))-(Inputs!$B$12*(1+Inputs!$B$13/100)))+0.25*(Inputs!$B$14-Inputs!$B$14))*(1+Inputs!$B$7/100))*(F543/100)</f>
        <v/>
      </c>
      <c r="K543">
        <f>J543*(1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543)</f>
        <v/>
      </c>
      <c r="L543">
        <f>K543*(MIN(Inputs!$B$22+((C566=TRUE)*(F566-Calc!F25)),(Inputs!$B$23+((C571=TRUE)*(F571-Calc!F30))+(IF(ArtifactsInput!$M$15,CHOOSE(ArtifactsInput!$N$15+1,25,30,35,40,45,50)/100*(Inputs!$B$11-Inputs!$B$11),0))))/100+(Inputs!$B$23+((C571=TRUE)*(F571-Calc!F30))+(IF(ArtifactsInput!$M$15,CHOOSE(ArtifactsInput!$N$15+1,25,30,35,40,45,50)/100*(Inputs!$B$11-Inputs!$B$11),0)))/100)/2</f>
        <v/>
      </c>
      <c r="M543">
        <f>L543*(1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3">
        <f>L543*(1-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543*(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3">
        <f>(1-Summary!$B$11)*T543+Summary!$B$11*V543</f>
        <v/>
      </c>
      <c r="P543">
        <f>IF(B585=0,0,O543/B585)</f>
        <v/>
      </c>
      <c r="Q543" t="n">
        <v>0</v>
      </c>
      <c r="R543" t="n">
        <v>0</v>
      </c>
      <c r="S543">
        <f>IFERROR(O543/N543,0)</f>
        <v/>
      </c>
      <c r="T543">
        <f>IF(C543,(Skills!G2*N543*B579)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543*(1-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543*(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543*(1-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543*(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43">
        <f>MAX(0,(Inputs!$B$3-100)*3)+Inputs!$B$28+Inputs!$B$29</f>
        <v/>
      </c>
      <c r="V543">
        <f>IF(C543,(Skills!G2*N543*B579)*IF(Inputs!$B$38="pvp",1,(1+(Inputs!$B$21+Skills!Q2+(IF(ArtifactsInput!$M$33,CHOOSE(ArtifactsInput!$N$33+1,30,36,42,48,54,60),0))+(IF(AND(ArtifactsInput!$M$35,Inputs!$B$4&lt;&gt;"Chapter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4">
      <c r="A544">
        <f>Skills!A3</f>
        <v/>
      </c>
      <c r="B544">
        <f>Skills!B3</f>
        <v/>
      </c>
      <c r="C544">
        <f>Inputs!$B$3&gt;=50</f>
        <v/>
      </c>
      <c r="D544">
        <f>IF(Skills!C3=1,60+Inputs!$B$25+Inputs!$B$29,IF(Skills!C3=2,90+Inputs!$B$26+Inputs!$B$29,IF(Skills!C3=3,120+Inputs!$B$27+Inputs!$B$29,MAX(0,(Inputs!$B$3-100)*3)+Inputs!$B$28+Inputs!$B$29)))</f>
        <v/>
      </c>
      <c r="E544">
        <f>INDEX(FactorTable!$B$2:$Y$301, MATCH(ROUND(MIN(300,MAX(1,D544)),0), FactorTable!$A$2:$A$301,0), Skills!M3+1)</f>
        <v/>
      </c>
      <c r="F544">
        <f>IF(Skills!N3=TRUE,(Skills!L3/10)*(E544/1000),Skills!L3/10)+Skills!O3</f>
        <v/>
      </c>
      <c r="G544">
        <f>Skills!G3*IF(Skills!H3&gt;0,Skills!I3/Skills!H3,1)</f>
        <v/>
      </c>
      <c r="H544">
        <f>1-(1-Skills!J3/100)^Skills!K3</f>
        <v/>
      </c>
      <c r="I544" t="inlineStr">
        <is>
          <t>1</t>
        </is>
      </c>
      <c r="J544">
        <f>((Inputs!$B$6*(1+Inputs!$B$7/100))+(((Inputs!$B$12*(1+Inputs!$B$13/100))-(Inputs!$B$12*(1+Inputs!$B$13/100)))+0.25*(Inputs!$B$14-Inputs!$B$14))*(1+Inputs!$B$7/100))*(F544/100)</f>
        <v/>
      </c>
      <c r="K544">
        <f>J544*(1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545=TRUE,F545,0)/100)*(1+(IF(Skills!A3="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544)</f>
        <v/>
      </c>
      <c r="L544">
        <f>K544*(MIN(Inputs!$B$22+((C566=TRUE)*(F566-Calc!F25)),(Inputs!$B$23+((C571=TRUE)*(F571-Calc!F30))+(IF(ArtifactsInput!$M$15,CHOOSE(ArtifactsInput!$N$15+1,25,30,35,40,45,50)/100*(Inputs!$B$11-Inputs!$B$11),0))))/100+(Inputs!$B$23+((C571=TRUE)*(F571-Calc!F30))+(IF(ArtifactsInput!$M$15,CHOOSE(ArtifactsInput!$N$15+1,25,30,35,40,45,50)/100*(Inputs!$B$11-Inputs!$B$11),0)))/100)/2</f>
        <v/>
      </c>
      <c r="M544">
        <f>L544*(1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4">
        <f>L544*(1-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544*(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4">
        <f>(1-Summary!$B$11)*T544+Summary!$B$11*V544</f>
        <v/>
      </c>
      <c r="P544">
        <f>IF(B585=0,0,O544/B585)</f>
        <v/>
      </c>
      <c r="Q544">
        <f>IFERROR(1/(IF(Inputs!$B$38="pvp",15,MAX(0.1,Skills!D3-IF(Skills!E3=TRUE,Inputs!$B$32,0)))*(1-IF(AND(ArtifactsInput!$M$27,Inputs!$B$4="Chapter Hunt"),CHOOSE(ArtifactsInput!$N$27+1,20,24,28,32,36,40),0)/100)),0)</f>
        <v/>
      </c>
      <c r="R544">
        <f>IF(AND(Inputs!$B$38&lt;&gt;"pvp",Inputs!$B$43&gt;0),IF(MAX(0,Inputs!$B$43-B582)&lt;=0,0,(INT(MAX(0,Inputs!$B$43-B582)/(IF(Inputs!$B$38="pvp",15,MAX(0.1,Skills!D3-IF(Skills!E3=TRUE,Inputs!$B$32,0)))*(1-IF(AND(ArtifactsInput!$M$27,Inputs!$B$4="Chapter Hunt"),CHOOSE(ArtifactsInput!$N$27+1,20,24,28,32,36,40),0)/100)))+1)),0)</f>
        <v/>
      </c>
      <c r="S544">
        <f>IFERROR(O544/N544,0)</f>
        <v/>
      </c>
      <c r="T544">
        <f>IF(C544,(H544*N544*IF(AND(Inputs!$B$38&lt;&gt;"pvp",Inputs!$B$43&gt;0),((Skills!G3*((R544-1)*IF(Skills!H3&gt;0,Skills!I3/Skills!H3,1)+IF(Skills!H3&gt;0,MIN(Skills!I3,MAX(0,MAX(0,Inputs!$B$43-B582)-((R544-1)*(IF(Inputs!$B$38="pvp",15,MAX(0.1,Skills!D3-IF(Skills!E3=TRUE,Inputs!$B$32,0)))*(1-IF(AND(ArtifactsInput!$M$27,Inputs!$B$4="Chapter Hunt"),CHOOSE(ArtifactsInput!$N$27+1,20,24,28,32,36,40),0)/100)))))/Skills!H3,1)))/Inputs!$B$43),G544*Q544)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544*(1-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544*(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544*(1-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544*(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44">
        <f>INDEX(FactorTable!$B$2:$Y$301, MATCH(ROUND(MIN(300,MAX(1,U543)),0), FactorTable!$A$2:$A$301,0), 22)</f>
        <v/>
      </c>
      <c r="V544">
        <f>IF(C544,(H544*N544*IF(AND(Inputs!$B$38&lt;&gt;"pvp",Inputs!$B$43&gt;0),((Skills!G3*((R544-1)*IF(Skills!H3&gt;0,Skills!I3/Skills!H3,1)+IF(Skills!H3&gt;0,MIN(Skills!I3,MAX(0,MAX(0,Inputs!$B$43-B582)-((R544-1)*(IF(Inputs!$B$38="pvp",15,MAX(0.1,Skills!D3-IF(Skills!E3=TRUE,Inputs!$B$32,0)))*(1-IF(AND(ArtifactsInput!$M$27,Inputs!$B$4="Chapter Hunt"),CHOOSE(ArtifactsInput!$N$27+1,20,24,28,32,36,40),0)/100)))))/Skills!H3,1)))/Inputs!$B$43),G544*Q544))*IF(Inputs!$B$38="pvp",1,(1+(Inputs!$B$21+Skills!Q3+(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5">
      <c r="A545">
        <f>Skills!A4</f>
        <v/>
      </c>
      <c r="B545">
        <f>Skills!B4</f>
        <v/>
      </c>
      <c r="C545">
        <f>Inputs!$B$3&gt;=105</f>
        <v/>
      </c>
      <c r="D545">
        <f>IF(Skills!C4=1,60+Inputs!$B$25+Inputs!$B$29,IF(Skills!C4=2,90+Inputs!$B$26+Inputs!$B$29,IF(Skills!C4=3,120+Inputs!$B$27+Inputs!$B$29,MAX(0,(Inputs!$B$3-100)*3)+Inputs!$B$28+Inputs!$B$29)))</f>
        <v/>
      </c>
      <c r="E545">
        <f>INDEX(FactorTable!$B$2:$Y$301, MATCH(ROUND(MIN(300,MAX(1,D545)),0), FactorTable!$A$2:$A$301,0), Skills!M4+1)</f>
        <v/>
      </c>
      <c r="F545">
        <f>IF(Skills!N4=TRUE,(Skills!L4/10)*(E545/1000),Skills!L4/10)+Skills!O4</f>
        <v/>
      </c>
      <c r="G545" t="inlineStr"/>
      <c r="H545" t="inlineStr"/>
      <c r="I545" t="inlineStr">
        <is>
          <t>1</t>
        </is>
      </c>
      <c r="J545" t="inlineStr"/>
      <c r="K545" t="inlineStr"/>
      <c r="L545" t="inlineStr"/>
      <c r="M545" t="inlineStr"/>
      <c r="N545" t="inlineStr"/>
      <c r="O545" t="inlineStr"/>
      <c r="P545" t="inlineStr"/>
      <c r="Q545" t="inlineStr"/>
      <c r="R545" t="inlineStr"/>
      <c r="S545" t="inlineStr"/>
      <c r="T545" t="inlineStr"/>
      <c r="U545">
        <f>290*U544/1000</f>
        <v/>
      </c>
      <c r="V545" t="inlineStr"/>
    </row>
    <row r="546">
      <c r="A546">
        <f>Skills!A5</f>
        <v/>
      </c>
      <c r="B546">
        <f>Skills!B5</f>
        <v/>
      </c>
      <c r="C546">
        <f>Inputs!$B$3&gt;=35</f>
        <v/>
      </c>
      <c r="D546">
        <f>IF(Skills!C5=1,60+Inputs!$B$25+Inputs!$B$29,IF(Skills!C5=2,90+Inputs!$B$26+Inputs!$B$29,IF(Skills!C5=3,120+Inputs!$B$27+Inputs!$B$29,MAX(0,(Inputs!$B$3-100)*3)+Inputs!$B$28+Inputs!$B$29)))</f>
        <v/>
      </c>
      <c r="E546">
        <f>INDEX(FactorTable!$B$2:$Y$301, MATCH(ROUND(MIN(300,MAX(1,D546)),0), FactorTable!$A$2:$A$301,0), Skills!M5+1)</f>
        <v/>
      </c>
      <c r="F546">
        <f>IF(Skills!N5=TRUE,(Skills!L5/10)*(E546/1000),Skills!L5/10)+Skills!O5</f>
        <v/>
      </c>
      <c r="G546">
        <f>Skills!G5*IF(Skills!H5&gt;0,Skills!I5/Skills!H5,1)</f>
        <v/>
      </c>
      <c r="H546">
        <f>1-(1-Skills!J5/100)^Skills!K5</f>
        <v/>
      </c>
      <c r="I546" t="inlineStr">
        <is>
          <t>1</t>
        </is>
      </c>
      <c r="J546">
        <f>((Inputs!$B$6*(1+Inputs!$B$7/100))+(((Inputs!$B$12*(1+Inputs!$B$13/100))-(Inputs!$B$12*(1+Inputs!$B$13/100)))+0.25*(Inputs!$B$14-Inputs!$B$14))*(1+Inputs!$B$7/100))*(F546/100)</f>
        <v/>
      </c>
      <c r="K546">
        <f>J546*(1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552=TRUE,F552,0)/100)*(1+(IF(Skills!A5="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546)</f>
        <v/>
      </c>
      <c r="L546">
        <f>K546*(MIN(Inputs!$B$22+((C566=TRUE)*(F566-Calc!F25)),(Inputs!$B$23+((C571=TRUE)*(F571-Calc!F30))+(IF(ArtifactsInput!$M$15,CHOOSE(ArtifactsInput!$N$15+1,25,30,35,40,45,50)/100*(Inputs!$B$11-Inputs!$B$11),0))))/100+(Inputs!$B$23+((C571=TRUE)*(F571-Calc!F30))+(IF(ArtifactsInput!$M$15,CHOOSE(ArtifactsInput!$N$15+1,25,30,35,40,45,50)/100*(Inputs!$B$11-Inputs!$B$11),0)))/100)/2</f>
        <v/>
      </c>
      <c r="M546">
        <f>L546*(1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6">
        <f>L546*(1-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546*(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6">
        <f>(1-Summary!$B$11)*T546+Summary!$B$11*V546</f>
        <v/>
      </c>
      <c r="P546">
        <f>IF(B585=0,0,O546/B585)</f>
        <v/>
      </c>
      <c r="Q546">
        <f>IFERROR(1/(IF(Inputs!$B$38="pvp",15,MAX(0.1,Skills!D5-IF(Skills!E5=TRUE,Inputs!$B$32,0)))*(1-IF(AND(ArtifactsInput!$M$27,Inputs!$B$4="Chapter Hunt"),CHOOSE(ArtifactsInput!$N$27+1,20,24,28,32,36,40),0)/100)),0)</f>
        <v/>
      </c>
      <c r="R546">
        <f>IF(AND(Inputs!$B$38&lt;&gt;"pvp",Inputs!$B$43&gt;0),IF(MAX(0,Inputs!$B$43-B582)&lt;=0,0,(INT(MAX(0,Inputs!$B$43-B582)/(IF(Inputs!$B$38="pvp",15,MAX(0.1,Skills!D5-IF(Skills!E5=TRUE,Inputs!$B$32,0)))*(1-IF(AND(ArtifactsInput!$M$27,Inputs!$B$4="Chapter Hunt"),CHOOSE(ArtifactsInput!$N$27+1,20,24,28,32,36,40),0)/100)))+1)),0)</f>
        <v/>
      </c>
      <c r="S546">
        <f>IFERROR(O546/N546,0)</f>
        <v/>
      </c>
      <c r="T546">
        <f>IF(C546,(H546*N546*IF(AND(Inputs!$B$38&lt;&gt;"pvp",Inputs!$B$43&gt;0),((Skills!G5*((R546-1)*IF(Skills!H5&gt;0,Skills!I5/Skills!H5,1)+IF(Skills!H5&gt;0,MIN(Skills!I5,MAX(0,MAX(0,Inputs!$B$43-B582)-((R546-1)*(IF(Inputs!$B$38="pvp",15,MAX(0.1,Skills!D5-IF(Skills!E5=TRUE,Inputs!$B$32,0)))*(1-IF(AND(ArtifactsInput!$M$27,Inputs!$B$4="Chapter Hunt"),CHOOSE(ArtifactsInput!$N$27+1,20,24,28,32,36,40),0)/100)))))/Skills!H5,1)))/Inputs!$B$43),G546*Q546)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546*(1-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546*(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546*(1-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546*(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6">
        <f>IF(C546,(H546*N546*IF(AND(Inputs!$B$38&lt;&gt;"pvp",Inputs!$B$43&gt;0),((Skills!G5*((R546-1)*IF(Skills!H5&gt;0,Skills!I5/Skills!H5,1)+IF(Skills!H5&gt;0,MIN(Skills!I5,MAX(0,MAX(0,Inputs!$B$43-B582)-((R546-1)*(IF(Inputs!$B$38="pvp",15,MAX(0.1,Skills!D5-IF(Skills!E5=TRUE,Inputs!$B$32,0)))*(1-IF(AND(ArtifactsInput!$M$27,Inputs!$B$4="Chapter Hunt"),CHOOSE(ArtifactsInput!$N$27+1,20,24,28,32,36,40),0)/100)))))/Skills!H5,1)))/Inputs!$B$43),G546*Q546))*IF(Inputs!$B$38="pvp",1,(1+(Inputs!$B$21+Skills!Q5+(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7">
      <c r="A547">
        <f>Skills!A6</f>
        <v/>
      </c>
      <c r="B547">
        <f>Skills!B6</f>
        <v/>
      </c>
      <c r="C547">
        <f>Inputs!$B$3&gt;=40</f>
        <v/>
      </c>
      <c r="D547">
        <f>IF(Skills!C6=1,60+Inputs!$B$25+Inputs!$B$29,IF(Skills!C6=2,90+Inputs!$B$26+Inputs!$B$29,IF(Skills!C6=3,120+Inputs!$B$27+Inputs!$B$29,MAX(0,(Inputs!$B$3-100)*3)+Inputs!$B$28+Inputs!$B$29)))</f>
        <v/>
      </c>
      <c r="E547">
        <f>INDEX(FactorTable!$B$2:$Y$301, MATCH(ROUND(MIN(300,MAX(1,D547)),0), FactorTable!$A$2:$A$301,0), Skills!M6+1)</f>
        <v/>
      </c>
      <c r="F547">
        <f>IF(Skills!N6=TRUE,(Skills!L6/10)*(E547/1000),Skills!L6/10)+Skills!O6</f>
        <v/>
      </c>
      <c r="G547">
        <f>Skills!G6*IF(Skills!H6&gt;0,Skills!I6/Skills!H6,1)</f>
        <v/>
      </c>
      <c r="H547">
        <f>1-(1-Skills!J6/100)^Skills!K6</f>
        <v/>
      </c>
      <c r="I547" t="inlineStr">
        <is>
          <t>1</t>
        </is>
      </c>
      <c r="J547">
        <f>((Inputs!$B$6*(1+Inputs!$B$7/100))+(((Inputs!$B$12*(1+Inputs!$B$13/100))-(Inputs!$B$12*(1+Inputs!$B$13/100)))+0.25*(Inputs!$B$14-Inputs!$B$14))*(1+Inputs!$B$7/100))*(F547/100)</f>
        <v/>
      </c>
      <c r="K547">
        <f>J547*(1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548=TRUE,F548,0)/100)*(1+(IF(Skills!A6="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547)</f>
        <v/>
      </c>
      <c r="L547">
        <f>K547*(MIN(Inputs!$B$22+((C566=TRUE)*(F566-Calc!F25)),(Inputs!$B$23+((C571=TRUE)*(F571-Calc!F30))+(IF(ArtifactsInput!$M$15,CHOOSE(ArtifactsInput!$N$15+1,25,30,35,40,45,50)/100*(Inputs!$B$11-Inputs!$B$11),0))))/100+(Inputs!$B$23+((C571=TRUE)*(F571-Calc!F30))+(IF(ArtifactsInput!$M$15,CHOOSE(ArtifactsInput!$N$15+1,25,30,35,40,45,50)/100*(Inputs!$B$11-Inputs!$B$11),0)))/100)/2</f>
        <v/>
      </c>
      <c r="M547">
        <f>L547*(1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7">
        <f>L547*(1-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547*(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7">
        <f>(1-Summary!$B$11)*T547+Summary!$B$11*V547</f>
        <v/>
      </c>
      <c r="P547">
        <f>IF(B585=0,0,O547/B585)</f>
        <v/>
      </c>
      <c r="Q547">
        <f>IFERROR(1/(IF(Inputs!$B$38="pvp",15,MAX(0.1,Skills!D6-IF(Skills!E6=TRUE,Inputs!$B$32,0)))*(1-IF(AND(ArtifactsInput!$M$27,Inputs!$B$4="Chapter Hunt"),CHOOSE(ArtifactsInput!$N$27+1,20,24,28,32,36,40),0)/100)),0)</f>
        <v/>
      </c>
      <c r="R547">
        <f>IF(AND(Inputs!$B$38&lt;&gt;"pvp",Inputs!$B$43&gt;0),IF(MAX(0,Inputs!$B$43-B582)&lt;=0,0,(INT(MAX(0,Inputs!$B$43-B582)/(IF(Inputs!$B$38="pvp",15,MAX(0.1,Skills!D6-IF(Skills!E6=TRUE,Inputs!$B$32,0)))*(1-IF(AND(ArtifactsInput!$M$27,Inputs!$B$4="Chapter Hunt"),CHOOSE(ArtifactsInput!$N$27+1,20,24,28,32,36,40),0)/100)))+1)),0)</f>
        <v/>
      </c>
      <c r="S547">
        <f>IFERROR(O547/N547,0)</f>
        <v/>
      </c>
      <c r="T547">
        <f>IF(C547,(H547*N547*IF(AND(Inputs!$B$38&lt;&gt;"pvp",Inputs!$B$43&gt;0),((Skills!G6*((R547-1)*IF(Skills!H6&gt;0,Skills!I6/Skills!H6,1)+IF(Skills!H6&gt;0,MIN(Skills!I6,MAX(0,MAX(0,Inputs!$B$43-B582)-((R547-1)*(IF(Inputs!$B$38="pvp",15,MAX(0.1,Skills!D6-IF(Skills!E6=TRUE,Inputs!$B$32,0)))*(1-IF(AND(ArtifactsInput!$M$27,Inputs!$B$4="Chapter Hunt"),CHOOSE(ArtifactsInput!$N$27+1,20,24,28,32,36,40),0)/100)))))/Skills!H6,1)))/Inputs!$B$43),G547*Q547)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547*(1-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547*(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547*(1-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547*(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7">
        <f>IF(C547,(H547*N547*IF(AND(Inputs!$B$38&lt;&gt;"pvp",Inputs!$B$43&gt;0),((Skills!G6*((R547-1)*IF(Skills!H6&gt;0,Skills!I6/Skills!H6,1)+IF(Skills!H6&gt;0,MIN(Skills!I6,MAX(0,MAX(0,Inputs!$B$43-B582)-((R547-1)*(IF(Inputs!$B$38="pvp",15,MAX(0.1,Skills!D6-IF(Skills!E6=TRUE,Inputs!$B$32,0)))*(1-IF(AND(ArtifactsInput!$M$27,Inputs!$B$4="Chapter Hunt"),CHOOSE(ArtifactsInput!$N$27+1,20,24,28,32,36,40),0)/100)))))/Skills!H6,1)))/Inputs!$B$43),G547*Q547))*IF(Inputs!$B$38="pvp",1,(1+(Inputs!$B$21+Skills!Q6+(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8">
      <c r="A548">
        <f>Skills!A7</f>
        <v/>
      </c>
      <c r="B548">
        <f>Skills!B7</f>
        <v/>
      </c>
      <c r="C548">
        <f>Inputs!$B$3&gt;=107</f>
        <v/>
      </c>
      <c r="D548">
        <f>IF(Skills!C7=1,60+Inputs!$B$25+Inputs!$B$29,IF(Skills!C7=2,90+Inputs!$B$26+Inputs!$B$29,IF(Skills!C7=3,120+Inputs!$B$27+Inputs!$B$29,MAX(0,(Inputs!$B$3-100)*3)+Inputs!$B$28+Inputs!$B$29)))</f>
        <v/>
      </c>
      <c r="E548">
        <f>INDEX(FactorTable!$B$2:$Y$301, MATCH(ROUND(MIN(300,MAX(1,D548)),0), FactorTable!$A$2:$A$301,0), Skills!M7+1)</f>
        <v/>
      </c>
      <c r="F548">
        <f>IF(Skills!N7=TRUE,(Skills!L7/10)*(E548/1000),Skills!L7/10)+Skills!O7</f>
        <v/>
      </c>
      <c r="G548" t="inlineStr"/>
      <c r="H548" t="inlineStr"/>
      <c r="I548" t="inlineStr">
        <is>
          <t>1</t>
        </is>
      </c>
      <c r="J548" t="inlineStr"/>
      <c r="K548" t="inlineStr"/>
      <c r="L548" t="inlineStr"/>
      <c r="M548" t="inlineStr"/>
      <c r="N548" t="inlineStr"/>
      <c r="O548" t="inlineStr"/>
      <c r="P548" t="inlineStr"/>
      <c r="Q548" t="inlineStr"/>
      <c r="R548" t="inlineStr"/>
      <c r="S548" t="inlineStr"/>
      <c r="T548" t="inlineStr"/>
      <c r="V548" t="inlineStr"/>
    </row>
    <row r="549">
      <c r="A549">
        <f>Skills!A8</f>
        <v/>
      </c>
      <c r="B549">
        <f>Skills!B8</f>
        <v/>
      </c>
      <c r="C549">
        <f>Inputs!$B$3&gt;=69</f>
        <v/>
      </c>
      <c r="D549">
        <f>IF(Skills!C8=1,60+Inputs!$B$25+Inputs!$B$29,IF(Skills!C8=2,90+Inputs!$B$26+Inputs!$B$29,IF(Skills!C8=3,120+Inputs!$B$27+Inputs!$B$29,MAX(0,(Inputs!$B$3-100)*3)+Inputs!$B$28+Inputs!$B$29)))</f>
        <v/>
      </c>
      <c r="E549">
        <f>INDEX(FactorTable!$B$2:$Y$301, MATCH(ROUND(MIN(300,MAX(1,D549)),0), FactorTable!$A$2:$A$301,0), Skills!M8+1)</f>
        <v/>
      </c>
      <c r="F549">
        <f>IF(Skills!N8=TRUE,(Skills!L8/10)*(E549/1000),Skills!L8/10)+Skills!O8</f>
        <v/>
      </c>
      <c r="G549">
        <f>Skills!G8*IF(Skills!H8&gt;0,Skills!I8/Skills!H8,1)</f>
        <v/>
      </c>
      <c r="H549">
        <f>1-(1-Skills!J8/100)^Skills!K8</f>
        <v/>
      </c>
      <c r="I549" t="inlineStr">
        <is>
          <t>1</t>
        </is>
      </c>
      <c r="J549">
        <f>((Inputs!$B$6*(1+Inputs!$B$7/100))+(((Inputs!$B$12*(1+Inputs!$B$13/100))-(Inputs!$B$12*(1+Inputs!$B$13/100)))+0.25*(Inputs!$B$14-Inputs!$B$14))*(1+Inputs!$B$7/100))*(F549/100)</f>
        <v/>
      </c>
      <c r="K549">
        <f>J549*(1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552=TRUE,F552,0)/100)*(1+(IF(Skills!A8="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549)</f>
        <v/>
      </c>
      <c r="L549">
        <f>K549*(MIN(Inputs!$B$22+((C566=TRUE)*(F566-Calc!F25)),(Inputs!$B$23+((C571=TRUE)*(F571-Calc!F30))+(IF(ArtifactsInput!$M$15,CHOOSE(ArtifactsInput!$N$15+1,25,30,35,40,45,50)/100*(Inputs!$B$11-Inputs!$B$11),0))))/100+(Inputs!$B$23+((C571=TRUE)*(F571-Calc!F30))+(IF(ArtifactsInput!$M$15,CHOOSE(ArtifactsInput!$N$15+1,25,30,35,40,45,50)/100*(Inputs!$B$11-Inputs!$B$11),0)))/100)/2</f>
        <v/>
      </c>
      <c r="M549">
        <f>L549*(1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9">
        <f>L549*(1-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549*(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9">
        <f>(1-Summary!$B$11)*T549+Summary!$B$11*V549</f>
        <v/>
      </c>
      <c r="P549">
        <f>IF(B585=0,0,O549/B585)</f>
        <v/>
      </c>
      <c r="Q549">
        <f>IFERROR(1/(IF(Inputs!$B$38="pvp",15,MAX(0.1,Skills!D8-IF(Skills!E8=TRUE,Inputs!$B$32,0)))*(1-IF(AND(ArtifactsInput!$M$27,Inputs!$B$4="Chapter Hunt"),CHOOSE(ArtifactsInput!$N$27+1,20,24,28,32,36,40),0)/100)),0)</f>
        <v/>
      </c>
      <c r="R549">
        <f>IF(AND(Inputs!$B$38&lt;&gt;"pvp",Inputs!$B$43&gt;0),IF(MAX(0,Inputs!$B$43-B582)&lt;=0,0,(INT(MAX(0,Inputs!$B$43-B582)/(IF(Inputs!$B$38="pvp",15,MAX(0.1,Skills!D8-IF(Skills!E8=TRUE,Inputs!$B$32,0)))*(1-IF(AND(ArtifactsInput!$M$27,Inputs!$B$4="Chapter Hunt"),CHOOSE(ArtifactsInput!$N$27+1,20,24,28,32,36,40),0)/100)))+1)),0)</f>
        <v/>
      </c>
      <c r="S549">
        <f>IFERROR(O549/N549,0)</f>
        <v/>
      </c>
      <c r="T549">
        <f>IF(C549,(H549*N549*IF(AND(Inputs!$B$38&lt;&gt;"pvp",Inputs!$B$43&gt;0),((Skills!G8*((R549-1)*IF(Skills!H8&gt;0,Skills!I8/Skills!H8,1)+IF(Skills!H8&gt;0,MIN(Skills!I8,MAX(0,MAX(0,Inputs!$B$43-B582)-((R549-1)*(IF(Inputs!$B$38="pvp",15,MAX(0.1,Skills!D8-IF(Skills!E8=TRUE,Inputs!$B$32,0)))*(1-IF(AND(ArtifactsInput!$M$27,Inputs!$B$4="Chapter Hunt"),CHOOSE(ArtifactsInput!$N$27+1,20,24,28,32,36,40),0)/100)))))/Skills!H8,1)))/Inputs!$B$43),G549*Q549)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549*(1-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549*(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549*(1-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549*(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9">
        <f>IF(C549,(H549*N549*IF(AND(Inputs!$B$38&lt;&gt;"pvp",Inputs!$B$43&gt;0),((Skills!G8*((R549-1)*IF(Skills!H8&gt;0,Skills!I8/Skills!H8,1)+IF(Skills!H8&gt;0,MIN(Skills!I8,MAX(0,MAX(0,Inputs!$B$43-B582)-((R549-1)*(IF(Inputs!$B$38="pvp",15,MAX(0.1,Skills!D8-IF(Skills!E8=TRUE,Inputs!$B$32,0)))*(1-IF(AND(ArtifactsInput!$M$27,Inputs!$B$4="Chapter Hunt"),CHOOSE(ArtifactsInput!$N$27+1,20,24,28,32,36,40),0)/100)))))/Skills!H8,1)))/Inputs!$B$43),G549*Q549))*IF(Inputs!$B$38="pvp",1,(1+(Inputs!$B$21+Skills!Q8+(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0">
      <c r="A550">
        <f>Skills!A9</f>
        <v/>
      </c>
      <c r="B550">
        <f>Skills!B9</f>
        <v/>
      </c>
      <c r="C550">
        <f>Inputs!$B$3&gt;=63</f>
        <v/>
      </c>
      <c r="D550">
        <f>IF(Skills!C9=1,60+Inputs!$B$25+Inputs!$B$29,IF(Skills!C9=2,90+Inputs!$B$26+Inputs!$B$29,IF(Skills!C9=3,120+Inputs!$B$27+Inputs!$B$29,MAX(0,(Inputs!$B$3-100)*3)+Inputs!$B$28+Inputs!$B$29)))</f>
        <v/>
      </c>
      <c r="E550">
        <f>INDEX(FactorTable!$B$2:$Y$301, MATCH(ROUND(MIN(300,MAX(1,D550)),0), FactorTable!$A$2:$A$301,0), Skills!M9+1)</f>
        <v/>
      </c>
      <c r="F550">
        <f>IF(Skills!N9=TRUE,(Skills!L9/10)*(E550/1000),Skills!L9/10)+Skills!O9</f>
        <v/>
      </c>
      <c r="G550">
        <f>Skills!G9*IF(Skills!H9&gt;0,Skills!I9/Skills!H9,1)</f>
        <v/>
      </c>
      <c r="H550">
        <f>1-(1-Skills!J9/100)^Skills!K9</f>
        <v/>
      </c>
      <c r="I550" t="inlineStr">
        <is>
          <t>1</t>
        </is>
      </c>
      <c r="J550">
        <f>((Inputs!$B$6*(1+Inputs!$B$7/100))+(((Inputs!$B$12*(1+Inputs!$B$13/100))-(Inputs!$B$12*(1+Inputs!$B$13/100)))+0.25*(Inputs!$B$14-Inputs!$B$14))*(1+Inputs!$B$7/100))*(F550/100)</f>
        <v/>
      </c>
      <c r="K550">
        <f>J550*(1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552=TRUE,F552,0)/100)*(1+(IF(Skills!A9="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550)</f>
        <v/>
      </c>
      <c r="L550">
        <f>K550*(MIN(Inputs!$B$22+((C566=TRUE)*(F566-Calc!F25)),(Inputs!$B$23+((C571=TRUE)*(F571-Calc!F30))+(IF(ArtifactsInput!$M$15,CHOOSE(ArtifactsInput!$N$15+1,25,30,35,40,45,50)/100*(Inputs!$B$11-Inputs!$B$11),0))))/100+(Inputs!$B$23+((C571=TRUE)*(F571-Calc!F30))+(IF(ArtifactsInput!$M$15,CHOOSE(ArtifactsInput!$N$15+1,25,30,35,40,45,50)/100*(Inputs!$B$11-Inputs!$B$11),0)))/100)/2</f>
        <v/>
      </c>
      <c r="M550">
        <f>L550*(1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50">
        <f>L550*(1-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550*(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0">
        <f>(1-Summary!$B$11)*T550+Summary!$B$11*V550</f>
        <v/>
      </c>
      <c r="P550">
        <f>IF(B585=0,0,O550/B585)</f>
        <v/>
      </c>
      <c r="Q550">
        <f>IFERROR(1/(IF(Inputs!$B$38="pvp",15,MAX(0.1,Skills!D9-IF(Skills!E9=TRUE,Inputs!$B$32,0)))*(1-IF(AND(ArtifactsInput!$M$27,Inputs!$B$4="Chapter Hunt"),CHOOSE(ArtifactsInput!$N$27+1,20,24,28,32,36,40),0)/100)),0)</f>
        <v/>
      </c>
      <c r="R550">
        <f>IF(AND(Inputs!$B$38&lt;&gt;"pvp",Inputs!$B$43&gt;0),IF(MAX(0,Inputs!$B$43-B582)&lt;=0,0,(INT(MAX(0,Inputs!$B$43-B582)/(IF(Inputs!$B$38="pvp",15,MAX(0.1,Skills!D9-IF(Skills!E9=TRUE,Inputs!$B$32,0)))*(1-IF(AND(ArtifactsInput!$M$27,Inputs!$B$4="Chapter Hunt"),CHOOSE(ArtifactsInput!$N$27+1,20,24,28,32,36,40),0)/100)))+1)),0)</f>
        <v/>
      </c>
      <c r="S550">
        <f>IFERROR(O550/N550,0)</f>
        <v/>
      </c>
      <c r="T550">
        <f>IF(C550,(H550*N550*IF(AND(Inputs!$B$38&lt;&gt;"pvp",Inputs!$B$43&gt;0),((Skills!G9*((R550-1)*IF(Skills!H9&gt;0,Skills!I9/Skills!H9,1)+IF(Skills!H9&gt;0,MIN(Skills!I9,MAX(0,MAX(0,Inputs!$B$43-B582)-((R550-1)*(IF(Inputs!$B$38="pvp",15,MAX(0.1,Skills!D9-IF(Skills!E9=TRUE,Inputs!$B$32,0)))*(1-IF(AND(ArtifactsInput!$M$27,Inputs!$B$4="Chapter Hunt"),CHOOSE(ArtifactsInput!$N$27+1,20,24,28,32,36,40),0)/100)))))/Skills!H9,1)))/Inputs!$B$43),G550*Q550)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550*(1-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550*(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550*(1-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550*(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0">
        <f>IF(C550,(H550*N550*IF(AND(Inputs!$B$38&lt;&gt;"pvp",Inputs!$B$43&gt;0),((Skills!G9*((R550-1)*IF(Skills!H9&gt;0,Skills!I9/Skills!H9,1)+IF(Skills!H9&gt;0,MIN(Skills!I9,MAX(0,MAX(0,Inputs!$B$43-B582)-((R550-1)*(IF(Inputs!$B$38="pvp",15,MAX(0.1,Skills!D9-IF(Skills!E9=TRUE,Inputs!$B$32,0)))*(1-IF(AND(ArtifactsInput!$M$27,Inputs!$B$4="Chapter Hunt"),CHOOSE(ArtifactsInput!$N$27+1,20,24,28,32,36,40),0)/100)))))/Skills!H9,1)))/Inputs!$B$43),G550*Q550))*IF(Inputs!$B$38="pvp",1,(1+(Inputs!$B$21+Skills!Q9+(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1">
      <c r="A551">
        <f>Skills!A10</f>
        <v/>
      </c>
      <c r="B551">
        <f>Skills!B10</f>
        <v/>
      </c>
      <c r="C551">
        <f>Inputs!$B$3&gt;=103</f>
        <v/>
      </c>
      <c r="D551">
        <f>IF(Skills!C10=1,60+Inputs!$B$25+Inputs!$B$29,IF(Skills!C10=2,90+Inputs!$B$26+Inputs!$B$29,IF(Skills!C10=3,120+Inputs!$B$27+Inputs!$B$29,MAX(0,(Inputs!$B$3-100)*3)+Inputs!$B$28+Inputs!$B$29)))</f>
        <v/>
      </c>
      <c r="E551">
        <f>INDEX(FactorTable!$B$2:$Y$301, MATCH(ROUND(MIN(300,MAX(1,D551)),0), FactorTable!$A$2:$A$301,0), Skills!M10+1)</f>
        <v/>
      </c>
      <c r="F551">
        <f>IF(Skills!N10=TRUE,(Skills!L10/10)*(E551/1000),Skills!L10/10)+Skills!O10</f>
        <v/>
      </c>
      <c r="G551">
        <f>Skills!G10*IF(Skills!H10&gt;0,Skills!I10/Skills!H10,1)</f>
        <v/>
      </c>
      <c r="H551">
        <f>1-(1-Skills!J10/100)^Skills!K10</f>
        <v/>
      </c>
      <c r="I551" t="inlineStr">
        <is>
          <t>1</t>
        </is>
      </c>
      <c r="J551">
        <f>((Inputs!$B$6*(1+Inputs!$B$7/100))+(((Inputs!$B$12*(1+Inputs!$B$13/100))-(Inputs!$B$12*(1+Inputs!$B$13/100)))+0.25*(Inputs!$B$14-Inputs!$B$14))*(1+Inputs!$B$7/100))*(F551/100)</f>
        <v/>
      </c>
      <c r="K551">
        <f>J551*(1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551)</f>
        <v/>
      </c>
      <c r="L551">
        <f>K551*(MIN(Inputs!$B$22+((C566=TRUE)*(F566-Calc!F25)),(Inputs!$B$23+((C571=TRUE)*(F571-Calc!F30))+(IF(ArtifactsInput!$M$15,CHOOSE(ArtifactsInput!$N$15+1,25,30,35,40,45,50)/100*(Inputs!$B$11-Inputs!$B$11),0))))/100+(Inputs!$B$23+((C571=TRUE)*(F571-Calc!F30))+(IF(ArtifactsInput!$M$15,CHOOSE(ArtifactsInput!$N$15+1,25,30,35,40,45,50)/100*(Inputs!$B$11-Inputs!$B$11),0)))/100)/2</f>
        <v/>
      </c>
      <c r="M551">
        <f>L551*(1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51">
        <f>L551*(1-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1">
        <f>(1-Summary!$B$11)*T551+Summary!$B$11*V551</f>
        <v/>
      </c>
      <c r="P551">
        <f>IF(B585=0,0,O551/B585)</f>
        <v/>
      </c>
      <c r="Q551">
        <f>IFERROR(1/(IF(Inputs!$B$38="pvp",15,MAX(0.1,Skills!D10-IF(Skills!E10=TRUE,Inputs!$B$32,0)))*(1-IF(AND(ArtifactsInput!$M$27,Inputs!$B$4="Chapter Hunt"),CHOOSE(ArtifactsInput!$N$27+1,20,24,28,32,36,40),0)/100)),0)</f>
        <v/>
      </c>
      <c r="R551">
        <f>IF(AND(Inputs!$B$38&lt;&gt;"pvp",Inputs!$B$43&gt;0),IF(MAX(0,Inputs!$B$43-B582)&lt;=0,0,(INT(MAX(0,Inputs!$B$43-B582)/(IF(Inputs!$B$38="pvp",15,MAX(0.1,Skills!D10-IF(Skills!E10=TRUE,Inputs!$B$32,0)))*(1-IF(AND(ArtifactsInput!$M$27,Inputs!$B$4="Chapter Hunt"),CHOOSE(ArtifactsInput!$N$27+1,20,24,28,32,36,40),0)/100)))+1)),0)</f>
        <v/>
      </c>
      <c r="S551">
        <f>IFERROR(O551/N551,0)</f>
        <v/>
      </c>
      <c r="T551">
        <f>IF(C551,(H551*N551*IF(AND(Inputs!$B$38&lt;&gt;"pvp",Inputs!$B$43&gt;0),((Skills!G10*((R551-1)*IF(Skills!H10&gt;0,Skills!I10/Skills!H10,1)+IF(Skills!H10&gt;0,MIN(Skills!I10,MAX(0,MAX(0,Inputs!$B$43-B582)-((R551-1)*(IF(Inputs!$B$38="pvp",15,MAX(0.1,Skills!D10-IF(Skills!E10=TRUE,Inputs!$B$32,0)))*(1-IF(AND(ArtifactsInput!$M$27,Inputs!$B$4="Chapter Hunt"),CHOOSE(ArtifactsInput!$N$27+1,20,24,28,32,36,40),0)/100)))))/Skills!H10,1)))/Inputs!$B$43),G551*Q551)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551*(1-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551*(1-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1">
        <f>IF(C551,(H551*N551*IF(AND(Inputs!$B$38&lt;&gt;"pvp",Inputs!$B$43&gt;0),((Skills!G10*((R551-1)*IF(Skills!H10&gt;0,Skills!I10/Skills!H10,1)+IF(Skills!H10&gt;0,MIN(Skills!I10,MAX(0,MAX(0,Inputs!$B$43-B582)-((R551-1)*(IF(Inputs!$B$38="pvp",15,MAX(0.1,Skills!D10-IF(Skills!E10=TRUE,Inputs!$B$32,0)))*(1-IF(AND(ArtifactsInput!$M$27,Inputs!$B$4="Chapter Hunt"),CHOOSE(ArtifactsInput!$N$27+1,20,24,28,32,36,40),0)/100)))))/Skills!H10,1)))/Inputs!$B$43),G551*Q551))*IF(Inputs!$B$38="pvp",1,(1+(Inputs!$B$21+Skills!Q10+(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2">
      <c r="A552">
        <f>Skills!A11</f>
        <v/>
      </c>
      <c r="B552">
        <f>Skills!B11</f>
        <v/>
      </c>
      <c r="C552">
        <f>Inputs!$B$3&gt;=100</f>
        <v/>
      </c>
      <c r="D552">
        <f>IF(Skills!C11=1,60+Inputs!$B$25+Inputs!$B$29,IF(Skills!C11=2,90+Inputs!$B$26+Inputs!$B$29,IF(Skills!C11=3,120+Inputs!$B$27+Inputs!$B$29,MAX(0,(Inputs!$B$3-100)*3)+Inputs!$B$28+Inputs!$B$29)))</f>
        <v/>
      </c>
      <c r="E552">
        <f>INDEX(FactorTable!$B$2:$Y$301, MATCH(ROUND(MIN(300,MAX(1,D552)),0), FactorTable!$A$2:$A$301,0), Skills!M11+1)</f>
        <v/>
      </c>
      <c r="F552">
        <f>IF(Skills!N11=TRUE,(Skills!L11/10)*(E552/1000),Skills!L11/10)+Skills!O11</f>
        <v/>
      </c>
      <c r="G552" t="inlineStr"/>
      <c r="H552" t="inlineStr"/>
      <c r="I552" t="inlineStr">
        <is>
          <t>1</t>
        </is>
      </c>
      <c r="J552" t="inlineStr"/>
      <c r="K552" t="inlineStr"/>
      <c r="L552" t="inlineStr"/>
      <c r="M552" t="inlineStr"/>
      <c r="N552" t="inlineStr"/>
      <c r="O552" t="inlineStr"/>
      <c r="P552" t="inlineStr"/>
      <c r="Q552" t="inlineStr"/>
      <c r="R552" t="inlineStr"/>
      <c r="S552" t="inlineStr"/>
      <c r="T552" t="inlineStr"/>
      <c r="V552" t="inlineStr"/>
    </row>
    <row r="553">
      <c r="A553">
        <f>Skills!A12</f>
        <v/>
      </c>
      <c r="B553">
        <f>Skills!B12</f>
        <v/>
      </c>
      <c r="C553">
        <f>Inputs!$B$3&gt;=60</f>
        <v/>
      </c>
      <c r="D553">
        <f>IF(Skills!C12=1,60+Inputs!$B$25+Inputs!$B$29,IF(Skills!C12=2,90+Inputs!$B$26+Inputs!$B$29,IF(Skills!C12=3,120+Inputs!$B$27+Inputs!$B$29,MAX(0,(Inputs!$B$3-100)*3)+Inputs!$B$28+Inputs!$B$29)))</f>
        <v/>
      </c>
      <c r="E553">
        <f>INDEX(FactorTable!$B$2:$Y$301, MATCH(ROUND(MIN(300,MAX(1,D553)),0), FactorTable!$A$2:$A$301,0), Skills!M12+1)</f>
        <v/>
      </c>
      <c r="F553">
        <f>IF(Skills!N12=TRUE,(Skills!L12/10)*(E553/1000),Skills!L12/10)+Skills!O12</f>
        <v/>
      </c>
      <c r="G553">
        <f>Skills!G12*IF(Skills!H12&gt;0,Skills!I12/Skills!H12,1)</f>
        <v/>
      </c>
      <c r="H553">
        <f>1-(1-Skills!J12/100)^Skills!K12</f>
        <v/>
      </c>
      <c r="I553" t="inlineStr">
        <is>
          <t>1</t>
        </is>
      </c>
      <c r="J553">
        <f>((Inputs!$B$6*(1+Inputs!$B$7/100))+(((Inputs!$B$12*(1+Inputs!$B$13/100))-(Inputs!$B$12*(1+Inputs!$B$13/100)))+0.25*(Inputs!$B$14-Inputs!$B$14))*(1+Inputs!$B$7/100))*(F553/100)</f>
        <v/>
      </c>
      <c r="K553">
        <f>J553*(1+((Inputs!$B$12*(1+Inputs!$B$13/100))*0.01+Inputs!$B$14*0.0025)/100)*(1+Inputs!$B$15/100)*(1+Inputs!$B$16/100)*(5000/(6000+Inputs!$B$42*(1-(100*(1-(1-(Inputs!$B$19+((C569=TRUE)*(F569-Calc!F28)))/100)*(1-CHOOSE(ArtifactsInput!$N$40+1,5,6,7,8,9,10)/100)^(ArtifactsInput!$M$40-ArtifactsInput!$M$40)))/100)))*(1+(Inputs!$B$24+((C567=TRUE)*(F567-Calc!F26))+((C568=TRUE)*(F568-Calc!F27))+B581)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554=TRUE,F554,0)/100)*(1+(IF(Skills!A12="ARROW_STREAM",Inputs!$B$17+((C565=TRUE)*(F565-Calc!F24))+(((IF(AND(ArtifactsInput!$M$42,(((Inputs!$B$9+1)+((C562=TRUE)*(F562-Calc!F21))+B575+(ArtifactsInput!$M$24-ArtifactsInput!$M$24)*CHOOSE(ArtifactsInput!$N$24+1,10,12,14,16,18,20)+IF(ArtifactsInput!$M$10,CHOOSE(ArtifactsInput!$N$10+1,15,18,21,24,27,30)*(IF(Inputs!$B$38="pvp",MIN(15,15)/15,IF(AND(Inputs!$B$38&lt;&gt;"pvp",Inputs!$B$43&gt;0),MIN(15,Inputs!$B$43)/(Inputs!$B$43),0))),0)))&gt;=100),MIN(100,(((Inputs!$B$9+1)+((C562=TRUE)*(F562-Calc!F21))+B575+(ArtifactsInput!$M$24-ArtifactsInput!$M$24)*CHOOSE(ArtifactsInput!$N$24+1,10,12,14,16,18,20)+IF(ArtifactsInput!$M$10,CHOOSE(ArtifactsInput!$N$10+1,15,18,21,24,27,30)*(IF(Inputs!$B$38="pvp",MIN(15,15)/15,IF(AND(Inputs!$B$38&lt;&gt;"pvp",Inputs!$B$43&gt;0),MIN(15,Inputs!$B$43)/(Inputs!$B$43),0))),0)))-100),0))*CHOOSE(ArtifactsInput!$N$42+1,0.6,0.72,0.84,0.96,1.08,1.2))),Inputs!$B$18+((C570=TRUE)*(F570-Calc!F29))+(IF(AND(ArtifactsInput!$M$42,(((Inputs!$B$9+1)+((C562=TRUE)*(F562-Calc!F21))+B575+(ArtifactsInput!$M$24-ArtifactsInput!$M$24)*CHOOSE(ArtifactsInput!$N$24+1,10,12,14,16,18,20)+IF(ArtifactsInput!$M$10,CHOOSE(ArtifactsInput!$N$10+1,15,18,21,24,27,30)*(IF(Inputs!$B$38="pvp",MIN(15,15)/15,IF(AND(Inputs!$B$38&lt;&gt;"pvp",Inputs!$B$43&gt;0),MIN(15,Inputs!$B$43)/(Inputs!$B$43),0))),0)))&gt;=100),CHOOSE(ArtifactsInput!$N$42+1,40,48,56,64,72,80),0))))/100)*((1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553)</f>
        <v/>
      </c>
      <c r="L553">
        <f>K553*(MIN(Inputs!$B$22+((C566=TRUE)*(F566-Calc!F25)),(Inputs!$B$23+((C571=TRUE)*(F571-Calc!F30))+(IF(ArtifactsInput!$M$15,CHOOSE(ArtifactsInput!$N$15+1,25,30,35,40,45,50)/100*(Inputs!$B$11-Inputs!$B$11),0))))/100+(Inputs!$B$23+((C571=TRUE)*(F571-Calc!F30))+(IF(ArtifactsInput!$M$15,CHOOSE(ArtifactsInput!$N$15+1,25,30,35,40,45,50)/100*(Inputs!$B$11-Inputs!$B$11),0)))/100)/2</f>
        <v/>
      </c>
      <c r="M553">
        <f>L553*(1+(Inputs!$B$10+0+B580+(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53">
        <f>L553*(1-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553*(MIN(((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3">
        <f>(1-Summary!$B$11)*T553+Summary!$B$11*V553</f>
        <v/>
      </c>
      <c r="P553">
        <f>IF(B585=0,0,O553/B585)</f>
        <v/>
      </c>
      <c r="Q553">
        <f>IFERROR(1/(IF(Inputs!$B$38="pvp",15,MAX(0.1,Skills!D12-IF(Skills!E12=TRUE,Inputs!$B$32,0)))*(1-IF(AND(ArtifactsInput!$M$27,Inputs!$B$4="Chapter Hunt"),CHOOSE(ArtifactsInput!$N$27+1,20,24,28,32,36,40),0)/100)),0)</f>
        <v/>
      </c>
      <c r="R553">
        <f>IF(AND(Inputs!$B$38&lt;&gt;"pvp",Inputs!$B$43&gt;0),IF(MAX(0,Inputs!$B$43-B582)&lt;=0,0,(INT(MAX(0,Inputs!$B$43-B582)/(IF(Inputs!$B$38="pvp",15,MAX(0.1,Skills!D12-IF(Skills!E12=TRUE,Inputs!$B$32,0)))*(1-IF(AND(ArtifactsInput!$M$27,Inputs!$B$4="Chapter Hunt"),CHOOSE(ArtifactsInput!$N$27+1,20,24,28,32,36,40),0)/100)))+1)),0)</f>
        <v/>
      </c>
      <c r="S553">
        <f>IFERROR(O553/N553,0)</f>
        <v/>
      </c>
      <c r="T553">
        <f>IF(C553,(H553*N553*IF(AND(Inputs!$B$38&lt;&gt;"pvp",Inputs!$B$43&gt;0),((Skills!G12*((R553-1)*IF(Skills!H12&gt;0,Skills!I12/Skills!H12,1)+IF(Skills!H12&gt;0,MIN(Skills!I12,MAX(0,MAX(0,Inputs!$B$43-B582)-((R553-1)*(IF(Inputs!$B$38="pvp",15,MAX(0.1,Skills!D12-IF(Skills!E12=TRUE,Inputs!$B$32,0)))*(1-IF(AND(ArtifactsInput!$M$27,Inputs!$B$4="Chapter Hunt"),CHOOSE(ArtifactsInput!$N$27+1,20,24,28,32,36,40),0)/100)))))/Skills!H12,1)))/Inputs!$B$43),G553*Q553)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(5000/(6000+Inputs!$B$42*(1-(100*(1-(1-(100*(1-(1-(Inputs!$B$19+((C569=TRUE)*(F569-Calc!F28)))/100)*(1-CHOOSE(ArtifactsInput!$N$40+1,5,6,7,8,9,10)/100)^(ArtifactsInput!$M$40-ArtifactsInput!$M$40)))/100)*(1-IF(ArtifactsInput!$M$40,CHOOSE(ArtifactsInput!$N$40+1,5,6,7,8,9,10),0)/100)^IF(Inputs!$B$38="pvp",1,2)))/100)))/(5000/(6000+Inputs!$B$42*(1-(100*(1-(1-(Inputs!$B$19+((C569=TRUE)*(F569-Calc!F28)))/100)*(1-CHOOSE(ArtifactsInput!$N$40+1,5,6,7,8,9,10)/100)^(ArtifactsInput!$M$40-ArtifactsInput!$M$40)))/100))))*((L553*(1-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553*(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553*(1-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553*(MIN(100,((Inputs!$B$9+1)+((C562=TRUE)*(F562-Calc!F21))+B575+(ArtifactsInput!$M$24-ArtifactsInput!$M$24)*CHOOSE(ArtifactsInput!$N$24+1,10,12,14,16,18,20)+(IF(AND(ArtifactsInput!$M$42,(((Inputs!$B$9+1)+((C562=TRUE)*(F562-Calc!F21))+B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3">
        <f>IF(C553,(H553*N553*IF(AND(Inputs!$B$38&lt;&gt;"pvp",Inputs!$B$43&gt;0),((Skills!G12*((R553-1)*IF(Skills!H12&gt;0,Skills!I12/Skills!H12,1)+IF(Skills!H12&gt;0,MIN(Skills!I12,MAX(0,MAX(0,Inputs!$B$43-B582)-((R553-1)*(IF(Inputs!$B$38="pvp",15,MAX(0.1,Skills!D12-IF(Skills!E12=TRUE,Inputs!$B$32,0)))*(1-IF(AND(ArtifactsInput!$M$27,Inputs!$B$4="Chapter Hunt"),CHOOSE(ArtifactsInput!$N$27+1,20,24,28,32,36,40),0)/100)))))/Skills!H12,1)))/Inputs!$B$43),G553*Q553))*IF(Inputs!$B$38="pvp",1,(1+(Inputs!$B$21+Skills!Q12+(IF(ArtifactsInput!$M$33,CHOOSE(ArtifactsInput!$N$33+1,30,36,42,48,54,60),0))+(IF(AND(ArtifactsInput!$M$35,Inputs!$B$4&lt;&gt;"Chapter Hunt"),CHOOSE(ArtifactsInput!$N$35+1,15,18,21,24,27,30)*(1-EXP(-(0.2*B577)*5)),0)+IF(AND(ArtifactsInput!$M$22,Inputs!$B$4&lt;&gt;"Chapter Hunt"),CHOOSE(ArtifactsInput!$N$22+1,10,12,14,16,18,20)*((0*(((0.15*B577*5))^0/1)+1*(((0.15*B577*5))^1/1)+2*(((0.15*B577*5))^2/2)+3*(((0.15*B577*5))^3/6)+4*(((0.15*B577*5))^4/24)+5*(((0.15*B577*5))^5/120))/((((0.15*B577*5))^0/1)+(((0.15*B577*5))^1/1)+(((0.15*B577*5))^2/2)+(((0.15*B577*5))^3/6)+(((0.15*B577*5))^4/24)+(((0.15*B577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4">
      <c r="A554">
        <f>Skills!A13</f>
        <v/>
      </c>
      <c r="B554">
        <f>Skills!B13</f>
        <v/>
      </c>
      <c r="C554">
        <f>Inputs!$B$3&gt;=110</f>
        <v/>
      </c>
      <c r="D554">
        <f>IF(Skills!C13=1,60+Inputs!$B$25+Inputs!$B$29,IF(Skills!C13=2,90+Inputs!$B$26+Inputs!$B$29,IF(Skills!C13=3,120+Inputs!$B$27+Inputs!$B$29,MAX(0,(Inputs!$B$3-100)*3)+Inputs!$B$28+Inputs!$B$29)))</f>
        <v/>
      </c>
      <c r="E554">
        <f>INDEX(FactorTable!$B$2:$Y$301, MATCH(ROUND(MIN(300,MAX(1,D554)),0), FactorTable!$A$2:$A$301,0), Skills!M13+1)</f>
        <v/>
      </c>
      <c r="F554">
        <f>IF(Skills!N13=TRUE,(Skills!L13/10)*(E554/1000),Skills!L13/10)+Skills!O13</f>
        <v/>
      </c>
      <c r="G554" t="inlineStr"/>
      <c r="H554" t="inlineStr"/>
      <c r="I554" t="inlineStr">
        <is>
          <t>1</t>
        </is>
      </c>
      <c r="J554" t="inlineStr"/>
      <c r="K554" t="inlineStr"/>
      <c r="L554" t="inlineStr"/>
      <c r="M554" t="inlineStr"/>
      <c r="N554" t="inlineStr"/>
      <c r="O554" t="inlineStr"/>
      <c r="P554" t="inlineStr"/>
      <c r="Q554" t="inlineStr"/>
      <c r="R554" t="inlineStr"/>
      <c r="S554" t="inlineStr"/>
      <c r="T554" t="inlineStr"/>
      <c r="V554" t="inlineStr"/>
    </row>
    <row r="555">
      <c r="A555">
        <f>Skills!A14</f>
        <v/>
      </c>
      <c r="B555">
        <f>Skills!B14</f>
        <v/>
      </c>
      <c r="C555">
        <f>Inputs!$B$3&gt;=74</f>
        <v/>
      </c>
      <c r="D555">
        <f>IF(Skills!C14=1,60+Inputs!$B$25+Inputs!$B$29,IF(Skills!C14=2,90+Inputs!$B$26+Inputs!$B$29,IF(Skills!C14=3,120+Inputs!$B$27+Inputs!$B$29,MAX(0,(Inputs!$B$3-100)*3)+Inputs!$B$28+Inputs!$B$29)))</f>
        <v/>
      </c>
      <c r="E555">
        <f>INDEX(FactorTable!$B$2:$Y$301, MATCH(ROUND(MIN(300,MAX(1,D555)),0), FactorTable!$A$2:$A$301,0), Skills!M14+1)</f>
        <v/>
      </c>
      <c r="F555">
        <f>IF(Skills!N14=TRUE,(Skills!L14/10)*(E555/1000),Skills!L14/10)+Skills!O14</f>
        <v/>
      </c>
      <c r="G555">
        <f>Skills!G14*IF(Skills!H14&gt;0,Skills!I14/Skills!H14,1)</f>
        <v/>
      </c>
      <c r="H555">
        <f>1-(1-Skills!J14/100)^Skills!K14</f>
        <v/>
      </c>
      <c r="I555" t="inlineStr">
        <is>
          <t>1</t>
        </is>
      </c>
      <c r="J555" t="inlineStr"/>
      <c r="K555" t="inlineStr"/>
      <c r="L555" t="inlineStr"/>
      <c r="M555" t="inlineStr"/>
      <c r="N555" t="inlineStr"/>
      <c r="O555">
        <f>(1-Summary!$B$11)*T555+Summary!$B$11*V555</f>
        <v/>
      </c>
      <c r="P555">
        <f>IF(B585=0,0,O555/B585)</f>
        <v/>
      </c>
      <c r="Q555" t="n">
        <v>0</v>
      </c>
      <c r="R555" t="n">
        <v>0</v>
      </c>
      <c r="S555">
        <f>IFERROR(O555/N555,0)</f>
        <v/>
      </c>
      <c r="T555" t="n">
        <v>0</v>
      </c>
      <c r="V555" t="n">
        <v>0</v>
      </c>
    </row>
    <row r="556">
      <c r="A556">
        <f>Skills!A15</f>
        <v/>
      </c>
      <c r="B556">
        <f>Skills!B15</f>
        <v/>
      </c>
      <c r="C556">
        <f>Inputs!$B$3&gt;=74</f>
        <v/>
      </c>
      <c r="D556">
        <f>IF(Skills!C15=1,60+Inputs!$B$25+Inputs!$B$29,IF(Skills!C15=2,90+Inputs!$B$26+Inputs!$B$29,IF(Skills!C15=3,120+Inputs!$B$27+Inputs!$B$29,MAX(0,(Inputs!$B$3-100)*3)+Inputs!$B$28+Inputs!$B$29)))</f>
        <v/>
      </c>
      <c r="E556">
        <f>INDEX(FactorTable!$B$2:$Y$301, MATCH(ROUND(MIN(300,MAX(1,D556)),0), FactorTable!$A$2:$A$301,0), Skills!M15+1)</f>
        <v/>
      </c>
      <c r="F556">
        <f>IF(Skills!N15=TRUE,(Skills!L15/10)*(E556/1000),Skills!L15/10)+Skills!O15</f>
        <v/>
      </c>
      <c r="G556">
        <f>Skills!G15*IF(Skills!H15&gt;0,Skills!I15/Skills!H15,1)</f>
        <v/>
      </c>
      <c r="H556">
        <f>1-(1-Skills!J15/100)^Skills!K15</f>
        <v/>
      </c>
      <c r="I556" t="inlineStr">
        <is>
          <t>1</t>
        </is>
      </c>
      <c r="J556" t="inlineStr"/>
      <c r="K556" t="inlineStr"/>
      <c r="L556" t="inlineStr"/>
      <c r="M556" t="inlineStr"/>
      <c r="N556" t="inlineStr"/>
      <c r="O556">
        <f>(1-Summary!$B$11)*T556+Summary!$B$11*V556</f>
        <v/>
      </c>
      <c r="P556">
        <f>IF(B585=0,0,O556/B585)</f>
        <v/>
      </c>
      <c r="Q556" t="n">
        <v>0</v>
      </c>
      <c r="R556" t="n">
        <v>0</v>
      </c>
      <c r="S556">
        <f>IFERROR(O556/N556,0)</f>
        <v/>
      </c>
      <c r="T556" t="n">
        <v>0</v>
      </c>
      <c r="V556" t="n">
        <v>0</v>
      </c>
    </row>
    <row r="557">
      <c r="A557">
        <f>Skills!A16</f>
        <v/>
      </c>
      <c r="B557">
        <f>Skills!B16</f>
        <v/>
      </c>
      <c r="C557">
        <f>Inputs!$B$3&gt;=117</f>
        <v/>
      </c>
      <c r="D557">
        <f>IF(Skills!C16=1,60+Inputs!$B$25+Inputs!$B$29,IF(Skills!C16=2,90+Inputs!$B$26+Inputs!$B$29,IF(Skills!C16=3,120+Inputs!$B$27+Inputs!$B$29,MAX(0,(Inputs!$B$3-100)*3)+Inputs!$B$28+Inputs!$B$29)))</f>
        <v/>
      </c>
      <c r="E557">
        <f>INDEX(FactorTable!$B$2:$Y$301, MATCH(ROUND(MIN(300,MAX(1,D557)),0), FactorTable!$A$2:$A$301,0), Skills!M16+1)</f>
        <v/>
      </c>
      <c r="F557">
        <f>IF(Skills!N16=TRUE,(Skills!L16/10)*(E557/1000),Skills!L16/10)+Skills!O16</f>
        <v/>
      </c>
      <c r="G557">
        <f>Skills!G16*IF(Skills!H16&gt;0,Skills!I16/Skills!H16,1)</f>
        <v/>
      </c>
      <c r="H557">
        <f>1-(1-Skills!J16/100)^Skills!K16</f>
        <v/>
      </c>
      <c r="I557" t="inlineStr">
        <is>
          <t>1</t>
        </is>
      </c>
      <c r="J557" t="inlineStr"/>
      <c r="K557" t="inlineStr"/>
      <c r="L557" t="inlineStr"/>
      <c r="M557" t="inlineStr"/>
      <c r="N557" t="inlineStr"/>
      <c r="O557">
        <f>(1-Summary!$B$11)*T557+Summary!$B$11*V557</f>
        <v/>
      </c>
      <c r="P557">
        <f>IF(B585=0,0,O557/B585)</f>
        <v/>
      </c>
      <c r="Q557">
        <f>IFERROR(1/(IF(Inputs!$B$38="pvp",15,MAX(0.1,Skills!D16-IF(Skills!E16=TRUE,Inputs!$B$32,0)))*(1-IF(AND(ArtifactsInput!$M$27,Inputs!$B$4="Chapter Hunt"),CHOOSE(ArtifactsInput!$N$27+1,20,24,28,32,36,40),0)/100)),0)</f>
        <v/>
      </c>
      <c r="R557">
        <f>IF(AND(Inputs!$B$38&lt;&gt;"pvp",Inputs!$B$43&gt;0),IF(Inputs!$B$43&lt;=0,0,(INT(Inputs!$B$43/(IF(Inputs!$B$38="pvp",15,MAX(0.1,Skills!D16-IF(Skills!E16=TRUE,Inputs!$B$32,0)))*(1-IF(AND(ArtifactsInput!$M$27,Inputs!$B$4="Chapter Hunt"),CHOOSE(ArtifactsInput!$N$27+1,20,24,28,32,36,40),0)/100)))+1)),0)</f>
        <v/>
      </c>
      <c r="S557">
        <f>IFERROR(O557/N557,0)</f>
        <v/>
      </c>
      <c r="T557" t="n">
        <v>0</v>
      </c>
      <c r="V557" t="n">
        <v>0</v>
      </c>
    </row>
    <row r="558">
      <c r="A558">
        <f>Skills!A17</f>
        <v/>
      </c>
      <c r="B558">
        <f>Skills!B17</f>
        <v/>
      </c>
      <c r="C558">
        <f>Inputs!$B$3&gt;=115</f>
        <v/>
      </c>
      <c r="D558">
        <f>IF(Skills!C17=1,60+Inputs!$B$25+Inputs!$B$29,IF(Skills!C17=2,90+Inputs!$B$26+Inputs!$B$29,IF(Skills!C17=3,120+Inputs!$B$27+Inputs!$B$29,MAX(0,(Inputs!$B$3-100)*3)+Inputs!$B$28+Inputs!$B$29)))</f>
        <v/>
      </c>
      <c r="E558">
        <f>INDEX(FactorTable!$B$2:$Y$301, MATCH(ROUND(MIN(300,MAX(1,D558)),0), FactorTable!$A$2:$A$301,0), Skills!M17+1)</f>
        <v/>
      </c>
      <c r="F558">
        <f>IF(Skills!N17=TRUE,(Skills!L17/10)*(E558/1000),Skills!L17/10)+Skills!O17</f>
        <v/>
      </c>
      <c r="G558">
        <f>Skills!G17*IF(Skills!H17&gt;0,Skills!I17/Skills!H17,1)</f>
        <v/>
      </c>
      <c r="H558">
        <f>1-(1-Skills!J17/100)^Skills!K17</f>
        <v/>
      </c>
      <c r="I558" t="inlineStr">
        <is>
          <t>1</t>
        </is>
      </c>
      <c r="J558" t="inlineStr"/>
      <c r="K558" t="inlineStr"/>
      <c r="L558" t="inlineStr"/>
      <c r="M558" t="inlineStr"/>
      <c r="N558" t="inlineStr"/>
      <c r="O558">
        <f>(1-Summary!$B$11)*T558+Summary!$B$11*V558</f>
        <v/>
      </c>
      <c r="P558">
        <f>IF(B585=0,0,O558/B585)</f>
        <v/>
      </c>
      <c r="Q558">
        <f>IFERROR(1/(IF(Inputs!$B$38="pvp",15,MAX(0.1,Skills!D17-IF(Skills!E17=TRUE,Inputs!$B$32,0)))*(1-IF(AND(ArtifactsInput!$M$27,Inputs!$B$4="Chapter Hunt"),CHOOSE(ArtifactsInput!$N$27+1,20,24,28,32,36,40),0)/100)),0)</f>
        <v/>
      </c>
      <c r="R558">
        <f>IF(AND(Inputs!$B$38&lt;&gt;"pvp",Inputs!$B$43&gt;0),IF(Inputs!$B$43&lt;=0,0,(INT(Inputs!$B$43/(IF(Inputs!$B$38="pvp",15,MAX(0.1,Skills!D17-IF(Skills!E17=TRUE,Inputs!$B$32,0)))*(1-IF(AND(ArtifactsInput!$M$27,Inputs!$B$4="Chapter Hunt"),CHOOSE(ArtifactsInput!$N$27+1,20,24,28,32,36,40),0)/100)))+1)),0)</f>
        <v/>
      </c>
      <c r="S558">
        <f>IFERROR(O558/N558,0)</f>
        <v/>
      </c>
      <c r="T558" t="n">
        <v>0</v>
      </c>
      <c r="V558" t="n">
        <v>0</v>
      </c>
    </row>
    <row r="559">
      <c r="A559">
        <f>Skills!A18</f>
        <v/>
      </c>
      <c r="B559">
        <f>Skills!B18</f>
        <v/>
      </c>
      <c r="C559">
        <f>Inputs!$B$3&gt;=66</f>
        <v/>
      </c>
      <c r="D559">
        <f>IF(Skills!C18=1,60+Inputs!$B$25+Inputs!$B$29,IF(Skills!C18=2,90+Inputs!$B$26+Inputs!$B$29,IF(Skills!C18=3,120+Inputs!$B$27+Inputs!$B$29,MAX(0,(Inputs!$B$3-100)*3)+Inputs!$B$28+Inputs!$B$29)))</f>
        <v/>
      </c>
      <c r="E559">
        <f>INDEX(FactorTable!$B$2:$Y$301, MATCH(ROUND(MIN(300,MAX(1,D559)),0), FactorTable!$A$2:$A$301,0), Skills!M18+1)</f>
        <v/>
      </c>
      <c r="F559">
        <f>IF(Skills!N18=TRUE,(Skills!L18/10)*(E559/1000),Skills!L18/10)+Skills!O18</f>
        <v/>
      </c>
      <c r="G559">
        <f>Skills!G18*IF(Skills!H18&gt;0,Skills!I18/Skills!H18,1)</f>
        <v/>
      </c>
      <c r="H559">
        <f>1-(1-Skills!J18/100)^Skills!K18</f>
        <v/>
      </c>
      <c r="I559" t="inlineStr">
        <is>
          <t>1</t>
        </is>
      </c>
      <c r="J559" t="inlineStr"/>
      <c r="K559" t="inlineStr"/>
      <c r="L559" t="inlineStr"/>
      <c r="M559" t="inlineStr"/>
      <c r="N559" t="inlineStr"/>
      <c r="O559">
        <f>(1-Summary!$B$11)*T559+Summary!$B$11*V559</f>
        <v/>
      </c>
      <c r="P559">
        <f>IF(B585=0,0,O559/B585)</f>
        <v/>
      </c>
      <c r="Q559" t="n">
        <v>0</v>
      </c>
      <c r="R559" t="n">
        <v>0</v>
      </c>
      <c r="S559">
        <f>IFERROR(O559/N559,0)</f>
        <v/>
      </c>
      <c r="T559" t="n">
        <v>0</v>
      </c>
      <c r="V559" t="n">
        <v>0</v>
      </c>
    </row>
    <row r="560">
      <c r="A560">
        <f>Skills!A19</f>
        <v/>
      </c>
      <c r="B560">
        <f>Skills!B19</f>
        <v/>
      </c>
      <c r="C560">
        <f>Inputs!$B$3&gt;=72</f>
        <v/>
      </c>
      <c r="D560">
        <f>IF(Skills!C19=1,60+Inputs!$B$25+Inputs!$B$29,IF(Skills!C19=2,90+Inputs!$B$26+Inputs!$B$29,IF(Skills!C19=3,120+Inputs!$B$27+Inputs!$B$29,MAX(0,(Inputs!$B$3-100)*3)+Inputs!$B$28+Inputs!$B$29)))</f>
        <v/>
      </c>
      <c r="E560">
        <f>INDEX(FactorTable!$B$2:$Y$301, MATCH(ROUND(MIN(300,MAX(1,D560)),0), FactorTable!$A$2:$A$301,0), Skills!M19+1)</f>
        <v/>
      </c>
      <c r="F560">
        <f>IF(Skills!N19=TRUE,(Skills!L19/10)*(E560/1000),Skills!L19/10)+Skills!O19</f>
        <v/>
      </c>
      <c r="G560">
        <f>Skills!G19*IF(Skills!H19&gt;0,Skills!I19/Skills!H19,1)</f>
        <v/>
      </c>
      <c r="H560">
        <f>1-(1-Skills!J19/100)^Skills!K19</f>
        <v/>
      </c>
      <c r="I560" t="inlineStr">
        <is>
          <t>1</t>
        </is>
      </c>
      <c r="J560" t="inlineStr"/>
      <c r="K560" t="inlineStr"/>
      <c r="L560" t="inlineStr"/>
      <c r="M560" t="inlineStr"/>
      <c r="N560" t="inlineStr"/>
      <c r="O560">
        <f>(1-Summary!$B$11)*T560+Summary!$B$11*V560</f>
        <v/>
      </c>
      <c r="P560">
        <f>IF(B585=0,0,O560/B585)</f>
        <v/>
      </c>
      <c r="Q560" t="n">
        <v>0</v>
      </c>
      <c r="R560" t="n">
        <v>0</v>
      </c>
      <c r="S560">
        <f>IFERROR(O560/N560,0)</f>
        <v/>
      </c>
      <c r="T560" t="n">
        <v>0</v>
      </c>
      <c r="V560" t="n">
        <v>0</v>
      </c>
    </row>
    <row r="561">
      <c r="A561">
        <f>Skills!A20</f>
        <v/>
      </c>
      <c r="B561">
        <f>Skills!B20</f>
        <v/>
      </c>
      <c r="C561">
        <f>TRUE</f>
        <v/>
      </c>
      <c r="D561">
        <f>IF(Skills!C20=1,60+Inputs!$B$25+Inputs!$B$29,IF(Skills!C20=2,90+Inputs!$B$26+Inputs!$B$29,IF(Skills!C20=3,120+Inputs!$B$27+Inputs!$B$29,MAX(0,(Inputs!$B$3-100)*3)+Inputs!$B$28+Inputs!$B$29)))</f>
        <v/>
      </c>
      <c r="E561">
        <f>INDEX(FactorTable!$B$2:$Y$301, MATCH(ROUND(MIN(300,MAX(1,D561)),0), FactorTable!$A$2:$A$301,0), Skills!M20+1)</f>
        <v/>
      </c>
      <c r="F561">
        <f>IF(Skills!N20=TRUE,(Skills!L20/10)*(E561/1000),Skills!L20/10)+Skills!O20</f>
        <v/>
      </c>
      <c r="G561">
        <f>Skills!G20*IF(Skills!H20&gt;0,Skills!I20/Skills!H20,1)</f>
        <v/>
      </c>
      <c r="H561">
        <f>1-(1-Skills!J20/100)^Skills!K20</f>
        <v/>
      </c>
      <c r="I561" t="inlineStr">
        <is>
          <t>1</t>
        </is>
      </c>
      <c r="J561" t="inlineStr"/>
      <c r="K561" t="inlineStr"/>
      <c r="L561" t="inlineStr"/>
      <c r="M561" t="inlineStr"/>
      <c r="N561" t="inlineStr"/>
      <c r="O561">
        <f>(1-Summary!$B$11)*T561+Summary!$B$11*V561</f>
        <v/>
      </c>
      <c r="P561">
        <f>IF(B585=0,0,O561/B585)</f>
        <v/>
      </c>
      <c r="Q561">
        <f>IFERROR(1/(IF(Inputs!$B$38="pvp",15,MAX(0.1,Skills!D20-IF(Skills!E20=TRUE,Inputs!$B$32,0)))*(1-IF(AND(ArtifactsInput!$M$27,Inputs!$B$4="Chapter Hunt"),CHOOSE(ArtifactsInput!$N$27+1,20,24,28,32,36,40),0)/100)),0)</f>
        <v/>
      </c>
      <c r="R561">
        <f>IF(AND(Inputs!$B$38&lt;&gt;"pvp",Inputs!$B$43&gt;0),IF(Inputs!$B$43&lt;=0,0,(INT(Inputs!$B$43/(IF(Inputs!$B$38="pvp",15,MAX(0.1,Skills!D20-IF(Skills!E20=TRUE,Inputs!$B$32,0)))*(1-IF(AND(ArtifactsInput!$M$27,Inputs!$B$4="Chapter Hunt"),CHOOSE(ArtifactsInput!$N$27+1,20,24,28,32,36,40),0)/100)))+1)),0)</f>
        <v/>
      </c>
      <c r="S561">
        <f>IFERROR(O561/N561,0)</f>
        <v/>
      </c>
      <c r="T561" t="n">
        <v>0</v>
      </c>
      <c r="V561" t="n">
        <v>0</v>
      </c>
    </row>
    <row r="562">
      <c r="A562">
        <f>Skills!A21</f>
        <v/>
      </c>
      <c r="B562">
        <f>Skills!B21</f>
        <v/>
      </c>
      <c r="C562">
        <f>Inputs!$B$3&gt;=15</f>
        <v/>
      </c>
      <c r="D562">
        <f>IF(Skills!C21=1,60+Inputs!$B$25+Inputs!$B$29,IF(Skills!C21=2,90+Inputs!$B$26+Inputs!$B$29,IF(Skills!C21=3,120+Inputs!$B$27+Inputs!$B$29,MAX(0,(Inputs!$B$3-100)*3)+Inputs!$B$28+Inputs!$B$29)))</f>
        <v/>
      </c>
      <c r="E562">
        <f>INDEX(FactorTable!$B$2:$Y$301, MATCH(ROUND(MIN(300,MAX(1,D562)),0), FactorTable!$A$2:$A$301,0), Skills!M21+1)</f>
        <v/>
      </c>
      <c r="F562">
        <f>IF(Skills!N21=TRUE,(Skills!L21/10)*(E562/1000),Skills!L21/10)+Skills!O21</f>
        <v/>
      </c>
      <c r="G562">
        <f>Skills!G21*IF(Skills!H21&gt;0,Skills!I21/Skills!H21,1)</f>
        <v/>
      </c>
      <c r="H562">
        <f>1-(1-Skills!J21/100)^Skills!K21</f>
        <v/>
      </c>
      <c r="I562" t="inlineStr">
        <is>
          <t>1</t>
        </is>
      </c>
      <c r="J562" t="inlineStr"/>
      <c r="K562" t="inlineStr"/>
      <c r="L562" t="inlineStr"/>
      <c r="M562" t="inlineStr"/>
      <c r="N562" t="inlineStr"/>
      <c r="O562">
        <f>(1-Summary!$B$11)*T562+Summary!$B$11*V562</f>
        <v/>
      </c>
      <c r="P562">
        <f>IF(B585=0,0,O562/B585)</f>
        <v/>
      </c>
      <c r="Q562" t="n">
        <v>0</v>
      </c>
      <c r="R562" t="n">
        <v>0</v>
      </c>
      <c r="S562">
        <f>IFERROR(O562/N562,0)</f>
        <v/>
      </c>
      <c r="T562" t="n">
        <v>0</v>
      </c>
      <c r="V562" t="n">
        <v>0</v>
      </c>
    </row>
    <row r="563">
      <c r="A563">
        <f>Skills!A22</f>
        <v/>
      </c>
      <c r="B563">
        <f>Skills!B22</f>
        <v/>
      </c>
      <c r="C563">
        <f>Inputs!$B$3&gt;=10</f>
        <v/>
      </c>
      <c r="D563">
        <f>IF(Skills!C22=1,60+Inputs!$B$25+Inputs!$B$29,IF(Skills!C22=2,90+Inputs!$B$26+Inputs!$B$29,IF(Skills!C22=3,120+Inputs!$B$27+Inputs!$B$29,MAX(0,(Inputs!$B$3-100)*3)+Inputs!$B$28+Inputs!$B$29)))</f>
        <v/>
      </c>
      <c r="E563">
        <f>INDEX(FactorTable!$B$2:$Y$301, MATCH(ROUND(MIN(300,MAX(1,D563)),0), FactorTable!$A$2:$A$301,0), Skills!M22+1)</f>
        <v/>
      </c>
      <c r="F563">
        <f>IF(Skills!N22=TRUE,(Skills!L22/10)*(E563/1000),Skills!L22/10)+Skills!O22</f>
        <v/>
      </c>
      <c r="G563">
        <f>Skills!G22*IF(Skills!H22&gt;0,Skills!I22/Skills!H22,1)</f>
        <v/>
      </c>
      <c r="H563">
        <f>1-(1-Skills!J22/100)^Skills!K22</f>
        <v/>
      </c>
      <c r="I563" t="inlineStr">
        <is>
          <t>1</t>
        </is>
      </c>
      <c r="J563" t="inlineStr"/>
      <c r="K563" t="inlineStr"/>
      <c r="L563" t="inlineStr"/>
      <c r="M563" t="inlineStr"/>
      <c r="N563" t="inlineStr"/>
      <c r="O563">
        <f>(1-Summary!$B$11)*T563+Summary!$B$11*V563</f>
        <v/>
      </c>
      <c r="P563">
        <f>IF(B585=0,0,O563/B585)</f>
        <v/>
      </c>
      <c r="Q563" t="n">
        <v>0</v>
      </c>
      <c r="R563" t="n">
        <v>0</v>
      </c>
      <c r="S563">
        <f>IFERROR(O563/N563,0)</f>
        <v/>
      </c>
      <c r="T563" t="n">
        <v>0</v>
      </c>
      <c r="V563" t="n">
        <v>0</v>
      </c>
    </row>
    <row r="564">
      <c r="A564">
        <f>Skills!A23</f>
        <v/>
      </c>
      <c r="B564">
        <f>Skills!B23</f>
        <v/>
      </c>
      <c r="C564">
        <f>Inputs!$B$3&gt;=33</f>
        <v/>
      </c>
      <c r="D564">
        <f>IF(Skills!C23=1,60+Inputs!$B$25+Inputs!$B$29,IF(Skills!C23=2,90+Inputs!$B$26+Inputs!$B$29,IF(Skills!C23=3,120+Inputs!$B$27+Inputs!$B$29,MAX(0,(Inputs!$B$3-100)*3)+Inputs!$B$28+Inputs!$B$29)))</f>
        <v/>
      </c>
      <c r="E564">
        <f>INDEX(FactorTable!$B$2:$Y$301, MATCH(ROUND(MIN(300,MAX(1,D564)),0), FactorTable!$A$2:$A$301,0), Skills!M23+1)</f>
        <v/>
      </c>
      <c r="F564">
        <f>IF(Skills!N23=TRUE,(Skills!L23/10)*(E564/1000),Skills!L23/10)+Skills!O23</f>
        <v/>
      </c>
      <c r="G564">
        <f>Skills!G23*IF(Skills!H23&gt;0,Skills!I23/Skills!H23,1)</f>
        <v/>
      </c>
      <c r="H564">
        <f>1-(1-Skills!J23/100)^Skills!K23</f>
        <v/>
      </c>
      <c r="I564" t="inlineStr">
        <is>
          <t>1</t>
        </is>
      </c>
      <c r="J564" t="inlineStr"/>
      <c r="K564" t="inlineStr"/>
      <c r="L564" t="inlineStr"/>
      <c r="M564" t="inlineStr"/>
      <c r="N564" t="inlineStr"/>
      <c r="O564">
        <f>(1-Summary!$B$11)*T564+Summary!$B$11*V564</f>
        <v/>
      </c>
      <c r="P564">
        <f>IF(B585=0,0,O564/B585)</f>
        <v/>
      </c>
      <c r="Q564" t="n">
        <v>0</v>
      </c>
      <c r="R564" t="n">
        <v>0</v>
      </c>
      <c r="S564">
        <f>IFERROR(O564/N564,0)</f>
        <v/>
      </c>
      <c r="T564" t="n">
        <v>0</v>
      </c>
      <c r="V564" t="n">
        <v>0</v>
      </c>
    </row>
    <row r="565">
      <c r="A565">
        <f>Skills!A24</f>
        <v/>
      </c>
      <c r="B565">
        <f>Skills!B24</f>
        <v/>
      </c>
      <c r="C565">
        <f>Inputs!$B$3&gt;=38</f>
        <v/>
      </c>
      <c r="D565">
        <f>IF(Skills!C24=1,60+Inputs!$B$25+Inputs!$B$29,IF(Skills!C24=2,90+Inputs!$B$26+Inputs!$B$29,IF(Skills!C24=3,120+Inputs!$B$27+Inputs!$B$29,MAX(0,(Inputs!$B$3-100)*3)+Inputs!$B$28+Inputs!$B$29)))</f>
        <v/>
      </c>
      <c r="E565">
        <f>INDEX(FactorTable!$B$2:$Y$301, MATCH(ROUND(MIN(300,MAX(1,D565)),0), FactorTable!$A$2:$A$301,0), Skills!M24+1)</f>
        <v/>
      </c>
      <c r="F565">
        <f>IF(Skills!N24=TRUE,(Skills!L24/10)*(E565/1000),Skills!L24/10)+Skills!O24</f>
        <v/>
      </c>
      <c r="G565">
        <f>Skills!G24*IF(Skills!H24&gt;0,Skills!I24/Skills!H24,1)</f>
        <v/>
      </c>
      <c r="H565">
        <f>1-(1-Skills!J24/100)^Skills!K24</f>
        <v/>
      </c>
      <c r="I565" t="inlineStr">
        <is>
          <t>1</t>
        </is>
      </c>
      <c r="J565" t="inlineStr"/>
      <c r="K565" t="inlineStr"/>
      <c r="L565" t="inlineStr"/>
      <c r="M565" t="inlineStr"/>
      <c r="N565" t="inlineStr"/>
      <c r="O565">
        <f>(1-Summary!$B$11)*T565+Summary!$B$11*V565</f>
        <v/>
      </c>
      <c r="P565">
        <f>IF(B585=0,0,O565/B585)</f>
        <v/>
      </c>
      <c r="Q565" t="n">
        <v>0</v>
      </c>
      <c r="R565" t="n">
        <v>0</v>
      </c>
      <c r="S565">
        <f>IFERROR(O565/N565,0)</f>
        <v/>
      </c>
      <c r="T565" t="n">
        <v>0</v>
      </c>
      <c r="V565" t="n">
        <v>0</v>
      </c>
    </row>
    <row r="566">
      <c r="A566">
        <f>Skills!A25</f>
        <v/>
      </c>
      <c r="B566">
        <f>Skills!B25</f>
        <v/>
      </c>
      <c r="C566">
        <f>Inputs!$B$3&gt;=43</f>
        <v/>
      </c>
      <c r="D566">
        <f>IF(Skills!C25=1,60+Inputs!$B$25+Inputs!$B$29,IF(Skills!C25=2,90+Inputs!$B$26+Inputs!$B$29,IF(Skills!C25=3,120+Inputs!$B$27+Inputs!$B$29,MAX(0,(Inputs!$B$3-100)*3)+Inputs!$B$28+Inputs!$B$29)))</f>
        <v/>
      </c>
      <c r="E566">
        <f>INDEX(FactorTable!$B$2:$Y$301, MATCH(ROUND(MIN(300,MAX(1,D566)),0), FactorTable!$A$2:$A$301,0), Skills!M25+1)</f>
        <v/>
      </c>
      <c r="F566">
        <f>IF(Skills!N25=TRUE,(Skills!L25/10)*(E566/1000),Skills!L25/10)+Skills!O25</f>
        <v/>
      </c>
      <c r="G566">
        <f>Skills!G25*IF(Skills!H25&gt;0,Skills!I25/Skills!H25,1)</f>
        <v/>
      </c>
      <c r="H566">
        <f>1-(1-Skills!J25/100)^Skills!K25</f>
        <v/>
      </c>
      <c r="I566" t="inlineStr">
        <is>
          <t>1</t>
        </is>
      </c>
      <c r="J566" t="inlineStr"/>
      <c r="K566" t="inlineStr"/>
      <c r="L566" t="inlineStr"/>
      <c r="M566" t="inlineStr"/>
      <c r="N566" t="inlineStr"/>
      <c r="O566">
        <f>(1-Summary!$B$11)*T566+Summary!$B$11*V566</f>
        <v/>
      </c>
      <c r="P566">
        <f>IF(B585=0,0,O566/B585)</f>
        <v/>
      </c>
      <c r="Q566" t="n">
        <v>0</v>
      </c>
      <c r="R566" t="n">
        <v>0</v>
      </c>
      <c r="S566">
        <f>IFERROR(O566/N566,0)</f>
        <v/>
      </c>
      <c r="T566" t="n">
        <v>0</v>
      </c>
      <c r="V566" t="n">
        <v>0</v>
      </c>
    </row>
    <row r="567">
      <c r="A567">
        <f>Skills!A26</f>
        <v/>
      </c>
      <c r="B567">
        <f>Skills!B26</f>
        <v/>
      </c>
      <c r="C567">
        <f>Inputs!$B$3&gt;=75</f>
        <v/>
      </c>
      <c r="D567">
        <f>IF(Skills!C26=1,60+Inputs!$B$25+Inputs!$B$29,IF(Skills!C26=2,90+Inputs!$B$26+Inputs!$B$29,IF(Skills!C26=3,120+Inputs!$B$27+Inputs!$B$29,MAX(0,(Inputs!$B$3-100)*3)+Inputs!$B$28+Inputs!$B$29)))</f>
        <v/>
      </c>
      <c r="E567">
        <f>INDEX(FactorTable!$B$2:$Y$301, MATCH(ROUND(MIN(300,MAX(1,D567)),0), FactorTable!$A$2:$A$301,0), Skills!M26+1)</f>
        <v/>
      </c>
      <c r="F567">
        <f>IF(Skills!N26=TRUE,(Skills!L26/10)*(E567/1000),Skills!L26/10)+Skills!O26</f>
        <v/>
      </c>
      <c r="G567">
        <f>Skills!G26*IF(Skills!H26&gt;0,Skills!I26/Skills!H26,1)</f>
        <v/>
      </c>
      <c r="H567">
        <f>1-(1-Skills!J26/100)^Skills!K26</f>
        <v/>
      </c>
      <c r="I567" t="inlineStr">
        <is>
          <t>1</t>
        </is>
      </c>
      <c r="J567" t="inlineStr"/>
      <c r="K567" t="inlineStr"/>
      <c r="L567" t="inlineStr"/>
      <c r="M567" t="inlineStr"/>
      <c r="N567" t="inlineStr"/>
      <c r="O567">
        <f>(1-Summary!$B$11)*T567+Summary!$B$11*V567</f>
        <v/>
      </c>
      <c r="P567">
        <f>IF(B585=0,0,O567/B585)</f>
        <v/>
      </c>
      <c r="Q567" t="n">
        <v>0</v>
      </c>
      <c r="R567" t="n">
        <v>0</v>
      </c>
      <c r="S567">
        <f>IFERROR(O567/N567,0)</f>
        <v/>
      </c>
      <c r="T567" t="n">
        <v>0</v>
      </c>
      <c r="V567" t="n">
        <v>0</v>
      </c>
    </row>
    <row r="568">
      <c r="A568">
        <f>Skills!A27</f>
        <v/>
      </c>
      <c r="B568">
        <f>Skills!B27</f>
        <v/>
      </c>
      <c r="C568">
        <f>Inputs!$B$3&gt;=125</f>
        <v/>
      </c>
      <c r="D568">
        <f>IF(Skills!C27=1,60+Inputs!$B$25+Inputs!$B$29,IF(Skills!C27=2,90+Inputs!$B$26+Inputs!$B$29,IF(Skills!C27=3,120+Inputs!$B$27+Inputs!$B$29,MAX(0,(Inputs!$B$3-100)*3)+Inputs!$B$28+Inputs!$B$29)))</f>
        <v/>
      </c>
      <c r="E568">
        <f>INDEX(FactorTable!$B$2:$Y$301, MATCH(ROUND(MIN(300,MAX(1,D568)),0), FactorTable!$A$2:$A$301,0), Skills!M27+1)</f>
        <v/>
      </c>
      <c r="F568">
        <f>IF(Skills!N27=TRUE,(Skills!L27/10)*(E568/1000),Skills!L27/10)+Skills!O27</f>
        <v/>
      </c>
      <c r="G568">
        <f>Skills!G27*IF(Skills!H27&gt;0,Skills!I27/Skills!H27,1)</f>
        <v/>
      </c>
      <c r="H568">
        <f>1-(1-Skills!J27/100)^Skills!K27</f>
        <v/>
      </c>
      <c r="I568" t="inlineStr">
        <is>
          <t>1</t>
        </is>
      </c>
      <c r="J568" t="inlineStr"/>
      <c r="K568" t="inlineStr"/>
      <c r="L568" t="inlineStr"/>
      <c r="M568" t="inlineStr"/>
      <c r="N568" t="inlineStr"/>
      <c r="O568">
        <f>(1-Summary!$B$11)*T568+Summary!$B$11*V568</f>
        <v/>
      </c>
      <c r="P568">
        <f>IF(B585=0,0,O568/B585)</f>
        <v/>
      </c>
      <c r="Q568" t="n">
        <v>0</v>
      </c>
      <c r="R568" t="n">
        <v>0</v>
      </c>
      <c r="S568">
        <f>IFERROR(O568/N568,0)</f>
        <v/>
      </c>
      <c r="T568" t="n">
        <v>0</v>
      </c>
      <c r="V568" t="n">
        <v>0</v>
      </c>
    </row>
    <row r="569">
      <c r="A569">
        <f>Skills!A28</f>
        <v/>
      </c>
      <c r="B569">
        <f>Skills!B28</f>
        <v/>
      </c>
      <c r="C569">
        <f>Inputs!$B$3&gt;=125</f>
        <v/>
      </c>
      <c r="D569">
        <f>IF(Skills!C28=1,60+Inputs!$B$25+Inputs!$B$29,IF(Skills!C28=2,90+Inputs!$B$26+Inputs!$B$29,IF(Skills!C28=3,120+Inputs!$B$27+Inputs!$B$29,MAX(0,(Inputs!$B$3-100)*3)+Inputs!$B$28+Inputs!$B$29)))</f>
        <v/>
      </c>
      <c r="E569">
        <f>INDEX(FactorTable!$B$2:$Y$301, MATCH(ROUND(MIN(300,MAX(1,D569)),0), FactorTable!$A$2:$A$301,0), Skills!M28+1)</f>
        <v/>
      </c>
      <c r="F569">
        <f>IF(Skills!N28=TRUE,(Skills!L28/10)*(E569/1000),Skills!L28/10)+Skills!O28</f>
        <v/>
      </c>
      <c r="G569">
        <f>Skills!G28*IF(Skills!H28&gt;0,Skills!I28/Skills!H28,1)</f>
        <v/>
      </c>
      <c r="H569">
        <f>1-(1-Skills!J28/100)^Skills!K28</f>
        <v/>
      </c>
      <c r="I569" t="inlineStr">
        <is>
          <t>1</t>
        </is>
      </c>
      <c r="J569" t="inlineStr"/>
      <c r="K569" t="inlineStr"/>
      <c r="L569" t="inlineStr"/>
      <c r="M569" t="inlineStr"/>
      <c r="N569" t="inlineStr"/>
      <c r="O569">
        <f>(1-Summary!$B$11)*T569+Summary!$B$11*V569</f>
        <v/>
      </c>
      <c r="P569">
        <f>IF(B585=0,0,O569/B585)</f>
        <v/>
      </c>
      <c r="Q569" t="n">
        <v>0</v>
      </c>
      <c r="R569" t="n">
        <v>0</v>
      </c>
      <c r="S569">
        <f>IFERROR(O569/N569,0)</f>
        <v/>
      </c>
      <c r="T569" t="n">
        <v>0</v>
      </c>
      <c r="V569" t="n">
        <v>0</v>
      </c>
    </row>
    <row r="570">
      <c r="A570">
        <f>Skills!A29</f>
        <v/>
      </c>
      <c r="B570">
        <f>Skills!B29</f>
        <v/>
      </c>
      <c r="C570">
        <f>Inputs!$B$3&gt;=120</f>
        <v/>
      </c>
      <c r="D570">
        <f>IF(Skills!C29=1,60+Inputs!$B$25+Inputs!$B$29,IF(Skills!C29=2,90+Inputs!$B$26+Inputs!$B$29,IF(Skills!C29=3,120+Inputs!$B$27+Inputs!$B$29,MAX(0,(Inputs!$B$3-100)*3)+Inputs!$B$28+Inputs!$B$29)))</f>
        <v/>
      </c>
      <c r="E570">
        <f>INDEX(FactorTable!$B$2:$Y$301, MATCH(ROUND(MIN(300,MAX(1,D570)),0), FactorTable!$A$2:$A$301,0), Skills!M29+1)</f>
        <v/>
      </c>
      <c r="F570">
        <f>IF(Skills!N29=TRUE,(Skills!L29/10)*(E570/1000),Skills!L29/10)+Skills!O29</f>
        <v/>
      </c>
      <c r="G570">
        <f>Skills!G29*IF(Skills!H29&gt;0,Skills!I29/Skills!H29,1)</f>
        <v/>
      </c>
      <c r="H570">
        <f>1-(1-Skills!J29/100)^Skills!K29</f>
        <v/>
      </c>
      <c r="I570" t="inlineStr">
        <is>
          <t>1</t>
        </is>
      </c>
      <c r="J570" t="inlineStr"/>
      <c r="K570" t="inlineStr"/>
      <c r="L570" t="inlineStr"/>
      <c r="M570" t="inlineStr"/>
      <c r="N570" t="inlineStr"/>
      <c r="O570">
        <f>(1-Summary!$B$11)*T570+Summary!$B$11*V570</f>
        <v/>
      </c>
      <c r="P570">
        <f>IF(B585=0,0,O570/B585)</f>
        <v/>
      </c>
      <c r="Q570" t="n">
        <v>0</v>
      </c>
      <c r="R570" t="n">
        <v>0</v>
      </c>
      <c r="S570">
        <f>IFERROR(O570/N570,0)</f>
        <v/>
      </c>
      <c r="T570" t="n">
        <v>0</v>
      </c>
      <c r="V570" t="n">
        <v>0</v>
      </c>
    </row>
    <row r="571">
      <c r="A571">
        <f>Skills!A30</f>
        <v/>
      </c>
      <c r="B571">
        <f>Skills!B30</f>
        <v/>
      </c>
      <c r="C571">
        <f>Inputs!$B$3&gt;=120</f>
        <v/>
      </c>
      <c r="D571">
        <f>IF(Skills!C30=1,60+Inputs!$B$25+Inputs!$B$29,IF(Skills!C30=2,90+Inputs!$B$26+Inputs!$B$29,IF(Skills!C30=3,120+Inputs!$B$27+Inputs!$B$29,MAX(0,(Inputs!$B$3-100)*3)+Inputs!$B$28+Inputs!$B$29)))</f>
        <v/>
      </c>
      <c r="E571">
        <f>INDEX(FactorTable!$B$2:$Y$301, MATCH(ROUND(MIN(300,MAX(1,D571)),0), FactorTable!$A$2:$A$301,0), Skills!M30+1)</f>
        <v/>
      </c>
      <c r="F571">
        <f>IF(Skills!N30=TRUE,(Skills!L30/10)*(E571/1000),Skills!L30/10)+Skills!O30</f>
        <v/>
      </c>
      <c r="G571">
        <f>Skills!G30*IF(Skills!H30&gt;0,Skills!I30/Skills!H30,1)</f>
        <v/>
      </c>
      <c r="H571">
        <f>1-(1-Skills!J30/100)^Skills!K30</f>
        <v/>
      </c>
      <c r="I571" t="inlineStr">
        <is>
          <t>1</t>
        </is>
      </c>
      <c r="J571" t="inlineStr"/>
      <c r="K571" t="inlineStr"/>
      <c r="L571" t="inlineStr"/>
      <c r="M571" t="inlineStr"/>
      <c r="N571" t="inlineStr"/>
      <c r="O571">
        <f>(1-Summary!$B$11)*T571+Summary!$B$11*V571</f>
        <v/>
      </c>
      <c r="P571">
        <f>IF(B585=0,0,O571/B585)</f>
        <v/>
      </c>
      <c r="Q571" t="n">
        <v>0</v>
      </c>
      <c r="R571" t="n">
        <v>0</v>
      </c>
      <c r="S571">
        <f>IFERROR(O571/N571,0)</f>
        <v/>
      </c>
      <c r="T571" t="n">
        <v>0</v>
      </c>
      <c r="V571" t="n">
        <v>0</v>
      </c>
    </row>
    <row r="572">
      <c r="A572">
        <f>Skills!A31</f>
        <v/>
      </c>
      <c r="B572">
        <f>Skills!B31</f>
        <v/>
      </c>
      <c r="C572">
        <f>Inputs!$B$3&gt;=45</f>
        <v/>
      </c>
      <c r="D572">
        <f>IF(Skills!C31=1,60+Inputs!$B$25+Inputs!$B$29,IF(Skills!C31=2,90+Inputs!$B$26+Inputs!$B$29,IF(Skills!C31=3,120+Inputs!$B$27+Inputs!$B$29,MAX(0,(Inputs!$B$3-100)*3)+Inputs!$B$28+Inputs!$B$29)))</f>
        <v/>
      </c>
      <c r="E572">
        <f>INDEX(FactorTable!$B$2:$Y$301, MATCH(ROUND(MIN(300,MAX(1,D572)),0), FactorTable!$A$2:$A$301,0), Skills!M31+1)</f>
        <v/>
      </c>
      <c r="F572">
        <f>IF(Skills!N31=TRUE,(Skills!L31/10)*(E572/1000),Skills!L31/10)+Skills!O31</f>
        <v/>
      </c>
      <c r="G572">
        <f>Skills!G31*IF(Skills!H31&gt;0,Skills!I31/Skills!H31,1)</f>
        <v/>
      </c>
      <c r="H572">
        <f>1-(1-Skills!J31/100)^Skills!K31</f>
        <v/>
      </c>
      <c r="I572" t="inlineStr">
        <is>
          <t>1</t>
        </is>
      </c>
      <c r="J572" t="inlineStr"/>
      <c r="K572" t="inlineStr"/>
      <c r="L572" t="inlineStr"/>
      <c r="M572" t="inlineStr"/>
      <c r="N572" t="inlineStr"/>
      <c r="O572">
        <f>(1-Summary!$B$11)*T572+Summary!$B$11*V572</f>
        <v/>
      </c>
      <c r="P572">
        <f>IF(B585=0,0,O572/B585)</f>
        <v/>
      </c>
      <c r="Q572" t="n">
        <v>0</v>
      </c>
      <c r="R572" t="n">
        <v>0</v>
      </c>
      <c r="S572">
        <f>IFERROR(O572/N572,0)</f>
        <v/>
      </c>
      <c r="T572" t="n">
        <v>0</v>
      </c>
      <c r="V572" t="n">
        <v>0</v>
      </c>
    </row>
    <row r="574">
      <c r="A574" t="inlineStr">
        <is>
          <t>Attack% Bucket Multiplier</t>
        </is>
      </c>
      <c r="B574">
        <f>(1+(((C555=TRUE)*F555)+((C556=TRUE)*IF(Inputs!$B$38="pvp",F556,(1-Summary!$B$11)*(F556)+Summary!$B$11*(0)))+((C557=TRUE)*F557*IF(AND(Inputs!$B$38&lt;&gt;"pvp",Inputs!$B$43&gt;0),(((R557-1)*(Skills!T16*(1+Inputs!$B$34/100))+MIN((Skills!T16*(1+Inputs!$B$34/100)),MAX(0,Inputs!$B$43-((R557-1)*Skills!D16))))/Inputs!$B$43),IF(Inputs!$B$38="pvp",MIN((Skills!T16*(1+Inputs!$B$34/100)),15)/15,(Skills!T16*(1+Inputs!$B$34/100))/Skills!D16)))+((C572=TRUE)*(F572-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75">
      <c r="A575" t="inlineStr">
        <is>
          <t>Global Crit Rate Bonus %</t>
        </is>
      </c>
      <c r="B575">
        <f>(C558=TRUE)*20*IF(AND(Inputs!$B$38&lt;&gt;"pvp",Inputs!$B$43&gt;0),(((R558-1)*(Skills!T17*(1+Inputs!$B$34/100))+MIN((Skills!T17*(1+Inputs!$B$34/100)),MAX(0,Inputs!$B$43-((R558-1)*Skills!D17))))/Inputs!$B$43),IF(Inputs!$B$38="pvp",MIN((Skills!T17*(1+Inputs!$B$34/100)),15)/15,(Skills!T17*(1+Inputs!$B$34/100))/Skills!D17))</f>
        <v/>
      </c>
    </row>
    <row r="576">
      <c r="A576" t="inlineStr">
        <is>
          <t>Attack Speed Buff Bonus %</t>
        </is>
      </c>
      <c r="B576">
        <f>((C561=TRUE)*F561*IF(AND(Inputs!$B$38&lt;&gt;"pvp",Inputs!$B$43&gt;0),(((R561-1)*(Skills!T20*(1+Inputs!$B$34/100))+MIN((Skills!T20*(1+Inputs!$B$34/100)),MAX(0,Inputs!$B$43-((R561-1)*Skills!D20))))/Inputs!$B$43),IF(Inputs!$B$38="pvp",MIN((Skills!T20*(1+Inputs!$B$34/100)),15)/15,(Skills!T20*(1+Inputs!$B$34/100))/Skills!D20)))</f>
        <v/>
      </c>
    </row>
    <row r="577">
      <c r="A577" t="inlineStr">
        <is>
          <t>Actions Per Second</t>
        </is>
      </c>
      <c r="B577">
        <f>1+MIN(150,150*(1-(1-(Inputs!$B$11+((C563=TRUE)*(F563-Calc!F22))+((C564=TRUE)*(F564-Calc!F23)))/150)*(1-B576/150)))/100</f>
        <v/>
      </c>
    </row>
    <row r="578">
      <c r="A578" t="inlineStr">
        <is>
          <t>Skill + Buff Cast Rate</t>
        </is>
      </c>
      <c r="B578">
        <f>IF(AND(Inputs!$B$38&lt;&gt;"pvp",Inputs!$B$43&gt;0),SUMPRODUCT((Skills!E2:E31=TRUE)*(C543:C572=TRUE)*R543:R572*Skills!F2:F31)/Inputs!$B$43,SUMPRODUCT((Skills!E2:E31=TRUE)*(C543:C572=TRUE)*Q543:Q572*Skills!F2:F31))</f>
        <v/>
      </c>
    </row>
    <row r="579">
      <c r="A579" t="inlineStr">
        <is>
          <t>Arrow Stream Casts Per Second</t>
        </is>
      </c>
      <c r="B579">
        <f>MAX(0,B577-B578)</f>
        <v/>
      </c>
    </row>
    <row r="580">
      <c r="A580" t="inlineStr">
        <is>
          <t>Global Critical Damage Bonus % (Sharp Eyes + Concentration)</t>
        </is>
      </c>
      <c r="B580">
        <f>(C558=TRUE)*F558*IF(AND(Inputs!$B$38&lt;&gt;"pvp",Inputs!$B$43&gt;0),(((R558-1)*(Skills!T17*(1+Inputs!$B$34/100))+MIN((Skills!T17*(1+Inputs!$B$34/100)),MAX(0,Inputs!$B$43-((R558-1)*Skills!D17))))/Inputs!$B$43),IF(Inputs!$B$38="pvp",MIN((Skills!T17*(1+Inputs!$B$34/100)),15)/15,(Skills!T17*(1+Inputs!$B$34/100))/Skills!D17))+(C559=TRUE)*30</f>
        <v/>
      </c>
    </row>
    <row r="581">
      <c r="A581" t="inlineStr">
        <is>
          <t>Global Final Damage Bonus % (Mortal Blow)</t>
        </is>
      </c>
      <c r="B581">
        <f>(C560=TRUE)*F560</f>
        <v/>
      </c>
    </row>
    <row r="582">
      <c r="A582" t="inlineStr">
        <is>
          <t>Buff-Casting Startup Delay (s, fixed-duration only)</t>
        </is>
      </c>
      <c r="B582">
        <f>IF(AND(Inputs!$B$38&lt;&gt;"pvp",Inputs!$B$43&gt;0),SUMPRODUCT((Skills!T2:T31&gt;0)*(Skills!E2:E31=TRUE)*(C543:C572=TRUE))/B577,0)</f>
        <v/>
      </c>
    </row>
    <row r="583">
      <c r="A583" t="inlineStr">
        <is>
          <t>Boss-Only Total DPS (this block's swept value)</t>
        </is>
      </c>
      <c r="B583">
        <f>SUM(T543:T572)</f>
        <v/>
      </c>
    </row>
    <row r="584">
      <c r="A584" t="inlineStr">
        <is>
          <t>Normal-Only Total DPS (this block's swept value)</t>
        </is>
      </c>
      <c r="B584">
        <f>SUM(V543:V572)</f>
        <v/>
      </c>
    </row>
    <row r="585">
      <c r="A585" s="6" t="inlineStr">
        <is>
          <t>TOTAL DPS</t>
        </is>
      </c>
      <c r="B585" s="6">
        <f>SUM(O543:O572)</f>
        <v/>
      </c>
    </row>
    <row r="588">
      <c r="A588" s="6" t="inlineStr">
        <is>
          <t>Stat: CRIT_DAMAGE %</t>
        </is>
      </c>
    </row>
    <row r="589">
      <c r="A589" s="5" t="inlineStr">
        <is>
          <t>Key</t>
        </is>
      </c>
      <c r="B589" s="5" t="inlineStr">
        <is>
          <t>Name</t>
        </is>
      </c>
      <c r="C589" s="5" t="inlineStr">
        <is>
          <t>Unlocked</t>
        </is>
      </c>
      <c r="D589" s="5" t="inlineStr">
        <is>
          <t>InputLevel</t>
        </is>
      </c>
      <c r="E589" s="5" t="inlineStr">
        <is>
          <t>Factor</t>
        </is>
      </c>
      <c r="F589" s="5" t="inlineStr">
        <is>
          <t>CoefficientPercent</t>
        </is>
      </c>
      <c r="G589" s="5" t="inlineStr">
        <is>
          <t>EffectiveHits</t>
        </is>
      </c>
      <c r="H589" s="5" t="inlineStr">
        <is>
          <t>ProcProbability</t>
        </is>
      </c>
      <c r="I589" s="5" t="inlineStr">
        <is>
          <t>MapleHeroMultiplier</t>
        </is>
      </c>
      <c r="J589" s="5" t="inlineStr">
        <is>
          <t>BaseDamage</t>
        </is>
      </c>
      <c r="K589" s="5" t="inlineStr">
        <is>
          <t>BaseHitDamage</t>
        </is>
      </c>
      <c r="L589" s="5" t="inlineStr">
        <is>
          <t>NonCritAvg</t>
        </is>
      </c>
      <c r="M589" s="5" t="inlineStr">
        <is>
          <t>CritAvg</t>
        </is>
      </c>
      <c r="N589" s="5" t="inlineStr">
        <is>
          <t>ExpectedDamage(perHit)</t>
        </is>
      </c>
      <c r="O589" s="5" t="inlineStr">
        <is>
          <t>DPS</t>
        </is>
      </c>
      <c r="P589" s="5" t="inlineStr">
        <is>
          <t>% of Total</t>
        </is>
      </c>
      <c r="Q589" s="5" t="inlineStr">
        <is>
          <t>InvCooldown</t>
        </is>
      </c>
      <c r="R589" s="5" t="inlineStr">
        <is>
          <t>CastsInFight</t>
        </is>
      </c>
      <c r="S589" s="5" t="inlineStr">
        <is>
          <t>HitRate(perSec)</t>
        </is>
      </c>
      <c r="U589" t="inlineStr">
        <is>
          <t>helpers</t>
        </is>
      </c>
    </row>
    <row r="590">
      <c r="A590">
        <f>Skills!A2</f>
        <v/>
      </c>
      <c r="B590">
        <f>Skills!B2</f>
        <v/>
      </c>
      <c r="C590">
        <f>Inputs!$B$3&gt;=100</f>
        <v/>
      </c>
      <c r="D590" t="inlineStr"/>
      <c r="E590" t="inlineStr"/>
      <c r="F590">
        <f>U592+Skills!O2</f>
        <v/>
      </c>
      <c r="G590">
        <f>Skills!G2*IF(Skills!H2&gt;0,Skills!I2/Skills!H2,1)</f>
        <v/>
      </c>
      <c r="H590">
        <f>1-(1-Skills!J2/100)^Skills!K2</f>
        <v/>
      </c>
      <c r="I590" t="inlineStr">
        <is>
          <t>1</t>
        </is>
      </c>
      <c r="J590">
        <f>((Inputs!$B$6*(1+Inputs!$B$7/100))+(((Inputs!$B$12*(1+Inputs!$B$13/100))-(Inputs!$B$12*(1+Inputs!$B$13/100)))+0.25*(Inputs!$B$14-Inputs!$B$14))*(1+Inputs!$B$7/100))*(F590/100)</f>
        <v/>
      </c>
      <c r="K590">
        <f>J590*(1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590)</f>
        <v/>
      </c>
      <c r="L590">
        <f>K590*(MIN(Inputs!$B$22+((C613=TRUE)*(F613-Calc!F25)),(Inputs!$B$23+((C618=TRUE)*(F618-Calc!F30))+(IF(ArtifactsInput!$M$15,CHOOSE(ArtifactsInput!$N$15+1,25,30,35,40,45,50)/100*(Inputs!$B$11-Inputs!$B$11),0))))/100+(Inputs!$B$23+((C618=TRUE)*(F618-Calc!F30))+(IF(ArtifactsInput!$M$15,CHOOSE(ArtifactsInput!$N$15+1,25,30,35,40,45,50)/100*(Inputs!$B$11-Inputs!$B$11),0)))/100)/2</f>
        <v/>
      </c>
      <c r="M590">
        <f>L590*(1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0">
        <f>L590*(1-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590*(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0">
        <f>(1-Summary!$B$11)*T590+Summary!$B$11*V590</f>
        <v/>
      </c>
      <c r="P590">
        <f>IF(B632=0,0,O590/B632)</f>
        <v/>
      </c>
      <c r="Q590" t="n">
        <v>0</v>
      </c>
      <c r="R590" t="n">
        <v>0</v>
      </c>
      <c r="S590">
        <f>IFERROR(O590/N590,0)</f>
        <v/>
      </c>
      <c r="T590">
        <f>IF(C590,(Skills!G2*N590*B626)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590*(1-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590*(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590*(1-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590*(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90">
        <f>MAX(0,(Inputs!$B$3-100)*3)+Inputs!$B$28+Inputs!$B$29</f>
        <v/>
      </c>
      <c r="V590">
        <f>IF(C590,(Skills!G2*N590*B626)*IF(Inputs!$B$38="pvp",1,(1+(Inputs!$B$21+Skills!Q2+(IF(ArtifactsInput!$M$33,CHOOSE(ArtifactsInput!$N$33+1,30,36,42,48,54,60),0))+(IF(AND(ArtifactsInput!$M$35,Inputs!$B$4&lt;&gt;"Chapter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1">
      <c r="A591">
        <f>Skills!A3</f>
        <v/>
      </c>
      <c r="B591">
        <f>Skills!B3</f>
        <v/>
      </c>
      <c r="C591">
        <f>Inputs!$B$3&gt;=50</f>
        <v/>
      </c>
      <c r="D591">
        <f>IF(Skills!C3=1,60+Inputs!$B$25+Inputs!$B$29,IF(Skills!C3=2,90+Inputs!$B$26+Inputs!$B$29,IF(Skills!C3=3,120+Inputs!$B$27+Inputs!$B$29,MAX(0,(Inputs!$B$3-100)*3)+Inputs!$B$28+Inputs!$B$29)))</f>
        <v/>
      </c>
      <c r="E591">
        <f>INDEX(FactorTable!$B$2:$Y$301, MATCH(ROUND(MIN(300,MAX(1,D591)),0), FactorTable!$A$2:$A$301,0), Skills!M3+1)</f>
        <v/>
      </c>
      <c r="F591">
        <f>IF(Skills!N3=TRUE,(Skills!L3/10)*(E591/1000),Skills!L3/10)+Skills!O3</f>
        <v/>
      </c>
      <c r="G591">
        <f>Skills!G3*IF(Skills!H3&gt;0,Skills!I3/Skills!H3,1)</f>
        <v/>
      </c>
      <c r="H591">
        <f>1-(1-Skills!J3/100)^Skills!K3</f>
        <v/>
      </c>
      <c r="I591" t="inlineStr">
        <is>
          <t>1</t>
        </is>
      </c>
      <c r="J591">
        <f>((Inputs!$B$6*(1+Inputs!$B$7/100))+(((Inputs!$B$12*(1+Inputs!$B$13/100))-(Inputs!$B$12*(1+Inputs!$B$13/100)))+0.25*(Inputs!$B$14-Inputs!$B$14))*(1+Inputs!$B$7/100))*(F591/100)</f>
        <v/>
      </c>
      <c r="K591">
        <f>J591*(1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592=TRUE,F592,0)/100)*(1+(IF(Skills!A3="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591)</f>
        <v/>
      </c>
      <c r="L591">
        <f>K591*(MIN(Inputs!$B$22+((C613=TRUE)*(F613-Calc!F25)),(Inputs!$B$23+((C618=TRUE)*(F618-Calc!F30))+(IF(ArtifactsInput!$M$15,CHOOSE(ArtifactsInput!$N$15+1,25,30,35,40,45,50)/100*(Inputs!$B$11-Inputs!$B$11),0))))/100+(Inputs!$B$23+((C618=TRUE)*(F618-Calc!F30))+(IF(ArtifactsInput!$M$15,CHOOSE(ArtifactsInput!$N$15+1,25,30,35,40,45,50)/100*(Inputs!$B$11-Inputs!$B$11),0)))/100)/2</f>
        <v/>
      </c>
      <c r="M591">
        <f>L591*(1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1">
        <f>L591*(1-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1">
        <f>(1-Summary!$B$11)*T591+Summary!$B$11*V591</f>
        <v/>
      </c>
      <c r="P591">
        <f>IF(B632=0,0,O591/B632)</f>
        <v/>
      </c>
      <c r="Q591">
        <f>IFERROR(1/(IF(Inputs!$B$38="pvp",15,MAX(0.1,Skills!D3-IF(Skills!E3=TRUE,Inputs!$B$32,0)))*(1-IF(AND(ArtifactsInput!$M$27,Inputs!$B$4="Chapter Hunt"),CHOOSE(ArtifactsInput!$N$27+1,20,24,28,32,36,40),0)/100)),0)</f>
        <v/>
      </c>
      <c r="R591">
        <f>IF(AND(Inputs!$B$38&lt;&gt;"pvp",Inputs!$B$43&gt;0),IF(MAX(0,Inputs!$B$43-B629)&lt;=0,0,(INT(MAX(0,Inputs!$B$43-B629)/(IF(Inputs!$B$38="pvp",15,MAX(0.1,Skills!D3-IF(Skills!E3=TRUE,Inputs!$B$32,0)))*(1-IF(AND(ArtifactsInput!$M$27,Inputs!$B$4="Chapter Hunt"),CHOOSE(ArtifactsInput!$N$27+1,20,24,28,32,36,40),0)/100)))+1)),0)</f>
        <v/>
      </c>
      <c r="S591">
        <f>IFERROR(O591/N591,0)</f>
        <v/>
      </c>
      <c r="T591">
        <f>IF(C591,(H591*N591*IF(AND(Inputs!$B$38&lt;&gt;"pvp",Inputs!$B$43&gt;0),((Skills!G3*((R591-1)*IF(Skills!H3&gt;0,Skills!I3/Skills!H3,1)+IF(Skills!H3&gt;0,MIN(Skills!I3,MAX(0,MAX(0,Inputs!$B$43-B629)-((R591-1)*(IF(Inputs!$B$38="pvp",15,MAX(0.1,Skills!D3-IF(Skills!E3=TRUE,Inputs!$B$32,0)))*(1-IF(AND(ArtifactsInput!$M$27,Inputs!$B$4="Chapter Hunt"),CHOOSE(ArtifactsInput!$N$27+1,20,24,28,32,36,40),0)/100)))))/Skills!H3,1)))/Inputs!$B$43),G591*Q591)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591*(1-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591*(1-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91">
        <f>INDEX(FactorTable!$B$2:$Y$301, MATCH(ROUND(MIN(300,MAX(1,U590)),0), FactorTable!$A$2:$A$301,0), 22)</f>
        <v/>
      </c>
      <c r="V591">
        <f>IF(C591,(H591*N591*IF(AND(Inputs!$B$38&lt;&gt;"pvp",Inputs!$B$43&gt;0),((Skills!G3*((R591-1)*IF(Skills!H3&gt;0,Skills!I3/Skills!H3,1)+IF(Skills!H3&gt;0,MIN(Skills!I3,MAX(0,MAX(0,Inputs!$B$43-B629)-((R591-1)*(IF(Inputs!$B$38="pvp",15,MAX(0.1,Skills!D3-IF(Skills!E3=TRUE,Inputs!$B$32,0)))*(1-IF(AND(ArtifactsInput!$M$27,Inputs!$B$4="Chapter Hunt"),CHOOSE(ArtifactsInput!$N$27+1,20,24,28,32,36,40),0)/100)))))/Skills!H3,1)))/Inputs!$B$43),G591*Q591))*IF(Inputs!$B$38="pvp",1,(1+(Inputs!$B$21+Skills!Q3+(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2">
      <c r="A592">
        <f>Skills!A4</f>
        <v/>
      </c>
      <c r="B592">
        <f>Skills!B4</f>
        <v/>
      </c>
      <c r="C592">
        <f>Inputs!$B$3&gt;=105</f>
        <v/>
      </c>
      <c r="D592">
        <f>IF(Skills!C4=1,60+Inputs!$B$25+Inputs!$B$29,IF(Skills!C4=2,90+Inputs!$B$26+Inputs!$B$29,IF(Skills!C4=3,120+Inputs!$B$27+Inputs!$B$29,MAX(0,(Inputs!$B$3-100)*3)+Inputs!$B$28+Inputs!$B$29)))</f>
        <v/>
      </c>
      <c r="E592">
        <f>INDEX(FactorTable!$B$2:$Y$301, MATCH(ROUND(MIN(300,MAX(1,D592)),0), FactorTable!$A$2:$A$301,0), Skills!M4+1)</f>
        <v/>
      </c>
      <c r="F592">
        <f>IF(Skills!N4=TRUE,(Skills!L4/10)*(E592/1000),Skills!L4/10)+Skills!O4</f>
        <v/>
      </c>
      <c r="G592" t="inlineStr"/>
      <c r="H592" t="inlineStr"/>
      <c r="I592" t="inlineStr">
        <is>
          <t>1</t>
        </is>
      </c>
      <c r="J592" t="inlineStr"/>
      <c r="K592" t="inlineStr"/>
      <c r="L592" t="inlineStr"/>
      <c r="M592" t="inlineStr"/>
      <c r="N592" t="inlineStr"/>
      <c r="O592" t="inlineStr"/>
      <c r="P592" t="inlineStr"/>
      <c r="Q592" t="inlineStr"/>
      <c r="R592" t="inlineStr"/>
      <c r="S592" t="inlineStr"/>
      <c r="T592" t="inlineStr"/>
      <c r="U592">
        <f>290*U591/1000</f>
        <v/>
      </c>
      <c r="V592" t="inlineStr"/>
    </row>
    <row r="593">
      <c r="A593">
        <f>Skills!A5</f>
        <v/>
      </c>
      <c r="B593">
        <f>Skills!B5</f>
        <v/>
      </c>
      <c r="C593">
        <f>Inputs!$B$3&gt;=35</f>
        <v/>
      </c>
      <c r="D593">
        <f>IF(Skills!C5=1,60+Inputs!$B$25+Inputs!$B$29,IF(Skills!C5=2,90+Inputs!$B$26+Inputs!$B$29,IF(Skills!C5=3,120+Inputs!$B$27+Inputs!$B$29,MAX(0,(Inputs!$B$3-100)*3)+Inputs!$B$28+Inputs!$B$29)))</f>
        <v/>
      </c>
      <c r="E593">
        <f>INDEX(FactorTable!$B$2:$Y$301, MATCH(ROUND(MIN(300,MAX(1,D593)),0), FactorTable!$A$2:$A$301,0), Skills!M5+1)</f>
        <v/>
      </c>
      <c r="F593">
        <f>IF(Skills!N5=TRUE,(Skills!L5/10)*(E593/1000),Skills!L5/10)+Skills!O5</f>
        <v/>
      </c>
      <c r="G593">
        <f>Skills!G5*IF(Skills!H5&gt;0,Skills!I5/Skills!H5,1)</f>
        <v/>
      </c>
      <c r="H593">
        <f>1-(1-Skills!J5/100)^Skills!K5</f>
        <v/>
      </c>
      <c r="I593" t="inlineStr">
        <is>
          <t>1</t>
        </is>
      </c>
      <c r="J593">
        <f>((Inputs!$B$6*(1+Inputs!$B$7/100))+(((Inputs!$B$12*(1+Inputs!$B$13/100))-(Inputs!$B$12*(1+Inputs!$B$13/100)))+0.25*(Inputs!$B$14-Inputs!$B$14))*(1+Inputs!$B$7/100))*(F593/100)</f>
        <v/>
      </c>
      <c r="K593">
        <f>J593*(1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599=TRUE,F599,0)/100)*(1+(IF(Skills!A5="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593)</f>
        <v/>
      </c>
      <c r="L593">
        <f>K593*(MIN(Inputs!$B$22+((C613=TRUE)*(F613-Calc!F25)),(Inputs!$B$23+((C618=TRUE)*(F618-Calc!F30))+(IF(ArtifactsInput!$M$15,CHOOSE(ArtifactsInput!$N$15+1,25,30,35,40,45,50)/100*(Inputs!$B$11-Inputs!$B$11),0))))/100+(Inputs!$B$23+((C618=TRUE)*(F618-Calc!F30))+(IF(ArtifactsInput!$M$15,CHOOSE(ArtifactsInput!$N$15+1,25,30,35,40,45,50)/100*(Inputs!$B$11-Inputs!$B$11),0)))/100)/2</f>
        <v/>
      </c>
      <c r="M593">
        <f>L593*(1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3">
        <f>L593*(1-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593*(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3">
        <f>(1-Summary!$B$11)*T593+Summary!$B$11*V593</f>
        <v/>
      </c>
      <c r="P593">
        <f>IF(B632=0,0,O593/B632)</f>
        <v/>
      </c>
      <c r="Q593">
        <f>IFERROR(1/(IF(Inputs!$B$38="pvp",15,MAX(0.1,Skills!D5-IF(Skills!E5=TRUE,Inputs!$B$32,0)))*(1-IF(AND(ArtifactsInput!$M$27,Inputs!$B$4="Chapter Hunt"),CHOOSE(ArtifactsInput!$N$27+1,20,24,28,32,36,40),0)/100)),0)</f>
        <v/>
      </c>
      <c r="R593">
        <f>IF(AND(Inputs!$B$38&lt;&gt;"pvp",Inputs!$B$43&gt;0),IF(MAX(0,Inputs!$B$43-B629)&lt;=0,0,(INT(MAX(0,Inputs!$B$43-B629)/(IF(Inputs!$B$38="pvp",15,MAX(0.1,Skills!D5-IF(Skills!E5=TRUE,Inputs!$B$32,0)))*(1-IF(AND(ArtifactsInput!$M$27,Inputs!$B$4="Chapter Hunt"),CHOOSE(ArtifactsInput!$N$27+1,20,24,28,32,36,40),0)/100)))+1)),0)</f>
        <v/>
      </c>
      <c r="S593">
        <f>IFERROR(O593/N593,0)</f>
        <v/>
      </c>
      <c r="T593">
        <f>IF(C593,(H593*N593*IF(AND(Inputs!$B$38&lt;&gt;"pvp",Inputs!$B$43&gt;0),((Skills!G5*((R593-1)*IF(Skills!H5&gt;0,Skills!I5/Skills!H5,1)+IF(Skills!H5&gt;0,MIN(Skills!I5,MAX(0,MAX(0,Inputs!$B$43-B629)-((R593-1)*(IF(Inputs!$B$38="pvp",15,MAX(0.1,Skills!D5-IF(Skills!E5=TRUE,Inputs!$B$32,0)))*(1-IF(AND(ArtifactsInput!$M$27,Inputs!$B$4="Chapter Hunt"),CHOOSE(ArtifactsInput!$N$27+1,20,24,28,32,36,40),0)/100)))))/Skills!H5,1)))/Inputs!$B$43),G593*Q593)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593*(1-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593*(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593*(1-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593*(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3">
        <f>IF(C593,(H593*N593*IF(AND(Inputs!$B$38&lt;&gt;"pvp",Inputs!$B$43&gt;0),((Skills!G5*((R593-1)*IF(Skills!H5&gt;0,Skills!I5/Skills!H5,1)+IF(Skills!H5&gt;0,MIN(Skills!I5,MAX(0,MAX(0,Inputs!$B$43-B629)-((R593-1)*(IF(Inputs!$B$38="pvp",15,MAX(0.1,Skills!D5-IF(Skills!E5=TRUE,Inputs!$B$32,0)))*(1-IF(AND(ArtifactsInput!$M$27,Inputs!$B$4="Chapter Hunt"),CHOOSE(ArtifactsInput!$N$27+1,20,24,28,32,36,40),0)/100)))))/Skills!H5,1)))/Inputs!$B$43),G593*Q593))*IF(Inputs!$B$38="pvp",1,(1+(Inputs!$B$21+Skills!Q5+(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4">
      <c r="A594">
        <f>Skills!A6</f>
        <v/>
      </c>
      <c r="B594">
        <f>Skills!B6</f>
        <v/>
      </c>
      <c r="C594">
        <f>Inputs!$B$3&gt;=40</f>
        <v/>
      </c>
      <c r="D594">
        <f>IF(Skills!C6=1,60+Inputs!$B$25+Inputs!$B$29,IF(Skills!C6=2,90+Inputs!$B$26+Inputs!$B$29,IF(Skills!C6=3,120+Inputs!$B$27+Inputs!$B$29,MAX(0,(Inputs!$B$3-100)*3)+Inputs!$B$28+Inputs!$B$29)))</f>
        <v/>
      </c>
      <c r="E594">
        <f>INDEX(FactorTable!$B$2:$Y$301, MATCH(ROUND(MIN(300,MAX(1,D594)),0), FactorTable!$A$2:$A$301,0), Skills!M6+1)</f>
        <v/>
      </c>
      <c r="F594">
        <f>IF(Skills!N6=TRUE,(Skills!L6/10)*(E594/1000),Skills!L6/10)+Skills!O6</f>
        <v/>
      </c>
      <c r="G594">
        <f>Skills!G6*IF(Skills!H6&gt;0,Skills!I6/Skills!H6,1)</f>
        <v/>
      </c>
      <c r="H594">
        <f>1-(1-Skills!J6/100)^Skills!K6</f>
        <v/>
      </c>
      <c r="I594" t="inlineStr">
        <is>
          <t>1</t>
        </is>
      </c>
      <c r="J594">
        <f>((Inputs!$B$6*(1+Inputs!$B$7/100))+(((Inputs!$B$12*(1+Inputs!$B$13/100))-(Inputs!$B$12*(1+Inputs!$B$13/100)))+0.25*(Inputs!$B$14-Inputs!$B$14))*(1+Inputs!$B$7/100))*(F594/100)</f>
        <v/>
      </c>
      <c r="K594">
        <f>J594*(1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595=TRUE,F595,0)/100)*(1+(IF(Skills!A6="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594)</f>
        <v/>
      </c>
      <c r="L594">
        <f>K594*(MIN(Inputs!$B$22+((C613=TRUE)*(F613-Calc!F25)),(Inputs!$B$23+((C618=TRUE)*(F618-Calc!F30))+(IF(ArtifactsInput!$M$15,CHOOSE(ArtifactsInput!$N$15+1,25,30,35,40,45,50)/100*(Inputs!$B$11-Inputs!$B$11),0))))/100+(Inputs!$B$23+((C618=TRUE)*(F618-Calc!F30))+(IF(ArtifactsInput!$M$15,CHOOSE(ArtifactsInput!$N$15+1,25,30,35,40,45,50)/100*(Inputs!$B$11-Inputs!$B$11),0)))/100)/2</f>
        <v/>
      </c>
      <c r="M594">
        <f>L594*(1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4">
        <f>L594*(1-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594*(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4">
        <f>(1-Summary!$B$11)*T594+Summary!$B$11*V594</f>
        <v/>
      </c>
      <c r="P594">
        <f>IF(B632=0,0,O594/B632)</f>
        <v/>
      </c>
      <c r="Q594">
        <f>IFERROR(1/(IF(Inputs!$B$38="pvp",15,MAX(0.1,Skills!D6-IF(Skills!E6=TRUE,Inputs!$B$32,0)))*(1-IF(AND(ArtifactsInput!$M$27,Inputs!$B$4="Chapter Hunt"),CHOOSE(ArtifactsInput!$N$27+1,20,24,28,32,36,40),0)/100)),0)</f>
        <v/>
      </c>
      <c r="R594">
        <f>IF(AND(Inputs!$B$38&lt;&gt;"pvp",Inputs!$B$43&gt;0),IF(MAX(0,Inputs!$B$43-B629)&lt;=0,0,(INT(MAX(0,Inputs!$B$43-B629)/(IF(Inputs!$B$38="pvp",15,MAX(0.1,Skills!D6-IF(Skills!E6=TRUE,Inputs!$B$32,0)))*(1-IF(AND(ArtifactsInput!$M$27,Inputs!$B$4="Chapter Hunt"),CHOOSE(ArtifactsInput!$N$27+1,20,24,28,32,36,40),0)/100)))+1)),0)</f>
        <v/>
      </c>
      <c r="S594">
        <f>IFERROR(O594/N594,0)</f>
        <v/>
      </c>
      <c r="T594">
        <f>IF(C594,(H594*N594*IF(AND(Inputs!$B$38&lt;&gt;"pvp",Inputs!$B$43&gt;0),((Skills!G6*((R594-1)*IF(Skills!H6&gt;0,Skills!I6/Skills!H6,1)+IF(Skills!H6&gt;0,MIN(Skills!I6,MAX(0,MAX(0,Inputs!$B$43-B629)-((R594-1)*(IF(Inputs!$B$38="pvp",15,MAX(0.1,Skills!D6-IF(Skills!E6=TRUE,Inputs!$B$32,0)))*(1-IF(AND(ArtifactsInput!$M$27,Inputs!$B$4="Chapter Hunt"),CHOOSE(ArtifactsInput!$N$27+1,20,24,28,32,36,40),0)/100)))))/Skills!H6,1)))/Inputs!$B$43),G594*Q594)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594*(1-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594*(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594*(1-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594*(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4">
        <f>IF(C594,(H594*N594*IF(AND(Inputs!$B$38&lt;&gt;"pvp",Inputs!$B$43&gt;0),((Skills!G6*((R594-1)*IF(Skills!H6&gt;0,Skills!I6/Skills!H6,1)+IF(Skills!H6&gt;0,MIN(Skills!I6,MAX(0,MAX(0,Inputs!$B$43-B629)-((R594-1)*(IF(Inputs!$B$38="pvp",15,MAX(0.1,Skills!D6-IF(Skills!E6=TRUE,Inputs!$B$32,0)))*(1-IF(AND(ArtifactsInput!$M$27,Inputs!$B$4="Chapter Hunt"),CHOOSE(ArtifactsInput!$N$27+1,20,24,28,32,36,40),0)/100)))))/Skills!H6,1)))/Inputs!$B$43),G594*Q594))*IF(Inputs!$B$38="pvp",1,(1+(Inputs!$B$21+Skills!Q6+(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5">
      <c r="A595">
        <f>Skills!A7</f>
        <v/>
      </c>
      <c r="B595">
        <f>Skills!B7</f>
        <v/>
      </c>
      <c r="C595">
        <f>Inputs!$B$3&gt;=107</f>
        <v/>
      </c>
      <c r="D595">
        <f>IF(Skills!C7=1,60+Inputs!$B$25+Inputs!$B$29,IF(Skills!C7=2,90+Inputs!$B$26+Inputs!$B$29,IF(Skills!C7=3,120+Inputs!$B$27+Inputs!$B$29,MAX(0,(Inputs!$B$3-100)*3)+Inputs!$B$28+Inputs!$B$29)))</f>
        <v/>
      </c>
      <c r="E595">
        <f>INDEX(FactorTable!$B$2:$Y$301, MATCH(ROUND(MIN(300,MAX(1,D595)),0), FactorTable!$A$2:$A$301,0), Skills!M7+1)</f>
        <v/>
      </c>
      <c r="F595">
        <f>IF(Skills!N7=TRUE,(Skills!L7/10)*(E595/1000),Skills!L7/10)+Skills!O7</f>
        <v/>
      </c>
      <c r="G595" t="inlineStr"/>
      <c r="H595" t="inlineStr"/>
      <c r="I595" t="inlineStr">
        <is>
          <t>1</t>
        </is>
      </c>
      <c r="J595" t="inlineStr"/>
      <c r="K595" t="inlineStr"/>
      <c r="L595" t="inlineStr"/>
      <c r="M595" t="inlineStr"/>
      <c r="N595" t="inlineStr"/>
      <c r="O595" t="inlineStr"/>
      <c r="P595" t="inlineStr"/>
      <c r="Q595" t="inlineStr"/>
      <c r="R595" t="inlineStr"/>
      <c r="S595" t="inlineStr"/>
      <c r="T595" t="inlineStr"/>
      <c r="V595" t="inlineStr"/>
    </row>
    <row r="596">
      <c r="A596">
        <f>Skills!A8</f>
        <v/>
      </c>
      <c r="B596">
        <f>Skills!B8</f>
        <v/>
      </c>
      <c r="C596">
        <f>Inputs!$B$3&gt;=69</f>
        <v/>
      </c>
      <c r="D596">
        <f>IF(Skills!C8=1,60+Inputs!$B$25+Inputs!$B$29,IF(Skills!C8=2,90+Inputs!$B$26+Inputs!$B$29,IF(Skills!C8=3,120+Inputs!$B$27+Inputs!$B$29,MAX(0,(Inputs!$B$3-100)*3)+Inputs!$B$28+Inputs!$B$29)))</f>
        <v/>
      </c>
      <c r="E596">
        <f>INDEX(FactorTable!$B$2:$Y$301, MATCH(ROUND(MIN(300,MAX(1,D596)),0), FactorTable!$A$2:$A$301,0), Skills!M8+1)</f>
        <v/>
      </c>
      <c r="F596">
        <f>IF(Skills!N8=TRUE,(Skills!L8/10)*(E596/1000),Skills!L8/10)+Skills!O8</f>
        <v/>
      </c>
      <c r="G596">
        <f>Skills!G8*IF(Skills!H8&gt;0,Skills!I8/Skills!H8,1)</f>
        <v/>
      </c>
      <c r="H596">
        <f>1-(1-Skills!J8/100)^Skills!K8</f>
        <v/>
      </c>
      <c r="I596" t="inlineStr">
        <is>
          <t>1</t>
        </is>
      </c>
      <c r="J596">
        <f>((Inputs!$B$6*(1+Inputs!$B$7/100))+(((Inputs!$B$12*(1+Inputs!$B$13/100))-(Inputs!$B$12*(1+Inputs!$B$13/100)))+0.25*(Inputs!$B$14-Inputs!$B$14))*(1+Inputs!$B$7/100))*(F596/100)</f>
        <v/>
      </c>
      <c r="K596">
        <f>J596*(1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599=TRUE,F599,0)/100)*(1+(IF(Skills!A8="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596)</f>
        <v/>
      </c>
      <c r="L596">
        <f>K596*(MIN(Inputs!$B$22+((C613=TRUE)*(F613-Calc!F25)),(Inputs!$B$23+((C618=TRUE)*(F618-Calc!F30))+(IF(ArtifactsInput!$M$15,CHOOSE(ArtifactsInput!$N$15+1,25,30,35,40,45,50)/100*(Inputs!$B$11-Inputs!$B$11),0))))/100+(Inputs!$B$23+((C618=TRUE)*(F618-Calc!F30))+(IF(ArtifactsInput!$M$15,CHOOSE(ArtifactsInput!$N$15+1,25,30,35,40,45,50)/100*(Inputs!$B$11-Inputs!$B$11),0)))/100)/2</f>
        <v/>
      </c>
      <c r="M596">
        <f>L596*(1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6">
        <f>L596*(1-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596*(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6">
        <f>(1-Summary!$B$11)*T596+Summary!$B$11*V596</f>
        <v/>
      </c>
      <c r="P596">
        <f>IF(B632=0,0,O596/B632)</f>
        <v/>
      </c>
      <c r="Q596">
        <f>IFERROR(1/(IF(Inputs!$B$38="pvp",15,MAX(0.1,Skills!D8-IF(Skills!E8=TRUE,Inputs!$B$32,0)))*(1-IF(AND(ArtifactsInput!$M$27,Inputs!$B$4="Chapter Hunt"),CHOOSE(ArtifactsInput!$N$27+1,20,24,28,32,36,40),0)/100)),0)</f>
        <v/>
      </c>
      <c r="R596">
        <f>IF(AND(Inputs!$B$38&lt;&gt;"pvp",Inputs!$B$43&gt;0),IF(MAX(0,Inputs!$B$43-B629)&lt;=0,0,(INT(MAX(0,Inputs!$B$43-B629)/(IF(Inputs!$B$38="pvp",15,MAX(0.1,Skills!D8-IF(Skills!E8=TRUE,Inputs!$B$32,0)))*(1-IF(AND(ArtifactsInput!$M$27,Inputs!$B$4="Chapter Hunt"),CHOOSE(ArtifactsInput!$N$27+1,20,24,28,32,36,40),0)/100)))+1)),0)</f>
        <v/>
      </c>
      <c r="S596">
        <f>IFERROR(O596/N596,0)</f>
        <v/>
      </c>
      <c r="T596">
        <f>IF(C596,(H596*N596*IF(AND(Inputs!$B$38&lt;&gt;"pvp",Inputs!$B$43&gt;0),((Skills!G8*((R596-1)*IF(Skills!H8&gt;0,Skills!I8/Skills!H8,1)+IF(Skills!H8&gt;0,MIN(Skills!I8,MAX(0,MAX(0,Inputs!$B$43-B629)-((R596-1)*(IF(Inputs!$B$38="pvp",15,MAX(0.1,Skills!D8-IF(Skills!E8=TRUE,Inputs!$B$32,0)))*(1-IF(AND(ArtifactsInput!$M$27,Inputs!$B$4="Chapter Hunt"),CHOOSE(ArtifactsInput!$N$27+1,20,24,28,32,36,40),0)/100)))))/Skills!H8,1)))/Inputs!$B$43),G596*Q596)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596*(1-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596*(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596*(1-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596*(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6">
        <f>IF(C596,(H596*N596*IF(AND(Inputs!$B$38&lt;&gt;"pvp",Inputs!$B$43&gt;0),((Skills!G8*((R596-1)*IF(Skills!H8&gt;0,Skills!I8/Skills!H8,1)+IF(Skills!H8&gt;0,MIN(Skills!I8,MAX(0,MAX(0,Inputs!$B$43-B629)-((R596-1)*(IF(Inputs!$B$38="pvp",15,MAX(0.1,Skills!D8-IF(Skills!E8=TRUE,Inputs!$B$32,0)))*(1-IF(AND(ArtifactsInput!$M$27,Inputs!$B$4="Chapter Hunt"),CHOOSE(ArtifactsInput!$N$27+1,20,24,28,32,36,40),0)/100)))))/Skills!H8,1)))/Inputs!$B$43),G596*Q596))*IF(Inputs!$B$38="pvp",1,(1+(Inputs!$B$21+Skills!Q8+(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7">
      <c r="A597">
        <f>Skills!A9</f>
        <v/>
      </c>
      <c r="B597">
        <f>Skills!B9</f>
        <v/>
      </c>
      <c r="C597">
        <f>Inputs!$B$3&gt;=63</f>
        <v/>
      </c>
      <c r="D597">
        <f>IF(Skills!C9=1,60+Inputs!$B$25+Inputs!$B$29,IF(Skills!C9=2,90+Inputs!$B$26+Inputs!$B$29,IF(Skills!C9=3,120+Inputs!$B$27+Inputs!$B$29,MAX(0,(Inputs!$B$3-100)*3)+Inputs!$B$28+Inputs!$B$29)))</f>
        <v/>
      </c>
      <c r="E597">
        <f>INDEX(FactorTable!$B$2:$Y$301, MATCH(ROUND(MIN(300,MAX(1,D597)),0), FactorTable!$A$2:$A$301,0), Skills!M9+1)</f>
        <v/>
      </c>
      <c r="F597">
        <f>IF(Skills!N9=TRUE,(Skills!L9/10)*(E597/1000),Skills!L9/10)+Skills!O9</f>
        <v/>
      </c>
      <c r="G597">
        <f>Skills!G9*IF(Skills!H9&gt;0,Skills!I9/Skills!H9,1)</f>
        <v/>
      </c>
      <c r="H597">
        <f>1-(1-Skills!J9/100)^Skills!K9</f>
        <v/>
      </c>
      <c r="I597" t="inlineStr">
        <is>
          <t>1</t>
        </is>
      </c>
      <c r="J597">
        <f>((Inputs!$B$6*(1+Inputs!$B$7/100))+(((Inputs!$B$12*(1+Inputs!$B$13/100))-(Inputs!$B$12*(1+Inputs!$B$13/100)))+0.25*(Inputs!$B$14-Inputs!$B$14))*(1+Inputs!$B$7/100))*(F597/100)</f>
        <v/>
      </c>
      <c r="K597">
        <f>J597*(1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599=TRUE,F599,0)/100)*(1+(IF(Skills!A9="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597)</f>
        <v/>
      </c>
      <c r="L597">
        <f>K597*(MIN(Inputs!$B$22+((C613=TRUE)*(F613-Calc!F25)),(Inputs!$B$23+((C618=TRUE)*(F618-Calc!F30))+(IF(ArtifactsInput!$M$15,CHOOSE(ArtifactsInput!$N$15+1,25,30,35,40,45,50)/100*(Inputs!$B$11-Inputs!$B$11),0))))/100+(Inputs!$B$23+((C618=TRUE)*(F618-Calc!F30))+(IF(ArtifactsInput!$M$15,CHOOSE(ArtifactsInput!$N$15+1,25,30,35,40,45,50)/100*(Inputs!$B$11-Inputs!$B$11),0)))/100)/2</f>
        <v/>
      </c>
      <c r="M597">
        <f>L597*(1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7">
        <f>L597*(1-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597*(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7">
        <f>(1-Summary!$B$11)*T597+Summary!$B$11*V597</f>
        <v/>
      </c>
      <c r="P597">
        <f>IF(B632=0,0,O597/B632)</f>
        <v/>
      </c>
      <c r="Q597">
        <f>IFERROR(1/(IF(Inputs!$B$38="pvp",15,MAX(0.1,Skills!D9-IF(Skills!E9=TRUE,Inputs!$B$32,0)))*(1-IF(AND(ArtifactsInput!$M$27,Inputs!$B$4="Chapter Hunt"),CHOOSE(ArtifactsInput!$N$27+1,20,24,28,32,36,40),0)/100)),0)</f>
        <v/>
      </c>
      <c r="R597">
        <f>IF(AND(Inputs!$B$38&lt;&gt;"pvp",Inputs!$B$43&gt;0),IF(MAX(0,Inputs!$B$43-B629)&lt;=0,0,(INT(MAX(0,Inputs!$B$43-B629)/(IF(Inputs!$B$38="pvp",15,MAX(0.1,Skills!D9-IF(Skills!E9=TRUE,Inputs!$B$32,0)))*(1-IF(AND(ArtifactsInput!$M$27,Inputs!$B$4="Chapter Hunt"),CHOOSE(ArtifactsInput!$N$27+1,20,24,28,32,36,40),0)/100)))+1)),0)</f>
        <v/>
      </c>
      <c r="S597">
        <f>IFERROR(O597/N597,0)</f>
        <v/>
      </c>
      <c r="T597">
        <f>IF(C597,(H597*N597*IF(AND(Inputs!$B$38&lt;&gt;"pvp",Inputs!$B$43&gt;0),((Skills!G9*((R597-1)*IF(Skills!H9&gt;0,Skills!I9/Skills!H9,1)+IF(Skills!H9&gt;0,MIN(Skills!I9,MAX(0,MAX(0,Inputs!$B$43-B629)-((R597-1)*(IF(Inputs!$B$38="pvp",15,MAX(0.1,Skills!D9-IF(Skills!E9=TRUE,Inputs!$B$32,0)))*(1-IF(AND(ArtifactsInput!$M$27,Inputs!$B$4="Chapter Hunt"),CHOOSE(ArtifactsInput!$N$27+1,20,24,28,32,36,40),0)/100)))))/Skills!H9,1)))/Inputs!$B$43),G597*Q597)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597*(1-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597*(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597*(1-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597*(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7">
        <f>IF(C597,(H597*N597*IF(AND(Inputs!$B$38&lt;&gt;"pvp",Inputs!$B$43&gt;0),((Skills!G9*((R597-1)*IF(Skills!H9&gt;0,Skills!I9/Skills!H9,1)+IF(Skills!H9&gt;0,MIN(Skills!I9,MAX(0,MAX(0,Inputs!$B$43-B629)-((R597-1)*(IF(Inputs!$B$38="pvp",15,MAX(0.1,Skills!D9-IF(Skills!E9=TRUE,Inputs!$B$32,0)))*(1-IF(AND(ArtifactsInput!$M$27,Inputs!$B$4="Chapter Hunt"),CHOOSE(ArtifactsInput!$N$27+1,20,24,28,32,36,40),0)/100)))))/Skills!H9,1)))/Inputs!$B$43),G597*Q597))*IF(Inputs!$B$38="pvp",1,(1+(Inputs!$B$21+Skills!Q9+(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8">
      <c r="A598">
        <f>Skills!A10</f>
        <v/>
      </c>
      <c r="B598">
        <f>Skills!B10</f>
        <v/>
      </c>
      <c r="C598">
        <f>Inputs!$B$3&gt;=103</f>
        <v/>
      </c>
      <c r="D598">
        <f>IF(Skills!C10=1,60+Inputs!$B$25+Inputs!$B$29,IF(Skills!C10=2,90+Inputs!$B$26+Inputs!$B$29,IF(Skills!C10=3,120+Inputs!$B$27+Inputs!$B$29,MAX(0,(Inputs!$B$3-100)*3)+Inputs!$B$28+Inputs!$B$29)))</f>
        <v/>
      </c>
      <c r="E598">
        <f>INDEX(FactorTable!$B$2:$Y$301, MATCH(ROUND(MIN(300,MAX(1,D598)),0), FactorTable!$A$2:$A$301,0), Skills!M10+1)</f>
        <v/>
      </c>
      <c r="F598">
        <f>IF(Skills!N10=TRUE,(Skills!L10/10)*(E598/1000),Skills!L10/10)+Skills!O10</f>
        <v/>
      </c>
      <c r="G598">
        <f>Skills!G10*IF(Skills!H10&gt;0,Skills!I10/Skills!H10,1)</f>
        <v/>
      </c>
      <c r="H598">
        <f>1-(1-Skills!J10/100)^Skills!K10</f>
        <v/>
      </c>
      <c r="I598" t="inlineStr">
        <is>
          <t>1</t>
        </is>
      </c>
      <c r="J598">
        <f>((Inputs!$B$6*(1+Inputs!$B$7/100))+(((Inputs!$B$12*(1+Inputs!$B$13/100))-(Inputs!$B$12*(1+Inputs!$B$13/100)))+0.25*(Inputs!$B$14-Inputs!$B$14))*(1+Inputs!$B$7/100))*(F598/100)</f>
        <v/>
      </c>
      <c r="K598">
        <f>J598*(1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598)</f>
        <v/>
      </c>
      <c r="L598">
        <f>K598*(MIN(Inputs!$B$22+((C613=TRUE)*(F613-Calc!F25)),(Inputs!$B$23+((C618=TRUE)*(F618-Calc!F30))+(IF(ArtifactsInput!$M$15,CHOOSE(ArtifactsInput!$N$15+1,25,30,35,40,45,50)/100*(Inputs!$B$11-Inputs!$B$11),0))))/100+(Inputs!$B$23+((C618=TRUE)*(F618-Calc!F30))+(IF(ArtifactsInput!$M$15,CHOOSE(ArtifactsInput!$N$15+1,25,30,35,40,45,50)/100*(Inputs!$B$11-Inputs!$B$11),0)))/100)/2</f>
        <v/>
      </c>
      <c r="M598">
        <f>L598*(1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8">
        <f>L598*(1-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598*(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8">
        <f>(1-Summary!$B$11)*T598+Summary!$B$11*V598</f>
        <v/>
      </c>
      <c r="P598">
        <f>IF(B632=0,0,O598/B632)</f>
        <v/>
      </c>
      <c r="Q598">
        <f>IFERROR(1/(IF(Inputs!$B$38="pvp",15,MAX(0.1,Skills!D10-IF(Skills!E10=TRUE,Inputs!$B$32,0)))*(1-IF(AND(ArtifactsInput!$M$27,Inputs!$B$4="Chapter Hunt"),CHOOSE(ArtifactsInput!$N$27+1,20,24,28,32,36,40),0)/100)),0)</f>
        <v/>
      </c>
      <c r="R598">
        <f>IF(AND(Inputs!$B$38&lt;&gt;"pvp",Inputs!$B$43&gt;0),IF(MAX(0,Inputs!$B$43-B629)&lt;=0,0,(INT(MAX(0,Inputs!$B$43-B629)/(IF(Inputs!$B$38="pvp",15,MAX(0.1,Skills!D10-IF(Skills!E10=TRUE,Inputs!$B$32,0)))*(1-IF(AND(ArtifactsInput!$M$27,Inputs!$B$4="Chapter Hunt"),CHOOSE(ArtifactsInput!$N$27+1,20,24,28,32,36,40),0)/100)))+1)),0)</f>
        <v/>
      </c>
      <c r="S598">
        <f>IFERROR(O598/N598,0)</f>
        <v/>
      </c>
      <c r="T598">
        <f>IF(C598,(H598*N598*IF(AND(Inputs!$B$38&lt;&gt;"pvp",Inputs!$B$43&gt;0),((Skills!G10*((R598-1)*IF(Skills!H10&gt;0,Skills!I10/Skills!H10,1)+IF(Skills!H10&gt;0,MIN(Skills!I10,MAX(0,MAX(0,Inputs!$B$43-B629)-((R598-1)*(IF(Inputs!$B$38="pvp",15,MAX(0.1,Skills!D10-IF(Skills!E10=TRUE,Inputs!$B$32,0)))*(1-IF(AND(ArtifactsInput!$M$27,Inputs!$B$4="Chapter Hunt"),CHOOSE(ArtifactsInput!$N$27+1,20,24,28,32,36,40),0)/100)))))/Skills!H10,1)))/Inputs!$B$43),G598*Q598)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598*(1-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598*(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598*(1-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598*(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8">
        <f>IF(C598,(H598*N598*IF(AND(Inputs!$B$38&lt;&gt;"pvp",Inputs!$B$43&gt;0),((Skills!G10*((R598-1)*IF(Skills!H10&gt;0,Skills!I10/Skills!H10,1)+IF(Skills!H10&gt;0,MIN(Skills!I10,MAX(0,MAX(0,Inputs!$B$43-B629)-((R598-1)*(IF(Inputs!$B$38="pvp",15,MAX(0.1,Skills!D10-IF(Skills!E10=TRUE,Inputs!$B$32,0)))*(1-IF(AND(ArtifactsInput!$M$27,Inputs!$B$4="Chapter Hunt"),CHOOSE(ArtifactsInput!$N$27+1,20,24,28,32,36,40),0)/100)))))/Skills!H10,1)))/Inputs!$B$43),G598*Q598))*IF(Inputs!$B$38="pvp",1,(1+(Inputs!$B$21+Skills!Q10+(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9">
      <c r="A599">
        <f>Skills!A11</f>
        <v/>
      </c>
      <c r="B599">
        <f>Skills!B11</f>
        <v/>
      </c>
      <c r="C599">
        <f>Inputs!$B$3&gt;=100</f>
        <v/>
      </c>
      <c r="D599">
        <f>IF(Skills!C11=1,60+Inputs!$B$25+Inputs!$B$29,IF(Skills!C11=2,90+Inputs!$B$26+Inputs!$B$29,IF(Skills!C11=3,120+Inputs!$B$27+Inputs!$B$29,MAX(0,(Inputs!$B$3-100)*3)+Inputs!$B$28+Inputs!$B$29)))</f>
        <v/>
      </c>
      <c r="E599">
        <f>INDEX(FactorTable!$B$2:$Y$301, MATCH(ROUND(MIN(300,MAX(1,D599)),0), FactorTable!$A$2:$A$301,0), Skills!M11+1)</f>
        <v/>
      </c>
      <c r="F599">
        <f>IF(Skills!N11=TRUE,(Skills!L11/10)*(E599/1000),Skills!L11/10)+Skills!O11</f>
        <v/>
      </c>
      <c r="G599" t="inlineStr"/>
      <c r="H599" t="inlineStr"/>
      <c r="I599" t="inlineStr">
        <is>
          <t>1</t>
        </is>
      </c>
      <c r="J599" t="inlineStr"/>
      <c r="K599" t="inlineStr"/>
      <c r="L599" t="inlineStr"/>
      <c r="M599" t="inlineStr"/>
      <c r="N599" t="inlineStr"/>
      <c r="O599" t="inlineStr"/>
      <c r="P599" t="inlineStr"/>
      <c r="Q599" t="inlineStr"/>
      <c r="R599" t="inlineStr"/>
      <c r="S599" t="inlineStr"/>
      <c r="T599" t="inlineStr"/>
      <c r="V599" t="inlineStr"/>
    </row>
    <row r="600">
      <c r="A600">
        <f>Skills!A12</f>
        <v/>
      </c>
      <c r="B600">
        <f>Skills!B12</f>
        <v/>
      </c>
      <c r="C600">
        <f>Inputs!$B$3&gt;=60</f>
        <v/>
      </c>
      <c r="D600">
        <f>IF(Skills!C12=1,60+Inputs!$B$25+Inputs!$B$29,IF(Skills!C12=2,90+Inputs!$B$26+Inputs!$B$29,IF(Skills!C12=3,120+Inputs!$B$27+Inputs!$B$29,MAX(0,(Inputs!$B$3-100)*3)+Inputs!$B$28+Inputs!$B$29)))</f>
        <v/>
      </c>
      <c r="E600">
        <f>INDEX(FactorTable!$B$2:$Y$301, MATCH(ROUND(MIN(300,MAX(1,D600)),0), FactorTable!$A$2:$A$301,0), Skills!M12+1)</f>
        <v/>
      </c>
      <c r="F600">
        <f>IF(Skills!N12=TRUE,(Skills!L12/10)*(E600/1000),Skills!L12/10)+Skills!O12</f>
        <v/>
      </c>
      <c r="G600">
        <f>Skills!G12*IF(Skills!H12&gt;0,Skills!I12/Skills!H12,1)</f>
        <v/>
      </c>
      <c r="H600">
        <f>1-(1-Skills!J12/100)^Skills!K12</f>
        <v/>
      </c>
      <c r="I600" t="inlineStr">
        <is>
          <t>1</t>
        </is>
      </c>
      <c r="J600">
        <f>((Inputs!$B$6*(1+Inputs!$B$7/100))+(((Inputs!$B$12*(1+Inputs!$B$13/100))-(Inputs!$B$12*(1+Inputs!$B$13/100)))+0.25*(Inputs!$B$14-Inputs!$B$14))*(1+Inputs!$B$7/100))*(F600/100)</f>
        <v/>
      </c>
      <c r="K600">
        <f>J600*(1+((Inputs!$B$12*(1+Inputs!$B$13/100))*0.01+Inputs!$B$14*0.0025)/100)*(1+Inputs!$B$15/100)*(1+Inputs!$B$16/100)*(5000/(6000+Inputs!$B$42*(1-(100*(1-(1-(Inputs!$B$19+((C616=TRUE)*(F616-Calc!F28)))/100)*(1-CHOOSE(ArtifactsInput!$N$40+1,5,6,7,8,9,10)/100)^(ArtifactsInput!$M$40-ArtifactsInput!$M$40)))/100)))*(1+(Inputs!$B$24+((C614=TRUE)*(F614-Calc!F26))+((C615=TRUE)*(F615-Calc!F27))+B628)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601=TRUE,F601,0)/100)*(1+(IF(Skills!A12="ARROW_STREAM",Inputs!$B$17+((C612=TRUE)*(F612-Calc!F24))+(((IF(AND(ArtifactsInput!$M$42,((Inputs!$B$9+((C609=TRUE)*(F609-Calc!F21))+B622+(ArtifactsInput!$M$24-ArtifactsInput!$M$24)*CHOOSE(ArtifactsInput!$N$24+1,10,12,14,16,18,20)+IF(ArtifactsInput!$M$10,CHOOSE(ArtifactsInput!$N$10+1,15,18,21,24,27,30)*(IF(Inputs!$B$38="pvp",MIN(15,15)/15,IF(AND(Inputs!$B$38&lt;&gt;"pvp",Inputs!$B$43&gt;0),MIN(15,Inputs!$B$43)/(Inputs!$B$43),0))),0)))&gt;=100),MIN(100,((Inputs!$B$9+((C609=TRUE)*(F609-Calc!F21))+B622+(ArtifactsInput!$M$24-ArtifactsInput!$M$24)*CHOOSE(ArtifactsInput!$N$24+1,10,12,14,16,18,20)+IF(ArtifactsInput!$M$10,CHOOSE(ArtifactsInput!$N$10+1,15,18,21,24,27,30)*(IF(Inputs!$B$38="pvp",MIN(15,15)/15,IF(AND(Inputs!$B$38&lt;&gt;"pvp",Inputs!$B$43&gt;0),MIN(15,Inputs!$B$43)/(Inputs!$B$43),0))),0)))-100),0))*CHOOSE(ArtifactsInput!$N$42+1,0.6,0.72,0.84,0.96,1.08,1.2))),Inputs!$B$18+((C617=TRUE)*(F617-Calc!F29))+(IF(AND(ArtifactsInput!$M$42,((Inputs!$B$9+((C609=TRUE)*(F609-Calc!F21))+B622+(ArtifactsInput!$M$24-ArtifactsInput!$M$24)*CHOOSE(ArtifactsInput!$N$24+1,10,12,14,16,18,20)+IF(ArtifactsInput!$M$10,CHOOSE(ArtifactsInput!$N$10+1,15,18,21,24,27,30)*(IF(Inputs!$B$38="pvp",MIN(15,15)/15,IF(AND(Inputs!$B$38&lt;&gt;"pvp",Inputs!$B$43&gt;0),MIN(15,Inputs!$B$43)/(Inputs!$B$43),0))),0)))&gt;=100),CHOOSE(ArtifactsInput!$N$42+1,40,48,56,64,72,80),0))))/100)*((1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600)</f>
        <v/>
      </c>
      <c r="L600">
        <f>K600*(MIN(Inputs!$B$22+((C613=TRUE)*(F613-Calc!F25)),(Inputs!$B$23+((C618=TRUE)*(F618-Calc!F30))+(IF(ArtifactsInput!$M$15,CHOOSE(ArtifactsInput!$N$15+1,25,30,35,40,45,50)/100*(Inputs!$B$11-Inputs!$B$11),0))))/100+(Inputs!$B$23+((C618=TRUE)*(F618-Calc!F30))+(IF(ArtifactsInput!$M$15,CHOOSE(ArtifactsInput!$N$15+1,25,30,35,40,45,50)/100*(Inputs!$B$11-Inputs!$B$11),0)))/100)/2</f>
        <v/>
      </c>
      <c r="M600">
        <f>L600*(1+((Inputs!$B$10+1)+0+B627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0">
        <f>L600*(1-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600*(MIN((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0">
        <f>(1-Summary!$B$11)*T600+Summary!$B$11*V600</f>
        <v/>
      </c>
      <c r="P600">
        <f>IF(B632=0,0,O600/B632)</f>
        <v/>
      </c>
      <c r="Q600">
        <f>IFERROR(1/(IF(Inputs!$B$38="pvp",15,MAX(0.1,Skills!D12-IF(Skills!E12=TRUE,Inputs!$B$32,0)))*(1-IF(AND(ArtifactsInput!$M$27,Inputs!$B$4="Chapter Hunt"),CHOOSE(ArtifactsInput!$N$27+1,20,24,28,32,36,40),0)/100)),0)</f>
        <v/>
      </c>
      <c r="R600">
        <f>IF(AND(Inputs!$B$38&lt;&gt;"pvp",Inputs!$B$43&gt;0),IF(MAX(0,Inputs!$B$43-B629)&lt;=0,0,(INT(MAX(0,Inputs!$B$43-B629)/(IF(Inputs!$B$38="pvp",15,MAX(0.1,Skills!D12-IF(Skills!E12=TRUE,Inputs!$B$32,0)))*(1-IF(AND(ArtifactsInput!$M$27,Inputs!$B$4="Chapter Hunt"),CHOOSE(ArtifactsInput!$N$27+1,20,24,28,32,36,40),0)/100)))+1)),0)</f>
        <v/>
      </c>
      <c r="S600">
        <f>IFERROR(O600/N600,0)</f>
        <v/>
      </c>
      <c r="T600">
        <f>IF(C600,(H600*N600*IF(AND(Inputs!$B$38&lt;&gt;"pvp",Inputs!$B$43&gt;0),((Skills!G12*((R600-1)*IF(Skills!H12&gt;0,Skills!I12/Skills!H12,1)+IF(Skills!H12&gt;0,MIN(Skills!I12,MAX(0,MAX(0,Inputs!$B$43-B629)-((R600-1)*(IF(Inputs!$B$38="pvp",15,MAX(0.1,Skills!D12-IF(Skills!E12=TRUE,Inputs!$B$32,0)))*(1-IF(AND(ArtifactsInput!$M$27,Inputs!$B$4="Chapter Hunt"),CHOOSE(ArtifactsInput!$N$27+1,20,24,28,32,36,40),0)/100)))))/Skills!H12,1)))/Inputs!$B$43),G600*Q600)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(5000/(6000+Inputs!$B$42*(1-(100*(1-(1-(100*(1-(1-(Inputs!$B$19+((C616=TRUE)*(F616-Calc!F28)))/100)*(1-CHOOSE(ArtifactsInput!$N$40+1,5,6,7,8,9,10)/100)^(ArtifactsInput!$M$40-ArtifactsInput!$M$40)))/100)*(1-IF(ArtifactsInput!$M$40,CHOOSE(ArtifactsInput!$N$40+1,5,6,7,8,9,10),0)/100)^IF(Inputs!$B$38="pvp",1,2)))/100)))/(5000/(6000+Inputs!$B$42*(1-(100*(1-(1-(Inputs!$B$19+((C616=TRUE)*(F616-Calc!F28)))/100)*(1-CHOOSE(ArtifactsInput!$N$40+1,5,6,7,8,9,10)/100)^(ArtifactsInput!$M$40-ArtifactsInput!$M$40)))/100))))*((L600*(1-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600*(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600*(1-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600*(MIN(100,(Inputs!$B$9+((C609=TRUE)*(F609-Calc!F21))+B622+(ArtifactsInput!$M$24-ArtifactsInput!$M$24)*CHOOSE(ArtifactsInput!$N$24+1,10,12,14,16,18,20)+(IF(AND(ArtifactsInput!$M$42,((Inputs!$B$9+((C609=TRUE)*(F609-Calc!F21))+B622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00">
        <f>IF(C600,(H600*N600*IF(AND(Inputs!$B$38&lt;&gt;"pvp",Inputs!$B$43&gt;0),((Skills!G12*((R600-1)*IF(Skills!H12&gt;0,Skills!I12/Skills!H12,1)+IF(Skills!H12&gt;0,MIN(Skills!I12,MAX(0,MAX(0,Inputs!$B$43-B629)-((R600-1)*(IF(Inputs!$B$38="pvp",15,MAX(0.1,Skills!D12-IF(Skills!E12=TRUE,Inputs!$B$32,0)))*(1-IF(AND(ArtifactsInput!$M$27,Inputs!$B$4="Chapter Hunt"),CHOOSE(ArtifactsInput!$N$27+1,20,24,28,32,36,40),0)/100)))))/Skills!H12,1)))/Inputs!$B$43),G600*Q600))*IF(Inputs!$B$38="pvp",1,(1+(Inputs!$B$21+Skills!Q12+(IF(ArtifactsInput!$M$33,CHOOSE(ArtifactsInput!$N$33+1,30,36,42,48,54,60),0))+(IF(AND(ArtifactsInput!$M$35,Inputs!$B$4&lt;&gt;"Chapter Hunt"),CHOOSE(ArtifactsInput!$N$35+1,15,18,21,24,27,30)*(1-EXP(-(0.2*B624)*5)),0)+IF(AND(ArtifactsInput!$M$22,Inputs!$B$4&lt;&gt;"Chapter Hunt"),CHOOSE(ArtifactsInput!$N$22+1,10,12,14,16,18,20)*((0*(((0.15*B624*5))^0/1)+1*(((0.15*B624*5))^1/1)+2*(((0.15*B624*5))^2/2)+3*(((0.15*B624*5))^3/6)+4*(((0.15*B624*5))^4/24)+5*(((0.15*B624*5))^5/120))/((((0.15*B624*5))^0/1)+(((0.15*B624*5))^1/1)+(((0.15*B624*5))^2/2)+(((0.15*B624*5))^3/6)+(((0.15*B624*5))^4/24)+(((0.15*B624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1">
      <c r="A601">
        <f>Skills!A13</f>
        <v/>
      </c>
      <c r="B601">
        <f>Skills!B13</f>
        <v/>
      </c>
      <c r="C601">
        <f>Inputs!$B$3&gt;=110</f>
        <v/>
      </c>
      <c r="D601">
        <f>IF(Skills!C13=1,60+Inputs!$B$25+Inputs!$B$29,IF(Skills!C13=2,90+Inputs!$B$26+Inputs!$B$29,IF(Skills!C13=3,120+Inputs!$B$27+Inputs!$B$29,MAX(0,(Inputs!$B$3-100)*3)+Inputs!$B$28+Inputs!$B$29)))</f>
        <v/>
      </c>
      <c r="E601">
        <f>INDEX(FactorTable!$B$2:$Y$301, MATCH(ROUND(MIN(300,MAX(1,D601)),0), FactorTable!$A$2:$A$301,0), Skills!M13+1)</f>
        <v/>
      </c>
      <c r="F601">
        <f>IF(Skills!N13=TRUE,(Skills!L13/10)*(E601/1000),Skills!L13/10)+Skills!O13</f>
        <v/>
      </c>
      <c r="G601" t="inlineStr"/>
      <c r="H601" t="inlineStr"/>
      <c r="I601" t="inlineStr">
        <is>
          <t>1</t>
        </is>
      </c>
      <c r="J601" t="inlineStr"/>
      <c r="K601" t="inlineStr"/>
      <c r="L601" t="inlineStr"/>
      <c r="M601" t="inlineStr"/>
      <c r="N601" t="inlineStr"/>
      <c r="O601" t="inlineStr"/>
      <c r="P601" t="inlineStr"/>
      <c r="Q601" t="inlineStr"/>
      <c r="R601" t="inlineStr"/>
      <c r="S601" t="inlineStr"/>
      <c r="T601" t="inlineStr"/>
      <c r="V601" t="inlineStr"/>
    </row>
    <row r="602">
      <c r="A602">
        <f>Skills!A14</f>
        <v/>
      </c>
      <c r="B602">
        <f>Skills!B14</f>
        <v/>
      </c>
      <c r="C602">
        <f>Inputs!$B$3&gt;=74</f>
        <v/>
      </c>
      <c r="D602">
        <f>IF(Skills!C14=1,60+Inputs!$B$25+Inputs!$B$29,IF(Skills!C14=2,90+Inputs!$B$26+Inputs!$B$29,IF(Skills!C14=3,120+Inputs!$B$27+Inputs!$B$29,MAX(0,(Inputs!$B$3-100)*3)+Inputs!$B$28+Inputs!$B$29)))</f>
        <v/>
      </c>
      <c r="E602">
        <f>INDEX(FactorTable!$B$2:$Y$301, MATCH(ROUND(MIN(300,MAX(1,D602)),0), FactorTable!$A$2:$A$301,0), Skills!M14+1)</f>
        <v/>
      </c>
      <c r="F602">
        <f>IF(Skills!N14=TRUE,(Skills!L14/10)*(E602/1000),Skills!L14/10)+Skills!O14</f>
        <v/>
      </c>
      <c r="G602">
        <f>Skills!G14*IF(Skills!H14&gt;0,Skills!I14/Skills!H14,1)</f>
        <v/>
      </c>
      <c r="H602">
        <f>1-(1-Skills!J14/100)^Skills!K14</f>
        <v/>
      </c>
      <c r="I602" t="inlineStr">
        <is>
          <t>1</t>
        </is>
      </c>
      <c r="J602" t="inlineStr"/>
      <c r="K602" t="inlineStr"/>
      <c r="L602" t="inlineStr"/>
      <c r="M602" t="inlineStr"/>
      <c r="N602" t="inlineStr"/>
      <c r="O602">
        <f>(1-Summary!$B$11)*T602+Summary!$B$11*V602</f>
        <v/>
      </c>
      <c r="P602">
        <f>IF(B632=0,0,O602/B632)</f>
        <v/>
      </c>
      <c r="Q602" t="n">
        <v>0</v>
      </c>
      <c r="R602" t="n">
        <v>0</v>
      </c>
      <c r="S602">
        <f>IFERROR(O602/N602,0)</f>
        <v/>
      </c>
      <c r="T602" t="n">
        <v>0</v>
      </c>
      <c r="V602" t="n">
        <v>0</v>
      </c>
    </row>
    <row r="603">
      <c r="A603">
        <f>Skills!A15</f>
        <v/>
      </c>
      <c r="B603">
        <f>Skills!B15</f>
        <v/>
      </c>
      <c r="C603">
        <f>Inputs!$B$3&gt;=74</f>
        <v/>
      </c>
      <c r="D603">
        <f>IF(Skills!C15=1,60+Inputs!$B$25+Inputs!$B$29,IF(Skills!C15=2,90+Inputs!$B$26+Inputs!$B$29,IF(Skills!C15=3,120+Inputs!$B$27+Inputs!$B$29,MAX(0,(Inputs!$B$3-100)*3)+Inputs!$B$28+Inputs!$B$29)))</f>
        <v/>
      </c>
      <c r="E603">
        <f>INDEX(FactorTable!$B$2:$Y$301, MATCH(ROUND(MIN(300,MAX(1,D603)),0), FactorTable!$A$2:$A$301,0), Skills!M15+1)</f>
        <v/>
      </c>
      <c r="F603">
        <f>IF(Skills!N15=TRUE,(Skills!L15/10)*(E603/1000),Skills!L15/10)+Skills!O15</f>
        <v/>
      </c>
      <c r="G603">
        <f>Skills!G15*IF(Skills!H15&gt;0,Skills!I15/Skills!H15,1)</f>
        <v/>
      </c>
      <c r="H603">
        <f>1-(1-Skills!J15/100)^Skills!K15</f>
        <v/>
      </c>
      <c r="I603" t="inlineStr">
        <is>
          <t>1</t>
        </is>
      </c>
      <c r="J603" t="inlineStr"/>
      <c r="K603" t="inlineStr"/>
      <c r="L603" t="inlineStr"/>
      <c r="M603" t="inlineStr"/>
      <c r="N603" t="inlineStr"/>
      <c r="O603">
        <f>(1-Summary!$B$11)*T603+Summary!$B$11*V603</f>
        <v/>
      </c>
      <c r="P603">
        <f>IF(B632=0,0,O603/B632)</f>
        <v/>
      </c>
      <c r="Q603" t="n">
        <v>0</v>
      </c>
      <c r="R603" t="n">
        <v>0</v>
      </c>
      <c r="S603">
        <f>IFERROR(O603/N603,0)</f>
        <v/>
      </c>
      <c r="T603" t="n">
        <v>0</v>
      </c>
      <c r="V603" t="n">
        <v>0</v>
      </c>
    </row>
    <row r="604">
      <c r="A604">
        <f>Skills!A16</f>
        <v/>
      </c>
      <c r="B604">
        <f>Skills!B16</f>
        <v/>
      </c>
      <c r="C604">
        <f>Inputs!$B$3&gt;=117</f>
        <v/>
      </c>
      <c r="D604">
        <f>IF(Skills!C16=1,60+Inputs!$B$25+Inputs!$B$29,IF(Skills!C16=2,90+Inputs!$B$26+Inputs!$B$29,IF(Skills!C16=3,120+Inputs!$B$27+Inputs!$B$29,MAX(0,(Inputs!$B$3-100)*3)+Inputs!$B$28+Inputs!$B$29)))</f>
        <v/>
      </c>
      <c r="E604">
        <f>INDEX(FactorTable!$B$2:$Y$301, MATCH(ROUND(MIN(300,MAX(1,D604)),0), FactorTable!$A$2:$A$301,0), Skills!M16+1)</f>
        <v/>
      </c>
      <c r="F604">
        <f>IF(Skills!N16=TRUE,(Skills!L16/10)*(E604/1000),Skills!L16/10)+Skills!O16</f>
        <v/>
      </c>
      <c r="G604">
        <f>Skills!G16*IF(Skills!H16&gt;0,Skills!I16/Skills!H16,1)</f>
        <v/>
      </c>
      <c r="H604">
        <f>1-(1-Skills!J16/100)^Skills!K16</f>
        <v/>
      </c>
      <c r="I604" t="inlineStr">
        <is>
          <t>1</t>
        </is>
      </c>
      <c r="J604" t="inlineStr"/>
      <c r="K604" t="inlineStr"/>
      <c r="L604" t="inlineStr"/>
      <c r="M604" t="inlineStr"/>
      <c r="N604" t="inlineStr"/>
      <c r="O604">
        <f>(1-Summary!$B$11)*T604+Summary!$B$11*V604</f>
        <v/>
      </c>
      <c r="P604">
        <f>IF(B632=0,0,O604/B632)</f>
        <v/>
      </c>
      <c r="Q604">
        <f>IFERROR(1/(IF(Inputs!$B$38="pvp",15,MAX(0.1,Skills!D16-IF(Skills!E16=TRUE,Inputs!$B$32,0)))*(1-IF(AND(ArtifactsInput!$M$27,Inputs!$B$4="Chapter Hunt"),CHOOSE(ArtifactsInput!$N$27+1,20,24,28,32,36,40),0)/100)),0)</f>
        <v/>
      </c>
      <c r="R604">
        <f>IF(AND(Inputs!$B$38&lt;&gt;"pvp",Inputs!$B$43&gt;0),IF(Inputs!$B$43&lt;=0,0,(INT(Inputs!$B$43/(IF(Inputs!$B$38="pvp",15,MAX(0.1,Skills!D16-IF(Skills!E16=TRUE,Inputs!$B$32,0)))*(1-IF(AND(ArtifactsInput!$M$27,Inputs!$B$4="Chapter Hunt"),CHOOSE(ArtifactsInput!$N$27+1,20,24,28,32,36,40),0)/100)))+1)),0)</f>
        <v/>
      </c>
      <c r="S604">
        <f>IFERROR(O604/N604,0)</f>
        <v/>
      </c>
      <c r="T604" t="n">
        <v>0</v>
      </c>
      <c r="V604" t="n">
        <v>0</v>
      </c>
    </row>
    <row r="605">
      <c r="A605">
        <f>Skills!A17</f>
        <v/>
      </c>
      <c r="B605">
        <f>Skills!B17</f>
        <v/>
      </c>
      <c r="C605">
        <f>Inputs!$B$3&gt;=115</f>
        <v/>
      </c>
      <c r="D605">
        <f>IF(Skills!C17=1,60+Inputs!$B$25+Inputs!$B$29,IF(Skills!C17=2,90+Inputs!$B$26+Inputs!$B$29,IF(Skills!C17=3,120+Inputs!$B$27+Inputs!$B$29,MAX(0,(Inputs!$B$3-100)*3)+Inputs!$B$28+Inputs!$B$29)))</f>
        <v/>
      </c>
      <c r="E605">
        <f>INDEX(FactorTable!$B$2:$Y$301, MATCH(ROUND(MIN(300,MAX(1,D605)),0), FactorTable!$A$2:$A$301,0), Skills!M17+1)</f>
        <v/>
      </c>
      <c r="F605">
        <f>IF(Skills!N17=TRUE,(Skills!L17/10)*(E605/1000),Skills!L17/10)+Skills!O17</f>
        <v/>
      </c>
      <c r="G605">
        <f>Skills!G17*IF(Skills!H17&gt;0,Skills!I17/Skills!H17,1)</f>
        <v/>
      </c>
      <c r="H605">
        <f>1-(1-Skills!J17/100)^Skills!K17</f>
        <v/>
      </c>
      <c r="I605" t="inlineStr">
        <is>
          <t>1</t>
        </is>
      </c>
      <c r="J605" t="inlineStr"/>
      <c r="K605" t="inlineStr"/>
      <c r="L605" t="inlineStr"/>
      <c r="M605" t="inlineStr"/>
      <c r="N605" t="inlineStr"/>
      <c r="O605">
        <f>(1-Summary!$B$11)*T605+Summary!$B$11*V605</f>
        <v/>
      </c>
      <c r="P605">
        <f>IF(B632=0,0,O605/B632)</f>
        <v/>
      </c>
      <c r="Q605">
        <f>IFERROR(1/(IF(Inputs!$B$38="pvp",15,MAX(0.1,Skills!D17-IF(Skills!E17=TRUE,Inputs!$B$32,0)))*(1-IF(AND(ArtifactsInput!$M$27,Inputs!$B$4="Chapter Hunt"),CHOOSE(ArtifactsInput!$N$27+1,20,24,28,32,36,40),0)/100)),0)</f>
        <v/>
      </c>
      <c r="R605">
        <f>IF(AND(Inputs!$B$38&lt;&gt;"pvp",Inputs!$B$43&gt;0),IF(Inputs!$B$43&lt;=0,0,(INT(Inputs!$B$43/(IF(Inputs!$B$38="pvp",15,MAX(0.1,Skills!D17-IF(Skills!E17=TRUE,Inputs!$B$32,0)))*(1-IF(AND(ArtifactsInput!$M$27,Inputs!$B$4="Chapter Hunt"),CHOOSE(ArtifactsInput!$N$27+1,20,24,28,32,36,40),0)/100)))+1)),0)</f>
        <v/>
      </c>
      <c r="S605">
        <f>IFERROR(O605/N605,0)</f>
        <v/>
      </c>
      <c r="T605" t="n">
        <v>0</v>
      </c>
      <c r="V605" t="n">
        <v>0</v>
      </c>
    </row>
    <row r="606">
      <c r="A606">
        <f>Skills!A18</f>
        <v/>
      </c>
      <c r="B606">
        <f>Skills!B18</f>
        <v/>
      </c>
      <c r="C606">
        <f>Inputs!$B$3&gt;=66</f>
        <v/>
      </c>
      <c r="D606">
        <f>IF(Skills!C18=1,60+Inputs!$B$25+Inputs!$B$29,IF(Skills!C18=2,90+Inputs!$B$26+Inputs!$B$29,IF(Skills!C18=3,120+Inputs!$B$27+Inputs!$B$29,MAX(0,(Inputs!$B$3-100)*3)+Inputs!$B$28+Inputs!$B$29)))</f>
        <v/>
      </c>
      <c r="E606">
        <f>INDEX(FactorTable!$B$2:$Y$301, MATCH(ROUND(MIN(300,MAX(1,D606)),0), FactorTable!$A$2:$A$301,0), Skills!M18+1)</f>
        <v/>
      </c>
      <c r="F606">
        <f>IF(Skills!N18=TRUE,(Skills!L18/10)*(E606/1000),Skills!L18/10)+Skills!O18</f>
        <v/>
      </c>
      <c r="G606">
        <f>Skills!G18*IF(Skills!H18&gt;0,Skills!I18/Skills!H18,1)</f>
        <v/>
      </c>
      <c r="H606">
        <f>1-(1-Skills!J18/100)^Skills!K18</f>
        <v/>
      </c>
      <c r="I606" t="inlineStr">
        <is>
          <t>1</t>
        </is>
      </c>
      <c r="J606" t="inlineStr"/>
      <c r="K606" t="inlineStr"/>
      <c r="L606" t="inlineStr"/>
      <c r="M606" t="inlineStr"/>
      <c r="N606" t="inlineStr"/>
      <c r="O606">
        <f>(1-Summary!$B$11)*T606+Summary!$B$11*V606</f>
        <v/>
      </c>
      <c r="P606">
        <f>IF(B632=0,0,O606/B632)</f>
        <v/>
      </c>
      <c r="Q606" t="n">
        <v>0</v>
      </c>
      <c r="R606" t="n">
        <v>0</v>
      </c>
      <c r="S606">
        <f>IFERROR(O606/N606,0)</f>
        <v/>
      </c>
      <c r="T606" t="n">
        <v>0</v>
      </c>
      <c r="V606" t="n">
        <v>0</v>
      </c>
    </row>
    <row r="607">
      <c r="A607">
        <f>Skills!A19</f>
        <v/>
      </c>
      <c r="B607">
        <f>Skills!B19</f>
        <v/>
      </c>
      <c r="C607">
        <f>Inputs!$B$3&gt;=72</f>
        <v/>
      </c>
      <c r="D607">
        <f>IF(Skills!C19=1,60+Inputs!$B$25+Inputs!$B$29,IF(Skills!C19=2,90+Inputs!$B$26+Inputs!$B$29,IF(Skills!C19=3,120+Inputs!$B$27+Inputs!$B$29,MAX(0,(Inputs!$B$3-100)*3)+Inputs!$B$28+Inputs!$B$29)))</f>
        <v/>
      </c>
      <c r="E607">
        <f>INDEX(FactorTable!$B$2:$Y$301, MATCH(ROUND(MIN(300,MAX(1,D607)),0), FactorTable!$A$2:$A$301,0), Skills!M19+1)</f>
        <v/>
      </c>
      <c r="F607">
        <f>IF(Skills!N19=TRUE,(Skills!L19/10)*(E607/1000),Skills!L19/10)+Skills!O19</f>
        <v/>
      </c>
      <c r="G607">
        <f>Skills!G19*IF(Skills!H19&gt;0,Skills!I19/Skills!H19,1)</f>
        <v/>
      </c>
      <c r="H607">
        <f>1-(1-Skills!J19/100)^Skills!K19</f>
        <v/>
      </c>
      <c r="I607" t="inlineStr">
        <is>
          <t>1</t>
        </is>
      </c>
      <c r="J607" t="inlineStr"/>
      <c r="K607" t="inlineStr"/>
      <c r="L607" t="inlineStr"/>
      <c r="M607" t="inlineStr"/>
      <c r="N607" t="inlineStr"/>
      <c r="O607">
        <f>(1-Summary!$B$11)*T607+Summary!$B$11*V607</f>
        <v/>
      </c>
      <c r="P607">
        <f>IF(B632=0,0,O607/B632)</f>
        <v/>
      </c>
      <c r="Q607" t="n">
        <v>0</v>
      </c>
      <c r="R607" t="n">
        <v>0</v>
      </c>
      <c r="S607">
        <f>IFERROR(O607/N607,0)</f>
        <v/>
      </c>
      <c r="T607" t="n">
        <v>0</v>
      </c>
      <c r="V607" t="n">
        <v>0</v>
      </c>
    </row>
    <row r="608">
      <c r="A608">
        <f>Skills!A20</f>
        <v/>
      </c>
      <c r="B608">
        <f>Skills!B20</f>
        <v/>
      </c>
      <c r="C608">
        <f>TRUE</f>
        <v/>
      </c>
      <c r="D608">
        <f>IF(Skills!C20=1,60+Inputs!$B$25+Inputs!$B$29,IF(Skills!C20=2,90+Inputs!$B$26+Inputs!$B$29,IF(Skills!C20=3,120+Inputs!$B$27+Inputs!$B$29,MAX(0,(Inputs!$B$3-100)*3)+Inputs!$B$28+Inputs!$B$29)))</f>
        <v/>
      </c>
      <c r="E608">
        <f>INDEX(FactorTable!$B$2:$Y$301, MATCH(ROUND(MIN(300,MAX(1,D608)),0), FactorTable!$A$2:$A$301,0), Skills!M20+1)</f>
        <v/>
      </c>
      <c r="F608">
        <f>IF(Skills!N20=TRUE,(Skills!L20/10)*(E608/1000),Skills!L20/10)+Skills!O20</f>
        <v/>
      </c>
      <c r="G608">
        <f>Skills!G20*IF(Skills!H20&gt;0,Skills!I20/Skills!H20,1)</f>
        <v/>
      </c>
      <c r="H608">
        <f>1-(1-Skills!J20/100)^Skills!K20</f>
        <v/>
      </c>
      <c r="I608" t="inlineStr">
        <is>
          <t>1</t>
        </is>
      </c>
      <c r="J608" t="inlineStr"/>
      <c r="K608" t="inlineStr"/>
      <c r="L608" t="inlineStr"/>
      <c r="M608" t="inlineStr"/>
      <c r="N608" t="inlineStr"/>
      <c r="O608">
        <f>(1-Summary!$B$11)*T608+Summary!$B$11*V608</f>
        <v/>
      </c>
      <c r="P608">
        <f>IF(B632=0,0,O608/B632)</f>
        <v/>
      </c>
      <c r="Q608">
        <f>IFERROR(1/(IF(Inputs!$B$38="pvp",15,MAX(0.1,Skills!D20-IF(Skills!E20=TRUE,Inputs!$B$32,0)))*(1-IF(AND(ArtifactsInput!$M$27,Inputs!$B$4="Chapter Hunt"),CHOOSE(ArtifactsInput!$N$27+1,20,24,28,32,36,40),0)/100)),0)</f>
        <v/>
      </c>
      <c r="R608">
        <f>IF(AND(Inputs!$B$38&lt;&gt;"pvp",Inputs!$B$43&gt;0),IF(Inputs!$B$43&lt;=0,0,(INT(Inputs!$B$43/(IF(Inputs!$B$38="pvp",15,MAX(0.1,Skills!D20-IF(Skills!E20=TRUE,Inputs!$B$32,0)))*(1-IF(AND(ArtifactsInput!$M$27,Inputs!$B$4="Chapter Hunt"),CHOOSE(ArtifactsInput!$N$27+1,20,24,28,32,36,40),0)/100)))+1)),0)</f>
        <v/>
      </c>
      <c r="S608">
        <f>IFERROR(O608/N608,0)</f>
        <v/>
      </c>
      <c r="T608" t="n">
        <v>0</v>
      </c>
      <c r="V608" t="n">
        <v>0</v>
      </c>
    </row>
    <row r="609">
      <c r="A609">
        <f>Skills!A21</f>
        <v/>
      </c>
      <c r="B609">
        <f>Skills!B21</f>
        <v/>
      </c>
      <c r="C609">
        <f>Inputs!$B$3&gt;=15</f>
        <v/>
      </c>
      <c r="D609">
        <f>IF(Skills!C21=1,60+Inputs!$B$25+Inputs!$B$29,IF(Skills!C21=2,90+Inputs!$B$26+Inputs!$B$29,IF(Skills!C21=3,120+Inputs!$B$27+Inputs!$B$29,MAX(0,(Inputs!$B$3-100)*3)+Inputs!$B$28+Inputs!$B$29)))</f>
        <v/>
      </c>
      <c r="E609">
        <f>INDEX(FactorTable!$B$2:$Y$301, MATCH(ROUND(MIN(300,MAX(1,D609)),0), FactorTable!$A$2:$A$301,0), Skills!M21+1)</f>
        <v/>
      </c>
      <c r="F609">
        <f>IF(Skills!N21=TRUE,(Skills!L21/10)*(E609/1000),Skills!L21/10)+Skills!O21</f>
        <v/>
      </c>
      <c r="G609">
        <f>Skills!G21*IF(Skills!H21&gt;0,Skills!I21/Skills!H21,1)</f>
        <v/>
      </c>
      <c r="H609">
        <f>1-(1-Skills!J21/100)^Skills!K21</f>
        <v/>
      </c>
      <c r="I609" t="inlineStr">
        <is>
          <t>1</t>
        </is>
      </c>
      <c r="J609" t="inlineStr"/>
      <c r="K609" t="inlineStr"/>
      <c r="L609" t="inlineStr"/>
      <c r="M609" t="inlineStr"/>
      <c r="N609" t="inlineStr"/>
      <c r="O609">
        <f>(1-Summary!$B$11)*T609+Summary!$B$11*V609</f>
        <v/>
      </c>
      <c r="P609">
        <f>IF(B632=0,0,O609/B632)</f>
        <v/>
      </c>
      <c r="Q609" t="n">
        <v>0</v>
      </c>
      <c r="R609" t="n">
        <v>0</v>
      </c>
      <c r="S609">
        <f>IFERROR(O609/N609,0)</f>
        <v/>
      </c>
      <c r="T609" t="n">
        <v>0</v>
      </c>
      <c r="V609" t="n">
        <v>0</v>
      </c>
    </row>
    <row r="610">
      <c r="A610">
        <f>Skills!A22</f>
        <v/>
      </c>
      <c r="B610">
        <f>Skills!B22</f>
        <v/>
      </c>
      <c r="C610">
        <f>Inputs!$B$3&gt;=10</f>
        <v/>
      </c>
      <c r="D610">
        <f>IF(Skills!C22=1,60+Inputs!$B$25+Inputs!$B$29,IF(Skills!C22=2,90+Inputs!$B$26+Inputs!$B$29,IF(Skills!C22=3,120+Inputs!$B$27+Inputs!$B$29,MAX(0,(Inputs!$B$3-100)*3)+Inputs!$B$28+Inputs!$B$29)))</f>
        <v/>
      </c>
      <c r="E610">
        <f>INDEX(FactorTable!$B$2:$Y$301, MATCH(ROUND(MIN(300,MAX(1,D610)),0), FactorTable!$A$2:$A$301,0), Skills!M22+1)</f>
        <v/>
      </c>
      <c r="F610">
        <f>IF(Skills!N22=TRUE,(Skills!L22/10)*(E610/1000),Skills!L22/10)+Skills!O22</f>
        <v/>
      </c>
      <c r="G610">
        <f>Skills!G22*IF(Skills!H22&gt;0,Skills!I22/Skills!H22,1)</f>
        <v/>
      </c>
      <c r="H610">
        <f>1-(1-Skills!J22/100)^Skills!K22</f>
        <v/>
      </c>
      <c r="I610" t="inlineStr">
        <is>
          <t>1</t>
        </is>
      </c>
      <c r="J610" t="inlineStr"/>
      <c r="K610" t="inlineStr"/>
      <c r="L610" t="inlineStr"/>
      <c r="M610" t="inlineStr"/>
      <c r="N610" t="inlineStr"/>
      <c r="O610">
        <f>(1-Summary!$B$11)*T610+Summary!$B$11*V610</f>
        <v/>
      </c>
      <c r="P610">
        <f>IF(B632=0,0,O610/B632)</f>
        <v/>
      </c>
      <c r="Q610" t="n">
        <v>0</v>
      </c>
      <c r="R610" t="n">
        <v>0</v>
      </c>
      <c r="S610">
        <f>IFERROR(O610/N610,0)</f>
        <v/>
      </c>
      <c r="T610" t="n">
        <v>0</v>
      </c>
      <c r="V610" t="n">
        <v>0</v>
      </c>
    </row>
    <row r="611">
      <c r="A611">
        <f>Skills!A23</f>
        <v/>
      </c>
      <c r="B611">
        <f>Skills!B23</f>
        <v/>
      </c>
      <c r="C611">
        <f>Inputs!$B$3&gt;=33</f>
        <v/>
      </c>
      <c r="D611">
        <f>IF(Skills!C23=1,60+Inputs!$B$25+Inputs!$B$29,IF(Skills!C23=2,90+Inputs!$B$26+Inputs!$B$29,IF(Skills!C23=3,120+Inputs!$B$27+Inputs!$B$29,MAX(0,(Inputs!$B$3-100)*3)+Inputs!$B$28+Inputs!$B$29)))</f>
        <v/>
      </c>
      <c r="E611">
        <f>INDEX(FactorTable!$B$2:$Y$301, MATCH(ROUND(MIN(300,MAX(1,D611)),0), FactorTable!$A$2:$A$301,0), Skills!M23+1)</f>
        <v/>
      </c>
      <c r="F611">
        <f>IF(Skills!N23=TRUE,(Skills!L23/10)*(E611/1000),Skills!L23/10)+Skills!O23</f>
        <v/>
      </c>
      <c r="G611">
        <f>Skills!G23*IF(Skills!H23&gt;0,Skills!I23/Skills!H23,1)</f>
        <v/>
      </c>
      <c r="H611">
        <f>1-(1-Skills!J23/100)^Skills!K23</f>
        <v/>
      </c>
      <c r="I611" t="inlineStr">
        <is>
          <t>1</t>
        </is>
      </c>
      <c r="J611" t="inlineStr"/>
      <c r="K611" t="inlineStr"/>
      <c r="L611" t="inlineStr"/>
      <c r="M611" t="inlineStr"/>
      <c r="N611" t="inlineStr"/>
      <c r="O611">
        <f>(1-Summary!$B$11)*T611+Summary!$B$11*V611</f>
        <v/>
      </c>
      <c r="P611">
        <f>IF(B632=0,0,O611/B632)</f>
        <v/>
      </c>
      <c r="Q611" t="n">
        <v>0</v>
      </c>
      <c r="R611" t="n">
        <v>0</v>
      </c>
      <c r="S611">
        <f>IFERROR(O611/N611,0)</f>
        <v/>
      </c>
      <c r="T611" t="n">
        <v>0</v>
      </c>
      <c r="V611" t="n">
        <v>0</v>
      </c>
    </row>
    <row r="612">
      <c r="A612">
        <f>Skills!A24</f>
        <v/>
      </c>
      <c r="B612">
        <f>Skills!B24</f>
        <v/>
      </c>
      <c r="C612">
        <f>Inputs!$B$3&gt;=38</f>
        <v/>
      </c>
      <c r="D612">
        <f>IF(Skills!C24=1,60+Inputs!$B$25+Inputs!$B$29,IF(Skills!C24=2,90+Inputs!$B$26+Inputs!$B$29,IF(Skills!C24=3,120+Inputs!$B$27+Inputs!$B$29,MAX(0,(Inputs!$B$3-100)*3)+Inputs!$B$28+Inputs!$B$29)))</f>
        <v/>
      </c>
      <c r="E612">
        <f>INDEX(FactorTable!$B$2:$Y$301, MATCH(ROUND(MIN(300,MAX(1,D612)),0), FactorTable!$A$2:$A$301,0), Skills!M24+1)</f>
        <v/>
      </c>
      <c r="F612">
        <f>IF(Skills!N24=TRUE,(Skills!L24/10)*(E612/1000),Skills!L24/10)+Skills!O24</f>
        <v/>
      </c>
      <c r="G612">
        <f>Skills!G24*IF(Skills!H24&gt;0,Skills!I24/Skills!H24,1)</f>
        <v/>
      </c>
      <c r="H612">
        <f>1-(1-Skills!J24/100)^Skills!K24</f>
        <v/>
      </c>
      <c r="I612" t="inlineStr">
        <is>
          <t>1</t>
        </is>
      </c>
      <c r="J612" t="inlineStr"/>
      <c r="K612" t="inlineStr"/>
      <c r="L612" t="inlineStr"/>
      <c r="M612" t="inlineStr"/>
      <c r="N612" t="inlineStr"/>
      <c r="O612">
        <f>(1-Summary!$B$11)*T612+Summary!$B$11*V612</f>
        <v/>
      </c>
      <c r="P612">
        <f>IF(B632=0,0,O612/B632)</f>
        <v/>
      </c>
      <c r="Q612" t="n">
        <v>0</v>
      </c>
      <c r="R612" t="n">
        <v>0</v>
      </c>
      <c r="S612">
        <f>IFERROR(O612/N612,0)</f>
        <v/>
      </c>
      <c r="T612" t="n">
        <v>0</v>
      </c>
      <c r="V612" t="n">
        <v>0</v>
      </c>
    </row>
    <row r="613">
      <c r="A613">
        <f>Skills!A25</f>
        <v/>
      </c>
      <c r="B613">
        <f>Skills!B25</f>
        <v/>
      </c>
      <c r="C613">
        <f>Inputs!$B$3&gt;=43</f>
        <v/>
      </c>
      <c r="D613">
        <f>IF(Skills!C25=1,60+Inputs!$B$25+Inputs!$B$29,IF(Skills!C25=2,90+Inputs!$B$26+Inputs!$B$29,IF(Skills!C25=3,120+Inputs!$B$27+Inputs!$B$29,MAX(0,(Inputs!$B$3-100)*3)+Inputs!$B$28+Inputs!$B$29)))</f>
        <v/>
      </c>
      <c r="E613">
        <f>INDEX(FactorTable!$B$2:$Y$301, MATCH(ROUND(MIN(300,MAX(1,D613)),0), FactorTable!$A$2:$A$301,0), Skills!M25+1)</f>
        <v/>
      </c>
      <c r="F613">
        <f>IF(Skills!N25=TRUE,(Skills!L25/10)*(E613/1000),Skills!L25/10)+Skills!O25</f>
        <v/>
      </c>
      <c r="G613">
        <f>Skills!G25*IF(Skills!H25&gt;0,Skills!I25/Skills!H25,1)</f>
        <v/>
      </c>
      <c r="H613">
        <f>1-(1-Skills!J25/100)^Skills!K25</f>
        <v/>
      </c>
      <c r="I613" t="inlineStr">
        <is>
          <t>1</t>
        </is>
      </c>
      <c r="J613" t="inlineStr"/>
      <c r="K613" t="inlineStr"/>
      <c r="L613" t="inlineStr"/>
      <c r="M613" t="inlineStr"/>
      <c r="N613" t="inlineStr"/>
      <c r="O613">
        <f>(1-Summary!$B$11)*T613+Summary!$B$11*V613</f>
        <v/>
      </c>
      <c r="P613">
        <f>IF(B632=0,0,O613/B632)</f>
        <v/>
      </c>
      <c r="Q613" t="n">
        <v>0</v>
      </c>
      <c r="R613" t="n">
        <v>0</v>
      </c>
      <c r="S613">
        <f>IFERROR(O613/N613,0)</f>
        <v/>
      </c>
      <c r="T613" t="n">
        <v>0</v>
      </c>
      <c r="V613" t="n">
        <v>0</v>
      </c>
    </row>
    <row r="614">
      <c r="A614">
        <f>Skills!A26</f>
        <v/>
      </c>
      <c r="B614">
        <f>Skills!B26</f>
        <v/>
      </c>
      <c r="C614">
        <f>Inputs!$B$3&gt;=75</f>
        <v/>
      </c>
      <c r="D614">
        <f>IF(Skills!C26=1,60+Inputs!$B$25+Inputs!$B$29,IF(Skills!C26=2,90+Inputs!$B$26+Inputs!$B$29,IF(Skills!C26=3,120+Inputs!$B$27+Inputs!$B$29,MAX(0,(Inputs!$B$3-100)*3)+Inputs!$B$28+Inputs!$B$29)))</f>
        <v/>
      </c>
      <c r="E614">
        <f>INDEX(FactorTable!$B$2:$Y$301, MATCH(ROUND(MIN(300,MAX(1,D614)),0), FactorTable!$A$2:$A$301,0), Skills!M26+1)</f>
        <v/>
      </c>
      <c r="F614">
        <f>IF(Skills!N26=TRUE,(Skills!L26/10)*(E614/1000),Skills!L26/10)+Skills!O26</f>
        <v/>
      </c>
      <c r="G614">
        <f>Skills!G26*IF(Skills!H26&gt;0,Skills!I26/Skills!H26,1)</f>
        <v/>
      </c>
      <c r="H614">
        <f>1-(1-Skills!J26/100)^Skills!K26</f>
        <v/>
      </c>
      <c r="I614" t="inlineStr">
        <is>
          <t>1</t>
        </is>
      </c>
      <c r="J614" t="inlineStr"/>
      <c r="K614" t="inlineStr"/>
      <c r="L614" t="inlineStr"/>
      <c r="M614" t="inlineStr"/>
      <c r="N614" t="inlineStr"/>
      <c r="O614">
        <f>(1-Summary!$B$11)*T614+Summary!$B$11*V614</f>
        <v/>
      </c>
      <c r="P614">
        <f>IF(B632=0,0,O614/B632)</f>
        <v/>
      </c>
      <c r="Q614" t="n">
        <v>0</v>
      </c>
      <c r="R614" t="n">
        <v>0</v>
      </c>
      <c r="S614">
        <f>IFERROR(O614/N614,0)</f>
        <v/>
      </c>
      <c r="T614" t="n">
        <v>0</v>
      </c>
      <c r="V614" t="n">
        <v>0</v>
      </c>
    </row>
    <row r="615">
      <c r="A615">
        <f>Skills!A27</f>
        <v/>
      </c>
      <c r="B615">
        <f>Skills!B27</f>
        <v/>
      </c>
      <c r="C615">
        <f>Inputs!$B$3&gt;=125</f>
        <v/>
      </c>
      <c r="D615">
        <f>IF(Skills!C27=1,60+Inputs!$B$25+Inputs!$B$29,IF(Skills!C27=2,90+Inputs!$B$26+Inputs!$B$29,IF(Skills!C27=3,120+Inputs!$B$27+Inputs!$B$29,MAX(0,(Inputs!$B$3-100)*3)+Inputs!$B$28+Inputs!$B$29)))</f>
        <v/>
      </c>
      <c r="E615">
        <f>INDEX(FactorTable!$B$2:$Y$301, MATCH(ROUND(MIN(300,MAX(1,D615)),0), FactorTable!$A$2:$A$301,0), Skills!M27+1)</f>
        <v/>
      </c>
      <c r="F615">
        <f>IF(Skills!N27=TRUE,(Skills!L27/10)*(E615/1000),Skills!L27/10)+Skills!O27</f>
        <v/>
      </c>
      <c r="G615">
        <f>Skills!G27*IF(Skills!H27&gt;0,Skills!I27/Skills!H27,1)</f>
        <v/>
      </c>
      <c r="H615">
        <f>1-(1-Skills!J27/100)^Skills!K27</f>
        <v/>
      </c>
      <c r="I615" t="inlineStr">
        <is>
          <t>1</t>
        </is>
      </c>
      <c r="J615" t="inlineStr"/>
      <c r="K615" t="inlineStr"/>
      <c r="L615" t="inlineStr"/>
      <c r="M615" t="inlineStr"/>
      <c r="N615" t="inlineStr"/>
      <c r="O615">
        <f>(1-Summary!$B$11)*T615+Summary!$B$11*V615</f>
        <v/>
      </c>
      <c r="P615">
        <f>IF(B632=0,0,O615/B632)</f>
        <v/>
      </c>
      <c r="Q615" t="n">
        <v>0</v>
      </c>
      <c r="R615" t="n">
        <v>0</v>
      </c>
      <c r="S615">
        <f>IFERROR(O615/N615,0)</f>
        <v/>
      </c>
      <c r="T615" t="n">
        <v>0</v>
      </c>
      <c r="V615" t="n">
        <v>0</v>
      </c>
    </row>
    <row r="616">
      <c r="A616">
        <f>Skills!A28</f>
        <v/>
      </c>
      <c r="B616">
        <f>Skills!B28</f>
        <v/>
      </c>
      <c r="C616">
        <f>Inputs!$B$3&gt;=125</f>
        <v/>
      </c>
      <c r="D616">
        <f>IF(Skills!C28=1,60+Inputs!$B$25+Inputs!$B$29,IF(Skills!C28=2,90+Inputs!$B$26+Inputs!$B$29,IF(Skills!C28=3,120+Inputs!$B$27+Inputs!$B$29,MAX(0,(Inputs!$B$3-100)*3)+Inputs!$B$28+Inputs!$B$29)))</f>
        <v/>
      </c>
      <c r="E616">
        <f>INDEX(FactorTable!$B$2:$Y$301, MATCH(ROUND(MIN(300,MAX(1,D616)),0), FactorTable!$A$2:$A$301,0), Skills!M28+1)</f>
        <v/>
      </c>
      <c r="F616">
        <f>IF(Skills!N28=TRUE,(Skills!L28/10)*(E616/1000),Skills!L28/10)+Skills!O28</f>
        <v/>
      </c>
      <c r="G616">
        <f>Skills!G28*IF(Skills!H28&gt;0,Skills!I28/Skills!H28,1)</f>
        <v/>
      </c>
      <c r="H616">
        <f>1-(1-Skills!J28/100)^Skills!K28</f>
        <v/>
      </c>
      <c r="I616" t="inlineStr">
        <is>
          <t>1</t>
        </is>
      </c>
      <c r="J616" t="inlineStr"/>
      <c r="K616" t="inlineStr"/>
      <c r="L616" t="inlineStr"/>
      <c r="M616" t="inlineStr"/>
      <c r="N616" t="inlineStr"/>
      <c r="O616">
        <f>(1-Summary!$B$11)*T616+Summary!$B$11*V616</f>
        <v/>
      </c>
      <c r="P616">
        <f>IF(B632=0,0,O616/B632)</f>
        <v/>
      </c>
      <c r="Q616" t="n">
        <v>0</v>
      </c>
      <c r="R616" t="n">
        <v>0</v>
      </c>
      <c r="S616">
        <f>IFERROR(O616/N616,0)</f>
        <v/>
      </c>
      <c r="T616" t="n">
        <v>0</v>
      </c>
      <c r="V616" t="n">
        <v>0</v>
      </c>
    </row>
    <row r="617">
      <c r="A617">
        <f>Skills!A29</f>
        <v/>
      </c>
      <c r="B617">
        <f>Skills!B29</f>
        <v/>
      </c>
      <c r="C617">
        <f>Inputs!$B$3&gt;=120</f>
        <v/>
      </c>
      <c r="D617">
        <f>IF(Skills!C29=1,60+Inputs!$B$25+Inputs!$B$29,IF(Skills!C29=2,90+Inputs!$B$26+Inputs!$B$29,IF(Skills!C29=3,120+Inputs!$B$27+Inputs!$B$29,MAX(0,(Inputs!$B$3-100)*3)+Inputs!$B$28+Inputs!$B$29)))</f>
        <v/>
      </c>
      <c r="E617">
        <f>INDEX(FactorTable!$B$2:$Y$301, MATCH(ROUND(MIN(300,MAX(1,D617)),0), FactorTable!$A$2:$A$301,0), Skills!M29+1)</f>
        <v/>
      </c>
      <c r="F617">
        <f>IF(Skills!N29=TRUE,(Skills!L29/10)*(E617/1000),Skills!L29/10)+Skills!O29</f>
        <v/>
      </c>
      <c r="G617">
        <f>Skills!G29*IF(Skills!H29&gt;0,Skills!I29/Skills!H29,1)</f>
        <v/>
      </c>
      <c r="H617">
        <f>1-(1-Skills!J29/100)^Skills!K29</f>
        <v/>
      </c>
      <c r="I617" t="inlineStr">
        <is>
          <t>1</t>
        </is>
      </c>
      <c r="J617" t="inlineStr"/>
      <c r="K617" t="inlineStr"/>
      <c r="L617" t="inlineStr"/>
      <c r="M617" t="inlineStr"/>
      <c r="N617" t="inlineStr"/>
      <c r="O617">
        <f>(1-Summary!$B$11)*T617+Summary!$B$11*V617</f>
        <v/>
      </c>
      <c r="P617">
        <f>IF(B632=0,0,O617/B632)</f>
        <v/>
      </c>
      <c r="Q617" t="n">
        <v>0</v>
      </c>
      <c r="R617" t="n">
        <v>0</v>
      </c>
      <c r="S617">
        <f>IFERROR(O617/N617,0)</f>
        <v/>
      </c>
      <c r="T617" t="n">
        <v>0</v>
      </c>
      <c r="V617" t="n">
        <v>0</v>
      </c>
    </row>
    <row r="618">
      <c r="A618">
        <f>Skills!A30</f>
        <v/>
      </c>
      <c r="B618">
        <f>Skills!B30</f>
        <v/>
      </c>
      <c r="C618">
        <f>Inputs!$B$3&gt;=120</f>
        <v/>
      </c>
      <c r="D618">
        <f>IF(Skills!C30=1,60+Inputs!$B$25+Inputs!$B$29,IF(Skills!C30=2,90+Inputs!$B$26+Inputs!$B$29,IF(Skills!C30=3,120+Inputs!$B$27+Inputs!$B$29,MAX(0,(Inputs!$B$3-100)*3)+Inputs!$B$28+Inputs!$B$29)))</f>
        <v/>
      </c>
      <c r="E618">
        <f>INDEX(FactorTable!$B$2:$Y$301, MATCH(ROUND(MIN(300,MAX(1,D618)),0), FactorTable!$A$2:$A$301,0), Skills!M30+1)</f>
        <v/>
      </c>
      <c r="F618">
        <f>IF(Skills!N30=TRUE,(Skills!L30/10)*(E618/1000),Skills!L30/10)+Skills!O30</f>
        <v/>
      </c>
      <c r="G618">
        <f>Skills!G30*IF(Skills!H30&gt;0,Skills!I30/Skills!H30,1)</f>
        <v/>
      </c>
      <c r="H618">
        <f>1-(1-Skills!J30/100)^Skills!K30</f>
        <v/>
      </c>
      <c r="I618" t="inlineStr">
        <is>
          <t>1</t>
        </is>
      </c>
      <c r="J618" t="inlineStr"/>
      <c r="K618" t="inlineStr"/>
      <c r="L618" t="inlineStr"/>
      <c r="M618" t="inlineStr"/>
      <c r="N618" t="inlineStr"/>
      <c r="O618">
        <f>(1-Summary!$B$11)*T618+Summary!$B$11*V618</f>
        <v/>
      </c>
      <c r="P618">
        <f>IF(B632=0,0,O618/B632)</f>
        <v/>
      </c>
      <c r="Q618" t="n">
        <v>0</v>
      </c>
      <c r="R618" t="n">
        <v>0</v>
      </c>
      <c r="S618">
        <f>IFERROR(O618/N618,0)</f>
        <v/>
      </c>
      <c r="T618" t="n">
        <v>0</v>
      </c>
      <c r="V618" t="n">
        <v>0</v>
      </c>
    </row>
    <row r="619">
      <c r="A619">
        <f>Skills!A31</f>
        <v/>
      </c>
      <c r="B619">
        <f>Skills!B31</f>
        <v/>
      </c>
      <c r="C619">
        <f>Inputs!$B$3&gt;=45</f>
        <v/>
      </c>
      <c r="D619">
        <f>IF(Skills!C31=1,60+Inputs!$B$25+Inputs!$B$29,IF(Skills!C31=2,90+Inputs!$B$26+Inputs!$B$29,IF(Skills!C31=3,120+Inputs!$B$27+Inputs!$B$29,MAX(0,(Inputs!$B$3-100)*3)+Inputs!$B$28+Inputs!$B$29)))</f>
        <v/>
      </c>
      <c r="E619">
        <f>INDEX(FactorTable!$B$2:$Y$301, MATCH(ROUND(MIN(300,MAX(1,D619)),0), FactorTable!$A$2:$A$301,0), Skills!M31+1)</f>
        <v/>
      </c>
      <c r="F619">
        <f>IF(Skills!N31=TRUE,(Skills!L31/10)*(E619/1000),Skills!L31/10)+Skills!O31</f>
        <v/>
      </c>
      <c r="G619">
        <f>Skills!G31*IF(Skills!H31&gt;0,Skills!I31/Skills!H31,1)</f>
        <v/>
      </c>
      <c r="H619">
        <f>1-(1-Skills!J31/100)^Skills!K31</f>
        <v/>
      </c>
      <c r="I619" t="inlineStr">
        <is>
          <t>1</t>
        </is>
      </c>
      <c r="J619" t="inlineStr"/>
      <c r="K619" t="inlineStr"/>
      <c r="L619" t="inlineStr"/>
      <c r="M619" t="inlineStr"/>
      <c r="N619" t="inlineStr"/>
      <c r="O619">
        <f>(1-Summary!$B$11)*T619+Summary!$B$11*V619</f>
        <v/>
      </c>
      <c r="P619">
        <f>IF(B632=0,0,O619/B632)</f>
        <v/>
      </c>
      <c r="Q619" t="n">
        <v>0</v>
      </c>
      <c r="R619" t="n">
        <v>0</v>
      </c>
      <c r="S619">
        <f>IFERROR(O619/N619,0)</f>
        <v/>
      </c>
      <c r="T619" t="n">
        <v>0</v>
      </c>
      <c r="V619" t="n">
        <v>0</v>
      </c>
    </row>
    <row r="621">
      <c r="A621" t="inlineStr">
        <is>
          <t>Attack% Bucket Multiplier</t>
        </is>
      </c>
      <c r="B621">
        <f>(1+(((C602=TRUE)*F602)+((C603=TRUE)*IF(Inputs!$B$38="pvp",F603,(1-Summary!$B$11)*(F603)+Summary!$B$11*(0)))+((C604=TRUE)*F604*IF(AND(Inputs!$B$38&lt;&gt;"pvp",Inputs!$B$43&gt;0),(((R604-1)*(Skills!T16*(1+Inputs!$B$34/100))+MIN((Skills!T16*(1+Inputs!$B$34/100)),MAX(0,Inputs!$B$43-((R604-1)*Skills!D16))))/Inputs!$B$43),IF(Inputs!$B$38="pvp",MIN((Skills!T16*(1+Inputs!$B$34/100)),15)/15,(Skills!T16*(1+Inputs!$B$34/100))/Skills!D16)))+((C619=TRUE)*(F619-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22">
      <c r="A622" t="inlineStr">
        <is>
          <t>Global Crit Rate Bonus %</t>
        </is>
      </c>
      <c r="B622">
        <f>(C605=TRUE)*20*IF(AND(Inputs!$B$38&lt;&gt;"pvp",Inputs!$B$43&gt;0),(((R605-1)*(Skills!T17*(1+Inputs!$B$34/100))+MIN((Skills!T17*(1+Inputs!$B$34/100)),MAX(0,Inputs!$B$43-((R605-1)*Skills!D17))))/Inputs!$B$43),IF(Inputs!$B$38="pvp",MIN((Skills!T17*(1+Inputs!$B$34/100)),15)/15,(Skills!T17*(1+Inputs!$B$34/100))/Skills!D17))</f>
        <v/>
      </c>
    </row>
    <row r="623">
      <c r="A623" t="inlineStr">
        <is>
          <t>Attack Speed Buff Bonus %</t>
        </is>
      </c>
      <c r="B623">
        <f>((C608=TRUE)*F608*IF(AND(Inputs!$B$38&lt;&gt;"pvp",Inputs!$B$43&gt;0),(((R608-1)*(Skills!T20*(1+Inputs!$B$34/100))+MIN((Skills!T20*(1+Inputs!$B$34/100)),MAX(0,Inputs!$B$43-((R608-1)*Skills!D20))))/Inputs!$B$43),IF(Inputs!$B$38="pvp",MIN((Skills!T20*(1+Inputs!$B$34/100)),15)/15,(Skills!T20*(1+Inputs!$B$34/100))/Skills!D20)))</f>
        <v/>
      </c>
    </row>
    <row r="624">
      <c r="A624" t="inlineStr">
        <is>
          <t>Actions Per Second</t>
        </is>
      </c>
      <c r="B624">
        <f>1+MIN(150,150*(1-(1-(Inputs!$B$11+((C610=TRUE)*(F610-Calc!F22))+((C611=TRUE)*(F611-Calc!F23)))/150)*(1-B623/150)))/100</f>
        <v/>
      </c>
    </row>
    <row r="625">
      <c r="A625" t="inlineStr">
        <is>
          <t>Skill + Buff Cast Rate</t>
        </is>
      </c>
      <c r="B625">
        <f>IF(AND(Inputs!$B$38&lt;&gt;"pvp",Inputs!$B$43&gt;0),SUMPRODUCT((Skills!E2:E31=TRUE)*(C590:C619=TRUE)*R590:R619*Skills!F2:F31)/Inputs!$B$43,SUMPRODUCT((Skills!E2:E31=TRUE)*(C590:C619=TRUE)*Q590:Q619*Skills!F2:F31))</f>
        <v/>
      </c>
    </row>
    <row r="626">
      <c r="A626" t="inlineStr">
        <is>
          <t>Arrow Stream Casts Per Second</t>
        </is>
      </c>
      <c r="B626">
        <f>MAX(0,B624-B625)</f>
        <v/>
      </c>
    </row>
    <row r="627">
      <c r="A627" t="inlineStr">
        <is>
          <t>Global Critical Damage Bonus % (Sharp Eyes + Concentration)</t>
        </is>
      </c>
      <c r="B627">
        <f>(C605=TRUE)*F605*IF(AND(Inputs!$B$38&lt;&gt;"pvp",Inputs!$B$43&gt;0),(((R605-1)*(Skills!T17*(1+Inputs!$B$34/100))+MIN((Skills!T17*(1+Inputs!$B$34/100)),MAX(0,Inputs!$B$43-((R605-1)*Skills!D17))))/Inputs!$B$43),IF(Inputs!$B$38="pvp",MIN((Skills!T17*(1+Inputs!$B$34/100)),15)/15,(Skills!T17*(1+Inputs!$B$34/100))/Skills!D17))+(C606=TRUE)*30</f>
        <v/>
      </c>
    </row>
    <row r="628">
      <c r="A628" t="inlineStr">
        <is>
          <t>Global Final Damage Bonus % (Mortal Blow)</t>
        </is>
      </c>
      <c r="B628">
        <f>(C607=TRUE)*F607</f>
        <v/>
      </c>
    </row>
    <row r="629">
      <c r="A629" t="inlineStr">
        <is>
          <t>Buff-Casting Startup Delay (s, fixed-duration only)</t>
        </is>
      </c>
      <c r="B629">
        <f>IF(AND(Inputs!$B$38&lt;&gt;"pvp",Inputs!$B$43&gt;0),SUMPRODUCT((Skills!T2:T31&gt;0)*(Skills!E2:E31=TRUE)*(C590:C619=TRUE))/B624,0)</f>
        <v/>
      </c>
    </row>
    <row r="630">
      <c r="A630" t="inlineStr">
        <is>
          <t>Boss-Only Total DPS (this block's swept value)</t>
        </is>
      </c>
      <c r="B630">
        <f>SUM(T590:T619)</f>
        <v/>
      </c>
    </row>
    <row r="631">
      <c r="A631" t="inlineStr">
        <is>
          <t>Normal-Only Total DPS (this block's swept value)</t>
        </is>
      </c>
      <c r="B631">
        <f>SUM(V590:V619)</f>
        <v/>
      </c>
    </row>
    <row r="632">
      <c r="A632" s="6" t="inlineStr">
        <is>
          <t>TOTAL DPS</t>
        </is>
      </c>
      <c r="B632" s="6">
        <f>SUM(O590:O619)</f>
        <v/>
      </c>
    </row>
    <row r="635">
      <c r="A635" s="6" t="inlineStr">
        <is>
          <t>Stat: ATTACK_SPEED % (diminishing returns, factor 150)</t>
        </is>
      </c>
    </row>
    <row r="636">
      <c r="A636" s="5" t="inlineStr">
        <is>
          <t>Key</t>
        </is>
      </c>
      <c r="B636" s="5" t="inlineStr">
        <is>
          <t>Name</t>
        </is>
      </c>
      <c r="C636" s="5" t="inlineStr">
        <is>
          <t>Unlocked</t>
        </is>
      </c>
      <c r="D636" s="5" t="inlineStr">
        <is>
          <t>InputLevel</t>
        </is>
      </c>
      <c r="E636" s="5" t="inlineStr">
        <is>
          <t>Factor</t>
        </is>
      </c>
      <c r="F636" s="5" t="inlineStr">
        <is>
          <t>CoefficientPercent</t>
        </is>
      </c>
      <c r="G636" s="5" t="inlineStr">
        <is>
          <t>EffectiveHits</t>
        </is>
      </c>
      <c r="H636" s="5" t="inlineStr">
        <is>
          <t>ProcProbability</t>
        </is>
      </c>
      <c r="I636" s="5" t="inlineStr">
        <is>
          <t>MapleHeroMultiplier</t>
        </is>
      </c>
      <c r="J636" s="5" t="inlineStr">
        <is>
          <t>BaseDamage</t>
        </is>
      </c>
      <c r="K636" s="5" t="inlineStr">
        <is>
          <t>BaseHitDamage</t>
        </is>
      </c>
      <c r="L636" s="5" t="inlineStr">
        <is>
          <t>NonCritAvg</t>
        </is>
      </c>
      <c r="M636" s="5" t="inlineStr">
        <is>
          <t>CritAvg</t>
        </is>
      </c>
      <c r="N636" s="5" t="inlineStr">
        <is>
          <t>ExpectedDamage(perHit)</t>
        </is>
      </c>
      <c r="O636" s="5" t="inlineStr">
        <is>
          <t>DPS</t>
        </is>
      </c>
      <c r="P636" s="5" t="inlineStr">
        <is>
          <t>% of Total</t>
        </is>
      </c>
      <c r="Q636" s="5" t="inlineStr">
        <is>
          <t>InvCooldown</t>
        </is>
      </c>
      <c r="R636" s="5" t="inlineStr">
        <is>
          <t>CastsInFight</t>
        </is>
      </c>
      <c r="S636" s="5" t="inlineStr">
        <is>
          <t>HitRate(perSec)</t>
        </is>
      </c>
      <c r="U636" t="inlineStr">
        <is>
          <t>helpers</t>
        </is>
      </c>
    </row>
    <row r="637">
      <c r="A637">
        <f>Skills!A2</f>
        <v/>
      </c>
      <c r="B637">
        <f>Skills!B2</f>
        <v/>
      </c>
      <c r="C637">
        <f>Inputs!$B$3&gt;=100</f>
        <v/>
      </c>
      <c r="D637" t="inlineStr"/>
      <c r="E637" t="inlineStr"/>
      <c r="F637">
        <f>U639+Skills!O2</f>
        <v/>
      </c>
      <c r="G637">
        <f>Skills!G2*IF(Skills!H2&gt;0,Skills!I2/Skills!H2,1)</f>
        <v/>
      </c>
      <c r="H637">
        <f>1-(1-Skills!J2/100)^Skills!K2</f>
        <v/>
      </c>
      <c r="I637" t="inlineStr">
        <is>
          <t>1</t>
        </is>
      </c>
      <c r="J637">
        <f>((Inputs!$B$6*(1+Inputs!$B$7/100))+(((Inputs!$B$12*(1+Inputs!$B$13/100))-(Inputs!$B$12*(1+Inputs!$B$13/100)))+0.25*(Inputs!$B$14-Inputs!$B$14))*(1+Inputs!$B$7/100))*(F637/100)</f>
        <v/>
      </c>
      <c r="K637">
        <f>J637*(1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637)</f>
        <v/>
      </c>
      <c r="L637">
        <f>K637*(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37">
        <f>L637*(1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7">
        <f>L637*(1-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637*(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7">
        <f>(1-Summary!$B$11)*T637+Summary!$B$11*V637</f>
        <v/>
      </c>
      <c r="P637">
        <f>IF(B679=0,0,O637/B679)</f>
        <v/>
      </c>
      <c r="Q637" t="n">
        <v>0</v>
      </c>
      <c r="R637" t="n">
        <v>0</v>
      </c>
      <c r="S637">
        <f>IFERROR(O637/N637,0)</f>
        <v/>
      </c>
      <c r="T637">
        <f>IF(C637,(Skills!G2*N637*B673)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637*(1-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637*(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637*(1-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637*(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37">
        <f>MAX(0,(Inputs!$B$3-100)*3)+Inputs!$B$28+Inputs!$B$29</f>
        <v/>
      </c>
      <c r="V637">
        <f>IF(C637,(Skills!G2*N637*B673)*IF(Inputs!$B$38="pvp",1,(1+(Inputs!$B$21+Skills!Q2+(IF(ArtifactsInput!$M$33,CHOOSE(ArtifactsInput!$N$33+1,30,36,42,48,54,60),0))+(IF(AND(ArtifactsInput!$M$35,Inputs!$B$4&lt;&gt;"Chapter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8">
      <c r="A638">
        <f>Skills!A3</f>
        <v/>
      </c>
      <c r="B638">
        <f>Skills!B3</f>
        <v/>
      </c>
      <c r="C638">
        <f>Inputs!$B$3&gt;=50</f>
        <v/>
      </c>
      <c r="D638">
        <f>IF(Skills!C3=1,60+Inputs!$B$25+Inputs!$B$29,IF(Skills!C3=2,90+Inputs!$B$26+Inputs!$B$29,IF(Skills!C3=3,120+Inputs!$B$27+Inputs!$B$29,MAX(0,(Inputs!$B$3-100)*3)+Inputs!$B$28+Inputs!$B$29)))</f>
        <v/>
      </c>
      <c r="E638">
        <f>INDEX(FactorTable!$B$2:$Y$301, MATCH(ROUND(MIN(300,MAX(1,D638)),0), FactorTable!$A$2:$A$301,0), Skills!M3+1)</f>
        <v/>
      </c>
      <c r="F638">
        <f>IF(Skills!N3=TRUE,(Skills!L3/10)*(E638/1000),Skills!L3/10)+Skills!O3</f>
        <v/>
      </c>
      <c r="G638">
        <f>Skills!G3*IF(Skills!H3&gt;0,Skills!I3/Skills!H3,1)</f>
        <v/>
      </c>
      <c r="H638">
        <f>1-(1-Skills!J3/100)^Skills!K3</f>
        <v/>
      </c>
      <c r="I638" t="inlineStr">
        <is>
          <t>1</t>
        </is>
      </c>
      <c r="J638">
        <f>((Inputs!$B$6*(1+Inputs!$B$7/100))+(((Inputs!$B$12*(1+Inputs!$B$13/100))-(Inputs!$B$12*(1+Inputs!$B$13/100)))+0.25*(Inputs!$B$14-Inputs!$B$14))*(1+Inputs!$B$7/100))*(F638/100)</f>
        <v/>
      </c>
      <c r="K638">
        <f>J638*(1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639=TRUE,F639,0)/100)*(1+(IF(Skills!A3="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638)</f>
        <v/>
      </c>
      <c r="L638">
        <f>K638*(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38">
        <f>L638*(1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8">
        <f>L638*(1-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638*(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8">
        <f>(1-Summary!$B$11)*T638+Summary!$B$11*V638</f>
        <v/>
      </c>
      <c r="P638">
        <f>IF(B679=0,0,O638/B679)</f>
        <v/>
      </c>
      <c r="Q638">
        <f>IFERROR(1/(IF(Inputs!$B$38="pvp",15,MAX(0.1,Skills!D3-IF(Skills!E3=TRUE,Inputs!$B$32,0)))*(1-IF(AND(ArtifactsInput!$M$27,Inputs!$B$4="Chapter Hunt"),CHOOSE(ArtifactsInput!$N$27+1,20,24,28,32,36,40),0)/100)),0)</f>
        <v/>
      </c>
      <c r="R638">
        <f>IF(AND(Inputs!$B$38&lt;&gt;"pvp",Inputs!$B$43&gt;0),IF(MAX(0,Inputs!$B$43-B676)&lt;=0,0,(INT(MAX(0,Inputs!$B$43-B676)/(IF(Inputs!$B$38="pvp",15,MAX(0.1,Skills!D3-IF(Skills!E3=TRUE,Inputs!$B$32,0)))*(1-IF(AND(ArtifactsInput!$M$27,Inputs!$B$4="Chapter Hunt"),CHOOSE(ArtifactsInput!$N$27+1,20,24,28,32,36,40),0)/100)))+1)),0)</f>
        <v/>
      </c>
      <c r="S638">
        <f>IFERROR(O638/N638,0)</f>
        <v/>
      </c>
      <c r="T638">
        <f>IF(C638,(H638*N638*IF(AND(Inputs!$B$38&lt;&gt;"pvp",Inputs!$B$43&gt;0),((Skills!G3*((R638-1)*IF(Skills!H3&gt;0,Skills!I3/Skills!H3,1)+IF(Skills!H3&gt;0,MIN(Skills!I3,MAX(0,MAX(0,Inputs!$B$43-B676)-((R638-1)*(IF(Inputs!$B$38="pvp",15,MAX(0.1,Skills!D3-IF(Skills!E3=TRUE,Inputs!$B$32,0)))*(1-IF(AND(ArtifactsInput!$M$27,Inputs!$B$4="Chapter Hunt"),CHOOSE(ArtifactsInput!$N$27+1,20,24,28,32,36,40),0)/100)))))/Skills!H3,1)))/Inputs!$B$43),G638*Q638)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638*(1-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638*(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638*(1-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638*(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38">
        <f>INDEX(FactorTable!$B$2:$Y$301, MATCH(ROUND(MIN(300,MAX(1,U637)),0), FactorTable!$A$2:$A$301,0), 22)</f>
        <v/>
      </c>
      <c r="V638">
        <f>IF(C638,(H638*N638*IF(AND(Inputs!$B$38&lt;&gt;"pvp",Inputs!$B$43&gt;0),((Skills!G3*((R638-1)*IF(Skills!H3&gt;0,Skills!I3/Skills!H3,1)+IF(Skills!H3&gt;0,MIN(Skills!I3,MAX(0,MAX(0,Inputs!$B$43-B676)-((R638-1)*(IF(Inputs!$B$38="pvp",15,MAX(0.1,Skills!D3-IF(Skills!E3=TRUE,Inputs!$B$32,0)))*(1-IF(AND(ArtifactsInput!$M$27,Inputs!$B$4="Chapter Hunt"),CHOOSE(ArtifactsInput!$N$27+1,20,24,28,32,36,40),0)/100)))))/Skills!H3,1)))/Inputs!$B$43),G638*Q638))*IF(Inputs!$B$38="pvp",1,(1+(Inputs!$B$21+Skills!Q3+(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9">
      <c r="A639">
        <f>Skills!A4</f>
        <v/>
      </c>
      <c r="B639">
        <f>Skills!B4</f>
        <v/>
      </c>
      <c r="C639">
        <f>Inputs!$B$3&gt;=105</f>
        <v/>
      </c>
      <c r="D639">
        <f>IF(Skills!C4=1,60+Inputs!$B$25+Inputs!$B$29,IF(Skills!C4=2,90+Inputs!$B$26+Inputs!$B$29,IF(Skills!C4=3,120+Inputs!$B$27+Inputs!$B$29,MAX(0,(Inputs!$B$3-100)*3)+Inputs!$B$28+Inputs!$B$29)))</f>
        <v/>
      </c>
      <c r="E639">
        <f>INDEX(FactorTable!$B$2:$Y$301, MATCH(ROUND(MIN(300,MAX(1,D639)),0), FactorTable!$A$2:$A$301,0), Skills!M4+1)</f>
        <v/>
      </c>
      <c r="F639">
        <f>IF(Skills!N4=TRUE,(Skills!L4/10)*(E639/1000),Skills!L4/10)+Skills!O4</f>
        <v/>
      </c>
      <c r="G639" t="inlineStr"/>
      <c r="H639" t="inlineStr"/>
      <c r="I639" t="inlineStr">
        <is>
          <t>1</t>
        </is>
      </c>
      <c r="J639" t="inlineStr"/>
      <c r="K639" t="inlineStr"/>
      <c r="L639" t="inlineStr"/>
      <c r="M639" t="inlineStr"/>
      <c r="N639" t="inlineStr"/>
      <c r="O639" t="inlineStr"/>
      <c r="P639" t="inlineStr"/>
      <c r="Q639" t="inlineStr"/>
      <c r="R639" t="inlineStr"/>
      <c r="S639" t="inlineStr"/>
      <c r="T639" t="inlineStr"/>
      <c r="U639">
        <f>290*U638/1000</f>
        <v/>
      </c>
      <c r="V639" t="inlineStr"/>
    </row>
    <row r="640">
      <c r="A640">
        <f>Skills!A5</f>
        <v/>
      </c>
      <c r="B640">
        <f>Skills!B5</f>
        <v/>
      </c>
      <c r="C640">
        <f>Inputs!$B$3&gt;=35</f>
        <v/>
      </c>
      <c r="D640">
        <f>IF(Skills!C5=1,60+Inputs!$B$25+Inputs!$B$29,IF(Skills!C5=2,90+Inputs!$B$26+Inputs!$B$29,IF(Skills!C5=3,120+Inputs!$B$27+Inputs!$B$29,MAX(0,(Inputs!$B$3-100)*3)+Inputs!$B$28+Inputs!$B$29)))</f>
        <v/>
      </c>
      <c r="E640">
        <f>INDEX(FactorTable!$B$2:$Y$301, MATCH(ROUND(MIN(300,MAX(1,D640)),0), FactorTable!$A$2:$A$301,0), Skills!M5+1)</f>
        <v/>
      </c>
      <c r="F640">
        <f>IF(Skills!N5=TRUE,(Skills!L5/10)*(E640/1000),Skills!L5/10)+Skills!O5</f>
        <v/>
      </c>
      <c r="G640">
        <f>Skills!G5*IF(Skills!H5&gt;0,Skills!I5/Skills!H5,1)</f>
        <v/>
      </c>
      <c r="H640">
        <f>1-(1-Skills!J5/100)^Skills!K5</f>
        <v/>
      </c>
      <c r="I640" t="inlineStr">
        <is>
          <t>1</t>
        </is>
      </c>
      <c r="J640">
        <f>((Inputs!$B$6*(1+Inputs!$B$7/100))+(((Inputs!$B$12*(1+Inputs!$B$13/100))-(Inputs!$B$12*(1+Inputs!$B$13/100)))+0.25*(Inputs!$B$14-Inputs!$B$14))*(1+Inputs!$B$7/100))*(F640/100)</f>
        <v/>
      </c>
      <c r="K640">
        <f>J640*(1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+4.0*IF(C646=TRUE,F646,0)/100)*(1+(IF(Skills!A5="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640)</f>
        <v/>
      </c>
      <c r="L640">
        <f>K640*(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0">
        <f>L640*(1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0">
        <f>L640*(1-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640*(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0">
        <f>(1-Summary!$B$11)*T640+Summary!$B$11*V640</f>
        <v/>
      </c>
      <c r="P640">
        <f>IF(B679=0,0,O640/B679)</f>
        <v/>
      </c>
      <c r="Q640">
        <f>IFERROR(1/(IF(Inputs!$B$38="pvp",15,MAX(0.1,Skills!D5-IF(Skills!E5=TRUE,Inputs!$B$32,0)))*(1-IF(AND(ArtifactsInput!$M$27,Inputs!$B$4="Chapter Hunt"),CHOOSE(ArtifactsInput!$N$27+1,20,24,28,32,36,40),0)/100)),0)</f>
        <v/>
      </c>
      <c r="R640">
        <f>IF(AND(Inputs!$B$38&lt;&gt;"pvp",Inputs!$B$43&gt;0),IF(MAX(0,Inputs!$B$43-B676)&lt;=0,0,(INT(MAX(0,Inputs!$B$43-B676)/(IF(Inputs!$B$38="pvp",15,MAX(0.1,Skills!D5-IF(Skills!E5=TRUE,Inputs!$B$32,0)))*(1-IF(AND(ArtifactsInput!$M$27,Inputs!$B$4="Chapter Hunt"),CHOOSE(ArtifactsInput!$N$27+1,20,24,28,32,36,40),0)/100)))+1)),0)</f>
        <v/>
      </c>
      <c r="S640">
        <f>IFERROR(O640/N640,0)</f>
        <v/>
      </c>
      <c r="T640">
        <f>IF(C640,(H640*N640*IF(AND(Inputs!$B$38&lt;&gt;"pvp",Inputs!$B$43&gt;0),((Skills!G5*((R640-1)*IF(Skills!H5&gt;0,Skills!I5/Skills!H5,1)+IF(Skills!H5&gt;0,MIN(Skills!I5,MAX(0,MAX(0,Inputs!$B$43-B676)-((R640-1)*(IF(Inputs!$B$38="pvp",15,MAX(0.1,Skills!D5-IF(Skills!E5=TRUE,Inputs!$B$32,0)))*(1-IF(AND(ArtifactsInput!$M$27,Inputs!$B$4="Chapter Hunt"),CHOOSE(ArtifactsInput!$N$27+1,20,24,28,32,36,40),0)/100)))))/Skills!H5,1)))/Inputs!$B$43),G640*Q640)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640*(1-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640*(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640*(1-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640*(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0">
        <f>IF(C640,(H640*N640*IF(AND(Inputs!$B$38&lt;&gt;"pvp",Inputs!$B$43&gt;0),((Skills!G5*((R640-1)*IF(Skills!H5&gt;0,Skills!I5/Skills!H5,1)+IF(Skills!H5&gt;0,MIN(Skills!I5,MAX(0,MAX(0,Inputs!$B$43-B676)-((R640-1)*(IF(Inputs!$B$38="pvp",15,MAX(0.1,Skills!D5-IF(Skills!E5=TRUE,Inputs!$B$32,0)))*(1-IF(AND(ArtifactsInput!$M$27,Inputs!$B$4="Chapter Hunt"),CHOOSE(ArtifactsInput!$N$27+1,20,24,28,32,36,40),0)/100)))))/Skills!H5,1)))/Inputs!$B$43),G640*Q640))*IF(Inputs!$B$38="pvp",1,(1+(Inputs!$B$21+Skills!Q5+(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1">
      <c r="A641">
        <f>Skills!A6</f>
        <v/>
      </c>
      <c r="B641">
        <f>Skills!B6</f>
        <v/>
      </c>
      <c r="C641">
        <f>Inputs!$B$3&gt;=40</f>
        <v/>
      </c>
      <c r="D641">
        <f>IF(Skills!C6=1,60+Inputs!$B$25+Inputs!$B$29,IF(Skills!C6=2,90+Inputs!$B$26+Inputs!$B$29,IF(Skills!C6=3,120+Inputs!$B$27+Inputs!$B$29,MAX(0,(Inputs!$B$3-100)*3)+Inputs!$B$28+Inputs!$B$29)))</f>
        <v/>
      </c>
      <c r="E641">
        <f>INDEX(FactorTable!$B$2:$Y$301, MATCH(ROUND(MIN(300,MAX(1,D641)),0), FactorTable!$A$2:$A$301,0), Skills!M6+1)</f>
        <v/>
      </c>
      <c r="F641">
        <f>IF(Skills!N6=TRUE,(Skills!L6/10)*(E641/1000),Skills!L6/10)+Skills!O6</f>
        <v/>
      </c>
      <c r="G641">
        <f>Skills!G6*IF(Skills!H6&gt;0,Skills!I6/Skills!H6,1)</f>
        <v/>
      </c>
      <c r="H641">
        <f>1-(1-Skills!J6/100)^Skills!K6</f>
        <v/>
      </c>
      <c r="I641" t="inlineStr">
        <is>
          <t>1</t>
        </is>
      </c>
      <c r="J641">
        <f>((Inputs!$B$6*(1+Inputs!$B$7/100))+(((Inputs!$B$12*(1+Inputs!$B$13/100))-(Inputs!$B$12*(1+Inputs!$B$13/100)))+0.25*(Inputs!$B$14-Inputs!$B$14))*(1+Inputs!$B$7/100))*(F641/100)</f>
        <v/>
      </c>
      <c r="K641">
        <f>J641*(1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642=TRUE,F642,0)/100)*(1+(IF(Skills!A6="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641)</f>
        <v/>
      </c>
      <c r="L641">
        <f>K641*(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1">
        <f>L641*(1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1">
        <f>L641*(1-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1">
        <f>(1-Summary!$B$11)*T641+Summary!$B$11*V641</f>
        <v/>
      </c>
      <c r="P641">
        <f>IF(B679=0,0,O641/B679)</f>
        <v/>
      </c>
      <c r="Q641">
        <f>IFERROR(1/(IF(Inputs!$B$38="pvp",15,MAX(0.1,Skills!D6-IF(Skills!E6=TRUE,Inputs!$B$32,0)))*(1-IF(AND(ArtifactsInput!$M$27,Inputs!$B$4="Chapter Hunt"),CHOOSE(ArtifactsInput!$N$27+1,20,24,28,32,36,40),0)/100)),0)</f>
        <v/>
      </c>
      <c r="R641">
        <f>IF(AND(Inputs!$B$38&lt;&gt;"pvp",Inputs!$B$43&gt;0),IF(MAX(0,Inputs!$B$43-B676)&lt;=0,0,(INT(MAX(0,Inputs!$B$43-B676)/(IF(Inputs!$B$38="pvp",15,MAX(0.1,Skills!D6-IF(Skills!E6=TRUE,Inputs!$B$32,0)))*(1-IF(AND(ArtifactsInput!$M$27,Inputs!$B$4="Chapter Hunt"),CHOOSE(ArtifactsInput!$N$27+1,20,24,28,32,36,40),0)/100)))+1)),0)</f>
        <v/>
      </c>
      <c r="S641">
        <f>IFERROR(O641/N641,0)</f>
        <v/>
      </c>
      <c r="T641">
        <f>IF(C641,(H641*N641*IF(AND(Inputs!$B$38&lt;&gt;"pvp",Inputs!$B$43&gt;0),((Skills!G6*((R641-1)*IF(Skills!H6&gt;0,Skills!I6/Skills!H6,1)+IF(Skills!H6&gt;0,MIN(Skills!I6,MAX(0,MAX(0,Inputs!$B$43-B676)-((R641-1)*(IF(Inputs!$B$38="pvp",15,MAX(0.1,Skills!D6-IF(Skills!E6=TRUE,Inputs!$B$32,0)))*(1-IF(AND(ArtifactsInput!$M$27,Inputs!$B$4="Chapter Hunt"),CHOOSE(ArtifactsInput!$N$27+1,20,24,28,32,36,40),0)/100)))))/Skills!H6,1)))/Inputs!$B$43),G641*Q641)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641*(1-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641*(1-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1">
        <f>IF(C641,(H641*N641*IF(AND(Inputs!$B$38&lt;&gt;"pvp",Inputs!$B$43&gt;0),((Skills!G6*((R641-1)*IF(Skills!H6&gt;0,Skills!I6/Skills!H6,1)+IF(Skills!H6&gt;0,MIN(Skills!I6,MAX(0,MAX(0,Inputs!$B$43-B676)-((R641-1)*(IF(Inputs!$B$38="pvp",15,MAX(0.1,Skills!D6-IF(Skills!E6=TRUE,Inputs!$B$32,0)))*(1-IF(AND(ArtifactsInput!$M$27,Inputs!$B$4="Chapter Hunt"),CHOOSE(ArtifactsInput!$N$27+1,20,24,28,32,36,40),0)/100)))))/Skills!H6,1)))/Inputs!$B$43),G641*Q641))*IF(Inputs!$B$38="pvp",1,(1+(Inputs!$B$21+Skills!Q6+(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2">
      <c r="A642">
        <f>Skills!A7</f>
        <v/>
      </c>
      <c r="B642">
        <f>Skills!B7</f>
        <v/>
      </c>
      <c r="C642">
        <f>Inputs!$B$3&gt;=107</f>
        <v/>
      </c>
      <c r="D642">
        <f>IF(Skills!C7=1,60+Inputs!$B$25+Inputs!$B$29,IF(Skills!C7=2,90+Inputs!$B$26+Inputs!$B$29,IF(Skills!C7=3,120+Inputs!$B$27+Inputs!$B$29,MAX(0,(Inputs!$B$3-100)*3)+Inputs!$B$28+Inputs!$B$29)))</f>
        <v/>
      </c>
      <c r="E642">
        <f>INDEX(FactorTable!$B$2:$Y$301, MATCH(ROUND(MIN(300,MAX(1,D642)),0), FactorTable!$A$2:$A$301,0), Skills!M7+1)</f>
        <v/>
      </c>
      <c r="F642">
        <f>IF(Skills!N7=TRUE,(Skills!L7/10)*(E642/1000),Skills!L7/10)+Skills!O7</f>
        <v/>
      </c>
      <c r="G642" t="inlineStr"/>
      <c r="H642" t="inlineStr"/>
      <c r="I642" t="inlineStr">
        <is>
          <t>1</t>
        </is>
      </c>
      <c r="J642" t="inlineStr"/>
      <c r="K642" t="inlineStr"/>
      <c r="L642" t="inlineStr"/>
      <c r="M642" t="inlineStr"/>
      <c r="N642" t="inlineStr"/>
      <c r="O642" t="inlineStr"/>
      <c r="P642" t="inlineStr"/>
      <c r="Q642" t="inlineStr"/>
      <c r="R642" t="inlineStr"/>
      <c r="S642" t="inlineStr"/>
      <c r="T642" t="inlineStr"/>
      <c r="V642" t="inlineStr"/>
    </row>
    <row r="643">
      <c r="A643">
        <f>Skills!A8</f>
        <v/>
      </c>
      <c r="B643">
        <f>Skills!B8</f>
        <v/>
      </c>
      <c r="C643">
        <f>Inputs!$B$3&gt;=69</f>
        <v/>
      </c>
      <c r="D643">
        <f>IF(Skills!C8=1,60+Inputs!$B$25+Inputs!$B$29,IF(Skills!C8=2,90+Inputs!$B$26+Inputs!$B$29,IF(Skills!C8=3,120+Inputs!$B$27+Inputs!$B$29,MAX(0,(Inputs!$B$3-100)*3)+Inputs!$B$28+Inputs!$B$29)))</f>
        <v/>
      </c>
      <c r="E643">
        <f>INDEX(FactorTable!$B$2:$Y$301, MATCH(ROUND(MIN(300,MAX(1,D643)),0), FactorTable!$A$2:$A$301,0), Skills!M8+1)</f>
        <v/>
      </c>
      <c r="F643">
        <f>IF(Skills!N8=TRUE,(Skills!L8/10)*(E643/1000),Skills!L8/10)+Skills!O8</f>
        <v/>
      </c>
      <c r="G643">
        <f>Skills!G8*IF(Skills!H8&gt;0,Skills!I8/Skills!H8,1)</f>
        <v/>
      </c>
      <c r="H643">
        <f>1-(1-Skills!J8/100)^Skills!K8</f>
        <v/>
      </c>
      <c r="I643" t="inlineStr">
        <is>
          <t>1</t>
        </is>
      </c>
      <c r="J643">
        <f>((Inputs!$B$6*(1+Inputs!$B$7/100))+(((Inputs!$B$12*(1+Inputs!$B$13/100))-(Inputs!$B$12*(1+Inputs!$B$13/100)))+0.25*(Inputs!$B$14-Inputs!$B$14))*(1+Inputs!$B$7/100))*(F643/100)</f>
        <v/>
      </c>
      <c r="K643">
        <f>J643*(1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+1.2*IF(C646=TRUE,F646,0)/100)*(1+(IF(Skills!A8="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643)</f>
        <v/>
      </c>
      <c r="L643">
        <f>K643*(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3">
        <f>L643*(1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3">
        <f>L643*(1-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643*(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3">
        <f>(1-Summary!$B$11)*T643+Summary!$B$11*V643</f>
        <v/>
      </c>
      <c r="P643">
        <f>IF(B679=0,0,O643/B679)</f>
        <v/>
      </c>
      <c r="Q643">
        <f>IFERROR(1/(IF(Inputs!$B$38="pvp",15,MAX(0.1,Skills!D8-IF(Skills!E8=TRUE,Inputs!$B$32,0)))*(1-IF(AND(ArtifactsInput!$M$27,Inputs!$B$4="Chapter Hunt"),CHOOSE(ArtifactsInput!$N$27+1,20,24,28,32,36,40),0)/100)),0)</f>
        <v/>
      </c>
      <c r="R643">
        <f>IF(AND(Inputs!$B$38&lt;&gt;"pvp",Inputs!$B$43&gt;0),IF(MAX(0,Inputs!$B$43-B676)&lt;=0,0,(INT(MAX(0,Inputs!$B$43-B676)/(IF(Inputs!$B$38="pvp",15,MAX(0.1,Skills!D8-IF(Skills!E8=TRUE,Inputs!$B$32,0)))*(1-IF(AND(ArtifactsInput!$M$27,Inputs!$B$4="Chapter Hunt"),CHOOSE(ArtifactsInput!$N$27+1,20,24,28,32,36,40),0)/100)))+1)),0)</f>
        <v/>
      </c>
      <c r="S643">
        <f>IFERROR(O643/N643,0)</f>
        <v/>
      </c>
      <c r="T643">
        <f>IF(C643,(H643*N643*IF(AND(Inputs!$B$38&lt;&gt;"pvp",Inputs!$B$43&gt;0),((Skills!G8*((R643-1)*IF(Skills!H8&gt;0,Skills!I8/Skills!H8,1)+IF(Skills!H8&gt;0,MIN(Skills!I8,MAX(0,MAX(0,Inputs!$B$43-B676)-((R643-1)*(IF(Inputs!$B$38="pvp",15,MAX(0.1,Skills!D8-IF(Skills!E8=TRUE,Inputs!$B$32,0)))*(1-IF(AND(ArtifactsInput!$M$27,Inputs!$B$4="Chapter Hunt"),CHOOSE(ArtifactsInput!$N$27+1,20,24,28,32,36,40),0)/100)))))/Skills!H8,1)))/Inputs!$B$43),G643*Q643)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643*(1-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643*(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643*(1-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643*(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3">
        <f>IF(C643,(H643*N643*IF(AND(Inputs!$B$38&lt;&gt;"pvp",Inputs!$B$43&gt;0),((Skills!G8*((R643-1)*IF(Skills!H8&gt;0,Skills!I8/Skills!H8,1)+IF(Skills!H8&gt;0,MIN(Skills!I8,MAX(0,MAX(0,Inputs!$B$43-B676)-((R643-1)*(IF(Inputs!$B$38="pvp",15,MAX(0.1,Skills!D8-IF(Skills!E8=TRUE,Inputs!$B$32,0)))*(1-IF(AND(ArtifactsInput!$M$27,Inputs!$B$4="Chapter Hunt"),CHOOSE(ArtifactsInput!$N$27+1,20,24,28,32,36,40),0)/100)))))/Skills!H8,1)))/Inputs!$B$43),G643*Q643))*IF(Inputs!$B$38="pvp",1,(1+(Inputs!$B$21+Skills!Q8+(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4">
      <c r="A644">
        <f>Skills!A9</f>
        <v/>
      </c>
      <c r="B644">
        <f>Skills!B9</f>
        <v/>
      </c>
      <c r="C644">
        <f>Inputs!$B$3&gt;=63</f>
        <v/>
      </c>
      <c r="D644">
        <f>IF(Skills!C9=1,60+Inputs!$B$25+Inputs!$B$29,IF(Skills!C9=2,90+Inputs!$B$26+Inputs!$B$29,IF(Skills!C9=3,120+Inputs!$B$27+Inputs!$B$29,MAX(0,(Inputs!$B$3-100)*3)+Inputs!$B$28+Inputs!$B$29)))</f>
        <v/>
      </c>
      <c r="E644">
        <f>INDEX(FactorTable!$B$2:$Y$301, MATCH(ROUND(MIN(300,MAX(1,D644)),0), FactorTable!$A$2:$A$301,0), Skills!M9+1)</f>
        <v/>
      </c>
      <c r="F644">
        <f>IF(Skills!N9=TRUE,(Skills!L9/10)*(E644/1000),Skills!L9/10)+Skills!O9</f>
        <v/>
      </c>
      <c r="G644">
        <f>Skills!G9*IF(Skills!H9&gt;0,Skills!I9/Skills!H9,1)</f>
        <v/>
      </c>
      <c r="H644">
        <f>1-(1-Skills!J9/100)^Skills!K9</f>
        <v/>
      </c>
      <c r="I644" t="inlineStr">
        <is>
          <t>1</t>
        </is>
      </c>
      <c r="J644">
        <f>((Inputs!$B$6*(1+Inputs!$B$7/100))+(((Inputs!$B$12*(1+Inputs!$B$13/100))-(Inputs!$B$12*(1+Inputs!$B$13/100)))+0.25*(Inputs!$B$14-Inputs!$B$14))*(1+Inputs!$B$7/100))*(F644/100)</f>
        <v/>
      </c>
      <c r="K644">
        <f>J644*(1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646=TRUE,F646,0)/100)*(1+(IF(Skills!A9="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644)</f>
        <v/>
      </c>
      <c r="L644">
        <f>K644*(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4">
        <f>L644*(1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4">
        <f>L644*(1-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644*(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4">
        <f>(1-Summary!$B$11)*T644+Summary!$B$11*V644</f>
        <v/>
      </c>
      <c r="P644">
        <f>IF(B679=0,0,O644/B679)</f>
        <v/>
      </c>
      <c r="Q644">
        <f>IFERROR(1/(IF(Inputs!$B$38="pvp",15,MAX(0.1,Skills!D9-IF(Skills!E9=TRUE,Inputs!$B$32,0)))*(1-IF(AND(ArtifactsInput!$M$27,Inputs!$B$4="Chapter Hunt"),CHOOSE(ArtifactsInput!$N$27+1,20,24,28,32,36,40),0)/100)),0)</f>
        <v/>
      </c>
      <c r="R644">
        <f>IF(AND(Inputs!$B$38&lt;&gt;"pvp",Inputs!$B$43&gt;0),IF(MAX(0,Inputs!$B$43-B676)&lt;=0,0,(INT(MAX(0,Inputs!$B$43-B676)/(IF(Inputs!$B$38="pvp",15,MAX(0.1,Skills!D9-IF(Skills!E9=TRUE,Inputs!$B$32,0)))*(1-IF(AND(ArtifactsInput!$M$27,Inputs!$B$4="Chapter Hunt"),CHOOSE(ArtifactsInput!$N$27+1,20,24,28,32,36,40),0)/100)))+1)),0)</f>
        <v/>
      </c>
      <c r="S644">
        <f>IFERROR(O644/N644,0)</f>
        <v/>
      </c>
      <c r="T644">
        <f>IF(C644,(H644*N644*IF(AND(Inputs!$B$38&lt;&gt;"pvp",Inputs!$B$43&gt;0),((Skills!G9*((R644-1)*IF(Skills!H9&gt;0,Skills!I9/Skills!H9,1)+IF(Skills!H9&gt;0,MIN(Skills!I9,MAX(0,MAX(0,Inputs!$B$43-B676)-((R644-1)*(IF(Inputs!$B$38="pvp",15,MAX(0.1,Skills!D9-IF(Skills!E9=TRUE,Inputs!$B$32,0)))*(1-IF(AND(ArtifactsInput!$M$27,Inputs!$B$4="Chapter Hunt"),CHOOSE(ArtifactsInput!$N$27+1,20,24,28,32,36,40),0)/100)))))/Skills!H9,1)))/Inputs!$B$43),G644*Q644)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644*(1-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644*(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644*(1-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644*(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4">
        <f>IF(C644,(H644*N644*IF(AND(Inputs!$B$38&lt;&gt;"pvp",Inputs!$B$43&gt;0),((Skills!G9*((R644-1)*IF(Skills!H9&gt;0,Skills!I9/Skills!H9,1)+IF(Skills!H9&gt;0,MIN(Skills!I9,MAX(0,MAX(0,Inputs!$B$43-B676)-((R644-1)*(IF(Inputs!$B$38="pvp",15,MAX(0.1,Skills!D9-IF(Skills!E9=TRUE,Inputs!$B$32,0)))*(1-IF(AND(ArtifactsInput!$M$27,Inputs!$B$4="Chapter Hunt"),CHOOSE(ArtifactsInput!$N$27+1,20,24,28,32,36,40),0)/100)))))/Skills!H9,1)))/Inputs!$B$43),G644*Q644))*IF(Inputs!$B$38="pvp",1,(1+(Inputs!$B$21+Skills!Q9+(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5">
      <c r="A645">
        <f>Skills!A10</f>
        <v/>
      </c>
      <c r="B645">
        <f>Skills!B10</f>
        <v/>
      </c>
      <c r="C645">
        <f>Inputs!$B$3&gt;=103</f>
        <v/>
      </c>
      <c r="D645">
        <f>IF(Skills!C10=1,60+Inputs!$B$25+Inputs!$B$29,IF(Skills!C10=2,90+Inputs!$B$26+Inputs!$B$29,IF(Skills!C10=3,120+Inputs!$B$27+Inputs!$B$29,MAX(0,(Inputs!$B$3-100)*3)+Inputs!$B$28+Inputs!$B$29)))</f>
        <v/>
      </c>
      <c r="E645">
        <f>INDEX(FactorTable!$B$2:$Y$301, MATCH(ROUND(MIN(300,MAX(1,D645)),0), FactorTable!$A$2:$A$301,0), Skills!M10+1)</f>
        <v/>
      </c>
      <c r="F645">
        <f>IF(Skills!N10=TRUE,(Skills!L10/10)*(E645/1000),Skills!L10/10)+Skills!O10</f>
        <v/>
      </c>
      <c r="G645">
        <f>Skills!G10*IF(Skills!H10&gt;0,Skills!I10/Skills!H10,1)</f>
        <v/>
      </c>
      <c r="H645">
        <f>1-(1-Skills!J10/100)^Skills!K10</f>
        <v/>
      </c>
      <c r="I645" t="inlineStr">
        <is>
          <t>1</t>
        </is>
      </c>
      <c r="J645">
        <f>((Inputs!$B$6*(1+Inputs!$B$7/100))+(((Inputs!$B$12*(1+Inputs!$B$13/100))-(Inputs!$B$12*(1+Inputs!$B$13/100)))+0.25*(Inputs!$B$14-Inputs!$B$14))*(1+Inputs!$B$7/100))*(F645/100)</f>
        <v/>
      </c>
      <c r="K645">
        <f>J645*(1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645)</f>
        <v/>
      </c>
      <c r="L645">
        <f>K645*(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5">
        <f>L645*(1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5">
        <f>L645*(1-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645*(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5">
        <f>(1-Summary!$B$11)*T645+Summary!$B$11*V645</f>
        <v/>
      </c>
      <c r="P645">
        <f>IF(B679=0,0,O645/B679)</f>
        <v/>
      </c>
      <c r="Q645">
        <f>IFERROR(1/(IF(Inputs!$B$38="pvp",15,MAX(0.1,Skills!D10-IF(Skills!E10=TRUE,Inputs!$B$32,0)))*(1-IF(AND(ArtifactsInput!$M$27,Inputs!$B$4="Chapter Hunt"),CHOOSE(ArtifactsInput!$N$27+1,20,24,28,32,36,40),0)/100)),0)</f>
        <v/>
      </c>
      <c r="R645">
        <f>IF(AND(Inputs!$B$38&lt;&gt;"pvp",Inputs!$B$43&gt;0),IF(MAX(0,Inputs!$B$43-B676)&lt;=0,0,(INT(MAX(0,Inputs!$B$43-B676)/(IF(Inputs!$B$38="pvp",15,MAX(0.1,Skills!D10-IF(Skills!E10=TRUE,Inputs!$B$32,0)))*(1-IF(AND(ArtifactsInput!$M$27,Inputs!$B$4="Chapter Hunt"),CHOOSE(ArtifactsInput!$N$27+1,20,24,28,32,36,40),0)/100)))+1)),0)</f>
        <v/>
      </c>
      <c r="S645">
        <f>IFERROR(O645/N645,0)</f>
        <v/>
      </c>
      <c r="T645">
        <f>IF(C645,(H645*N645*IF(AND(Inputs!$B$38&lt;&gt;"pvp",Inputs!$B$43&gt;0),((Skills!G10*((R645-1)*IF(Skills!H10&gt;0,Skills!I10/Skills!H10,1)+IF(Skills!H10&gt;0,MIN(Skills!I10,MAX(0,MAX(0,Inputs!$B$43-B676)-((R645-1)*(IF(Inputs!$B$38="pvp",15,MAX(0.1,Skills!D10-IF(Skills!E10=TRUE,Inputs!$B$32,0)))*(1-IF(AND(ArtifactsInput!$M$27,Inputs!$B$4="Chapter Hunt"),CHOOSE(ArtifactsInput!$N$27+1,20,24,28,32,36,40),0)/100)))))/Skills!H10,1)))/Inputs!$B$43),G645*Q645)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645*(1-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645*(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645*(1-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645*(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5">
        <f>IF(C645,(H645*N645*IF(AND(Inputs!$B$38&lt;&gt;"pvp",Inputs!$B$43&gt;0),((Skills!G10*((R645-1)*IF(Skills!H10&gt;0,Skills!I10/Skills!H10,1)+IF(Skills!H10&gt;0,MIN(Skills!I10,MAX(0,MAX(0,Inputs!$B$43-B676)-((R645-1)*(IF(Inputs!$B$38="pvp",15,MAX(0.1,Skills!D10-IF(Skills!E10=TRUE,Inputs!$B$32,0)))*(1-IF(AND(ArtifactsInput!$M$27,Inputs!$B$4="Chapter Hunt"),CHOOSE(ArtifactsInput!$N$27+1,20,24,28,32,36,40),0)/100)))))/Skills!H10,1)))/Inputs!$B$43),G645*Q645))*IF(Inputs!$B$38="pvp",1,(1+(Inputs!$B$21+Skills!Q10+(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6">
      <c r="A646">
        <f>Skills!A11</f>
        <v/>
      </c>
      <c r="B646">
        <f>Skills!B11</f>
        <v/>
      </c>
      <c r="C646">
        <f>Inputs!$B$3&gt;=100</f>
        <v/>
      </c>
      <c r="D646">
        <f>IF(Skills!C11=1,60+Inputs!$B$25+Inputs!$B$29,IF(Skills!C11=2,90+Inputs!$B$26+Inputs!$B$29,IF(Skills!C11=3,120+Inputs!$B$27+Inputs!$B$29,MAX(0,(Inputs!$B$3-100)*3)+Inputs!$B$28+Inputs!$B$29)))</f>
        <v/>
      </c>
      <c r="E646">
        <f>INDEX(FactorTable!$B$2:$Y$301, MATCH(ROUND(MIN(300,MAX(1,D646)),0), FactorTable!$A$2:$A$301,0), Skills!M11+1)</f>
        <v/>
      </c>
      <c r="F646">
        <f>IF(Skills!N11=TRUE,(Skills!L11/10)*(E646/1000),Skills!L11/10)+Skills!O11</f>
        <v/>
      </c>
      <c r="G646" t="inlineStr"/>
      <c r="H646" t="inlineStr"/>
      <c r="I646" t="inlineStr">
        <is>
          <t>1</t>
        </is>
      </c>
      <c r="J646" t="inlineStr"/>
      <c r="K646" t="inlineStr"/>
      <c r="L646" t="inlineStr"/>
      <c r="M646" t="inlineStr"/>
      <c r="N646" t="inlineStr"/>
      <c r="O646" t="inlineStr"/>
      <c r="P646" t="inlineStr"/>
      <c r="Q646" t="inlineStr"/>
      <c r="R646" t="inlineStr"/>
      <c r="S646" t="inlineStr"/>
      <c r="T646" t="inlineStr"/>
      <c r="V646" t="inlineStr"/>
    </row>
    <row r="647">
      <c r="A647">
        <f>Skills!A12</f>
        <v/>
      </c>
      <c r="B647">
        <f>Skills!B12</f>
        <v/>
      </c>
      <c r="C647">
        <f>Inputs!$B$3&gt;=60</f>
        <v/>
      </c>
      <c r="D647">
        <f>IF(Skills!C12=1,60+Inputs!$B$25+Inputs!$B$29,IF(Skills!C12=2,90+Inputs!$B$26+Inputs!$B$29,IF(Skills!C12=3,120+Inputs!$B$27+Inputs!$B$29,MAX(0,(Inputs!$B$3-100)*3)+Inputs!$B$28+Inputs!$B$29)))</f>
        <v/>
      </c>
      <c r="E647">
        <f>INDEX(FactorTable!$B$2:$Y$301, MATCH(ROUND(MIN(300,MAX(1,D647)),0), FactorTable!$A$2:$A$301,0), Skills!M12+1)</f>
        <v/>
      </c>
      <c r="F647">
        <f>IF(Skills!N12=TRUE,(Skills!L12/10)*(E647/1000),Skills!L12/10)+Skills!O12</f>
        <v/>
      </c>
      <c r="G647">
        <f>Skills!G12*IF(Skills!H12&gt;0,Skills!I12/Skills!H12,1)</f>
        <v/>
      </c>
      <c r="H647">
        <f>1-(1-Skills!J12/100)^Skills!K12</f>
        <v/>
      </c>
      <c r="I647" t="inlineStr">
        <is>
          <t>1</t>
        </is>
      </c>
      <c r="J647">
        <f>((Inputs!$B$6*(1+Inputs!$B$7/100))+(((Inputs!$B$12*(1+Inputs!$B$13/100))-(Inputs!$B$12*(1+Inputs!$B$13/100)))+0.25*(Inputs!$B$14-Inputs!$B$14))*(1+Inputs!$B$7/100))*(F647/100)</f>
        <v/>
      </c>
      <c r="K647">
        <f>J647*(1+((Inputs!$B$12*(1+Inputs!$B$13/100))*0.01+Inputs!$B$14*0.0025)/100)*(1+Inputs!$B$15/100)*(1+Inputs!$B$16/100)*(5000/(6000+Inputs!$B$42*(1-(100*(1-(1-(Inputs!$B$19+((C663=TRUE)*(F663-Calc!F28)))/100)*(1-CHOOSE(ArtifactsInput!$N$40+1,5,6,7,8,9,10)/100)^(ArtifactsInput!$M$40-ArtifactsInput!$M$40)))/100)))*(1+(Inputs!$B$24+((C661=TRUE)*(F661-Calc!F26))+((C662=TRUE)*(F662-Calc!F27))+B675)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648=TRUE,F648,0)/100)*(1+(IF(Skills!A12="ARROW_STREAM",Inputs!$B$17+((C659=TRUE)*(F659-Calc!F24))+(((IF(AND(ArtifactsInput!$M$42,((Inputs!$B$9+((C656=TRUE)*(F656-Calc!F21))+B669+(ArtifactsInput!$M$24-ArtifactsInput!$M$24)*CHOOSE(ArtifactsInput!$N$24+1,10,12,14,16,18,20)+IF(ArtifactsInput!$M$10,CHOOSE(ArtifactsInput!$N$10+1,15,18,21,24,27,30)*(IF(Inputs!$B$38="pvp",MIN(15,15)/15,IF(AND(Inputs!$B$38&lt;&gt;"pvp",Inputs!$B$43&gt;0),MIN(15,Inputs!$B$43)/(Inputs!$B$43),0))),0)))&gt;=100),MIN(100,((Inputs!$B$9+((C656=TRUE)*(F656-Calc!F21))+B669+(ArtifactsInput!$M$24-ArtifactsInput!$M$24)*CHOOSE(ArtifactsInput!$N$24+1,10,12,14,16,18,20)+IF(ArtifactsInput!$M$10,CHOOSE(ArtifactsInput!$N$10+1,15,18,21,24,27,30)*(IF(Inputs!$B$38="pvp",MIN(15,15)/15,IF(AND(Inputs!$B$38&lt;&gt;"pvp",Inputs!$B$43&gt;0),MIN(15,Inputs!$B$43)/(Inputs!$B$43),0))),0)))-100),0))*CHOOSE(ArtifactsInput!$N$42+1,0.6,0.72,0.84,0.96,1.08,1.2))),Inputs!$B$18+((C664=TRUE)*(F664-Calc!F29))+(IF(AND(ArtifactsInput!$M$42,((Inputs!$B$9+((C656=TRUE)*(F656-Calc!F21))+B669+(ArtifactsInput!$M$24-ArtifactsInput!$M$24)*CHOOSE(ArtifactsInput!$N$24+1,10,12,14,16,18,20)+IF(ArtifactsInput!$M$10,CHOOSE(ArtifactsInput!$N$10+1,15,18,21,24,27,30)*(IF(Inputs!$B$38="pvp",MIN(15,15)/15,IF(AND(Inputs!$B$38&lt;&gt;"pvp",Inputs!$B$43&gt;0),MIN(15,Inputs!$B$43)/(Inputs!$B$43),0))),0)))&gt;=100),CHOOSE(ArtifactsInput!$N$42+1,40,48,56,64,72,80),0))))/100)*((1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647)</f>
        <v/>
      </c>
      <c r="L647">
        <f>K647*(MIN(Inputs!$B$22+((C660=TRUE)*(F660-Calc!F25)),(Inputs!$B$23+((C665=TRUE)*(F665-Calc!F30))+(IF(ArtifactsInput!$M$15,CHOOSE(ArtifactsInput!$N$15+1,25,30,35,40,45,50)/100*(((1-(1-Inputs!$B$11/150)*(1-1/150))*150)-Inputs!$B$11),0))))/100+(Inputs!$B$23+((C665=TRUE)*(F665-Calc!F30))+(IF(ArtifactsInput!$M$15,CHOOSE(ArtifactsInput!$N$15+1,25,30,35,40,45,50)/100*(((1-(1-Inputs!$B$11/150)*(1-1/150))*150)-Inputs!$B$11),0)))/100)/2</f>
        <v/>
      </c>
      <c r="M647">
        <f>L647*(1+(Inputs!$B$10+0+B674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7">
        <f>L647*(1-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647*(MIN((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7">
        <f>(1-Summary!$B$11)*T647+Summary!$B$11*V647</f>
        <v/>
      </c>
      <c r="P647">
        <f>IF(B679=0,0,O647/B679)</f>
        <v/>
      </c>
      <c r="Q647">
        <f>IFERROR(1/(IF(Inputs!$B$38="pvp",15,MAX(0.1,Skills!D12-IF(Skills!E12=TRUE,Inputs!$B$32,0)))*(1-IF(AND(ArtifactsInput!$M$27,Inputs!$B$4="Chapter Hunt"),CHOOSE(ArtifactsInput!$N$27+1,20,24,28,32,36,40),0)/100)),0)</f>
        <v/>
      </c>
      <c r="R647">
        <f>IF(AND(Inputs!$B$38&lt;&gt;"pvp",Inputs!$B$43&gt;0),IF(MAX(0,Inputs!$B$43-B676)&lt;=0,0,(INT(MAX(0,Inputs!$B$43-B676)/(IF(Inputs!$B$38="pvp",15,MAX(0.1,Skills!D12-IF(Skills!E12=TRUE,Inputs!$B$32,0)))*(1-IF(AND(ArtifactsInput!$M$27,Inputs!$B$4="Chapter Hunt"),CHOOSE(ArtifactsInput!$N$27+1,20,24,28,32,36,40),0)/100)))+1)),0)</f>
        <v/>
      </c>
      <c r="S647">
        <f>IFERROR(O647/N647,0)</f>
        <v/>
      </c>
      <c r="T647">
        <f>IF(C647,(H647*N647*IF(AND(Inputs!$B$38&lt;&gt;"pvp",Inputs!$B$43&gt;0),((Skills!G12*((R647-1)*IF(Skills!H12&gt;0,Skills!I12/Skills!H12,1)+IF(Skills!H12&gt;0,MIN(Skills!I12,MAX(0,MAX(0,Inputs!$B$43-B676)-((R647-1)*(IF(Inputs!$B$38="pvp",15,MAX(0.1,Skills!D12-IF(Skills!E12=TRUE,Inputs!$B$32,0)))*(1-IF(AND(ArtifactsInput!$M$27,Inputs!$B$4="Chapter Hunt"),CHOOSE(ArtifactsInput!$N$27+1,20,24,28,32,36,40),0)/100)))))/Skills!H12,1)))/Inputs!$B$43),G647*Q647)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(5000/(6000+Inputs!$B$42*(1-(100*(1-(1-(100*(1-(1-(Inputs!$B$19+((C663=TRUE)*(F663-Calc!F28)))/100)*(1-CHOOSE(ArtifactsInput!$N$40+1,5,6,7,8,9,10)/100)^(ArtifactsInput!$M$40-ArtifactsInput!$M$40)))/100)*(1-IF(ArtifactsInput!$M$40,CHOOSE(ArtifactsInput!$N$40+1,5,6,7,8,9,10),0)/100)^IF(Inputs!$B$38="pvp",1,2)))/100)))/(5000/(6000+Inputs!$B$42*(1-(100*(1-(1-(Inputs!$B$19+((C663=TRUE)*(F663-Calc!F28)))/100)*(1-CHOOSE(ArtifactsInput!$N$40+1,5,6,7,8,9,10)/100)^(ArtifactsInput!$M$40-ArtifactsInput!$M$40)))/100))))*((L647*(1-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647*(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647*(1-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647*(MIN(100,(Inputs!$B$9+((C656=TRUE)*(F656-Calc!F21))+B669+(ArtifactsInput!$M$24-ArtifactsInput!$M$24)*CHOOSE(ArtifactsInput!$N$24+1,10,12,14,16,18,20)+(IF(AND(ArtifactsInput!$M$42,((Inputs!$B$9+((C656=TRUE)*(F656-Calc!F21))+B669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7">
        <f>IF(C647,(H647*N647*IF(AND(Inputs!$B$38&lt;&gt;"pvp",Inputs!$B$43&gt;0),((Skills!G12*((R647-1)*IF(Skills!H12&gt;0,Skills!I12/Skills!H12,1)+IF(Skills!H12&gt;0,MIN(Skills!I12,MAX(0,MAX(0,Inputs!$B$43-B676)-((R647-1)*(IF(Inputs!$B$38="pvp",15,MAX(0.1,Skills!D12-IF(Skills!E12=TRUE,Inputs!$B$32,0)))*(1-IF(AND(ArtifactsInput!$M$27,Inputs!$B$4="Chapter Hunt"),CHOOSE(ArtifactsInput!$N$27+1,20,24,28,32,36,40),0)/100)))))/Skills!H12,1)))/Inputs!$B$43),G647*Q647))*IF(Inputs!$B$38="pvp",1,(1+(Inputs!$B$21+Skills!Q12+(IF(ArtifactsInput!$M$33,CHOOSE(ArtifactsInput!$N$33+1,30,36,42,48,54,60),0))+(IF(AND(ArtifactsInput!$M$35,Inputs!$B$4&lt;&gt;"Chapter Hunt"),CHOOSE(ArtifactsInput!$N$35+1,15,18,21,24,27,30)*(1-EXP(-(0.2*B671)*5)),0)+IF(AND(ArtifactsInput!$M$22,Inputs!$B$4&lt;&gt;"Chapter Hunt"),CHOOSE(ArtifactsInput!$N$22+1,10,12,14,16,18,20)*((0*(((0.15*B671*5))^0/1)+1*(((0.15*B671*5))^1/1)+2*(((0.15*B671*5))^2/2)+3*(((0.15*B671*5))^3/6)+4*(((0.15*B671*5))^4/24)+5*(((0.15*B671*5))^5/120))/((((0.15*B671*5))^0/1)+(((0.15*B671*5))^1/1)+(((0.15*B671*5))^2/2)+(((0.15*B671*5))^3/6)+(((0.15*B671*5))^4/24)+(((0.15*B671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8">
      <c r="A648">
        <f>Skills!A13</f>
        <v/>
      </c>
      <c r="B648">
        <f>Skills!B13</f>
        <v/>
      </c>
      <c r="C648">
        <f>Inputs!$B$3&gt;=110</f>
        <v/>
      </c>
      <c r="D648">
        <f>IF(Skills!C13=1,60+Inputs!$B$25+Inputs!$B$29,IF(Skills!C13=2,90+Inputs!$B$26+Inputs!$B$29,IF(Skills!C13=3,120+Inputs!$B$27+Inputs!$B$29,MAX(0,(Inputs!$B$3-100)*3)+Inputs!$B$28+Inputs!$B$29)))</f>
        <v/>
      </c>
      <c r="E648">
        <f>INDEX(FactorTable!$B$2:$Y$301, MATCH(ROUND(MIN(300,MAX(1,D648)),0), FactorTable!$A$2:$A$301,0), Skills!M13+1)</f>
        <v/>
      </c>
      <c r="F648">
        <f>IF(Skills!N13=TRUE,(Skills!L13/10)*(E648/1000),Skills!L13/10)+Skills!O13</f>
        <v/>
      </c>
      <c r="G648" t="inlineStr"/>
      <c r="H648" t="inlineStr"/>
      <c r="I648" t="inlineStr">
        <is>
          <t>1</t>
        </is>
      </c>
      <c r="J648" t="inlineStr"/>
      <c r="K648" t="inlineStr"/>
      <c r="L648" t="inlineStr"/>
      <c r="M648" t="inlineStr"/>
      <c r="N648" t="inlineStr"/>
      <c r="O648" t="inlineStr"/>
      <c r="P648" t="inlineStr"/>
      <c r="Q648" t="inlineStr"/>
      <c r="R648" t="inlineStr"/>
      <c r="S648" t="inlineStr"/>
      <c r="T648" t="inlineStr"/>
      <c r="V648" t="inlineStr"/>
    </row>
    <row r="649">
      <c r="A649">
        <f>Skills!A14</f>
        <v/>
      </c>
      <c r="B649">
        <f>Skills!B14</f>
        <v/>
      </c>
      <c r="C649">
        <f>Inputs!$B$3&gt;=74</f>
        <v/>
      </c>
      <c r="D649">
        <f>IF(Skills!C14=1,60+Inputs!$B$25+Inputs!$B$29,IF(Skills!C14=2,90+Inputs!$B$26+Inputs!$B$29,IF(Skills!C14=3,120+Inputs!$B$27+Inputs!$B$29,MAX(0,(Inputs!$B$3-100)*3)+Inputs!$B$28+Inputs!$B$29)))</f>
        <v/>
      </c>
      <c r="E649">
        <f>INDEX(FactorTable!$B$2:$Y$301, MATCH(ROUND(MIN(300,MAX(1,D649)),0), FactorTable!$A$2:$A$301,0), Skills!M14+1)</f>
        <v/>
      </c>
      <c r="F649">
        <f>IF(Skills!N14=TRUE,(Skills!L14/10)*(E649/1000),Skills!L14/10)+Skills!O14</f>
        <v/>
      </c>
      <c r="G649">
        <f>Skills!G14*IF(Skills!H14&gt;0,Skills!I14/Skills!H14,1)</f>
        <v/>
      </c>
      <c r="H649">
        <f>1-(1-Skills!J14/100)^Skills!K14</f>
        <v/>
      </c>
      <c r="I649" t="inlineStr">
        <is>
          <t>1</t>
        </is>
      </c>
      <c r="J649" t="inlineStr"/>
      <c r="K649" t="inlineStr"/>
      <c r="L649" t="inlineStr"/>
      <c r="M649" t="inlineStr"/>
      <c r="N649" t="inlineStr"/>
      <c r="O649">
        <f>(1-Summary!$B$11)*T649+Summary!$B$11*V649</f>
        <v/>
      </c>
      <c r="P649">
        <f>IF(B679=0,0,O649/B679)</f>
        <v/>
      </c>
      <c r="Q649" t="n">
        <v>0</v>
      </c>
      <c r="R649" t="n">
        <v>0</v>
      </c>
      <c r="S649">
        <f>IFERROR(O649/N649,0)</f>
        <v/>
      </c>
      <c r="T649" t="n">
        <v>0</v>
      </c>
      <c r="V649" t="n">
        <v>0</v>
      </c>
    </row>
    <row r="650">
      <c r="A650">
        <f>Skills!A15</f>
        <v/>
      </c>
      <c r="B650">
        <f>Skills!B15</f>
        <v/>
      </c>
      <c r="C650">
        <f>Inputs!$B$3&gt;=74</f>
        <v/>
      </c>
      <c r="D650">
        <f>IF(Skills!C15=1,60+Inputs!$B$25+Inputs!$B$29,IF(Skills!C15=2,90+Inputs!$B$26+Inputs!$B$29,IF(Skills!C15=3,120+Inputs!$B$27+Inputs!$B$29,MAX(0,(Inputs!$B$3-100)*3)+Inputs!$B$28+Inputs!$B$29)))</f>
        <v/>
      </c>
      <c r="E650">
        <f>INDEX(FactorTable!$B$2:$Y$301, MATCH(ROUND(MIN(300,MAX(1,D650)),0), FactorTable!$A$2:$A$301,0), Skills!M15+1)</f>
        <v/>
      </c>
      <c r="F650">
        <f>IF(Skills!N15=TRUE,(Skills!L15/10)*(E650/1000),Skills!L15/10)+Skills!O15</f>
        <v/>
      </c>
      <c r="G650">
        <f>Skills!G15*IF(Skills!H15&gt;0,Skills!I15/Skills!H15,1)</f>
        <v/>
      </c>
      <c r="H650">
        <f>1-(1-Skills!J15/100)^Skills!K15</f>
        <v/>
      </c>
      <c r="I650" t="inlineStr">
        <is>
          <t>1</t>
        </is>
      </c>
      <c r="J650" t="inlineStr"/>
      <c r="K650" t="inlineStr"/>
      <c r="L650" t="inlineStr"/>
      <c r="M650" t="inlineStr"/>
      <c r="N650" t="inlineStr"/>
      <c r="O650">
        <f>(1-Summary!$B$11)*T650+Summary!$B$11*V650</f>
        <v/>
      </c>
      <c r="P650">
        <f>IF(B679=0,0,O650/B679)</f>
        <v/>
      </c>
      <c r="Q650" t="n">
        <v>0</v>
      </c>
      <c r="R650" t="n">
        <v>0</v>
      </c>
      <c r="S650">
        <f>IFERROR(O650/N650,0)</f>
        <v/>
      </c>
      <c r="T650" t="n">
        <v>0</v>
      </c>
      <c r="V650" t="n">
        <v>0</v>
      </c>
    </row>
    <row r="651">
      <c r="A651">
        <f>Skills!A16</f>
        <v/>
      </c>
      <c r="B651">
        <f>Skills!B16</f>
        <v/>
      </c>
      <c r="C651">
        <f>Inputs!$B$3&gt;=117</f>
        <v/>
      </c>
      <c r="D651">
        <f>IF(Skills!C16=1,60+Inputs!$B$25+Inputs!$B$29,IF(Skills!C16=2,90+Inputs!$B$26+Inputs!$B$29,IF(Skills!C16=3,120+Inputs!$B$27+Inputs!$B$29,MAX(0,(Inputs!$B$3-100)*3)+Inputs!$B$28+Inputs!$B$29)))</f>
        <v/>
      </c>
      <c r="E651">
        <f>INDEX(FactorTable!$B$2:$Y$301, MATCH(ROUND(MIN(300,MAX(1,D651)),0), FactorTable!$A$2:$A$301,0), Skills!M16+1)</f>
        <v/>
      </c>
      <c r="F651">
        <f>IF(Skills!N16=TRUE,(Skills!L16/10)*(E651/1000),Skills!L16/10)+Skills!O16</f>
        <v/>
      </c>
      <c r="G651">
        <f>Skills!G16*IF(Skills!H16&gt;0,Skills!I16/Skills!H16,1)</f>
        <v/>
      </c>
      <c r="H651">
        <f>1-(1-Skills!J16/100)^Skills!K16</f>
        <v/>
      </c>
      <c r="I651" t="inlineStr">
        <is>
          <t>1</t>
        </is>
      </c>
      <c r="J651" t="inlineStr"/>
      <c r="K651" t="inlineStr"/>
      <c r="L651" t="inlineStr"/>
      <c r="M651" t="inlineStr"/>
      <c r="N651" t="inlineStr"/>
      <c r="O651">
        <f>(1-Summary!$B$11)*T651+Summary!$B$11*V651</f>
        <v/>
      </c>
      <c r="P651">
        <f>IF(B679=0,0,O651/B679)</f>
        <v/>
      </c>
      <c r="Q651">
        <f>IFERROR(1/(IF(Inputs!$B$38="pvp",15,MAX(0.1,Skills!D16-IF(Skills!E16=TRUE,Inputs!$B$32,0)))*(1-IF(AND(ArtifactsInput!$M$27,Inputs!$B$4="Chapter Hunt"),CHOOSE(ArtifactsInput!$N$27+1,20,24,28,32,36,40),0)/100)),0)</f>
        <v/>
      </c>
      <c r="R651">
        <f>IF(AND(Inputs!$B$38&lt;&gt;"pvp",Inputs!$B$43&gt;0),IF(Inputs!$B$43&lt;=0,0,(INT(Inputs!$B$43/(IF(Inputs!$B$38="pvp",15,MAX(0.1,Skills!D16-IF(Skills!E16=TRUE,Inputs!$B$32,0)))*(1-IF(AND(ArtifactsInput!$M$27,Inputs!$B$4="Chapter Hunt"),CHOOSE(ArtifactsInput!$N$27+1,20,24,28,32,36,40),0)/100)))+1)),0)</f>
        <v/>
      </c>
      <c r="S651">
        <f>IFERROR(O651/N651,0)</f>
        <v/>
      </c>
      <c r="T651" t="n">
        <v>0</v>
      </c>
      <c r="V651" t="n">
        <v>0</v>
      </c>
    </row>
    <row r="652">
      <c r="A652">
        <f>Skills!A17</f>
        <v/>
      </c>
      <c r="B652">
        <f>Skills!B17</f>
        <v/>
      </c>
      <c r="C652">
        <f>Inputs!$B$3&gt;=115</f>
        <v/>
      </c>
      <c r="D652">
        <f>IF(Skills!C17=1,60+Inputs!$B$25+Inputs!$B$29,IF(Skills!C17=2,90+Inputs!$B$26+Inputs!$B$29,IF(Skills!C17=3,120+Inputs!$B$27+Inputs!$B$29,MAX(0,(Inputs!$B$3-100)*3)+Inputs!$B$28+Inputs!$B$29)))</f>
        <v/>
      </c>
      <c r="E652">
        <f>INDEX(FactorTable!$B$2:$Y$301, MATCH(ROUND(MIN(300,MAX(1,D652)),0), FactorTable!$A$2:$A$301,0), Skills!M17+1)</f>
        <v/>
      </c>
      <c r="F652">
        <f>IF(Skills!N17=TRUE,(Skills!L17/10)*(E652/1000),Skills!L17/10)+Skills!O17</f>
        <v/>
      </c>
      <c r="G652">
        <f>Skills!G17*IF(Skills!H17&gt;0,Skills!I17/Skills!H17,1)</f>
        <v/>
      </c>
      <c r="H652">
        <f>1-(1-Skills!J17/100)^Skills!K17</f>
        <v/>
      </c>
      <c r="I652" t="inlineStr">
        <is>
          <t>1</t>
        </is>
      </c>
      <c r="J652" t="inlineStr"/>
      <c r="K652" t="inlineStr"/>
      <c r="L652" t="inlineStr"/>
      <c r="M652" t="inlineStr"/>
      <c r="N652" t="inlineStr"/>
      <c r="O652">
        <f>(1-Summary!$B$11)*T652+Summary!$B$11*V652</f>
        <v/>
      </c>
      <c r="P652">
        <f>IF(B679=0,0,O652/B679)</f>
        <v/>
      </c>
      <c r="Q652">
        <f>IFERROR(1/(IF(Inputs!$B$38="pvp",15,MAX(0.1,Skills!D17-IF(Skills!E17=TRUE,Inputs!$B$32,0)))*(1-IF(AND(ArtifactsInput!$M$27,Inputs!$B$4="Chapter Hunt"),CHOOSE(ArtifactsInput!$N$27+1,20,24,28,32,36,40),0)/100)),0)</f>
        <v/>
      </c>
      <c r="R652">
        <f>IF(AND(Inputs!$B$38&lt;&gt;"pvp",Inputs!$B$43&gt;0),IF(Inputs!$B$43&lt;=0,0,(INT(Inputs!$B$43/(IF(Inputs!$B$38="pvp",15,MAX(0.1,Skills!D17-IF(Skills!E17=TRUE,Inputs!$B$32,0)))*(1-IF(AND(ArtifactsInput!$M$27,Inputs!$B$4="Chapter Hunt"),CHOOSE(ArtifactsInput!$N$27+1,20,24,28,32,36,40),0)/100)))+1)),0)</f>
        <v/>
      </c>
      <c r="S652">
        <f>IFERROR(O652/N652,0)</f>
        <v/>
      </c>
      <c r="T652" t="n">
        <v>0</v>
      </c>
      <c r="V652" t="n">
        <v>0</v>
      </c>
    </row>
    <row r="653">
      <c r="A653">
        <f>Skills!A18</f>
        <v/>
      </c>
      <c r="B653">
        <f>Skills!B18</f>
        <v/>
      </c>
      <c r="C653">
        <f>Inputs!$B$3&gt;=66</f>
        <v/>
      </c>
      <c r="D653">
        <f>IF(Skills!C18=1,60+Inputs!$B$25+Inputs!$B$29,IF(Skills!C18=2,90+Inputs!$B$26+Inputs!$B$29,IF(Skills!C18=3,120+Inputs!$B$27+Inputs!$B$29,MAX(0,(Inputs!$B$3-100)*3)+Inputs!$B$28+Inputs!$B$29)))</f>
        <v/>
      </c>
      <c r="E653">
        <f>INDEX(FactorTable!$B$2:$Y$301, MATCH(ROUND(MIN(300,MAX(1,D653)),0), FactorTable!$A$2:$A$301,0), Skills!M18+1)</f>
        <v/>
      </c>
      <c r="F653">
        <f>IF(Skills!N18=TRUE,(Skills!L18/10)*(E653/1000),Skills!L18/10)+Skills!O18</f>
        <v/>
      </c>
      <c r="G653">
        <f>Skills!G18*IF(Skills!H18&gt;0,Skills!I18/Skills!H18,1)</f>
        <v/>
      </c>
      <c r="H653">
        <f>1-(1-Skills!J18/100)^Skills!K18</f>
        <v/>
      </c>
      <c r="I653" t="inlineStr">
        <is>
          <t>1</t>
        </is>
      </c>
      <c r="J653" t="inlineStr"/>
      <c r="K653" t="inlineStr"/>
      <c r="L653" t="inlineStr"/>
      <c r="M653" t="inlineStr"/>
      <c r="N653" t="inlineStr"/>
      <c r="O653">
        <f>(1-Summary!$B$11)*T653+Summary!$B$11*V653</f>
        <v/>
      </c>
      <c r="P653">
        <f>IF(B679=0,0,O653/B679)</f>
        <v/>
      </c>
      <c r="Q653" t="n">
        <v>0</v>
      </c>
      <c r="R653" t="n">
        <v>0</v>
      </c>
      <c r="S653">
        <f>IFERROR(O653/N653,0)</f>
        <v/>
      </c>
      <c r="T653" t="n">
        <v>0</v>
      </c>
      <c r="V653" t="n">
        <v>0</v>
      </c>
    </row>
    <row r="654">
      <c r="A654">
        <f>Skills!A19</f>
        <v/>
      </c>
      <c r="B654">
        <f>Skills!B19</f>
        <v/>
      </c>
      <c r="C654">
        <f>Inputs!$B$3&gt;=72</f>
        <v/>
      </c>
      <c r="D654">
        <f>IF(Skills!C19=1,60+Inputs!$B$25+Inputs!$B$29,IF(Skills!C19=2,90+Inputs!$B$26+Inputs!$B$29,IF(Skills!C19=3,120+Inputs!$B$27+Inputs!$B$29,MAX(0,(Inputs!$B$3-100)*3)+Inputs!$B$28+Inputs!$B$29)))</f>
        <v/>
      </c>
      <c r="E654">
        <f>INDEX(FactorTable!$B$2:$Y$301, MATCH(ROUND(MIN(300,MAX(1,D654)),0), FactorTable!$A$2:$A$301,0), Skills!M19+1)</f>
        <v/>
      </c>
      <c r="F654">
        <f>IF(Skills!N19=TRUE,(Skills!L19/10)*(E654/1000),Skills!L19/10)+Skills!O19</f>
        <v/>
      </c>
      <c r="G654">
        <f>Skills!G19*IF(Skills!H19&gt;0,Skills!I19/Skills!H19,1)</f>
        <v/>
      </c>
      <c r="H654">
        <f>1-(1-Skills!J19/100)^Skills!K19</f>
        <v/>
      </c>
      <c r="I654" t="inlineStr">
        <is>
          <t>1</t>
        </is>
      </c>
      <c r="J654" t="inlineStr"/>
      <c r="K654" t="inlineStr"/>
      <c r="L654" t="inlineStr"/>
      <c r="M654" t="inlineStr"/>
      <c r="N654" t="inlineStr"/>
      <c r="O654">
        <f>(1-Summary!$B$11)*T654+Summary!$B$11*V654</f>
        <v/>
      </c>
      <c r="P654">
        <f>IF(B679=0,0,O654/B679)</f>
        <v/>
      </c>
      <c r="Q654" t="n">
        <v>0</v>
      </c>
      <c r="R654" t="n">
        <v>0</v>
      </c>
      <c r="S654">
        <f>IFERROR(O654/N654,0)</f>
        <v/>
      </c>
      <c r="T654" t="n">
        <v>0</v>
      </c>
      <c r="V654" t="n">
        <v>0</v>
      </c>
    </row>
    <row r="655">
      <c r="A655">
        <f>Skills!A20</f>
        <v/>
      </c>
      <c r="B655">
        <f>Skills!B20</f>
        <v/>
      </c>
      <c r="C655">
        <f>TRUE</f>
        <v/>
      </c>
      <c r="D655">
        <f>IF(Skills!C20=1,60+Inputs!$B$25+Inputs!$B$29,IF(Skills!C20=2,90+Inputs!$B$26+Inputs!$B$29,IF(Skills!C20=3,120+Inputs!$B$27+Inputs!$B$29,MAX(0,(Inputs!$B$3-100)*3)+Inputs!$B$28+Inputs!$B$29)))</f>
        <v/>
      </c>
      <c r="E655">
        <f>INDEX(FactorTable!$B$2:$Y$301, MATCH(ROUND(MIN(300,MAX(1,D655)),0), FactorTable!$A$2:$A$301,0), Skills!M20+1)</f>
        <v/>
      </c>
      <c r="F655">
        <f>IF(Skills!N20=TRUE,(Skills!L20/10)*(E655/1000),Skills!L20/10)+Skills!O20</f>
        <v/>
      </c>
      <c r="G655">
        <f>Skills!G20*IF(Skills!H20&gt;0,Skills!I20/Skills!H20,1)</f>
        <v/>
      </c>
      <c r="H655">
        <f>1-(1-Skills!J20/100)^Skills!K20</f>
        <v/>
      </c>
      <c r="I655" t="inlineStr">
        <is>
          <t>1</t>
        </is>
      </c>
      <c r="J655" t="inlineStr"/>
      <c r="K655" t="inlineStr"/>
      <c r="L655" t="inlineStr"/>
      <c r="M655" t="inlineStr"/>
      <c r="N655" t="inlineStr"/>
      <c r="O655">
        <f>(1-Summary!$B$11)*T655+Summary!$B$11*V655</f>
        <v/>
      </c>
      <c r="P655">
        <f>IF(B679=0,0,O655/B679)</f>
        <v/>
      </c>
      <c r="Q655">
        <f>IFERROR(1/(IF(Inputs!$B$38="pvp",15,MAX(0.1,Skills!D20-IF(Skills!E20=TRUE,Inputs!$B$32,0)))*(1-IF(AND(ArtifactsInput!$M$27,Inputs!$B$4="Chapter Hunt"),CHOOSE(ArtifactsInput!$N$27+1,20,24,28,32,36,40),0)/100)),0)</f>
        <v/>
      </c>
      <c r="R655">
        <f>IF(AND(Inputs!$B$38&lt;&gt;"pvp",Inputs!$B$43&gt;0),IF(Inputs!$B$43&lt;=0,0,(INT(Inputs!$B$43/(IF(Inputs!$B$38="pvp",15,MAX(0.1,Skills!D20-IF(Skills!E20=TRUE,Inputs!$B$32,0)))*(1-IF(AND(ArtifactsInput!$M$27,Inputs!$B$4="Chapter Hunt"),CHOOSE(ArtifactsInput!$N$27+1,20,24,28,32,36,40),0)/100)))+1)),0)</f>
        <v/>
      </c>
      <c r="S655">
        <f>IFERROR(O655/N655,0)</f>
        <v/>
      </c>
      <c r="T655" t="n">
        <v>0</v>
      </c>
      <c r="V655" t="n">
        <v>0</v>
      </c>
    </row>
    <row r="656">
      <c r="A656">
        <f>Skills!A21</f>
        <v/>
      </c>
      <c r="B656">
        <f>Skills!B21</f>
        <v/>
      </c>
      <c r="C656">
        <f>Inputs!$B$3&gt;=15</f>
        <v/>
      </c>
      <c r="D656">
        <f>IF(Skills!C21=1,60+Inputs!$B$25+Inputs!$B$29,IF(Skills!C21=2,90+Inputs!$B$26+Inputs!$B$29,IF(Skills!C21=3,120+Inputs!$B$27+Inputs!$B$29,MAX(0,(Inputs!$B$3-100)*3)+Inputs!$B$28+Inputs!$B$29)))</f>
        <v/>
      </c>
      <c r="E656">
        <f>INDEX(FactorTable!$B$2:$Y$301, MATCH(ROUND(MIN(300,MAX(1,D656)),0), FactorTable!$A$2:$A$301,0), Skills!M21+1)</f>
        <v/>
      </c>
      <c r="F656">
        <f>IF(Skills!N21=TRUE,(Skills!L21/10)*(E656/1000),Skills!L21/10)+Skills!O21</f>
        <v/>
      </c>
      <c r="G656">
        <f>Skills!G21*IF(Skills!H21&gt;0,Skills!I21/Skills!H21,1)</f>
        <v/>
      </c>
      <c r="H656">
        <f>1-(1-Skills!J21/100)^Skills!K21</f>
        <v/>
      </c>
      <c r="I656" t="inlineStr">
        <is>
          <t>1</t>
        </is>
      </c>
      <c r="J656" t="inlineStr"/>
      <c r="K656" t="inlineStr"/>
      <c r="L656" t="inlineStr"/>
      <c r="M656" t="inlineStr"/>
      <c r="N656" t="inlineStr"/>
      <c r="O656">
        <f>(1-Summary!$B$11)*T656+Summary!$B$11*V656</f>
        <v/>
      </c>
      <c r="P656">
        <f>IF(B679=0,0,O656/B679)</f>
        <v/>
      </c>
      <c r="Q656" t="n">
        <v>0</v>
      </c>
      <c r="R656" t="n">
        <v>0</v>
      </c>
      <c r="S656">
        <f>IFERROR(O656/N656,0)</f>
        <v/>
      </c>
      <c r="T656" t="n">
        <v>0</v>
      </c>
      <c r="V656" t="n">
        <v>0</v>
      </c>
    </row>
    <row r="657">
      <c r="A657">
        <f>Skills!A22</f>
        <v/>
      </c>
      <c r="B657">
        <f>Skills!B22</f>
        <v/>
      </c>
      <c r="C657">
        <f>Inputs!$B$3&gt;=10</f>
        <v/>
      </c>
      <c r="D657">
        <f>IF(Skills!C22=1,60+Inputs!$B$25+Inputs!$B$29,IF(Skills!C22=2,90+Inputs!$B$26+Inputs!$B$29,IF(Skills!C22=3,120+Inputs!$B$27+Inputs!$B$29,MAX(0,(Inputs!$B$3-100)*3)+Inputs!$B$28+Inputs!$B$29)))</f>
        <v/>
      </c>
      <c r="E657">
        <f>INDEX(FactorTable!$B$2:$Y$301, MATCH(ROUND(MIN(300,MAX(1,D657)),0), FactorTable!$A$2:$A$301,0), Skills!M22+1)</f>
        <v/>
      </c>
      <c r="F657">
        <f>IF(Skills!N22=TRUE,(Skills!L22/10)*(E657/1000),Skills!L22/10)+Skills!O22</f>
        <v/>
      </c>
      <c r="G657">
        <f>Skills!G22*IF(Skills!H22&gt;0,Skills!I22/Skills!H22,1)</f>
        <v/>
      </c>
      <c r="H657">
        <f>1-(1-Skills!J22/100)^Skills!K22</f>
        <v/>
      </c>
      <c r="I657" t="inlineStr">
        <is>
          <t>1</t>
        </is>
      </c>
      <c r="J657" t="inlineStr"/>
      <c r="K657" t="inlineStr"/>
      <c r="L657" t="inlineStr"/>
      <c r="M657" t="inlineStr"/>
      <c r="N657" t="inlineStr"/>
      <c r="O657">
        <f>(1-Summary!$B$11)*T657+Summary!$B$11*V657</f>
        <v/>
      </c>
      <c r="P657">
        <f>IF(B679=0,0,O657/B679)</f>
        <v/>
      </c>
      <c r="Q657" t="n">
        <v>0</v>
      </c>
      <c r="R657" t="n">
        <v>0</v>
      </c>
      <c r="S657">
        <f>IFERROR(O657/N657,0)</f>
        <v/>
      </c>
      <c r="T657" t="n">
        <v>0</v>
      </c>
      <c r="V657" t="n">
        <v>0</v>
      </c>
    </row>
    <row r="658">
      <c r="A658">
        <f>Skills!A23</f>
        <v/>
      </c>
      <c r="B658">
        <f>Skills!B23</f>
        <v/>
      </c>
      <c r="C658">
        <f>Inputs!$B$3&gt;=33</f>
        <v/>
      </c>
      <c r="D658">
        <f>IF(Skills!C23=1,60+Inputs!$B$25+Inputs!$B$29,IF(Skills!C23=2,90+Inputs!$B$26+Inputs!$B$29,IF(Skills!C23=3,120+Inputs!$B$27+Inputs!$B$29,MAX(0,(Inputs!$B$3-100)*3)+Inputs!$B$28+Inputs!$B$29)))</f>
        <v/>
      </c>
      <c r="E658">
        <f>INDEX(FactorTable!$B$2:$Y$301, MATCH(ROUND(MIN(300,MAX(1,D658)),0), FactorTable!$A$2:$A$301,0), Skills!M23+1)</f>
        <v/>
      </c>
      <c r="F658">
        <f>IF(Skills!N23=TRUE,(Skills!L23/10)*(E658/1000),Skills!L23/10)+Skills!O23</f>
        <v/>
      </c>
      <c r="G658">
        <f>Skills!G23*IF(Skills!H23&gt;0,Skills!I23/Skills!H23,1)</f>
        <v/>
      </c>
      <c r="H658">
        <f>1-(1-Skills!J23/100)^Skills!K23</f>
        <v/>
      </c>
      <c r="I658" t="inlineStr">
        <is>
          <t>1</t>
        </is>
      </c>
      <c r="J658" t="inlineStr"/>
      <c r="K658" t="inlineStr"/>
      <c r="L658" t="inlineStr"/>
      <c r="M658" t="inlineStr"/>
      <c r="N658" t="inlineStr"/>
      <c r="O658">
        <f>(1-Summary!$B$11)*T658+Summary!$B$11*V658</f>
        <v/>
      </c>
      <c r="P658">
        <f>IF(B679=0,0,O658/B679)</f>
        <v/>
      </c>
      <c r="Q658" t="n">
        <v>0</v>
      </c>
      <c r="R658" t="n">
        <v>0</v>
      </c>
      <c r="S658">
        <f>IFERROR(O658/N658,0)</f>
        <v/>
      </c>
      <c r="T658" t="n">
        <v>0</v>
      </c>
      <c r="V658" t="n">
        <v>0</v>
      </c>
    </row>
    <row r="659">
      <c r="A659">
        <f>Skills!A24</f>
        <v/>
      </c>
      <c r="B659">
        <f>Skills!B24</f>
        <v/>
      </c>
      <c r="C659">
        <f>Inputs!$B$3&gt;=38</f>
        <v/>
      </c>
      <c r="D659">
        <f>IF(Skills!C24=1,60+Inputs!$B$25+Inputs!$B$29,IF(Skills!C24=2,90+Inputs!$B$26+Inputs!$B$29,IF(Skills!C24=3,120+Inputs!$B$27+Inputs!$B$29,MAX(0,(Inputs!$B$3-100)*3)+Inputs!$B$28+Inputs!$B$29)))</f>
        <v/>
      </c>
      <c r="E659">
        <f>INDEX(FactorTable!$B$2:$Y$301, MATCH(ROUND(MIN(300,MAX(1,D659)),0), FactorTable!$A$2:$A$301,0), Skills!M24+1)</f>
        <v/>
      </c>
      <c r="F659">
        <f>IF(Skills!N24=TRUE,(Skills!L24/10)*(E659/1000),Skills!L24/10)+Skills!O24</f>
        <v/>
      </c>
      <c r="G659">
        <f>Skills!G24*IF(Skills!H24&gt;0,Skills!I24/Skills!H24,1)</f>
        <v/>
      </c>
      <c r="H659">
        <f>1-(1-Skills!J24/100)^Skills!K24</f>
        <v/>
      </c>
      <c r="I659" t="inlineStr">
        <is>
          <t>1</t>
        </is>
      </c>
      <c r="J659" t="inlineStr"/>
      <c r="K659" t="inlineStr"/>
      <c r="L659" t="inlineStr"/>
      <c r="M659" t="inlineStr"/>
      <c r="N659" t="inlineStr"/>
      <c r="O659">
        <f>(1-Summary!$B$11)*T659+Summary!$B$11*V659</f>
        <v/>
      </c>
      <c r="P659">
        <f>IF(B679=0,0,O659/B679)</f>
        <v/>
      </c>
      <c r="Q659" t="n">
        <v>0</v>
      </c>
      <c r="R659" t="n">
        <v>0</v>
      </c>
      <c r="S659">
        <f>IFERROR(O659/N659,0)</f>
        <v/>
      </c>
      <c r="T659" t="n">
        <v>0</v>
      </c>
      <c r="V659" t="n">
        <v>0</v>
      </c>
    </row>
    <row r="660">
      <c r="A660">
        <f>Skills!A25</f>
        <v/>
      </c>
      <c r="B660">
        <f>Skills!B25</f>
        <v/>
      </c>
      <c r="C660">
        <f>Inputs!$B$3&gt;=43</f>
        <v/>
      </c>
      <c r="D660">
        <f>IF(Skills!C25=1,60+Inputs!$B$25+Inputs!$B$29,IF(Skills!C25=2,90+Inputs!$B$26+Inputs!$B$29,IF(Skills!C25=3,120+Inputs!$B$27+Inputs!$B$29,MAX(0,(Inputs!$B$3-100)*3)+Inputs!$B$28+Inputs!$B$29)))</f>
        <v/>
      </c>
      <c r="E660">
        <f>INDEX(FactorTable!$B$2:$Y$301, MATCH(ROUND(MIN(300,MAX(1,D660)),0), FactorTable!$A$2:$A$301,0), Skills!M25+1)</f>
        <v/>
      </c>
      <c r="F660">
        <f>IF(Skills!N25=TRUE,(Skills!L25/10)*(E660/1000),Skills!L25/10)+Skills!O25</f>
        <v/>
      </c>
      <c r="G660">
        <f>Skills!G25*IF(Skills!H25&gt;0,Skills!I25/Skills!H25,1)</f>
        <v/>
      </c>
      <c r="H660">
        <f>1-(1-Skills!J25/100)^Skills!K25</f>
        <v/>
      </c>
      <c r="I660" t="inlineStr">
        <is>
          <t>1</t>
        </is>
      </c>
      <c r="J660" t="inlineStr"/>
      <c r="K660" t="inlineStr"/>
      <c r="L660" t="inlineStr"/>
      <c r="M660" t="inlineStr"/>
      <c r="N660" t="inlineStr"/>
      <c r="O660">
        <f>(1-Summary!$B$11)*T660+Summary!$B$11*V660</f>
        <v/>
      </c>
      <c r="P660">
        <f>IF(B679=0,0,O660/B679)</f>
        <v/>
      </c>
      <c r="Q660" t="n">
        <v>0</v>
      </c>
      <c r="R660" t="n">
        <v>0</v>
      </c>
      <c r="S660">
        <f>IFERROR(O660/N660,0)</f>
        <v/>
      </c>
      <c r="T660" t="n">
        <v>0</v>
      </c>
      <c r="V660" t="n">
        <v>0</v>
      </c>
    </row>
    <row r="661">
      <c r="A661">
        <f>Skills!A26</f>
        <v/>
      </c>
      <c r="B661">
        <f>Skills!B26</f>
        <v/>
      </c>
      <c r="C661">
        <f>Inputs!$B$3&gt;=75</f>
        <v/>
      </c>
      <c r="D661">
        <f>IF(Skills!C26=1,60+Inputs!$B$25+Inputs!$B$29,IF(Skills!C26=2,90+Inputs!$B$26+Inputs!$B$29,IF(Skills!C26=3,120+Inputs!$B$27+Inputs!$B$29,MAX(0,(Inputs!$B$3-100)*3)+Inputs!$B$28+Inputs!$B$29)))</f>
        <v/>
      </c>
      <c r="E661">
        <f>INDEX(FactorTable!$B$2:$Y$301, MATCH(ROUND(MIN(300,MAX(1,D661)),0), FactorTable!$A$2:$A$301,0), Skills!M26+1)</f>
        <v/>
      </c>
      <c r="F661">
        <f>IF(Skills!N26=TRUE,(Skills!L26/10)*(E661/1000),Skills!L26/10)+Skills!O26</f>
        <v/>
      </c>
      <c r="G661">
        <f>Skills!G26*IF(Skills!H26&gt;0,Skills!I26/Skills!H26,1)</f>
        <v/>
      </c>
      <c r="H661">
        <f>1-(1-Skills!J26/100)^Skills!K26</f>
        <v/>
      </c>
      <c r="I661" t="inlineStr">
        <is>
          <t>1</t>
        </is>
      </c>
      <c r="J661" t="inlineStr"/>
      <c r="K661" t="inlineStr"/>
      <c r="L661" t="inlineStr"/>
      <c r="M661" t="inlineStr"/>
      <c r="N661" t="inlineStr"/>
      <c r="O661">
        <f>(1-Summary!$B$11)*T661+Summary!$B$11*V661</f>
        <v/>
      </c>
      <c r="P661">
        <f>IF(B679=0,0,O661/B679)</f>
        <v/>
      </c>
      <c r="Q661" t="n">
        <v>0</v>
      </c>
      <c r="R661" t="n">
        <v>0</v>
      </c>
      <c r="S661">
        <f>IFERROR(O661/N661,0)</f>
        <v/>
      </c>
      <c r="T661" t="n">
        <v>0</v>
      </c>
      <c r="V661" t="n">
        <v>0</v>
      </c>
    </row>
    <row r="662">
      <c r="A662">
        <f>Skills!A27</f>
        <v/>
      </c>
      <c r="B662">
        <f>Skills!B27</f>
        <v/>
      </c>
      <c r="C662">
        <f>Inputs!$B$3&gt;=125</f>
        <v/>
      </c>
      <c r="D662">
        <f>IF(Skills!C27=1,60+Inputs!$B$25+Inputs!$B$29,IF(Skills!C27=2,90+Inputs!$B$26+Inputs!$B$29,IF(Skills!C27=3,120+Inputs!$B$27+Inputs!$B$29,MAX(0,(Inputs!$B$3-100)*3)+Inputs!$B$28+Inputs!$B$29)))</f>
        <v/>
      </c>
      <c r="E662">
        <f>INDEX(FactorTable!$B$2:$Y$301, MATCH(ROUND(MIN(300,MAX(1,D662)),0), FactorTable!$A$2:$A$301,0), Skills!M27+1)</f>
        <v/>
      </c>
      <c r="F662">
        <f>IF(Skills!N27=TRUE,(Skills!L27/10)*(E662/1000),Skills!L27/10)+Skills!O27</f>
        <v/>
      </c>
      <c r="G662">
        <f>Skills!G27*IF(Skills!H27&gt;0,Skills!I27/Skills!H27,1)</f>
        <v/>
      </c>
      <c r="H662">
        <f>1-(1-Skills!J27/100)^Skills!K27</f>
        <v/>
      </c>
      <c r="I662" t="inlineStr">
        <is>
          <t>1</t>
        </is>
      </c>
      <c r="J662" t="inlineStr"/>
      <c r="K662" t="inlineStr"/>
      <c r="L662" t="inlineStr"/>
      <c r="M662" t="inlineStr"/>
      <c r="N662" t="inlineStr"/>
      <c r="O662">
        <f>(1-Summary!$B$11)*T662+Summary!$B$11*V662</f>
        <v/>
      </c>
      <c r="P662">
        <f>IF(B679=0,0,O662/B679)</f>
        <v/>
      </c>
      <c r="Q662" t="n">
        <v>0</v>
      </c>
      <c r="R662" t="n">
        <v>0</v>
      </c>
      <c r="S662">
        <f>IFERROR(O662/N662,0)</f>
        <v/>
      </c>
      <c r="T662" t="n">
        <v>0</v>
      </c>
      <c r="V662" t="n">
        <v>0</v>
      </c>
    </row>
    <row r="663">
      <c r="A663">
        <f>Skills!A28</f>
        <v/>
      </c>
      <c r="B663">
        <f>Skills!B28</f>
        <v/>
      </c>
      <c r="C663">
        <f>Inputs!$B$3&gt;=125</f>
        <v/>
      </c>
      <c r="D663">
        <f>IF(Skills!C28=1,60+Inputs!$B$25+Inputs!$B$29,IF(Skills!C28=2,90+Inputs!$B$26+Inputs!$B$29,IF(Skills!C28=3,120+Inputs!$B$27+Inputs!$B$29,MAX(0,(Inputs!$B$3-100)*3)+Inputs!$B$28+Inputs!$B$29)))</f>
        <v/>
      </c>
      <c r="E663">
        <f>INDEX(FactorTable!$B$2:$Y$301, MATCH(ROUND(MIN(300,MAX(1,D663)),0), FactorTable!$A$2:$A$301,0), Skills!M28+1)</f>
        <v/>
      </c>
      <c r="F663">
        <f>IF(Skills!N28=TRUE,(Skills!L28/10)*(E663/1000),Skills!L28/10)+Skills!O28</f>
        <v/>
      </c>
      <c r="G663">
        <f>Skills!G28*IF(Skills!H28&gt;0,Skills!I28/Skills!H28,1)</f>
        <v/>
      </c>
      <c r="H663">
        <f>1-(1-Skills!J28/100)^Skills!K28</f>
        <v/>
      </c>
      <c r="I663" t="inlineStr">
        <is>
          <t>1</t>
        </is>
      </c>
      <c r="J663" t="inlineStr"/>
      <c r="K663" t="inlineStr"/>
      <c r="L663" t="inlineStr"/>
      <c r="M663" t="inlineStr"/>
      <c r="N663" t="inlineStr"/>
      <c r="O663">
        <f>(1-Summary!$B$11)*T663+Summary!$B$11*V663</f>
        <v/>
      </c>
      <c r="P663">
        <f>IF(B679=0,0,O663/B679)</f>
        <v/>
      </c>
      <c r="Q663" t="n">
        <v>0</v>
      </c>
      <c r="R663" t="n">
        <v>0</v>
      </c>
      <c r="S663">
        <f>IFERROR(O663/N663,0)</f>
        <v/>
      </c>
      <c r="T663" t="n">
        <v>0</v>
      </c>
      <c r="V663" t="n">
        <v>0</v>
      </c>
    </row>
    <row r="664">
      <c r="A664">
        <f>Skills!A29</f>
        <v/>
      </c>
      <c r="B664">
        <f>Skills!B29</f>
        <v/>
      </c>
      <c r="C664">
        <f>Inputs!$B$3&gt;=120</f>
        <v/>
      </c>
      <c r="D664">
        <f>IF(Skills!C29=1,60+Inputs!$B$25+Inputs!$B$29,IF(Skills!C29=2,90+Inputs!$B$26+Inputs!$B$29,IF(Skills!C29=3,120+Inputs!$B$27+Inputs!$B$29,MAX(0,(Inputs!$B$3-100)*3)+Inputs!$B$28+Inputs!$B$29)))</f>
        <v/>
      </c>
      <c r="E664">
        <f>INDEX(FactorTable!$B$2:$Y$301, MATCH(ROUND(MIN(300,MAX(1,D664)),0), FactorTable!$A$2:$A$301,0), Skills!M29+1)</f>
        <v/>
      </c>
      <c r="F664">
        <f>IF(Skills!N29=TRUE,(Skills!L29/10)*(E664/1000),Skills!L29/10)+Skills!O29</f>
        <v/>
      </c>
      <c r="G664">
        <f>Skills!G29*IF(Skills!H29&gt;0,Skills!I29/Skills!H29,1)</f>
        <v/>
      </c>
      <c r="H664">
        <f>1-(1-Skills!J29/100)^Skills!K29</f>
        <v/>
      </c>
      <c r="I664" t="inlineStr">
        <is>
          <t>1</t>
        </is>
      </c>
      <c r="J664" t="inlineStr"/>
      <c r="K664" t="inlineStr"/>
      <c r="L664" t="inlineStr"/>
      <c r="M664" t="inlineStr"/>
      <c r="N664" t="inlineStr"/>
      <c r="O664">
        <f>(1-Summary!$B$11)*T664+Summary!$B$11*V664</f>
        <v/>
      </c>
      <c r="P664">
        <f>IF(B679=0,0,O664/B679)</f>
        <v/>
      </c>
      <c r="Q664" t="n">
        <v>0</v>
      </c>
      <c r="R664" t="n">
        <v>0</v>
      </c>
      <c r="S664">
        <f>IFERROR(O664/N664,0)</f>
        <v/>
      </c>
      <c r="T664" t="n">
        <v>0</v>
      </c>
      <c r="V664" t="n">
        <v>0</v>
      </c>
    </row>
    <row r="665">
      <c r="A665">
        <f>Skills!A30</f>
        <v/>
      </c>
      <c r="B665">
        <f>Skills!B30</f>
        <v/>
      </c>
      <c r="C665">
        <f>Inputs!$B$3&gt;=120</f>
        <v/>
      </c>
      <c r="D665">
        <f>IF(Skills!C30=1,60+Inputs!$B$25+Inputs!$B$29,IF(Skills!C30=2,90+Inputs!$B$26+Inputs!$B$29,IF(Skills!C30=3,120+Inputs!$B$27+Inputs!$B$29,MAX(0,(Inputs!$B$3-100)*3)+Inputs!$B$28+Inputs!$B$29)))</f>
        <v/>
      </c>
      <c r="E665">
        <f>INDEX(FactorTable!$B$2:$Y$301, MATCH(ROUND(MIN(300,MAX(1,D665)),0), FactorTable!$A$2:$A$301,0), Skills!M30+1)</f>
        <v/>
      </c>
      <c r="F665">
        <f>IF(Skills!N30=TRUE,(Skills!L30/10)*(E665/1000),Skills!L30/10)+Skills!O30</f>
        <v/>
      </c>
      <c r="G665">
        <f>Skills!G30*IF(Skills!H30&gt;0,Skills!I30/Skills!H30,1)</f>
        <v/>
      </c>
      <c r="H665">
        <f>1-(1-Skills!J30/100)^Skills!K30</f>
        <v/>
      </c>
      <c r="I665" t="inlineStr">
        <is>
          <t>1</t>
        </is>
      </c>
      <c r="J665" t="inlineStr"/>
      <c r="K665" t="inlineStr"/>
      <c r="L665" t="inlineStr"/>
      <c r="M665" t="inlineStr"/>
      <c r="N665" t="inlineStr"/>
      <c r="O665">
        <f>(1-Summary!$B$11)*T665+Summary!$B$11*V665</f>
        <v/>
      </c>
      <c r="P665">
        <f>IF(B679=0,0,O665/B679)</f>
        <v/>
      </c>
      <c r="Q665" t="n">
        <v>0</v>
      </c>
      <c r="R665" t="n">
        <v>0</v>
      </c>
      <c r="S665">
        <f>IFERROR(O665/N665,0)</f>
        <v/>
      </c>
      <c r="T665" t="n">
        <v>0</v>
      </c>
      <c r="V665" t="n">
        <v>0</v>
      </c>
    </row>
    <row r="666">
      <c r="A666">
        <f>Skills!A31</f>
        <v/>
      </c>
      <c r="B666">
        <f>Skills!B31</f>
        <v/>
      </c>
      <c r="C666">
        <f>Inputs!$B$3&gt;=45</f>
        <v/>
      </c>
      <c r="D666">
        <f>IF(Skills!C31=1,60+Inputs!$B$25+Inputs!$B$29,IF(Skills!C31=2,90+Inputs!$B$26+Inputs!$B$29,IF(Skills!C31=3,120+Inputs!$B$27+Inputs!$B$29,MAX(0,(Inputs!$B$3-100)*3)+Inputs!$B$28+Inputs!$B$29)))</f>
        <v/>
      </c>
      <c r="E666">
        <f>INDEX(FactorTable!$B$2:$Y$301, MATCH(ROUND(MIN(300,MAX(1,D666)),0), FactorTable!$A$2:$A$301,0), Skills!M31+1)</f>
        <v/>
      </c>
      <c r="F666">
        <f>IF(Skills!N31=TRUE,(Skills!L31/10)*(E666/1000),Skills!L31/10)+Skills!O31</f>
        <v/>
      </c>
      <c r="G666">
        <f>Skills!G31*IF(Skills!H31&gt;0,Skills!I31/Skills!H31,1)</f>
        <v/>
      </c>
      <c r="H666">
        <f>1-(1-Skills!J31/100)^Skills!K31</f>
        <v/>
      </c>
      <c r="I666" t="inlineStr">
        <is>
          <t>1</t>
        </is>
      </c>
      <c r="J666" t="inlineStr"/>
      <c r="K666" t="inlineStr"/>
      <c r="L666" t="inlineStr"/>
      <c r="M666" t="inlineStr"/>
      <c r="N666" t="inlineStr"/>
      <c r="O666">
        <f>(1-Summary!$B$11)*T666+Summary!$B$11*V666</f>
        <v/>
      </c>
      <c r="P666">
        <f>IF(B679=0,0,O666/B679)</f>
        <v/>
      </c>
      <c r="Q666" t="n">
        <v>0</v>
      </c>
      <c r="R666" t="n">
        <v>0</v>
      </c>
      <c r="S666">
        <f>IFERROR(O666/N666,0)</f>
        <v/>
      </c>
      <c r="T666" t="n">
        <v>0</v>
      </c>
      <c r="V666" t="n">
        <v>0</v>
      </c>
    </row>
    <row r="668">
      <c r="A668" t="inlineStr">
        <is>
          <t>Attack% Bucket Multiplier</t>
        </is>
      </c>
      <c r="B668">
        <f>(1+(((C649=TRUE)*F649)+((C650=TRUE)*IF(Inputs!$B$38="pvp",F650,(1-Summary!$B$11)*(F650)+Summary!$B$11*(0)))+((C651=TRUE)*F651*IF(AND(Inputs!$B$38&lt;&gt;"pvp",Inputs!$B$43&gt;0),(((R651-1)*(Skills!T16*(1+Inputs!$B$34/100))+MIN((Skills!T16*(1+Inputs!$B$34/100)),MAX(0,Inputs!$B$43-((R651-1)*Skills!D16))))/Inputs!$B$43),IF(Inputs!$B$38="pvp",MIN((Skills!T16*(1+Inputs!$B$34/100)),15)/15,(Skills!T16*(1+Inputs!$B$34/100))/Skills!D16)))+((C666=TRUE)*(F666-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69">
      <c r="A669" t="inlineStr">
        <is>
          <t>Global Crit Rate Bonus %</t>
        </is>
      </c>
      <c r="B669">
        <f>(C652=TRUE)*20*IF(AND(Inputs!$B$38&lt;&gt;"pvp",Inputs!$B$43&gt;0),(((R652-1)*(Skills!T17*(1+Inputs!$B$34/100))+MIN((Skills!T17*(1+Inputs!$B$34/100)),MAX(0,Inputs!$B$43-((R652-1)*Skills!D17))))/Inputs!$B$43),IF(Inputs!$B$38="pvp",MIN((Skills!T17*(1+Inputs!$B$34/100)),15)/15,(Skills!T17*(1+Inputs!$B$34/100))/Skills!D17))</f>
        <v/>
      </c>
    </row>
    <row r="670">
      <c r="A670" t="inlineStr">
        <is>
          <t>Attack Speed Buff Bonus %</t>
        </is>
      </c>
      <c r="B670">
        <f>((C655=TRUE)*F655*IF(AND(Inputs!$B$38&lt;&gt;"pvp",Inputs!$B$43&gt;0),(((R655-1)*(Skills!T20*(1+Inputs!$B$34/100))+MIN((Skills!T20*(1+Inputs!$B$34/100)),MAX(0,Inputs!$B$43-((R655-1)*Skills!D20))))/Inputs!$B$43),IF(Inputs!$B$38="pvp",MIN((Skills!T20*(1+Inputs!$B$34/100)),15)/15,(Skills!T20*(1+Inputs!$B$34/100))/Skills!D20)))</f>
        <v/>
      </c>
    </row>
    <row r="671">
      <c r="A671" t="inlineStr">
        <is>
          <t>Actions Per Second</t>
        </is>
      </c>
      <c r="B671">
        <f>1+MIN(150,150*(1-(1-(((1-(1-Inputs!$B$11/150)*(1-1/150))*150)+((C657=TRUE)*(F657-Calc!F22))+((C658=TRUE)*(F658-Calc!F23)))/150)*(1-B670/150)))/100</f>
        <v/>
      </c>
    </row>
    <row r="672">
      <c r="A672" t="inlineStr">
        <is>
          <t>Skill + Buff Cast Rate</t>
        </is>
      </c>
      <c r="B672">
        <f>IF(AND(Inputs!$B$38&lt;&gt;"pvp",Inputs!$B$43&gt;0),SUMPRODUCT((Skills!E2:E31=TRUE)*(C637:C666=TRUE)*R637:R666*Skills!F2:F31)/Inputs!$B$43,SUMPRODUCT((Skills!E2:E31=TRUE)*(C637:C666=TRUE)*Q637:Q666*Skills!F2:F31))</f>
        <v/>
      </c>
    </row>
    <row r="673">
      <c r="A673" t="inlineStr">
        <is>
          <t>Arrow Stream Casts Per Second</t>
        </is>
      </c>
      <c r="B673">
        <f>MAX(0,B671-B672)</f>
        <v/>
      </c>
    </row>
    <row r="674">
      <c r="A674" t="inlineStr">
        <is>
          <t>Global Critical Damage Bonus % (Sharp Eyes + Concentration)</t>
        </is>
      </c>
      <c r="B674">
        <f>(C652=TRUE)*F652*IF(AND(Inputs!$B$38&lt;&gt;"pvp",Inputs!$B$43&gt;0),(((R652-1)*(Skills!T17*(1+Inputs!$B$34/100))+MIN((Skills!T17*(1+Inputs!$B$34/100)),MAX(0,Inputs!$B$43-((R652-1)*Skills!D17))))/Inputs!$B$43),IF(Inputs!$B$38="pvp",MIN((Skills!T17*(1+Inputs!$B$34/100)),15)/15,(Skills!T17*(1+Inputs!$B$34/100))/Skills!D17))+(C653=TRUE)*30</f>
        <v/>
      </c>
    </row>
    <row r="675">
      <c r="A675" t="inlineStr">
        <is>
          <t>Global Final Damage Bonus % (Mortal Blow)</t>
        </is>
      </c>
      <c r="B675">
        <f>(C654=TRUE)*F654</f>
        <v/>
      </c>
    </row>
    <row r="676">
      <c r="A676" t="inlineStr">
        <is>
          <t>Buff-Casting Startup Delay (s, fixed-duration only)</t>
        </is>
      </c>
      <c r="B676">
        <f>IF(AND(Inputs!$B$38&lt;&gt;"pvp",Inputs!$B$43&gt;0),SUMPRODUCT((Skills!T2:T31&gt;0)*(Skills!E2:E31=TRUE)*(C637:C666=TRUE))/B671,0)</f>
        <v/>
      </c>
    </row>
    <row r="677">
      <c r="A677" t="inlineStr">
        <is>
          <t>Boss-Only Total DPS (this block's swept value)</t>
        </is>
      </c>
      <c r="B677">
        <f>SUM(T637:T666)</f>
        <v/>
      </c>
    </row>
    <row r="678">
      <c r="A678" t="inlineStr">
        <is>
          <t>Normal-Only Total DPS (this block's swept value)</t>
        </is>
      </c>
      <c r="B678">
        <f>SUM(V637:V666)</f>
        <v/>
      </c>
    </row>
    <row r="679">
      <c r="A679" s="6" t="inlineStr">
        <is>
          <t>TOTAL DPS</t>
        </is>
      </c>
      <c r="B679" s="6">
        <f>SUM(O637:O666)</f>
        <v/>
      </c>
    </row>
    <row r="682">
      <c r="A682" s="6" t="inlineStr">
        <is>
          <t>Stat: DEF_PEN % (diminishing returns, factor 100)</t>
        </is>
      </c>
    </row>
    <row r="683">
      <c r="A683" s="5" t="inlineStr">
        <is>
          <t>Key</t>
        </is>
      </c>
      <c r="B683" s="5" t="inlineStr">
        <is>
          <t>Name</t>
        </is>
      </c>
      <c r="C683" s="5" t="inlineStr">
        <is>
          <t>Unlocked</t>
        </is>
      </c>
      <c r="D683" s="5" t="inlineStr">
        <is>
          <t>InputLevel</t>
        </is>
      </c>
      <c r="E683" s="5" t="inlineStr">
        <is>
          <t>Factor</t>
        </is>
      </c>
      <c r="F683" s="5" t="inlineStr">
        <is>
          <t>CoefficientPercent</t>
        </is>
      </c>
      <c r="G683" s="5" t="inlineStr">
        <is>
          <t>EffectiveHits</t>
        </is>
      </c>
      <c r="H683" s="5" t="inlineStr">
        <is>
          <t>ProcProbability</t>
        </is>
      </c>
      <c r="I683" s="5" t="inlineStr">
        <is>
          <t>MapleHeroMultiplier</t>
        </is>
      </c>
      <c r="J683" s="5" t="inlineStr">
        <is>
          <t>BaseDamage</t>
        </is>
      </c>
      <c r="K683" s="5" t="inlineStr">
        <is>
          <t>BaseHitDamage</t>
        </is>
      </c>
      <c r="L683" s="5" t="inlineStr">
        <is>
          <t>NonCritAvg</t>
        </is>
      </c>
      <c r="M683" s="5" t="inlineStr">
        <is>
          <t>CritAvg</t>
        </is>
      </c>
      <c r="N683" s="5" t="inlineStr">
        <is>
          <t>ExpectedDamage(perHit)</t>
        </is>
      </c>
      <c r="O683" s="5" t="inlineStr">
        <is>
          <t>DPS</t>
        </is>
      </c>
      <c r="P683" s="5" t="inlineStr">
        <is>
          <t>% of Total</t>
        </is>
      </c>
      <c r="Q683" s="5" t="inlineStr">
        <is>
          <t>InvCooldown</t>
        </is>
      </c>
      <c r="R683" s="5" t="inlineStr">
        <is>
          <t>CastsInFight</t>
        </is>
      </c>
      <c r="S683" s="5" t="inlineStr">
        <is>
          <t>HitRate(perSec)</t>
        </is>
      </c>
      <c r="U683" t="inlineStr">
        <is>
          <t>helpers</t>
        </is>
      </c>
    </row>
    <row r="684">
      <c r="A684">
        <f>Skills!A2</f>
        <v/>
      </c>
      <c r="B684">
        <f>Skills!B2</f>
        <v/>
      </c>
      <c r="C684">
        <f>Inputs!$B$3&gt;=100</f>
        <v/>
      </c>
      <c r="D684" t="inlineStr"/>
      <c r="E684" t="inlineStr"/>
      <c r="F684">
        <f>U686+Skills!O2</f>
        <v/>
      </c>
      <c r="G684">
        <f>Skills!G2*IF(Skills!H2&gt;0,Skills!I2/Skills!H2,1)</f>
        <v/>
      </c>
      <c r="H684">
        <f>1-(1-Skills!J2/100)^Skills!K2</f>
        <v/>
      </c>
      <c r="I684" t="inlineStr">
        <is>
          <t>1</t>
        </is>
      </c>
      <c r="J684">
        <f>((Inputs!$B$6*(1+Inputs!$B$7/100))+(((Inputs!$B$12*(1+Inputs!$B$13/100))-(Inputs!$B$12*(1+Inputs!$B$13/100)))+0.25*(Inputs!$B$14-Inputs!$B$14))*(1+Inputs!$B$7/100))*(F684/100)</f>
        <v/>
      </c>
      <c r="K684">
        <f>J684*(1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684)</f>
        <v/>
      </c>
      <c r="L684">
        <f>K684*(MIN(Inputs!$B$22+((C707=TRUE)*(F707-Calc!F25)),(Inputs!$B$23+((C712=TRUE)*(F712-Calc!F30))+(IF(ArtifactsInput!$M$15,CHOOSE(ArtifactsInput!$N$15+1,25,30,35,40,45,50)/100*(Inputs!$B$11-Inputs!$B$11),0))))/100+(Inputs!$B$23+((C712=TRUE)*(F712-Calc!F30))+(IF(ArtifactsInput!$M$15,CHOOSE(ArtifactsInput!$N$15+1,25,30,35,40,45,50)/100*(Inputs!$B$11-Inputs!$B$11),0)))/100)/2</f>
        <v/>
      </c>
      <c r="M684">
        <f>L684*(1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4">
        <f>L684*(1-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684*(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4">
        <f>(1-Summary!$B$11)*T684+Summary!$B$11*V684</f>
        <v/>
      </c>
      <c r="P684">
        <f>IF(B726=0,0,O684/B726)</f>
        <v/>
      </c>
      <c r="Q684" t="n">
        <v>0</v>
      </c>
      <c r="R684" t="n">
        <v>0</v>
      </c>
      <c r="S684">
        <f>IFERROR(O684/N684,0)</f>
        <v/>
      </c>
      <c r="T684">
        <f>IF(C684,(Skills!G2*N684*B720)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684*(1-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684*(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684*(1-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684*(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84">
        <f>MAX(0,(Inputs!$B$3-100)*3)+Inputs!$B$28+Inputs!$B$29</f>
        <v/>
      </c>
      <c r="V684">
        <f>IF(C684,(Skills!G2*N684*B720)*IF(Inputs!$B$38="pvp",1,(1+(Inputs!$B$21+Skills!Q2+(IF(ArtifactsInput!$M$33,CHOOSE(ArtifactsInput!$N$33+1,30,36,42,48,54,60),0))+(IF(AND(ArtifactsInput!$M$35,Inputs!$B$4&lt;&gt;"Chapter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5">
      <c r="A685">
        <f>Skills!A3</f>
        <v/>
      </c>
      <c r="B685">
        <f>Skills!B3</f>
        <v/>
      </c>
      <c r="C685">
        <f>Inputs!$B$3&gt;=50</f>
        <v/>
      </c>
      <c r="D685">
        <f>IF(Skills!C3=1,60+Inputs!$B$25+Inputs!$B$29,IF(Skills!C3=2,90+Inputs!$B$26+Inputs!$B$29,IF(Skills!C3=3,120+Inputs!$B$27+Inputs!$B$29,MAX(0,(Inputs!$B$3-100)*3)+Inputs!$B$28+Inputs!$B$29)))</f>
        <v/>
      </c>
      <c r="E685">
        <f>INDEX(FactorTable!$B$2:$Y$301, MATCH(ROUND(MIN(300,MAX(1,D685)),0), FactorTable!$A$2:$A$301,0), Skills!M3+1)</f>
        <v/>
      </c>
      <c r="F685">
        <f>IF(Skills!N3=TRUE,(Skills!L3/10)*(E685/1000),Skills!L3/10)+Skills!O3</f>
        <v/>
      </c>
      <c r="G685">
        <f>Skills!G3*IF(Skills!H3&gt;0,Skills!I3/Skills!H3,1)</f>
        <v/>
      </c>
      <c r="H685">
        <f>1-(1-Skills!J3/100)^Skills!K3</f>
        <v/>
      </c>
      <c r="I685" t="inlineStr">
        <is>
          <t>1</t>
        </is>
      </c>
      <c r="J685">
        <f>((Inputs!$B$6*(1+Inputs!$B$7/100))+(((Inputs!$B$12*(1+Inputs!$B$13/100))-(Inputs!$B$12*(1+Inputs!$B$13/100)))+0.25*(Inputs!$B$14-Inputs!$B$14))*(1+Inputs!$B$7/100))*(F685/100)</f>
        <v/>
      </c>
      <c r="K685">
        <f>J685*(1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686=TRUE,F686,0)/100)*(1+(IF(Skills!A3="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685)</f>
        <v/>
      </c>
      <c r="L685">
        <f>K685*(MIN(Inputs!$B$22+((C707=TRUE)*(F707-Calc!F25)),(Inputs!$B$23+((C712=TRUE)*(F712-Calc!F30))+(IF(ArtifactsInput!$M$15,CHOOSE(ArtifactsInput!$N$15+1,25,30,35,40,45,50)/100*(Inputs!$B$11-Inputs!$B$11),0))))/100+(Inputs!$B$23+((C712=TRUE)*(F712-Calc!F30))+(IF(ArtifactsInput!$M$15,CHOOSE(ArtifactsInput!$N$15+1,25,30,35,40,45,50)/100*(Inputs!$B$11-Inputs!$B$11),0)))/100)/2</f>
        <v/>
      </c>
      <c r="M685">
        <f>L685*(1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5">
        <f>L685*(1-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685*(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5">
        <f>(1-Summary!$B$11)*T685+Summary!$B$11*V685</f>
        <v/>
      </c>
      <c r="P685">
        <f>IF(B726=0,0,O685/B726)</f>
        <v/>
      </c>
      <c r="Q685">
        <f>IFERROR(1/(IF(Inputs!$B$38="pvp",15,MAX(0.1,Skills!D3-IF(Skills!E3=TRUE,Inputs!$B$32,0)))*(1-IF(AND(ArtifactsInput!$M$27,Inputs!$B$4="Chapter Hunt"),CHOOSE(ArtifactsInput!$N$27+1,20,24,28,32,36,40),0)/100)),0)</f>
        <v/>
      </c>
      <c r="R685">
        <f>IF(AND(Inputs!$B$38&lt;&gt;"pvp",Inputs!$B$43&gt;0),IF(MAX(0,Inputs!$B$43-B723)&lt;=0,0,(INT(MAX(0,Inputs!$B$43-B723)/(IF(Inputs!$B$38="pvp",15,MAX(0.1,Skills!D3-IF(Skills!E3=TRUE,Inputs!$B$32,0)))*(1-IF(AND(ArtifactsInput!$M$27,Inputs!$B$4="Chapter Hunt"),CHOOSE(ArtifactsInput!$N$27+1,20,24,28,32,36,40),0)/100)))+1)),0)</f>
        <v/>
      </c>
      <c r="S685">
        <f>IFERROR(O685/N685,0)</f>
        <v/>
      </c>
      <c r="T685">
        <f>IF(C685,(H685*N685*IF(AND(Inputs!$B$38&lt;&gt;"pvp",Inputs!$B$43&gt;0),((Skills!G3*((R685-1)*IF(Skills!H3&gt;0,Skills!I3/Skills!H3,1)+IF(Skills!H3&gt;0,MIN(Skills!I3,MAX(0,MAX(0,Inputs!$B$43-B723)-((R685-1)*(IF(Inputs!$B$38="pvp",15,MAX(0.1,Skills!D3-IF(Skills!E3=TRUE,Inputs!$B$32,0)))*(1-IF(AND(ArtifactsInput!$M$27,Inputs!$B$4="Chapter Hunt"),CHOOSE(ArtifactsInput!$N$27+1,20,24,28,32,36,40),0)/100)))))/Skills!H3,1)))/Inputs!$B$43),G685*Q685)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685*(1-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685*(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685*(1-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685*(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85">
        <f>INDEX(FactorTable!$B$2:$Y$301, MATCH(ROUND(MIN(300,MAX(1,U684)),0), FactorTable!$A$2:$A$301,0), 22)</f>
        <v/>
      </c>
      <c r="V685">
        <f>IF(C685,(H685*N685*IF(AND(Inputs!$B$38&lt;&gt;"pvp",Inputs!$B$43&gt;0),((Skills!G3*((R685-1)*IF(Skills!H3&gt;0,Skills!I3/Skills!H3,1)+IF(Skills!H3&gt;0,MIN(Skills!I3,MAX(0,MAX(0,Inputs!$B$43-B723)-((R685-1)*(IF(Inputs!$B$38="pvp",15,MAX(0.1,Skills!D3-IF(Skills!E3=TRUE,Inputs!$B$32,0)))*(1-IF(AND(ArtifactsInput!$M$27,Inputs!$B$4="Chapter Hunt"),CHOOSE(ArtifactsInput!$N$27+1,20,24,28,32,36,40),0)/100)))))/Skills!H3,1)))/Inputs!$B$43),G685*Q685))*IF(Inputs!$B$38="pvp",1,(1+(Inputs!$B$21+Skills!Q3+(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6">
      <c r="A686">
        <f>Skills!A4</f>
        <v/>
      </c>
      <c r="B686">
        <f>Skills!B4</f>
        <v/>
      </c>
      <c r="C686">
        <f>Inputs!$B$3&gt;=105</f>
        <v/>
      </c>
      <c r="D686">
        <f>IF(Skills!C4=1,60+Inputs!$B$25+Inputs!$B$29,IF(Skills!C4=2,90+Inputs!$B$26+Inputs!$B$29,IF(Skills!C4=3,120+Inputs!$B$27+Inputs!$B$29,MAX(0,(Inputs!$B$3-100)*3)+Inputs!$B$28+Inputs!$B$29)))</f>
        <v/>
      </c>
      <c r="E686">
        <f>INDEX(FactorTable!$B$2:$Y$301, MATCH(ROUND(MIN(300,MAX(1,D686)),0), FactorTable!$A$2:$A$301,0), Skills!M4+1)</f>
        <v/>
      </c>
      <c r="F686">
        <f>IF(Skills!N4=TRUE,(Skills!L4/10)*(E686/1000),Skills!L4/10)+Skills!O4</f>
        <v/>
      </c>
      <c r="G686" t="inlineStr"/>
      <c r="H686" t="inlineStr"/>
      <c r="I686" t="inlineStr">
        <is>
          <t>1</t>
        </is>
      </c>
      <c r="J686" t="inlineStr"/>
      <c r="K686" t="inlineStr"/>
      <c r="L686" t="inlineStr"/>
      <c r="M686" t="inlineStr"/>
      <c r="N686" t="inlineStr"/>
      <c r="O686" t="inlineStr"/>
      <c r="P686" t="inlineStr"/>
      <c r="Q686" t="inlineStr"/>
      <c r="R686" t="inlineStr"/>
      <c r="S686" t="inlineStr"/>
      <c r="T686" t="inlineStr"/>
      <c r="U686">
        <f>290*U685/1000</f>
        <v/>
      </c>
      <c r="V686" t="inlineStr"/>
    </row>
    <row r="687">
      <c r="A687">
        <f>Skills!A5</f>
        <v/>
      </c>
      <c r="B687">
        <f>Skills!B5</f>
        <v/>
      </c>
      <c r="C687">
        <f>Inputs!$B$3&gt;=35</f>
        <v/>
      </c>
      <c r="D687">
        <f>IF(Skills!C5=1,60+Inputs!$B$25+Inputs!$B$29,IF(Skills!C5=2,90+Inputs!$B$26+Inputs!$B$29,IF(Skills!C5=3,120+Inputs!$B$27+Inputs!$B$29,MAX(0,(Inputs!$B$3-100)*3)+Inputs!$B$28+Inputs!$B$29)))</f>
        <v/>
      </c>
      <c r="E687">
        <f>INDEX(FactorTable!$B$2:$Y$301, MATCH(ROUND(MIN(300,MAX(1,D687)),0), FactorTable!$A$2:$A$301,0), Skills!M5+1)</f>
        <v/>
      </c>
      <c r="F687">
        <f>IF(Skills!N5=TRUE,(Skills!L5/10)*(E687/1000),Skills!L5/10)+Skills!O5</f>
        <v/>
      </c>
      <c r="G687">
        <f>Skills!G5*IF(Skills!H5&gt;0,Skills!I5/Skills!H5,1)</f>
        <v/>
      </c>
      <c r="H687">
        <f>1-(1-Skills!J5/100)^Skills!K5</f>
        <v/>
      </c>
      <c r="I687" t="inlineStr">
        <is>
          <t>1</t>
        </is>
      </c>
      <c r="J687">
        <f>((Inputs!$B$6*(1+Inputs!$B$7/100))+(((Inputs!$B$12*(1+Inputs!$B$13/100))-(Inputs!$B$12*(1+Inputs!$B$13/100)))+0.25*(Inputs!$B$14-Inputs!$B$14))*(1+Inputs!$B$7/100))*(F687/100)</f>
        <v/>
      </c>
      <c r="K687">
        <f>J687*(1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693=TRUE,F693,0)/100)*(1+(IF(Skills!A5="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687)</f>
        <v/>
      </c>
      <c r="L687">
        <f>K687*(MIN(Inputs!$B$22+((C707=TRUE)*(F707-Calc!F25)),(Inputs!$B$23+((C712=TRUE)*(F712-Calc!F30))+(IF(ArtifactsInput!$M$15,CHOOSE(ArtifactsInput!$N$15+1,25,30,35,40,45,50)/100*(Inputs!$B$11-Inputs!$B$11),0))))/100+(Inputs!$B$23+((C712=TRUE)*(F712-Calc!F30))+(IF(ArtifactsInput!$M$15,CHOOSE(ArtifactsInput!$N$15+1,25,30,35,40,45,50)/100*(Inputs!$B$11-Inputs!$B$11),0)))/100)/2</f>
        <v/>
      </c>
      <c r="M687">
        <f>L687*(1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7">
        <f>L687*(1-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687*(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7">
        <f>(1-Summary!$B$11)*T687+Summary!$B$11*V687</f>
        <v/>
      </c>
      <c r="P687">
        <f>IF(B726=0,0,O687/B726)</f>
        <v/>
      </c>
      <c r="Q687">
        <f>IFERROR(1/(IF(Inputs!$B$38="pvp",15,MAX(0.1,Skills!D5-IF(Skills!E5=TRUE,Inputs!$B$32,0)))*(1-IF(AND(ArtifactsInput!$M$27,Inputs!$B$4="Chapter Hunt"),CHOOSE(ArtifactsInput!$N$27+1,20,24,28,32,36,40),0)/100)),0)</f>
        <v/>
      </c>
      <c r="R687">
        <f>IF(AND(Inputs!$B$38&lt;&gt;"pvp",Inputs!$B$43&gt;0),IF(MAX(0,Inputs!$B$43-B723)&lt;=0,0,(INT(MAX(0,Inputs!$B$43-B723)/(IF(Inputs!$B$38="pvp",15,MAX(0.1,Skills!D5-IF(Skills!E5=TRUE,Inputs!$B$32,0)))*(1-IF(AND(ArtifactsInput!$M$27,Inputs!$B$4="Chapter Hunt"),CHOOSE(ArtifactsInput!$N$27+1,20,24,28,32,36,40),0)/100)))+1)),0)</f>
        <v/>
      </c>
      <c r="S687">
        <f>IFERROR(O687/N687,0)</f>
        <v/>
      </c>
      <c r="T687">
        <f>IF(C687,(H687*N687*IF(AND(Inputs!$B$38&lt;&gt;"pvp",Inputs!$B$43&gt;0),((Skills!G5*((R687-1)*IF(Skills!H5&gt;0,Skills!I5/Skills!H5,1)+IF(Skills!H5&gt;0,MIN(Skills!I5,MAX(0,MAX(0,Inputs!$B$43-B723)-((R687-1)*(IF(Inputs!$B$38="pvp",15,MAX(0.1,Skills!D5-IF(Skills!E5=TRUE,Inputs!$B$32,0)))*(1-IF(AND(ArtifactsInput!$M$27,Inputs!$B$4="Chapter Hunt"),CHOOSE(ArtifactsInput!$N$27+1,20,24,28,32,36,40),0)/100)))))/Skills!H5,1)))/Inputs!$B$43),G687*Q687)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687*(1-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687*(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687*(1-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687*(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7">
        <f>IF(C687,(H687*N687*IF(AND(Inputs!$B$38&lt;&gt;"pvp",Inputs!$B$43&gt;0),((Skills!G5*((R687-1)*IF(Skills!H5&gt;0,Skills!I5/Skills!H5,1)+IF(Skills!H5&gt;0,MIN(Skills!I5,MAX(0,MAX(0,Inputs!$B$43-B723)-((R687-1)*(IF(Inputs!$B$38="pvp",15,MAX(0.1,Skills!D5-IF(Skills!E5=TRUE,Inputs!$B$32,0)))*(1-IF(AND(ArtifactsInput!$M$27,Inputs!$B$4="Chapter Hunt"),CHOOSE(ArtifactsInput!$N$27+1,20,24,28,32,36,40),0)/100)))))/Skills!H5,1)))/Inputs!$B$43),G687*Q687))*IF(Inputs!$B$38="pvp",1,(1+(Inputs!$B$21+Skills!Q5+(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8">
      <c r="A688">
        <f>Skills!A6</f>
        <v/>
      </c>
      <c r="B688">
        <f>Skills!B6</f>
        <v/>
      </c>
      <c r="C688">
        <f>Inputs!$B$3&gt;=40</f>
        <v/>
      </c>
      <c r="D688">
        <f>IF(Skills!C6=1,60+Inputs!$B$25+Inputs!$B$29,IF(Skills!C6=2,90+Inputs!$B$26+Inputs!$B$29,IF(Skills!C6=3,120+Inputs!$B$27+Inputs!$B$29,MAX(0,(Inputs!$B$3-100)*3)+Inputs!$B$28+Inputs!$B$29)))</f>
        <v/>
      </c>
      <c r="E688">
        <f>INDEX(FactorTable!$B$2:$Y$301, MATCH(ROUND(MIN(300,MAX(1,D688)),0), FactorTable!$A$2:$A$301,0), Skills!M6+1)</f>
        <v/>
      </c>
      <c r="F688">
        <f>IF(Skills!N6=TRUE,(Skills!L6/10)*(E688/1000),Skills!L6/10)+Skills!O6</f>
        <v/>
      </c>
      <c r="G688">
        <f>Skills!G6*IF(Skills!H6&gt;0,Skills!I6/Skills!H6,1)</f>
        <v/>
      </c>
      <c r="H688">
        <f>1-(1-Skills!J6/100)^Skills!K6</f>
        <v/>
      </c>
      <c r="I688" t="inlineStr">
        <is>
          <t>1</t>
        </is>
      </c>
      <c r="J688">
        <f>((Inputs!$B$6*(1+Inputs!$B$7/100))+(((Inputs!$B$12*(1+Inputs!$B$13/100))-(Inputs!$B$12*(1+Inputs!$B$13/100)))+0.25*(Inputs!$B$14-Inputs!$B$14))*(1+Inputs!$B$7/100))*(F688/100)</f>
        <v/>
      </c>
      <c r="K688">
        <f>J688*(1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689=TRUE,F689,0)/100)*(1+(IF(Skills!A6="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688)</f>
        <v/>
      </c>
      <c r="L688">
        <f>K688*(MIN(Inputs!$B$22+((C707=TRUE)*(F707-Calc!F25)),(Inputs!$B$23+((C712=TRUE)*(F712-Calc!F30))+(IF(ArtifactsInput!$M$15,CHOOSE(ArtifactsInput!$N$15+1,25,30,35,40,45,50)/100*(Inputs!$B$11-Inputs!$B$11),0))))/100+(Inputs!$B$23+((C712=TRUE)*(F712-Calc!F30))+(IF(ArtifactsInput!$M$15,CHOOSE(ArtifactsInput!$N$15+1,25,30,35,40,45,50)/100*(Inputs!$B$11-Inputs!$B$11),0)))/100)/2</f>
        <v/>
      </c>
      <c r="M688">
        <f>L688*(1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8">
        <f>L688*(1-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688*(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8">
        <f>(1-Summary!$B$11)*T688+Summary!$B$11*V688</f>
        <v/>
      </c>
      <c r="P688">
        <f>IF(B726=0,0,O688/B726)</f>
        <v/>
      </c>
      <c r="Q688">
        <f>IFERROR(1/(IF(Inputs!$B$38="pvp",15,MAX(0.1,Skills!D6-IF(Skills!E6=TRUE,Inputs!$B$32,0)))*(1-IF(AND(ArtifactsInput!$M$27,Inputs!$B$4="Chapter Hunt"),CHOOSE(ArtifactsInput!$N$27+1,20,24,28,32,36,40),0)/100)),0)</f>
        <v/>
      </c>
      <c r="R688">
        <f>IF(AND(Inputs!$B$38&lt;&gt;"pvp",Inputs!$B$43&gt;0),IF(MAX(0,Inputs!$B$43-B723)&lt;=0,0,(INT(MAX(0,Inputs!$B$43-B723)/(IF(Inputs!$B$38="pvp",15,MAX(0.1,Skills!D6-IF(Skills!E6=TRUE,Inputs!$B$32,0)))*(1-IF(AND(ArtifactsInput!$M$27,Inputs!$B$4="Chapter Hunt"),CHOOSE(ArtifactsInput!$N$27+1,20,24,28,32,36,40),0)/100)))+1)),0)</f>
        <v/>
      </c>
      <c r="S688">
        <f>IFERROR(O688/N688,0)</f>
        <v/>
      </c>
      <c r="T688">
        <f>IF(C688,(H688*N688*IF(AND(Inputs!$B$38&lt;&gt;"pvp",Inputs!$B$43&gt;0),((Skills!G6*((R688-1)*IF(Skills!H6&gt;0,Skills!I6/Skills!H6,1)+IF(Skills!H6&gt;0,MIN(Skills!I6,MAX(0,MAX(0,Inputs!$B$43-B723)-((R688-1)*(IF(Inputs!$B$38="pvp",15,MAX(0.1,Skills!D6-IF(Skills!E6=TRUE,Inputs!$B$32,0)))*(1-IF(AND(ArtifactsInput!$M$27,Inputs!$B$4="Chapter Hunt"),CHOOSE(ArtifactsInput!$N$27+1,20,24,28,32,36,40),0)/100)))))/Skills!H6,1)))/Inputs!$B$43),G688*Q688)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688*(1-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688*(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688*(1-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688*(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8">
        <f>IF(C688,(H688*N688*IF(AND(Inputs!$B$38&lt;&gt;"pvp",Inputs!$B$43&gt;0),((Skills!G6*((R688-1)*IF(Skills!H6&gt;0,Skills!I6/Skills!H6,1)+IF(Skills!H6&gt;0,MIN(Skills!I6,MAX(0,MAX(0,Inputs!$B$43-B723)-((R688-1)*(IF(Inputs!$B$38="pvp",15,MAX(0.1,Skills!D6-IF(Skills!E6=TRUE,Inputs!$B$32,0)))*(1-IF(AND(ArtifactsInput!$M$27,Inputs!$B$4="Chapter Hunt"),CHOOSE(ArtifactsInput!$N$27+1,20,24,28,32,36,40),0)/100)))))/Skills!H6,1)))/Inputs!$B$43),G688*Q688))*IF(Inputs!$B$38="pvp",1,(1+(Inputs!$B$21+Skills!Q6+(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9">
      <c r="A689">
        <f>Skills!A7</f>
        <v/>
      </c>
      <c r="B689">
        <f>Skills!B7</f>
        <v/>
      </c>
      <c r="C689">
        <f>Inputs!$B$3&gt;=107</f>
        <v/>
      </c>
      <c r="D689">
        <f>IF(Skills!C7=1,60+Inputs!$B$25+Inputs!$B$29,IF(Skills!C7=2,90+Inputs!$B$26+Inputs!$B$29,IF(Skills!C7=3,120+Inputs!$B$27+Inputs!$B$29,MAX(0,(Inputs!$B$3-100)*3)+Inputs!$B$28+Inputs!$B$29)))</f>
        <v/>
      </c>
      <c r="E689">
        <f>INDEX(FactorTable!$B$2:$Y$301, MATCH(ROUND(MIN(300,MAX(1,D689)),0), FactorTable!$A$2:$A$301,0), Skills!M7+1)</f>
        <v/>
      </c>
      <c r="F689">
        <f>IF(Skills!N7=TRUE,(Skills!L7/10)*(E689/1000),Skills!L7/10)+Skills!O7</f>
        <v/>
      </c>
      <c r="G689" t="inlineStr"/>
      <c r="H689" t="inlineStr"/>
      <c r="I689" t="inlineStr">
        <is>
          <t>1</t>
        </is>
      </c>
      <c r="J689" t="inlineStr"/>
      <c r="K689" t="inlineStr"/>
      <c r="L689" t="inlineStr"/>
      <c r="M689" t="inlineStr"/>
      <c r="N689" t="inlineStr"/>
      <c r="O689" t="inlineStr"/>
      <c r="P689" t="inlineStr"/>
      <c r="Q689" t="inlineStr"/>
      <c r="R689" t="inlineStr"/>
      <c r="S689" t="inlineStr"/>
      <c r="T689" t="inlineStr"/>
      <c r="V689" t="inlineStr"/>
    </row>
    <row r="690">
      <c r="A690">
        <f>Skills!A8</f>
        <v/>
      </c>
      <c r="B690">
        <f>Skills!B8</f>
        <v/>
      </c>
      <c r="C690">
        <f>Inputs!$B$3&gt;=69</f>
        <v/>
      </c>
      <c r="D690">
        <f>IF(Skills!C8=1,60+Inputs!$B$25+Inputs!$B$29,IF(Skills!C8=2,90+Inputs!$B$26+Inputs!$B$29,IF(Skills!C8=3,120+Inputs!$B$27+Inputs!$B$29,MAX(0,(Inputs!$B$3-100)*3)+Inputs!$B$28+Inputs!$B$29)))</f>
        <v/>
      </c>
      <c r="E690">
        <f>INDEX(FactorTable!$B$2:$Y$301, MATCH(ROUND(MIN(300,MAX(1,D690)),0), FactorTable!$A$2:$A$301,0), Skills!M8+1)</f>
        <v/>
      </c>
      <c r="F690">
        <f>IF(Skills!N8=TRUE,(Skills!L8/10)*(E690/1000),Skills!L8/10)+Skills!O8</f>
        <v/>
      </c>
      <c r="G690">
        <f>Skills!G8*IF(Skills!H8&gt;0,Skills!I8/Skills!H8,1)</f>
        <v/>
      </c>
      <c r="H690">
        <f>1-(1-Skills!J8/100)^Skills!K8</f>
        <v/>
      </c>
      <c r="I690" t="inlineStr">
        <is>
          <t>1</t>
        </is>
      </c>
      <c r="J690">
        <f>((Inputs!$B$6*(1+Inputs!$B$7/100))+(((Inputs!$B$12*(1+Inputs!$B$13/100))-(Inputs!$B$12*(1+Inputs!$B$13/100)))+0.25*(Inputs!$B$14-Inputs!$B$14))*(1+Inputs!$B$7/100))*(F690/100)</f>
        <v/>
      </c>
      <c r="K690">
        <f>J690*(1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693=TRUE,F693,0)/100)*(1+(IF(Skills!A8="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690)</f>
        <v/>
      </c>
      <c r="L690">
        <f>K690*(MIN(Inputs!$B$22+((C707=TRUE)*(F707-Calc!F25)),(Inputs!$B$23+((C712=TRUE)*(F712-Calc!F30))+(IF(ArtifactsInput!$M$15,CHOOSE(ArtifactsInput!$N$15+1,25,30,35,40,45,50)/100*(Inputs!$B$11-Inputs!$B$11),0))))/100+(Inputs!$B$23+((C712=TRUE)*(F712-Calc!F30))+(IF(ArtifactsInput!$M$15,CHOOSE(ArtifactsInput!$N$15+1,25,30,35,40,45,50)/100*(Inputs!$B$11-Inputs!$B$11),0)))/100)/2</f>
        <v/>
      </c>
      <c r="M690">
        <f>L690*(1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0">
        <f>L690*(1-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690*(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0">
        <f>(1-Summary!$B$11)*T690+Summary!$B$11*V690</f>
        <v/>
      </c>
      <c r="P690">
        <f>IF(B726=0,0,O690/B726)</f>
        <v/>
      </c>
      <c r="Q690">
        <f>IFERROR(1/(IF(Inputs!$B$38="pvp",15,MAX(0.1,Skills!D8-IF(Skills!E8=TRUE,Inputs!$B$32,0)))*(1-IF(AND(ArtifactsInput!$M$27,Inputs!$B$4="Chapter Hunt"),CHOOSE(ArtifactsInput!$N$27+1,20,24,28,32,36,40),0)/100)),0)</f>
        <v/>
      </c>
      <c r="R690">
        <f>IF(AND(Inputs!$B$38&lt;&gt;"pvp",Inputs!$B$43&gt;0),IF(MAX(0,Inputs!$B$43-B723)&lt;=0,0,(INT(MAX(0,Inputs!$B$43-B723)/(IF(Inputs!$B$38="pvp",15,MAX(0.1,Skills!D8-IF(Skills!E8=TRUE,Inputs!$B$32,0)))*(1-IF(AND(ArtifactsInput!$M$27,Inputs!$B$4="Chapter Hunt"),CHOOSE(ArtifactsInput!$N$27+1,20,24,28,32,36,40),0)/100)))+1)),0)</f>
        <v/>
      </c>
      <c r="S690">
        <f>IFERROR(O690/N690,0)</f>
        <v/>
      </c>
      <c r="T690">
        <f>IF(C690,(H690*N690*IF(AND(Inputs!$B$38&lt;&gt;"pvp",Inputs!$B$43&gt;0),((Skills!G8*((R690-1)*IF(Skills!H8&gt;0,Skills!I8/Skills!H8,1)+IF(Skills!H8&gt;0,MIN(Skills!I8,MAX(0,MAX(0,Inputs!$B$43-B723)-((R690-1)*(IF(Inputs!$B$38="pvp",15,MAX(0.1,Skills!D8-IF(Skills!E8=TRUE,Inputs!$B$32,0)))*(1-IF(AND(ArtifactsInput!$M$27,Inputs!$B$4="Chapter Hunt"),CHOOSE(ArtifactsInput!$N$27+1,20,24,28,32,36,40),0)/100)))))/Skills!H8,1)))/Inputs!$B$43),G690*Q690)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690*(1-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690*(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690*(1-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690*(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90">
        <f>IF(C690,(H690*N690*IF(AND(Inputs!$B$38&lt;&gt;"pvp",Inputs!$B$43&gt;0),((Skills!G8*((R690-1)*IF(Skills!H8&gt;0,Skills!I8/Skills!H8,1)+IF(Skills!H8&gt;0,MIN(Skills!I8,MAX(0,MAX(0,Inputs!$B$43-B723)-((R690-1)*(IF(Inputs!$B$38="pvp",15,MAX(0.1,Skills!D8-IF(Skills!E8=TRUE,Inputs!$B$32,0)))*(1-IF(AND(ArtifactsInput!$M$27,Inputs!$B$4="Chapter Hunt"),CHOOSE(ArtifactsInput!$N$27+1,20,24,28,32,36,40),0)/100)))))/Skills!H8,1)))/Inputs!$B$43),G690*Q690))*IF(Inputs!$B$38="pvp",1,(1+(Inputs!$B$21+Skills!Q8+(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1">
      <c r="A691">
        <f>Skills!A9</f>
        <v/>
      </c>
      <c r="B691">
        <f>Skills!B9</f>
        <v/>
      </c>
      <c r="C691">
        <f>Inputs!$B$3&gt;=63</f>
        <v/>
      </c>
      <c r="D691">
        <f>IF(Skills!C9=1,60+Inputs!$B$25+Inputs!$B$29,IF(Skills!C9=2,90+Inputs!$B$26+Inputs!$B$29,IF(Skills!C9=3,120+Inputs!$B$27+Inputs!$B$29,MAX(0,(Inputs!$B$3-100)*3)+Inputs!$B$28+Inputs!$B$29)))</f>
        <v/>
      </c>
      <c r="E691">
        <f>INDEX(FactorTable!$B$2:$Y$301, MATCH(ROUND(MIN(300,MAX(1,D691)),0), FactorTable!$A$2:$A$301,0), Skills!M9+1)</f>
        <v/>
      </c>
      <c r="F691">
        <f>IF(Skills!N9=TRUE,(Skills!L9/10)*(E691/1000),Skills!L9/10)+Skills!O9</f>
        <v/>
      </c>
      <c r="G691">
        <f>Skills!G9*IF(Skills!H9&gt;0,Skills!I9/Skills!H9,1)</f>
        <v/>
      </c>
      <c r="H691">
        <f>1-(1-Skills!J9/100)^Skills!K9</f>
        <v/>
      </c>
      <c r="I691" t="inlineStr">
        <is>
          <t>1</t>
        </is>
      </c>
      <c r="J691">
        <f>((Inputs!$B$6*(1+Inputs!$B$7/100))+(((Inputs!$B$12*(1+Inputs!$B$13/100))-(Inputs!$B$12*(1+Inputs!$B$13/100)))+0.25*(Inputs!$B$14-Inputs!$B$14))*(1+Inputs!$B$7/100))*(F691/100)</f>
        <v/>
      </c>
      <c r="K691">
        <f>J691*(1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693=TRUE,F693,0)/100)*(1+(IF(Skills!A9="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691)</f>
        <v/>
      </c>
      <c r="L691">
        <f>K691*(MIN(Inputs!$B$22+((C707=TRUE)*(F707-Calc!F25)),(Inputs!$B$23+((C712=TRUE)*(F712-Calc!F30))+(IF(ArtifactsInput!$M$15,CHOOSE(ArtifactsInput!$N$15+1,25,30,35,40,45,50)/100*(Inputs!$B$11-Inputs!$B$11),0))))/100+(Inputs!$B$23+((C712=TRUE)*(F712-Calc!F30))+(IF(ArtifactsInput!$M$15,CHOOSE(ArtifactsInput!$N$15+1,25,30,35,40,45,50)/100*(Inputs!$B$11-Inputs!$B$11),0)))/100)/2</f>
        <v/>
      </c>
      <c r="M691">
        <f>L691*(1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1">
        <f>L691*(1-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1">
        <f>(1-Summary!$B$11)*T691+Summary!$B$11*V691</f>
        <v/>
      </c>
      <c r="P691">
        <f>IF(B726=0,0,O691/B726)</f>
        <v/>
      </c>
      <c r="Q691">
        <f>IFERROR(1/(IF(Inputs!$B$38="pvp",15,MAX(0.1,Skills!D9-IF(Skills!E9=TRUE,Inputs!$B$32,0)))*(1-IF(AND(ArtifactsInput!$M$27,Inputs!$B$4="Chapter Hunt"),CHOOSE(ArtifactsInput!$N$27+1,20,24,28,32,36,40),0)/100)),0)</f>
        <v/>
      </c>
      <c r="R691">
        <f>IF(AND(Inputs!$B$38&lt;&gt;"pvp",Inputs!$B$43&gt;0),IF(MAX(0,Inputs!$B$43-B723)&lt;=0,0,(INT(MAX(0,Inputs!$B$43-B723)/(IF(Inputs!$B$38="pvp",15,MAX(0.1,Skills!D9-IF(Skills!E9=TRUE,Inputs!$B$32,0)))*(1-IF(AND(ArtifactsInput!$M$27,Inputs!$B$4="Chapter Hunt"),CHOOSE(ArtifactsInput!$N$27+1,20,24,28,32,36,40),0)/100)))+1)),0)</f>
        <v/>
      </c>
      <c r="S691">
        <f>IFERROR(O691/N691,0)</f>
        <v/>
      </c>
      <c r="T691">
        <f>IF(C691,(H691*N691*IF(AND(Inputs!$B$38&lt;&gt;"pvp",Inputs!$B$43&gt;0),((Skills!G9*((R691-1)*IF(Skills!H9&gt;0,Skills!I9/Skills!H9,1)+IF(Skills!H9&gt;0,MIN(Skills!I9,MAX(0,MAX(0,Inputs!$B$43-B723)-((R691-1)*(IF(Inputs!$B$38="pvp",15,MAX(0.1,Skills!D9-IF(Skills!E9=TRUE,Inputs!$B$32,0)))*(1-IF(AND(ArtifactsInput!$M$27,Inputs!$B$4="Chapter Hunt"),CHOOSE(ArtifactsInput!$N$27+1,20,24,28,32,36,40),0)/100)))))/Skills!H9,1)))/Inputs!$B$43),G691*Q691)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691*(1-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691*(1-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91">
        <f>IF(C691,(H691*N691*IF(AND(Inputs!$B$38&lt;&gt;"pvp",Inputs!$B$43&gt;0),((Skills!G9*((R691-1)*IF(Skills!H9&gt;0,Skills!I9/Skills!H9,1)+IF(Skills!H9&gt;0,MIN(Skills!I9,MAX(0,MAX(0,Inputs!$B$43-B723)-((R691-1)*(IF(Inputs!$B$38="pvp",15,MAX(0.1,Skills!D9-IF(Skills!E9=TRUE,Inputs!$B$32,0)))*(1-IF(AND(ArtifactsInput!$M$27,Inputs!$B$4="Chapter Hunt"),CHOOSE(ArtifactsInput!$N$27+1,20,24,28,32,36,40),0)/100)))))/Skills!H9,1)))/Inputs!$B$43),G691*Q691))*IF(Inputs!$B$38="pvp",1,(1+(Inputs!$B$21+Skills!Q9+(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2">
      <c r="A692">
        <f>Skills!A10</f>
        <v/>
      </c>
      <c r="B692">
        <f>Skills!B10</f>
        <v/>
      </c>
      <c r="C692">
        <f>Inputs!$B$3&gt;=103</f>
        <v/>
      </c>
      <c r="D692">
        <f>IF(Skills!C10=1,60+Inputs!$B$25+Inputs!$B$29,IF(Skills!C10=2,90+Inputs!$B$26+Inputs!$B$29,IF(Skills!C10=3,120+Inputs!$B$27+Inputs!$B$29,MAX(0,(Inputs!$B$3-100)*3)+Inputs!$B$28+Inputs!$B$29)))</f>
        <v/>
      </c>
      <c r="E692">
        <f>INDEX(FactorTable!$B$2:$Y$301, MATCH(ROUND(MIN(300,MAX(1,D692)),0), FactorTable!$A$2:$A$301,0), Skills!M10+1)</f>
        <v/>
      </c>
      <c r="F692">
        <f>IF(Skills!N10=TRUE,(Skills!L10/10)*(E692/1000),Skills!L10/10)+Skills!O10</f>
        <v/>
      </c>
      <c r="G692">
        <f>Skills!G10*IF(Skills!H10&gt;0,Skills!I10/Skills!H10,1)</f>
        <v/>
      </c>
      <c r="H692">
        <f>1-(1-Skills!J10/100)^Skills!K10</f>
        <v/>
      </c>
      <c r="I692" t="inlineStr">
        <is>
          <t>1</t>
        </is>
      </c>
      <c r="J692">
        <f>((Inputs!$B$6*(1+Inputs!$B$7/100))+(((Inputs!$B$12*(1+Inputs!$B$13/100))-(Inputs!$B$12*(1+Inputs!$B$13/100)))+0.25*(Inputs!$B$14-Inputs!$B$14))*(1+Inputs!$B$7/100))*(F692/100)</f>
        <v/>
      </c>
      <c r="K692">
        <f>J692*(1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692)</f>
        <v/>
      </c>
      <c r="L692">
        <f>K692*(MIN(Inputs!$B$22+((C707=TRUE)*(F707-Calc!F25)),(Inputs!$B$23+((C712=TRUE)*(F712-Calc!F30))+(IF(ArtifactsInput!$M$15,CHOOSE(ArtifactsInput!$N$15+1,25,30,35,40,45,50)/100*(Inputs!$B$11-Inputs!$B$11),0))))/100+(Inputs!$B$23+((C712=TRUE)*(F712-Calc!F30))+(IF(ArtifactsInput!$M$15,CHOOSE(ArtifactsInput!$N$15+1,25,30,35,40,45,50)/100*(Inputs!$B$11-Inputs!$B$11),0)))/100)/2</f>
        <v/>
      </c>
      <c r="M692">
        <f>L692*(1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2">
        <f>L692*(1-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692*(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2">
        <f>(1-Summary!$B$11)*T692+Summary!$B$11*V692</f>
        <v/>
      </c>
      <c r="P692">
        <f>IF(B726=0,0,O692/B726)</f>
        <v/>
      </c>
      <c r="Q692">
        <f>IFERROR(1/(IF(Inputs!$B$38="pvp",15,MAX(0.1,Skills!D10-IF(Skills!E10=TRUE,Inputs!$B$32,0)))*(1-IF(AND(ArtifactsInput!$M$27,Inputs!$B$4="Chapter Hunt"),CHOOSE(ArtifactsInput!$N$27+1,20,24,28,32,36,40),0)/100)),0)</f>
        <v/>
      </c>
      <c r="R692">
        <f>IF(AND(Inputs!$B$38&lt;&gt;"pvp",Inputs!$B$43&gt;0),IF(MAX(0,Inputs!$B$43-B723)&lt;=0,0,(INT(MAX(0,Inputs!$B$43-B723)/(IF(Inputs!$B$38="pvp",15,MAX(0.1,Skills!D10-IF(Skills!E10=TRUE,Inputs!$B$32,0)))*(1-IF(AND(ArtifactsInput!$M$27,Inputs!$B$4="Chapter Hunt"),CHOOSE(ArtifactsInput!$N$27+1,20,24,28,32,36,40),0)/100)))+1)),0)</f>
        <v/>
      </c>
      <c r="S692">
        <f>IFERROR(O692/N692,0)</f>
        <v/>
      </c>
      <c r="T692">
        <f>IF(C692,(H692*N692*IF(AND(Inputs!$B$38&lt;&gt;"pvp",Inputs!$B$43&gt;0),((Skills!G10*((R692-1)*IF(Skills!H10&gt;0,Skills!I10/Skills!H10,1)+IF(Skills!H10&gt;0,MIN(Skills!I10,MAX(0,MAX(0,Inputs!$B$43-B723)-((R692-1)*(IF(Inputs!$B$38="pvp",15,MAX(0.1,Skills!D10-IF(Skills!E10=TRUE,Inputs!$B$32,0)))*(1-IF(AND(ArtifactsInput!$M$27,Inputs!$B$4="Chapter Hunt"),CHOOSE(ArtifactsInput!$N$27+1,20,24,28,32,36,40),0)/100)))))/Skills!H10,1)))/Inputs!$B$43),G692*Q692)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692*(1-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692*(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692*(1-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692*(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92">
        <f>IF(C692,(H692*N692*IF(AND(Inputs!$B$38&lt;&gt;"pvp",Inputs!$B$43&gt;0),((Skills!G10*((R692-1)*IF(Skills!H10&gt;0,Skills!I10/Skills!H10,1)+IF(Skills!H10&gt;0,MIN(Skills!I10,MAX(0,MAX(0,Inputs!$B$43-B723)-((R692-1)*(IF(Inputs!$B$38="pvp",15,MAX(0.1,Skills!D10-IF(Skills!E10=TRUE,Inputs!$B$32,0)))*(1-IF(AND(ArtifactsInput!$M$27,Inputs!$B$4="Chapter Hunt"),CHOOSE(ArtifactsInput!$N$27+1,20,24,28,32,36,40),0)/100)))))/Skills!H10,1)))/Inputs!$B$43),G692*Q692))*IF(Inputs!$B$38="pvp",1,(1+(Inputs!$B$21+Skills!Q10+(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3">
      <c r="A693">
        <f>Skills!A11</f>
        <v/>
      </c>
      <c r="B693">
        <f>Skills!B11</f>
        <v/>
      </c>
      <c r="C693">
        <f>Inputs!$B$3&gt;=100</f>
        <v/>
      </c>
      <c r="D693">
        <f>IF(Skills!C11=1,60+Inputs!$B$25+Inputs!$B$29,IF(Skills!C11=2,90+Inputs!$B$26+Inputs!$B$29,IF(Skills!C11=3,120+Inputs!$B$27+Inputs!$B$29,MAX(0,(Inputs!$B$3-100)*3)+Inputs!$B$28+Inputs!$B$29)))</f>
        <v/>
      </c>
      <c r="E693">
        <f>INDEX(FactorTable!$B$2:$Y$301, MATCH(ROUND(MIN(300,MAX(1,D693)),0), FactorTable!$A$2:$A$301,0), Skills!M11+1)</f>
        <v/>
      </c>
      <c r="F693">
        <f>IF(Skills!N11=TRUE,(Skills!L11/10)*(E693/1000),Skills!L11/10)+Skills!O11</f>
        <v/>
      </c>
      <c r="G693" t="inlineStr"/>
      <c r="H693" t="inlineStr"/>
      <c r="I693" t="inlineStr">
        <is>
          <t>1</t>
        </is>
      </c>
      <c r="J693" t="inlineStr"/>
      <c r="K693" t="inlineStr"/>
      <c r="L693" t="inlineStr"/>
      <c r="M693" t="inlineStr"/>
      <c r="N693" t="inlineStr"/>
      <c r="O693" t="inlineStr"/>
      <c r="P693" t="inlineStr"/>
      <c r="Q693" t="inlineStr"/>
      <c r="R693" t="inlineStr"/>
      <c r="S693" t="inlineStr"/>
      <c r="T693" t="inlineStr"/>
      <c r="V693" t="inlineStr"/>
    </row>
    <row r="694">
      <c r="A694">
        <f>Skills!A12</f>
        <v/>
      </c>
      <c r="B694">
        <f>Skills!B12</f>
        <v/>
      </c>
      <c r="C694">
        <f>Inputs!$B$3&gt;=60</f>
        <v/>
      </c>
      <c r="D694">
        <f>IF(Skills!C12=1,60+Inputs!$B$25+Inputs!$B$29,IF(Skills!C12=2,90+Inputs!$B$26+Inputs!$B$29,IF(Skills!C12=3,120+Inputs!$B$27+Inputs!$B$29,MAX(0,(Inputs!$B$3-100)*3)+Inputs!$B$28+Inputs!$B$29)))</f>
        <v/>
      </c>
      <c r="E694">
        <f>INDEX(FactorTable!$B$2:$Y$301, MATCH(ROUND(MIN(300,MAX(1,D694)),0), FactorTable!$A$2:$A$301,0), Skills!M12+1)</f>
        <v/>
      </c>
      <c r="F694">
        <f>IF(Skills!N12=TRUE,(Skills!L12/10)*(E694/1000),Skills!L12/10)+Skills!O12</f>
        <v/>
      </c>
      <c r="G694">
        <f>Skills!G12*IF(Skills!H12&gt;0,Skills!I12/Skills!H12,1)</f>
        <v/>
      </c>
      <c r="H694">
        <f>1-(1-Skills!J12/100)^Skills!K12</f>
        <v/>
      </c>
      <c r="I694" t="inlineStr">
        <is>
          <t>1</t>
        </is>
      </c>
      <c r="J694">
        <f>((Inputs!$B$6*(1+Inputs!$B$7/100))+(((Inputs!$B$12*(1+Inputs!$B$13/100))-(Inputs!$B$12*(1+Inputs!$B$13/100)))+0.25*(Inputs!$B$14-Inputs!$B$14))*(1+Inputs!$B$7/100))*(F694/100)</f>
        <v/>
      </c>
      <c r="K694">
        <f>J694*(1+((Inputs!$B$12*(1+Inputs!$B$13/100))*0.01+Inputs!$B$14*0.0025)/100)*(1+Inputs!$B$15/100)*(1+Inputs!$B$16/100)*(5000/(6000+Inputs!$B$42*(1-(100*(1-(1-(((1-(1-Inputs!$B$19/100)*(1-1/100))*100)+((C710=TRUE)*(F710-Calc!F28)))/100)*(1-CHOOSE(ArtifactsInput!$N$40+1,5,6,7,8,9,10)/100)^(ArtifactsInput!$M$40-ArtifactsInput!$M$40)))/100)))*(1+(Inputs!$B$24+((C708=TRUE)*(F708-Calc!F26))+((C709=TRUE)*(F709-Calc!F27))+B722)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695=TRUE,F695,0)/100)*(1+(IF(Skills!A12="ARROW_STREAM",Inputs!$B$17+((C706=TRUE)*(F706-Calc!F24))+(((IF(AND(ArtifactsInput!$M$42,((Inputs!$B$9+((C703=TRUE)*(F703-Calc!F21))+B716+(ArtifactsInput!$M$24-ArtifactsInput!$M$24)*CHOOSE(ArtifactsInput!$N$24+1,10,12,14,16,18,20)+IF(ArtifactsInput!$M$10,CHOOSE(ArtifactsInput!$N$10+1,15,18,21,24,27,30)*(IF(Inputs!$B$38="pvp",MIN(15,15)/15,IF(AND(Inputs!$B$38&lt;&gt;"pvp",Inputs!$B$43&gt;0),MIN(15,Inputs!$B$43)/(Inputs!$B$43),0))),0)))&gt;=100),MIN(100,((Inputs!$B$9+((C703=TRUE)*(F703-Calc!F21))+B716+(ArtifactsInput!$M$24-ArtifactsInput!$M$24)*CHOOSE(ArtifactsInput!$N$24+1,10,12,14,16,18,20)+IF(ArtifactsInput!$M$10,CHOOSE(ArtifactsInput!$N$10+1,15,18,21,24,27,30)*(IF(Inputs!$B$38="pvp",MIN(15,15)/15,IF(AND(Inputs!$B$38&lt;&gt;"pvp",Inputs!$B$43&gt;0),MIN(15,Inputs!$B$43)/(Inputs!$B$43),0))),0)))-100),0))*CHOOSE(ArtifactsInput!$N$42+1,0.6,0.72,0.84,0.96,1.08,1.2))),Inputs!$B$18+((C711=TRUE)*(F711-Calc!F29))+(IF(AND(ArtifactsInput!$M$42,((Inputs!$B$9+((C703=TRUE)*(F703-Calc!F21))+B716+(ArtifactsInput!$M$24-ArtifactsInput!$M$24)*CHOOSE(ArtifactsInput!$N$24+1,10,12,14,16,18,20)+IF(ArtifactsInput!$M$10,CHOOSE(ArtifactsInput!$N$10+1,15,18,21,24,27,30)*(IF(Inputs!$B$38="pvp",MIN(15,15)/15,IF(AND(Inputs!$B$38&lt;&gt;"pvp",Inputs!$B$43&gt;0),MIN(15,Inputs!$B$43)/(Inputs!$B$43),0))),0)))&gt;=100),CHOOSE(ArtifactsInput!$N$42+1,40,48,56,64,72,80),0))))/100)*((1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694)</f>
        <v/>
      </c>
      <c r="L694">
        <f>K694*(MIN(Inputs!$B$22+((C707=TRUE)*(F707-Calc!F25)),(Inputs!$B$23+((C712=TRUE)*(F712-Calc!F30))+(IF(ArtifactsInput!$M$15,CHOOSE(ArtifactsInput!$N$15+1,25,30,35,40,45,50)/100*(Inputs!$B$11-Inputs!$B$11),0))))/100+(Inputs!$B$23+((C712=TRUE)*(F712-Calc!F30))+(IF(ArtifactsInput!$M$15,CHOOSE(ArtifactsInput!$N$15+1,25,30,35,40,45,50)/100*(Inputs!$B$11-Inputs!$B$11),0)))/100)/2</f>
        <v/>
      </c>
      <c r="M694">
        <f>L694*(1+(Inputs!$B$10+0+B721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4">
        <f>L694*(1-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694*(MIN((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4">
        <f>(1-Summary!$B$11)*T694+Summary!$B$11*V694</f>
        <v/>
      </c>
      <c r="P694">
        <f>IF(B726=0,0,O694/B726)</f>
        <v/>
      </c>
      <c r="Q694">
        <f>IFERROR(1/(IF(Inputs!$B$38="pvp",15,MAX(0.1,Skills!D12-IF(Skills!E12=TRUE,Inputs!$B$32,0)))*(1-IF(AND(ArtifactsInput!$M$27,Inputs!$B$4="Chapter Hunt"),CHOOSE(ArtifactsInput!$N$27+1,20,24,28,32,36,40),0)/100)),0)</f>
        <v/>
      </c>
      <c r="R694">
        <f>IF(AND(Inputs!$B$38&lt;&gt;"pvp",Inputs!$B$43&gt;0),IF(MAX(0,Inputs!$B$43-B723)&lt;=0,0,(INT(MAX(0,Inputs!$B$43-B723)/(IF(Inputs!$B$38="pvp",15,MAX(0.1,Skills!D12-IF(Skills!E12=TRUE,Inputs!$B$32,0)))*(1-IF(AND(ArtifactsInput!$M$27,Inputs!$B$4="Chapter Hunt"),CHOOSE(ArtifactsInput!$N$27+1,20,24,28,32,36,40),0)/100)))+1)),0)</f>
        <v/>
      </c>
      <c r="S694">
        <f>IFERROR(O694/N694,0)</f>
        <v/>
      </c>
      <c r="T694">
        <f>IF(C694,(H694*N694*IF(AND(Inputs!$B$38&lt;&gt;"pvp",Inputs!$B$43&gt;0),((Skills!G12*((R694-1)*IF(Skills!H12&gt;0,Skills!I12/Skills!H12,1)+IF(Skills!H12&gt;0,MIN(Skills!I12,MAX(0,MAX(0,Inputs!$B$43-B723)-((R694-1)*(IF(Inputs!$B$38="pvp",15,MAX(0.1,Skills!D12-IF(Skills!E12=TRUE,Inputs!$B$32,0)))*(1-IF(AND(ArtifactsInput!$M$27,Inputs!$B$4="Chapter Hunt"),CHOOSE(ArtifactsInput!$N$27+1,20,24,28,32,36,40),0)/100)))))/Skills!H12,1)))/Inputs!$B$43),G694*Q694)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(5000/(6000+Inputs!$B$42*(1-(100*(1-(1-(100*(1-(1-(((1-(1-Inputs!$B$19/100)*(1-1/100))*100)+((C710=TRUE)*(F710-Calc!F28)))/100)*(1-CHOOSE(ArtifactsInput!$N$40+1,5,6,7,8,9,10)/100)^(ArtifactsInput!$M$40-ArtifactsInput!$M$40)))/100)*(1-IF(ArtifactsInput!$M$40,CHOOSE(ArtifactsInput!$N$40+1,5,6,7,8,9,10),0)/100)^IF(Inputs!$B$38="pvp",1,2)))/100)))/(5000/(6000+Inputs!$B$42*(1-(100*(1-(1-(((1-(1-Inputs!$B$19/100)*(1-1/100))*100)+((C710=TRUE)*(F710-Calc!F28)))/100)*(1-CHOOSE(ArtifactsInput!$N$40+1,5,6,7,8,9,10)/100)^(ArtifactsInput!$M$40-ArtifactsInput!$M$40)))/100))))*((L694*(1-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694*(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694*(1-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694*(MIN(100,(Inputs!$B$9+((C703=TRUE)*(F703-Calc!F21))+B716+(ArtifactsInput!$M$24-ArtifactsInput!$M$24)*CHOOSE(ArtifactsInput!$N$24+1,10,12,14,16,18,20)+(IF(AND(ArtifactsInput!$M$42,((Inputs!$B$9+((C703=TRUE)*(F703-Calc!F21))+B716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94">
        <f>IF(C694,(H694*N694*IF(AND(Inputs!$B$38&lt;&gt;"pvp",Inputs!$B$43&gt;0),((Skills!G12*((R694-1)*IF(Skills!H12&gt;0,Skills!I12/Skills!H12,1)+IF(Skills!H12&gt;0,MIN(Skills!I12,MAX(0,MAX(0,Inputs!$B$43-B723)-((R694-1)*(IF(Inputs!$B$38="pvp",15,MAX(0.1,Skills!D12-IF(Skills!E12=TRUE,Inputs!$B$32,0)))*(1-IF(AND(ArtifactsInput!$M$27,Inputs!$B$4="Chapter Hunt"),CHOOSE(ArtifactsInput!$N$27+1,20,24,28,32,36,40),0)/100)))))/Skills!H12,1)))/Inputs!$B$43),G694*Q694))*IF(Inputs!$B$38="pvp",1,(1+(Inputs!$B$21+Skills!Q12+(IF(ArtifactsInput!$M$33,CHOOSE(ArtifactsInput!$N$33+1,30,36,42,48,54,60),0))+(IF(AND(ArtifactsInput!$M$35,Inputs!$B$4&lt;&gt;"Chapter Hunt"),CHOOSE(ArtifactsInput!$N$35+1,15,18,21,24,27,30)*(1-EXP(-(0.2*B718)*5)),0)+IF(AND(ArtifactsInput!$M$22,Inputs!$B$4&lt;&gt;"Chapter Hunt"),CHOOSE(ArtifactsInput!$N$22+1,10,12,14,16,18,20)*((0*(((0.15*B718*5))^0/1)+1*(((0.15*B718*5))^1/1)+2*(((0.15*B718*5))^2/2)+3*(((0.15*B718*5))^3/6)+4*(((0.15*B718*5))^4/24)+5*(((0.15*B718*5))^5/120))/((((0.15*B718*5))^0/1)+(((0.15*B718*5))^1/1)+(((0.15*B718*5))^2/2)+(((0.15*B718*5))^3/6)+(((0.15*B718*5))^4/24)+(((0.15*B718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5">
      <c r="A695">
        <f>Skills!A13</f>
        <v/>
      </c>
      <c r="B695">
        <f>Skills!B13</f>
        <v/>
      </c>
      <c r="C695">
        <f>Inputs!$B$3&gt;=110</f>
        <v/>
      </c>
      <c r="D695">
        <f>IF(Skills!C13=1,60+Inputs!$B$25+Inputs!$B$29,IF(Skills!C13=2,90+Inputs!$B$26+Inputs!$B$29,IF(Skills!C13=3,120+Inputs!$B$27+Inputs!$B$29,MAX(0,(Inputs!$B$3-100)*3)+Inputs!$B$28+Inputs!$B$29)))</f>
        <v/>
      </c>
      <c r="E695">
        <f>INDEX(FactorTable!$B$2:$Y$301, MATCH(ROUND(MIN(300,MAX(1,D695)),0), FactorTable!$A$2:$A$301,0), Skills!M13+1)</f>
        <v/>
      </c>
      <c r="F695">
        <f>IF(Skills!N13=TRUE,(Skills!L13/10)*(E695/1000),Skills!L13/10)+Skills!O13</f>
        <v/>
      </c>
      <c r="G695" t="inlineStr"/>
      <c r="H695" t="inlineStr"/>
      <c r="I695" t="inlineStr">
        <is>
          <t>1</t>
        </is>
      </c>
      <c r="J695" t="inlineStr"/>
      <c r="K695" t="inlineStr"/>
      <c r="L695" t="inlineStr"/>
      <c r="M695" t="inlineStr"/>
      <c r="N695" t="inlineStr"/>
      <c r="O695" t="inlineStr"/>
      <c r="P695" t="inlineStr"/>
      <c r="Q695" t="inlineStr"/>
      <c r="R695" t="inlineStr"/>
      <c r="S695" t="inlineStr"/>
      <c r="T695" t="inlineStr"/>
      <c r="V695" t="inlineStr"/>
    </row>
    <row r="696">
      <c r="A696">
        <f>Skills!A14</f>
        <v/>
      </c>
      <c r="B696">
        <f>Skills!B14</f>
        <v/>
      </c>
      <c r="C696">
        <f>Inputs!$B$3&gt;=74</f>
        <v/>
      </c>
      <c r="D696">
        <f>IF(Skills!C14=1,60+Inputs!$B$25+Inputs!$B$29,IF(Skills!C14=2,90+Inputs!$B$26+Inputs!$B$29,IF(Skills!C14=3,120+Inputs!$B$27+Inputs!$B$29,MAX(0,(Inputs!$B$3-100)*3)+Inputs!$B$28+Inputs!$B$29)))</f>
        <v/>
      </c>
      <c r="E696">
        <f>INDEX(FactorTable!$B$2:$Y$301, MATCH(ROUND(MIN(300,MAX(1,D696)),0), FactorTable!$A$2:$A$301,0), Skills!M14+1)</f>
        <v/>
      </c>
      <c r="F696">
        <f>IF(Skills!N14=TRUE,(Skills!L14/10)*(E696/1000),Skills!L14/10)+Skills!O14</f>
        <v/>
      </c>
      <c r="G696">
        <f>Skills!G14*IF(Skills!H14&gt;0,Skills!I14/Skills!H14,1)</f>
        <v/>
      </c>
      <c r="H696">
        <f>1-(1-Skills!J14/100)^Skills!K14</f>
        <v/>
      </c>
      <c r="I696" t="inlineStr">
        <is>
          <t>1</t>
        </is>
      </c>
      <c r="J696" t="inlineStr"/>
      <c r="K696" t="inlineStr"/>
      <c r="L696" t="inlineStr"/>
      <c r="M696" t="inlineStr"/>
      <c r="N696" t="inlineStr"/>
      <c r="O696">
        <f>(1-Summary!$B$11)*T696+Summary!$B$11*V696</f>
        <v/>
      </c>
      <c r="P696">
        <f>IF(B726=0,0,O696/B726)</f>
        <v/>
      </c>
      <c r="Q696" t="n">
        <v>0</v>
      </c>
      <c r="R696" t="n">
        <v>0</v>
      </c>
      <c r="S696">
        <f>IFERROR(O696/N696,0)</f>
        <v/>
      </c>
      <c r="T696" t="n">
        <v>0</v>
      </c>
      <c r="V696" t="n">
        <v>0</v>
      </c>
    </row>
    <row r="697">
      <c r="A697">
        <f>Skills!A15</f>
        <v/>
      </c>
      <c r="B697">
        <f>Skills!B15</f>
        <v/>
      </c>
      <c r="C697">
        <f>Inputs!$B$3&gt;=74</f>
        <v/>
      </c>
      <c r="D697">
        <f>IF(Skills!C15=1,60+Inputs!$B$25+Inputs!$B$29,IF(Skills!C15=2,90+Inputs!$B$26+Inputs!$B$29,IF(Skills!C15=3,120+Inputs!$B$27+Inputs!$B$29,MAX(0,(Inputs!$B$3-100)*3)+Inputs!$B$28+Inputs!$B$29)))</f>
        <v/>
      </c>
      <c r="E697">
        <f>INDEX(FactorTable!$B$2:$Y$301, MATCH(ROUND(MIN(300,MAX(1,D697)),0), FactorTable!$A$2:$A$301,0), Skills!M15+1)</f>
        <v/>
      </c>
      <c r="F697">
        <f>IF(Skills!N15=TRUE,(Skills!L15/10)*(E697/1000),Skills!L15/10)+Skills!O15</f>
        <v/>
      </c>
      <c r="G697">
        <f>Skills!G15*IF(Skills!H15&gt;0,Skills!I15/Skills!H15,1)</f>
        <v/>
      </c>
      <c r="H697">
        <f>1-(1-Skills!J15/100)^Skills!K15</f>
        <v/>
      </c>
      <c r="I697" t="inlineStr">
        <is>
          <t>1</t>
        </is>
      </c>
      <c r="J697" t="inlineStr"/>
      <c r="K697" t="inlineStr"/>
      <c r="L697" t="inlineStr"/>
      <c r="M697" t="inlineStr"/>
      <c r="N697" t="inlineStr"/>
      <c r="O697">
        <f>(1-Summary!$B$11)*T697+Summary!$B$11*V697</f>
        <v/>
      </c>
      <c r="P697">
        <f>IF(B726=0,0,O697/B726)</f>
        <v/>
      </c>
      <c r="Q697" t="n">
        <v>0</v>
      </c>
      <c r="R697" t="n">
        <v>0</v>
      </c>
      <c r="S697">
        <f>IFERROR(O697/N697,0)</f>
        <v/>
      </c>
      <c r="T697" t="n">
        <v>0</v>
      </c>
      <c r="V697" t="n">
        <v>0</v>
      </c>
    </row>
    <row r="698">
      <c r="A698">
        <f>Skills!A16</f>
        <v/>
      </c>
      <c r="B698">
        <f>Skills!B16</f>
        <v/>
      </c>
      <c r="C698">
        <f>Inputs!$B$3&gt;=117</f>
        <v/>
      </c>
      <c r="D698">
        <f>IF(Skills!C16=1,60+Inputs!$B$25+Inputs!$B$29,IF(Skills!C16=2,90+Inputs!$B$26+Inputs!$B$29,IF(Skills!C16=3,120+Inputs!$B$27+Inputs!$B$29,MAX(0,(Inputs!$B$3-100)*3)+Inputs!$B$28+Inputs!$B$29)))</f>
        <v/>
      </c>
      <c r="E698">
        <f>INDEX(FactorTable!$B$2:$Y$301, MATCH(ROUND(MIN(300,MAX(1,D698)),0), FactorTable!$A$2:$A$301,0), Skills!M16+1)</f>
        <v/>
      </c>
      <c r="F698">
        <f>IF(Skills!N16=TRUE,(Skills!L16/10)*(E698/1000),Skills!L16/10)+Skills!O16</f>
        <v/>
      </c>
      <c r="G698">
        <f>Skills!G16*IF(Skills!H16&gt;0,Skills!I16/Skills!H16,1)</f>
        <v/>
      </c>
      <c r="H698">
        <f>1-(1-Skills!J16/100)^Skills!K16</f>
        <v/>
      </c>
      <c r="I698" t="inlineStr">
        <is>
          <t>1</t>
        </is>
      </c>
      <c r="J698" t="inlineStr"/>
      <c r="K698" t="inlineStr"/>
      <c r="L698" t="inlineStr"/>
      <c r="M698" t="inlineStr"/>
      <c r="N698" t="inlineStr"/>
      <c r="O698">
        <f>(1-Summary!$B$11)*T698+Summary!$B$11*V698</f>
        <v/>
      </c>
      <c r="P698">
        <f>IF(B726=0,0,O698/B726)</f>
        <v/>
      </c>
      <c r="Q698">
        <f>IFERROR(1/(IF(Inputs!$B$38="pvp",15,MAX(0.1,Skills!D16-IF(Skills!E16=TRUE,Inputs!$B$32,0)))*(1-IF(AND(ArtifactsInput!$M$27,Inputs!$B$4="Chapter Hunt"),CHOOSE(ArtifactsInput!$N$27+1,20,24,28,32,36,40),0)/100)),0)</f>
        <v/>
      </c>
      <c r="R698">
        <f>IF(AND(Inputs!$B$38&lt;&gt;"pvp",Inputs!$B$43&gt;0),IF(Inputs!$B$43&lt;=0,0,(INT(Inputs!$B$43/(IF(Inputs!$B$38="pvp",15,MAX(0.1,Skills!D16-IF(Skills!E16=TRUE,Inputs!$B$32,0)))*(1-IF(AND(ArtifactsInput!$M$27,Inputs!$B$4="Chapter Hunt"),CHOOSE(ArtifactsInput!$N$27+1,20,24,28,32,36,40),0)/100)))+1)),0)</f>
        <v/>
      </c>
      <c r="S698">
        <f>IFERROR(O698/N698,0)</f>
        <v/>
      </c>
      <c r="T698" t="n">
        <v>0</v>
      </c>
      <c r="V698" t="n">
        <v>0</v>
      </c>
    </row>
    <row r="699">
      <c r="A699">
        <f>Skills!A17</f>
        <v/>
      </c>
      <c r="B699">
        <f>Skills!B17</f>
        <v/>
      </c>
      <c r="C699">
        <f>Inputs!$B$3&gt;=115</f>
        <v/>
      </c>
      <c r="D699">
        <f>IF(Skills!C17=1,60+Inputs!$B$25+Inputs!$B$29,IF(Skills!C17=2,90+Inputs!$B$26+Inputs!$B$29,IF(Skills!C17=3,120+Inputs!$B$27+Inputs!$B$29,MAX(0,(Inputs!$B$3-100)*3)+Inputs!$B$28+Inputs!$B$29)))</f>
        <v/>
      </c>
      <c r="E699">
        <f>INDEX(FactorTable!$B$2:$Y$301, MATCH(ROUND(MIN(300,MAX(1,D699)),0), FactorTable!$A$2:$A$301,0), Skills!M17+1)</f>
        <v/>
      </c>
      <c r="F699">
        <f>IF(Skills!N17=TRUE,(Skills!L17/10)*(E699/1000),Skills!L17/10)+Skills!O17</f>
        <v/>
      </c>
      <c r="G699">
        <f>Skills!G17*IF(Skills!H17&gt;0,Skills!I17/Skills!H17,1)</f>
        <v/>
      </c>
      <c r="H699">
        <f>1-(1-Skills!J17/100)^Skills!K17</f>
        <v/>
      </c>
      <c r="I699" t="inlineStr">
        <is>
          <t>1</t>
        </is>
      </c>
      <c r="J699" t="inlineStr"/>
      <c r="K699" t="inlineStr"/>
      <c r="L699" t="inlineStr"/>
      <c r="M699" t="inlineStr"/>
      <c r="N699" t="inlineStr"/>
      <c r="O699">
        <f>(1-Summary!$B$11)*T699+Summary!$B$11*V699</f>
        <v/>
      </c>
      <c r="P699">
        <f>IF(B726=0,0,O699/B726)</f>
        <v/>
      </c>
      <c r="Q699">
        <f>IFERROR(1/(IF(Inputs!$B$38="pvp",15,MAX(0.1,Skills!D17-IF(Skills!E17=TRUE,Inputs!$B$32,0)))*(1-IF(AND(ArtifactsInput!$M$27,Inputs!$B$4="Chapter Hunt"),CHOOSE(ArtifactsInput!$N$27+1,20,24,28,32,36,40),0)/100)),0)</f>
        <v/>
      </c>
      <c r="R699">
        <f>IF(AND(Inputs!$B$38&lt;&gt;"pvp",Inputs!$B$43&gt;0),IF(Inputs!$B$43&lt;=0,0,(INT(Inputs!$B$43/(IF(Inputs!$B$38="pvp",15,MAX(0.1,Skills!D17-IF(Skills!E17=TRUE,Inputs!$B$32,0)))*(1-IF(AND(ArtifactsInput!$M$27,Inputs!$B$4="Chapter Hunt"),CHOOSE(ArtifactsInput!$N$27+1,20,24,28,32,36,40),0)/100)))+1)),0)</f>
        <v/>
      </c>
      <c r="S699">
        <f>IFERROR(O699/N699,0)</f>
        <v/>
      </c>
      <c r="T699" t="n">
        <v>0</v>
      </c>
      <c r="V699" t="n">
        <v>0</v>
      </c>
    </row>
    <row r="700">
      <c r="A700">
        <f>Skills!A18</f>
        <v/>
      </c>
      <c r="B700">
        <f>Skills!B18</f>
        <v/>
      </c>
      <c r="C700">
        <f>Inputs!$B$3&gt;=66</f>
        <v/>
      </c>
      <c r="D700">
        <f>IF(Skills!C18=1,60+Inputs!$B$25+Inputs!$B$29,IF(Skills!C18=2,90+Inputs!$B$26+Inputs!$B$29,IF(Skills!C18=3,120+Inputs!$B$27+Inputs!$B$29,MAX(0,(Inputs!$B$3-100)*3)+Inputs!$B$28+Inputs!$B$29)))</f>
        <v/>
      </c>
      <c r="E700">
        <f>INDEX(FactorTable!$B$2:$Y$301, MATCH(ROUND(MIN(300,MAX(1,D700)),0), FactorTable!$A$2:$A$301,0), Skills!M18+1)</f>
        <v/>
      </c>
      <c r="F700">
        <f>IF(Skills!N18=TRUE,(Skills!L18/10)*(E700/1000),Skills!L18/10)+Skills!O18</f>
        <v/>
      </c>
      <c r="G700">
        <f>Skills!G18*IF(Skills!H18&gt;0,Skills!I18/Skills!H18,1)</f>
        <v/>
      </c>
      <c r="H700">
        <f>1-(1-Skills!J18/100)^Skills!K18</f>
        <v/>
      </c>
      <c r="I700" t="inlineStr">
        <is>
          <t>1</t>
        </is>
      </c>
      <c r="J700" t="inlineStr"/>
      <c r="K700" t="inlineStr"/>
      <c r="L700" t="inlineStr"/>
      <c r="M700" t="inlineStr"/>
      <c r="N700" t="inlineStr"/>
      <c r="O700">
        <f>(1-Summary!$B$11)*T700+Summary!$B$11*V700</f>
        <v/>
      </c>
      <c r="P700">
        <f>IF(B726=0,0,O700/B726)</f>
        <v/>
      </c>
      <c r="Q700" t="n">
        <v>0</v>
      </c>
      <c r="R700" t="n">
        <v>0</v>
      </c>
      <c r="S700">
        <f>IFERROR(O700/N700,0)</f>
        <v/>
      </c>
      <c r="T700" t="n">
        <v>0</v>
      </c>
      <c r="V700" t="n">
        <v>0</v>
      </c>
    </row>
    <row r="701">
      <c r="A701">
        <f>Skills!A19</f>
        <v/>
      </c>
      <c r="B701">
        <f>Skills!B19</f>
        <v/>
      </c>
      <c r="C701">
        <f>Inputs!$B$3&gt;=72</f>
        <v/>
      </c>
      <c r="D701">
        <f>IF(Skills!C19=1,60+Inputs!$B$25+Inputs!$B$29,IF(Skills!C19=2,90+Inputs!$B$26+Inputs!$B$29,IF(Skills!C19=3,120+Inputs!$B$27+Inputs!$B$29,MAX(0,(Inputs!$B$3-100)*3)+Inputs!$B$28+Inputs!$B$29)))</f>
        <v/>
      </c>
      <c r="E701">
        <f>INDEX(FactorTable!$B$2:$Y$301, MATCH(ROUND(MIN(300,MAX(1,D701)),0), FactorTable!$A$2:$A$301,0), Skills!M19+1)</f>
        <v/>
      </c>
      <c r="F701">
        <f>IF(Skills!N19=TRUE,(Skills!L19/10)*(E701/1000),Skills!L19/10)+Skills!O19</f>
        <v/>
      </c>
      <c r="G701">
        <f>Skills!G19*IF(Skills!H19&gt;0,Skills!I19/Skills!H19,1)</f>
        <v/>
      </c>
      <c r="H701">
        <f>1-(1-Skills!J19/100)^Skills!K19</f>
        <v/>
      </c>
      <c r="I701" t="inlineStr">
        <is>
          <t>1</t>
        </is>
      </c>
      <c r="J701" t="inlineStr"/>
      <c r="K701" t="inlineStr"/>
      <c r="L701" t="inlineStr"/>
      <c r="M701" t="inlineStr"/>
      <c r="N701" t="inlineStr"/>
      <c r="O701">
        <f>(1-Summary!$B$11)*T701+Summary!$B$11*V701</f>
        <v/>
      </c>
      <c r="P701">
        <f>IF(B726=0,0,O701/B726)</f>
        <v/>
      </c>
      <c r="Q701" t="n">
        <v>0</v>
      </c>
      <c r="R701" t="n">
        <v>0</v>
      </c>
      <c r="S701">
        <f>IFERROR(O701/N701,0)</f>
        <v/>
      </c>
      <c r="T701" t="n">
        <v>0</v>
      </c>
      <c r="V701" t="n">
        <v>0</v>
      </c>
    </row>
    <row r="702">
      <c r="A702">
        <f>Skills!A20</f>
        <v/>
      </c>
      <c r="B702">
        <f>Skills!B20</f>
        <v/>
      </c>
      <c r="C702">
        <f>TRUE</f>
        <v/>
      </c>
      <c r="D702">
        <f>IF(Skills!C20=1,60+Inputs!$B$25+Inputs!$B$29,IF(Skills!C20=2,90+Inputs!$B$26+Inputs!$B$29,IF(Skills!C20=3,120+Inputs!$B$27+Inputs!$B$29,MAX(0,(Inputs!$B$3-100)*3)+Inputs!$B$28+Inputs!$B$29)))</f>
        <v/>
      </c>
      <c r="E702">
        <f>INDEX(FactorTable!$B$2:$Y$301, MATCH(ROUND(MIN(300,MAX(1,D702)),0), FactorTable!$A$2:$A$301,0), Skills!M20+1)</f>
        <v/>
      </c>
      <c r="F702">
        <f>IF(Skills!N20=TRUE,(Skills!L20/10)*(E702/1000),Skills!L20/10)+Skills!O20</f>
        <v/>
      </c>
      <c r="G702">
        <f>Skills!G20*IF(Skills!H20&gt;0,Skills!I20/Skills!H20,1)</f>
        <v/>
      </c>
      <c r="H702">
        <f>1-(1-Skills!J20/100)^Skills!K20</f>
        <v/>
      </c>
      <c r="I702" t="inlineStr">
        <is>
          <t>1</t>
        </is>
      </c>
      <c r="J702" t="inlineStr"/>
      <c r="K702" t="inlineStr"/>
      <c r="L702" t="inlineStr"/>
      <c r="M702" t="inlineStr"/>
      <c r="N702" t="inlineStr"/>
      <c r="O702">
        <f>(1-Summary!$B$11)*T702+Summary!$B$11*V702</f>
        <v/>
      </c>
      <c r="P702">
        <f>IF(B726=0,0,O702/B726)</f>
        <v/>
      </c>
      <c r="Q702">
        <f>IFERROR(1/(IF(Inputs!$B$38="pvp",15,MAX(0.1,Skills!D20-IF(Skills!E20=TRUE,Inputs!$B$32,0)))*(1-IF(AND(ArtifactsInput!$M$27,Inputs!$B$4="Chapter Hunt"),CHOOSE(ArtifactsInput!$N$27+1,20,24,28,32,36,40),0)/100)),0)</f>
        <v/>
      </c>
      <c r="R702">
        <f>IF(AND(Inputs!$B$38&lt;&gt;"pvp",Inputs!$B$43&gt;0),IF(Inputs!$B$43&lt;=0,0,(INT(Inputs!$B$43/(IF(Inputs!$B$38="pvp",15,MAX(0.1,Skills!D20-IF(Skills!E20=TRUE,Inputs!$B$32,0)))*(1-IF(AND(ArtifactsInput!$M$27,Inputs!$B$4="Chapter Hunt"),CHOOSE(ArtifactsInput!$N$27+1,20,24,28,32,36,40),0)/100)))+1)),0)</f>
        <v/>
      </c>
      <c r="S702">
        <f>IFERROR(O702/N702,0)</f>
        <v/>
      </c>
      <c r="T702" t="n">
        <v>0</v>
      </c>
      <c r="V702" t="n">
        <v>0</v>
      </c>
    </row>
    <row r="703">
      <c r="A703">
        <f>Skills!A21</f>
        <v/>
      </c>
      <c r="B703">
        <f>Skills!B21</f>
        <v/>
      </c>
      <c r="C703">
        <f>Inputs!$B$3&gt;=15</f>
        <v/>
      </c>
      <c r="D703">
        <f>IF(Skills!C21=1,60+Inputs!$B$25+Inputs!$B$29,IF(Skills!C21=2,90+Inputs!$B$26+Inputs!$B$29,IF(Skills!C21=3,120+Inputs!$B$27+Inputs!$B$29,MAX(0,(Inputs!$B$3-100)*3)+Inputs!$B$28+Inputs!$B$29)))</f>
        <v/>
      </c>
      <c r="E703">
        <f>INDEX(FactorTable!$B$2:$Y$301, MATCH(ROUND(MIN(300,MAX(1,D703)),0), FactorTable!$A$2:$A$301,0), Skills!M21+1)</f>
        <v/>
      </c>
      <c r="F703">
        <f>IF(Skills!N21=TRUE,(Skills!L21/10)*(E703/1000),Skills!L21/10)+Skills!O21</f>
        <v/>
      </c>
      <c r="G703">
        <f>Skills!G21*IF(Skills!H21&gt;0,Skills!I21/Skills!H21,1)</f>
        <v/>
      </c>
      <c r="H703">
        <f>1-(1-Skills!J21/100)^Skills!K21</f>
        <v/>
      </c>
      <c r="I703" t="inlineStr">
        <is>
          <t>1</t>
        </is>
      </c>
      <c r="J703" t="inlineStr"/>
      <c r="K703" t="inlineStr"/>
      <c r="L703" t="inlineStr"/>
      <c r="M703" t="inlineStr"/>
      <c r="N703" t="inlineStr"/>
      <c r="O703">
        <f>(1-Summary!$B$11)*T703+Summary!$B$11*V703</f>
        <v/>
      </c>
      <c r="P703">
        <f>IF(B726=0,0,O703/B726)</f>
        <v/>
      </c>
      <c r="Q703" t="n">
        <v>0</v>
      </c>
      <c r="R703" t="n">
        <v>0</v>
      </c>
      <c r="S703">
        <f>IFERROR(O703/N703,0)</f>
        <v/>
      </c>
      <c r="T703" t="n">
        <v>0</v>
      </c>
      <c r="V703" t="n">
        <v>0</v>
      </c>
    </row>
    <row r="704">
      <c r="A704">
        <f>Skills!A22</f>
        <v/>
      </c>
      <c r="B704">
        <f>Skills!B22</f>
        <v/>
      </c>
      <c r="C704">
        <f>Inputs!$B$3&gt;=10</f>
        <v/>
      </c>
      <c r="D704">
        <f>IF(Skills!C22=1,60+Inputs!$B$25+Inputs!$B$29,IF(Skills!C22=2,90+Inputs!$B$26+Inputs!$B$29,IF(Skills!C22=3,120+Inputs!$B$27+Inputs!$B$29,MAX(0,(Inputs!$B$3-100)*3)+Inputs!$B$28+Inputs!$B$29)))</f>
        <v/>
      </c>
      <c r="E704">
        <f>INDEX(FactorTable!$B$2:$Y$301, MATCH(ROUND(MIN(300,MAX(1,D704)),0), FactorTable!$A$2:$A$301,0), Skills!M22+1)</f>
        <v/>
      </c>
      <c r="F704">
        <f>IF(Skills!N22=TRUE,(Skills!L22/10)*(E704/1000),Skills!L22/10)+Skills!O22</f>
        <v/>
      </c>
      <c r="G704">
        <f>Skills!G22*IF(Skills!H22&gt;0,Skills!I22/Skills!H22,1)</f>
        <v/>
      </c>
      <c r="H704">
        <f>1-(1-Skills!J22/100)^Skills!K22</f>
        <v/>
      </c>
      <c r="I704" t="inlineStr">
        <is>
          <t>1</t>
        </is>
      </c>
      <c r="J704" t="inlineStr"/>
      <c r="K704" t="inlineStr"/>
      <c r="L704" t="inlineStr"/>
      <c r="M704" t="inlineStr"/>
      <c r="N704" t="inlineStr"/>
      <c r="O704">
        <f>(1-Summary!$B$11)*T704+Summary!$B$11*V704</f>
        <v/>
      </c>
      <c r="P704">
        <f>IF(B726=0,0,O704/B726)</f>
        <v/>
      </c>
      <c r="Q704" t="n">
        <v>0</v>
      </c>
      <c r="R704" t="n">
        <v>0</v>
      </c>
      <c r="S704">
        <f>IFERROR(O704/N704,0)</f>
        <v/>
      </c>
      <c r="T704" t="n">
        <v>0</v>
      </c>
      <c r="V704" t="n">
        <v>0</v>
      </c>
    </row>
    <row r="705">
      <c r="A705">
        <f>Skills!A23</f>
        <v/>
      </c>
      <c r="B705">
        <f>Skills!B23</f>
        <v/>
      </c>
      <c r="C705">
        <f>Inputs!$B$3&gt;=33</f>
        <v/>
      </c>
      <c r="D705">
        <f>IF(Skills!C23=1,60+Inputs!$B$25+Inputs!$B$29,IF(Skills!C23=2,90+Inputs!$B$26+Inputs!$B$29,IF(Skills!C23=3,120+Inputs!$B$27+Inputs!$B$29,MAX(0,(Inputs!$B$3-100)*3)+Inputs!$B$28+Inputs!$B$29)))</f>
        <v/>
      </c>
      <c r="E705">
        <f>INDEX(FactorTable!$B$2:$Y$301, MATCH(ROUND(MIN(300,MAX(1,D705)),0), FactorTable!$A$2:$A$301,0), Skills!M23+1)</f>
        <v/>
      </c>
      <c r="F705">
        <f>IF(Skills!N23=TRUE,(Skills!L23/10)*(E705/1000),Skills!L23/10)+Skills!O23</f>
        <v/>
      </c>
      <c r="G705">
        <f>Skills!G23*IF(Skills!H23&gt;0,Skills!I23/Skills!H23,1)</f>
        <v/>
      </c>
      <c r="H705">
        <f>1-(1-Skills!J23/100)^Skills!K23</f>
        <v/>
      </c>
      <c r="I705" t="inlineStr">
        <is>
          <t>1</t>
        </is>
      </c>
      <c r="J705" t="inlineStr"/>
      <c r="K705" t="inlineStr"/>
      <c r="L705" t="inlineStr"/>
      <c r="M705" t="inlineStr"/>
      <c r="N705" t="inlineStr"/>
      <c r="O705">
        <f>(1-Summary!$B$11)*T705+Summary!$B$11*V705</f>
        <v/>
      </c>
      <c r="P705">
        <f>IF(B726=0,0,O705/B726)</f>
        <v/>
      </c>
      <c r="Q705" t="n">
        <v>0</v>
      </c>
      <c r="R705" t="n">
        <v>0</v>
      </c>
      <c r="S705">
        <f>IFERROR(O705/N705,0)</f>
        <v/>
      </c>
      <c r="T705" t="n">
        <v>0</v>
      </c>
      <c r="V705" t="n">
        <v>0</v>
      </c>
    </row>
    <row r="706">
      <c r="A706">
        <f>Skills!A24</f>
        <v/>
      </c>
      <c r="B706">
        <f>Skills!B24</f>
        <v/>
      </c>
      <c r="C706">
        <f>Inputs!$B$3&gt;=38</f>
        <v/>
      </c>
      <c r="D706">
        <f>IF(Skills!C24=1,60+Inputs!$B$25+Inputs!$B$29,IF(Skills!C24=2,90+Inputs!$B$26+Inputs!$B$29,IF(Skills!C24=3,120+Inputs!$B$27+Inputs!$B$29,MAX(0,(Inputs!$B$3-100)*3)+Inputs!$B$28+Inputs!$B$29)))</f>
        <v/>
      </c>
      <c r="E706">
        <f>INDEX(FactorTable!$B$2:$Y$301, MATCH(ROUND(MIN(300,MAX(1,D706)),0), FactorTable!$A$2:$A$301,0), Skills!M24+1)</f>
        <v/>
      </c>
      <c r="F706">
        <f>IF(Skills!N24=TRUE,(Skills!L24/10)*(E706/1000),Skills!L24/10)+Skills!O24</f>
        <v/>
      </c>
      <c r="G706">
        <f>Skills!G24*IF(Skills!H24&gt;0,Skills!I24/Skills!H24,1)</f>
        <v/>
      </c>
      <c r="H706">
        <f>1-(1-Skills!J24/100)^Skills!K24</f>
        <v/>
      </c>
      <c r="I706" t="inlineStr">
        <is>
          <t>1</t>
        </is>
      </c>
      <c r="J706" t="inlineStr"/>
      <c r="K706" t="inlineStr"/>
      <c r="L706" t="inlineStr"/>
      <c r="M706" t="inlineStr"/>
      <c r="N706" t="inlineStr"/>
      <c r="O706">
        <f>(1-Summary!$B$11)*T706+Summary!$B$11*V706</f>
        <v/>
      </c>
      <c r="P706">
        <f>IF(B726=0,0,O706/B726)</f>
        <v/>
      </c>
      <c r="Q706" t="n">
        <v>0</v>
      </c>
      <c r="R706" t="n">
        <v>0</v>
      </c>
      <c r="S706">
        <f>IFERROR(O706/N706,0)</f>
        <v/>
      </c>
      <c r="T706" t="n">
        <v>0</v>
      </c>
      <c r="V706" t="n">
        <v>0</v>
      </c>
    </row>
    <row r="707">
      <c r="A707">
        <f>Skills!A25</f>
        <v/>
      </c>
      <c r="B707">
        <f>Skills!B25</f>
        <v/>
      </c>
      <c r="C707">
        <f>Inputs!$B$3&gt;=43</f>
        <v/>
      </c>
      <c r="D707">
        <f>IF(Skills!C25=1,60+Inputs!$B$25+Inputs!$B$29,IF(Skills!C25=2,90+Inputs!$B$26+Inputs!$B$29,IF(Skills!C25=3,120+Inputs!$B$27+Inputs!$B$29,MAX(0,(Inputs!$B$3-100)*3)+Inputs!$B$28+Inputs!$B$29)))</f>
        <v/>
      </c>
      <c r="E707">
        <f>INDEX(FactorTable!$B$2:$Y$301, MATCH(ROUND(MIN(300,MAX(1,D707)),0), FactorTable!$A$2:$A$301,0), Skills!M25+1)</f>
        <v/>
      </c>
      <c r="F707">
        <f>IF(Skills!N25=TRUE,(Skills!L25/10)*(E707/1000),Skills!L25/10)+Skills!O25</f>
        <v/>
      </c>
      <c r="G707">
        <f>Skills!G25*IF(Skills!H25&gt;0,Skills!I25/Skills!H25,1)</f>
        <v/>
      </c>
      <c r="H707">
        <f>1-(1-Skills!J25/100)^Skills!K25</f>
        <v/>
      </c>
      <c r="I707" t="inlineStr">
        <is>
          <t>1</t>
        </is>
      </c>
      <c r="J707" t="inlineStr"/>
      <c r="K707" t="inlineStr"/>
      <c r="L707" t="inlineStr"/>
      <c r="M707" t="inlineStr"/>
      <c r="N707" t="inlineStr"/>
      <c r="O707">
        <f>(1-Summary!$B$11)*T707+Summary!$B$11*V707</f>
        <v/>
      </c>
      <c r="P707">
        <f>IF(B726=0,0,O707/B726)</f>
        <v/>
      </c>
      <c r="Q707" t="n">
        <v>0</v>
      </c>
      <c r="R707" t="n">
        <v>0</v>
      </c>
      <c r="S707">
        <f>IFERROR(O707/N707,0)</f>
        <v/>
      </c>
      <c r="T707" t="n">
        <v>0</v>
      </c>
      <c r="V707" t="n">
        <v>0</v>
      </c>
    </row>
    <row r="708">
      <c r="A708">
        <f>Skills!A26</f>
        <v/>
      </c>
      <c r="B708">
        <f>Skills!B26</f>
        <v/>
      </c>
      <c r="C708">
        <f>Inputs!$B$3&gt;=75</f>
        <v/>
      </c>
      <c r="D708">
        <f>IF(Skills!C26=1,60+Inputs!$B$25+Inputs!$B$29,IF(Skills!C26=2,90+Inputs!$B$26+Inputs!$B$29,IF(Skills!C26=3,120+Inputs!$B$27+Inputs!$B$29,MAX(0,(Inputs!$B$3-100)*3)+Inputs!$B$28+Inputs!$B$29)))</f>
        <v/>
      </c>
      <c r="E708">
        <f>INDEX(FactorTable!$B$2:$Y$301, MATCH(ROUND(MIN(300,MAX(1,D708)),0), FactorTable!$A$2:$A$301,0), Skills!M26+1)</f>
        <v/>
      </c>
      <c r="F708">
        <f>IF(Skills!N26=TRUE,(Skills!L26/10)*(E708/1000),Skills!L26/10)+Skills!O26</f>
        <v/>
      </c>
      <c r="G708">
        <f>Skills!G26*IF(Skills!H26&gt;0,Skills!I26/Skills!H26,1)</f>
        <v/>
      </c>
      <c r="H708">
        <f>1-(1-Skills!J26/100)^Skills!K26</f>
        <v/>
      </c>
      <c r="I708" t="inlineStr">
        <is>
          <t>1</t>
        </is>
      </c>
      <c r="J708" t="inlineStr"/>
      <c r="K708" t="inlineStr"/>
      <c r="L708" t="inlineStr"/>
      <c r="M708" t="inlineStr"/>
      <c r="N708" t="inlineStr"/>
      <c r="O708">
        <f>(1-Summary!$B$11)*T708+Summary!$B$11*V708</f>
        <v/>
      </c>
      <c r="P708">
        <f>IF(B726=0,0,O708/B726)</f>
        <v/>
      </c>
      <c r="Q708" t="n">
        <v>0</v>
      </c>
      <c r="R708" t="n">
        <v>0</v>
      </c>
      <c r="S708">
        <f>IFERROR(O708/N708,0)</f>
        <v/>
      </c>
      <c r="T708" t="n">
        <v>0</v>
      </c>
      <c r="V708" t="n">
        <v>0</v>
      </c>
    </row>
    <row r="709">
      <c r="A709">
        <f>Skills!A27</f>
        <v/>
      </c>
      <c r="B709">
        <f>Skills!B27</f>
        <v/>
      </c>
      <c r="C709">
        <f>Inputs!$B$3&gt;=125</f>
        <v/>
      </c>
      <c r="D709">
        <f>IF(Skills!C27=1,60+Inputs!$B$25+Inputs!$B$29,IF(Skills!C27=2,90+Inputs!$B$26+Inputs!$B$29,IF(Skills!C27=3,120+Inputs!$B$27+Inputs!$B$29,MAX(0,(Inputs!$B$3-100)*3)+Inputs!$B$28+Inputs!$B$29)))</f>
        <v/>
      </c>
      <c r="E709">
        <f>INDEX(FactorTable!$B$2:$Y$301, MATCH(ROUND(MIN(300,MAX(1,D709)),0), FactorTable!$A$2:$A$301,0), Skills!M27+1)</f>
        <v/>
      </c>
      <c r="F709">
        <f>IF(Skills!N27=TRUE,(Skills!L27/10)*(E709/1000),Skills!L27/10)+Skills!O27</f>
        <v/>
      </c>
      <c r="G709">
        <f>Skills!G27*IF(Skills!H27&gt;0,Skills!I27/Skills!H27,1)</f>
        <v/>
      </c>
      <c r="H709">
        <f>1-(1-Skills!J27/100)^Skills!K27</f>
        <v/>
      </c>
      <c r="I709" t="inlineStr">
        <is>
          <t>1</t>
        </is>
      </c>
      <c r="J709" t="inlineStr"/>
      <c r="K709" t="inlineStr"/>
      <c r="L709" t="inlineStr"/>
      <c r="M709" t="inlineStr"/>
      <c r="N709" t="inlineStr"/>
      <c r="O709">
        <f>(1-Summary!$B$11)*T709+Summary!$B$11*V709</f>
        <v/>
      </c>
      <c r="P709">
        <f>IF(B726=0,0,O709/B726)</f>
        <v/>
      </c>
      <c r="Q709" t="n">
        <v>0</v>
      </c>
      <c r="R709" t="n">
        <v>0</v>
      </c>
      <c r="S709">
        <f>IFERROR(O709/N709,0)</f>
        <v/>
      </c>
      <c r="T709" t="n">
        <v>0</v>
      </c>
      <c r="V709" t="n">
        <v>0</v>
      </c>
    </row>
    <row r="710">
      <c r="A710">
        <f>Skills!A28</f>
        <v/>
      </c>
      <c r="B710">
        <f>Skills!B28</f>
        <v/>
      </c>
      <c r="C710">
        <f>Inputs!$B$3&gt;=125</f>
        <v/>
      </c>
      <c r="D710">
        <f>IF(Skills!C28=1,60+Inputs!$B$25+Inputs!$B$29,IF(Skills!C28=2,90+Inputs!$B$26+Inputs!$B$29,IF(Skills!C28=3,120+Inputs!$B$27+Inputs!$B$29,MAX(0,(Inputs!$B$3-100)*3)+Inputs!$B$28+Inputs!$B$29)))</f>
        <v/>
      </c>
      <c r="E710">
        <f>INDEX(FactorTable!$B$2:$Y$301, MATCH(ROUND(MIN(300,MAX(1,D710)),0), FactorTable!$A$2:$A$301,0), Skills!M28+1)</f>
        <v/>
      </c>
      <c r="F710">
        <f>IF(Skills!N28=TRUE,(Skills!L28/10)*(E710/1000),Skills!L28/10)+Skills!O28</f>
        <v/>
      </c>
      <c r="G710">
        <f>Skills!G28*IF(Skills!H28&gt;0,Skills!I28/Skills!H28,1)</f>
        <v/>
      </c>
      <c r="H710">
        <f>1-(1-Skills!J28/100)^Skills!K28</f>
        <v/>
      </c>
      <c r="I710" t="inlineStr">
        <is>
          <t>1</t>
        </is>
      </c>
      <c r="J710" t="inlineStr"/>
      <c r="K710" t="inlineStr"/>
      <c r="L710" t="inlineStr"/>
      <c r="M710" t="inlineStr"/>
      <c r="N710" t="inlineStr"/>
      <c r="O710">
        <f>(1-Summary!$B$11)*T710+Summary!$B$11*V710</f>
        <v/>
      </c>
      <c r="P710">
        <f>IF(B726=0,0,O710/B726)</f>
        <v/>
      </c>
      <c r="Q710" t="n">
        <v>0</v>
      </c>
      <c r="R710" t="n">
        <v>0</v>
      </c>
      <c r="S710">
        <f>IFERROR(O710/N710,0)</f>
        <v/>
      </c>
      <c r="T710" t="n">
        <v>0</v>
      </c>
      <c r="V710" t="n">
        <v>0</v>
      </c>
    </row>
    <row r="711">
      <c r="A711">
        <f>Skills!A29</f>
        <v/>
      </c>
      <c r="B711">
        <f>Skills!B29</f>
        <v/>
      </c>
      <c r="C711">
        <f>Inputs!$B$3&gt;=120</f>
        <v/>
      </c>
      <c r="D711">
        <f>IF(Skills!C29=1,60+Inputs!$B$25+Inputs!$B$29,IF(Skills!C29=2,90+Inputs!$B$26+Inputs!$B$29,IF(Skills!C29=3,120+Inputs!$B$27+Inputs!$B$29,MAX(0,(Inputs!$B$3-100)*3)+Inputs!$B$28+Inputs!$B$29)))</f>
        <v/>
      </c>
      <c r="E711">
        <f>INDEX(FactorTable!$B$2:$Y$301, MATCH(ROUND(MIN(300,MAX(1,D711)),0), FactorTable!$A$2:$A$301,0), Skills!M29+1)</f>
        <v/>
      </c>
      <c r="F711">
        <f>IF(Skills!N29=TRUE,(Skills!L29/10)*(E711/1000),Skills!L29/10)+Skills!O29</f>
        <v/>
      </c>
      <c r="G711">
        <f>Skills!G29*IF(Skills!H29&gt;0,Skills!I29/Skills!H29,1)</f>
        <v/>
      </c>
      <c r="H711">
        <f>1-(1-Skills!J29/100)^Skills!K29</f>
        <v/>
      </c>
      <c r="I711" t="inlineStr">
        <is>
          <t>1</t>
        </is>
      </c>
      <c r="J711" t="inlineStr"/>
      <c r="K711" t="inlineStr"/>
      <c r="L711" t="inlineStr"/>
      <c r="M711" t="inlineStr"/>
      <c r="N711" t="inlineStr"/>
      <c r="O711">
        <f>(1-Summary!$B$11)*T711+Summary!$B$11*V711</f>
        <v/>
      </c>
      <c r="P711">
        <f>IF(B726=0,0,O711/B726)</f>
        <v/>
      </c>
      <c r="Q711" t="n">
        <v>0</v>
      </c>
      <c r="R711" t="n">
        <v>0</v>
      </c>
      <c r="S711">
        <f>IFERROR(O711/N711,0)</f>
        <v/>
      </c>
      <c r="T711" t="n">
        <v>0</v>
      </c>
      <c r="V711" t="n">
        <v>0</v>
      </c>
    </row>
    <row r="712">
      <c r="A712">
        <f>Skills!A30</f>
        <v/>
      </c>
      <c r="B712">
        <f>Skills!B30</f>
        <v/>
      </c>
      <c r="C712">
        <f>Inputs!$B$3&gt;=120</f>
        <v/>
      </c>
      <c r="D712">
        <f>IF(Skills!C30=1,60+Inputs!$B$25+Inputs!$B$29,IF(Skills!C30=2,90+Inputs!$B$26+Inputs!$B$29,IF(Skills!C30=3,120+Inputs!$B$27+Inputs!$B$29,MAX(0,(Inputs!$B$3-100)*3)+Inputs!$B$28+Inputs!$B$29)))</f>
        <v/>
      </c>
      <c r="E712">
        <f>INDEX(FactorTable!$B$2:$Y$301, MATCH(ROUND(MIN(300,MAX(1,D712)),0), FactorTable!$A$2:$A$301,0), Skills!M30+1)</f>
        <v/>
      </c>
      <c r="F712">
        <f>IF(Skills!N30=TRUE,(Skills!L30/10)*(E712/1000),Skills!L30/10)+Skills!O30</f>
        <v/>
      </c>
      <c r="G712">
        <f>Skills!G30*IF(Skills!H30&gt;0,Skills!I30/Skills!H30,1)</f>
        <v/>
      </c>
      <c r="H712">
        <f>1-(1-Skills!J30/100)^Skills!K30</f>
        <v/>
      </c>
      <c r="I712" t="inlineStr">
        <is>
          <t>1</t>
        </is>
      </c>
      <c r="J712" t="inlineStr"/>
      <c r="K712" t="inlineStr"/>
      <c r="L712" t="inlineStr"/>
      <c r="M712" t="inlineStr"/>
      <c r="N712" t="inlineStr"/>
      <c r="O712">
        <f>(1-Summary!$B$11)*T712+Summary!$B$11*V712</f>
        <v/>
      </c>
      <c r="P712">
        <f>IF(B726=0,0,O712/B726)</f>
        <v/>
      </c>
      <c r="Q712" t="n">
        <v>0</v>
      </c>
      <c r="R712" t="n">
        <v>0</v>
      </c>
      <c r="S712">
        <f>IFERROR(O712/N712,0)</f>
        <v/>
      </c>
      <c r="T712" t="n">
        <v>0</v>
      </c>
      <c r="V712" t="n">
        <v>0</v>
      </c>
    </row>
    <row r="713">
      <c r="A713">
        <f>Skills!A31</f>
        <v/>
      </c>
      <c r="B713">
        <f>Skills!B31</f>
        <v/>
      </c>
      <c r="C713">
        <f>Inputs!$B$3&gt;=45</f>
        <v/>
      </c>
      <c r="D713">
        <f>IF(Skills!C31=1,60+Inputs!$B$25+Inputs!$B$29,IF(Skills!C31=2,90+Inputs!$B$26+Inputs!$B$29,IF(Skills!C31=3,120+Inputs!$B$27+Inputs!$B$29,MAX(0,(Inputs!$B$3-100)*3)+Inputs!$B$28+Inputs!$B$29)))</f>
        <v/>
      </c>
      <c r="E713">
        <f>INDEX(FactorTable!$B$2:$Y$301, MATCH(ROUND(MIN(300,MAX(1,D713)),0), FactorTable!$A$2:$A$301,0), Skills!M31+1)</f>
        <v/>
      </c>
      <c r="F713">
        <f>IF(Skills!N31=TRUE,(Skills!L31/10)*(E713/1000),Skills!L31/10)+Skills!O31</f>
        <v/>
      </c>
      <c r="G713">
        <f>Skills!G31*IF(Skills!H31&gt;0,Skills!I31/Skills!H31,1)</f>
        <v/>
      </c>
      <c r="H713">
        <f>1-(1-Skills!J31/100)^Skills!K31</f>
        <v/>
      </c>
      <c r="I713" t="inlineStr">
        <is>
          <t>1</t>
        </is>
      </c>
      <c r="J713" t="inlineStr"/>
      <c r="K713" t="inlineStr"/>
      <c r="L713" t="inlineStr"/>
      <c r="M713" t="inlineStr"/>
      <c r="N713" t="inlineStr"/>
      <c r="O713">
        <f>(1-Summary!$B$11)*T713+Summary!$B$11*V713</f>
        <v/>
      </c>
      <c r="P713">
        <f>IF(B726=0,0,O713/B726)</f>
        <v/>
      </c>
      <c r="Q713" t="n">
        <v>0</v>
      </c>
      <c r="R713" t="n">
        <v>0</v>
      </c>
      <c r="S713">
        <f>IFERROR(O713/N713,0)</f>
        <v/>
      </c>
      <c r="T713" t="n">
        <v>0</v>
      </c>
      <c r="V713" t="n">
        <v>0</v>
      </c>
    </row>
    <row r="715">
      <c r="A715" t="inlineStr">
        <is>
          <t>Attack% Bucket Multiplier</t>
        </is>
      </c>
      <c r="B715">
        <f>(1+(((C696=TRUE)*F696)+((C697=TRUE)*IF(Inputs!$B$38="pvp",F697,(1-Summary!$B$11)*(F697)+Summary!$B$11*(0)))+((C698=TRUE)*F698*IF(AND(Inputs!$B$38&lt;&gt;"pvp",Inputs!$B$43&gt;0),(((R698-1)*(Skills!T16*(1+Inputs!$B$34/100))+MIN((Skills!T16*(1+Inputs!$B$34/100)),MAX(0,Inputs!$B$43-((R698-1)*Skills!D16))))/Inputs!$B$43),IF(Inputs!$B$38="pvp",MIN((Skills!T16*(1+Inputs!$B$34/100)),15)/15,(Skills!T16*(1+Inputs!$B$34/100))/Skills!D16)))+((C713=TRUE)*(F713-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16">
      <c r="A716" t="inlineStr">
        <is>
          <t>Global Crit Rate Bonus %</t>
        </is>
      </c>
      <c r="B716">
        <f>(C699=TRUE)*20*IF(AND(Inputs!$B$38&lt;&gt;"pvp",Inputs!$B$43&gt;0),(((R699-1)*(Skills!T17*(1+Inputs!$B$34/100))+MIN((Skills!T17*(1+Inputs!$B$34/100)),MAX(0,Inputs!$B$43-((R699-1)*Skills!D17))))/Inputs!$B$43),IF(Inputs!$B$38="pvp",MIN((Skills!T17*(1+Inputs!$B$34/100)),15)/15,(Skills!T17*(1+Inputs!$B$34/100))/Skills!D17))</f>
        <v/>
      </c>
    </row>
    <row r="717">
      <c r="A717" t="inlineStr">
        <is>
          <t>Attack Speed Buff Bonus %</t>
        </is>
      </c>
      <c r="B717">
        <f>((C702=TRUE)*F702*IF(AND(Inputs!$B$38&lt;&gt;"pvp",Inputs!$B$43&gt;0),(((R702-1)*(Skills!T20*(1+Inputs!$B$34/100))+MIN((Skills!T20*(1+Inputs!$B$34/100)),MAX(0,Inputs!$B$43-((R702-1)*Skills!D20))))/Inputs!$B$43),IF(Inputs!$B$38="pvp",MIN((Skills!T20*(1+Inputs!$B$34/100)),15)/15,(Skills!T20*(1+Inputs!$B$34/100))/Skills!D20)))</f>
        <v/>
      </c>
    </row>
    <row r="718">
      <c r="A718" t="inlineStr">
        <is>
          <t>Actions Per Second</t>
        </is>
      </c>
      <c r="B718">
        <f>1+MIN(150,150*(1-(1-(Inputs!$B$11+((C704=TRUE)*(F704-Calc!F22))+((C705=TRUE)*(F705-Calc!F23)))/150)*(1-B717/150)))/100</f>
        <v/>
      </c>
    </row>
    <row r="719">
      <c r="A719" t="inlineStr">
        <is>
          <t>Skill + Buff Cast Rate</t>
        </is>
      </c>
      <c r="B719">
        <f>IF(AND(Inputs!$B$38&lt;&gt;"pvp",Inputs!$B$43&gt;0),SUMPRODUCT((Skills!E2:E31=TRUE)*(C684:C713=TRUE)*R684:R713*Skills!F2:F31)/Inputs!$B$43,SUMPRODUCT((Skills!E2:E31=TRUE)*(C684:C713=TRUE)*Q684:Q713*Skills!F2:F31))</f>
        <v/>
      </c>
    </row>
    <row r="720">
      <c r="A720" t="inlineStr">
        <is>
          <t>Arrow Stream Casts Per Second</t>
        </is>
      </c>
      <c r="B720">
        <f>MAX(0,B718-B719)</f>
        <v/>
      </c>
    </row>
    <row r="721">
      <c r="A721" t="inlineStr">
        <is>
          <t>Global Critical Damage Bonus % (Sharp Eyes + Concentration)</t>
        </is>
      </c>
      <c r="B721">
        <f>(C699=TRUE)*F699*IF(AND(Inputs!$B$38&lt;&gt;"pvp",Inputs!$B$43&gt;0),(((R699-1)*(Skills!T17*(1+Inputs!$B$34/100))+MIN((Skills!T17*(1+Inputs!$B$34/100)),MAX(0,Inputs!$B$43-((R699-1)*Skills!D17))))/Inputs!$B$43),IF(Inputs!$B$38="pvp",MIN((Skills!T17*(1+Inputs!$B$34/100)),15)/15,(Skills!T17*(1+Inputs!$B$34/100))/Skills!D17))+(C700=TRUE)*30</f>
        <v/>
      </c>
    </row>
    <row r="722">
      <c r="A722" t="inlineStr">
        <is>
          <t>Global Final Damage Bonus % (Mortal Blow)</t>
        </is>
      </c>
      <c r="B722">
        <f>(C701=TRUE)*F701</f>
        <v/>
      </c>
    </row>
    <row r="723">
      <c r="A723" t="inlineStr">
        <is>
          <t>Buff-Casting Startup Delay (s, fixed-duration only)</t>
        </is>
      </c>
      <c r="B723">
        <f>IF(AND(Inputs!$B$38&lt;&gt;"pvp",Inputs!$B$43&gt;0),SUMPRODUCT((Skills!T2:T31&gt;0)*(Skills!E2:E31=TRUE)*(C684:C713=TRUE))/B718,0)</f>
        <v/>
      </c>
    </row>
    <row r="724">
      <c r="A724" t="inlineStr">
        <is>
          <t>Boss-Only Total DPS (this block's swept value)</t>
        </is>
      </c>
      <c r="B724">
        <f>SUM(T684:T713)</f>
        <v/>
      </c>
    </row>
    <row r="725">
      <c r="A725" t="inlineStr">
        <is>
          <t>Normal-Only Total DPS (this block's swept value)</t>
        </is>
      </c>
      <c r="B725">
        <f>SUM(V684:V713)</f>
        <v/>
      </c>
    </row>
    <row r="726">
      <c r="A726" s="6" t="inlineStr">
        <is>
          <t>TOTAL DPS</t>
        </is>
      </c>
      <c r="B726" s="6">
        <f>SUM(O684:O713)</f>
        <v/>
      </c>
    </row>
    <row r="729">
      <c r="A729" s="6" t="inlineStr">
        <is>
          <t>Stat: BASIC_ATTACK_DAMAGE %</t>
        </is>
      </c>
    </row>
    <row r="730">
      <c r="A730" s="5" t="inlineStr">
        <is>
          <t>Key</t>
        </is>
      </c>
      <c r="B730" s="5" t="inlineStr">
        <is>
          <t>Name</t>
        </is>
      </c>
      <c r="C730" s="5" t="inlineStr">
        <is>
          <t>Unlocked</t>
        </is>
      </c>
      <c r="D730" s="5" t="inlineStr">
        <is>
          <t>InputLevel</t>
        </is>
      </c>
      <c r="E730" s="5" t="inlineStr">
        <is>
          <t>Factor</t>
        </is>
      </c>
      <c r="F730" s="5" t="inlineStr">
        <is>
          <t>CoefficientPercent</t>
        </is>
      </c>
      <c r="G730" s="5" t="inlineStr">
        <is>
          <t>EffectiveHits</t>
        </is>
      </c>
      <c r="H730" s="5" t="inlineStr">
        <is>
          <t>ProcProbability</t>
        </is>
      </c>
      <c r="I730" s="5" t="inlineStr">
        <is>
          <t>MapleHeroMultiplier</t>
        </is>
      </c>
      <c r="J730" s="5" t="inlineStr">
        <is>
          <t>BaseDamage</t>
        </is>
      </c>
      <c r="K730" s="5" t="inlineStr">
        <is>
          <t>BaseHitDamage</t>
        </is>
      </c>
      <c r="L730" s="5" t="inlineStr">
        <is>
          <t>NonCritAvg</t>
        </is>
      </c>
      <c r="M730" s="5" t="inlineStr">
        <is>
          <t>CritAvg</t>
        </is>
      </c>
      <c r="N730" s="5" t="inlineStr">
        <is>
          <t>ExpectedDamage(perHit)</t>
        </is>
      </c>
      <c r="O730" s="5" t="inlineStr">
        <is>
          <t>DPS</t>
        </is>
      </c>
      <c r="P730" s="5" t="inlineStr">
        <is>
          <t>% of Total</t>
        </is>
      </c>
      <c r="Q730" s="5" t="inlineStr">
        <is>
          <t>InvCooldown</t>
        </is>
      </c>
      <c r="R730" s="5" t="inlineStr">
        <is>
          <t>CastsInFight</t>
        </is>
      </c>
      <c r="S730" s="5" t="inlineStr">
        <is>
          <t>HitRate(perSec)</t>
        </is>
      </c>
      <c r="U730" t="inlineStr">
        <is>
          <t>helpers</t>
        </is>
      </c>
    </row>
    <row r="731">
      <c r="A731">
        <f>Skills!A2</f>
        <v/>
      </c>
      <c r="B731">
        <f>Skills!B2</f>
        <v/>
      </c>
      <c r="C731">
        <f>Inputs!$B$3&gt;=100</f>
        <v/>
      </c>
      <c r="D731" t="inlineStr"/>
      <c r="E731" t="inlineStr"/>
      <c r="F731">
        <f>U733+Skills!O2</f>
        <v/>
      </c>
      <c r="G731">
        <f>Skills!G2*IF(Skills!H2&gt;0,Skills!I2/Skills!H2,1)</f>
        <v/>
      </c>
      <c r="H731">
        <f>1-(1-Skills!J2/100)^Skills!K2</f>
        <v/>
      </c>
      <c r="I731" t="inlineStr">
        <is>
          <t>1</t>
        </is>
      </c>
      <c r="J731">
        <f>((Inputs!$B$6*(1+Inputs!$B$7/100))+(((Inputs!$B$12*(1+Inputs!$B$13/100))-(Inputs!$B$12*(1+Inputs!$B$13/100)))+0.25*(Inputs!$B$14-Inputs!$B$14))*(1+Inputs!$B$7/100))*(F731/100)</f>
        <v/>
      </c>
      <c r="K731">
        <f>J731*(1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731)</f>
        <v/>
      </c>
      <c r="L731">
        <f>K731*(MIN(Inputs!$B$22+((C754=TRUE)*(F754-Calc!F25)),(Inputs!$B$23+((C759=TRUE)*(F759-Calc!F30))+(IF(ArtifactsInput!$M$15,CHOOSE(ArtifactsInput!$N$15+1,25,30,35,40,45,50)/100*(Inputs!$B$11-Inputs!$B$11),0))))/100+(Inputs!$B$23+((C759=TRUE)*(F759-Calc!F30))+(IF(ArtifactsInput!$M$15,CHOOSE(ArtifactsInput!$N$15+1,25,30,35,40,45,50)/100*(Inputs!$B$11-Inputs!$B$11),0)))/100)/2</f>
        <v/>
      </c>
      <c r="M731">
        <f>L731*(1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1">
        <f>L731*(1-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1">
        <f>(1-Summary!$B$11)*T731+Summary!$B$11*V731</f>
        <v/>
      </c>
      <c r="P731">
        <f>IF(B773=0,0,O731/B773)</f>
        <v/>
      </c>
      <c r="Q731" t="n">
        <v>0</v>
      </c>
      <c r="R731" t="n">
        <v>0</v>
      </c>
      <c r="S731">
        <f>IFERROR(O731/N731,0)</f>
        <v/>
      </c>
      <c r="T731">
        <f>IF(C731,(Skills!G2*N731*B767)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731*(1-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1">
        <f>MAX(0,(Inputs!$B$3-100)*3)+Inputs!$B$28+Inputs!$B$29</f>
        <v/>
      </c>
      <c r="V731">
        <f>IF(C731,(Skills!G2*N731*B767)*IF(Inputs!$B$38="pvp",1,(1+(Inputs!$B$21+Skills!Q2+(IF(ArtifactsInput!$M$33,CHOOSE(ArtifactsInput!$N$33+1,30,36,42,48,54,60),0))+(IF(AND(ArtifactsInput!$M$35,Inputs!$B$4&lt;&gt;"Chapter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2">
      <c r="A732">
        <f>Skills!A3</f>
        <v/>
      </c>
      <c r="B732">
        <f>Skills!B3</f>
        <v/>
      </c>
      <c r="C732">
        <f>Inputs!$B$3&gt;=50</f>
        <v/>
      </c>
      <c r="D732">
        <f>IF(Skills!C3=1,60+Inputs!$B$25+Inputs!$B$29,IF(Skills!C3=2,90+Inputs!$B$26+Inputs!$B$29,IF(Skills!C3=3,120+Inputs!$B$27+Inputs!$B$29,MAX(0,(Inputs!$B$3-100)*3)+Inputs!$B$28+Inputs!$B$29)))</f>
        <v/>
      </c>
      <c r="E732">
        <f>INDEX(FactorTable!$B$2:$Y$301, MATCH(ROUND(MIN(300,MAX(1,D732)),0), FactorTable!$A$2:$A$301,0), Skills!M3+1)</f>
        <v/>
      </c>
      <c r="F732">
        <f>IF(Skills!N3=TRUE,(Skills!L3/10)*(E732/1000),Skills!L3/10)+Skills!O3</f>
        <v/>
      </c>
      <c r="G732">
        <f>Skills!G3*IF(Skills!H3&gt;0,Skills!I3/Skills!H3,1)</f>
        <v/>
      </c>
      <c r="H732">
        <f>1-(1-Skills!J3/100)^Skills!K3</f>
        <v/>
      </c>
      <c r="I732" t="inlineStr">
        <is>
          <t>1</t>
        </is>
      </c>
      <c r="J732">
        <f>((Inputs!$B$6*(1+Inputs!$B$7/100))+(((Inputs!$B$12*(1+Inputs!$B$13/100))-(Inputs!$B$12*(1+Inputs!$B$13/100)))+0.25*(Inputs!$B$14-Inputs!$B$14))*(1+Inputs!$B$7/100))*(F732/100)</f>
        <v/>
      </c>
      <c r="K732">
        <f>J732*(1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733=TRUE,F733,0)/100)*(1+(IF(Skills!A3="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732)</f>
        <v/>
      </c>
      <c r="L732">
        <f>K732*(MIN(Inputs!$B$22+((C754=TRUE)*(F754-Calc!F25)),(Inputs!$B$23+((C759=TRUE)*(F759-Calc!F30))+(IF(ArtifactsInput!$M$15,CHOOSE(ArtifactsInput!$N$15+1,25,30,35,40,45,50)/100*(Inputs!$B$11-Inputs!$B$11),0))))/100+(Inputs!$B$23+((C759=TRUE)*(F759-Calc!F30))+(IF(ArtifactsInput!$M$15,CHOOSE(ArtifactsInput!$N$15+1,25,30,35,40,45,50)/100*(Inputs!$B$11-Inputs!$B$11),0)))/100)/2</f>
        <v/>
      </c>
      <c r="M732">
        <f>L732*(1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2">
        <f>L732*(1-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732*(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2">
        <f>(1-Summary!$B$11)*T732+Summary!$B$11*V732</f>
        <v/>
      </c>
      <c r="P732">
        <f>IF(B773=0,0,O732/B773)</f>
        <v/>
      </c>
      <c r="Q732">
        <f>IFERROR(1/(IF(Inputs!$B$38="pvp",15,MAX(0.1,Skills!D3-IF(Skills!E3=TRUE,Inputs!$B$32,0)))*(1-IF(AND(ArtifactsInput!$M$27,Inputs!$B$4="Chapter Hunt"),CHOOSE(ArtifactsInput!$N$27+1,20,24,28,32,36,40),0)/100)),0)</f>
        <v/>
      </c>
      <c r="R732">
        <f>IF(AND(Inputs!$B$38&lt;&gt;"pvp",Inputs!$B$43&gt;0),IF(MAX(0,Inputs!$B$43-B770)&lt;=0,0,(INT(MAX(0,Inputs!$B$43-B770)/(IF(Inputs!$B$38="pvp",15,MAX(0.1,Skills!D3-IF(Skills!E3=TRUE,Inputs!$B$32,0)))*(1-IF(AND(ArtifactsInput!$M$27,Inputs!$B$4="Chapter Hunt"),CHOOSE(ArtifactsInput!$N$27+1,20,24,28,32,36,40),0)/100)))+1)),0)</f>
        <v/>
      </c>
      <c r="S732">
        <f>IFERROR(O732/N732,0)</f>
        <v/>
      </c>
      <c r="T732">
        <f>IF(C732,(H732*N732*IF(AND(Inputs!$B$38&lt;&gt;"pvp",Inputs!$B$43&gt;0),((Skills!G3*((R732-1)*IF(Skills!H3&gt;0,Skills!I3/Skills!H3,1)+IF(Skills!H3&gt;0,MIN(Skills!I3,MAX(0,MAX(0,Inputs!$B$43-B770)-((R732-1)*(IF(Inputs!$B$38="pvp",15,MAX(0.1,Skills!D3-IF(Skills!E3=TRUE,Inputs!$B$32,0)))*(1-IF(AND(ArtifactsInput!$M$27,Inputs!$B$4="Chapter Hunt"),CHOOSE(ArtifactsInput!$N$27+1,20,24,28,32,36,40),0)/100)))))/Skills!H3,1)))/Inputs!$B$43),G732*Q732)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732*(1-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732*(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732*(1-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732*(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2">
        <f>INDEX(FactorTable!$B$2:$Y$301, MATCH(ROUND(MIN(300,MAX(1,U731)),0), FactorTable!$A$2:$A$301,0), 22)</f>
        <v/>
      </c>
      <c r="V732">
        <f>IF(C732,(H732*N732*IF(AND(Inputs!$B$38&lt;&gt;"pvp",Inputs!$B$43&gt;0),((Skills!G3*((R732-1)*IF(Skills!H3&gt;0,Skills!I3/Skills!H3,1)+IF(Skills!H3&gt;0,MIN(Skills!I3,MAX(0,MAX(0,Inputs!$B$43-B770)-((R732-1)*(IF(Inputs!$B$38="pvp",15,MAX(0.1,Skills!D3-IF(Skills!E3=TRUE,Inputs!$B$32,0)))*(1-IF(AND(ArtifactsInput!$M$27,Inputs!$B$4="Chapter Hunt"),CHOOSE(ArtifactsInput!$N$27+1,20,24,28,32,36,40),0)/100)))))/Skills!H3,1)))/Inputs!$B$43),G732*Q732))*IF(Inputs!$B$38="pvp",1,(1+(Inputs!$B$21+Skills!Q3+(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3">
      <c r="A733">
        <f>Skills!A4</f>
        <v/>
      </c>
      <c r="B733">
        <f>Skills!B4</f>
        <v/>
      </c>
      <c r="C733">
        <f>Inputs!$B$3&gt;=105</f>
        <v/>
      </c>
      <c r="D733">
        <f>IF(Skills!C4=1,60+Inputs!$B$25+Inputs!$B$29,IF(Skills!C4=2,90+Inputs!$B$26+Inputs!$B$29,IF(Skills!C4=3,120+Inputs!$B$27+Inputs!$B$29,MAX(0,(Inputs!$B$3-100)*3)+Inputs!$B$28+Inputs!$B$29)))</f>
        <v/>
      </c>
      <c r="E733">
        <f>INDEX(FactorTable!$B$2:$Y$301, MATCH(ROUND(MIN(300,MAX(1,D733)),0), FactorTable!$A$2:$A$301,0), Skills!M4+1)</f>
        <v/>
      </c>
      <c r="F733">
        <f>IF(Skills!N4=TRUE,(Skills!L4/10)*(E733/1000),Skills!L4/10)+Skills!O4</f>
        <v/>
      </c>
      <c r="G733" t="inlineStr"/>
      <c r="H733" t="inlineStr"/>
      <c r="I733" t="inlineStr">
        <is>
          <t>1</t>
        </is>
      </c>
      <c r="J733" t="inlineStr"/>
      <c r="K733" t="inlineStr"/>
      <c r="L733" t="inlineStr"/>
      <c r="M733" t="inlineStr"/>
      <c r="N733" t="inlineStr"/>
      <c r="O733" t="inlineStr"/>
      <c r="P733" t="inlineStr"/>
      <c r="Q733" t="inlineStr"/>
      <c r="R733" t="inlineStr"/>
      <c r="S733" t="inlineStr"/>
      <c r="T733" t="inlineStr"/>
      <c r="U733">
        <f>290*U732/1000</f>
        <v/>
      </c>
      <c r="V733" t="inlineStr"/>
    </row>
    <row r="734">
      <c r="A734">
        <f>Skills!A5</f>
        <v/>
      </c>
      <c r="B734">
        <f>Skills!B5</f>
        <v/>
      </c>
      <c r="C734">
        <f>Inputs!$B$3&gt;=35</f>
        <v/>
      </c>
      <c r="D734">
        <f>IF(Skills!C5=1,60+Inputs!$B$25+Inputs!$B$29,IF(Skills!C5=2,90+Inputs!$B$26+Inputs!$B$29,IF(Skills!C5=3,120+Inputs!$B$27+Inputs!$B$29,MAX(0,(Inputs!$B$3-100)*3)+Inputs!$B$28+Inputs!$B$29)))</f>
        <v/>
      </c>
      <c r="E734">
        <f>INDEX(FactorTable!$B$2:$Y$301, MATCH(ROUND(MIN(300,MAX(1,D734)),0), FactorTable!$A$2:$A$301,0), Skills!M5+1)</f>
        <v/>
      </c>
      <c r="F734">
        <f>IF(Skills!N5=TRUE,(Skills!L5/10)*(E734/1000),Skills!L5/10)+Skills!O5</f>
        <v/>
      </c>
      <c r="G734">
        <f>Skills!G5*IF(Skills!H5&gt;0,Skills!I5/Skills!H5,1)</f>
        <v/>
      </c>
      <c r="H734">
        <f>1-(1-Skills!J5/100)^Skills!K5</f>
        <v/>
      </c>
      <c r="I734" t="inlineStr">
        <is>
          <t>1</t>
        </is>
      </c>
      <c r="J734">
        <f>((Inputs!$B$6*(1+Inputs!$B$7/100))+(((Inputs!$B$12*(1+Inputs!$B$13/100))-(Inputs!$B$12*(1+Inputs!$B$13/100)))+0.25*(Inputs!$B$14-Inputs!$B$14))*(1+Inputs!$B$7/100))*(F734/100)</f>
        <v/>
      </c>
      <c r="K734">
        <f>J734*(1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740=TRUE,F740,0)/100)*(1+(IF(Skills!A5="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734)</f>
        <v/>
      </c>
      <c r="L734">
        <f>K734*(MIN(Inputs!$B$22+((C754=TRUE)*(F754-Calc!F25)),(Inputs!$B$23+((C759=TRUE)*(F759-Calc!F30))+(IF(ArtifactsInput!$M$15,CHOOSE(ArtifactsInput!$N$15+1,25,30,35,40,45,50)/100*(Inputs!$B$11-Inputs!$B$11),0))))/100+(Inputs!$B$23+((C759=TRUE)*(F759-Calc!F30))+(IF(ArtifactsInput!$M$15,CHOOSE(ArtifactsInput!$N$15+1,25,30,35,40,45,50)/100*(Inputs!$B$11-Inputs!$B$11),0)))/100)/2</f>
        <v/>
      </c>
      <c r="M734">
        <f>L734*(1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4">
        <f>L734*(1-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734*(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4">
        <f>(1-Summary!$B$11)*T734+Summary!$B$11*V734</f>
        <v/>
      </c>
      <c r="P734">
        <f>IF(B773=0,0,O734/B773)</f>
        <v/>
      </c>
      <c r="Q734">
        <f>IFERROR(1/(IF(Inputs!$B$38="pvp",15,MAX(0.1,Skills!D5-IF(Skills!E5=TRUE,Inputs!$B$32,0)))*(1-IF(AND(ArtifactsInput!$M$27,Inputs!$B$4="Chapter Hunt"),CHOOSE(ArtifactsInput!$N$27+1,20,24,28,32,36,40),0)/100)),0)</f>
        <v/>
      </c>
      <c r="R734">
        <f>IF(AND(Inputs!$B$38&lt;&gt;"pvp",Inputs!$B$43&gt;0),IF(MAX(0,Inputs!$B$43-B770)&lt;=0,0,(INT(MAX(0,Inputs!$B$43-B770)/(IF(Inputs!$B$38="pvp",15,MAX(0.1,Skills!D5-IF(Skills!E5=TRUE,Inputs!$B$32,0)))*(1-IF(AND(ArtifactsInput!$M$27,Inputs!$B$4="Chapter Hunt"),CHOOSE(ArtifactsInput!$N$27+1,20,24,28,32,36,40),0)/100)))+1)),0)</f>
        <v/>
      </c>
      <c r="S734">
        <f>IFERROR(O734/N734,0)</f>
        <v/>
      </c>
      <c r="T734">
        <f>IF(C734,(H734*N734*IF(AND(Inputs!$B$38&lt;&gt;"pvp",Inputs!$B$43&gt;0),((Skills!G5*((R734-1)*IF(Skills!H5&gt;0,Skills!I5/Skills!H5,1)+IF(Skills!H5&gt;0,MIN(Skills!I5,MAX(0,MAX(0,Inputs!$B$43-B770)-((R734-1)*(IF(Inputs!$B$38="pvp",15,MAX(0.1,Skills!D5-IF(Skills!E5=TRUE,Inputs!$B$32,0)))*(1-IF(AND(ArtifactsInput!$M$27,Inputs!$B$4="Chapter Hunt"),CHOOSE(ArtifactsInput!$N$27+1,20,24,28,32,36,40),0)/100)))))/Skills!H5,1)))/Inputs!$B$43),G734*Q734)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734*(1-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734*(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734*(1-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734*(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34">
        <f>IF(C734,(H734*N734*IF(AND(Inputs!$B$38&lt;&gt;"pvp",Inputs!$B$43&gt;0),((Skills!G5*((R734-1)*IF(Skills!H5&gt;0,Skills!I5/Skills!H5,1)+IF(Skills!H5&gt;0,MIN(Skills!I5,MAX(0,MAX(0,Inputs!$B$43-B770)-((R734-1)*(IF(Inputs!$B$38="pvp",15,MAX(0.1,Skills!D5-IF(Skills!E5=TRUE,Inputs!$B$32,0)))*(1-IF(AND(ArtifactsInput!$M$27,Inputs!$B$4="Chapter Hunt"),CHOOSE(ArtifactsInput!$N$27+1,20,24,28,32,36,40),0)/100)))))/Skills!H5,1)))/Inputs!$B$43),G734*Q734))*IF(Inputs!$B$38="pvp",1,(1+(Inputs!$B$21+Skills!Q5+(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5">
      <c r="A735">
        <f>Skills!A6</f>
        <v/>
      </c>
      <c r="B735">
        <f>Skills!B6</f>
        <v/>
      </c>
      <c r="C735">
        <f>Inputs!$B$3&gt;=40</f>
        <v/>
      </c>
      <c r="D735">
        <f>IF(Skills!C6=1,60+Inputs!$B$25+Inputs!$B$29,IF(Skills!C6=2,90+Inputs!$B$26+Inputs!$B$29,IF(Skills!C6=3,120+Inputs!$B$27+Inputs!$B$29,MAX(0,(Inputs!$B$3-100)*3)+Inputs!$B$28+Inputs!$B$29)))</f>
        <v/>
      </c>
      <c r="E735">
        <f>INDEX(FactorTable!$B$2:$Y$301, MATCH(ROUND(MIN(300,MAX(1,D735)),0), FactorTable!$A$2:$A$301,0), Skills!M6+1)</f>
        <v/>
      </c>
      <c r="F735">
        <f>IF(Skills!N6=TRUE,(Skills!L6/10)*(E735/1000),Skills!L6/10)+Skills!O6</f>
        <v/>
      </c>
      <c r="G735">
        <f>Skills!G6*IF(Skills!H6&gt;0,Skills!I6/Skills!H6,1)</f>
        <v/>
      </c>
      <c r="H735">
        <f>1-(1-Skills!J6/100)^Skills!K6</f>
        <v/>
      </c>
      <c r="I735" t="inlineStr">
        <is>
          <t>1</t>
        </is>
      </c>
      <c r="J735">
        <f>((Inputs!$B$6*(1+Inputs!$B$7/100))+(((Inputs!$B$12*(1+Inputs!$B$13/100))-(Inputs!$B$12*(1+Inputs!$B$13/100)))+0.25*(Inputs!$B$14-Inputs!$B$14))*(1+Inputs!$B$7/100))*(F735/100)</f>
        <v/>
      </c>
      <c r="K735">
        <f>J735*(1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736=TRUE,F736,0)/100)*(1+(IF(Skills!A6="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735)</f>
        <v/>
      </c>
      <c r="L735">
        <f>K735*(MIN(Inputs!$B$22+((C754=TRUE)*(F754-Calc!F25)),(Inputs!$B$23+((C759=TRUE)*(F759-Calc!F30))+(IF(ArtifactsInput!$M$15,CHOOSE(ArtifactsInput!$N$15+1,25,30,35,40,45,50)/100*(Inputs!$B$11-Inputs!$B$11),0))))/100+(Inputs!$B$23+((C759=TRUE)*(F759-Calc!F30))+(IF(ArtifactsInput!$M$15,CHOOSE(ArtifactsInput!$N$15+1,25,30,35,40,45,50)/100*(Inputs!$B$11-Inputs!$B$11),0)))/100)/2</f>
        <v/>
      </c>
      <c r="M735">
        <f>L735*(1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5">
        <f>L735*(1-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735*(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5">
        <f>(1-Summary!$B$11)*T735+Summary!$B$11*V735</f>
        <v/>
      </c>
      <c r="P735">
        <f>IF(B773=0,0,O735/B773)</f>
        <v/>
      </c>
      <c r="Q735">
        <f>IFERROR(1/(IF(Inputs!$B$38="pvp",15,MAX(0.1,Skills!D6-IF(Skills!E6=TRUE,Inputs!$B$32,0)))*(1-IF(AND(ArtifactsInput!$M$27,Inputs!$B$4="Chapter Hunt"),CHOOSE(ArtifactsInput!$N$27+1,20,24,28,32,36,40),0)/100)),0)</f>
        <v/>
      </c>
      <c r="R735">
        <f>IF(AND(Inputs!$B$38&lt;&gt;"pvp",Inputs!$B$43&gt;0),IF(MAX(0,Inputs!$B$43-B770)&lt;=0,0,(INT(MAX(0,Inputs!$B$43-B770)/(IF(Inputs!$B$38="pvp",15,MAX(0.1,Skills!D6-IF(Skills!E6=TRUE,Inputs!$B$32,0)))*(1-IF(AND(ArtifactsInput!$M$27,Inputs!$B$4="Chapter Hunt"),CHOOSE(ArtifactsInput!$N$27+1,20,24,28,32,36,40),0)/100)))+1)),0)</f>
        <v/>
      </c>
      <c r="S735">
        <f>IFERROR(O735/N735,0)</f>
        <v/>
      </c>
      <c r="T735">
        <f>IF(C735,(H735*N735*IF(AND(Inputs!$B$38&lt;&gt;"pvp",Inputs!$B$43&gt;0),((Skills!G6*((R735-1)*IF(Skills!H6&gt;0,Skills!I6/Skills!H6,1)+IF(Skills!H6&gt;0,MIN(Skills!I6,MAX(0,MAX(0,Inputs!$B$43-B770)-((R735-1)*(IF(Inputs!$B$38="pvp",15,MAX(0.1,Skills!D6-IF(Skills!E6=TRUE,Inputs!$B$32,0)))*(1-IF(AND(ArtifactsInput!$M$27,Inputs!$B$4="Chapter Hunt"),CHOOSE(ArtifactsInput!$N$27+1,20,24,28,32,36,40),0)/100)))))/Skills!H6,1)))/Inputs!$B$43),G735*Q735)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735*(1-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735*(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735*(1-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735*(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35">
        <f>IF(C735,(H735*N735*IF(AND(Inputs!$B$38&lt;&gt;"pvp",Inputs!$B$43&gt;0),((Skills!G6*((R735-1)*IF(Skills!H6&gt;0,Skills!I6/Skills!H6,1)+IF(Skills!H6&gt;0,MIN(Skills!I6,MAX(0,MAX(0,Inputs!$B$43-B770)-((R735-1)*(IF(Inputs!$B$38="pvp",15,MAX(0.1,Skills!D6-IF(Skills!E6=TRUE,Inputs!$B$32,0)))*(1-IF(AND(ArtifactsInput!$M$27,Inputs!$B$4="Chapter Hunt"),CHOOSE(ArtifactsInput!$N$27+1,20,24,28,32,36,40),0)/100)))))/Skills!H6,1)))/Inputs!$B$43),G735*Q735))*IF(Inputs!$B$38="pvp",1,(1+(Inputs!$B$21+Skills!Q6+(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6">
      <c r="A736">
        <f>Skills!A7</f>
        <v/>
      </c>
      <c r="B736">
        <f>Skills!B7</f>
        <v/>
      </c>
      <c r="C736">
        <f>Inputs!$B$3&gt;=107</f>
        <v/>
      </c>
      <c r="D736">
        <f>IF(Skills!C7=1,60+Inputs!$B$25+Inputs!$B$29,IF(Skills!C7=2,90+Inputs!$B$26+Inputs!$B$29,IF(Skills!C7=3,120+Inputs!$B$27+Inputs!$B$29,MAX(0,(Inputs!$B$3-100)*3)+Inputs!$B$28+Inputs!$B$29)))</f>
        <v/>
      </c>
      <c r="E736">
        <f>INDEX(FactorTable!$B$2:$Y$301, MATCH(ROUND(MIN(300,MAX(1,D736)),0), FactorTable!$A$2:$A$301,0), Skills!M7+1)</f>
        <v/>
      </c>
      <c r="F736">
        <f>IF(Skills!N7=TRUE,(Skills!L7/10)*(E736/1000),Skills!L7/10)+Skills!O7</f>
        <v/>
      </c>
      <c r="G736" t="inlineStr"/>
      <c r="H736" t="inlineStr"/>
      <c r="I736" t="inlineStr">
        <is>
          <t>1</t>
        </is>
      </c>
      <c r="J736" t="inlineStr"/>
      <c r="K736" t="inlineStr"/>
      <c r="L736" t="inlineStr"/>
      <c r="M736" t="inlineStr"/>
      <c r="N736" t="inlineStr"/>
      <c r="O736" t="inlineStr"/>
      <c r="P736" t="inlineStr"/>
      <c r="Q736" t="inlineStr"/>
      <c r="R736" t="inlineStr"/>
      <c r="S736" t="inlineStr"/>
      <c r="T736" t="inlineStr"/>
      <c r="V736" t="inlineStr"/>
    </row>
    <row r="737">
      <c r="A737">
        <f>Skills!A8</f>
        <v/>
      </c>
      <c r="B737">
        <f>Skills!B8</f>
        <v/>
      </c>
      <c r="C737">
        <f>Inputs!$B$3&gt;=69</f>
        <v/>
      </c>
      <c r="D737">
        <f>IF(Skills!C8=1,60+Inputs!$B$25+Inputs!$B$29,IF(Skills!C8=2,90+Inputs!$B$26+Inputs!$B$29,IF(Skills!C8=3,120+Inputs!$B$27+Inputs!$B$29,MAX(0,(Inputs!$B$3-100)*3)+Inputs!$B$28+Inputs!$B$29)))</f>
        <v/>
      </c>
      <c r="E737">
        <f>INDEX(FactorTable!$B$2:$Y$301, MATCH(ROUND(MIN(300,MAX(1,D737)),0), FactorTable!$A$2:$A$301,0), Skills!M8+1)</f>
        <v/>
      </c>
      <c r="F737">
        <f>IF(Skills!N8=TRUE,(Skills!L8/10)*(E737/1000),Skills!L8/10)+Skills!O8</f>
        <v/>
      </c>
      <c r="G737">
        <f>Skills!G8*IF(Skills!H8&gt;0,Skills!I8/Skills!H8,1)</f>
        <v/>
      </c>
      <c r="H737">
        <f>1-(1-Skills!J8/100)^Skills!K8</f>
        <v/>
      </c>
      <c r="I737" t="inlineStr">
        <is>
          <t>1</t>
        </is>
      </c>
      <c r="J737">
        <f>((Inputs!$B$6*(1+Inputs!$B$7/100))+(((Inputs!$B$12*(1+Inputs!$B$13/100))-(Inputs!$B$12*(1+Inputs!$B$13/100)))+0.25*(Inputs!$B$14-Inputs!$B$14))*(1+Inputs!$B$7/100))*(F737/100)</f>
        <v/>
      </c>
      <c r="K737">
        <f>J737*(1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740=TRUE,F740,0)/100)*(1+(IF(Skills!A8="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737)</f>
        <v/>
      </c>
      <c r="L737">
        <f>K737*(MIN(Inputs!$B$22+((C754=TRUE)*(F754-Calc!F25)),(Inputs!$B$23+((C759=TRUE)*(F759-Calc!F30))+(IF(ArtifactsInput!$M$15,CHOOSE(ArtifactsInput!$N$15+1,25,30,35,40,45,50)/100*(Inputs!$B$11-Inputs!$B$11),0))))/100+(Inputs!$B$23+((C759=TRUE)*(F759-Calc!F30))+(IF(ArtifactsInput!$M$15,CHOOSE(ArtifactsInput!$N$15+1,25,30,35,40,45,50)/100*(Inputs!$B$11-Inputs!$B$11),0)))/100)/2</f>
        <v/>
      </c>
      <c r="M737">
        <f>L737*(1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7">
        <f>L737*(1-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737*(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7">
        <f>(1-Summary!$B$11)*T737+Summary!$B$11*V737</f>
        <v/>
      </c>
      <c r="P737">
        <f>IF(B773=0,0,O737/B773)</f>
        <v/>
      </c>
      <c r="Q737">
        <f>IFERROR(1/(IF(Inputs!$B$38="pvp",15,MAX(0.1,Skills!D8-IF(Skills!E8=TRUE,Inputs!$B$32,0)))*(1-IF(AND(ArtifactsInput!$M$27,Inputs!$B$4="Chapter Hunt"),CHOOSE(ArtifactsInput!$N$27+1,20,24,28,32,36,40),0)/100)),0)</f>
        <v/>
      </c>
      <c r="R737">
        <f>IF(AND(Inputs!$B$38&lt;&gt;"pvp",Inputs!$B$43&gt;0),IF(MAX(0,Inputs!$B$43-B770)&lt;=0,0,(INT(MAX(0,Inputs!$B$43-B770)/(IF(Inputs!$B$38="pvp",15,MAX(0.1,Skills!D8-IF(Skills!E8=TRUE,Inputs!$B$32,0)))*(1-IF(AND(ArtifactsInput!$M$27,Inputs!$B$4="Chapter Hunt"),CHOOSE(ArtifactsInput!$N$27+1,20,24,28,32,36,40),0)/100)))+1)),0)</f>
        <v/>
      </c>
      <c r="S737">
        <f>IFERROR(O737/N737,0)</f>
        <v/>
      </c>
      <c r="T737">
        <f>IF(C737,(H737*N737*IF(AND(Inputs!$B$38&lt;&gt;"pvp",Inputs!$B$43&gt;0),((Skills!G8*((R737-1)*IF(Skills!H8&gt;0,Skills!I8/Skills!H8,1)+IF(Skills!H8&gt;0,MIN(Skills!I8,MAX(0,MAX(0,Inputs!$B$43-B770)-((R737-1)*(IF(Inputs!$B$38="pvp",15,MAX(0.1,Skills!D8-IF(Skills!E8=TRUE,Inputs!$B$32,0)))*(1-IF(AND(ArtifactsInput!$M$27,Inputs!$B$4="Chapter Hunt"),CHOOSE(ArtifactsInput!$N$27+1,20,24,28,32,36,40),0)/100)))))/Skills!H8,1)))/Inputs!$B$43),G737*Q737)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737*(1-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737*(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737*(1-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737*(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37">
        <f>IF(C737,(H737*N737*IF(AND(Inputs!$B$38&lt;&gt;"pvp",Inputs!$B$43&gt;0),((Skills!G8*((R737-1)*IF(Skills!H8&gt;0,Skills!I8/Skills!H8,1)+IF(Skills!H8&gt;0,MIN(Skills!I8,MAX(0,MAX(0,Inputs!$B$43-B770)-((R737-1)*(IF(Inputs!$B$38="pvp",15,MAX(0.1,Skills!D8-IF(Skills!E8=TRUE,Inputs!$B$32,0)))*(1-IF(AND(ArtifactsInput!$M$27,Inputs!$B$4="Chapter Hunt"),CHOOSE(ArtifactsInput!$N$27+1,20,24,28,32,36,40),0)/100)))))/Skills!H8,1)))/Inputs!$B$43),G737*Q737))*IF(Inputs!$B$38="pvp",1,(1+(Inputs!$B$21+Skills!Q8+(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8">
      <c r="A738">
        <f>Skills!A9</f>
        <v/>
      </c>
      <c r="B738">
        <f>Skills!B9</f>
        <v/>
      </c>
      <c r="C738">
        <f>Inputs!$B$3&gt;=63</f>
        <v/>
      </c>
      <c r="D738">
        <f>IF(Skills!C9=1,60+Inputs!$B$25+Inputs!$B$29,IF(Skills!C9=2,90+Inputs!$B$26+Inputs!$B$29,IF(Skills!C9=3,120+Inputs!$B$27+Inputs!$B$29,MAX(0,(Inputs!$B$3-100)*3)+Inputs!$B$28+Inputs!$B$29)))</f>
        <v/>
      </c>
      <c r="E738">
        <f>INDEX(FactorTable!$B$2:$Y$301, MATCH(ROUND(MIN(300,MAX(1,D738)),0), FactorTable!$A$2:$A$301,0), Skills!M9+1)</f>
        <v/>
      </c>
      <c r="F738">
        <f>IF(Skills!N9=TRUE,(Skills!L9/10)*(E738/1000),Skills!L9/10)+Skills!O9</f>
        <v/>
      </c>
      <c r="G738">
        <f>Skills!G9*IF(Skills!H9&gt;0,Skills!I9/Skills!H9,1)</f>
        <v/>
      </c>
      <c r="H738">
        <f>1-(1-Skills!J9/100)^Skills!K9</f>
        <v/>
      </c>
      <c r="I738" t="inlineStr">
        <is>
          <t>1</t>
        </is>
      </c>
      <c r="J738">
        <f>((Inputs!$B$6*(1+Inputs!$B$7/100))+(((Inputs!$B$12*(1+Inputs!$B$13/100))-(Inputs!$B$12*(1+Inputs!$B$13/100)))+0.25*(Inputs!$B$14-Inputs!$B$14))*(1+Inputs!$B$7/100))*(F738/100)</f>
        <v/>
      </c>
      <c r="K738">
        <f>J738*(1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740=TRUE,F740,0)/100)*(1+(IF(Skills!A9="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738)</f>
        <v/>
      </c>
      <c r="L738">
        <f>K738*(MIN(Inputs!$B$22+((C754=TRUE)*(F754-Calc!F25)),(Inputs!$B$23+((C759=TRUE)*(F759-Calc!F30))+(IF(ArtifactsInput!$M$15,CHOOSE(ArtifactsInput!$N$15+1,25,30,35,40,45,50)/100*(Inputs!$B$11-Inputs!$B$11),0))))/100+(Inputs!$B$23+((C759=TRUE)*(F759-Calc!F30))+(IF(ArtifactsInput!$M$15,CHOOSE(ArtifactsInput!$N$15+1,25,30,35,40,45,50)/100*(Inputs!$B$11-Inputs!$B$11),0)))/100)/2</f>
        <v/>
      </c>
      <c r="M738">
        <f>L738*(1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8">
        <f>L738*(1-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738*(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8">
        <f>(1-Summary!$B$11)*T738+Summary!$B$11*V738</f>
        <v/>
      </c>
      <c r="P738">
        <f>IF(B773=0,0,O738/B773)</f>
        <v/>
      </c>
      <c r="Q738">
        <f>IFERROR(1/(IF(Inputs!$B$38="pvp",15,MAX(0.1,Skills!D9-IF(Skills!E9=TRUE,Inputs!$B$32,0)))*(1-IF(AND(ArtifactsInput!$M$27,Inputs!$B$4="Chapter Hunt"),CHOOSE(ArtifactsInput!$N$27+1,20,24,28,32,36,40),0)/100)),0)</f>
        <v/>
      </c>
      <c r="R738">
        <f>IF(AND(Inputs!$B$38&lt;&gt;"pvp",Inputs!$B$43&gt;0),IF(MAX(0,Inputs!$B$43-B770)&lt;=0,0,(INT(MAX(0,Inputs!$B$43-B770)/(IF(Inputs!$B$38="pvp",15,MAX(0.1,Skills!D9-IF(Skills!E9=TRUE,Inputs!$B$32,0)))*(1-IF(AND(ArtifactsInput!$M$27,Inputs!$B$4="Chapter Hunt"),CHOOSE(ArtifactsInput!$N$27+1,20,24,28,32,36,40),0)/100)))+1)),0)</f>
        <v/>
      </c>
      <c r="S738">
        <f>IFERROR(O738/N738,0)</f>
        <v/>
      </c>
      <c r="T738">
        <f>IF(C738,(H738*N738*IF(AND(Inputs!$B$38&lt;&gt;"pvp",Inputs!$B$43&gt;0),((Skills!G9*((R738-1)*IF(Skills!H9&gt;0,Skills!I9/Skills!H9,1)+IF(Skills!H9&gt;0,MIN(Skills!I9,MAX(0,MAX(0,Inputs!$B$43-B770)-((R738-1)*(IF(Inputs!$B$38="pvp",15,MAX(0.1,Skills!D9-IF(Skills!E9=TRUE,Inputs!$B$32,0)))*(1-IF(AND(ArtifactsInput!$M$27,Inputs!$B$4="Chapter Hunt"),CHOOSE(ArtifactsInput!$N$27+1,20,24,28,32,36,40),0)/100)))))/Skills!H9,1)))/Inputs!$B$43),G738*Q738)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738*(1-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738*(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738*(1-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738*(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38">
        <f>IF(C738,(H738*N738*IF(AND(Inputs!$B$38&lt;&gt;"pvp",Inputs!$B$43&gt;0),((Skills!G9*((R738-1)*IF(Skills!H9&gt;0,Skills!I9/Skills!H9,1)+IF(Skills!H9&gt;0,MIN(Skills!I9,MAX(0,MAX(0,Inputs!$B$43-B770)-((R738-1)*(IF(Inputs!$B$38="pvp",15,MAX(0.1,Skills!D9-IF(Skills!E9=TRUE,Inputs!$B$32,0)))*(1-IF(AND(ArtifactsInput!$M$27,Inputs!$B$4="Chapter Hunt"),CHOOSE(ArtifactsInput!$N$27+1,20,24,28,32,36,40),0)/100)))))/Skills!H9,1)))/Inputs!$B$43),G738*Q738))*IF(Inputs!$B$38="pvp",1,(1+(Inputs!$B$21+Skills!Q9+(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9">
      <c r="A739">
        <f>Skills!A10</f>
        <v/>
      </c>
      <c r="B739">
        <f>Skills!B10</f>
        <v/>
      </c>
      <c r="C739">
        <f>Inputs!$B$3&gt;=103</f>
        <v/>
      </c>
      <c r="D739">
        <f>IF(Skills!C10=1,60+Inputs!$B$25+Inputs!$B$29,IF(Skills!C10=2,90+Inputs!$B$26+Inputs!$B$29,IF(Skills!C10=3,120+Inputs!$B$27+Inputs!$B$29,MAX(0,(Inputs!$B$3-100)*3)+Inputs!$B$28+Inputs!$B$29)))</f>
        <v/>
      </c>
      <c r="E739">
        <f>INDEX(FactorTable!$B$2:$Y$301, MATCH(ROUND(MIN(300,MAX(1,D739)),0), FactorTable!$A$2:$A$301,0), Skills!M10+1)</f>
        <v/>
      </c>
      <c r="F739">
        <f>IF(Skills!N10=TRUE,(Skills!L10/10)*(E739/1000),Skills!L10/10)+Skills!O10</f>
        <v/>
      </c>
      <c r="G739">
        <f>Skills!G10*IF(Skills!H10&gt;0,Skills!I10/Skills!H10,1)</f>
        <v/>
      </c>
      <c r="H739">
        <f>1-(1-Skills!J10/100)^Skills!K10</f>
        <v/>
      </c>
      <c r="I739" t="inlineStr">
        <is>
          <t>1</t>
        </is>
      </c>
      <c r="J739">
        <f>((Inputs!$B$6*(1+Inputs!$B$7/100))+(((Inputs!$B$12*(1+Inputs!$B$13/100))-(Inputs!$B$12*(1+Inputs!$B$13/100)))+0.25*(Inputs!$B$14-Inputs!$B$14))*(1+Inputs!$B$7/100))*(F739/100)</f>
        <v/>
      </c>
      <c r="K739">
        <f>J739*(1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739)</f>
        <v/>
      </c>
      <c r="L739">
        <f>K739*(MIN(Inputs!$B$22+((C754=TRUE)*(F754-Calc!F25)),(Inputs!$B$23+((C759=TRUE)*(F759-Calc!F30))+(IF(ArtifactsInput!$M$15,CHOOSE(ArtifactsInput!$N$15+1,25,30,35,40,45,50)/100*(Inputs!$B$11-Inputs!$B$11),0))))/100+(Inputs!$B$23+((C759=TRUE)*(F759-Calc!F30))+(IF(ArtifactsInput!$M$15,CHOOSE(ArtifactsInput!$N$15+1,25,30,35,40,45,50)/100*(Inputs!$B$11-Inputs!$B$11),0)))/100)/2</f>
        <v/>
      </c>
      <c r="M739">
        <f>L739*(1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9">
        <f>L739*(1-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739*(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9">
        <f>(1-Summary!$B$11)*T739+Summary!$B$11*V739</f>
        <v/>
      </c>
      <c r="P739">
        <f>IF(B773=0,0,O739/B773)</f>
        <v/>
      </c>
      <c r="Q739">
        <f>IFERROR(1/(IF(Inputs!$B$38="pvp",15,MAX(0.1,Skills!D10-IF(Skills!E10=TRUE,Inputs!$B$32,0)))*(1-IF(AND(ArtifactsInput!$M$27,Inputs!$B$4="Chapter Hunt"),CHOOSE(ArtifactsInput!$N$27+1,20,24,28,32,36,40),0)/100)),0)</f>
        <v/>
      </c>
      <c r="R739">
        <f>IF(AND(Inputs!$B$38&lt;&gt;"pvp",Inputs!$B$43&gt;0),IF(MAX(0,Inputs!$B$43-B770)&lt;=0,0,(INT(MAX(0,Inputs!$B$43-B770)/(IF(Inputs!$B$38="pvp",15,MAX(0.1,Skills!D10-IF(Skills!E10=TRUE,Inputs!$B$32,0)))*(1-IF(AND(ArtifactsInput!$M$27,Inputs!$B$4="Chapter Hunt"),CHOOSE(ArtifactsInput!$N$27+1,20,24,28,32,36,40),0)/100)))+1)),0)</f>
        <v/>
      </c>
      <c r="S739">
        <f>IFERROR(O739/N739,0)</f>
        <v/>
      </c>
      <c r="T739">
        <f>IF(C739,(H739*N739*IF(AND(Inputs!$B$38&lt;&gt;"pvp",Inputs!$B$43&gt;0),((Skills!G10*((R739-1)*IF(Skills!H10&gt;0,Skills!I10/Skills!H10,1)+IF(Skills!H10&gt;0,MIN(Skills!I10,MAX(0,MAX(0,Inputs!$B$43-B770)-((R739-1)*(IF(Inputs!$B$38="pvp",15,MAX(0.1,Skills!D10-IF(Skills!E10=TRUE,Inputs!$B$32,0)))*(1-IF(AND(ArtifactsInput!$M$27,Inputs!$B$4="Chapter Hunt"),CHOOSE(ArtifactsInput!$N$27+1,20,24,28,32,36,40),0)/100)))))/Skills!H10,1)))/Inputs!$B$43),G739*Q739)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739*(1-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739*(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739*(1-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739*(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39">
        <f>IF(C739,(H739*N739*IF(AND(Inputs!$B$38&lt;&gt;"pvp",Inputs!$B$43&gt;0),((Skills!G10*((R739-1)*IF(Skills!H10&gt;0,Skills!I10/Skills!H10,1)+IF(Skills!H10&gt;0,MIN(Skills!I10,MAX(0,MAX(0,Inputs!$B$43-B770)-((R739-1)*(IF(Inputs!$B$38="pvp",15,MAX(0.1,Skills!D10-IF(Skills!E10=TRUE,Inputs!$B$32,0)))*(1-IF(AND(ArtifactsInput!$M$27,Inputs!$B$4="Chapter Hunt"),CHOOSE(ArtifactsInput!$N$27+1,20,24,28,32,36,40),0)/100)))))/Skills!H10,1)))/Inputs!$B$43),G739*Q739))*IF(Inputs!$B$38="pvp",1,(1+(Inputs!$B$21+Skills!Q10+(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0">
      <c r="A740">
        <f>Skills!A11</f>
        <v/>
      </c>
      <c r="B740">
        <f>Skills!B11</f>
        <v/>
      </c>
      <c r="C740">
        <f>Inputs!$B$3&gt;=100</f>
        <v/>
      </c>
      <c r="D740">
        <f>IF(Skills!C11=1,60+Inputs!$B$25+Inputs!$B$29,IF(Skills!C11=2,90+Inputs!$B$26+Inputs!$B$29,IF(Skills!C11=3,120+Inputs!$B$27+Inputs!$B$29,MAX(0,(Inputs!$B$3-100)*3)+Inputs!$B$28+Inputs!$B$29)))</f>
        <v/>
      </c>
      <c r="E740">
        <f>INDEX(FactorTable!$B$2:$Y$301, MATCH(ROUND(MIN(300,MAX(1,D740)),0), FactorTable!$A$2:$A$301,0), Skills!M11+1)</f>
        <v/>
      </c>
      <c r="F740">
        <f>IF(Skills!N11=TRUE,(Skills!L11/10)*(E740/1000),Skills!L11/10)+Skills!O11</f>
        <v/>
      </c>
      <c r="G740" t="inlineStr"/>
      <c r="H740" t="inlineStr"/>
      <c r="I740" t="inlineStr">
        <is>
          <t>1</t>
        </is>
      </c>
      <c r="J740" t="inlineStr"/>
      <c r="K740" t="inlineStr"/>
      <c r="L740" t="inlineStr"/>
      <c r="M740" t="inlineStr"/>
      <c r="N740" t="inlineStr"/>
      <c r="O740" t="inlineStr"/>
      <c r="P740" t="inlineStr"/>
      <c r="Q740" t="inlineStr"/>
      <c r="R740" t="inlineStr"/>
      <c r="S740" t="inlineStr"/>
      <c r="T740" t="inlineStr"/>
      <c r="V740" t="inlineStr"/>
    </row>
    <row r="741">
      <c r="A741">
        <f>Skills!A12</f>
        <v/>
      </c>
      <c r="B741">
        <f>Skills!B12</f>
        <v/>
      </c>
      <c r="C741">
        <f>Inputs!$B$3&gt;=60</f>
        <v/>
      </c>
      <c r="D741">
        <f>IF(Skills!C12=1,60+Inputs!$B$25+Inputs!$B$29,IF(Skills!C12=2,90+Inputs!$B$26+Inputs!$B$29,IF(Skills!C12=3,120+Inputs!$B$27+Inputs!$B$29,MAX(0,(Inputs!$B$3-100)*3)+Inputs!$B$28+Inputs!$B$29)))</f>
        <v/>
      </c>
      <c r="E741">
        <f>INDEX(FactorTable!$B$2:$Y$301, MATCH(ROUND(MIN(300,MAX(1,D741)),0), FactorTable!$A$2:$A$301,0), Skills!M12+1)</f>
        <v/>
      </c>
      <c r="F741">
        <f>IF(Skills!N12=TRUE,(Skills!L12/10)*(E741/1000),Skills!L12/10)+Skills!O12</f>
        <v/>
      </c>
      <c r="G741">
        <f>Skills!G12*IF(Skills!H12&gt;0,Skills!I12/Skills!H12,1)</f>
        <v/>
      </c>
      <c r="H741">
        <f>1-(1-Skills!J12/100)^Skills!K12</f>
        <v/>
      </c>
      <c r="I741" t="inlineStr">
        <is>
          <t>1</t>
        </is>
      </c>
      <c r="J741">
        <f>((Inputs!$B$6*(1+Inputs!$B$7/100))+(((Inputs!$B$12*(1+Inputs!$B$13/100))-(Inputs!$B$12*(1+Inputs!$B$13/100)))+0.25*(Inputs!$B$14-Inputs!$B$14))*(1+Inputs!$B$7/100))*(F741/100)</f>
        <v/>
      </c>
      <c r="K741">
        <f>J741*(1+((Inputs!$B$12*(1+Inputs!$B$13/100))*0.01+Inputs!$B$14*0.0025)/100)*(1+Inputs!$B$15/100)*(1+Inputs!$B$16/100)*(5000/(6000+Inputs!$B$42*(1-(100*(1-(1-(Inputs!$B$19+((C757=TRUE)*(F757-Calc!F28)))/100)*(1-CHOOSE(ArtifactsInput!$N$40+1,5,6,7,8,9,10)/100)^(ArtifactsInput!$M$40-ArtifactsInput!$M$40)))/100)))*(1+(Inputs!$B$24+((C755=TRUE)*(F755-Calc!F26))+((C756=TRUE)*(F756-Calc!F27))+B769)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742=TRUE,F742,0)/100)*(1+(IF(Skills!A12="ARROW_STREAM",(Inputs!$B$17+1)+((C753=TRUE)*(F753-Calc!F24))+(((IF(AND(ArtifactsInput!$M$42,((Inputs!$B$9+((C750=TRUE)*(F750-Calc!F21))+B763+(ArtifactsInput!$M$24-ArtifactsInput!$M$24)*CHOOSE(ArtifactsInput!$N$24+1,10,12,14,16,18,20)+IF(ArtifactsInput!$M$10,CHOOSE(ArtifactsInput!$N$10+1,15,18,21,24,27,30)*(IF(Inputs!$B$38="pvp",MIN(15,15)/15,IF(AND(Inputs!$B$38&lt;&gt;"pvp",Inputs!$B$43&gt;0),MIN(15,Inputs!$B$43)/(Inputs!$B$43),0))),0)))&gt;=100),MIN(100,((Inputs!$B$9+((C750=TRUE)*(F750-Calc!F21))+B763+(ArtifactsInput!$M$24-ArtifactsInput!$M$24)*CHOOSE(ArtifactsInput!$N$24+1,10,12,14,16,18,20)+IF(ArtifactsInput!$M$10,CHOOSE(ArtifactsInput!$N$10+1,15,18,21,24,27,30)*(IF(Inputs!$B$38="pvp",MIN(15,15)/15,IF(AND(Inputs!$B$38&lt;&gt;"pvp",Inputs!$B$43&gt;0),MIN(15,Inputs!$B$43)/(Inputs!$B$43),0))),0)))-100),0))*CHOOSE(ArtifactsInput!$N$42+1,0.6,0.72,0.84,0.96,1.08,1.2))),Inputs!$B$18+((C758=TRUE)*(F758-Calc!F29))+(IF(AND(ArtifactsInput!$M$42,((Inputs!$B$9+((C750=TRUE)*(F750-Calc!F21))+B763+(ArtifactsInput!$M$24-ArtifactsInput!$M$24)*CHOOSE(ArtifactsInput!$N$24+1,10,12,14,16,18,20)+IF(ArtifactsInput!$M$10,CHOOSE(ArtifactsInput!$N$10+1,15,18,21,24,27,30)*(IF(Inputs!$B$38="pvp",MIN(15,15)/15,IF(AND(Inputs!$B$38&lt;&gt;"pvp",Inputs!$B$43&gt;0),MIN(15,Inputs!$B$43)/(Inputs!$B$43),0))),0)))&gt;=100),CHOOSE(ArtifactsInput!$N$42+1,40,48,56,64,72,80),0))))/100)*((1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741)</f>
        <v/>
      </c>
      <c r="L741">
        <f>K741*(MIN(Inputs!$B$22+((C754=TRUE)*(F754-Calc!F25)),(Inputs!$B$23+((C759=TRUE)*(F759-Calc!F30))+(IF(ArtifactsInput!$M$15,CHOOSE(ArtifactsInput!$N$15+1,25,30,35,40,45,50)/100*(Inputs!$B$11-Inputs!$B$11),0))))/100+(Inputs!$B$23+((C759=TRUE)*(F759-Calc!F30))+(IF(ArtifactsInput!$M$15,CHOOSE(ArtifactsInput!$N$15+1,25,30,35,40,45,50)/100*(Inputs!$B$11-Inputs!$B$11),0)))/100)/2</f>
        <v/>
      </c>
      <c r="M741">
        <f>L741*(1+(Inputs!$B$10+0+B768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1">
        <f>L741*(1-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741*(MIN((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1">
        <f>(1-Summary!$B$11)*T741+Summary!$B$11*V741</f>
        <v/>
      </c>
      <c r="P741">
        <f>IF(B773=0,0,O741/B773)</f>
        <v/>
      </c>
      <c r="Q741">
        <f>IFERROR(1/(IF(Inputs!$B$38="pvp",15,MAX(0.1,Skills!D12-IF(Skills!E12=TRUE,Inputs!$B$32,0)))*(1-IF(AND(ArtifactsInput!$M$27,Inputs!$B$4="Chapter Hunt"),CHOOSE(ArtifactsInput!$N$27+1,20,24,28,32,36,40),0)/100)),0)</f>
        <v/>
      </c>
      <c r="R741">
        <f>IF(AND(Inputs!$B$38&lt;&gt;"pvp",Inputs!$B$43&gt;0),IF(MAX(0,Inputs!$B$43-B770)&lt;=0,0,(INT(MAX(0,Inputs!$B$43-B770)/(IF(Inputs!$B$38="pvp",15,MAX(0.1,Skills!D12-IF(Skills!E12=TRUE,Inputs!$B$32,0)))*(1-IF(AND(ArtifactsInput!$M$27,Inputs!$B$4="Chapter Hunt"),CHOOSE(ArtifactsInput!$N$27+1,20,24,28,32,36,40),0)/100)))+1)),0)</f>
        <v/>
      </c>
      <c r="S741">
        <f>IFERROR(O741/N741,0)</f>
        <v/>
      </c>
      <c r="T741">
        <f>IF(C741,(H741*N741*IF(AND(Inputs!$B$38&lt;&gt;"pvp",Inputs!$B$43&gt;0),((Skills!G12*((R741-1)*IF(Skills!H12&gt;0,Skills!I12/Skills!H12,1)+IF(Skills!H12&gt;0,MIN(Skills!I12,MAX(0,MAX(0,Inputs!$B$43-B770)-((R741-1)*(IF(Inputs!$B$38="pvp",15,MAX(0.1,Skills!D12-IF(Skills!E12=TRUE,Inputs!$B$32,0)))*(1-IF(AND(ArtifactsInput!$M$27,Inputs!$B$4="Chapter Hunt"),CHOOSE(ArtifactsInput!$N$27+1,20,24,28,32,36,40),0)/100)))))/Skills!H12,1)))/Inputs!$B$43),G741*Q741)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(5000/(6000+Inputs!$B$42*(1-(100*(1-(1-(100*(1-(1-(Inputs!$B$19+((C757=TRUE)*(F757-Calc!F28)))/100)*(1-CHOOSE(ArtifactsInput!$N$40+1,5,6,7,8,9,10)/100)^(ArtifactsInput!$M$40-ArtifactsInput!$M$40)))/100)*(1-IF(ArtifactsInput!$M$40,CHOOSE(ArtifactsInput!$N$40+1,5,6,7,8,9,10),0)/100)^IF(Inputs!$B$38="pvp",1,2)))/100)))/(5000/(6000+Inputs!$B$42*(1-(100*(1-(1-(Inputs!$B$19+((C757=TRUE)*(F757-Calc!F28)))/100)*(1-CHOOSE(ArtifactsInput!$N$40+1,5,6,7,8,9,10)/100)^(ArtifactsInput!$M$40-ArtifactsInput!$M$40)))/100))))*((L741*(1-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741*(1-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741*(MIN(100,(Inputs!$B$9+((C750=TRUE)*(F750-Calc!F21))+B763+(ArtifactsInput!$M$24-ArtifactsInput!$M$24)*CHOOSE(ArtifactsInput!$N$24+1,10,12,14,16,18,20)+(IF(AND(ArtifactsInput!$M$42,((Inputs!$B$9+((C750=TRUE)*(F750-Calc!F21))+B763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41">
        <f>IF(C741,(H741*N741*IF(AND(Inputs!$B$38&lt;&gt;"pvp",Inputs!$B$43&gt;0),((Skills!G12*((R741-1)*IF(Skills!H12&gt;0,Skills!I12/Skills!H12,1)+IF(Skills!H12&gt;0,MIN(Skills!I12,MAX(0,MAX(0,Inputs!$B$43-B770)-((R741-1)*(IF(Inputs!$B$38="pvp",15,MAX(0.1,Skills!D12-IF(Skills!E12=TRUE,Inputs!$B$32,0)))*(1-IF(AND(ArtifactsInput!$M$27,Inputs!$B$4="Chapter Hunt"),CHOOSE(ArtifactsInput!$N$27+1,20,24,28,32,36,40),0)/100)))))/Skills!H12,1)))/Inputs!$B$43),G741*Q741))*IF(Inputs!$B$38="pvp",1,(1+(Inputs!$B$21+Skills!Q12+(IF(ArtifactsInput!$M$33,CHOOSE(ArtifactsInput!$N$33+1,30,36,42,48,54,60),0))+(IF(AND(ArtifactsInput!$M$35,Inputs!$B$4&lt;&gt;"Chapter Hunt"),CHOOSE(ArtifactsInput!$N$35+1,15,18,21,24,27,30)*(1-EXP(-(0.2*B765)*5)),0)+IF(AND(ArtifactsInput!$M$22,Inputs!$B$4&lt;&gt;"Chapter Hunt"),CHOOSE(ArtifactsInput!$N$22+1,10,12,14,16,18,20)*((0*(((0.15*B765*5))^0/1)+1*(((0.15*B765*5))^1/1)+2*(((0.15*B765*5))^2/2)+3*(((0.15*B765*5))^3/6)+4*(((0.15*B765*5))^4/24)+5*(((0.15*B765*5))^5/120))/((((0.15*B765*5))^0/1)+(((0.15*B765*5))^1/1)+(((0.15*B765*5))^2/2)+(((0.15*B765*5))^3/6)+(((0.15*B765*5))^4/24)+(((0.15*B765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2">
      <c r="A742">
        <f>Skills!A13</f>
        <v/>
      </c>
      <c r="B742">
        <f>Skills!B13</f>
        <v/>
      </c>
      <c r="C742">
        <f>Inputs!$B$3&gt;=110</f>
        <v/>
      </c>
      <c r="D742">
        <f>IF(Skills!C13=1,60+Inputs!$B$25+Inputs!$B$29,IF(Skills!C13=2,90+Inputs!$B$26+Inputs!$B$29,IF(Skills!C13=3,120+Inputs!$B$27+Inputs!$B$29,MAX(0,(Inputs!$B$3-100)*3)+Inputs!$B$28+Inputs!$B$29)))</f>
        <v/>
      </c>
      <c r="E742">
        <f>INDEX(FactorTable!$B$2:$Y$301, MATCH(ROUND(MIN(300,MAX(1,D742)),0), FactorTable!$A$2:$A$301,0), Skills!M13+1)</f>
        <v/>
      </c>
      <c r="F742">
        <f>IF(Skills!N13=TRUE,(Skills!L13/10)*(E742/1000),Skills!L13/10)+Skills!O13</f>
        <v/>
      </c>
      <c r="G742" t="inlineStr"/>
      <c r="H742" t="inlineStr"/>
      <c r="I742" t="inlineStr">
        <is>
          <t>1</t>
        </is>
      </c>
      <c r="J742" t="inlineStr"/>
      <c r="K742" t="inlineStr"/>
      <c r="L742" t="inlineStr"/>
      <c r="M742" t="inlineStr"/>
      <c r="N742" t="inlineStr"/>
      <c r="O742" t="inlineStr"/>
      <c r="P742" t="inlineStr"/>
      <c r="Q742" t="inlineStr"/>
      <c r="R742" t="inlineStr"/>
      <c r="S742" t="inlineStr"/>
      <c r="T742" t="inlineStr"/>
      <c r="V742" t="inlineStr"/>
    </row>
    <row r="743">
      <c r="A743">
        <f>Skills!A14</f>
        <v/>
      </c>
      <c r="B743">
        <f>Skills!B14</f>
        <v/>
      </c>
      <c r="C743">
        <f>Inputs!$B$3&gt;=74</f>
        <v/>
      </c>
      <c r="D743">
        <f>IF(Skills!C14=1,60+Inputs!$B$25+Inputs!$B$29,IF(Skills!C14=2,90+Inputs!$B$26+Inputs!$B$29,IF(Skills!C14=3,120+Inputs!$B$27+Inputs!$B$29,MAX(0,(Inputs!$B$3-100)*3)+Inputs!$B$28+Inputs!$B$29)))</f>
        <v/>
      </c>
      <c r="E743">
        <f>INDEX(FactorTable!$B$2:$Y$301, MATCH(ROUND(MIN(300,MAX(1,D743)),0), FactorTable!$A$2:$A$301,0), Skills!M14+1)</f>
        <v/>
      </c>
      <c r="F743">
        <f>IF(Skills!N14=TRUE,(Skills!L14/10)*(E743/1000),Skills!L14/10)+Skills!O14</f>
        <v/>
      </c>
      <c r="G743">
        <f>Skills!G14*IF(Skills!H14&gt;0,Skills!I14/Skills!H14,1)</f>
        <v/>
      </c>
      <c r="H743">
        <f>1-(1-Skills!J14/100)^Skills!K14</f>
        <v/>
      </c>
      <c r="I743" t="inlineStr">
        <is>
          <t>1</t>
        </is>
      </c>
      <c r="J743" t="inlineStr"/>
      <c r="K743" t="inlineStr"/>
      <c r="L743" t="inlineStr"/>
      <c r="M743" t="inlineStr"/>
      <c r="N743" t="inlineStr"/>
      <c r="O743">
        <f>(1-Summary!$B$11)*T743+Summary!$B$11*V743</f>
        <v/>
      </c>
      <c r="P743">
        <f>IF(B773=0,0,O743/B773)</f>
        <v/>
      </c>
      <c r="Q743" t="n">
        <v>0</v>
      </c>
      <c r="R743" t="n">
        <v>0</v>
      </c>
      <c r="S743">
        <f>IFERROR(O743/N743,0)</f>
        <v/>
      </c>
      <c r="T743" t="n">
        <v>0</v>
      </c>
      <c r="V743" t="n">
        <v>0</v>
      </c>
    </row>
    <row r="744">
      <c r="A744">
        <f>Skills!A15</f>
        <v/>
      </c>
      <c r="B744">
        <f>Skills!B15</f>
        <v/>
      </c>
      <c r="C744">
        <f>Inputs!$B$3&gt;=74</f>
        <v/>
      </c>
      <c r="D744">
        <f>IF(Skills!C15=1,60+Inputs!$B$25+Inputs!$B$29,IF(Skills!C15=2,90+Inputs!$B$26+Inputs!$B$29,IF(Skills!C15=3,120+Inputs!$B$27+Inputs!$B$29,MAX(0,(Inputs!$B$3-100)*3)+Inputs!$B$28+Inputs!$B$29)))</f>
        <v/>
      </c>
      <c r="E744">
        <f>INDEX(FactorTable!$B$2:$Y$301, MATCH(ROUND(MIN(300,MAX(1,D744)),0), FactorTable!$A$2:$A$301,0), Skills!M15+1)</f>
        <v/>
      </c>
      <c r="F744">
        <f>IF(Skills!N15=TRUE,(Skills!L15/10)*(E744/1000),Skills!L15/10)+Skills!O15</f>
        <v/>
      </c>
      <c r="G744">
        <f>Skills!G15*IF(Skills!H15&gt;0,Skills!I15/Skills!H15,1)</f>
        <v/>
      </c>
      <c r="H744">
        <f>1-(1-Skills!J15/100)^Skills!K15</f>
        <v/>
      </c>
      <c r="I744" t="inlineStr">
        <is>
          <t>1</t>
        </is>
      </c>
      <c r="J744" t="inlineStr"/>
      <c r="K744" t="inlineStr"/>
      <c r="L744" t="inlineStr"/>
      <c r="M744" t="inlineStr"/>
      <c r="N744" t="inlineStr"/>
      <c r="O744">
        <f>(1-Summary!$B$11)*T744+Summary!$B$11*V744</f>
        <v/>
      </c>
      <c r="P744">
        <f>IF(B773=0,0,O744/B773)</f>
        <v/>
      </c>
      <c r="Q744" t="n">
        <v>0</v>
      </c>
      <c r="R744" t="n">
        <v>0</v>
      </c>
      <c r="S744">
        <f>IFERROR(O744/N744,0)</f>
        <v/>
      </c>
      <c r="T744" t="n">
        <v>0</v>
      </c>
      <c r="V744" t="n">
        <v>0</v>
      </c>
    </row>
    <row r="745">
      <c r="A745">
        <f>Skills!A16</f>
        <v/>
      </c>
      <c r="B745">
        <f>Skills!B16</f>
        <v/>
      </c>
      <c r="C745">
        <f>Inputs!$B$3&gt;=117</f>
        <v/>
      </c>
      <c r="D745">
        <f>IF(Skills!C16=1,60+Inputs!$B$25+Inputs!$B$29,IF(Skills!C16=2,90+Inputs!$B$26+Inputs!$B$29,IF(Skills!C16=3,120+Inputs!$B$27+Inputs!$B$29,MAX(0,(Inputs!$B$3-100)*3)+Inputs!$B$28+Inputs!$B$29)))</f>
        <v/>
      </c>
      <c r="E745">
        <f>INDEX(FactorTable!$B$2:$Y$301, MATCH(ROUND(MIN(300,MAX(1,D745)),0), FactorTable!$A$2:$A$301,0), Skills!M16+1)</f>
        <v/>
      </c>
      <c r="F745">
        <f>IF(Skills!N16=TRUE,(Skills!L16/10)*(E745/1000),Skills!L16/10)+Skills!O16</f>
        <v/>
      </c>
      <c r="G745">
        <f>Skills!G16*IF(Skills!H16&gt;0,Skills!I16/Skills!H16,1)</f>
        <v/>
      </c>
      <c r="H745">
        <f>1-(1-Skills!J16/100)^Skills!K16</f>
        <v/>
      </c>
      <c r="I745" t="inlineStr">
        <is>
          <t>1</t>
        </is>
      </c>
      <c r="J745" t="inlineStr"/>
      <c r="K745" t="inlineStr"/>
      <c r="L745" t="inlineStr"/>
      <c r="M745" t="inlineStr"/>
      <c r="N745" t="inlineStr"/>
      <c r="O745">
        <f>(1-Summary!$B$11)*T745+Summary!$B$11*V745</f>
        <v/>
      </c>
      <c r="P745">
        <f>IF(B773=0,0,O745/B773)</f>
        <v/>
      </c>
      <c r="Q745">
        <f>IFERROR(1/(IF(Inputs!$B$38="pvp",15,MAX(0.1,Skills!D16-IF(Skills!E16=TRUE,Inputs!$B$32,0)))*(1-IF(AND(ArtifactsInput!$M$27,Inputs!$B$4="Chapter Hunt"),CHOOSE(ArtifactsInput!$N$27+1,20,24,28,32,36,40),0)/100)),0)</f>
        <v/>
      </c>
      <c r="R745">
        <f>IF(AND(Inputs!$B$38&lt;&gt;"pvp",Inputs!$B$43&gt;0),IF(Inputs!$B$43&lt;=0,0,(INT(Inputs!$B$43/(IF(Inputs!$B$38="pvp",15,MAX(0.1,Skills!D16-IF(Skills!E16=TRUE,Inputs!$B$32,0)))*(1-IF(AND(ArtifactsInput!$M$27,Inputs!$B$4="Chapter Hunt"),CHOOSE(ArtifactsInput!$N$27+1,20,24,28,32,36,40),0)/100)))+1)),0)</f>
        <v/>
      </c>
      <c r="S745">
        <f>IFERROR(O745/N745,0)</f>
        <v/>
      </c>
      <c r="T745" t="n">
        <v>0</v>
      </c>
      <c r="V745" t="n">
        <v>0</v>
      </c>
    </row>
    <row r="746">
      <c r="A746">
        <f>Skills!A17</f>
        <v/>
      </c>
      <c r="B746">
        <f>Skills!B17</f>
        <v/>
      </c>
      <c r="C746">
        <f>Inputs!$B$3&gt;=115</f>
        <v/>
      </c>
      <c r="D746">
        <f>IF(Skills!C17=1,60+Inputs!$B$25+Inputs!$B$29,IF(Skills!C17=2,90+Inputs!$B$26+Inputs!$B$29,IF(Skills!C17=3,120+Inputs!$B$27+Inputs!$B$29,MAX(0,(Inputs!$B$3-100)*3)+Inputs!$B$28+Inputs!$B$29)))</f>
        <v/>
      </c>
      <c r="E746">
        <f>INDEX(FactorTable!$B$2:$Y$301, MATCH(ROUND(MIN(300,MAX(1,D746)),0), FactorTable!$A$2:$A$301,0), Skills!M17+1)</f>
        <v/>
      </c>
      <c r="F746">
        <f>IF(Skills!N17=TRUE,(Skills!L17/10)*(E746/1000),Skills!L17/10)+Skills!O17</f>
        <v/>
      </c>
      <c r="G746">
        <f>Skills!G17*IF(Skills!H17&gt;0,Skills!I17/Skills!H17,1)</f>
        <v/>
      </c>
      <c r="H746">
        <f>1-(1-Skills!J17/100)^Skills!K17</f>
        <v/>
      </c>
      <c r="I746" t="inlineStr">
        <is>
          <t>1</t>
        </is>
      </c>
      <c r="J746" t="inlineStr"/>
      <c r="K746" t="inlineStr"/>
      <c r="L746" t="inlineStr"/>
      <c r="M746" t="inlineStr"/>
      <c r="N746" t="inlineStr"/>
      <c r="O746">
        <f>(1-Summary!$B$11)*T746+Summary!$B$11*V746</f>
        <v/>
      </c>
      <c r="P746">
        <f>IF(B773=0,0,O746/B773)</f>
        <v/>
      </c>
      <c r="Q746">
        <f>IFERROR(1/(IF(Inputs!$B$38="pvp",15,MAX(0.1,Skills!D17-IF(Skills!E17=TRUE,Inputs!$B$32,0)))*(1-IF(AND(ArtifactsInput!$M$27,Inputs!$B$4="Chapter Hunt"),CHOOSE(ArtifactsInput!$N$27+1,20,24,28,32,36,40),0)/100)),0)</f>
        <v/>
      </c>
      <c r="R746">
        <f>IF(AND(Inputs!$B$38&lt;&gt;"pvp",Inputs!$B$43&gt;0),IF(Inputs!$B$43&lt;=0,0,(INT(Inputs!$B$43/(IF(Inputs!$B$38="pvp",15,MAX(0.1,Skills!D17-IF(Skills!E17=TRUE,Inputs!$B$32,0)))*(1-IF(AND(ArtifactsInput!$M$27,Inputs!$B$4="Chapter Hunt"),CHOOSE(ArtifactsInput!$N$27+1,20,24,28,32,36,40),0)/100)))+1)),0)</f>
        <v/>
      </c>
      <c r="S746">
        <f>IFERROR(O746/N746,0)</f>
        <v/>
      </c>
      <c r="T746" t="n">
        <v>0</v>
      </c>
      <c r="V746" t="n">
        <v>0</v>
      </c>
    </row>
    <row r="747">
      <c r="A747">
        <f>Skills!A18</f>
        <v/>
      </c>
      <c r="B747">
        <f>Skills!B18</f>
        <v/>
      </c>
      <c r="C747">
        <f>Inputs!$B$3&gt;=66</f>
        <v/>
      </c>
      <c r="D747">
        <f>IF(Skills!C18=1,60+Inputs!$B$25+Inputs!$B$29,IF(Skills!C18=2,90+Inputs!$B$26+Inputs!$B$29,IF(Skills!C18=3,120+Inputs!$B$27+Inputs!$B$29,MAX(0,(Inputs!$B$3-100)*3)+Inputs!$B$28+Inputs!$B$29)))</f>
        <v/>
      </c>
      <c r="E747">
        <f>INDEX(FactorTable!$B$2:$Y$301, MATCH(ROUND(MIN(300,MAX(1,D747)),0), FactorTable!$A$2:$A$301,0), Skills!M18+1)</f>
        <v/>
      </c>
      <c r="F747">
        <f>IF(Skills!N18=TRUE,(Skills!L18/10)*(E747/1000),Skills!L18/10)+Skills!O18</f>
        <v/>
      </c>
      <c r="G747">
        <f>Skills!G18*IF(Skills!H18&gt;0,Skills!I18/Skills!H18,1)</f>
        <v/>
      </c>
      <c r="H747">
        <f>1-(1-Skills!J18/100)^Skills!K18</f>
        <v/>
      </c>
      <c r="I747" t="inlineStr">
        <is>
          <t>1</t>
        </is>
      </c>
      <c r="J747" t="inlineStr"/>
      <c r="K747" t="inlineStr"/>
      <c r="L747" t="inlineStr"/>
      <c r="M747" t="inlineStr"/>
      <c r="N747" t="inlineStr"/>
      <c r="O747">
        <f>(1-Summary!$B$11)*T747+Summary!$B$11*V747</f>
        <v/>
      </c>
      <c r="P747">
        <f>IF(B773=0,0,O747/B773)</f>
        <v/>
      </c>
      <c r="Q747" t="n">
        <v>0</v>
      </c>
      <c r="R747" t="n">
        <v>0</v>
      </c>
      <c r="S747">
        <f>IFERROR(O747/N747,0)</f>
        <v/>
      </c>
      <c r="T747" t="n">
        <v>0</v>
      </c>
      <c r="V747" t="n">
        <v>0</v>
      </c>
    </row>
    <row r="748">
      <c r="A748">
        <f>Skills!A19</f>
        <v/>
      </c>
      <c r="B748">
        <f>Skills!B19</f>
        <v/>
      </c>
      <c r="C748">
        <f>Inputs!$B$3&gt;=72</f>
        <v/>
      </c>
      <c r="D748">
        <f>IF(Skills!C19=1,60+Inputs!$B$25+Inputs!$B$29,IF(Skills!C19=2,90+Inputs!$B$26+Inputs!$B$29,IF(Skills!C19=3,120+Inputs!$B$27+Inputs!$B$29,MAX(0,(Inputs!$B$3-100)*3)+Inputs!$B$28+Inputs!$B$29)))</f>
        <v/>
      </c>
      <c r="E748">
        <f>INDEX(FactorTable!$B$2:$Y$301, MATCH(ROUND(MIN(300,MAX(1,D748)),0), FactorTable!$A$2:$A$301,0), Skills!M19+1)</f>
        <v/>
      </c>
      <c r="F748">
        <f>IF(Skills!N19=TRUE,(Skills!L19/10)*(E748/1000),Skills!L19/10)+Skills!O19</f>
        <v/>
      </c>
      <c r="G748">
        <f>Skills!G19*IF(Skills!H19&gt;0,Skills!I19/Skills!H19,1)</f>
        <v/>
      </c>
      <c r="H748">
        <f>1-(1-Skills!J19/100)^Skills!K19</f>
        <v/>
      </c>
      <c r="I748" t="inlineStr">
        <is>
          <t>1</t>
        </is>
      </c>
      <c r="J748" t="inlineStr"/>
      <c r="K748" t="inlineStr"/>
      <c r="L748" t="inlineStr"/>
      <c r="M748" t="inlineStr"/>
      <c r="N748" t="inlineStr"/>
      <c r="O748">
        <f>(1-Summary!$B$11)*T748+Summary!$B$11*V748</f>
        <v/>
      </c>
      <c r="P748">
        <f>IF(B773=0,0,O748/B773)</f>
        <v/>
      </c>
      <c r="Q748" t="n">
        <v>0</v>
      </c>
      <c r="R748" t="n">
        <v>0</v>
      </c>
      <c r="S748">
        <f>IFERROR(O748/N748,0)</f>
        <v/>
      </c>
      <c r="T748" t="n">
        <v>0</v>
      </c>
      <c r="V748" t="n">
        <v>0</v>
      </c>
    </row>
    <row r="749">
      <c r="A749">
        <f>Skills!A20</f>
        <v/>
      </c>
      <c r="B749">
        <f>Skills!B20</f>
        <v/>
      </c>
      <c r="C749">
        <f>TRUE</f>
        <v/>
      </c>
      <c r="D749">
        <f>IF(Skills!C20=1,60+Inputs!$B$25+Inputs!$B$29,IF(Skills!C20=2,90+Inputs!$B$26+Inputs!$B$29,IF(Skills!C20=3,120+Inputs!$B$27+Inputs!$B$29,MAX(0,(Inputs!$B$3-100)*3)+Inputs!$B$28+Inputs!$B$29)))</f>
        <v/>
      </c>
      <c r="E749">
        <f>INDEX(FactorTable!$B$2:$Y$301, MATCH(ROUND(MIN(300,MAX(1,D749)),0), FactorTable!$A$2:$A$301,0), Skills!M20+1)</f>
        <v/>
      </c>
      <c r="F749">
        <f>IF(Skills!N20=TRUE,(Skills!L20/10)*(E749/1000),Skills!L20/10)+Skills!O20</f>
        <v/>
      </c>
      <c r="G749">
        <f>Skills!G20*IF(Skills!H20&gt;0,Skills!I20/Skills!H20,1)</f>
        <v/>
      </c>
      <c r="H749">
        <f>1-(1-Skills!J20/100)^Skills!K20</f>
        <v/>
      </c>
      <c r="I749" t="inlineStr">
        <is>
          <t>1</t>
        </is>
      </c>
      <c r="J749" t="inlineStr"/>
      <c r="K749" t="inlineStr"/>
      <c r="L749" t="inlineStr"/>
      <c r="M749" t="inlineStr"/>
      <c r="N749" t="inlineStr"/>
      <c r="O749">
        <f>(1-Summary!$B$11)*T749+Summary!$B$11*V749</f>
        <v/>
      </c>
      <c r="P749">
        <f>IF(B773=0,0,O749/B773)</f>
        <v/>
      </c>
      <c r="Q749">
        <f>IFERROR(1/(IF(Inputs!$B$38="pvp",15,MAX(0.1,Skills!D20-IF(Skills!E20=TRUE,Inputs!$B$32,0)))*(1-IF(AND(ArtifactsInput!$M$27,Inputs!$B$4="Chapter Hunt"),CHOOSE(ArtifactsInput!$N$27+1,20,24,28,32,36,40),0)/100)),0)</f>
        <v/>
      </c>
      <c r="R749">
        <f>IF(AND(Inputs!$B$38&lt;&gt;"pvp",Inputs!$B$43&gt;0),IF(Inputs!$B$43&lt;=0,0,(INT(Inputs!$B$43/(IF(Inputs!$B$38="pvp",15,MAX(0.1,Skills!D20-IF(Skills!E20=TRUE,Inputs!$B$32,0)))*(1-IF(AND(ArtifactsInput!$M$27,Inputs!$B$4="Chapter Hunt"),CHOOSE(ArtifactsInput!$N$27+1,20,24,28,32,36,40),0)/100)))+1)),0)</f>
        <v/>
      </c>
      <c r="S749">
        <f>IFERROR(O749/N749,0)</f>
        <v/>
      </c>
      <c r="T749" t="n">
        <v>0</v>
      </c>
      <c r="V749" t="n">
        <v>0</v>
      </c>
    </row>
    <row r="750">
      <c r="A750">
        <f>Skills!A21</f>
        <v/>
      </c>
      <c r="B750">
        <f>Skills!B21</f>
        <v/>
      </c>
      <c r="C750">
        <f>Inputs!$B$3&gt;=15</f>
        <v/>
      </c>
      <c r="D750">
        <f>IF(Skills!C21=1,60+Inputs!$B$25+Inputs!$B$29,IF(Skills!C21=2,90+Inputs!$B$26+Inputs!$B$29,IF(Skills!C21=3,120+Inputs!$B$27+Inputs!$B$29,MAX(0,(Inputs!$B$3-100)*3)+Inputs!$B$28+Inputs!$B$29)))</f>
        <v/>
      </c>
      <c r="E750">
        <f>INDEX(FactorTable!$B$2:$Y$301, MATCH(ROUND(MIN(300,MAX(1,D750)),0), FactorTable!$A$2:$A$301,0), Skills!M21+1)</f>
        <v/>
      </c>
      <c r="F750">
        <f>IF(Skills!N21=TRUE,(Skills!L21/10)*(E750/1000),Skills!L21/10)+Skills!O21</f>
        <v/>
      </c>
      <c r="G750">
        <f>Skills!G21*IF(Skills!H21&gt;0,Skills!I21/Skills!H21,1)</f>
        <v/>
      </c>
      <c r="H750">
        <f>1-(1-Skills!J21/100)^Skills!K21</f>
        <v/>
      </c>
      <c r="I750" t="inlineStr">
        <is>
          <t>1</t>
        </is>
      </c>
      <c r="J750" t="inlineStr"/>
      <c r="K750" t="inlineStr"/>
      <c r="L750" t="inlineStr"/>
      <c r="M750" t="inlineStr"/>
      <c r="N750" t="inlineStr"/>
      <c r="O750">
        <f>(1-Summary!$B$11)*T750+Summary!$B$11*V750</f>
        <v/>
      </c>
      <c r="P750">
        <f>IF(B773=0,0,O750/B773)</f>
        <v/>
      </c>
      <c r="Q750" t="n">
        <v>0</v>
      </c>
      <c r="R750" t="n">
        <v>0</v>
      </c>
      <c r="S750">
        <f>IFERROR(O750/N750,0)</f>
        <v/>
      </c>
      <c r="T750" t="n">
        <v>0</v>
      </c>
      <c r="V750" t="n">
        <v>0</v>
      </c>
    </row>
    <row r="751">
      <c r="A751">
        <f>Skills!A22</f>
        <v/>
      </c>
      <c r="B751">
        <f>Skills!B22</f>
        <v/>
      </c>
      <c r="C751">
        <f>Inputs!$B$3&gt;=10</f>
        <v/>
      </c>
      <c r="D751">
        <f>IF(Skills!C22=1,60+Inputs!$B$25+Inputs!$B$29,IF(Skills!C22=2,90+Inputs!$B$26+Inputs!$B$29,IF(Skills!C22=3,120+Inputs!$B$27+Inputs!$B$29,MAX(0,(Inputs!$B$3-100)*3)+Inputs!$B$28+Inputs!$B$29)))</f>
        <v/>
      </c>
      <c r="E751">
        <f>INDEX(FactorTable!$B$2:$Y$301, MATCH(ROUND(MIN(300,MAX(1,D751)),0), FactorTable!$A$2:$A$301,0), Skills!M22+1)</f>
        <v/>
      </c>
      <c r="F751">
        <f>IF(Skills!N22=TRUE,(Skills!L22/10)*(E751/1000),Skills!L22/10)+Skills!O22</f>
        <v/>
      </c>
      <c r="G751">
        <f>Skills!G22*IF(Skills!H22&gt;0,Skills!I22/Skills!H22,1)</f>
        <v/>
      </c>
      <c r="H751">
        <f>1-(1-Skills!J22/100)^Skills!K22</f>
        <v/>
      </c>
      <c r="I751" t="inlineStr">
        <is>
          <t>1</t>
        </is>
      </c>
      <c r="J751" t="inlineStr"/>
      <c r="K751" t="inlineStr"/>
      <c r="L751" t="inlineStr"/>
      <c r="M751" t="inlineStr"/>
      <c r="N751" t="inlineStr"/>
      <c r="O751">
        <f>(1-Summary!$B$11)*T751+Summary!$B$11*V751</f>
        <v/>
      </c>
      <c r="P751">
        <f>IF(B773=0,0,O751/B773)</f>
        <v/>
      </c>
      <c r="Q751" t="n">
        <v>0</v>
      </c>
      <c r="R751" t="n">
        <v>0</v>
      </c>
      <c r="S751">
        <f>IFERROR(O751/N751,0)</f>
        <v/>
      </c>
      <c r="T751" t="n">
        <v>0</v>
      </c>
      <c r="V751" t="n">
        <v>0</v>
      </c>
    </row>
    <row r="752">
      <c r="A752">
        <f>Skills!A23</f>
        <v/>
      </c>
      <c r="B752">
        <f>Skills!B23</f>
        <v/>
      </c>
      <c r="C752">
        <f>Inputs!$B$3&gt;=33</f>
        <v/>
      </c>
      <c r="D752">
        <f>IF(Skills!C23=1,60+Inputs!$B$25+Inputs!$B$29,IF(Skills!C23=2,90+Inputs!$B$26+Inputs!$B$29,IF(Skills!C23=3,120+Inputs!$B$27+Inputs!$B$29,MAX(0,(Inputs!$B$3-100)*3)+Inputs!$B$28+Inputs!$B$29)))</f>
        <v/>
      </c>
      <c r="E752">
        <f>INDEX(FactorTable!$B$2:$Y$301, MATCH(ROUND(MIN(300,MAX(1,D752)),0), FactorTable!$A$2:$A$301,0), Skills!M23+1)</f>
        <v/>
      </c>
      <c r="F752">
        <f>IF(Skills!N23=TRUE,(Skills!L23/10)*(E752/1000),Skills!L23/10)+Skills!O23</f>
        <v/>
      </c>
      <c r="G752">
        <f>Skills!G23*IF(Skills!H23&gt;0,Skills!I23/Skills!H23,1)</f>
        <v/>
      </c>
      <c r="H752">
        <f>1-(1-Skills!J23/100)^Skills!K23</f>
        <v/>
      </c>
      <c r="I752" t="inlineStr">
        <is>
          <t>1</t>
        </is>
      </c>
      <c r="J752" t="inlineStr"/>
      <c r="K752" t="inlineStr"/>
      <c r="L752" t="inlineStr"/>
      <c r="M752" t="inlineStr"/>
      <c r="N752" t="inlineStr"/>
      <c r="O752">
        <f>(1-Summary!$B$11)*T752+Summary!$B$11*V752</f>
        <v/>
      </c>
      <c r="P752">
        <f>IF(B773=0,0,O752/B773)</f>
        <v/>
      </c>
      <c r="Q752" t="n">
        <v>0</v>
      </c>
      <c r="R752" t="n">
        <v>0</v>
      </c>
      <c r="S752">
        <f>IFERROR(O752/N752,0)</f>
        <v/>
      </c>
      <c r="T752" t="n">
        <v>0</v>
      </c>
      <c r="V752" t="n">
        <v>0</v>
      </c>
    </row>
    <row r="753">
      <c r="A753">
        <f>Skills!A24</f>
        <v/>
      </c>
      <c r="B753">
        <f>Skills!B24</f>
        <v/>
      </c>
      <c r="C753">
        <f>Inputs!$B$3&gt;=38</f>
        <v/>
      </c>
      <c r="D753">
        <f>IF(Skills!C24=1,60+Inputs!$B$25+Inputs!$B$29,IF(Skills!C24=2,90+Inputs!$B$26+Inputs!$B$29,IF(Skills!C24=3,120+Inputs!$B$27+Inputs!$B$29,MAX(0,(Inputs!$B$3-100)*3)+Inputs!$B$28+Inputs!$B$29)))</f>
        <v/>
      </c>
      <c r="E753">
        <f>INDEX(FactorTable!$B$2:$Y$301, MATCH(ROUND(MIN(300,MAX(1,D753)),0), FactorTable!$A$2:$A$301,0), Skills!M24+1)</f>
        <v/>
      </c>
      <c r="F753">
        <f>IF(Skills!N24=TRUE,(Skills!L24/10)*(E753/1000),Skills!L24/10)+Skills!O24</f>
        <v/>
      </c>
      <c r="G753">
        <f>Skills!G24*IF(Skills!H24&gt;0,Skills!I24/Skills!H24,1)</f>
        <v/>
      </c>
      <c r="H753">
        <f>1-(1-Skills!J24/100)^Skills!K24</f>
        <v/>
      </c>
      <c r="I753" t="inlineStr">
        <is>
          <t>1</t>
        </is>
      </c>
      <c r="J753" t="inlineStr"/>
      <c r="K753" t="inlineStr"/>
      <c r="L753" t="inlineStr"/>
      <c r="M753" t="inlineStr"/>
      <c r="N753" t="inlineStr"/>
      <c r="O753">
        <f>(1-Summary!$B$11)*T753+Summary!$B$11*V753</f>
        <v/>
      </c>
      <c r="P753">
        <f>IF(B773=0,0,O753/B773)</f>
        <v/>
      </c>
      <c r="Q753" t="n">
        <v>0</v>
      </c>
      <c r="R753" t="n">
        <v>0</v>
      </c>
      <c r="S753">
        <f>IFERROR(O753/N753,0)</f>
        <v/>
      </c>
      <c r="T753" t="n">
        <v>0</v>
      </c>
      <c r="V753" t="n">
        <v>0</v>
      </c>
    </row>
    <row r="754">
      <c r="A754">
        <f>Skills!A25</f>
        <v/>
      </c>
      <c r="B754">
        <f>Skills!B25</f>
        <v/>
      </c>
      <c r="C754">
        <f>Inputs!$B$3&gt;=43</f>
        <v/>
      </c>
      <c r="D754">
        <f>IF(Skills!C25=1,60+Inputs!$B$25+Inputs!$B$29,IF(Skills!C25=2,90+Inputs!$B$26+Inputs!$B$29,IF(Skills!C25=3,120+Inputs!$B$27+Inputs!$B$29,MAX(0,(Inputs!$B$3-100)*3)+Inputs!$B$28+Inputs!$B$29)))</f>
        <v/>
      </c>
      <c r="E754">
        <f>INDEX(FactorTable!$B$2:$Y$301, MATCH(ROUND(MIN(300,MAX(1,D754)),0), FactorTable!$A$2:$A$301,0), Skills!M25+1)</f>
        <v/>
      </c>
      <c r="F754">
        <f>IF(Skills!N25=TRUE,(Skills!L25/10)*(E754/1000),Skills!L25/10)+Skills!O25</f>
        <v/>
      </c>
      <c r="G754">
        <f>Skills!G25*IF(Skills!H25&gt;0,Skills!I25/Skills!H25,1)</f>
        <v/>
      </c>
      <c r="H754">
        <f>1-(1-Skills!J25/100)^Skills!K25</f>
        <v/>
      </c>
      <c r="I754" t="inlineStr">
        <is>
          <t>1</t>
        </is>
      </c>
      <c r="J754" t="inlineStr"/>
      <c r="K754" t="inlineStr"/>
      <c r="L754" t="inlineStr"/>
      <c r="M754" t="inlineStr"/>
      <c r="N754" t="inlineStr"/>
      <c r="O754">
        <f>(1-Summary!$B$11)*T754+Summary!$B$11*V754</f>
        <v/>
      </c>
      <c r="P754">
        <f>IF(B773=0,0,O754/B773)</f>
        <v/>
      </c>
      <c r="Q754" t="n">
        <v>0</v>
      </c>
      <c r="R754" t="n">
        <v>0</v>
      </c>
      <c r="S754">
        <f>IFERROR(O754/N754,0)</f>
        <v/>
      </c>
      <c r="T754" t="n">
        <v>0</v>
      </c>
      <c r="V754" t="n">
        <v>0</v>
      </c>
    </row>
    <row r="755">
      <c r="A755">
        <f>Skills!A26</f>
        <v/>
      </c>
      <c r="B755">
        <f>Skills!B26</f>
        <v/>
      </c>
      <c r="C755">
        <f>Inputs!$B$3&gt;=75</f>
        <v/>
      </c>
      <c r="D755">
        <f>IF(Skills!C26=1,60+Inputs!$B$25+Inputs!$B$29,IF(Skills!C26=2,90+Inputs!$B$26+Inputs!$B$29,IF(Skills!C26=3,120+Inputs!$B$27+Inputs!$B$29,MAX(0,(Inputs!$B$3-100)*3)+Inputs!$B$28+Inputs!$B$29)))</f>
        <v/>
      </c>
      <c r="E755">
        <f>INDEX(FactorTable!$B$2:$Y$301, MATCH(ROUND(MIN(300,MAX(1,D755)),0), FactorTable!$A$2:$A$301,0), Skills!M26+1)</f>
        <v/>
      </c>
      <c r="F755">
        <f>IF(Skills!N26=TRUE,(Skills!L26/10)*(E755/1000),Skills!L26/10)+Skills!O26</f>
        <v/>
      </c>
      <c r="G755">
        <f>Skills!G26*IF(Skills!H26&gt;0,Skills!I26/Skills!H26,1)</f>
        <v/>
      </c>
      <c r="H755">
        <f>1-(1-Skills!J26/100)^Skills!K26</f>
        <v/>
      </c>
      <c r="I755" t="inlineStr">
        <is>
          <t>1</t>
        </is>
      </c>
      <c r="J755" t="inlineStr"/>
      <c r="K755" t="inlineStr"/>
      <c r="L755" t="inlineStr"/>
      <c r="M755" t="inlineStr"/>
      <c r="N755" t="inlineStr"/>
      <c r="O755">
        <f>(1-Summary!$B$11)*T755+Summary!$B$11*V755</f>
        <v/>
      </c>
      <c r="P755">
        <f>IF(B773=0,0,O755/B773)</f>
        <v/>
      </c>
      <c r="Q755" t="n">
        <v>0</v>
      </c>
      <c r="R755" t="n">
        <v>0</v>
      </c>
      <c r="S755">
        <f>IFERROR(O755/N755,0)</f>
        <v/>
      </c>
      <c r="T755" t="n">
        <v>0</v>
      </c>
      <c r="V755" t="n">
        <v>0</v>
      </c>
    </row>
    <row r="756">
      <c r="A756">
        <f>Skills!A27</f>
        <v/>
      </c>
      <c r="B756">
        <f>Skills!B27</f>
        <v/>
      </c>
      <c r="C756">
        <f>Inputs!$B$3&gt;=125</f>
        <v/>
      </c>
      <c r="D756">
        <f>IF(Skills!C27=1,60+Inputs!$B$25+Inputs!$B$29,IF(Skills!C27=2,90+Inputs!$B$26+Inputs!$B$29,IF(Skills!C27=3,120+Inputs!$B$27+Inputs!$B$29,MAX(0,(Inputs!$B$3-100)*3)+Inputs!$B$28+Inputs!$B$29)))</f>
        <v/>
      </c>
      <c r="E756">
        <f>INDEX(FactorTable!$B$2:$Y$301, MATCH(ROUND(MIN(300,MAX(1,D756)),0), FactorTable!$A$2:$A$301,0), Skills!M27+1)</f>
        <v/>
      </c>
      <c r="F756">
        <f>IF(Skills!N27=TRUE,(Skills!L27/10)*(E756/1000),Skills!L27/10)+Skills!O27</f>
        <v/>
      </c>
      <c r="G756">
        <f>Skills!G27*IF(Skills!H27&gt;0,Skills!I27/Skills!H27,1)</f>
        <v/>
      </c>
      <c r="H756">
        <f>1-(1-Skills!J27/100)^Skills!K27</f>
        <v/>
      </c>
      <c r="I756" t="inlineStr">
        <is>
          <t>1</t>
        </is>
      </c>
      <c r="J756" t="inlineStr"/>
      <c r="K756" t="inlineStr"/>
      <c r="L756" t="inlineStr"/>
      <c r="M756" t="inlineStr"/>
      <c r="N756" t="inlineStr"/>
      <c r="O756">
        <f>(1-Summary!$B$11)*T756+Summary!$B$11*V756</f>
        <v/>
      </c>
      <c r="P756">
        <f>IF(B773=0,0,O756/B773)</f>
        <v/>
      </c>
      <c r="Q756" t="n">
        <v>0</v>
      </c>
      <c r="R756" t="n">
        <v>0</v>
      </c>
      <c r="S756">
        <f>IFERROR(O756/N756,0)</f>
        <v/>
      </c>
      <c r="T756" t="n">
        <v>0</v>
      </c>
      <c r="V756" t="n">
        <v>0</v>
      </c>
    </row>
    <row r="757">
      <c r="A757">
        <f>Skills!A28</f>
        <v/>
      </c>
      <c r="B757">
        <f>Skills!B28</f>
        <v/>
      </c>
      <c r="C757">
        <f>Inputs!$B$3&gt;=125</f>
        <v/>
      </c>
      <c r="D757">
        <f>IF(Skills!C28=1,60+Inputs!$B$25+Inputs!$B$29,IF(Skills!C28=2,90+Inputs!$B$26+Inputs!$B$29,IF(Skills!C28=3,120+Inputs!$B$27+Inputs!$B$29,MAX(0,(Inputs!$B$3-100)*3)+Inputs!$B$28+Inputs!$B$29)))</f>
        <v/>
      </c>
      <c r="E757">
        <f>INDEX(FactorTable!$B$2:$Y$301, MATCH(ROUND(MIN(300,MAX(1,D757)),0), FactorTable!$A$2:$A$301,0), Skills!M28+1)</f>
        <v/>
      </c>
      <c r="F757">
        <f>IF(Skills!N28=TRUE,(Skills!L28/10)*(E757/1000),Skills!L28/10)+Skills!O28</f>
        <v/>
      </c>
      <c r="G757">
        <f>Skills!G28*IF(Skills!H28&gt;0,Skills!I28/Skills!H28,1)</f>
        <v/>
      </c>
      <c r="H757">
        <f>1-(1-Skills!J28/100)^Skills!K28</f>
        <v/>
      </c>
      <c r="I757" t="inlineStr">
        <is>
          <t>1</t>
        </is>
      </c>
      <c r="J757" t="inlineStr"/>
      <c r="K757" t="inlineStr"/>
      <c r="L757" t="inlineStr"/>
      <c r="M757" t="inlineStr"/>
      <c r="N757" t="inlineStr"/>
      <c r="O757">
        <f>(1-Summary!$B$11)*T757+Summary!$B$11*V757</f>
        <v/>
      </c>
      <c r="P757">
        <f>IF(B773=0,0,O757/B773)</f>
        <v/>
      </c>
      <c r="Q757" t="n">
        <v>0</v>
      </c>
      <c r="R757" t="n">
        <v>0</v>
      </c>
      <c r="S757">
        <f>IFERROR(O757/N757,0)</f>
        <v/>
      </c>
      <c r="T757" t="n">
        <v>0</v>
      </c>
      <c r="V757" t="n">
        <v>0</v>
      </c>
    </row>
    <row r="758">
      <c r="A758">
        <f>Skills!A29</f>
        <v/>
      </c>
      <c r="B758">
        <f>Skills!B29</f>
        <v/>
      </c>
      <c r="C758">
        <f>Inputs!$B$3&gt;=120</f>
        <v/>
      </c>
      <c r="D758">
        <f>IF(Skills!C29=1,60+Inputs!$B$25+Inputs!$B$29,IF(Skills!C29=2,90+Inputs!$B$26+Inputs!$B$29,IF(Skills!C29=3,120+Inputs!$B$27+Inputs!$B$29,MAX(0,(Inputs!$B$3-100)*3)+Inputs!$B$28+Inputs!$B$29)))</f>
        <v/>
      </c>
      <c r="E758">
        <f>INDEX(FactorTable!$B$2:$Y$301, MATCH(ROUND(MIN(300,MAX(1,D758)),0), FactorTable!$A$2:$A$301,0), Skills!M29+1)</f>
        <v/>
      </c>
      <c r="F758">
        <f>IF(Skills!N29=TRUE,(Skills!L29/10)*(E758/1000),Skills!L29/10)+Skills!O29</f>
        <v/>
      </c>
      <c r="G758">
        <f>Skills!G29*IF(Skills!H29&gt;0,Skills!I29/Skills!H29,1)</f>
        <v/>
      </c>
      <c r="H758">
        <f>1-(1-Skills!J29/100)^Skills!K29</f>
        <v/>
      </c>
      <c r="I758" t="inlineStr">
        <is>
          <t>1</t>
        </is>
      </c>
      <c r="J758" t="inlineStr"/>
      <c r="K758" t="inlineStr"/>
      <c r="L758" t="inlineStr"/>
      <c r="M758" t="inlineStr"/>
      <c r="N758" t="inlineStr"/>
      <c r="O758">
        <f>(1-Summary!$B$11)*T758+Summary!$B$11*V758</f>
        <v/>
      </c>
      <c r="P758">
        <f>IF(B773=0,0,O758/B773)</f>
        <v/>
      </c>
      <c r="Q758" t="n">
        <v>0</v>
      </c>
      <c r="R758" t="n">
        <v>0</v>
      </c>
      <c r="S758">
        <f>IFERROR(O758/N758,0)</f>
        <v/>
      </c>
      <c r="T758" t="n">
        <v>0</v>
      </c>
      <c r="V758" t="n">
        <v>0</v>
      </c>
    </row>
    <row r="759">
      <c r="A759">
        <f>Skills!A30</f>
        <v/>
      </c>
      <c r="B759">
        <f>Skills!B30</f>
        <v/>
      </c>
      <c r="C759">
        <f>Inputs!$B$3&gt;=120</f>
        <v/>
      </c>
      <c r="D759">
        <f>IF(Skills!C30=1,60+Inputs!$B$25+Inputs!$B$29,IF(Skills!C30=2,90+Inputs!$B$26+Inputs!$B$29,IF(Skills!C30=3,120+Inputs!$B$27+Inputs!$B$29,MAX(0,(Inputs!$B$3-100)*3)+Inputs!$B$28+Inputs!$B$29)))</f>
        <v/>
      </c>
      <c r="E759">
        <f>INDEX(FactorTable!$B$2:$Y$301, MATCH(ROUND(MIN(300,MAX(1,D759)),0), FactorTable!$A$2:$A$301,0), Skills!M30+1)</f>
        <v/>
      </c>
      <c r="F759">
        <f>IF(Skills!N30=TRUE,(Skills!L30/10)*(E759/1000),Skills!L30/10)+Skills!O30</f>
        <v/>
      </c>
      <c r="G759">
        <f>Skills!G30*IF(Skills!H30&gt;0,Skills!I30/Skills!H30,1)</f>
        <v/>
      </c>
      <c r="H759">
        <f>1-(1-Skills!J30/100)^Skills!K30</f>
        <v/>
      </c>
      <c r="I759" t="inlineStr">
        <is>
          <t>1</t>
        </is>
      </c>
      <c r="J759" t="inlineStr"/>
      <c r="K759" t="inlineStr"/>
      <c r="L759" t="inlineStr"/>
      <c r="M759" t="inlineStr"/>
      <c r="N759" t="inlineStr"/>
      <c r="O759">
        <f>(1-Summary!$B$11)*T759+Summary!$B$11*V759</f>
        <v/>
      </c>
      <c r="P759">
        <f>IF(B773=0,0,O759/B773)</f>
        <v/>
      </c>
      <c r="Q759" t="n">
        <v>0</v>
      </c>
      <c r="R759" t="n">
        <v>0</v>
      </c>
      <c r="S759">
        <f>IFERROR(O759/N759,0)</f>
        <v/>
      </c>
      <c r="T759" t="n">
        <v>0</v>
      </c>
      <c r="V759" t="n">
        <v>0</v>
      </c>
    </row>
    <row r="760">
      <c r="A760">
        <f>Skills!A31</f>
        <v/>
      </c>
      <c r="B760">
        <f>Skills!B31</f>
        <v/>
      </c>
      <c r="C760">
        <f>Inputs!$B$3&gt;=45</f>
        <v/>
      </c>
      <c r="D760">
        <f>IF(Skills!C31=1,60+Inputs!$B$25+Inputs!$B$29,IF(Skills!C31=2,90+Inputs!$B$26+Inputs!$B$29,IF(Skills!C31=3,120+Inputs!$B$27+Inputs!$B$29,MAX(0,(Inputs!$B$3-100)*3)+Inputs!$B$28+Inputs!$B$29)))</f>
        <v/>
      </c>
      <c r="E760">
        <f>INDEX(FactorTable!$B$2:$Y$301, MATCH(ROUND(MIN(300,MAX(1,D760)),0), FactorTable!$A$2:$A$301,0), Skills!M31+1)</f>
        <v/>
      </c>
      <c r="F760">
        <f>IF(Skills!N31=TRUE,(Skills!L31/10)*(E760/1000),Skills!L31/10)+Skills!O31</f>
        <v/>
      </c>
      <c r="G760">
        <f>Skills!G31*IF(Skills!H31&gt;0,Skills!I31/Skills!H31,1)</f>
        <v/>
      </c>
      <c r="H760">
        <f>1-(1-Skills!J31/100)^Skills!K31</f>
        <v/>
      </c>
      <c r="I760" t="inlineStr">
        <is>
          <t>1</t>
        </is>
      </c>
      <c r="J760" t="inlineStr"/>
      <c r="K760" t="inlineStr"/>
      <c r="L760" t="inlineStr"/>
      <c r="M760" t="inlineStr"/>
      <c r="N760" t="inlineStr"/>
      <c r="O760">
        <f>(1-Summary!$B$11)*T760+Summary!$B$11*V760</f>
        <v/>
      </c>
      <c r="P760">
        <f>IF(B773=0,0,O760/B773)</f>
        <v/>
      </c>
      <c r="Q760" t="n">
        <v>0</v>
      </c>
      <c r="R760" t="n">
        <v>0</v>
      </c>
      <c r="S760">
        <f>IFERROR(O760/N760,0)</f>
        <v/>
      </c>
      <c r="T760" t="n">
        <v>0</v>
      </c>
      <c r="V760" t="n">
        <v>0</v>
      </c>
    </row>
    <row r="762">
      <c r="A762" t="inlineStr">
        <is>
          <t>Attack% Bucket Multiplier</t>
        </is>
      </c>
      <c r="B762">
        <f>(1+(((C743=TRUE)*F743)+((C744=TRUE)*IF(Inputs!$B$38="pvp",F744,(1-Summary!$B$11)*(F744)+Summary!$B$11*(0)))+((C745=TRUE)*F745*IF(AND(Inputs!$B$38&lt;&gt;"pvp",Inputs!$B$43&gt;0),(((R745-1)*(Skills!T16*(1+Inputs!$B$34/100))+MIN((Skills!T16*(1+Inputs!$B$34/100)),MAX(0,Inputs!$B$43-((R745-1)*Skills!D16))))/Inputs!$B$43),IF(Inputs!$B$38="pvp",MIN((Skills!T16*(1+Inputs!$B$34/100)),15)/15,(Skills!T16*(1+Inputs!$B$34/100))/Skills!D16)))+((C760=TRUE)*(F760-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63">
      <c r="A763" t="inlineStr">
        <is>
          <t>Global Crit Rate Bonus %</t>
        </is>
      </c>
      <c r="B763">
        <f>(C746=TRUE)*20*IF(AND(Inputs!$B$38&lt;&gt;"pvp",Inputs!$B$43&gt;0),(((R746-1)*(Skills!T17*(1+Inputs!$B$34/100))+MIN((Skills!T17*(1+Inputs!$B$34/100)),MAX(0,Inputs!$B$43-((R746-1)*Skills!D17))))/Inputs!$B$43),IF(Inputs!$B$38="pvp",MIN((Skills!T17*(1+Inputs!$B$34/100)),15)/15,(Skills!T17*(1+Inputs!$B$34/100))/Skills!D17))</f>
        <v/>
      </c>
    </row>
    <row r="764">
      <c r="A764" t="inlineStr">
        <is>
          <t>Attack Speed Buff Bonus %</t>
        </is>
      </c>
      <c r="B764">
        <f>((C749=TRUE)*F749*IF(AND(Inputs!$B$38&lt;&gt;"pvp",Inputs!$B$43&gt;0),(((R749-1)*(Skills!T20*(1+Inputs!$B$34/100))+MIN((Skills!T20*(1+Inputs!$B$34/100)),MAX(0,Inputs!$B$43-((R749-1)*Skills!D20))))/Inputs!$B$43),IF(Inputs!$B$38="pvp",MIN((Skills!T20*(1+Inputs!$B$34/100)),15)/15,(Skills!T20*(1+Inputs!$B$34/100))/Skills!D20)))</f>
        <v/>
      </c>
    </row>
    <row r="765">
      <c r="A765" t="inlineStr">
        <is>
          <t>Actions Per Second</t>
        </is>
      </c>
      <c r="B765">
        <f>1+MIN(150,150*(1-(1-(Inputs!$B$11+((C751=TRUE)*(F751-Calc!F22))+((C752=TRUE)*(F752-Calc!F23)))/150)*(1-B764/150)))/100</f>
        <v/>
      </c>
    </row>
    <row r="766">
      <c r="A766" t="inlineStr">
        <is>
          <t>Skill + Buff Cast Rate</t>
        </is>
      </c>
      <c r="B766">
        <f>IF(AND(Inputs!$B$38&lt;&gt;"pvp",Inputs!$B$43&gt;0),SUMPRODUCT((Skills!E2:E31=TRUE)*(C731:C760=TRUE)*R731:R760*Skills!F2:F31)/Inputs!$B$43,SUMPRODUCT((Skills!E2:E31=TRUE)*(C731:C760=TRUE)*Q731:Q760*Skills!F2:F31))</f>
        <v/>
      </c>
    </row>
    <row r="767">
      <c r="A767" t="inlineStr">
        <is>
          <t>Arrow Stream Casts Per Second</t>
        </is>
      </c>
      <c r="B767">
        <f>MAX(0,B765-B766)</f>
        <v/>
      </c>
    </row>
    <row r="768">
      <c r="A768" t="inlineStr">
        <is>
          <t>Global Critical Damage Bonus % (Sharp Eyes + Concentration)</t>
        </is>
      </c>
      <c r="B768">
        <f>(C746=TRUE)*F746*IF(AND(Inputs!$B$38&lt;&gt;"pvp",Inputs!$B$43&gt;0),(((R746-1)*(Skills!T17*(1+Inputs!$B$34/100))+MIN((Skills!T17*(1+Inputs!$B$34/100)),MAX(0,Inputs!$B$43-((R746-1)*Skills!D17))))/Inputs!$B$43),IF(Inputs!$B$38="pvp",MIN((Skills!T17*(1+Inputs!$B$34/100)),15)/15,(Skills!T17*(1+Inputs!$B$34/100))/Skills!D17))+(C747=TRUE)*30</f>
        <v/>
      </c>
    </row>
    <row r="769">
      <c r="A769" t="inlineStr">
        <is>
          <t>Global Final Damage Bonus % (Mortal Blow)</t>
        </is>
      </c>
      <c r="B769">
        <f>(C748=TRUE)*F748</f>
        <v/>
      </c>
    </row>
    <row r="770">
      <c r="A770" t="inlineStr">
        <is>
          <t>Buff-Casting Startup Delay (s, fixed-duration only)</t>
        </is>
      </c>
      <c r="B770">
        <f>IF(AND(Inputs!$B$38&lt;&gt;"pvp",Inputs!$B$43&gt;0),SUMPRODUCT((Skills!T2:T31&gt;0)*(Skills!E2:E31=TRUE)*(C731:C760=TRUE))/B765,0)</f>
        <v/>
      </c>
    </row>
    <row r="771">
      <c r="A771" t="inlineStr">
        <is>
          <t>Boss-Only Total DPS (this block's swept value)</t>
        </is>
      </c>
      <c r="B771">
        <f>SUM(T731:T760)</f>
        <v/>
      </c>
    </row>
    <row r="772">
      <c r="A772" t="inlineStr">
        <is>
          <t>Normal-Only Total DPS (this block's swept value)</t>
        </is>
      </c>
      <c r="B772">
        <f>SUM(V731:V760)</f>
        <v/>
      </c>
    </row>
    <row r="773">
      <c r="A773" s="6" t="inlineStr">
        <is>
          <t>TOTAL DPS</t>
        </is>
      </c>
      <c r="B773" s="6">
        <f>SUM(O731:O760)</f>
        <v/>
      </c>
    </row>
    <row r="776">
      <c r="A776" s="6" t="inlineStr">
        <is>
          <t>Stat: SKILL_DAMAGE %</t>
        </is>
      </c>
    </row>
    <row r="777">
      <c r="A777" s="5" t="inlineStr">
        <is>
          <t>Key</t>
        </is>
      </c>
      <c r="B777" s="5" t="inlineStr">
        <is>
          <t>Name</t>
        </is>
      </c>
      <c r="C777" s="5" t="inlineStr">
        <is>
          <t>Unlocked</t>
        </is>
      </c>
      <c r="D777" s="5" t="inlineStr">
        <is>
          <t>InputLevel</t>
        </is>
      </c>
      <c r="E777" s="5" t="inlineStr">
        <is>
          <t>Factor</t>
        </is>
      </c>
      <c r="F777" s="5" t="inlineStr">
        <is>
          <t>CoefficientPercent</t>
        </is>
      </c>
      <c r="G777" s="5" t="inlineStr">
        <is>
          <t>EffectiveHits</t>
        </is>
      </c>
      <c r="H777" s="5" t="inlineStr">
        <is>
          <t>ProcProbability</t>
        </is>
      </c>
      <c r="I777" s="5" t="inlineStr">
        <is>
          <t>MapleHeroMultiplier</t>
        </is>
      </c>
      <c r="J777" s="5" t="inlineStr">
        <is>
          <t>BaseDamage</t>
        </is>
      </c>
      <c r="K777" s="5" t="inlineStr">
        <is>
          <t>BaseHitDamage</t>
        </is>
      </c>
      <c r="L777" s="5" t="inlineStr">
        <is>
          <t>NonCritAvg</t>
        </is>
      </c>
      <c r="M777" s="5" t="inlineStr">
        <is>
          <t>CritAvg</t>
        </is>
      </c>
      <c r="N777" s="5" t="inlineStr">
        <is>
          <t>ExpectedDamage(perHit)</t>
        </is>
      </c>
      <c r="O777" s="5" t="inlineStr">
        <is>
          <t>DPS</t>
        </is>
      </c>
      <c r="P777" s="5" t="inlineStr">
        <is>
          <t>% of Total</t>
        </is>
      </c>
      <c r="Q777" s="5" t="inlineStr">
        <is>
          <t>InvCooldown</t>
        </is>
      </c>
      <c r="R777" s="5" t="inlineStr">
        <is>
          <t>CastsInFight</t>
        </is>
      </c>
      <c r="S777" s="5" t="inlineStr">
        <is>
          <t>HitRate(perSec)</t>
        </is>
      </c>
      <c r="U777" t="inlineStr">
        <is>
          <t>helpers</t>
        </is>
      </c>
    </row>
    <row r="778">
      <c r="A778">
        <f>Skills!A2</f>
        <v/>
      </c>
      <c r="B778">
        <f>Skills!B2</f>
        <v/>
      </c>
      <c r="C778">
        <f>Inputs!$B$3&gt;=100</f>
        <v/>
      </c>
      <c r="D778" t="inlineStr"/>
      <c r="E778" t="inlineStr"/>
      <c r="F778">
        <f>U780+Skills!O2</f>
        <v/>
      </c>
      <c r="G778">
        <f>Skills!G2*IF(Skills!H2&gt;0,Skills!I2/Skills!H2,1)</f>
        <v/>
      </c>
      <c r="H778">
        <f>1-(1-Skills!J2/100)^Skills!K2</f>
        <v/>
      </c>
      <c r="I778" t="inlineStr">
        <is>
          <t>1</t>
        </is>
      </c>
      <c r="J778">
        <f>((Inputs!$B$6*(1+Inputs!$B$7/100))+(((Inputs!$B$12*(1+Inputs!$B$13/100))-(Inputs!$B$12*(1+Inputs!$B$13/100)))+0.25*(Inputs!$B$14-Inputs!$B$14))*(1+Inputs!$B$7/100))*(F778/100)</f>
        <v/>
      </c>
      <c r="K778">
        <f>J778*(1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778)</f>
        <v/>
      </c>
      <c r="L778">
        <f>K778*(MIN(Inputs!$B$22+((C801=TRUE)*(F801-Calc!F25)),(Inputs!$B$23+((C806=TRUE)*(F806-Calc!F30))+(IF(ArtifactsInput!$M$15,CHOOSE(ArtifactsInput!$N$15+1,25,30,35,40,45,50)/100*(Inputs!$B$11-Inputs!$B$11),0))))/100+(Inputs!$B$23+((C806=TRUE)*(F806-Calc!F30))+(IF(ArtifactsInput!$M$15,CHOOSE(ArtifactsInput!$N$15+1,25,30,35,40,45,50)/100*(Inputs!$B$11-Inputs!$B$11),0)))/100)/2</f>
        <v/>
      </c>
      <c r="M778">
        <f>L778*(1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8">
        <f>L778*(1-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778*(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8">
        <f>(1-Summary!$B$11)*T778+Summary!$B$11*V778</f>
        <v/>
      </c>
      <c r="P778">
        <f>IF(B820=0,0,O778/B820)</f>
        <v/>
      </c>
      <c r="Q778" t="n">
        <v>0</v>
      </c>
      <c r="R778" t="n">
        <v>0</v>
      </c>
      <c r="S778">
        <f>IFERROR(O778/N778,0)</f>
        <v/>
      </c>
      <c r="T778">
        <f>IF(C778,(Skills!G2*N778*B814)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778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778*(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778*(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8">
        <f>MAX(0,(Inputs!$B$3-100)*3)+Inputs!$B$28+Inputs!$B$29</f>
        <v/>
      </c>
      <c r="V778">
        <f>IF(C778,(Skills!G2*N778*B814)*IF(Inputs!$B$38="pvp",1,(1+(Inputs!$B$21+Skills!Q2+(IF(ArtifactsInput!$M$33,CHOOSE(ArtifactsInput!$N$33+1,30,36,42,48,54,60),0))+(IF(AND(ArtifactsInput!$M$35,Inputs!$B$4&lt;&gt;"Chapter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9">
      <c r="A779">
        <f>Skills!A3</f>
        <v/>
      </c>
      <c r="B779">
        <f>Skills!B3</f>
        <v/>
      </c>
      <c r="C779">
        <f>Inputs!$B$3&gt;=50</f>
        <v/>
      </c>
      <c r="D779">
        <f>IF(Skills!C3=1,60+Inputs!$B$25+Inputs!$B$29,IF(Skills!C3=2,90+Inputs!$B$26+Inputs!$B$29,IF(Skills!C3=3,120+Inputs!$B$27+Inputs!$B$29,MAX(0,(Inputs!$B$3-100)*3)+Inputs!$B$28+Inputs!$B$29)))</f>
        <v/>
      </c>
      <c r="E779">
        <f>INDEX(FactorTable!$B$2:$Y$301, MATCH(ROUND(MIN(300,MAX(1,D779)),0), FactorTable!$A$2:$A$301,0), Skills!M3+1)</f>
        <v/>
      </c>
      <c r="F779">
        <f>IF(Skills!N3=TRUE,(Skills!L3/10)*(E779/1000),Skills!L3/10)+Skills!O3</f>
        <v/>
      </c>
      <c r="G779">
        <f>Skills!G3*IF(Skills!H3&gt;0,Skills!I3/Skills!H3,1)</f>
        <v/>
      </c>
      <c r="H779">
        <f>1-(1-Skills!J3/100)^Skills!K3</f>
        <v/>
      </c>
      <c r="I779" t="inlineStr">
        <is>
          <t>1</t>
        </is>
      </c>
      <c r="J779">
        <f>((Inputs!$B$6*(1+Inputs!$B$7/100))+(((Inputs!$B$12*(1+Inputs!$B$13/100))-(Inputs!$B$12*(1+Inputs!$B$13/100)))+0.25*(Inputs!$B$14-Inputs!$B$14))*(1+Inputs!$B$7/100))*(F779/100)</f>
        <v/>
      </c>
      <c r="K779">
        <f>J779*(1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780=TRUE,F780,0)/100)*(1+(IF(Skills!A3="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779)</f>
        <v/>
      </c>
      <c r="L779">
        <f>K779*(MIN(Inputs!$B$22+((C801=TRUE)*(F801-Calc!F25)),(Inputs!$B$23+((C806=TRUE)*(F806-Calc!F30))+(IF(ArtifactsInput!$M$15,CHOOSE(ArtifactsInput!$N$15+1,25,30,35,40,45,50)/100*(Inputs!$B$11-Inputs!$B$11),0))))/100+(Inputs!$B$23+((C806=TRUE)*(F806-Calc!F30))+(IF(ArtifactsInput!$M$15,CHOOSE(ArtifactsInput!$N$15+1,25,30,35,40,45,50)/100*(Inputs!$B$11-Inputs!$B$11),0)))/100)/2</f>
        <v/>
      </c>
      <c r="M779">
        <f>L779*(1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9">
        <f>L779*(1-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779*(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9">
        <f>(1-Summary!$B$11)*T779+Summary!$B$11*V779</f>
        <v/>
      </c>
      <c r="P779">
        <f>IF(B820=0,0,O779/B820)</f>
        <v/>
      </c>
      <c r="Q779">
        <f>IFERROR(1/(IF(Inputs!$B$38="pvp",15,MAX(0.1,Skills!D3-IF(Skills!E3=TRUE,Inputs!$B$32,0)))*(1-IF(AND(ArtifactsInput!$M$27,Inputs!$B$4="Chapter Hunt"),CHOOSE(ArtifactsInput!$N$27+1,20,24,28,32,36,40),0)/100)),0)</f>
        <v/>
      </c>
      <c r="R779">
        <f>IF(AND(Inputs!$B$38&lt;&gt;"pvp",Inputs!$B$43&gt;0),IF(MAX(0,Inputs!$B$43-B817)&lt;=0,0,(INT(MAX(0,Inputs!$B$43-B817)/(IF(Inputs!$B$38="pvp",15,MAX(0.1,Skills!D3-IF(Skills!E3=TRUE,Inputs!$B$32,0)))*(1-IF(AND(ArtifactsInput!$M$27,Inputs!$B$4="Chapter Hunt"),CHOOSE(ArtifactsInput!$N$27+1,20,24,28,32,36,40),0)/100)))+1)),0)</f>
        <v/>
      </c>
      <c r="S779">
        <f>IFERROR(O779/N779,0)</f>
        <v/>
      </c>
      <c r="T779">
        <f>IF(C779,(H779*N779*IF(AND(Inputs!$B$38&lt;&gt;"pvp",Inputs!$B$43&gt;0),((Skills!G3*((R779-1)*IF(Skills!H3&gt;0,Skills!I3/Skills!H3,1)+IF(Skills!H3&gt;0,MIN(Skills!I3,MAX(0,MAX(0,Inputs!$B$43-B817)-((R779-1)*(IF(Inputs!$B$38="pvp",15,MAX(0.1,Skills!D3-IF(Skills!E3=TRUE,Inputs!$B$32,0)))*(1-IF(AND(ArtifactsInput!$M$27,Inputs!$B$4="Chapter Hunt"),CHOOSE(ArtifactsInput!$N$27+1,20,24,28,32,36,40),0)/100)))))/Skills!H3,1)))/Inputs!$B$43),G779*Q779))*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779*(1-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779*(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779*(1-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779*(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9">
        <f>INDEX(FactorTable!$B$2:$Y$301, MATCH(ROUND(MIN(300,MAX(1,U778)),0), FactorTable!$A$2:$A$301,0), 22)</f>
        <v/>
      </c>
      <c r="V779">
        <f>IF(C779,(H779*N779*IF(AND(Inputs!$B$38&lt;&gt;"pvp",Inputs!$B$43&gt;0),((Skills!G3*((R779-1)*IF(Skills!H3&gt;0,Skills!I3/Skills!H3,1)+IF(Skills!H3&gt;0,MIN(Skills!I3,MAX(0,MAX(0,Inputs!$B$43-B817)-((R779-1)*(IF(Inputs!$B$38="pvp",15,MAX(0.1,Skills!D3-IF(Skills!E3=TRUE,Inputs!$B$32,0)))*(1-IF(AND(ArtifactsInput!$M$27,Inputs!$B$4="Chapter Hunt"),CHOOSE(ArtifactsInput!$N$27+1,20,24,28,32,36,40),0)/100)))))/Skills!H3,1)))/Inputs!$B$43),G779*Q779))*IF(Inputs!$B$38="pvp",1,(1+(Inputs!$B$21+Skills!Q3+(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0">
      <c r="A780">
        <f>Skills!A4</f>
        <v/>
      </c>
      <c r="B780">
        <f>Skills!B4</f>
        <v/>
      </c>
      <c r="C780">
        <f>Inputs!$B$3&gt;=105</f>
        <v/>
      </c>
      <c r="D780">
        <f>IF(Skills!C4=1,60+Inputs!$B$25+Inputs!$B$29,IF(Skills!C4=2,90+Inputs!$B$26+Inputs!$B$29,IF(Skills!C4=3,120+Inputs!$B$27+Inputs!$B$29,MAX(0,(Inputs!$B$3-100)*3)+Inputs!$B$28+Inputs!$B$29)))</f>
        <v/>
      </c>
      <c r="E780">
        <f>INDEX(FactorTable!$B$2:$Y$301, MATCH(ROUND(MIN(300,MAX(1,D780)),0), FactorTable!$A$2:$A$301,0), Skills!M4+1)</f>
        <v/>
      </c>
      <c r="F780">
        <f>IF(Skills!N4=TRUE,(Skills!L4/10)*(E780/1000),Skills!L4/10)+Skills!O4</f>
        <v/>
      </c>
      <c r="G780" t="inlineStr"/>
      <c r="H780" t="inlineStr"/>
      <c r="I780" t="inlineStr">
        <is>
          <t>1</t>
        </is>
      </c>
      <c r="J780" t="inlineStr"/>
      <c r="K780" t="inlineStr"/>
      <c r="L780" t="inlineStr"/>
      <c r="M780" t="inlineStr"/>
      <c r="N780" t="inlineStr"/>
      <c r="O780" t="inlineStr"/>
      <c r="P780" t="inlineStr"/>
      <c r="Q780" t="inlineStr"/>
      <c r="R780" t="inlineStr"/>
      <c r="S780" t="inlineStr"/>
      <c r="T780" t="inlineStr"/>
      <c r="U780">
        <f>290*U779/1000</f>
        <v/>
      </c>
      <c r="V780" t="inlineStr"/>
    </row>
    <row r="781">
      <c r="A781">
        <f>Skills!A5</f>
        <v/>
      </c>
      <c r="B781">
        <f>Skills!B5</f>
        <v/>
      </c>
      <c r="C781">
        <f>Inputs!$B$3&gt;=35</f>
        <v/>
      </c>
      <c r="D781">
        <f>IF(Skills!C5=1,60+Inputs!$B$25+Inputs!$B$29,IF(Skills!C5=2,90+Inputs!$B$26+Inputs!$B$29,IF(Skills!C5=3,120+Inputs!$B$27+Inputs!$B$29,MAX(0,(Inputs!$B$3-100)*3)+Inputs!$B$28+Inputs!$B$29)))</f>
        <v/>
      </c>
      <c r="E781">
        <f>INDEX(FactorTable!$B$2:$Y$301, MATCH(ROUND(MIN(300,MAX(1,D781)),0), FactorTable!$A$2:$A$301,0), Skills!M5+1)</f>
        <v/>
      </c>
      <c r="F781">
        <f>IF(Skills!N5=TRUE,(Skills!L5/10)*(E781/1000),Skills!L5/10)+Skills!O5</f>
        <v/>
      </c>
      <c r="G781">
        <f>Skills!G5*IF(Skills!H5&gt;0,Skills!I5/Skills!H5,1)</f>
        <v/>
      </c>
      <c r="H781">
        <f>1-(1-Skills!J5/100)^Skills!K5</f>
        <v/>
      </c>
      <c r="I781" t="inlineStr">
        <is>
          <t>1</t>
        </is>
      </c>
      <c r="J781">
        <f>((Inputs!$B$6*(1+Inputs!$B$7/100))+(((Inputs!$B$12*(1+Inputs!$B$13/100))-(Inputs!$B$12*(1+Inputs!$B$13/100)))+0.25*(Inputs!$B$14-Inputs!$B$14))*(1+Inputs!$B$7/100))*(F781/100)</f>
        <v/>
      </c>
      <c r="K781">
        <f>J781*(1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787=TRUE,F787,0)/100)*(1+(IF(Skills!A5="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781)</f>
        <v/>
      </c>
      <c r="L781">
        <f>K781*(MIN(Inputs!$B$22+((C801=TRUE)*(F801-Calc!F25)),(Inputs!$B$23+((C806=TRUE)*(F806-Calc!F30))+(IF(ArtifactsInput!$M$15,CHOOSE(ArtifactsInput!$N$15+1,25,30,35,40,45,50)/100*(Inputs!$B$11-Inputs!$B$11),0))))/100+(Inputs!$B$23+((C806=TRUE)*(F806-Calc!F30))+(IF(ArtifactsInput!$M$15,CHOOSE(ArtifactsInput!$N$15+1,25,30,35,40,45,50)/100*(Inputs!$B$11-Inputs!$B$11),0)))/100)/2</f>
        <v/>
      </c>
      <c r="M781">
        <f>L781*(1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1">
        <f>L781*(1-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1">
        <f>(1-Summary!$B$11)*T781+Summary!$B$11*V781</f>
        <v/>
      </c>
      <c r="P781">
        <f>IF(B820=0,0,O781/B820)</f>
        <v/>
      </c>
      <c r="Q781">
        <f>IFERROR(1/(IF(Inputs!$B$38="pvp",15,MAX(0.1,Skills!D5-IF(Skills!E5=TRUE,Inputs!$B$32,0)))*(1-IF(AND(ArtifactsInput!$M$27,Inputs!$B$4="Chapter Hunt"),CHOOSE(ArtifactsInput!$N$27+1,20,24,28,32,36,40),0)/100)),0)</f>
        <v/>
      </c>
      <c r="R781">
        <f>IF(AND(Inputs!$B$38&lt;&gt;"pvp",Inputs!$B$43&gt;0),IF(MAX(0,Inputs!$B$43-B817)&lt;=0,0,(INT(MAX(0,Inputs!$B$43-B817)/(IF(Inputs!$B$38="pvp",15,MAX(0.1,Skills!D5-IF(Skills!E5=TRUE,Inputs!$B$32,0)))*(1-IF(AND(ArtifactsInput!$M$27,Inputs!$B$4="Chapter Hunt"),CHOOSE(ArtifactsInput!$N$27+1,20,24,28,32,36,40),0)/100)))+1)),0)</f>
        <v/>
      </c>
      <c r="S781">
        <f>IFERROR(O781/N781,0)</f>
        <v/>
      </c>
      <c r="T781">
        <f>IF(C781,(H781*N781*IF(AND(Inputs!$B$38&lt;&gt;"pvp",Inputs!$B$43&gt;0),((Skills!G5*((R781-1)*IF(Skills!H5&gt;0,Skills!I5/Skills!H5,1)+IF(Skills!H5&gt;0,MIN(Skills!I5,MAX(0,MAX(0,Inputs!$B$43-B817)-((R781-1)*(IF(Inputs!$B$38="pvp",15,MAX(0.1,Skills!D5-IF(Skills!E5=TRUE,Inputs!$B$32,0)))*(1-IF(AND(ArtifactsInput!$M$27,Inputs!$B$4="Chapter Hunt"),CHOOSE(ArtifactsInput!$N$27+1,20,24,28,32,36,40),0)/100)))))/Skills!H5,1)))/Inputs!$B$43),G781*Q781)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781*(1-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1">
        <f>IF(C781,(H781*N781*IF(AND(Inputs!$B$38&lt;&gt;"pvp",Inputs!$B$43&gt;0),((Skills!G5*((R781-1)*IF(Skills!H5&gt;0,Skills!I5/Skills!H5,1)+IF(Skills!H5&gt;0,MIN(Skills!I5,MAX(0,MAX(0,Inputs!$B$43-B817)-((R781-1)*(IF(Inputs!$B$38="pvp",15,MAX(0.1,Skills!D5-IF(Skills!E5=TRUE,Inputs!$B$32,0)))*(1-IF(AND(ArtifactsInput!$M$27,Inputs!$B$4="Chapter Hunt"),CHOOSE(ArtifactsInput!$N$27+1,20,24,28,32,36,40),0)/100)))))/Skills!H5,1)))/Inputs!$B$43),G781*Q781))*IF(Inputs!$B$38="pvp",1,(1+(Inputs!$B$21+Skills!Q5+(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2">
      <c r="A782">
        <f>Skills!A6</f>
        <v/>
      </c>
      <c r="B782">
        <f>Skills!B6</f>
        <v/>
      </c>
      <c r="C782">
        <f>Inputs!$B$3&gt;=40</f>
        <v/>
      </c>
      <c r="D782">
        <f>IF(Skills!C6=1,60+Inputs!$B$25+Inputs!$B$29,IF(Skills!C6=2,90+Inputs!$B$26+Inputs!$B$29,IF(Skills!C6=3,120+Inputs!$B$27+Inputs!$B$29,MAX(0,(Inputs!$B$3-100)*3)+Inputs!$B$28+Inputs!$B$29)))</f>
        <v/>
      </c>
      <c r="E782">
        <f>INDEX(FactorTable!$B$2:$Y$301, MATCH(ROUND(MIN(300,MAX(1,D782)),0), FactorTable!$A$2:$A$301,0), Skills!M6+1)</f>
        <v/>
      </c>
      <c r="F782">
        <f>IF(Skills!N6=TRUE,(Skills!L6/10)*(E782/1000),Skills!L6/10)+Skills!O6</f>
        <v/>
      </c>
      <c r="G782">
        <f>Skills!G6*IF(Skills!H6&gt;0,Skills!I6/Skills!H6,1)</f>
        <v/>
      </c>
      <c r="H782">
        <f>1-(1-Skills!J6/100)^Skills!K6</f>
        <v/>
      </c>
      <c r="I782" t="inlineStr">
        <is>
          <t>1</t>
        </is>
      </c>
      <c r="J782">
        <f>((Inputs!$B$6*(1+Inputs!$B$7/100))+(((Inputs!$B$12*(1+Inputs!$B$13/100))-(Inputs!$B$12*(1+Inputs!$B$13/100)))+0.25*(Inputs!$B$14-Inputs!$B$14))*(1+Inputs!$B$7/100))*(F782/100)</f>
        <v/>
      </c>
      <c r="K782">
        <f>J782*(1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783=TRUE,F783,0)/100)*(1+(IF(Skills!A6="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782)</f>
        <v/>
      </c>
      <c r="L782">
        <f>K782*(MIN(Inputs!$B$22+((C801=TRUE)*(F801-Calc!F25)),(Inputs!$B$23+((C806=TRUE)*(F806-Calc!F30))+(IF(ArtifactsInput!$M$15,CHOOSE(ArtifactsInput!$N$15+1,25,30,35,40,45,50)/100*(Inputs!$B$11-Inputs!$B$11),0))))/100+(Inputs!$B$23+((C806=TRUE)*(F806-Calc!F30))+(IF(ArtifactsInput!$M$15,CHOOSE(ArtifactsInput!$N$15+1,25,30,35,40,45,50)/100*(Inputs!$B$11-Inputs!$B$11),0)))/100)/2</f>
        <v/>
      </c>
      <c r="M782">
        <f>L782*(1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2">
        <f>L782*(1-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782*(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2">
        <f>(1-Summary!$B$11)*T782+Summary!$B$11*V782</f>
        <v/>
      </c>
      <c r="P782">
        <f>IF(B820=0,0,O782/B820)</f>
        <v/>
      </c>
      <c r="Q782">
        <f>IFERROR(1/(IF(Inputs!$B$38="pvp",15,MAX(0.1,Skills!D6-IF(Skills!E6=TRUE,Inputs!$B$32,0)))*(1-IF(AND(ArtifactsInput!$M$27,Inputs!$B$4="Chapter Hunt"),CHOOSE(ArtifactsInput!$N$27+1,20,24,28,32,36,40),0)/100)),0)</f>
        <v/>
      </c>
      <c r="R782">
        <f>IF(AND(Inputs!$B$38&lt;&gt;"pvp",Inputs!$B$43&gt;0),IF(MAX(0,Inputs!$B$43-B817)&lt;=0,0,(INT(MAX(0,Inputs!$B$43-B817)/(IF(Inputs!$B$38="pvp",15,MAX(0.1,Skills!D6-IF(Skills!E6=TRUE,Inputs!$B$32,0)))*(1-IF(AND(ArtifactsInput!$M$27,Inputs!$B$4="Chapter Hunt"),CHOOSE(ArtifactsInput!$N$27+1,20,24,28,32,36,40),0)/100)))+1)),0)</f>
        <v/>
      </c>
      <c r="S782">
        <f>IFERROR(O782/N782,0)</f>
        <v/>
      </c>
      <c r="T782">
        <f>IF(C782,(H782*N782*IF(AND(Inputs!$B$38&lt;&gt;"pvp",Inputs!$B$43&gt;0),((Skills!G6*((R782-1)*IF(Skills!H6&gt;0,Skills!I6/Skills!H6,1)+IF(Skills!H6&gt;0,MIN(Skills!I6,MAX(0,MAX(0,Inputs!$B$43-B817)-((R782-1)*(IF(Inputs!$B$38="pvp",15,MAX(0.1,Skills!D6-IF(Skills!E6=TRUE,Inputs!$B$32,0)))*(1-IF(AND(ArtifactsInput!$M$27,Inputs!$B$4="Chapter Hunt"),CHOOSE(ArtifactsInput!$N$27+1,20,24,28,32,36,40),0)/100)))))/Skills!H6,1)))/Inputs!$B$43),G782*Q782)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782*(1-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782*(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782*(1-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782*(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2">
        <f>IF(C782,(H782*N782*IF(AND(Inputs!$B$38&lt;&gt;"pvp",Inputs!$B$43&gt;0),((Skills!G6*((R782-1)*IF(Skills!H6&gt;0,Skills!I6/Skills!H6,1)+IF(Skills!H6&gt;0,MIN(Skills!I6,MAX(0,MAX(0,Inputs!$B$43-B817)-((R782-1)*(IF(Inputs!$B$38="pvp",15,MAX(0.1,Skills!D6-IF(Skills!E6=TRUE,Inputs!$B$32,0)))*(1-IF(AND(ArtifactsInput!$M$27,Inputs!$B$4="Chapter Hunt"),CHOOSE(ArtifactsInput!$N$27+1,20,24,28,32,36,40),0)/100)))))/Skills!H6,1)))/Inputs!$B$43),G782*Q782))*IF(Inputs!$B$38="pvp",1,(1+(Inputs!$B$21+Skills!Q6+(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3">
      <c r="A783">
        <f>Skills!A7</f>
        <v/>
      </c>
      <c r="B783">
        <f>Skills!B7</f>
        <v/>
      </c>
      <c r="C783">
        <f>Inputs!$B$3&gt;=107</f>
        <v/>
      </c>
      <c r="D783">
        <f>IF(Skills!C7=1,60+Inputs!$B$25+Inputs!$B$29,IF(Skills!C7=2,90+Inputs!$B$26+Inputs!$B$29,IF(Skills!C7=3,120+Inputs!$B$27+Inputs!$B$29,MAX(0,(Inputs!$B$3-100)*3)+Inputs!$B$28+Inputs!$B$29)))</f>
        <v/>
      </c>
      <c r="E783">
        <f>INDEX(FactorTable!$B$2:$Y$301, MATCH(ROUND(MIN(300,MAX(1,D783)),0), FactorTable!$A$2:$A$301,0), Skills!M7+1)</f>
        <v/>
      </c>
      <c r="F783">
        <f>IF(Skills!N7=TRUE,(Skills!L7/10)*(E783/1000),Skills!L7/10)+Skills!O7</f>
        <v/>
      </c>
      <c r="G783" t="inlineStr"/>
      <c r="H783" t="inlineStr"/>
      <c r="I783" t="inlineStr">
        <is>
          <t>1</t>
        </is>
      </c>
      <c r="J783" t="inlineStr"/>
      <c r="K783" t="inlineStr"/>
      <c r="L783" t="inlineStr"/>
      <c r="M783" t="inlineStr"/>
      <c r="N783" t="inlineStr"/>
      <c r="O783" t="inlineStr"/>
      <c r="P783" t="inlineStr"/>
      <c r="Q783" t="inlineStr"/>
      <c r="R783" t="inlineStr"/>
      <c r="S783" t="inlineStr"/>
      <c r="T783" t="inlineStr"/>
      <c r="V783" t="inlineStr"/>
    </row>
    <row r="784">
      <c r="A784">
        <f>Skills!A8</f>
        <v/>
      </c>
      <c r="B784">
        <f>Skills!B8</f>
        <v/>
      </c>
      <c r="C784">
        <f>Inputs!$B$3&gt;=69</f>
        <v/>
      </c>
      <c r="D784">
        <f>IF(Skills!C8=1,60+Inputs!$B$25+Inputs!$B$29,IF(Skills!C8=2,90+Inputs!$B$26+Inputs!$B$29,IF(Skills!C8=3,120+Inputs!$B$27+Inputs!$B$29,MAX(0,(Inputs!$B$3-100)*3)+Inputs!$B$28+Inputs!$B$29)))</f>
        <v/>
      </c>
      <c r="E784">
        <f>INDEX(FactorTable!$B$2:$Y$301, MATCH(ROUND(MIN(300,MAX(1,D784)),0), FactorTable!$A$2:$A$301,0), Skills!M8+1)</f>
        <v/>
      </c>
      <c r="F784">
        <f>IF(Skills!N8=TRUE,(Skills!L8/10)*(E784/1000),Skills!L8/10)+Skills!O8</f>
        <v/>
      </c>
      <c r="G784">
        <f>Skills!G8*IF(Skills!H8&gt;0,Skills!I8/Skills!H8,1)</f>
        <v/>
      </c>
      <c r="H784">
        <f>1-(1-Skills!J8/100)^Skills!K8</f>
        <v/>
      </c>
      <c r="I784" t="inlineStr">
        <is>
          <t>1</t>
        </is>
      </c>
      <c r="J784">
        <f>((Inputs!$B$6*(1+Inputs!$B$7/100))+(((Inputs!$B$12*(1+Inputs!$B$13/100))-(Inputs!$B$12*(1+Inputs!$B$13/100)))+0.25*(Inputs!$B$14-Inputs!$B$14))*(1+Inputs!$B$7/100))*(F784/100)</f>
        <v/>
      </c>
      <c r="K784">
        <f>J784*(1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787=TRUE,F787,0)/100)*(1+(IF(Skills!A8="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784)</f>
        <v/>
      </c>
      <c r="L784">
        <f>K784*(MIN(Inputs!$B$22+((C801=TRUE)*(F801-Calc!F25)),(Inputs!$B$23+((C806=TRUE)*(F806-Calc!F30))+(IF(ArtifactsInput!$M$15,CHOOSE(ArtifactsInput!$N$15+1,25,30,35,40,45,50)/100*(Inputs!$B$11-Inputs!$B$11),0))))/100+(Inputs!$B$23+((C806=TRUE)*(F806-Calc!F30))+(IF(ArtifactsInput!$M$15,CHOOSE(ArtifactsInput!$N$15+1,25,30,35,40,45,50)/100*(Inputs!$B$11-Inputs!$B$11),0)))/100)/2</f>
        <v/>
      </c>
      <c r="M784">
        <f>L784*(1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4">
        <f>L784*(1-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784*(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4">
        <f>(1-Summary!$B$11)*T784+Summary!$B$11*V784</f>
        <v/>
      </c>
      <c r="P784">
        <f>IF(B820=0,0,O784/B820)</f>
        <v/>
      </c>
      <c r="Q784">
        <f>IFERROR(1/(IF(Inputs!$B$38="pvp",15,MAX(0.1,Skills!D8-IF(Skills!E8=TRUE,Inputs!$B$32,0)))*(1-IF(AND(ArtifactsInput!$M$27,Inputs!$B$4="Chapter Hunt"),CHOOSE(ArtifactsInput!$N$27+1,20,24,28,32,36,40),0)/100)),0)</f>
        <v/>
      </c>
      <c r="R784">
        <f>IF(AND(Inputs!$B$38&lt;&gt;"pvp",Inputs!$B$43&gt;0),IF(MAX(0,Inputs!$B$43-B817)&lt;=0,0,(INT(MAX(0,Inputs!$B$43-B817)/(IF(Inputs!$B$38="pvp",15,MAX(0.1,Skills!D8-IF(Skills!E8=TRUE,Inputs!$B$32,0)))*(1-IF(AND(ArtifactsInput!$M$27,Inputs!$B$4="Chapter Hunt"),CHOOSE(ArtifactsInput!$N$27+1,20,24,28,32,36,40),0)/100)))+1)),0)</f>
        <v/>
      </c>
      <c r="S784">
        <f>IFERROR(O784/N784,0)</f>
        <v/>
      </c>
      <c r="T784">
        <f>IF(C784,(H784*N784*IF(AND(Inputs!$B$38&lt;&gt;"pvp",Inputs!$B$43&gt;0),((Skills!G8*((R784-1)*IF(Skills!H8&gt;0,Skills!I8/Skills!H8,1)+IF(Skills!H8&gt;0,MIN(Skills!I8,MAX(0,MAX(0,Inputs!$B$43-B817)-((R784-1)*(IF(Inputs!$B$38="pvp",15,MAX(0.1,Skills!D8-IF(Skills!E8=TRUE,Inputs!$B$32,0)))*(1-IF(AND(ArtifactsInput!$M$27,Inputs!$B$4="Chapter Hunt"),CHOOSE(ArtifactsInput!$N$27+1,20,24,28,32,36,40),0)/100)))))/Skills!H8,1)))/Inputs!$B$43),G784*Q784)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784*(1-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784*(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784*(1-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784*(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4">
        <f>IF(C784,(H784*N784*IF(AND(Inputs!$B$38&lt;&gt;"pvp",Inputs!$B$43&gt;0),((Skills!G8*((R784-1)*IF(Skills!H8&gt;0,Skills!I8/Skills!H8,1)+IF(Skills!H8&gt;0,MIN(Skills!I8,MAX(0,MAX(0,Inputs!$B$43-B817)-((R784-1)*(IF(Inputs!$B$38="pvp",15,MAX(0.1,Skills!D8-IF(Skills!E8=TRUE,Inputs!$B$32,0)))*(1-IF(AND(ArtifactsInput!$M$27,Inputs!$B$4="Chapter Hunt"),CHOOSE(ArtifactsInput!$N$27+1,20,24,28,32,36,40),0)/100)))))/Skills!H8,1)))/Inputs!$B$43),G784*Q784))*IF(Inputs!$B$38="pvp",1,(1+(Inputs!$B$21+Skills!Q8+(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5">
      <c r="A785">
        <f>Skills!A9</f>
        <v/>
      </c>
      <c r="B785">
        <f>Skills!B9</f>
        <v/>
      </c>
      <c r="C785">
        <f>Inputs!$B$3&gt;=63</f>
        <v/>
      </c>
      <c r="D785">
        <f>IF(Skills!C9=1,60+Inputs!$B$25+Inputs!$B$29,IF(Skills!C9=2,90+Inputs!$B$26+Inputs!$B$29,IF(Skills!C9=3,120+Inputs!$B$27+Inputs!$B$29,MAX(0,(Inputs!$B$3-100)*3)+Inputs!$B$28+Inputs!$B$29)))</f>
        <v/>
      </c>
      <c r="E785">
        <f>INDEX(FactorTable!$B$2:$Y$301, MATCH(ROUND(MIN(300,MAX(1,D785)),0), FactorTable!$A$2:$A$301,0), Skills!M9+1)</f>
        <v/>
      </c>
      <c r="F785">
        <f>IF(Skills!N9=TRUE,(Skills!L9/10)*(E785/1000),Skills!L9/10)+Skills!O9</f>
        <v/>
      </c>
      <c r="G785">
        <f>Skills!G9*IF(Skills!H9&gt;0,Skills!I9/Skills!H9,1)</f>
        <v/>
      </c>
      <c r="H785">
        <f>1-(1-Skills!J9/100)^Skills!K9</f>
        <v/>
      </c>
      <c r="I785" t="inlineStr">
        <is>
          <t>1</t>
        </is>
      </c>
      <c r="J785">
        <f>((Inputs!$B$6*(1+Inputs!$B$7/100))+(((Inputs!$B$12*(1+Inputs!$B$13/100))-(Inputs!$B$12*(1+Inputs!$B$13/100)))+0.25*(Inputs!$B$14-Inputs!$B$14))*(1+Inputs!$B$7/100))*(F785/100)</f>
        <v/>
      </c>
      <c r="K785">
        <f>J785*(1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787=TRUE,F787,0)/100)*(1+(IF(Skills!A9="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785)</f>
        <v/>
      </c>
      <c r="L785">
        <f>K785*(MIN(Inputs!$B$22+((C801=TRUE)*(F801-Calc!F25)),(Inputs!$B$23+((C806=TRUE)*(F806-Calc!F30))+(IF(ArtifactsInput!$M$15,CHOOSE(ArtifactsInput!$N$15+1,25,30,35,40,45,50)/100*(Inputs!$B$11-Inputs!$B$11),0))))/100+(Inputs!$B$23+((C806=TRUE)*(F806-Calc!F30))+(IF(ArtifactsInput!$M$15,CHOOSE(ArtifactsInput!$N$15+1,25,30,35,40,45,50)/100*(Inputs!$B$11-Inputs!$B$11),0)))/100)/2</f>
        <v/>
      </c>
      <c r="M785">
        <f>L785*(1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5">
        <f>L785*(1-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785*(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5">
        <f>(1-Summary!$B$11)*T785+Summary!$B$11*V785</f>
        <v/>
      </c>
      <c r="P785">
        <f>IF(B820=0,0,O785/B820)</f>
        <v/>
      </c>
      <c r="Q785">
        <f>IFERROR(1/(IF(Inputs!$B$38="pvp",15,MAX(0.1,Skills!D9-IF(Skills!E9=TRUE,Inputs!$B$32,0)))*(1-IF(AND(ArtifactsInput!$M$27,Inputs!$B$4="Chapter Hunt"),CHOOSE(ArtifactsInput!$N$27+1,20,24,28,32,36,40),0)/100)),0)</f>
        <v/>
      </c>
      <c r="R785">
        <f>IF(AND(Inputs!$B$38&lt;&gt;"pvp",Inputs!$B$43&gt;0),IF(MAX(0,Inputs!$B$43-B817)&lt;=0,0,(INT(MAX(0,Inputs!$B$43-B817)/(IF(Inputs!$B$38="pvp",15,MAX(0.1,Skills!D9-IF(Skills!E9=TRUE,Inputs!$B$32,0)))*(1-IF(AND(ArtifactsInput!$M$27,Inputs!$B$4="Chapter Hunt"),CHOOSE(ArtifactsInput!$N$27+1,20,24,28,32,36,40),0)/100)))+1)),0)</f>
        <v/>
      </c>
      <c r="S785">
        <f>IFERROR(O785/N785,0)</f>
        <v/>
      </c>
      <c r="T785">
        <f>IF(C785,(H785*N785*IF(AND(Inputs!$B$38&lt;&gt;"pvp",Inputs!$B$43&gt;0),((Skills!G9*((R785-1)*IF(Skills!H9&gt;0,Skills!I9/Skills!H9,1)+IF(Skills!H9&gt;0,MIN(Skills!I9,MAX(0,MAX(0,Inputs!$B$43-B817)-((R785-1)*(IF(Inputs!$B$38="pvp",15,MAX(0.1,Skills!D9-IF(Skills!E9=TRUE,Inputs!$B$32,0)))*(1-IF(AND(ArtifactsInput!$M$27,Inputs!$B$4="Chapter Hunt"),CHOOSE(ArtifactsInput!$N$27+1,20,24,28,32,36,40),0)/100)))))/Skills!H9,1)))/Inputs!$B$43),G785*Q785)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785*(1-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785*(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785*(1-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785*(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5">
        <f>IF(C785,(H785*N785*IF(AND(Inputs!$B$38&lt;&gt;"pvp",Inputs!$B$43&gt;0),((Skills!G9*((R785-1)*IF(Skills!H9&gt;0,Skills!I9/Skills!H9,1)+IF(Skills!H9&gt;0,MIN(Skills!I9,MAX(0,MAX(0,Inputs!$B$43-B817)-((R785-1)*(IF(Inputs!$B$38="pvp",15,MAX(0.1,Skills!D9-IF(Skills!E9=TRUE,Inputs!$B$32,0)))*(1-IF(AND(ArtifactsInput!$M$27,Inputs!$B$4="Chapter Hunt"),CHOOSE(ArtifactsInput!$N$27+1,20,24,28,32,36,40),0)/100)))))/Skills!H9,1)))/Inputs!$B$43),G785*Q785))*IF(Inputs!$B$38="pvp",1,(1+(Inputs!$B$21+Skills!Q9+(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6">
      <c r="A786">
        <f>Skills!A10</f>
        <v/>
      </c>
      <c r="B786">
        <f>Skills!B10</f>
        <v/>
      </c>
      <c r="C786">
        <f>Inputs!$B$3&gt;=103</f>
        <v/>
      </c>
      <c r="D786">
        <f>IF(Skills!C10=1,60+Inputs!$B$25+Inputs!$B$29,IF(Skills!C10=2,90+Inputs!$B$26+Inputs!$B$29,IF(Skills!C10=3,120+Inputs!$B$27+Inputs!$B$29,MAX(0,(Inputs!$B$3-100)*3)+Inputs!$B$28+Inputs!$B$29)))</f>
        <v/>
      </c>
      <c r="E786">
        <f>INDEX(FactorTable!$B$2:$Y$301, MATCH(ROUND(MIN(300,MAX(1,D786)),0), FactorTable!$A$2:$A$301,0), Skills!M10+1)</f>
        <v/>
      </c>
      <c r="F786">
        <f>IF(Skills!N10=TRUE,(Skills!L10/10)*(E786/1000),Skills!L10/10)+Skills!O10</f>
        <v/>
      </c>
      <c r="G786">
        <f>Skills!G10*IF(Skills!H10&gt;0,Skills!I10/Skills!H10,1)</f>
        <v/>
      </c>
      <c r="H786">
        <f>1-(1-Skills!J10/100)^Skills!K10</f>
        <v/>
      </c>
      <c r="I786" t="inlineStr">
        <is>
          <t>1</t>
        </is>
      </c>
      <c r="J786">
        <f>((Inputs!$B$6*(1+Inputs!$B$7/100))+(((Inputs!$B$12*(1+Inputs!$B$13/100))-(Inputs!$B$12*(1+Inputs!$B$13/100)))+0.25*(Inputs!$B$14-Inputs!$B$14))*(1+Inputs!$B$7/100))*(F786/100)</f>
        <v/>
      </c>
      <c r="K786">
        <f>J786*(1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786)</f>
        <v/>
      </c>
      <c r="L786">
        <f>K786*(MIN(Inputs!$B$22+((C801=TRUE)*(F801-Calc!F25)),(Inputs!$B$23+((C806=TRUE)*(F806-Calc!F30))+(IF(ArtifactsInput!$M$15,CHOOSE(ArtifactsInput!$N$15+1,25,30,35,40,45,50)/100*(Inputs!$B$11-Inputs!$B$11),0))))/100+(Inputs!$B$23+((C806=TRUE)*(F806-Calc!F30))+(IF(ArtifactsInput!$M$15,CHOOSE(ArtifactsInput!$N$15+1,25,30,35,40,45,50)/100*(Inputs!$B$11-Inputs!$B$11),0)))/100)/2</f>
        <v/>
      </c>
      <c r="M786">
        <f>L786*(1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6">
        <f>L786*(1-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786*(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6">
        <f>(1-Summary!$B$11)*T786+Summary!$B$11*V786</f>
        <v/>
      </c>
      <c r="P786">
        <f>IF(B820=0,0,O786/B820)</f>
        <v/>
      </c>
      <c r="Q786">
        <f>IFERROR(1/(IF(Inputs!$B$38="pvp",15,MAX(0.1,Skills!D10-IF(Skills!E10=TRUE,Inputs!$B$32,0)))*(1-IF(AND(ArtifactsInput!$M$27,Inputs!$B$4="Chapter Hunt"),CHOOSE(ArtifactsInput!$N$27+1,20,24,28,32,36,40),0)/100)),0)</f>
        <v/>
      </c>
      <c r="R786">
        <f>IF(AND(Inputs!$B$38&lt;&gt;"pvp",Inputs!$B$43&gt;0),IF(MAX(0,Inputs!$B$43-B817)&lt;=0,0,(INT(MAX(0,Inputs!$B$43-B817)/(IF(Inputs!$B$38="pvp",15,MAX(0.1,Skills!D10-IF(Skills!E10=TRUE,Inputs!$B$32,0)))*(1-IF(AND(ArtifactsInput!$M$27,Inputs!$B$4="Chapter Hunt"),CHOOSE(ArtifactsInput!$N$27+1,20,24,28,32,36,40),0)/100)))+1)),0)</f>
        <v/>
      </c>
      <c r="S786">
        <f>IFERROR(O786/N786,0)</f>
        <v/>
      </c>
      <c r="T786">
        <f>IF(C786,(H786*N786*IF(AND(Inputs!$B$38&lt;&gt;"pvp",Inputs!$B$43&gt;0),((Skills!G10*((R786-1)*IF(Skills!H10&gt;0,Skills!I10/Skills!H10,1)+IF(Skills!H10&gt;0,MIN(Skills!I10,MAX(0,MAX(0,Inputs!$B$43-B817)-((R786-1)*(IF(Inputs!$B$38="pvp",15,MAX(0.1,Skills!D10-IF(Skills!E10=TRUE,Inputs!$B$32,0)))*(1-IF(AND(ArtifactsInput!$M$27,Inputs!$B$4="Chapter Hunt"),CHOOSE(ArtifactsInput!$N$27+1,20,24,28,32,36,40),0)/100)))))/Skills!H10,1)))/Inputs!$B$43),G786*Q786)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786*(1-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786*(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786*(1-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786*(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6">
        <f>IF(C786,(H786*N786*IF(AND(Inputs!$B$38&lt;&gt;"pvp",Inputs!$B$43&gt;0),((Skills!G10*((R786-1)*IF(Skills!H10&gt;0,Skills!I10/Skills!H10,1)+IF(Skills!H10&gt;0,MIN(Skills!I10,MAX(0,MAX(0,Inputs!$B$43-B817)-((R786-1)*(IF(Inputs!$B$38="pvp",15,MAX(0.1,Skills!D10-IF(Skills!E10=TRUE,Inputs!$B$32,0)))*(1-IF(AND(ArtifactsInput!$M$27,Inputs!$B$4="Chapter Hunt"),CHOOSE(ArtifactsInput!$N$27+1,20,24,28,32,36,40),0)/100)))))/Skills!H10,1)))/Inputs!$B$43),G786*Q786))*IF(Inputs!$B$38="pvp",1,(1+(Inputs!$B$21+Skills!Q10+(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7">
      <c r="A787">
        <f>Skills!A11</f>
        <v/>
      </c>
      <c r="B787">
        <f>Skills!B11</f>
        <v/>
      </c>
      <c r="C787">
        <f>Inputs!$B$3&gt;=100</f>
        <v/>
      </c>
      <c r="D787">
        <f>IF(Skills!C11=1,60+Inputs!$B$25+Inputs!$B$29,IF(Skills!C11=2,90+Inputs!$B$26+Inputs!$B$29,IF(Skills!C11=3,120+Inputs!$B$27+Inputs!$B$29,MAX(0,(Inputs!$B$3-100)*3)+Inputs!$B$28+Inputs!$B$29)))</f>
        <v/>
      </c>
      <c r="E787">
        <f>INDEX(FactorTable!$B$2:$Y$301, MATCH(ROUND(MIN(300,MAX(1,D787)),0), FactorTable!$A$2:$A$301,0), Skills!M11+1)</f>
        <v/>
      </c>
      <c r="F787">
        <f>IF(Skills!N11=TRUE,(Skills!L11/10)*(E787/1000),Skills!L11/10)+Skills!O11</f>
        <v/>
      </c>
      <c r="G787" t="inlineStr"/>
      <c r="H787" t="inlineStr"/>
      <c r="I787" t="inlineStr">
        <is>
          <t>1</t>
        </is>
      </c>
      <c r="J787" t="inlineStr"/>
      <c r="K787" t="inlineStr"/>
      <c r="L787" t="inlineStr"/>
      <c r="M787" t="inlineStr"/>
      <c r="N787" t="inlineStr"/>
      <c r="O787" t="inlineStr"/>
      <c r="P787" t="inlineStr"/>
      <c r="Q787" t="inlineStr"/>
      <c r="R787" t="inlineStr"/>
      <c r="S787" t="inlineStr"/>
      <c r="T787" t="inlineStr"/>
      <c r="V787" t="inlineStr"/>
    </row>
    <row r="788">
      <c r="A788">
        <f>Skills!A12</f>
        <v/>
      </c>
      <c r="B788">
        <f>Skills!B12</f>
        <v/>
      </c>
      <c r="C788">
        <f>Inputs!$B$3&gt;=60</f>
        <v/>
      </c>
      <c r="D788">
        <f>IF(Skills!C12=1,60+Inputs!$B$25+Inputs!$B$29,IF(Skills!C12=2,90+Inputs!$B$26+Inputs!$B$29,IF(Skills!C12=3,120+Inputs!$B$27+Inputs!$B$29,MAX(0,(Inputs!$B$3-100)*3)+Inputs!$B$28+Inputs!$B$29)))</f>
        <v/>
      </c>
      <c r="E788">
        <f>INDEX(FactorTable!$B$2:$Y$301, MATCH(ROUND(MIN(300,MAX(1,D788)),0), FactorTable!$A$2:$A$301,0), Skills!M12+1)</f>
        <v/>
      </c>
      <c r="F788">
        <f>IF(Skills!N12=TRUE,(Skills!L12/10)*(E788/1000),Skills!L12/10)+Skills!O12</f>
        <v/>
      </c>
      <c r="G788">
        <f>Skills!G12*IF(Skills!H12&gt;0,Skills!I12/Skills!H12,1)</f>
        <v/>
      </c>
      <c r="H788">
        <f>1-(1-Skills!J12/100)^Skills!K12</f>
        <v/>
      </c>
      <c r="I788" t="inlineStr">
        <is>
          <t>1</t>
        </is>
      </c>
      <c r="J788">
        <f>((Inputs!$B$6*(1+Inputs!$B$7/100))+(((Inputs!$B$12*(1+Inputs!$B$13/100))-(Inputs!$B$12*(1+Inputs!$B$13/100)))+0.25*(Inputs!$B$14-Inputs!$B$14))*(1+Inputs!$B$7/100))*(F788/100)</f>
        <v/>
      </c>
      <c r="K788">
        <f>J788*(1+((Inputs!$B$12*(1+Inputs!$B$13/100))*0.01+Inputs!$B$14*0.0025)/100)*(1+Inputs!$B$15/100)*(1+Inputs!$B$16/100)*(5000/(6000+Inputs!$B$42*(1-(100*(1-(1-(Inputs!$B$19+((C804=TRUE)*(F804-Calc!F28)))/100)*(1-CHOOSE(ArtifactsInput!$N$40+1,5,6,7,8,9,10)/100)^(ArtifactsInput!$M$40-ArtifactsInput!$M$40)))/100)))*(1+(Inputs!$B$24+((C802=TRUE)*(F802-Calc!F26))+((C803=TRUE)*(F803-Calc!F27))+B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789=TRUE,F789,0)/100)*(1+(IF(Skills!A12="ARROW_STREAM",Inputs!$B$17+((C800=TRUE)*(F800-Calc!F24))+(((IF(AND(ArtifactsInput!$M$42,((Inputs!$B$9+((C797=TRUE)*(F797-Calc!F21))+B810+(ArtifactsInput!$M$24-ArtifactsInput!$M$24)*CHOOSE(ArtifactsInput!$N$24+1,10,12,14,16,18,20)+IF(ArtifactsInput!$M$10,CHOOSE(ArtifactsInput!$N$10+1,15,18,21,24,27,30)*(IF(Inputs!$B$38="pvp",MIN(15,15)/15,IF(AND(Inputs!$B$38&lt;&gt;"pvp",Inputs!$B$43&gt;0),MIN(15,Inputs!$B$43)/(Inputs!$B$43),0))),0)))&gt;=100),MIN(100,((Inputs!$B$9+((C797=TRUE)*(F797-Calc!F21))+B810+(ArtifactsInput!$M$24-ArtifactsInput!$M$24)*CHOOSE(ArtifactsInput!$N$24+1,10,12,14,16,18,20)+IF(ArtifactsInput!$M$10,CHOOSE(ArtifactsInput!$N$10+1,15,18,21,24,27,30)*(IF(Inputs!$B$38="pvp",MIN(15,15)/15,IF(AND(Inputs!$B$38&lt;&gt;"pvp",Inputs!$B$43&gt;0),MIN(15,Inputs!$B$43)/(Inputs!$B$43),0))),0)))-100),0))*CHOOSE(ArtifactsInput!$N$42+1,0.6,0.72,0.84,0.96,1.08,1.2))),(Inputs!$B$18+1)+((C805=TRUE)*(F805-Calc!F29))+(IF(AND(ArtifactsInput!$M$42,((Inputs!$B$9+((C797=TRUE)*(F797-Calc!F21))+B810+(ArtifactsInput!$M$24-ArtifactsInput!$M$24)*CHOOSE(ArtifactsInput!$N$24+1,10,12,14,16,18,20)+IF(ArtifactsInput!$M$10,CHOOSE(ArtifactsInput!$N$10+1,15,18,21,24,27,30)*(IF(Inputs!$B$38="pvp",MIN(15,15)/15,IF(AND(Inputs!$B$38&lt;&gt;"pvp",Inputs!$B$43&gt;0),MIN(15,Inputs!$B$43)/(Inputs!$B$43),0))),0)))&gt;=100),CHOOSE(ArtifactsInput!$N$42+1,40,48,56,64,72,80),0))))/100)*((1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788)</f>
        <v/>
      </c>
      <c r="L788">
        <f>K788*(MIN(Inputs!$B$22+((C801=TRUE)*(F801-Calc!F25)),(Inputs!$B$23+((C806=TRUE)*(F806-Calc!F30))+(IF(ArtifactsInput!$M$15,CHOOSE(ArtifactsInput!$N$15+1,25,30,35,40,45,50)/100*(Inputs!$B$11-Inputs!$B$11),0))))/100+(Inputs!$B$23+((C806=TRUE)*(F806-Calc!F30))+(IF(ArtifactsInput!$M$15,CHOOSE(ArtifactsInput!$N$15+1,25,30,35,40,45,50)/100*(Inputs!$B$11-Inputs!$B$11),0)))/100)/2</f>
        <v/>
      </c>
      <c r="M788">
        <f>L788*(1+(Inputs!$B$10+0+B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8">
        <f>L788*(1-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788*(MIN((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8">
        <f>(1-Summary!$B$11)*T788+Summary!$B$11*V788</f>
        <v/>
      </c>
      <c r="P788">
        <f>IF(B820=0,0,O788/B820)</f>
        <v/>
      </c>
      <c r="Q788">
        <f>IFERROR(1/(IF(Inputs!$B$38="pvp",15,MAX(0.1,Skills!D12-IF(Skills!E12=TRUE,Inputs!$B$32,0)))*(1-IF(AND(ArtifactsInput!$M$27,Inputs!$B$4="Chapter Hunt"),CHOOSE(ArtifactsInput!$N$27+1,20,24,28,32,36,40),0)/100)),0)</f>
        <v/>
      </c>
      <c r="R788">
        <f>IF(AND(Inputs!$B$38&lt;&gt;"pvp",Inputs!$B$43&gt;0),IF(MAX(0,Inputs!$B$43-B817)&lt;=0,0,(INT(MAX(0,Inputs!$B$43-B817)/(IF(Inputs!$B$38="pvp",15,MAX(0.1,Skills!D12-IF(Skills!E12=TRUE,Inputs!$B$32,0)))*(1-IF(AND(ArtifactsInput!$M$27,Inputs!$B$4="Chapter Hunt"),CHOOSE(ArtifactsInput!$N$27+1,20,24,28,32,36,40),0)/100)))+1)),0)</f>
        <v/>
      </c>
      <c r="S788">
        <f>IFERROR(O788/N788,0)</f>
        <v/>
      </c>
      <c r="T788">
        <f>IF(C788,(H788*N788*IF(AND(Inputs!$B$38&lt;&gt;"pvp",Inputs!$B$43&gt;0),((Skills!G12*((R788-1)*IF(Skills!H12&gt;0,Skills!I12/Skills!H12,1)+IF(Skills!H12&gt;0,MIN(Skills!I12,MAX(0,MAX(0,Inputs!$B$43-B817)-((R788-1)*(IF(Inputs!$B$38="pvp",15,MAX(0.1,Skills!D12-IF(Skills!E12=TRUE,Inputs!$B$32,0)))*(1-IF(AND(ArtifactsInput!$M$27,Inputs!$B$4="Chapter Hunt"),CHOOSE(ArtifactsInput!$N$27+1,20,24,28,32,36,40),0)/100)))))/Skills!H12,1)))/Inputs!$B$43),G788*Q788))*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(5000/(6000+Inputs!$B$42*(1-(100*(1-(1-(100*(1-(1-(Inputs!$B$19+((C804=TRUE)*(F804-Calc!F28)))/100)*(1-CHOOSE(ArtifactsInput!$N$40+1,5,6,7,8,9,10)/100)^(ArtifactsInput!$M$40-ArtifactsInput!$M$40)))/100)*(1-IF(ArtifactsInput!$M$40,CHOOSE(ArtifactsInput!$N$40+1,5,6,7,8,9,10),0)/100)^IF(Inputs!$B$38="pvp",1,2)))/100)))/(5000/(6000+Inputs!$B$42*(1-(100*(1-(1-(Inputs!$B$19+((C804=TRUE)*(F804-Calc!F28)))/100)*(1-CHOOSE(ArtifactsInput!$N$40+1,5,6,7,8,9,10)/100)^(ArtifactsInput!$M$40-ArtifactsInput!$M$40)))/100))))*((L788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788*(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788*(1-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788*(MIN(100,(Inputs!$B$9+((C797=TRUE)*(F797-Calc!F21))+B810+(ArtifactsInput!$M$24-ArtifactsInput!$M$24)*CHOOSE(ArtifactsInput!$N$24+1,10,12,14,16,18,20)+(IF(AND(ArtifactsInput!$M$42,((Inputs!$B$9+((C797=TRUE)*(F797-Calc!F21))+B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8">
        <f>IF(C788,(H788*N788*IF(AND(Inputs!$B$38&lt;&gt;"pvp",Inputs!$B$43&gt;0),((Skills!G12*((R788-1)*IF(Skills!H12&gt;0,Skills!I12/Skills!H12,1)+IF(Skills!H12&gt;0,MIN(Skills!I12,MAX(0,MAX(0,Inputs!$B$43-B817)-((R788-1)*(IF(Inputs!$B$38="pvp",15,MAX(0.1,Skills!D12-IF(Skills!E12=TRUE,Inputs!$B$32,0)))*(1-IF(AND(ArtifactsInput!$M$27,Inputs!$B$4="Chapter Hunt"),CHOOSE(ArtifactsInput!$N$27+1,20,24,28,32,36,40),0)/100)))))/Skills!H12,1)))/Inputs!$B$43),G788*Q788))*IF(Inputs!$B$38="pvp",1,(1+(Inputs!$B$21+Skills!Q12+(IF(ArtifactsInput!$M$33,CHOOSE(ArtifactsInput!$N$33+1,30,36,42,48,54,60),0))+(IF(AND(ArtifactsInput!$M$35,Inputs!$B$4&lt;&gt;"Chapter Hunt"),CHOOSE(ArtifactsInput!$N$35+1,15,18,21,24,27,30)*(1-EXP(-(0.2*B812)*5)),0)+IF(AND(ArtifactsInput!$M$22,Inputs!$B$4&lt;&gt;"Chapter Hunt"),CHOOSE(ArtifactsInput!$N$22+1,10,12,14,16,18,20)*((0*(((0.15*B812*5))^0/1)+1*(((0.15*B812*5))^1/1)+2*(((0.15*B812*5))^2/2)+3*(((0.15*B812*5))^3/6)+4*(((0.15*B812*5))^4/24)+5*(((0.15*B812*5))^5/120))/((((0.15*B812*5))^0/1)+(((0.15*B812*5))^1/1)+(((0.15*B812*5))^2/2)+(((0.15*B812*5))^3/6)+(((0.15*B812*5))^4/24)+(((0.15*B812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9">
      <c r="A789">
        <f>Skills!A13</f>
        <v/>
      </c>
      <c r="B789">
        <f>Skills!B13</f>
        <v/>
      </c>
      <c r="C789">
        <f>Inputs!$B$3&gt;=110</f>
        <v/>
      </c>
      <c r="D789">
        <f>IF(Skills!C13=1,60+Inputs!$B$25+Inputs!$B$29,IF(Skills!C13=2,90+Inputs!$B$26+Inputs!$B$29,IF(Skills!C13=3,120+Inputs!$B$27+Inputs!$B$29,MAX(0,(Inputs!$B$3-100)*3)+Inputs!$B$28+Inputs!$B$29)))</f>
        <v/>
      </c>
      <c r="E789">
        <f>INDEX(FactorTable!$B$2:$Y$301, MATCH(ROUND(MIN(300,MAX(1,D789)),0), FactorTable!$A$2:$A$301,0), Skills!M13+1)</f>
        <v/>
      </c>
      <c r="F789">
        <f>IF(Skills!N13=TRUE,(Skills!L13/10)*(E789/1000),Skills!L13/10)+Skills!O13</f>
        <v/>
      </c>
      <c r="G789" t="inlineStr"/>
      <c r="H789" t="inlineStr"/>
      <c r="I789" t="inlineStr">
        <is>
          <t>1</t>
        </is>
      </c>
      <c r="J789" t="inlineStr"/>
      <c r="K789" t="inlineStr"/>
      <c r="L789" t="inlineStr"/>
      <c r="M789" t="inlineStr"/>
      <c r="N789" t="inlineStr"/>
      <c r="O789" t="inlineStr"/>
      <c r="P789" t="inlineStr"/>
      <c r="Q789" t="inlineStr"/>
      <c r="R789" t="inlineStr"/>
      <c r="S789" t="inlineStr"/>
      <c r="T789" t="inlineStr"/>
      <c r="V789" t="inlineStr"/>
    </row>
    <row r="790">
      <c r="A790">
        <f>Skills!A14</f>
        <v/>
      </c>
      <c r="B790">
        <f>Skills!B14</f>
        <v/>
      </c>
      <c r="C790">
        <f>Inputs!$B$3&gt;=74</f>
        <v/>
      </c>
      <c r="D790">
        <f>IF(Skills!C14=1,60+Inputs!$B$25+Inputs!$B$29,IF(Skills!C14=2,90+Inputs!$B$26+Inputs!$B$29,IF(Skills!C14=3,120+Inputs!$B$27+Inputs!$B$29,MAX(0,(Inputs!$B$3-100)*3)+Inputs!$B$28+Inputs!$B$29)))</f>
        <v/>
      </c>
      <c r="E790">
        <f>INDEX(FactorTable!$B$2:$Y$301, MATCH(ROUND(MIN(300,MAX(1,D790)),0), FactorTable!$A$2:$A$301,0), Skills!M14+1)</f>
        <v/>
      </c>
      <c r="F790">
        <f>IF(Skills!N14=TRUE,(Skills!L14/10)*(E790/1000),Skills!L14/10)+Skills!O14</f>
        <v/>
      </c>
      <c r="G790">
        <f>Skills!G14*IF(Skills!H14&gt;0,Skills!I14/Skills!H14,1)</f>
        <v/>
      </c>
      <c r="H790">
        <f>1-(1-Skills!J14/100)^Skills!K14</f>
        <v/>
      </c>
      <c r="I790" t="inlineStr">
        <is>
          <t>1</t>
        </is>
      </c>
      <c r="J790" t="inlineStr"/>
      <c r="K790" t="inlineStr"/>
      <c r="L790" t="inlineStr"/>
      <c r="M790" t="inlineStr"/>
      <c r="N790" t="inlineStr"/>
      <c r="O790">
        <f>(1-Summary!$B$11)*T790+Summary!$B$11*V790</f>
        <v/>
      </c>
      <c r="P790">
        <f>IF(B820=0,0,O790/B820)</f>
        <v/>
      </c>
      <c r="Q790" t="n">
        <v>0</v>
      </c>
      <c r="R790" t="n">
        <v>0</v>
      </c>
      <c r="S790">
        <f>IFERROR(O790/N790,0)</f>
        <v/>
      </c>
      <c r="T790" t="n">
        <v>0</v>
      </c>
      <c r="V790" t="n">
        <v>0</v>
      </c>
    </row>
    <row r="791">
      <c r="A791">
        <f>Skills!A15</f>
        <v/>
      </c>
      <c r="B791">
        <f>Skills!B15</f>
        <v/>
      </c>
      <c r="C791">
        <f>Inputs!$B$3&gt;=74</f>
        <v/>
      </c>
      <c r="D791">
        <f>IF(Skills!C15=1,60+Inputs!$B$25+Inputs!$B$29,IF(Skills!C15=2,90+Inputs!$B$26+Inputs!$B$29,IF(Skills!C15=3,120+Inputs!$B$27+Inputs!$B$29,MAX(0,(Inputs!$B$3-100)*3)+Inputs!$B$28+Inputs!$B$29)))</f>
        <v/>
      </c>
      <c r="E791">
        <f>INDEX(FactorTable!$B$2:$Y$301, MATCH(ROUND(MIN(300,MAX(1,D791)),0), FactorTable!$A$2:$A$301,0), Skills!M15+1)</f>
        <v/>
      </c>
      <c r="F791">
        <f>IF(Skills!N15=TRUE,(Skills!L15/10)*(E791/1000),Skills!L15/10)+Skills!O15</f>
        <v/>
      </c>
      <c r="G791">
        <f>Skills!G15*IF(Skills!H15&gt;0,Skills!I15/Skills!H15,1)</f>
        <v/>
      </c>
      <c r="H791">
        <f>1-(1-Skills!J15/100)^Skills!K15</f>
        <v/>
      </c>
      <c r="I791" t="inlineStr">
        <is>
          <t>1</t>
        </is>
      </c>
      <c r="J791" t="inlineStr"/>
      <c r="K791" t="inlineStr"/>
      <c r="L791" t="inlineStr"/>
      <c r="M791" t="inlineStr"/>
      <c r="N791" t="inlineStr"/>
      <c r="O791">
        <f>(1-Summary!$B$11)*T791+Summary!$B$11*V791</f>
        <v/>
      </c>
      <c r="P791">
        <f>IF(B820=0,0,O791/B820)</f>
        <v/>
      </c>
      <c r="Q791" t="n">
        <v>0</v>
      </c>
      <c r="R791" t="n">
        <v>0</v>
      </c>
      <c r="S791">
        <f>IFERROR(O791/N791,0)</f>
        <v/>
      </c>
      <c r="T791" t="n">
        <v>0</v>
      </c>
      <c r="V791" t="n">
        <v>0</v>
      </c>
    </row>
    <row r="792">
      <c r="A792">
        <f>Skills!A16</f>
        <v/>
      </c>
      <c r="B792">
        <f>Skills!B16</f>
        <v/>
      </c>
      <c r="C792">
        <f>Inputs!$B$3&gt;=117</f>
        <v/>
      </c>
      <c r="D792">
        <f>IF(Skills!C16=1,60+Inputs!$B$25+Inputs!$B$29,IF(Skills!C16=2,90+Inputs!$B$26+Inputs!$B$29,IF(Skills!C16=3,120+Inputs!$B$27+Inputs!$B$29,MAX(0,(Inputs!$B$3-100)*3)+Inputs!$B$28+Inputs!$B$29)))</f>
        <v/>
      </c>
      <c r="E792">
        <f>INDEX(FactorTable!$B$2:$Y$301, MATCH(ROUND(MIN(300,MAX(1,D792)),0), FactorTable!$A$2:$A$301,0), Skills!M16+1)</f>
        <v/>
      </c>
      <c r="F792">
        <f>IF(Skills!N16=TRUE,(Skills!L16/10)*(E792/1000),Skills!L16/10)+Skills!O16</f>
        <v/>
      </c>
      <c r="G792">
        <f>Skills!G16*IF(Skills!H16&gt;0,Skills!I16/Skills!H16,1)</f>
        <v/>
      </c>
      <c r="H792">
        <f>1-(1-Skills!J16/100)^Skills!K16</f>
        <v/>
      </c>
      <c r="I792" t="inlineStr">
        <is>
          <t>1</t>
        </is>
      </c>
      <c r="J792" t="inlineStr"/>
      <c r="K792" t="inlineStr"/>
      <c r="L792" t="inlineStr"/>
      <c r="M792" t="inlineStr"/>
      <c r="N792" t="inlineStr"/>
      <c r="O792">
        <f>(1-Summary!$B$11)*T792+Summary!$B$11*V792</f>
        <v/>
      </c>
      <c r="P792">
        <f>IF(B820=0,0,O792/B820)</f>
        <v/>
      </c>
      <c r="Q792">
        <f>IFERROR(1/(IF(Inputs!$B$38="pvp",15,MAX(0.1,Skills!D16-IF(Skills!E16=TRUE,Inputs!$B$32,0)))*(1-IF(AND(ArtifactsInput!$M$27,Inputs!$B$4="Chapter Hunt"),CHOOSE(ArtifactsInput!$N$27+1,20,24,28,32,36,40),0)/100)),0)</f>
        <v/>
      </c>
      <c r="R792">
        <f>IF(AND(Inputs!$B$38&lt;&gt;"pvp",Inputs!$B$43&gt;0),IF(Inputs!$B$43&lt;=0,0,(INT(Inputs!$B$43/(IF(Inputs!$B$38="pvp",15,MAX(0.1,Skills!D16-IF(Skills!E16=TRUE,Inputs!$B$32,0)))*(1-IF(AND(ArtifactsInput!$M$27,Inputs!$B$4="Chapter Hunt"),CHOOSE(ArtifactsInput!$N$27+1,20,24,28,32,36,40),0)/100)))+1)),0)</f>
        <v/>
      </c>
      <c r="S792">
        <f>IFERROR(O792/N792,0)</f>
        <v/>
      </c>
      <c r="T792" t="n">
        <v>0</v>
      </c>
      <c r="V792" t="n">
        <v>0</v>
      </c>
    </row>
    <row r="793">
      <c r="A793">
        <f>Skills!A17</f>
        <v/>
      </c>
      <c r="B793">
        <f>Skills!B17</f>
        <v/>
      </c>
      <c r="C793">
        <f>Inputs!$B$3&gt;=115</f>
        <v/>
      </c>
      <c r="D793">
        <f>IF(Skills!C17=1,60+Inputs!$B$25+Inputs!$B$29,IF(Skills!C17=2,90+Inputs!$B$26+Inputs!$B$29,IF(Skills!C17=3,120+Inputs!$B$27+Inputs!$B$29,MAX(0,(Inputs!$B$3-100)*3)+Inputs!$B$28+Inputs!$B$29)))</f>
        <v/>
      </c>
      <c r="E793">
        <f>INDEX(FactorTable!$B$2:$Y$301, MATCH(ROUND(MIN(300,MAX(1,D793)),0), FactorTable!$A$2:$A$301,0), Skills!M17+1)</f>
        <v/>
      </c>
      <c r="F793">
        <f>IF(Skills!N17=TRUE,(Skills!L17/10)*(E793/1000),Skills!L17/10)+Skills!O17</f>
        <v/>
      </c>
      <c r="G793">
        <f>Skills!G17*IF(Skills!H17&gt;0,Skills!I17/Skills!H17,1)</f>
        <v/>
      </c>
      <c r="H793">
        <f>1-(1-Skills!J17/100)^Skills!K17</f>
        <v/>
      </c>
      <c r="I793" t="inlineStr">
        <is>
          <t>1</t>
        </is>
      </c>
      <c r="J793" t="inlineStr"/>
      <c r="K793" t="inlineStr"/>
      <c r="L793" t="inlineStr"/>
      <c r="M793" t="inlineStr"/>
      <c r="N793" t="inlineStr"/>
      <c r="O793">
        <f>(1-Summary!$B$11)*T793+Summary!$B$11*V793</f>
        <v/>
      </c>
      <c r="P793">
        <f>IF(B820=0,0,O793/B820)</f>
        <v/>
      </c>
      <c r="Q793">
        <f>IFERROR(1/(IF(Inputs!$B$38="pvp",15,MAX(0.1,Skills!D17-IF(Skills!E17=TRUE,Inputs!$B$32,0)))*(1-IF(AND(ArtifactsInput!$M$27,Inputs!$B$4="Chapter Hunt"),CHOOSE(ArtifactsInput!$N$27+1,20,24,28,32,36,40),0)/100)),0)</f>
        <v/>
      </c>
      <c r="R793">
        <f>IF(AND(Inputs!$B$38&lt;&gt;"pvp",Inputs!$B$43&gt;0),IF(Inputs!$B$43&lt;=0,0,(INT(Inputs!$B$43/(IF(Inputs!$B$38="pvp",15,MAX(0.1,Skills!D17-IF(Skills!E17=TRUE,Inputs!$B$32,0)))*(1-IF(AND(ArtifactsInput!$M$27,Inputs!$B$4="Chapter Hunt"),CHOOSE(ArtifactsInput!$N$27+1,20,24,28,32,36,40),0)/100)))+1)),0)</f>
        <v/>
      </c>
      <c r="S793">
        <f>IFERROR(O793/N793,0)</f>
        <v/>
      </c>
      <c r="T793" t="n">
        <v>0</v>
      </c>
      <c r="V793" t="n">
        <v>0</v>
      </c>
    </row>
    <row r="794">
      <c r="A794">
        <f>Skills!A18</f>
        <v/>
      </c>
      <c r="B794">
        <f>Skills!B18</f>
        <v/>
      </c>
      <c r="C794">
        <f>Inputs!$B$3&gt;=66</f>
        <v/>
      </c>
      <c r="D794">
        <f>IF(Skills!C18=1,60+Inputs!$B$25+Inputs!$B$29,IF(Skills!C18=2,90+Inputs!$B$26+Inputs!$B$29,IF(Skills!C18=3,120+Inputs!$B$27+Inputs!$B$29,MAX(0,(Inputs!$B$3-100)*3)+Inputs!$B$28+Inputs!$B$29)))</f>
        <v/>
      </c>
      <c r="E794">
        <f>INDEX(FactorTable!$B$2:$Y$301, MATCH(ROUND(MIN(300,MAX(1,D794)),0), FactorTable!$A$2:$A$301,0), Skills!M18+1)</f>
        <v/>
      </c>
      <c r="F794">
        <f>IF(Skills!N18=TRUE,(Skills!L18/10)*(E794/1000),Skills!L18/10)+Skills!O18</f>
        <v/>
      </c>
      <c r="G794">
        <f>Skills!G18*IF(Skills!H18&gt;0,Skills!I18/Skills!H18,1)</f>
        <v/>
      </c>
      <c r="H794">
        <f>1-(1-Skills!J18/100)^Skills!K18</f>
        <v/>
      </c>
      <c r="I794" t="inlineStr">
        <is>
          <t>1</t>
        </is>
      </c>
      <c r="J794" t="inlineStr"/>
      <c r="K794" t="inlineStr"/>
      <c r="L794" t="inlineStr"/>
      <c r="M794" t="inlineStr"/>
      <c r="N794" t="inlineStr"/>
      <c r="O794">
        <f>(1-Summary!$B$11)*T794+Summary!$B$11*V794</f>
        <v/>
      </c>
      <c r="P794">
        <f>IF(B820=0,0,O794/B820)</f>
        <v/>
      </c>
      <c r="Q794" t="n">
        <v>0</v>
      </c>
      <c r="R794" t="n">
        <v>0</v>
      </c>
      <c r="S794">
        <f>IFERROR(O794/N794,0)</f>
        <v/>
      </c>
      <c r="T794" t="n">
        <v>0</v>
      </c>
      <c r="V794" t="n">
        <v>0</v>
      </c>
    </row>
    <row r="795">
      <c r="A795">
        <f>Skills!A19</f>
        <v/>
      </c>
      <c r="B795">
        <f>Skills!B19</f>
        <v/>
      </c>
      <c r="C795">
        <f>Inputs!$B$3&gt;=72</f>
        <v/>
      </c>
      <c r="D795">
        <f>IF(Skills!C19=1,60+Inputs!$B$25+Inputs!$B$29,IF(Skills!C19=2,90+Inputs!$B$26+Inputs!$B$29,IF(Skills!C19=3,120+Inputs!$B$27+Inputs!$B$29,MAX(0,(Inputs!$B$3-100)*3)+Inputs!$B$28+Inputs!$B$29)))</f>
        <v/>
      </c>
      <c r="E795">
        <f>INDEX(FactorTable!$B$2:$Y$301, MATCH(ROUND(MIN(300,MAX(1,D795)),0), FactorTable!$A$2:$A$301,0), Skills!M19+1)</f>
        <v/>
      </c>
      <c r="F795">
        <f>IF(Skills!N19=TRUE,(Skills!L19/10)*(E795/1000),Skills!L19/10)+Skills!O19</f>
        <v/>
      </c>
      <c r="G795">
        <f>Skills!G19*IF(Skills!H19&gt;0,Skills!I19/Skills!H19,1)</f>
        <v/>
      </c>
      <c r="H795">
        <f>1-(1-Skills!J19/100)^Skills!K19</f>
        <v/>
      </c>
      <c r="I795" t="inlineStr">
        <is>
          <t>1</t>
        </is>
      </c>
      <c r="J795" t="inlineStr"/>
      <c r="K795" t="inlineStr"/>
      <c r="L795" t="inlineStr"/>
      <c r="M795" t="inlineStr"/>
      <c r="N795" t="inlineStr"/>
      <c r="O795">
        <f>(1-Summary!$B$11)*T795+Summary!$B$11*V795</f>
        <v/>
      </c>
      <c r="P795">
        <f>IF(B820=0,0,O795/B820)</f>
        <v/>
      </c>
      <c r="Q795" t="n">
        <v>0</v>
      </c>
      <c r="R795" t="n">
        <v>0</v>
      </c>
      <c r="S795">
        <f>IFERROR(O795/N795,0)</f>
        <v/>
      </c>
      <c r="T795" t="n">
        <v>0</v>
      </c>
      <c r="V795" t="n">
        <v>0</v>
      </c>
    </row>
    <row r="796">
      <c r="A796">
        <f>Skills!A20</f>
        <v/>
      </c>
      <c r="B796">
        <f>Skills!B20</f>
        <v/>
      </c>
      <c r="C796">
        <f>TRUE</f>
        <v/>
      </c>
      <c r="D796">
        <f>IF(Skills!C20=1,60+Inputs!$B$25+Inputs!$B$29,IF(Skills!C20=2,90+Inputs!$B$26+Inputs!$B$29,IF(Skills!C20=3,120+Inputs!$B$27+Inputs!$B$29,MAX(0,(Inputs!$B$3-100)*3)+Inputs!$B$28+Inputs!$B$29)))</f>
        <v/>
      </c>
      <c r="E796">
        <f>INDEX(FactorTable!$B$2:$Y$301, MATCH(ROUND(MIN(300,MAX(1,D796)),0), FactorTable!$A$2:$A$301,0), Skills!M20+1)</f>
        <v/>
      </c>
      <c r="F796">
        <f>IF(Skills!N20=TRUE,(Skills!L20/10)*(E796/1000),Skills!L20/10)+Skills!O20</f>
        <v/>
      </c>
      <c r="G796">
        <f>Skills!G20*IF(Skills!H20&gt;0,Skills!I20/Skills!H20,1)</f>
        <v/>
      </c>
      <c r="H796">
        <f>1-(1-Skills!J20/100)^Skills!K20</f>
        <v/>
      </c>
      <c r="I796" t="inlineStr">
        <is>
          <t>1</t>
        </is>
      </c>
      <c r="J796" t="inlineStr"/>
      <c r="K796" t="inlineStr"/>
      <c r="L796" t="inlineStr"/>
      <c r="M796" t="inlineStr"/>
      <c r="N796" t="inlineStr"/>
      <c r="O796">
        <f>(1-Summary!$B$11)*T796+Summary!$B$11*V796</f>
        <v/>
      </c>
      <c r="P796">
        <f>IF(B820=0,0,O796/B820)</f>
        <v/>
      </c>
      <c r="Q796">
        <f>IFERROR(1/(IF(Inputs!$B$38="pvp",15,MAX(0.1,Skills!D20-IF(Skills!E20=TRUE,Inputs!$B$32,0)))*(1-IF(AND(ArtifactsInput!$M$27,Inputs!$B$4="Chapter Hunt"),CHOOSE(ArtifactsInput!$N$27+1,20,24,28,32,36,40),0)/100)),0)</f>
        <v/>
      </c>
      <c r="R796">
        <f>IF(AND(Inputs!$B$38&lt;&gt;"pvp",Inputs!$B$43&gt;0),IF(Inputs!$B$43&lt;=0,0,(INT(Inputs!$B$43/(IF(Inputs!$B$38="pvp",15,MAX(0.1,Skills!D20-IF(Skills!E20=TRUE,Inputs!$B$32,0)))*(1-IF(AND(ArtifactsInput!$M$27,Inputs!$B$4="Chapter Hunt"),CHOOSE(ArtifactsInput!$N$27+1,20,24,28,32,36,40),0)/100)))+1)),0)</f>
        <v/>
      </c>
      <c r="S796">
        <f>IFERROR(O796/N796,0)</f>
        <v/>
      </c>
      <c r="T796" t="n">
        <v>0</v>
      </c>
      <c r="V796" t="n">
        <v>0</v>
      </c>
    </row>
    <row r="797">
      <c r="A797">
        <f>Skills!A21</f>
        <v/>
      </c>
      <c r="B797">
        <f>Skills!B21</f>
        <v/>
      </c>
      <c r="C797">
        <f>Inputs!$B$3&gt;=15</f>
        <v/>
      </c>
      <c r="D797">
        <f>IF(Skills!C21=1,60+Inputs!$B$25+Inputs!$B$29,IF(Skills!C21=2,90+Inputs!$B$26+Inputs!$B$29,IF(Skills!C21=3,120+Inputs!$B$27+Inputs!$B$29,MAX(0,(Inputs!$B$3-100)*3)+Inputs!$B$28+Inputs!$B$29)))</f>
        <v/>
      </c>
      <c r="E797">
        <f>INDEX(FactorTable!$B$2:$Y$301, MATCH(ROUND(MIN(300,MAX(1,D797)),0), FactorTable!$A$2:$A$301,0), Skills!M21+1)</f>
        <v/>
      </c>
      <c r="F797">
        <f>IF(Skills!N21=TRUE,(Skills!L21/10)*(E797/1000),Skills!L21/10)+Skills!O21</f>
        <v/>
      </c>
      <c r="G797">
        <f>Skills!G21*IF(Skills!H21&gt;0,Skills!I21/Skills!H21,1)</f>
        <v/>
      </c>
      <c r="H797">
        <f>1-(1-Skills!J21/100)^Skills!K21</f>
        <v/>
      </c>
      <c r="I797" t="inlineStr">
        <is>
          <t>1</t>
        </is>
      </c>
      <c r="J797" t="inlineStr"/>
      <c r="K797" t="inlineStr"/>
      <c r="L797" t="inlineStr"/>
      <c r="M797" t="inlineStr"/>
      <c r="N797" t="inlineStr"/>
      <c r="O797">
        <f>(1-Summary!$B$11)*T797+Summary!$B$11*V797</f>
        <v/>
      </c>
      <c r="P797">
        <f>IF(B820=0,0,O797/B820)</f>
        <v/>
      </c>
      <c r="Q797" t="n">
        <v>0</v>
      </c>
      <c r="R797" t="n">
        <v>0</v>
      </c>
      <c r="S797">
        <f>IFERROR(O797/N797,0)</f>
        <v/>
      </c>
      <c r="T797" t="n">
        <v>0</v>
      </c>
      <c r="V797" t="n">
        <v>0</v>
      </c>
    </row>
    <row r="798">
      <c r="A798">
        <f>Skills!A22</f>
        <v/>
      </c>
      <c r="B798">
        <f>Skills!B22</f>
        <v/>
      </c>
      <c r="C798">
        <f>Inputs!$B$3&gt;=10</f>
        <v/>
      </c>
      <c r="D798">
        <f>IF(Skills!C22=1,60+Inputs!$B$25+Inputs!$B$29,IF(Skills!C22=2,90+Inputs!$B$26+Inputs!$B$29,IF(Skills!C22=3,120+Inputs!$B$27+Inputs!$B$29,MAX(0,(Inputs!$B$3-100)*3)+Inputs!$B$28+Inputs!$B$29)))</f>
        <v/>
      </c>
      <c r="E798">
        <f>INDEX(FactorTable!$B$2:$Y$301, MATCH(ROUND(MIN(300,MAX(1,D798)),0), FactorTable!$A$2:$A$301,0), Skills!M22+1)</f>
        <v/>
      </c>
      <c r="F798">
        <f>IF(Skills!N22=TRUE,(Skills!L22/10)*(E798/1000),Skills!L22/10)+Skills!O22</f>
        <v/>
      </c>
      <c r="G798">
        <f>Skills!G22*IF(Skills!H22&gt;0,Skills!I22/Skills!H22,1)</f>
        <v/>
      </c>
      <c r="H798">
        <f>1-(1-Skills!J22/100)^Skills!K22</f>
        <v/>
      </c>
      <c r="I798" t="inlineStr">
        <is>
          <t>1</t>
        </is>
      </c>
      <c r="J798" t="inlineStr"/>
      <c r="K798" t="inlineStr"/>
      <c r="L798" t="inlineStr"/>
      <c r="M798" t="inlineStr"/>
      <c r="N798" t="inlineStr"/>
      <c r="O798">
        <f>(1-Summary!$B$11)*T798+Summary!$B$11*V798</f>
        <v/>
      </c>
      <c r="P798">
        <f>IF(B820=0,0,O798/B820)</f>
        <v/>
      </c>
      <c r="Q798" t="n">
        <v>0</v>
      </c>
      <c r="R798" t="n">
        <v>0</v>
      </c>
      <c r="S798">
        <f>IFERROR(O798/N798,0)</f>
        <v/>
      </c>
      <c r="T798" t="n">
        <v>0</v>
      </c>
      <c r="V798" t="n">
        <v>0</v>
      </c>
    </row>
    <row r="799">
      <c r="A799">
        <f>Skills!A23</f>
        <v/>
      </c>
      <c r="B799">
        <f>Skills!B23</f>
        <v/>
      </c>
      <c r="C799">
        <f>Inputs!$B$3&gt;=33</f>
        <v/>
      </c>
      <c r="D799">
        <f>IF(Skills!C23=1,60+Inputs!$B$25+Inputs!$B$29,IF(Skills!C23=2,90+Inputs!$B$26+Inputs!$B$29,IF(Skills!C23=3,120+Inputs!$B$27+Inputs!$B$29,MAX(0,(Inputs!$B$3-100)*3)+Inputs!$B$28+Inputs!$B$29)))</f>
        <v/>
      </c>
      <c r="E799">
        <f>INDEX(FactorTable!$B$2:$Y$301, MATCH(ROUND(MIN(300,MAX(1,D799)),0), FactorTable!$A$2:$A$301,0), Skills!M23+1)</f>
        <v/>
      </c>
      <c r="F799">
        <f>IF(Skills!N23=TRUE,(Skills!L23/10)*(E799/1000),Skills!L23/10)+Skills!O23</f>
        <v/>
      </c>
      <c r="G799">
        <f>Skills!G23*IF(Skills!H23&gt;0,Skills!I23/Skills!H23,1)</f>
        <v/>
      </c>
      <c r="H799">
        <f>1-(1-Skills!J23/100)^Skills!K23</f>
        <v/>
      </c>
      <c r="I799" t="inlineStr">
        <is>
          <t>1</t>
        </is>
      </c>
      <c r="J799" t="inlineStr"/>
      <c r="K799" t="inlineStr"/>
      <c r="L799" t="inlineStr"/>
      <c r="M799" t="inlineStr"/>
      <c r="N799" t="inlineStr"/>
      <c r="O799">
        <f>(1-Summary!$B$11)*T799+Summary!$B$11*V799</f>
        <v/>
      </c>
      <c r="P799">
        <f>IF(B820=0,0,O799/B820)</f>
        <v/>
      </c>
      <c r="Q799" t="n">
        <v>0</v>
      </c>
      <c r="R799" t="n">
        <v>0</v>
      </c>
      <c r="S799">
        <f>IFERROR(O799/N799,0)</f>
        <v/>
      </c>
      <c r="T799" t="n">
        <v>0</v>
      </c>
      <c r="V799" t="n">
        <v>0</v>
      </c>
    </row>
    <row r="800">
      <c r="A800">
        <f>Skills!A24</f>
        <v/>
      </c>
      <c r="B800">
        <f>Skills!B24</f>
        <v/>
      </c>
      <c r="C800">
        <f>Inputs!$B$3&gt;=38</f>
        <v/>
      </c>
      <c r="D800">
        <f>IF(Skills!C24=1,60+Inputs!$B$25+Inputs!$B$29,IF(Skills!C24=2,90+Inputs!$B$26+Inputs!$B$29,IF(Skills!C24=3,120+Inputs!$B$27+Inputs!$B$29,MAX(0,(Inputs!$B$3-100)*3)+Inputs!$B$28+Inputs!$B$29)))</f>
        <v/>
      </c>
      <c r="E800">
        <f>INDEX(FactorTable!$B$2:$Y$301, MATCH(ROUND(MIN(300,MAX(1,D800)),0), FactorTable!$A$2:$A$301,0), Skills!M24+1)</f>
        <v/>
      </c>
      <c r="F800">
        <f>IF(Skills!N24=TRUE,(Skills!L24/10)*(E800/1000),Skills!L24/10)+Skills!O24</f>
        <v/>
      </c>
      <c r="G800">
        <f>Skills!G24*IF(Skills!H24&gt;0,Skills!I24/Skills!H24,1)</f>
        <v/>
      </c>
      <c r="H800">
        <f>1-(1-Skills!J24/100)^Skills!K24</f>
        <v/>
      </c>
      <c r="I800" t="inlineStr">
        <is>
          <t>1</t>
        </is>
      </c>
      <c r="J800" t="inlineStr"/>
      <c r="K800" t="inlineStr"/>
      <c r="L800" t="inlineStr"/>
      <c r="M800" t="inlineStr"/>
      <c r="N800" t="inlineStr"/>
      <c r="O800">
        <f>(1-Summary!$B$11)*T800+Summary!$B$11*V800</f>
        <v/>
      </c>
      <c r="P800">
        <f>IF(B820=0,0,O800/B820)</f>
        <v/>
      </c>
      <c r="Q800" t="n">
        <v>0</v>
      </c>
      <c r="R800" t="n">
        <v>0</v>
      </c>
      <c r="S800">
        <f>IFERROR(O800/N800,0)</f>
        <v/>
      </c>
      <c r="T800" t="n">
        <v>0</v>
      </c>
      <c r="V800" t="n">
        <v>0</v>
      </c>
    </row>
    <row r="801">
      <c r="A801">
        <f>Skills!A25</f>
        <v/>
      </c>
      <c r="B801">
        <f>Skills!B25</f>
        <v/>
      </c>
      <c r="C801">
        <f>Inputs!$B$3&gt;=43</f>
        <v/>
      </c>
      <c r="D801">
        <f>IF(Skills!C25=1,60+Inputs!$B$25+Inputs!$B$29,IF(Skills!C25=2,90+Inputs!$B$26+Inputs!$B$29,IF(Skills!C25=3,120+Inputs!$B$27+Inputs!$B$29,MAX(0,(Inputs!$B$3-100)*3)+Inputs!$B$28+Inputs!$B$29)))</f>
        <v/>
      </c>
      <c r="E801">
        <f>INDEX(FactorTable!$B$2:$Y$301, MATCH(ROUND(MIN(300,MAX(1,D801)),0), FactorTable!$A$2:$A$301,0), Skills!M25+1)</f>
        <v/>
      </c>
      <c r="F801">
        <f>IF(Skills!N25=TRUE,(Skills!L25/10)*(E801/1000),Skills!L25/10)+Skills!O25</f>
        <v/>
      </c>
      <c r="G801">
        <f>Skills!G25*IF(Skills!H25&gt;0,Skills!I25/Skills!H25,1)</f>
        <v/>
      </c>
      <c r="H801">
        <f>1-(1-Skills!J25/100)^Skills!K25</f>
        <v/>
      </c>
      <c r="I801" t="inlineStr">
        <is>
          <t>1</t>
        </is>
      </c>
      <c r="J801" t="inlineStr"/>
      <c r="K801" t="inlineStr"/>
      <c r="L801" t="inlineStr"/>
      <c r="M801" t="inlineStr"/>
      <c r="N801" t="inlineStr"/>
      <c r="O801">
        <f>(1-Summary!$B$11)*T801+Summary!$B$11*V801</f>
        <v/>
      </c>
      <c r="P801">
        <f>IF(B820=0,0,O801/B820)</f>
        <v/>
      </c>
      <c r="Q801" t="n">
        <v>0</v>
      </c>
      <c r="R801" t="n">
        <v>0</v>
      </c>
      <c r="S801">
        <f>IFERROR(O801/N801,0)</f>
        <v/>
      </c>
      <c r="T801" t="n">
        <v>0</v>
      </c>
      <c r="V801" t="n">
        <v>0</v>
      </c>
    </row>
    <row r="802">
      <c r="A802">
        <f>Skills!A26</f>
        <v/>
      </c>
      <c r="B802">
        <f>Skills!B26</f>
        <v/>
      </c>
      <c r="C802">
        <f>Inputs!$B$3&gt;=75</f>
        <v/>
      </c>
      <c r="D802">
        <f>IF(Skills!C26=1,60+Inputs!$B$25+Inputs!$B$29,IF(Skills!C26=2,90+Inputs!$B$26+Inputs!$B$29,IF(Skills!C26=3,120+Inputs!$B$27+Inputs!$B$29,MAX(0,(Inputs!$B$3-100)*3)+Inputs!$B$28+Inputs!$B$29)))</f>
        <v/>
      </c>
      <c r="E802">
        <f>INDEX(FactorTable!$B$2:$Y$301, MATCH(ROUND(MIN(300,MAX(1,D802)),0), FactorTable!$A$2:$A$301,0), Skills!M26+1)</f>
        <v/>
      </c>
      <c r="F802">
        <f>IF(Skills!N26=TRUE,(Skills!L26/10)*(E802/1000),Skills!L26/10)+Skills!O26</f>
        <v/>
      </c>
      <c r="G802">
        <f>Skills!G26*IF(Skills!H26&gt;0,Skills!I26/Skills!H26,1)</f>
        <v/>
      </c>
      <c r="H802">
        <f>1-(1-Skills!J26/100)^Skills!K26</f>
        <v/>
      </c>
      <c r="I802" t="inlineStr">
        <is>
          <t>1</t>
        </is>
      </c>
      <c r="J802" t="inlineStr"/>
      <c r="K802" t="inlineStr"/>
      <c r="L802" t="inlineStr"/>
      <c r="M802" t="inlineStr"/>
      <c r="N802" t="inlineStr"/>
      <c r="O802">
        <f>(1-Summary!$B$11)*T802+Summary!$B$11*V802</f>
        <v/>
      </c>
      <c r="P802">
        <f>IF(B820=0,0,O802/B820)</f>
        <v/>
      </c>
      <c r="Q802" t="n">
        <v>0</v>
      </c>
      <c r="R802" t="n">
        <v>0</v>
      </c>
      <c r="S802">
        <f>IFERROR(O802/N802,0)</f>
        <v/>
      </c>
      <c r="T802" t="n">
        <v>0</v>
      </c>
      <c r="V802" t="n">
        <v>0</v>
      </c>
    </row>
    <row r="803">
      <c r="A803">
        <f>Skills!A27</f>
        <v/>
      </c>
      <c r="B803">
        <f>Skills!B27</f>
        <v/>
      </c>
      <c r="C803">
        <f>Inputs!$B$3&gt;=125</f>
        <v/>
      </c>
      <c r="D803">
        <f>IF(Skills!C27=1,60+Inputs!$B$25+Inputs!$B$29,IF(Skills!C27=2,90+Inputs!$B$26+Inputs!$B$29,IF(Skills!C27=3,120+Inputs!$B$27+Inputs!$B$29,MAX(0,(Inputs!$B$3-100)*3)+Inputs!$B$28+Inputs!$B$29)))</f>
        <v/>
      </c>
      <c r="E803">
        <f>INDEX(FactorTable!$B$2:$Y$301, MATCH(ROUND(MIN(300,MAX(1,D803)),0), FactorTable!$A$2:$A$301,0), Skills!M27+1)</f>
        <v/>
      </c>
      <c r="F803">
        <f>IF(Skills!N27=TRUE,(Skills!L27/10)*(E803/1000),Skills!L27/10)+Skills!O27</f>
        <v/>
      </c>
      <c r="G803">
        <f>Skills!G27*IF(Skills!H27&gt;0,Skills!I27/Skills!H27,1)</f>
        <v/>
      </c>
      <c r="H803">
        <f>1-(1-Skills!J27/100)^Skills!K27</f>
        <v/>
      </c>
      <c r="I803" t="inlineStr">
        <is>
          <t>1</t>
        </is>
      </c>
      <c r="J803" t="inlineStr"/>
      <c r="K803" t="inlineStr"/>
      <c r="L803" t="inlineStr"/>
      <c r="M803" t="inlineStr"/>
      <c r="N803" t="inlineStr"/>
      <c r="O803">
        <f>(1-Summary!$B$11)*T803+Summary!$B$11*V803</f>
        <v/>
      </c>
      <c r="P803">
        <f>IF(B820=0,0,O803/B820)</f>
        <v/>
      </c>
      <c r="Q803" t="n">
        <v>0</v>
      </c>
      <c r="R803" t="n">
        <v>0</v>
      </c>
      <c r="S803">
        <f>IFERROR(O803/N803,0)</f>
        <v/>
      </c>
      <c r="T803" t="n">
        <v>0</v>
      </c>
      <c r="V803" t="n">
        <v>0</v>
      </c>
    </row>
    <row r="804">
      <c r="A804">
        <f>Skills!A28</f>
        <v/>
      </c>
      <c r="B804">
        <f>Skills!B28</f>
        <v/>
      </c>
      <c r="C804">
        <f>Inputs!$B$3&gt;=125</f>
        <v/>
      </c>
      <c r="D804">
        <f>IF(Skills!C28=1,60+Inputs!$B$25+Inputs!$B$29,IF(Skills!C28=2,90+Inputs!$B$26+Inputs!$B$29,IF(Skills!C28=3,120+Inputs!$B$27+Inputs!$B$29,MAX(0,(Inputs!$B$3-100)*3)+Inputs!$B$28+Inputs!$B$29)))</f>
        <v/>
      </c>
      <c r="E804">
        <f>INDEX(FactorTable!$B$2:$Y$301, MATCH(ROUND(MIN(300,MAX(1,D804)),0), FactorTable!$A$2:$A$301,0), Skills!M28+1)</f>
        <v/>
      </c>
      <c r="F804">
        <f>IF(Skills!N28=TRUE,(Skills!L28/10)*(E804/1000),Skills!L28/10)+Skills!O28</f>
        <v/>
      </c>
      <c r="G804">
        <f>Skills!G28*IF(Skills!H28&gt;0,Skills!I28/Skills!H28,1)</f>
        <v/>
      </c>
      <c r="H804">
        <f>1-(1-Skills!J28/100)^Skills!K28</f>
        <v/>
      </c>
      <c r="I804" t="inlineStr">
        <is>
          <t>1</t>
        </is>
      </c>
      <c r="J804" t="inlineStr"/>
      <c r="K804" t="inlineStr"/>
      <c r="L804" t="inlineStr"/>
      <c r="M804" t="inlineStr"/>
      <c r="N804" t="inlineStr"/>
      <c r="O804">
        <f>(1-Summary!$B$11)*T804+Summary!$B$11*V804</f>
        <v/>
      </c>
      <c r="P804">
        <f>IF(B820=0,0,O804/B820)</f>
        <v/>
      </c>
      <c r="Q804" t="n">
        <v>0</v>
      </c>
      <c r="R804" t="n">
        <v>0</v>
      </c>
      <c r="S804">
        <f>IFERROR(O804/N804,0)</f>
        <v/>
      </c>
      <c r="T804" t="n">
        <v>0</v>
      </c>
      <c r="V804" t="n">
        <v>0</v>
      </c>
    </row>
    <row r="805">
      <c r="A805">
        <f>Skills!A29</f>
        <v/>
      </c>
      <c r="B805">
        <f>Skills!B29</f>
        <v/>
      </c>
      <c r="C805">
        <f>Inputs!$B$3&gt;=120</f>
        <v/>
      </c>
      <c r="D805">
        <f>IF(Skills!C29=1,60+Inputs!$B$25+Inputs!$B$29,IF(Skills!C29=2,90+Inputs!$B$26+Inputs!$B$29,IF(Skills!C29=3,120+Inputs!$B$27+Inputs!$B$29,MAX(0,(Inputs!$B$3-100)*3)+Inputs!$B$28+Inputs!$B$29)))</f>
        <v/>
      </c>
      <c r="E805">
        <f>INDEX(FactorTable!$B$2:$Y$301, MATCH(ROUND(MIN(300,MAX(1,D805)),0), FactorTable!$A$2:$A$301,0), Skills!M29+1)</f>
        <v/>
      </c>
      <c r="F805">
        <f>IF(Skills!N29=TRUE,(Skills!L29/10)*(E805/1000),Skills!L29/10)+Skills!O29</f>
        <v/>
      </c>
      <c r="G805">
        <f>Skills!G29*IF(Skills!H29&gt;0,Skills!I29/Skills!H29,1)</f>
        <v/>
      </c>
      <c r="H805">
        <f>1-(1-Skills!J29/100)^Skills!K29</f>
        <v/>
      </c>
      <c r="I805" t="inlineStr">
        <is>
          <t>1</t>
        </is>
      </c>
      <c r="J805" t="inlineStr"/>
      <c r="K805" t="inlineStr"/>
      <c r="L805" t="inlineStr"/>
      <c r="M805" t="inlineStr"/>
      <c r="N805" t="inlineStr"/>
      <c r="O805">
        <f>(1-Summary!$B$11)*T805+Summary!$B$11*V805</f>
        <v/>
      </c>
      <c r="P805">
        <f>IF(B820=0,0,O805/B820)</f>
        <v/>
      </c>
      <c r="Q805" t="n">
        <v>0</v>
      </c>
      <c r="R805" t="n">
        <v>0</v>
      </c>
      <c r="S805">
        <f>IFERROR(O805/N805,0)</f>
        <v/>
      </c>
      <c r="T805" t="n">
        <v>0</v>
      </c>
      <c r="V805" t="n">
        <v>0</v>
      </c>
    </row>
    <row r="806">
      <c r="A806">
        <f>Skills!A30</f>
        <v/>
      </c>
      <c r="B806">
        <f>Skills!B30</f>
        <v/>
      </c>
      <c r="C806">
        <f>Inputs!$B$3&gt;=120</f>
        <v/>
      </c>
      <c r="D806">
        <f>IF(Skills!C30=1,60+Inputs!$B$25+Inputs!$B$29,IF(Skills!C30=2,90+Inputs!$B$26+Inputs!$B$29,IF(Skills!C30=3,120+Inputs!$B$27+Inputs!$B$29,MAX(0,(Inputs!$B$3-100)*3)+Inputs!$B$28+Inputs!$B$29)))</f>
        <v/>
      </c>
      <c r="E806">
        <f>INDEX(FactorTable!$B$2:$Y$301, MATCH(ROUND(MIN(300,MAX(1,D806)),0), FactorTable!$A$2:$A$301,0), Skills!M30+1)</f>
        <v/>
      </c>
      <c r="F806">
        <f>IF(Skills!N30=TRUE,(Skills!L30/10)*(E806/1000),Skills!L30/10)+Skills!O30</f>
        <v/>
      </c>
      <c r="G806">
        <f>Skills!G30*IF(Skills!H30&gt;0,Skills!I30/Skills!H30,1)</f>
        <v/>
      </c>
      <c r="H806">
        <f>1-(1-Skills!J30/100)^Skills!K30</f>
        <v/>
      </c>
      <c r="I806" t="inlineStr">
        <is>
          <t>1</t>
        </is>
      </c>
      <c r="J806" t="inlineStr"/>
      <c r="K806" t="inlineStr"/>
      <c r="L806" t="inlineStr"/>
      <c r="M806" t="inlineStr"/>
      <c r="N806" t="inlineStr"/>
      <c r="O806">
        <f>(1-Summary!$B$11)*T806+Summary!$B$11*V806</f>
        <v/>
      </c>
      <c r="P806">
        <f>IF(B820=0,0,O806/B820)</f>
        <v/>
      </c>
      <c r="Q806" t="n">
        <v>0</v>
      </c>
      <c r="R806" t="n">
        <v>0</v>
      </c>
      <c r="S806">
        <f>IFERROR(O806/N806,0)</f>
        <v/>
      </c>
      <c r="T806" t="n">
        <v>0</v>
      </c>
      <c r="V806" t="n">
        <v>0</v>
      </c>
    </row>
    <row r="807">
      <c r="A807">
        <f>Skills!A31</f>
        <v/>
      </c>
      <c r="B807">
        <f>Skills!B31</f>
        <v/>
      </c>
      <c r="C807">
        <f>Inputs!$B$3&gt;=45</f>
        <v/>
      </c>
      <c r="D807">
        <f>IF(Skills!C31=1,60+Inputs!$B$25+Inputs!$B$29,IF(Skills!C31=2,90+Inputs!$B$26+Inputs!$B$29,IF(Skills!C31=3,120+Inputs!$B$27+Inputs!$B$29,MAX(0,(Inputs!$B$3-100)*3)+Inputs!$B$28+Inputs!$B$29)))</f>
        <v/>
      </c>
      <c r="E807">
        <f>INDEX(FactorTable!$B$2:$Y$301, MATCH(ROUND(MIN(300,MAX(1,D807)),0), FactorTable!$A$2:$A$301,0), Skills!M31+1)</f>
        <v/>
      </c>
      <c r="F807">
        <f>IF(Skills!N31=TRUE,(Skills!L31/10)*(E807/1000),Skills!L31/10)+Skills!O31</f>
        <v/>
      </c>
      <c r="G807">
        <f>Skills!G31*IF(Skills!H31&gt;0,Skills!I31/Skills!H31,1)</f>
        <v/>
      </c>
      <c r="H807">
        <f>1-(1-Skills!J31/100)^Skills!K31</f>
        <v/>
      </c>
      <c r="I807" t="inlineStr">
        <is>
          <t>1</t>
        </is>
      </c>
      <c r="J807" t="inlineStr"/>
      <c r="K807" t="inlineStr"/>
      <c r="L807" t="inlineStr"/>
      <c r="M807" t="inlineStr"/>
      <c r="N807" t="inlineStr"/>
      <c r="O807">
        <f>(1-Summary!$B$11)*T807+Summary!$B$11*V807</f>
        <v/>
      </c>
      <c r="P807">
        <f>IF(B820=0,0,O807/B820)</f>
        <v/>
      </c>
      <c r="Q807" t="n">
        <v>0</v>
      </c>
      <c r="R807" t="n">
        <v>0</v>
      </c>
      <c r="S807">
        <f>IFERROR(O807/N807,0)</f>
        <v/>
      </c>
      <c r="T807" t="n">
        <v>0</v>
      </c>
      <c r="V807" t="n">
        <v>0</v>
      </c>
    </row>
    <row r="809">
      <c r="A809" t="inlineStr">
        <is>
          <t>Attack% Bucket Multiplier</t>
        </is>
      </c>
      <c r="B809">
        <f>(1+(((C790=TRUE)*F790)+((C791=TRUE)*IF(Inputs!$B$38="pvp",F791,(1-Summary!$B$11)*(F791)+Summary!$B$11*(0)))+((C792=TRUE)*F792*IF(AND(Inputs!$B$38&lt;&gt;"pvp",Inputs!$B$43&gt;0),(((R792-1)*(Skills!T16*(1+Inputs!$B$34/100))+MIN((Skills!T16*(1+Inputs!$B$34/100)),MAX(0,Inputs!$B$43-((R792-1)*Skills!D16))))/Inputs!$B$43),IF(Inputs!$B$38="pvp",MIN((Skills!T16*(1+Inputs!$B$34/100)),15)/15,(Skills!T16*(1+Inputs!$B$34/100))/Skills!D16)))+((C807=TRUE)*(F807-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10">
      <c r="A810" t="inlineStr">
        <is>
          <t>Global Crit Rate Bonus %</t>
        </is>
      </c>
      <c r="B810">
        <f>(C793=TRUE)*20*IF(AND(Inputs!$B$38&lt;&gt;"pvp",Inputs!$B$43&gt;0),(((R793-1)*(Skills!T17*(1+Inputs!$B$34/100))+MIN((Skills!T17*(1+Inputs!$B$34/100)),MAX(0,Inputs!$B$43-((R793-1)*Skills!D17))))/Inputs!$B$43),IF(Inputs!$B$38="pvp",MIN((Skills!T17*(1+Inputs!$B$34/100)),15)/15,(Skills!T17*(1+Inputs!$B$34/100))/Skills!D17))</f>
        <v/>
      </c>
    </row>
    <row r="811">
      <c r="A811" t="inlineStr">
        <is>
          <t>Attack Speed Buff Bonus %</t>
        </is>
      </c>
      <c r="B811">
        <f>((C796=TRUE)*F796*IF(AND(Inputs!$B$38&lt;&gt;"pvp",Inputs!$B$43&gt;0),(((R796-1)*(Skills!T20*(1+Inputs!$B$34/100))+MIN((Skills!T20*(1+Inputs!$B$34/100)),MAX(0,Inputs!$B$43-((R796-1)*Skills!D20))))/Inputs!$B$43),IF(Inputs!$B$38="pvp",MIN((Skills!T20*(1+Inputs!$B$34/100)),15)/15,(Skills!T20*(1+Inputs!$B$34/100))/Skills!D20)))</f>
        <v/>
      </c>
    </row>
    <row r="812">
      <c r="A812" t="inlineStr">
        <is>
          <t>Actions Per Second</t>
        </is>
      </c>
      <c r="B812">
        <f>1+MIN(150,150*(1-(1-(Inputs!$B$11+((C798=TRUE)*(F798-Calc!F22))+((C799=TRUE)*(F799-Calc!F23)))/150)*(1-B811/150)))/100</f>
        <v/>
      </c>
    </row>
    <row r="813">
      <c r="A813" t="inlineStr">
        <is>
          <t>Skill + Buff Cast Rate</t>
        </is>
      </c>
      <c r="B813">
        <f>IF(AND(Inputs!$B$38&lt;&gt;"pvp",Inputs!$B$43&gt;0),SUMPRODUCT((Skills!E2:E31=TRUE)*(C778:C807=TRUE)*R778:R807*Skills!F2:F31)/Inputs!$B$43,SUMPRODUCT((Skills!E2:E31=TRUE)*(C778:C807=TRUE)*Q778:Q807*Skills!F2:F31))</f>
        <v/>
      </c>
    </row>
    <row r="814">
      <c r="A814" t="inlineStr">
        <is>
          <t>Arrow Stream Casts Per Second</t>
        </is>
      </c>
      <c r="B814">
        <f>MAX(0,B812-B813)</f>
        <v/>
      </c>
    </row>
    <row r="815">
      <c r="A815" t="inlineStr">
        <is>
          <t>Global Critical Damage Bonus % (Sharp Eyes + Concentration)</t>
        </is>
      </c>
      <c r="B815">
        <f>(C793=TRUE)*F793*IF(AND(Inputs!$B$38&lt;&gt;"pvp",Inputs!$B$43&gt;0),(((R793-1)*(Skills!T17*(1+Inputs!$B$34/100))+MIN((Skills!T17*(1+Inputs!$B$34/100)),MAX(0,Inputs!$B$43-((R793-1)*Skills!D17))))/Inputs!$B$43),IF(Inputs!$B$38="pvp",MIN((Skills!T17*(1+Inputs!$B$34/100)),15)/15,(Skills!T17*(1+Inputs!$B$34/100))/Skills!D17))+(C794=TRUE)*30</f>
        <v/>
      </c>
    </row>
    <row r="816">
      <c r="A816" t="inlineStr">
        <is>
          <t>Global Final Damage Bonus % (Mortal Blow)</t>
        </is>
      </c>
      <c r="B816">
        <f>(C795=TRUE)*F795</f>
        <v/>
      </c>
    </row>
    <row r="817">
      <c r="A817" t="inlineStr">
        <is>
          <t>Buff-Casting Startup Delay (s, fixed-duration only)</t>
        </is>
      </c>
      <c r="B817">
        <f>IF(AND(Inputs!$B$38&lt;&gt;"pvp",Inputs!$B$43&gt;0),SUMPRODUCT((Skills!T2:T31&gt;0)*(Skills!E2:E31=TRUE)*(C778:C807=TRUE))/B812,0)</f>
        <v/>
      </c>
    </row>
    <row r="818">
      <c r="A818" t="inlineStr">
        <is>
          <t>Boss-Only Total DPS (this block's swept value)</t>
        </is>
      </c>
      <c r="B818">
        <f>SUM(T778:T807)</f>
        <v/>
      </c>
    </row>
    <row r="819">
      <c r="A819" t="inlineStr">
        <is>
          <t>Normal-Only Total DPS (this block's swept value)</t>
        </is>
      </c>
      <c r="B819">
        <f>SUM(V778:V807)</f>
        <v/>
      </c>
    </row>
    <row r="820">
      <c r="A820" s="6" t="inlineStr">
        <is>
          <t>TOTAL DPS</t>
        </is>
      </c>
      <c r="B820" s="6">
        <f>SUM(O778:O807)</f>
        <v/>
      </c>
    </row>
    <row r="823">
      <c r="A823" s="6" t="inlineStr">
        <is>
          <t>Stat: Skill Level Bonus — 1st Job</t>
        </is>
      </c>
    </row>
    <row r="824">
      <c r="A824" s="5" t="inlineStr">
        <is>
          <t>Key</t>
        </is>
      </c>
      <c r="B824" s="5" t="inlineStr">
        <is>
          <t>Name</t>
        </is>
      </c>
      <c r="C824" s="5" t="inlineStr">
        <is>
          <t>Unlocked</t>
        </is>
      </c>
      <c r="D824" s="5" t="inlineStr">
        <is>
          <t>InputLevel</t>
        </is>
      </c>
      <c r="E824" s="5" t="inlineStr">
        <is>
          <t>Factor</t>
        </is>
      </c>
      <c r="F824" s="5" t="inlineStr">
        <is>
          <t>CoefficientPercent</t>
        </is>
      </c>
      <c r="G824" s="5" t="inlineStr">
        <is>
          <t>EffectiveHits</t>
        </is>
      </c>
      <c r="H824" s="5" t="inlineStr">
        <is>
          <t>ProcProbability</t>
        </is>
      </c>
      <c r="I824" s="5" t="inlineStr">
        <is>
          <t>MapleHeroMultiplier</t>
        </is>
      </c>
      <c r="J824" s="5" t="inlineStr">
        <is>
          <t>BaseDamage</t>
        </is>
      </c>
      <c r="K824" s="5" t="inlineStr">
        <is>
          <t>BaseHitDamage</t>
        </is>
      </c>
      <c r="L824" s="5" t="inlineStr">
        <is>
          <t>NonCritAvg</t>
        </is>
      </c>
      <c r="M824" s="5" t="inlineStr">
        <is>
          <t>CritAvg</t>
        </is>
      </c>
      <c r="N824" s="5" t="inlineStr">
        <is>
          <t>ExpectedDamage(perHit)</t>
        </is>
      </c>
      <c r="O824" s="5" t="inlineStr">
        <is>
          <t>DPS</t>
        </is>
      </c>
      <c r="P824" s="5" t="inlineStr">
        <is>
          <t>% of Total</t>
        </is>
      </c>
      <c r="Q824" s="5" t="inlineStr">
        <is>
          <t>InvCooldown</t>
        </is>
      </c>
      <c r="R824" s="5" t="inlineStr">
        <is>
          <t>CastsInFight</t>
        </is>
      </c>
      <c r="S824" s="5" t="inlineStr">
        <is>
          <t>HitRate(perSec)</t>
        </is>
      </c>
      <c r="U824" t="inlineStr">
        <is>
          <t>helpers</t>
        </is>
      </c>
    </row>
    <row r="825">
      <c r="A825">
        <f>Skills!A2</f>
        <v/>
      </c>
      <c r="B825">
        <f>Skills!B2</f>
        <v/>
      </c>
      <c r="C825">
        <f>Inputs!$B$3&gt;=100</f>
        <v/>
      </c>
      <c r="D825" t="inlineStr"/>
      <c r="E825" t="inlineStr"/>
      <c r="F825">
        <f>U827+Skills!O2</f>
        <v/>
      </c>
      <c r="G825">
        <f>Skills!G2*IF(Skills!H2&gt;0,Skills!I2/Skills!H2,1)</f>
        <v/>
      </c>
      <c r="H825">
        <f>1-(1-Skills!J2/100)^Skills!K2</f>
        <v/>
      </c>
      <c r="I825" t="inlineStr">
        <is>
          <t>1</t>
        </is>
      </c>
      <c r="J825">
        <f>((Inputs!$B$6*(1+Inputs!$B$7/100))+(((Inputs!$B$12*(1+Inputs!$B$13/100))-(Inputs!$B$12*(1+Inputs!$B$13/100)))+0.25*(Inputs!$B$14-Inputs!$B$14))*(1+Inputs!$B$7/100))*(F825/100)</f>
        <v/>
      </c>
      <c r="K825">
        <f>J825*(1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825)</f>
        <v/>
      </c>
      <c r="L825">
        <f>K825*(MIN(Inputs!$B$22+((C848=TRUE)*(F848-Calc!F25)),(Inputs!$B$23+((C853=TRUE)*(F853-Calc!F30))+(IF(ArtifactsInput!$M$15,CHOOSE(ArtifactsInput!$N$15+1,25,30,35,40,45,50)/100*(Inputs!$B$11-Inputs!$B$11),0))))/100+(Inputs!$B$23+((C853=TRUE)*(F853-Calc!F30))+(IF(ArtifactsInput!$M$15,CHOOSE(ArtifactsInput!$N$15+1,25,30,35,40,45,50)/100*(Inputs!$B$11-Inputs!$B$11),0)))/100)/2</f>
        <v/>
      </c>
      <c r="M825">
        <f>L825*(1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5">
        <f>L825*(1-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825*(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5">
        <f>(1-Summary!$B$11)*T825+Summary!$B$11*V825</f>
        <v/>
      </c>
      <c r="P825">
        <f>IF(B867=0,0,O825/B867)</f>
        <v/>
      </c>
      <c r="Q825" t="n">
        <v>0</v>
      </c>
      <c r="R825" t="n">
        <v>0</v>
      </c>
      <c r="S825">
        <f>IFERROR(O825/N825,0)</f>
        <v/>
      </c>
      <c r="T825">
        <f>IF(C825,(Skills!G2*N825*B861)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825*(1-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825*(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825*(1-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825*(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5">
        <f>MAX(0,(Inputs!$B$3-100)*3)+Inputs!$B$28+Inputs!$B$29</f>
        <v/>
      </c>
      <c r="V825">
        <f>IF(C825,(Skills!G2*N825*B861)*IF(Inputs!$B$38="pvp",1,(1+(Inputs!$B$21+Skills!Q2+(IF(ArtifactsInput!$M$33,CHOOSE(ArtifactsInput!$N$33+1,30,36,42,48,54,60),0))+(IF(AND(ArtifactsInput!$M$35,Inputs!$B$4&lt;&gt;"Chapter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6">
      <c r="A826">
        <f>Skills!A3</f>
        <v/>
      </c>
      <c r="B826">
        <f>Skills!B3</f>
        <v/>
      </c>
      <c r="C826">
        <f>Inputs!$B$3&gt;=50</f>
        <v/>
      </c>
      <c r="D826">
        <f>IF(Skills!C3=1,60+(Inputs!$B$25+1)+Inputs!$B$29,IF(Skills!C3=2,90+Inputs!$B$26+Inputs!$B$29,IF(Skills!C3=3,120+Inputs!$B$27+Inputs!$B$29,MAX(0,(Inputs!$B$3-100)*3)+Inputs!$B$28+Inputs!$B$29)))</f>
        <v/>
      </c>
      <c r="E826">
        <f>INDEX(FactorTable!$B$2:$Y$301, MATCH(ROUND(MIN(300,MAX(1,D826)),0), FactorTable!$A$2:$A$301,0), Skills!M3+1)</f>
        <v/>
      </c>
      <c r="F826">
        <f>IF(Skills!N3=TRUE,(Skills!L3/10)*(E826/1000),Skills!L3/10)+Skills!O3</f>
        <v/>
      </c>
      <c r="G826">
        <f>Skills!G3*IF(Skills!H3&gt;0,Skills!I3/Skills!H3,1)</f>
        <v/>
      </c>
      <c r="H826">
        <f>1-(1-Skills!J3/100)^Skills!K3</f>
        <v/>
      </c>
      <c r="I826" t="inlineStr">
        <is>
          <t>1</t>
        </is>
      </c>
      <c r="J826">
        <f>((Inputs!$B$6*(1+Inputs!$B$7/100))+(((Inputs!$B$12*(1+Inputs!$B$13/100))-(Inputs!$B$12*(1+Inputs!$B$13/100)))+0.25*(Inputs!$B$14-Inputs!$B$14))*(1+Inputs!$B$7/100))*(F826/100)</f>
        <v/>
      </c>
      <c r="K826">
        <f>J826*(1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827=TRUE,F827,0)/100)*(1+(IF(Skills!A3="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826)</f>
        <v/>
      </c>
      <c r="L826">
        <f>K826*(MIN(Inputs!$B$22+((C848=TRUE)*(F848-Calc!F25)),(Inputs!$B$23+((C853=TRUE)*(F853-Calc!F30))+(IF(ArtifactsInput!$M$15,CHOOSE(ArtifactsInput!$N$15+1,25,30,35,40,45,50)/100*(Inputs!$B$11-Inputs!$B$11),0))))/100+(Inputs!$B$23+((C853=TRUE)*(F853-Calc!F30))+(IF(ArtifactsInput!$M$15,CHOOSE(ArtifactsInput!$N$15+1,25,30,35,40,45,50)/100*(Inputs!$B$11-Inputs!$B$11),0)))/100)/2</f>
        <v/>
      </c>
      <c r="M826">
        <f>L826*(1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6">
        <f>L826*(1-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826*(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6">
        <f>(1-Summary!$B$11)*T826+Summary!$B$11*V826</f>
        <v/>
      </c>
      <c r="P826">
        <f>IF(B867=0,0,O826/B867)</f>
        <v/>
      </c>
      <c r="Q826">
        <f>IFERROR(1/(IF(Inputs!$B$38="pvp",15,MAX(0.1,Skills!D3-IF(Skills!E3=TRUE,Inputs!$B$32,0)))*(1-IF(AND(ArtifactsInput!$M$27,Inputs!$B$4="Chapter Hunt"),CHOOSE(ArtifactsInput!$N$27+1,20,24,28,32,36,40),0)/100)),0)</f>
        <v/>
      </c>
      <c r="R826">
        <f>IF(AND(Inputs!$B$38&lt;&gt;"pvp",Inputs!$B$43&gt;0),IF(MAX(0,Inputs!$B$43-B864)&lt;=0,0,(INT(MAX(0,Inputs!$B$43-B864)/(IF(Inputs!$B$38="pvp",15,MAX(0.1,Skills!D3-IF(Skills!E3=TRUE,Inputs!$B$32,0)))*(1-IF(AND(ArtifactsInput!$M$27,Inputs!$B$4="Chapter Hunt"),CHOOSE(ArtifactsInput!$N$27+1,20,24,28,32,36,40),0)/100)))+1)),0)</f>
        <v/>
      </c>
      <c r="S826">
        <f>IFERROR(O826/N826,0)</f>
        <v/>
      </c>
      <c r="T826">
        <f>IF(C826,(H826*N826*IF(AND(Inputs!$B$38&lt;&gt;"pvp",Inputs!$B$43&gt;0),((Skills!G3*((R826-1)*IF(Skills!H3&gt;0,Skills!I3/Skills!H3,1)+IF(Skills!H3&gt;0,MIN(Skills!I3,MAX(0,MAX(0,Inputs!$B$43-B864)-((R826-1)*(IF(Inputs!$B$38="pvp",15,MAX(0.1,Skills!D3-IF(Skills!E3=TRUE,Inputs!$B$32,0)))*(1-IF(AND(ArtifactsInput!$M$27,Inputs!$B$4="Chapter Hunt"),CHOOSE(ArtifactsInput!$N$27+1,20,24,28,32,36,40),0)/100)))))/Skills!H3,1)))/Inputs!$B$43),G826*Q826)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826*(1-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826*(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826*(1-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826*(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6">
        <f>INDEX(FactorTable!$B$2:$Y$301, MATCH(ROUND(MIN(300,MAX(1,U825)),0), FactorTable!$A$2:$A$301,0), 22)</f>
        <v/>
      </c>
      <c r="V826">
        <f>IF(C826,(H826*N826*IF(AND(Inputs!$B$38&lt;&gt;"pvp",Inputs!$B$43&gt;0),((Skills!G3*((R826-1)*IF(Skills!H3&gt;0,Skills!I3/Skills!H3,1)+IF(Skills!H3&gt;0,MIN(Skills!I3,MAX(0,MAX(0,Inputs!$B$43-B864)-((R826-1)*(IF(Inputs!$B$38="pvp",15,MAX(0.1,Skills!D3-IF(Skills!E3=TRUE,Inputs!$B$32,0)))*(1-IF(AND(ArtifactsInput!$M$27,Inputs!$B$4="Chapter Hunt"),CHOOSE(ArtifactsInput!$N$27+1,20,24,28,32,36,40),0)/100)))))/Skills!H3,1)))/Inputs!$B$43),G826*Q826))*IF(Inputs!$B$38="pvp",1,(1+(Inputs!$B$21+Skills!Q3+(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7">
      <c r="A827">
        <f>Skills!A4</f>
        <v/>
      </c>
      <c r="B827">
        <f>Skills!B4</f>
        <v/>
      </c>
      <c r="C827">
        <f>Inputs!$B$3&gt;=105</f>
        <v/>
      </c>
      <c r="D827">
        <f>IF(Skills!C4=1,60+(Inputs!$B$25+1)+Inputs!$B$29,IF(Skills!C4=2,90+Inputs!$B$26+Inputs!$B$29,IF(Skills!C4=3,120+Inputs!$B$27+Inputs!$B$29,MAX(0,(Inputs!$B$3-100)*3)+Inputs!$B$28+Inputs!$B$29)))</f>
        <v/>
      </c>
      <c r="E827">
        <f>INDEX(FactorTable!$B$2:$Y$301, MATCH(ROUND(MIN(300,MAX(1,D827)),0), FactorTable!$A$2:$A$301,0), Skills!M4+1)</f>
        <v/>
      </c>
      <c r="F827">
        <f>IF(Skills!N4=TRUE,(Skills!L4/10)*(E827/1000),Skills!L4/10)+Skills!O4</f>
        <v/>
      </c>
      <c r="G827" t="inlineStr"/>
      <c r="H827" t="inlineStr"/>
      <c r="I827" t="inlineStr">
        <is>
          <t>1</t>
        </is>
      </c>
      <c r="J827" t="inlineStr"/>
      <c r="K827" t="inlineStr"/>
      <c r="L827" t="inlineStr"/>
      <c r="M827" t="inlineStr"/>
      <c r="N827" t="inlineStr"/>
      <c r="O827" t="inlineStr"/>
      <c r="P827" t="inlineStr"/>
      <c r="Q827" t="inlineStr"/>
      <c r="R827" t="inlineStr"/>
      <c r="S827" t="inlineStr"/>
      <c r="T827" t="inlineStr"/>
      <c r="U827">
        <f>290*U826/1000</f>
        <v/>
      </c>
      <c r="V827" t="inlineStr"/>
    </row>
    <row r="828">
      <c r="A828">
        <f>Skills!A5</f>
        <v/>
      </c>
      <c r="B828">
        <f>Skills!B5</f>
        <v/>
      </c>
      <c r="C828">
        <f>Inputs!$B$3&gt;=35</f>
        <v/>
      </c>
      <c r="D828">
        <f>IF(Skills!C5=1,60+(Inputs!$B$25+1)+Inputs!$B$29,IF(Skills!C5=2,90+Inputs!$B$26+Inputs!$B$29,IF(Skills!C5=3,120+Inputs!$B$27+Inputs!$B$29,MAX(0,(Inputs!$B$3-100)*3)+Inputs!$B$28+Inputs!$B$29)))</f>
        <v/>
      </c>
      <c r="E828">
        <f>INDEX(FactorTable!$B$2:$Y$301, MATCH(ROUND(MIN(300,MAX(1,D828)),0), FactorTable!$A$2:$A$301,0), Skills!M5+1)</f>
        <v/>
      </c>
      <c r="F828">
        <f>IF(Skills!N5=TRUE,(Skills!L5/10)*(E828/1000),Skills!L5/10)+Skills!O5</f>
        <v/>
      </c>
      <c r="G828">
        <f>Skills!G5*IF(Skills!H5&gt;0,Skills!I5/Skills!H5,1)</f>
        <v/>
      </c>
      <c r="H828">
        <f>1-(1-Skills!J5/100)^Skills!K5</f>
        <v/>
      </c>
      <c r="I828" t="inlineStr">
        <is>
          <t>1</t>
        </is>
      </c>
      <c r="J828">
        <f>((Inputs!$B$6*(1+Inputs!$B$7/100))+(((Inputs!$B$12*(1+Inputs!$B$13/100))-(Inputs!$B$12*(1+Inputs!$B$13/100)))+0.25*(Inputs!$B$14-Inputs!$B$14))*(1+Inputs!$B$7/100))*(F828/100)</f>
        <v/>
      </c>
      <c r="K828">
        <f>J828*(1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834=TRUE,F834,0)/100)*(1+(IF(Skills!A5="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828)</f>
        <v/>
      </c>
      <c r="L828">
        <f>K828*(MIN(Inputs!$B$22+((C848=TRUE)*(F848-Calc!F25)),(Inputs!$B$23+((C853=TRUE)*(F853-Calc!F30))+(IF(ArtifactsInput!$M$15,CHOOSE(ArtifactsInput!$N$15+1,25,30,35,40,45,50)/100*(Inputs!$B$11-Inputs!$B$11),0))))/100+(Inputs!$B$23+((C853=TRUE)*(F853-Calc!F30))+(IF(ArtifactsInput!$M$15,CHOOSE(ArtifactsInput!$N$15+1,25,30,35,40,45,50)/100*(Inputs!$B$11-Inputs!$B$11),0)))/100)/2</f>
        <v/>
      </c>
      <c r="M828">
        <f>L828*(1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8">
        <f>L828*(1-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828*(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8">
        <f>(1-Summary!$B$11)*T828+Summary!$B$11*V828</f>
        <v/>
      </c>
      <c r="P828">
        <f>IF(B867=0,0,O828/B867)</f>
        <v/>
      </c>
      <c r="Q828">
        <f>IFERROR(1/(IF(Inputs!$B$38="pvp",15,MAX(0.1,Skills!D5-IF(Skills!E5=TRUE,Inputs!$B$32,0)))*(1-IF(AND(ArtifactsInput!$M$27,Inputs!$B$4="Chapter Hunt"),CHOOSE(ArtifactsInput!$N$27+1,20,24,28,32,36,40),0)/100)),0)</f>
        <v/>
      </c>
      <c r="R828">
        <f>IF(AND(Inputs!$B$38&lt;&gt;"pvp",Inputs!$B$43&gt;0),IF(MAX(0,Inputs!$B$43-B864)&lt;=0,0,(INT(MAX(0,Inputs!$B$43-B864)/(IF(Inputs!$B$38="pvp",15,MAX(0.1,Skills!D5-IF(Skills!E5=TRUE,Inputs!$B$32,0)))*(1-IF(AND(ArtifactsInput!$M$27,Inputs!$B$4="Chapter Hunt"),CHOOSE(ArtifactsInput!$N$27+1,20,24,28,32,36,40),0)/100)))+1)),0)</f>
        <v/>
      </c>
      <c r="S828">
        <f>IFERROR(O828/N828,0)</f>
        <v/>
      </c>
      <c r="T828">
        <f>IF(C828,(H828*N828*IF(AND(Inputs!$B$38&lt;&gt;"pvp",Inputs!$B$43&gt;0),((Skills!G5*((R828-1)*IF(Skills!H5&gt;0,Skills!I5/Skills!H5,1)+IF(Skills!H5&gt;0,MIN(Skills!I5,MAX(0,MAX(0,Inputs!$B$43-B864)-((R828-1)*(IF(Inputs!$B$38="pvp",15,MAX(0.1,Skills!D5-IF(Skills!E5=TRUE,Inputs!$B$32,0)))*(1-IF(AND(ArtifactsInput!$M$27,Inputs!$B$4="Chapter Hunt"),CHOOSE(ArtifactsInput!$N$27+1,20,24,28,32,36,40),0)/100)))))/Skills!H5,1)))/Inputs!$B$43),G828*Q828)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828*(1-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828*(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828*(1-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828*(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8">
        <f>IF(C828,(H828*N828*IF(AND(Inputs!$B$38&lt;&gt;"pvp",Inputs!$B$43&gt;0),((Skills!G5*((R828-1)*IF(Skills!H5&gt;0,Skills!I5/Skills!H5,1)+IF(Skills!H5&gt;0,MIN(Skills!I5,MAX(0,MAX(0,Inputs!$B$43-B864)-((R828-1)*(IF(Inputs!$B$38="pvp",15,MAX(0.1,Skills!D5-IF(Skills!E5=TRUE,Inputs!$B$32,0)))*(1-IF(AND(ArtifactsInput!$M$27,Inputs!$B$4="Chapter Hunt"),CHOOSE(ArtifactsInput!$N$27+1,20,24,28,32,36,40),0)/100)))))/Skills!H5,1)))/Inputs!$B$43),G828*Q828))*IF(Inputs!$B$38="pvp",1,(1+(Inputs!$B$21+Skills!Q5+(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9">
      <c r="A829">
        <f>Skills!A6</f>
        <v/>
      </c>
      <c r="B829">
        <f>Skills!B6</f>
        <v/>
      </c>
      <c r="C829">
        <f>Inputs!$B$3&gt;=40</f>
        <v/>
      </c>
      <c r="D829">
        <f>IF(Skills!C6=1,60+(Inputs!$B$25+1)+Inputs!$B$29,IF(Skills!C6=2,90+Inputs!$B$26+Inputs!$B$29,IF(Skills!C6=3,120+Inputs!$B$27+Inputs!$B$29,MAX(0,(Inputs!$B$3-100)*3)+Inputs!$B$28+Inputs!$B$29)))</f>
        <v/>
      </c>
      <c r="E829">
        <f>INDEX(FactorTable!$B$2:$Y$301, MATCH(ROUND(MIN(300,MAX(1,D829)),0), FactorTable!$A$2:$A$301,0), Skills!M6+1)</f>
        <v/>
      </c>
      <c r="F829">
        <f>IF(Skills!N6=TRUE,(Skills!L6/10)*(E829/1000),Skills!L6/10)+Skills!O6</f>
        <v/>
      </c>
      <c r="G829">
        <f>Skills!G6*IF(Skills!H6&gt;0,Skills!I6/Skills!H6,1)</f>
        <v/>
      </c>
      <c r="H829">
        <f>1-(1-Skills!J6/100)^Skills!K6</f>
        <v/>
      </c>
      <c r="I829" t="inlineStr">
        <is>
          <t>1</t>
        </is>
      </c>
      <c r="J829">
        <f>((Inputs!$B$6*(1+Inputs!$B$7/100))+(((Inputs!$B$12*(1+Inputs!$B$13/100))-(Inputs!$B$12*(1+Inputs!$B$13/100)))+0.25*(Inputs!$B$14-Inputs!$B$14))*(1+Inputs!$B$7/100))*(F829/100)</f>
        <v/>
      </c>
      <c r="K829">
        <f>J829*(1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830=TRUE,F830,0)/100)*(1+(IF(Skills!A6="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829)</f>
        <v/>
      </c>
      <c r="L829">
        <f>K829*(MIN(Inputs!$B$22+((C848=TRUE)*(F848-Calc!F25)),(Inputs!$B$23+((C853=TRUE)*(F853-Calc!F30))+(IF(ArtifactsInput!$M$15,CHOOSE(ArtifactsInput!$N$15+1,25,30,35,40,45,50)/100*(Inputs!$B$11-Inputs!$B$11),0))))/100+(Inputs!$B$23+((C853=TRUE)*(F853-Calc!F30))+(IF(ArtifactsInput!$M$15,CHOOSE(ArtifactsInput!$N$15+1,25,30,35,40,45,50)/100*(Inputs!$B$11-Inputs!$B$11),0)))/100)/2</f>
        <v/>
      </c>
      <c r="M829">
        <f>L829*(1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9">
        <f>L829*(1-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829*(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9">
        <f>(1-Summary!$B$11)*T829+Summary!$B$11*V829</f>
        <v/>
      </c>
      <c r="P829">
        <f>IF(B867=0,0,O829/B867)</f>
        <v/>
      </c>
      <c r="Q829">
        <f>IFERROR(1/(IF(Inputs!$B$38="pvp",15,MAX(0.1,Skills!D6-IF(Skills!E6=TRUE,Inputs!$B$32,0)))*(1-IF(AND(ArtifactsInput!$M$27,Inputs!$B$4="Chapter Hunt"),CHOOSE(ArtifactsInput!$N$27+1,20,24,28,32,36,40),0)/100)),0)</f>
        <v/>
      </c>
      <c r="R829">
        <f>IF(AND(Inputs!$B$38&lt;&gt;"pvp",Inputs!$B$43&gt;0),IF(MAX(0,Inputs!$B$43-B864)&lt;=0,0,(INT(MAX(0,Inputs!$B$43-B864)/(IF(Inputs!$B$38="pvp",15,MAX(0.1,Skills!D6-IF(Skills!E6=TRUE,Inputs!$B$32,0)))*(1-IF(AND(ArtifactsInput!$M$27,Inputs!$B$4="Chapter Hunt"),CHOOSE(ArtifactsInput!$N$27+1,20,24,28,32,36,40),0)/100)))+1)),0)</f>
        <v/>
      </c>
      <c r="S829">
        <f>IFERROR(O829/N829,0)</f>
        <v/>
      </c>
      <c r="T829">
        <f>IF(C829,(H829*N829*IF(AND(Inputs!$B$38&lt;&gt;"pvp",Inputs!$B$43&gt;0),((Skills!G6*((R829-1)*IF(Skills!H6&gt;0,Skills!I6/Skills!H6,1)+IF(Skills!H6&gt;0,MIN(Skills!I6,MAX(0,MAX(0,Inputs!$B$43-B864)-((R829-1)*(IF(Inputs!$B$38="pvp",15,MAX(0.1,Skills!D6-IF(Skills!E6=TRUE,Inputs!$B$32,0)))*(1-IF(AND(ArtifactsInput!$M$27,Inputs!$B$4="Chapter Hunt"),CHOOSE(ArtifactsInput!$N$27+1,20,24,28,32,36,40),0)/100)))))/Skills!H6,1)))/Inputs!$B$43),G829*Q829)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829*(1-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829*(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829*(1-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829*(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9">
        <f>IF(C829,(H829*N829*IF(AND(Inputs!$B$38&lt;&gt;"pvp",Inputs!$B$43&gt;0),((Skills!G6*((R829-1)*IF(Skills!H6&gt;0,Skills!I6/Skills!H6,1)+IF(Skills!H6&gt;0,MIN(Skills!I6,MAX(0,MAX(0,Inputs!$B$43-B864)-((R829-1)*(IF(Inputs!$B$38="pvp",15,MAX(0.1,Skills!D6-IF(Skills!E6=TRUE,Inputs!$B$32,0)))*(1-IF(AND(ArtifactsInput!$M$27,Inputs!$B$4="Chapter Hunt"),CHOOSE(ArtifactsInput!$N$27+1,20,24,28,32,36,40),0)/100)))))/Skills!H6,1)))/Inputs!$B$43),G829*Q829))*IF(Inputs!$B$38="pvp",1,(1+(Inputs!$B$21+Skills!Q6+(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0">
      <c r="A830">
        <f>Skills!A7</f>
        <v/>
      </c>
      <c r="B830">
        <f>Skills!B7</f>
        <v/>
      </c>
      <c r="C830">
        <f>Inputs!$B$3&gt;=107</f>
        <v/>
      </c>
      <c r="D830">
        <f>IF(Skills!C7=1,60+(Inputs!$B$25+1)+Inputs!$B$29,IF(Skills!C7=2,90+Inputs!$B$26+Inputs!$B$29,IF(Skills!C7=3,120+Inputs!$B$27+Inputs!$B$29,MAX(0,(Inputs!$B$3-100)*3)+Inputs!$B$28+Inputs!$B$29)))</f>
        <v/>
      </c>
      <c r="E830">
        <f>INDEX(FactorTable!$B$2:$Y$301, MATCH(ROUND(MIN(300,MAX(1,D830)),0), FactorTable!$A$2:$A$301,0), Skills!M7+1)</f>
        <v/>
      </c>
      <c r="F830">
        <f>IF(Skills!N7=TRUE,(Skills!L7/10)*(E830/1000),Skills!L7/10)+Skills!O7</f>
        <v/>
      </c>
      <c r="G830" t="inlineStr"/>
      <c r="H830" t="inlineStr"/>
      <c r="I830" t="inlineStr">
        <is>
          <t>1</t>
        </is>
      </c>
      <c r="J830" t="inlineStr"/>
      <c r="K830" t="inlineStr"/>
      <c r="L830" t="inlineStr"/>
      <c r="M830" t="inlineStr"/>
      <c r="N830" t="inlineStr"/>
      <c r="O830" t="inlineStr"/>
      <c r="P830" t="inlineStr"/>
      <c r="Q830" t="inlineStr"/>
      <c r="R830" t="inlineStr"/>
      <c r="S830" t="inlineStr"/>
      <c r="T830" t="inlineStr"/>
      <c r="V830" t="inlineStr"/>
    </row>
    <row r="831">
      <c r="A831">
        <f>Skills!A8</f>
        <v/>
      </c>
      <c r="B831">
        <f>Skills!B8</f>
        <v/>
      </c>
      <c r="C831">
        <f>Inputs!$B$3&gt;=69</f>
        <v/>
      </c>
      <c r="D831">
        <f>IF(Skills!C8=1,60+(Inputs!$B$25+1)+Inputs!$B$29,IF(Skills!C8=2,90+Inputs!$B$26+Inputs!$B$29,IF(Skills!C8=3,120+Inputs!$B$27+Inputs!$B$29,MAX(0,(Inputs!$B$3-100)*3)+Inputs!$B$28+Inputs!$B$29)))</f>
        <v/>
      </c>
      <c r="E831">
        <f>INDEX(FactorTable!$B$2:$Y$301, MATCH(ROUND(MIN(300,MAX(1,D831)),0), FactorTable!$A$2:$A$301,0), Skills!M8+1)</f>
        <v/>
      </c>
      <c r="F831">
        <f>IF(Skills!N8=TRUE,(Skills!L8/10)*(E831/1000),Skills!L8/10)+Skills!O8</f>
        <v/>
      </c>
      <c r="G831">
        <f>Skills!G8*IF(Skills!H8&gt;0,Skills!I8/Skills!H8,1)</f>
        <v/>
      </c>
      <c r="H831">
        <f>1-(1-Skills!J8/100)^Skills!K8</f>
        <v/>
      </c>
      <c r="I831" t="inlineStr">
        <is>
          <t>1</t>
        </is>
      </c>
      <c r="J831">
        <f>((Inputs!$B$6*(1+Inputs!$B$7/100))+(((Inputs!$B$12*(1+Inputs!$B$13/100))-(Inputs!$B$12*(1+Inputs!$B$13/100)))+0.25*(Inputs!$B$14-Inputs!$B$14))*(1+Inputs!$B$7/100))*(F831/100)</f>
        <v/>
      </c>
      <c r="K831">
        <f>J831*(1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834=TRUE,F834,0)/100)*(1+(IF(Skills!A8="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831)</f>
        <v/>
      </c>
      <c r="L831">
        <f>K831*(MIN(Inputs!$B$22+((C848=TRUE)*(F848-Calc!F25)),(Inputs!$B$23+((C853=TRUE)*(F853-Calc!F30))+(IF(ArtifactsInput!$M$15,CHOOSE(ArtifactsInput!$N$15+1,25,30,35,40,45,50)/100*(Inputs!$B$11-Inputs!$B$11),0))))/100+(Inputs!$B$23+((C853=TRUE)*(F853-Calc!F30))+(IF(ArtifactsInput!$M$15,CHOOSE(ArtifactsInput!$N$15+1,25,30,35,40,45,50)/100*(Inputs!$B$11-Inputs!$B$11),0)))/100)/2</f>
        <v/>
      </c>
      <c r="M831">
        <f>L831*(1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1">
        <f>L831*(1-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1">
        <f>(1-Summary!$B$11)*T831+Summary!$B$11*V831</f>
        <v/>
      </c>
      <c r="P831">
        <f>IF(B867=0,0,O831/B867)</f>
        <v/>
      </c>
      <c r="Q831">
        <f>IFERROR(1/(IF(Inputs!$B$38="pvp",15,MAX(0.1,Skills!D8-IF(Skills!E8=TRUE,Inputs!$B$32,0)))*(1-IF(AND(ArtifactsInput!$M$27,Inputs!$B$4="Chapter Hunt"),CHOOSE(ArtifactsInput!$N$27+1,20,24,28,32,36,40),0)/100)),0)</f>
        <v/>
      </c>
      <c r="R831">
        <f>IF(AND(Inputs!$B$38&lt;&gt;"pvp",Inputs!$B$43&gt;0),IF(MAX(0,Inputs!$B$43-B864)&lt;=0,0,(INT(MAX(0,Inputs!$B$43-B864)/(IF(Inputs!$B$38="pvp",15,MAX(0.1,Skills!D8-IF(Skills!E8=TRUE,Inputs!$B$32,0)))*(1-IF(AND(ArtifactsInput!$M$27,Inputs!$B$4="Chapter Hunt"),CHOOSE(ArtifactsInput!$N$27+1,20,24,28,32,36,40),0)/100)))+1)),0)</f>
        <v/>
      </c>
      <c r="S831">
        <f>IFERROR(O831/N831,0)</f>
        <v/>
      </c>
      <c r="T831">
        <f>IF(C831,(H831*N831*IF(AND(Inputs!$B$38&lt;&gt;"pvp",Inputs!$B$43&gt;0),((Skills!G8*((R831-1)*IF(Skills!H8&gt;0,Skills!I8/Skills!H8,1)+IF(Skills!H8&gt;0,MIN(Skills!I8,MAX(0,MAX(0,Inputs!$B$43-B864)-((R831-1)*(IF(Inputs!$B$38="pvp",15,MAX(0.1,Skills!D8-IF(Skills!E8=TRUE,Inputs!$B$32,0)))*(1-IF(AND(ArtifactsInput!$M$27,Inputs!$B$4="Chapter Hunt"),CHOOSE(ArtifactsInput!$N$27+1,20,24,28,32,36,40),0)/100)))))/Skills!H8,1)))/Inputs!$B$43),G831*Q831)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831*(1-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831*(1-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1">
        <f>IF(C831,(H831*N831*IF(AND(Inputs!$B$38&lt;&gt;"pvp",Inputs!$B$43&gt;0),((Skills!G8*((R831-1)*IF(Skills!H8&gt;0,Skills!I8/Skills!H8,1)+IF(Skills!H8&gt;0,MIN(Skills!I8,MAX(0,MAX(0,Inputs!$B$43-B864)-((R831-1)*(IF(Inputs!$B$38="pvp",15,MAX(0.1,Skills!D8-IF(Skills!E8=TRUE,Inputs!$B$32,0)))*(1-IF(AND(ArtifactsInput!$M$27,Inputs!$B$4="Chapter Hunt"),CHOOSE(ArtifactsInput!$N$27+1,20,24,28,32,36,40),0)/100)))))/Skills!H8,1)))/Inputs!$B$43),G831*Q831))*IF(Inputs!$B$38="pvp",1,(1+(Inputs!$B$21+Skills!Q8+(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2">
      <c r="A832">
        <f>Skills!A9</f>
        <v/>
      </c>
      <c r="B832">
        <f>Skills!B9</f>
        <v/>
      </c>
      <c r="C832">
        <f>Inputs!$B$3&gt;=63</f>
        <v/>
      </c>
      <c r="D832">
        <f>IF(Skills!C9=1,60+(Inputs!$B$25+1)+Inputs!$B$29,IF(Skills!C9=2,90+Inputs!$B$26+Inputs!$B$29,IF(Skills!C9=3,120+Inputs!$B$27+Inputs!$B$29,MAX(0,(Inputs!$B$3-100)*3)+Inputs!$B$28+Inputs!$B$29)))</f>
        <v/>
      </c>
      <c r="E832">
        <f>INDEX(FactorTable!$B$2:$Y$301, MATCH(ROUND(MIN(300,MAX(1,D832)),0), FactorTable!$A$2:$A$301,0), Skills!M9+1)</f>
        <v/>
      </c>
      <c r="F832">
        <f>IF(Skills!N9=TRUE,(Skills!L9/10)*(E832/1000),Skills!L9/10)+Skills!O9</f>
        <v/>
      </c>
      <c r="G832">
        <f>Skills!G9*IF(Skills!H9&gt;0,Skills!I9/Skills!H9,1)</f>
        <v/>
      </c>
      <c r="H832">
        <f>1-(1-Skills!J9/100)^Skills!K9</f>
        <v/>
      </c>
      <c r="I832" t="inlineStr">
        <is>
          <t>1</t>
        </is>
      </c>
      <c r="J832">
        <f>((Inputs!$B$6*(1+Inputs!$B$7/100))+(((Inputs!$B$12*(1+Inputs!$B$13/100))-(Inputs!$B$12*(1+Inputs!$B$13/100)))+0.25*(Inputs!$B$14-Inputs!$B$14))*(1+Inputs!$B$7/100))*(F832/100)</f>
        <v/>
      </c>
      <c r="K832">
        <f>J832*(1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834=TRUE,F834,0)/100)*(1+(IF(Skills!A9="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832)</f>
        <v/>
      </c>
      <c r="L832">
        <f>K832*(MIN(Inputs!$B$22+((C848=TRUE)*(F848-Calc!F25)),(Inputs!$B$23+((C853=TRUE)*(F853-Calc!F30))+(IF(ArtifactsInput!$M$15,CHOOSE(ArtifactsInput!$N$15+1,25,30,35,40,45,50)/100*(Inputs!$B$11-Inputs!$B$11),0))))/100+(Inputs!$B$23+((C853=TRUE)*(F853-Calc!F30))+(IF(ArtifactsInput!$M$15,CHOOSE(ArtifactsInput!$N$15+1,25,30,35,40,45,50)/100*(Inputs!$B$11-Inputs!$B$11),0)))/100)/2</f>
        <v/>
      </c>
      <c r="M832">
        <f>L832*(1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2">
        <f>L832*(1-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832*(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2">
        <f>(1-Summary!$B$11)*T832+Summary!$B$11*V832</f>
        <v/>
      </c>
      <c r="P832">
        <f>IF(B867=0,0,O832/B867)</f>
        <v/>
      </c>
      <c r="Q832">
        <f>IFERROR(1/(IF(Inputs!$B$38="pvp",15,MAX(0.1,Skills!D9-IF(Skills!E9=TRUE,Inputs!$B$32,0)))*(1-IF(AND(ArtifactsInput!$M$27,Inputs!$B$4="Chapter Hunt"),CHOOSE(ArtifactsInput!$N$27+1,20,24,28,32,36,40),0)/100)),0)</f>
        <v/>
      </c>
      <c r="R832">
        <f>IF(AND(Inputs!$B$38&lt;&gt;"pvp",Inputs!$B$43&gt;0),IF(MAX(0,Inputs!$B$43-B864)&lt;=0,0,(INT(MAX(0,Inputs!$B$43-B864)/(IF(Inputs!$B$38="pvp",15,MAX(0.1,Skills!D9-IF(Skills!E9=TRUE,Inputs!$B$32,0)))*(1-IF(AND(ArtifactsInput!$M$27,Inputs!$B$4="Chapter Hunt"),CHOOSE(ArtifactsInput!$N$27+1,20,24,28,32,36,40),0)/100)))+1)),0)</f>
        <v/>
      </c>
      <c r="S832">
        <f>IFERROR(O832/N832,0)</f>
        <v/>
      </c>
      <c r="T832">
        <f>IF(C832,(H832*N832*IF(AND(Inputs!$B$38&lt;&gt;"pvp",Inputs!$B$43&gt;0),((Skills!G9*((R832-1)*IF(Skills!H9&gt;0,Skills!I9/Skills!H9,1)+IF(Skills!H9&gt;0,MIN(Skills!I9,MAX(0,MAX(0,Inputs!$B$43-B864)-((R832-1)*(IF(Inputs!$B$38="pvp",15,MAX(0.1,Skills!D9-IF(Skills!E9=TRUE,Inputs!$B$32,0)))*(1-IF(AND(ArtifactsInput!$M$27,Inputs!$B$4="Chapter Hunt"),CHOOSE(ArtifactsInput!$N$27+1,20,24,28,32,36,40),0)/100)))))/Skills!H9,1)))/Inputs!$B$43),G832*Q832)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832*(1-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832*(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832*(1-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832*(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2">
        <f>IF(C832,(H832*N832*IF(AND(Inputs!$B$38&lt;&gt;"pvp",Inputs!$B$43&gt;0),((Skills!G9*((R832-1)*IF(Skills!H9&gt;0,Skills!I9/Skills!H9,1)+IF(Skills!H9&gt;0,MIN(Skills!I9,MAX(0,MAX(0,Inputs!$B$43-B864)-((R832-1)*(IF(Inputs!$B$38="pvp",15,MAX(0.1,Skills!D9-IF(Skills!E9=TRUE,Inputs!$B$32,0)))*(1-IF(AND(ArtifactsInput!$M$27,Inputs!$B$4="Chapter Hunt"),CHOOSE(ArtifactsInput!$N$27+1,20,24,28,32,36,40),0)/100)))))/Skills!H9,1)))/Inputs!$B$43),G832*Q832))*IF(Inputs!$B$38="pvp",1,(1+(Inputs!$B$21+Skills!Q9+(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3">
      <c r="A833">
        <f>Skills!A10</f>
        <v/>
      </c>
      <c r="B833">
        <f>Skills!B10</f>
        <v/>
      </c>
      <c r="C833">
        <f>Inputs!$B$3&gt;=103</f>
        <v/>
      </c>
      <c r="D833">
        <f>IF(Skills!C10=1,60+(Inputs!$B$25+1)+Inputs!$B$29,IF(Skills!C10=2,90+Inputs!$B$26+Inputs!$B$29,IF(Skills!C10=3,120+Inputs!$B$27+Inputs!$B$29,MAX(0,(Inputs!$B$3-100)*3)+Inputs!$B$28+Inputs!$B$29)))</f>
        <v/>
      </c>
      <c r="E833">
        <f>INDEX(FactorTable!$B$2:$Y$301, MATCH(ROUND(MIN(300,MAX(1,D833)),0), FactorTable!$A$2:$A$301,0), Skills!M10+1)</f>
        <v/>
      </c>
      <c r="F833">
        <f>IF(Skills!N10=TRUE,(Skills!L10/10)*(E833/1000),Skills!L10/10)+Skills!O10</f>
        <v/>
      </c>
      <c r="G833">
        <f>Skills!G10*IF(Skills!H10&gt;0,Skills!I10/Skills!H10,1)</f>
        <v/>
      </c>
      <c r="H833">
        <f>1-(1-Skills!J10/100)^Skills!K10</f>
        <v/>
      </c>
      <c r="I833" t="inlineStr">
        <is>
          <t>1</t>
        </is>
      </c>
      <c r="J833">
        <f>((Inputs!$B$6*(1+Inputs!$B$7/100))+(((Inputs!$B$12*(1+Inputs!$B$13/100))-(Inputs!$B$12*(1+Inputs!$B$13/100)))+0.25*(Inputs!$B$14-Inputs!$B$14))*(1+Inputs!$B$7/100))*(F833/100)</f>
        <v/>
      </c>
      <c r="K833">
        <f>J833*(1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833)</f>
        <v/>
      </c>
      <c r="L833">
        <f>K833*(MIN(Inputs!$B$22+((C848=TRUE)*(F848-Calc!F25)),(Inputs!$B$23+((C853=TRUE)*(F853-Calc!F30))+(IF(ArtifactsInput!$M$15,CHOOSE(ArtifactsInput!$N$15+1,25,30,35,40,45,50)/100*(Inputs!$B$11-Inputs!$B$11),0))))/100+(Inputs!$B$23+((C853=TRUE)*(F853-Calc!F30))+(IF(ArtifactsInput!$M$15,CHOOSE(ArtifactsInput!$N$15+1,25,30,35,40,45,50)/100*(Inputs!$B$11-Inputs!$B$11),0)))/100)/2</f>
        <v/>
      </c>
      <c r="M833">
        <f>L833*(1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3">
        <f>L833*(1-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833*(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3">
        <f>(1-Summary!$B$11)*T833+Summary!$B$11*V833</f>
        <v/>
      </c>
      <c r="P833">
        <f>IF(B867=0,0,O833/B867)</f>
        <v/>
      </c>
      <c r="Q833">
        <f>IFERROR(1/(IF(Inputs!$B$38="pvp",15,MAX(0.1,Skills!D10-IF(Skills!E10=TRUE,Inputs!$B$32,0)))*(1-IF(AND(ArtifactsInput!$M$27,Inputs!$B$4="Chapter Hunt"),CHOOSE(ArtifactsInput!$N$27+1,20,24,28,32,36,40),0)/100)),0)</f>
        <v/>
      </c>
      <c r="R833">
        <f>IF(AND(Inputs!$B$38&lt;&gt;"pvp",Inputs!$B$43&gt;0),IF(MAX(0,Inputs!$B$43-B864)&lt;=0,0,(INT(MAX(0,Inputs!$B$43-B864)/(IF(Inputs!$B$38="pvp",15,MAX(0.1,Skills!D10-IF(Skills!E10=TRUE,Inputs!$B$32,0)))*(1-IF(AND(ArtifactsInput!$M$27,Inputs!$B$4="Chapter Hunt"),CHOOSE(ArtifactsInput!$N$27+1,20,24,28,32,36,40),0)/100)))+1)),0)</f>
        <v/>
      </c>
      <c r="S833">
        <f>IFERROR(O833/N833,0)</f>
        <v/>
      </c>
      <c r="T833">
        <f>IF(C833,(H833*N833*IF(AND(Inputs!$B$38&lt;&gt;"pvp",Inputs!$B$43&gt;0),((Skills!G10*((R833-1)*IF(Skills!H10&gt;0,Skills!I10/Skills!H10,1)+IF(Skills!H10&gt;0,MIN(Skills!I10,MAX(0,MAX(0,Inputs!$B$43-B864)-((R833-1)*(IF(Inputs!$B$38="pvp",15,MAX(0.1,Skills!D10-IF(Skills!E10=TRUE,Inputs!$B$32,0)))*(1-IF(AND(ArtifactsInput!$M$27,Inputs!$B$4="Chapter Hunt"),CHOOSE(ArtifactsInput!$N$27+1,20,24,28,32,36,40),0)/100)))))/Skills!H10,1)))/Inputs!$B$43),G833*Q833)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833*(1-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833*(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833*(1-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833*(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3">
        <f>IF(C833,(H833*N833*IF(AND(Inputs!$B$38&lt;&gt;"pvp",Inputs!$B$43&gt;0),((Skills!G10*((R833-1)*IF(Skills!H10&gt;0,Skills!I10/Skills!H10,1)+IF(Skills!H10&gt;0,MIN(Skills!I10,MAX(0,MAX(0,Inputs!$B$43-B864)-((R833-1)*(IF(Inputs!$B$38="pvp",15,MAX(0.1,Skills!D10-IF(Skills!E10=TRUE,Inputs!$B$32,0)))*(1-IF(AND(ArtifactsInput!$M$27,Inputs!$B$4="Chapter Hunt"),CHOOSE(ArtifactsInput!$N$27+1,20,24,28,32,36,40),0)/100)))))/Skills!H10,1)))/Inputs!$B$43),G833*Q833))*IF(Inputs!$B$38="pvp",1,(1+(Inputs!$B$21+Skills!Q10+(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4">
      <c r="A834">
        <f>Skills!A11</f>
        <v/>
      </c>
      <c r="B834">
        <f>Skills!B11</f>
        <v/>
      </c>
      <c r="C834">
        <f>Inputs!$B$3&gt;=100</f>
        <v/>
      </c>
      <c r="D834">
        <f>IF(Skills!C11=1,60+(Inputs!$B$25+1)+Inputs!$B$29,IF(Skills!C11=2,90+Inputs!$B$26+Inputs!$B$29,IF(Skills!C11=3,120+Inputs!$B$27+Inputs!$B$29,MAX(0,(Inputs!$B$3-100)*3)+Inputs!$B$28+Inputs!$B$29)))</f>
        <v/>
      </c>
      <c r="E834">
        <f>INDEX(FactorTable!$B$2:$Y$301, MATCH(ROUND(MIN(300,MAX(1,D834)),0), FactorTable!$A$2:$A$301,0), Skills!M11+1)</f>
        <v/>
      </c>
      <c r="F834">
        <f>IF(Skills!N11=TRUE,(Skills!L11/10)*(E834/1000),Skills!L11/10)+Skills!O11</f>
        <v/>
      </c>
      <c r="G834" t="inlineStr"/>
      <c r="H834" t="inlineStr"/>
      <c r="I834" t="inlineStr">
        <is>
          <t>1</t>
        </is>
      </c>
      <c r="J834" t="inlineStr"/>
      <c r="K834" t="inlineStr"/>
      <c r="L834" t="inlineStr"/>
      <c r="M834" t="inlineStr"/>
      <c r="N834" t="inlineStr"/>
      <c r="O834" t="inlineStr"/>
      <c r="P834" t="inlineStr"/>
      <c r="Q834" t="inlineStr"/>
      <c r="R834" t="inlineStr"/>
      <c r="S834" t="inlineStr"/>
      <c r="T834" t="inlineStr"/>
      <c r="V834" t="inlineStr"/>
    </row>
    <row r="835">
      <c r="A835">
        <f>Skills!A12</f>
        <v/>
      </c>
      <c r="B835">
        <f>Skills!B12</f>
        <v/>
      </c>
      <c r="C835">
        <f>Inputs!$B$3&gt;=60</f>
        <v/>
      </c>
      <c r="D835">
        <f>IF(Skills!C12=1,60+(Inputs!$B$25+1)+Inputs!$B$29,IF(Skills!C12=2,90+Inputs!$B$26+Inputs!$B$29,IF(Skills!C12=3,120+Inputs!$B$27+Inputs!$B$29,MAX(0,(Inputs!$B$3-100)*3)+Inputs!$B$28+Inputs!$B$29)))</f>
        <v/>
      </c>
      <c r="E835">
        <f>INDEX(FactorTable!$B$2:$Y$301, MATCH(ROUND(MIN(300,MAX(1,D835)),0), FactorTable!$A$2:$A$301,0), Skills!M12+1)</f>
        <v/>
      </c>
      <c r="F835">
        <f>IF(Skills!N12=TRUE,(Skills!L12/10)*(E835/1000),Skills!L12/10)+Skills!O12</f>
        <v/>
      </c>
      <c r="G835">
        <f>Skills!G12*IF(Skills!H12&gt;0,Skills!I12/Skills!H12,1)</f>
        <v/>
      </c>
      <c r="H835">
        <f>1-(1-Skills!J12/100)^Skills!K12</f>
        <v/>
      </c>
      <c r="I835" t="inlineStr">
        <is>
          <t>1</t>
        </is>
      </c>
      <c r="J835">
        <f>((Inputs!$B$6*(1+Inputs!$B$7/100))+(((Inputs!$B$12*(1+Inputs!$B$13/100))-(Inputs!$B$12*(1+Inputs!$B$13/100)))+0.25*(Inputs!$B$14-Inputs!$B$14))*(1+Inputs!$B$7/100))*(F835/100)</f>
        <v/>
      </c>
      <c r="K835">
        <f>J835*(1+((Inputs!$B$12*(1+Inputs!$B$13/100))*0.01+Inputs!$B$14*0.0025)/100)*(1+Inputs!$B$15/100)*(1+Inputs!$B$16/100)*(5000/(6000+Inputs!$B$42*(1-(100*(1-(1-(Inputs!$B$19+((C851=TRUE)*(F851-Calc!F28)))/100)*(1-CHOOSE(ArtifactsInput!$N$40+1,5,6,7,8,9,10)/100)^(ArtifactsInput!$M$40-ArtifactsInput!$M$40)))/100)))*(1+(Inputs!$B$24+((C849=TRUE)*(F849-Calc!F26))+((C850=TRUE)*(F850-Calc!F27))+B863)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836=TRUE,F836,0)/100)*(1+(IF(Skills!A12="ARROW_STREAM",Inputs!$B$17+((C847=TRUE)*(F847-Calc!F24))+(((IF(AND(ArtifactsInput!$M$42,((Inputs!$B$9+((C844=TRUE)*(F844-Calc!F21))+B857+(ArtifactsInput!$M$24-ArtifactsInput!$M$24)*CHOOSE(ArtifactsInput!$N$24+1,10,12,14,16,18,20)+IF(ArtifactsInput!$M$10,CHOOSE(ArtifactsInput!$N$10+1,15,18,21,24,27,30)*(IF(Inputs!$B$38="pvp",MIN(15,15)/15,IF(AND(Inputs!$B$38&lt;&gt;"pvp",Inputs!$B$43&gt;0),MIN(15,Inputs!$B$43)/(Inputs!$B$43),0))),0)))&gt;=100),MIN(100,((Inputs!$B$9+((C844=TRUE)*(F844-Calc!F21))+B857+(ArtifactsInput!$M$24-ArtifactsInput!$M$24)*CHOOSE(ArtifactsInput!$N$24+1,10,12,14,16,18,20)+IF(ArtifactsInput!$M$10,CHOOSE(ArtifactsInput!$N$10+1,15,18,21,24,27,30)*(IF(Inputs!$B$38="pvp",MIN(15,15)/15,IF(AND(Inputs!$B$38&lt;&gt;"pvp",Inputs!$B$43&gt;0),MIN(15,Inputs!$B$43)/(Inputs!$B$43),0))),0)))-100),0))*CHOOSE(ArtifactsInput!$N$42+1,0.6,0.72,0.84,0.96,1.08,1.2))),Inputs!$B$18+((C852=TRUE)*(F852-Calc!F29))+(IF(AND(ArtifactsInput!$M$42,((Inputs!$B$9+((C844=TRUE)*(F844-Calc!F21))+B857+(ArtifactsInput!$M$24-ArtifactsInput!$M$24)*CHOOSE(ArtifactsInput!$N$24+1,10,12,14,16,18,20)+IF(ArtifactsInput!$M$10,CHOOSE(ArtifactsInput!$N$10+1,15,18,21,24,27,30)*(IF(Inputs!$B$38="pvp",MIN(15,15)/15,IF(AND(Inputs!$B$38&lt;&gt;"pvp",Inputs!$B$43&gt;0),MIN(15,Inputs!$B$43)/(Inputs!$B$43),0))),0)))&gt;=100),CHOOSE(ArtifactsInput!$N$42+1,40,48,56,64,72,80),0))))/100)*((1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835)</f>
        <v/>
      </c>
      <c r="L835">
        <f>K835*(MIN(Inputs!$B$22+((C848=TRUE)*(F848-Calc!F25)),(Inputs!$B$23+((C853=TRUE)*(F853-Calc!F30))+(IF(ArtifactsInput!$M$15,CHOOSE(ArtifactsInput!$N$15+1,25,30,35,40,45,50)/100*(Inputs!$B$11-Inputs!$B$11),0))))/100+(Inputs!$B$23+((C853=TRUE)*(F853-Calc!F30))+(IF(ArtifactsInput!$M$15,CHOOSE(ArtifactsInput!$N$15+1,25,30,35,40,45,50)/100*(Inputs!$B$11-Inputs!$B$11),0)))/100)/2</f>
        <v/>
      </c>
      <c r="M835">
        <f>L835*(1+(Inputs!$B$10+0+B862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5">
        <f>L835*(1-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835*(MIN((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5">
        <f>(1-Summary!$B$11)*T835+Summary!$B$11*V835</f>
        <v/>
      </c>
      <c r="P835">
        <f>IF(B867=0,0,O835/B867)</f>
        <v/>
      </c>
      <c r="Q835">
        <f>IFERROR(1/(IF(Inputs!$B$38="pvp",15,MAX(0.1,Skills!D12-IF(Skills!E12=TRUE,Inputs!$B$32,0)))*(1-IF(AND(ArtifactsInput!$M$27,Inputs!$B$4="Chapter Hunt"),CHOOSE(ArtifactsInput!$N$27+1,20,24,28,32,36,40),0)/100)),0)</f>
        <v/>
      </c>
      <c r="R835">
        <f>IF(AND(Inputs!$B$38&lt;&gt;"pvp",Inputs!$B$43&gt;0),IF(MAX(0,Inputs!$B$43-B864)&lt;=0,0,(INT(MAX(0,Inputs!$B$43-B864)/(IF(Inputs!$B$38="pvp",15,MAX(0.1,Skills!D12-IF(Skills!E12=TRUE,Inputs!$B$32,0)))*(1-IF(AND(ArtifactsInput!$M$27,Inputs!$B$4="Chapter Hunt"),CHOOSE(ArtifactsInput!$N$27+1,20,24,28,32,36,40),0)/100)))+1)),0)</f>
        <v/>
      </c>
      <c r="S835">
        <f>IFERROR(O835/N835,0)</f>
        <v/>
      </c>
      <c r="T835">
        <f>IF(C835,(H835*N835*IF(AND(Inputs!$B$38&lt;&gt;"pvp",Inputs!$B$43&gt;0),((Skills!G12*((R835-1)*IF(Skills!H12&gt;0,Skills!I12/Skills!H12,1)+IF(Skills!H12&gt;0,MIN(Skills!I12,MAX(0,MAX(0,Inputs!$B$43-B864)-((R835-1)*(IF(Inputs!$B$38="pvp",15,MAX(0.1,Skills!D12-IF(Skills!E12=TRUE,Inputs!$B$32,0)))*(1-IF(AND(ArtifactsInput!$M$27,Inputs!$B$4="Chapter Hunt"),CHOOSE(ArtifactsInput!$N$27+1,20,24,28,32,36,40),0)/100)))))/Skills!H12,1)))/Inputs!$B$43),G835*Q835)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(5000/(6000+Inputs!$B$42*(1-(100*(1-(1-(100*(1-(1-(Inputs!$B$19+((C851=TRUE)*(F851-Calc!F28)))/100)*(1-CHOOSE(ArtifactsInput!$N$40+1,5,6,7,8,9,10)/100)^(ArtifactsInput!$M$40-ArtifactsInput!$M$40)))/100)*(1-IF(ArtifactsInput!$M$40,CHOOSE(ArtifactsInput!$N$40+1,5,6,7,8,9,10),0)/100)^IF(Inputs!$B$38="pvp",1,2)))/100)))/(5000/(6000+Inputs!$B$42*(1-(100*(1-(1-(Inputs!$B$19+((C851=TRUE)*(F851-Calc!F28)))/100)*(1-CHOOSE(ArtifactsInput!$N$40+1,5,6,7,8,9,10)/100)^(ArtifactsInput!$M$40-ArtifactsInput!$M$40)))/100))))*((L835*(1-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835*(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835*(1-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835*(MIN(100,(Inputs!$B$9+((C844=TRUE)*(F844-Calc!F21))+B857+(ArtifactsInput!$M$24-ArtifactsInput!$M$24)*CHOOSE(ArtifactsInput!$N$24+1,10,12,14,16,18,20)+(IF(AND(ArtifactsInput!$M$42,((Inputs!$B$9+((C844=TRUE)*(F844-Calc!F21))+B857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5">
        <f>IF(C835,(H835*N835*IF(AND(Inputs!$B$38&lt;&gt;"pvp",Inputs!$B$43&gt;0),((Skills!G12*((R835-1)*IF(Skills!H12&gt;0,Skills!I12/Skills!H12,1)+IF(Skills!H12&gt;0,MIN(Skills!I12,MAX(0,MAX(0,Inputs!$B$43-B864)-((R835-1)*(IF(Inputs!$B$38="pvp",15,MAX(0.1,Skills!D12-IF(Skills!E12=TRUE,Inputs!$B$32,0)))*(1-IF(AND(ArtifactsInput!$M$27,Inputs!$B$4="Chapter Hunt"),CHOOSE(ArtifactsInput!$N$27+1,20,24,28,32,36,40),0)/100)))))/Skills!H12,1)))/Inputs!$B$43),G835*Q835))*IF(Inputs!$B$38="pvp",1,(1+(Inputs!$B$21+Skills!Q12+(IF(ArtifactsInput!$M$33,CHOOSE(ArtifactsInput!$N$33+1,30,36,42,48,54,60),0))+(IF(AND(ArtifactsInput!$M$35,Inputs!$B$4&lt;&gt;"Chapter Hunt"),CHOOSE(ArtifactsInput!$N$35+1,15,18,21,24,27,30)*(1-EXP(-(0.2*B859)*5)),0)+IF(AND(ArtifactsInput!$M$22,Inputs!$B$4&lt;&gt;"Chapter Hunt"),CHOOSE(ArtifactsInput!$N$22+1,10,12,14,16,18,20)*((0*(((0.15*B859*5))^0/1)+1*(((0.15*B859*5))^1/1)+2*(((0.15*B859*5))^2/2)+3*(((0.15*B859*5))^3/6)+4*(((0.15*B859*5))^4/24)+5*(((0.15*B859*5))^5/120))/((((0.15*B859*5))^0/1)+(((0.15*B859*5))^1/1)+(((0.15*B859*5))^2/2)+(((0.15*B859*5))^3/6)+(((0.15*B859*5))^4/24)+(((0.15*B859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6">
      <c r="A836">
        <f>Skills!A13</f>
        <v/>
      </c>
      <c r="B836">
        <f>Skills!B13</f>
        <v/>
      </c>
      <c r="C836">
        <f>Inputs!$B$3&gt;=110</f>
        <v/>
      </c>
      <c r="D836">
        <f>IF(Skills!C13=1,60+(Inputs!$B$25+1)+Inputs!$B$29,IF(Skills!C13=2,90+Inputs!$B$26+Inputs!$B$29,IF(Skills!C13=3,120+Inputs!$B$27+Inputs!$B$29,MAX(0,(Inputs!$B$3-100)*3)+Inputs!$B$28+Inputs!$B$29)))</f>
        <v/>
      </c>
      <c r="E836">
        <f>INDEX(FactorTable!$B$2:$Y$301, MATCH(ROUND(MIN(300,MAX(1,D836)),0), FactorTable!$A$2:$A$301,0), Skills!M13+1)</f>
        <v/>
      </c>
      <c r="F836">
        <f>IF(Skills!N13=TRUE,(Skills!L13/10)*(E836/1000),Skills!L13/10)+Skills!O13</f>
        <v/>
      </c>
      <c r="G836" t="inlineStr"/>
      <c r="H836" t="inlineStr"/>
      <c r="I836" t="inlineStr">
        <is>
          <t>1</t>
        </is>
      </c>
      <c r="J836" t="inlineStr"/>
      <c r="K836" t="inlineStr"/>
      <c r="L836" t="inlineStr"/>
      <c r="M836" t="inlineStr"/>
      <c r="N836" t="inlineStr"/>
      <c r="O836" t="inlineStr"/>
      <c r="P836" t="inlineStr"/>
      <c r="Q836" t="inlineStr"/>
      <c r="R836" t="inlineStr"/>
      <c r="S836" t="inlineStr"/>
      <c r="T836" t="inlineStr"/>
      <c r="V836" t="inlineStr"/>
    </row>
    <row r="837">
      <c r="A837">
        <f>Skills!A14</f>
        <v/>
      </c>
      <c r="B837">
        <f>Skills!B14</f>
        <v/>
      </c>
      <c r="C837">
        <f>Inputs!$B$3&gt;=74</f>
        <v/>
      </c>
      <c r="D837">
        <f>IF(Skills!C14=1,60+(Inputs!$B$25+1)+Inputs!$B$29,IF(Skills!C14=2,90+Inputs!$B$26+Inputs!$B$29,IF(Skills!C14=3,120+Inputs!$B$27+Inputs!$B$29,MAX(0,(Inputs!$B$3-100)*3)+Inputs!$B$28+Inputs!$B$29)))</f>
        <v/>
      </c>
      <c r="E837">
        <f>INDEX(FactorTable!$B$2:$Y$301, MATCH(ROUND(MIN(300,MAX(1,D837)),0), FactorTable!$A$2:$A$301,0), Skills!M14+1)</f>
        <v/>
      </c>
      <c r="F837">
        <f>IF(Skills!N14=TRUE,(Skills!L14/10)*(E837/1000),Skills!L14/10)+Skills!O14</f>
        <v/>
      </c>
      <c r="G837">
        <f>Skills!G14*IF(Skills!H14&gt;0,Skills!I14/Skills!H14,1)</f>
        <v/>
      </c>
      <c r="H837">
        <f>1-(1-Skills!J14/100)^Skills!K14</f>
        <v/>
      </c>
      <c r="I837" t="inlineStr">
        <is>
          <t>1</t>
        </is>
      </c>
      <c r="J837" t="inlineStr"/>
      <c r="K837" t="inlineStr"/>
      <c r="L837" t="inlineStr"/>
      <c r="M837" t="inlineStr"/>
      <c r="N837" t="inlineStr"/>
      <c r="O837">
        <f>(1-Summary!$B$11)*T837+Summary!$B$11*V837</f>
        <v/>
      </c>
      <c r="P837">
        <f>IF(B867=0,0,O837/B867)</f>
        <v/>
      </c>
      <c r="Q837" t="n">
        <v>0</v>
      </c>
      <c r="R837" t="n">
        <v>0</v>
      </c>
      <c r="S837">
        <f>IFERROR(O837/N837,0)</f>
        <v/>
      </c>
      <c r="T837" t="n">
        <v>0</v>
      </c>
      <c r="V837" t="n">
        <v>0</v>
      </c>
    </row>
    <row r="838">
      <c r="A838">
        <f>Skills!A15</f>
        <v/>
      </c>
      <c r="B838">
        <f>Skills!B15</f>
        <v/>
      </c>
      <c r="C838">
        <f>Inputs!$B$3&gt;=74</f>
        <v/>
      </c>
      <c r="D838">
        <f>IF(Skills!C15=1,60+(Inputs!$B$25+1)+Inputs!$B$29,IF(Skills!C15=2,90+Inputs!$B$26+Inputs!$B$29,IF(Skills!C15=3,120+Inputs!$B$27+Inputs!$B$29,MAX(0,(Inputs!$B$3-100)*3)+Inputs!$B$28+Inputs!$B$29)))</f>
        <v/>
      </c>
      <c r="E838">
        <f>INDEX(FactorTable!$B$2:$Y$301, MATCH(ROUND(MIN(300,MAX(1,D838)),0), FactorTable!$A$2:$A$301,0), Skills!M15+1)</f>
        <v/>
      </c>
      <c r="F838">
        <f>IF(Skills!N15=TRUE,(Skills!L15/10)*(E838/1000),Skills!L15/10)+Skills!O15</f>
        <v/>
      </c>
      <c r="G838">
        <f>Skills!G15*IF(Skills!H15&gt;0,Skills!I15/Skills!H15,1)</f>
        <v/>
      </c>
      <c r="H838">
        <f>1-(1-Skills!J15/100)^Skills!K15</f>
        <v/>
      </c>
      <c r="I838" t="inlineStr">
        <is>
          <t>1</t>
        </is>
      </c>
      <c r="J838" t="inlineStr"/>
      <c r="K838" t="inlineStr"/>
      <c r="L838" t="inlineStr"/>
      <c r="M838" t="inlineStr"/>
      <c r="N838" t="inlineStr"/>
      <c r="O838">
        <f>(1-Summary!$B$11)*T838+Summary!$B$11*V838</f>
        <v/>
      </c>
      <c r="P838">
        <f>IF(B867=0,0,O838/B867)</f>
        <v/>
      </c>
      <c r="Q838" t="n">
        <v>0</v>
      </c>
      <c r="R838" t="n">
        <v>0</v>
      </c>
      <c r="S838">
        <f>IFERROR(O838/N838,0)</f>
        <v/>
      </c>
      <c r="T838" t="n">
        <v>0</v>
      </c>
      <c r="V838" t="n">
        <v>0</v>
      </c>
    </row>
    <row r="839">
      <c r="A839">
        <f>Skills!A16</f>
        <v/>
      </c>
      <c r="B839">
        <f>Skills!B16</f>
        <v/>
      </c>
      <c r="C839">
        <f>Inputs!$B$3&gt;=117</f>
        <v/>
      </c>
      <c r="D839">
        <f>IF(Skills!C16=1,60+(Inputs!$B$25+1)+Inputs!$B$29,IF(Skills!C16=2,90+Inputs!$B$26+Inputs!$B$29,IF(Skills!C16=3,120+Inputs!$B$27+Inputs!$B$29,MAX(0,(Inputs!$B$3-100)*3)+Inputs!$B$28+Inputs!$B$29)))</f>
        <v/>
      </c>
      <c r="E839">
        <f>INDEX(FactorTable!$B$2:$Y$301, MATCH(ROUND(MIN(300,MAX(1,D839)),0), FactorTable!$A$2:$A$301,0), Skills!M16+1)</f>
        <v/>
      </c>
      <c r="F839">
        <f>IF(Skills!N16=TRUE,(Skills!L16/10)*(E839/1000),Skills!L16/10)+Skills!O16</f>
        <v/>
      </c>
      <c r="G839">
        <f>Skills!G16*IF(Skills!H16&gt;0,Skills!I16/Skills!H16,1)</f>
        <v/>
      </c>
      <c r="H839">
        <f>1-(1-Skills!J16/100)^Skills!K16</f>
        <v/>
      </c>
      <c r="I839" t="inlineStr">
        <is>
          <t>1</t>
        </is>
      </c>
      <c r="J839" t="inlineStr"/>
      <c r="K839" t="inlineStr"/>
      <c r="L839" t="inlineStr"/>
      <c r="M839" t="inlineStr"/>
      <c r="N839" t="inlineStr"/>
      <c r="O839">
        <f>(1-Summary!$B$11)*T839+Summary!$B$11*V839</f>
        <v/>
      </c>
      <c r="P839">
        <f>IF(B867=0,0,O839/B867)</f>
        <v/>
      </c>
      <c r="Q839">
        <f>IFERROR(1/(IF(Inputs!$B$38="pvp",15,MAX(0.1,Skills!D16-IF(Skills!E16=TRUE,Inputs!$B$32,0)))*(1-IF(AND(ArtifactsInput!$M$27,Inputs!$B$4="Chapter Hunt"),CHOOSE(ArtifactsInput!$N$27+1,20,24,28,32,36,40),0)/100)),0)</f>
        <v/>
      </c>
      <c r="R839">
        <f>IF(AND(Inputs!$B$38&lt;&gt;"pvp",Inputs!$B$43&gt;0),IF(Inputs!$B$43&lt;=0,0,(INT(Inputs!$B$43/(IF(Inputs!$B$38="pvp",15,MAX(0.1,Skills!D16-IF(Skills!E16=TRUE,Inputs!$B$32,0)))*(1-IF(AND(ArtifactsInput!$M$27,Inputs!$B$4="Chapter Hunt"),CHOOSE(ArtifactsInput!$N$27+1,20,24,28,32,36,40),0)/100)))+1)),0)</f>
        <v/>
      </c>
      <c r="S839">
        <f>IFERROR(O839/N839,0)</f>
        <v/>
      </c>
      <c r="T839" t="n">
        <v>0</v>
      </c>
      <c r="V839" t="n">
        <v>0</v>
      </c>
    </row>
    <row r="840">
      <c r="A840">
        <f>Skills!A17</f>
        <v/>
      </c>
      <c r="B840">
        <f>Skills!B17</f>
        <v/>
      </c>
      <c r="C840">
        <f>Inputs!$B$3&gt;=115</f>
        <v/>
      </c>
      <c r="D840">
        <f>IF(Skills!C17=1,60+(Inputs!$B$25+1)+Inputs!$B$29,IF(Skills!C17=2,90+Inputs!$B$26+Inputs!$B$29,IF(Skills!C17=3,120+Inputs!$B$27+Inputs!$B$29,MAX(0,(Inputs!$B$3-100)*3)+Inputs!$B$28+Inputs!$B$29)))</f>
        <v/>
      </c>
      <c r="E840">
        <f>INDEX(FactorTable!$B$2:$Y$301, MATCH(ROUND(MIN(300,MAX(1,D840)),0), FactorTable!$A$2:$A$301,0), Skills!M17+1)</f>
        <v/>
      </c>
      <c r="F840">
        <f>IF(Skills!N17=TRUE,(Skills!L17/10)*(E840/1000),Skills!L17/10)+Skills!O17</f>
        <v/>
      </c>
      <c r="G840">
        <f>Skills!G17*IF(Skills!H17&gt;0,Skills!I17/Skills!H17,1)</f>
        <v/>
      </c>
      <c r="H840">
        <f>1-(1-Skills!J17/100)^Skills!K17</f>
        <v/>
      </c>
      <c r="I840" t="inlineStr">
        <is>
          <t>1</t>
        </is>
      </c>
      <c r="J840" t="inlineStr"/>
      <c r="K840" t="inlineStr"/>
      <c r="L840" t="inlineStr"/>
      <c r="M840" t="inlineStr"/>
      <c r="N840" t="inlineStr"/>
      <c r="O840">
        <f>(1-Summary!$B$11)*T840+Summary!$B$11*V840</f>
        <v/>
      </c>
      <c r="P840">
        <f>IF(B867=0,0,O840/B867)</f>
        <v/>
      </c>
      <c r="Q840">
        <f>IFERROR(1/(IF(Inputs!$B$38="pvp",15,MAX(0.1,Skills!D17-IF(Skills!E17=TRUE,Inputs!$B$32,0)))*(1-IF(AND(ArtifactsInput!$M$27,Inputs!$B$4="Chapter Hunt"),CHOOSE(ArtifactsInput!$N$27+1,20,24,28,32,36,40),0)/100)),0)</f>
        <v/>
      </c>
      <c r="R840">
        <f>IF(AND(Inputs!$B$38&lt;&gt;"pvp",Inputs!$B$43&gt;0),IF(Inputs!$B$43&lt;=0,0,(INT(Inputs!$B$43/(IF(Inputs!$B$38="pvp",15,MAX(0.1,Skills!D17-IF(Skills!E17=TRUE,Inputs!$B$32,0)))*(1-IF(AND(ArtifactsInput!$M$27,Inputs!$B$4="Chapter Hunt"),CHOOSE(ArtifactsInput!$N$27+1,20,24,28,32,36,40),0)/100)))+1)),0)</f>
        <v/>
      </c>
      <c r="S840">
        <f>IFERROR(O840/N840,0)</f>
        <v/>
      </c>
      <c r="T840" t="n">
        <v>0</v>
      </c>
      <c r="V840" t="n">
        <v>0</v>
      </c>
    </row>
    <row r="841">
      <c r="A841">
        <f>Skills!A18</f>
        <v/>
      </c>
      <c r="B841">
        <f>Skills!B18</f>
        <v/>
      </c>
      <c r="C841">
        <f>Inputs!$B$3&gt;=66</f>
        <v/>
      </c>
      <c r="D841">
        <f>IF(Skills!C18=1,60+(Inputs!$B$25+1)+Inputs!$B$29,IF(Skills!C18=2,90+Inputs!$B$26+Inputs!$B$29,IF(Skills!C18=3,120+Inputs!$B$27+Inputs!$B$29,MAX(0,(Inputs!$B$3-100)*3)+Inputs!$B$28+Inputs!$B$29)))</f>
        <v/>
      </c>
      <c r="E841">
        <f>INDEX(FactorTable!$B$2:$Y$301, MATCH(ROUND(MIN(300,MAX(1,D841)),0), FactorTable!$A$2:$A$301,0), Skills!M18+1)</f>
        <v/>
      </c>
      <c r="F841">
        <f>IF(Skills!N18=TRUE,(Skills!L18/10)*(E841/1000),Skills!L18/10)+Skills!O18</f>
        <v/>
      </c>
      <c r="G841">
        <f>Skills!G18*IF(Skills!H18&gt;0,Skills!I18/Skills!H18,1)</f>
        <v/>
      </c>
      <c r="H841">
        <f>1-(1-Skills!J18/100)^Skills!K18</f>
        <v/>
      </c>
      <c r="I841" t="inlineStr">
        <is>
          <t>1</t>
        </is>
      </c>
      <c r="J841" t="inlineStr"/>
      <c r="K841" t="inlineStr"/>
      <c r="L841" t="inlineStr"/>
      <c r="M841" t="inlineStr"/>
      <c r="N841" t="inlineStr"/>
      <c r="O841">
        <f>(1-Summary!$B$11)*T841+Summary!$B$11*V841</f>
        <v/>
      </c>
      <c r="P841">
        <f>IF(B867=0,0,O841/B867)</f>
        <v/>
      </c>
      <c r="Q841" t="n">
        <v>0</v>
      </c>
      <c r="R841" t="n">
        <v>0</v>
      </c>
      <c r="S841">
        <f>IFERROR(O841/N841,0)</f>
        <v/>
      </c>
      <c r="T841" t="n">
        <v>0</v>
      </c>
      <c r="V841" t="n">
        <v>0</v>
      </c>
    </row>
    <row r="842">
      <c r="A842">
        <f>Skills!A19</f>
        <v/>
      </c>
      <c r="B842">
        <f>Skills!B19</f>
        <v/>
      </c>
      <c r="C842">
        <f>Inputs!$B$3&gt;=72</f>
        <v/>
      </c>
      <c r="D842">
        <f>IF(Skills!C19=1,60+(Inputs!$B$25+1)+Inputs!$B$29,IF(Skills!C19=2,90+Inputs!$B$26+Inputs!$B$29,IF(Skills!C19=3,120+Inputs!$B$27+Inputs!$B$29,MAX(0,(Inputs!$B$3-100)*3)+Inputs!$B$28+Inputs!$B$29)))</f>
        <v/>
      </c>
      <c r="E842">
        <f>INDEX(FactorTable!$B$2:$Y$301, MATCH(ROUND(MIN(300,MAX(1,D842)),0), FactorTable!$A$2:$A$301,0), Skills!M19+1)</f>
        <v/>
      </c>
      <c r="F842">
        <f>IF(Skills!N19=TRUE,(Skills!L19/10)*(E842/1000),Skills!L19/10)+Skills!O19</f>
        <v/>
      </c>
      <c r="G842">
        <f>Skills!G19*IF(Skills!H19&gt;0,Skills!I19/Skills!H19,1)</f>
        <v/>
      </c>
      <c r="H842">
        <f>1-(1-Skills!J19/100)^Skills!K19</f>
        <v/>
      </c>
      <c r="I842" t="inlineStr">
        <is>
          <t>1</t>
        </is>
      </c>
      <c r="J842" t="inlineStr"/>
      <c r="K842" t="inlineStr"/>
      <c r="L842" t="inlineStr"/>
      <c r="M842" t="inlineStr"/>
      <c r="N842" t="inlineStr"/>
      <c r="O842">
        <f>(1-Summary!$B$11)*T842+Summary!$B$11*V842</f>
        <v/>
      </c>
      <c r="P842">
        <f>IF(B867=0,0,O842/B867)</f>
        <v/>
      </c>
      <c r="Q842" t="n">
        <v>0</v>
      </c>
      <c r="R842" t="n">
        <v>0</v>
      </c>
      <c r="S842">
        <f>IFERROR(O842/N842,0)</f>
        <v/>
      </c>
      <c r="T842" t="n">
        <v>0</v>
      </c>
      <c r="V842" t="n">
        <v>0</v>
      </c>
    </row>
    <row r="843">
      <c r="A843">
        <f>Skills!A20</f>
        <v/>
      </c>
      <c r="B843">
        <f>Skills!B20</f>
        <v/>
      </c>
      <c r="C843">
        <f>TRUE</f>
        <v/>
      </c>
      <c r="D843">
        <f>IF(Skills!C20=1,60+(Inputs!$B$25+1)+Inputs!$B$29,IF(Skills!C20=2,90+Inputs!$B$26+Inputs!$B$29,IF(Skills!C20=3,120+Inputs!$B$27+Inputs!$B$29,MAX(0,(Inputs!$B$3-100)*3)+Inputs!$B$28+Inputs!$B$29)))</f>
        <v/>
      </c>
      <c r="E843">
        <f>INDEX(FactorTable!$B$2:$Y$301, MATCH(ROUND(MIN(300,MAX(1,D843)),0), FactorTable!$A$2:$A$301,0), Skills!M20+1)</f>
        <v/>
      </c>
      <c r="F843">
        <f>IF(Skills!N20=TRUE,(Skills!L20/10)*(E843/1000),Skills!L20/10)+Skills!O20</f>
        <v/>
      </c>
      <c r="G843">
        <f>Skills!G20*IF(Skills!H20&gt;0,Skills!I20/Skills!H20,1)</f>
        <v/>
      </c>
      <c r="H843">
        <f>1-(1-Skills!J20/100)^Skills!K20</f>
        <v/>
      </c>
      <c r="I843" t="inlineStr">
        <is>
          <t>1</t>
        </is>
      </c>
      <c r="J843" t="inlineStr"/>
      <c r="K843" t="inlineStr"/>
      <c r="L843" t="inlineStr"/>
      <c r="M843" t="inlineStr"/>
      <c r="N843" t="inlineStr"/>
      <c r="O843">
        <f>(1-Summary!$B$11)*T843+Summary!$B$11*V843</f>
        <v/>
      </c>
      <c r="P843">
        <f>IF(B867=0,0,O843/B867)</f>
        <v/>
      </c>
      <c r="Q843">
        <f>IFERROR(1/(IF(Inputs!$B$38="pvp",15,MAX(0.1,Skills!D20-IF(Skills!E20=TRUE,Inputs!$B$32,0)))*(1-IF(AND(ArtifactsInput!$M$27,Inputs!$B$4="Chapter Hunt"),CHOOSE(ArtifactsInput!$N$27+1,20,24,28,32,36,40),0)/100)),0)</f>
        <v/>
      </c>
      <c r="R843">
        <f>IF(AND(Inputs!$B$38&lt;&gt;"pvp",Inputs!$B$43&gt;0),IF(Inputs!$B$43&lt;=0,0,(INT(Inputs!$B$43/(IF(Inputs!$B$38="pvp",15,MAX(0.1,Skills!D20-IF(Skills!E20=TRUE,Inputs!$B$32,0)))*(1-IF(AND(ArtifactsInput!$M$27,Inputs!$B$4="Chapter Hunt"),CHOOSE(ArtifactsInput!$N$27+1,20,24,28,32,36,40),0)/100)))+1)),0)</f>
        <v/>
      </c>
      <c r="S843">
        <f>IFERROR(O843/N843,0)</f>
        <v/>
      </c>
      <c r="T843" t="n">
        <v>0</v>
      </c>
      <c r="V843" t="n">
        <v>0</v>
      </c>
    </row>
    <row r="844">
      <c r="A844">
        <f>Skills!A21</f>
        <v/>
      </c>
      <c r="B844">
        <f>Skills!B21</f>
        <v/>
      </c>
      <c r="C844">
        <f>Inputs!$B$3&gt;=15</f>
        <v/>
      </c>
      <c r="D844">
        <f>IF(Skills!C21=1,60+(Inputs!$B$25+1)+Inputs!$B$29,IF(Skills!C21=2,90+Inputs!$B$26+Inputs!$B$29,IF(Skills!C21=3,120+Inputs!$B$27+Inputs!$B$29,MAX(0,(Inputs!$B$3-100)*3)+Inputs!$B$28+Inputs!$B$29)))</f>
        <v/>
      </c>
      <c r="E844">
        <f>INDEX(FactorTable!$B$2:$Y$301, MATCH(ROUND(MIN(300,MAX(1,D844)),0), FactorTable!$A$2:$A$301,0), Skills!M21+1)</f>
        <v/>
      </c>
      <c r="F844">
        <f>IF(Skills!N21=TRUE,(Skills!L21/10)*(E844/1000),Skills!L21/10)+Skills!O21</f>
        <v/>
      </c>
      <c r="G844">
        <f>Skills!G21*IF(Skills!H21&gt;0,Skills!I21/Skills!H21,1)</f>
        <v/>
      </c>
      <c r="H844">
        <f>1-(1-Skills!J21/100)^Skills!K21</f>
        <v/>
      </c>
      <c r="I844" t="inlineStr">
        <is>
          <t>1</t>
        </is>
      </c>
      <c r="J844" t="inlineStr"/>
      <c r="K844" t="inlineStr"/>
      <c r="L844" t="inlineStr"/>
      <c r="M844" t="inlineStr"/>
      <c r="N844" t="inlineStr"/>
      <c r="O844">
        <f>(1-Summary!$B$11)*T844+Summary!$B$11*V844</f>
        <v/>
      </c>
      <c r="P844">
        <f>IF(B867=0,0,O844/B867)</f>
        <v/>
      </c>
      <c r="Q844" t="n">
        <v>0</v>
      </c>
      <c r="R844" t="n">
        <v>0</v>
      </c>
      <c r="S844">
        <f>IFERROR(O844/N844,0)</f>
        <v/>
      </c>
      <c r="T844" t="n">
        <v>0</v>
      </c>
      <c r="V844" t="n">
        <v>0</v>
      </c>
    </row>
    <row r="845">
      <c r="A845">
        <f>Skills!A22</f>
        <v/>
      </c>
      <c r="B845">
        <f>Skills!B22</f>
        <v/>
      </c>
      <c r="C845">
        <f>Inputs!$B$3&gt;=10</f>
        <v/>
      </c>
      <c r="D845">
        <f>IF(Skills!C22=1,60+(Inputs!$B$25+1)+Inputs!$B$29,IF(Skills!C22=2,90+Inputs!$B$26+Inputs!$B$29,IF(Skills!C22=3,120+Inputs!$B$27+Inputs!$B$29,MAX(0,(Inputs!$B$3-100)*3)+Inputs!$B$28+Inputs!$B$29)))</f>
        <v/>
      </c>
      <c r="E845">
        <f>INDEX(FactorTable!$B$2:$Y$301, MATCH(ROUND(MIN(300,MAX(1,D845)),0), FactorTable!$A$2:$A$301,0), Skills!M22+1)</f>
        <v/>
      </c>
      <c r="F845">
        <f>IF(Skills!N22=TRUE,(Skills!L22/10)*(E845/1000),Skills!L22/10)+Skills!O22</f>
        <v/>
      </c>
      <c r="G845">
        <f>Skills!G22*IF(Skills!H22&gt;0,Skills!I22/Skills!H22,1)</f>
        <v/>
      </c>
      <c r="H845">
        <f>1-(1-Skills!J22/100)^Skills!K22</f>
        <v/>
      </c>
      <c r="I845" t="inlineStr">
        <is>
          <t>1</t>
        </is>
      </c>
      <c r="J845" t="inlineStr"/>
      <c r="K845" t="inlineStr"/>
      <c r="L845" t="inlineStr"/>
      <c r="M845" t="inlineStr"/>
      <c r="N845" t="inlineStr"/>
      <c r="O845">
        <f>(1-Summary!$B$11)*T845+Summary!$B$11*V845</f>
        <v/>
      </c>
      <c r="P845">
        <f>IF(B867=0,0,O845/B867)</f>
        <v/>
      </c>
      <c r="Q845" t="n">
        <v>0</v>
      </c>
      <c r="R845" t="n">
        <v>0</v>
      </c>
      <c r="S845">
        <f>IFERROR(O845/N845,0)</f>
        <v/>
      </c>
      <c r="T845" t="n">
        <v>0</v>
      </c>
      <c r="V845" t="n">
        <v>0</v>
      </c>
    </row>
    <row r="846">
      <c r="A846">
        <f>Skills!A23</f>
        <v/>
      </c>
      <c r="B846">
        <f>Skills!B23</f>
        <v/>
      </c>
      <c r="C846">
        <f>Inputs!$B$3&gt;=33</f>
        <v/>
      </c>
      <c r="D846">
        <f>IF(Skills!C23=1,60+(Inputs!$B$25+1)+Inputs!$B$29,IF(Skills!C23=2,90+Inputs!$B$26+Inputs!$B$29,IF(Skills!C23=3,120+Inputs!$B$27+Inputs!$B$29,MAX(0,(Inputs!$B$3-100)*3)+Inputs!$B$28+Inputs!$B$29)))</f>
        <v/>
      </c>
      <c r="E846">
        <f>INDEX(FactorTable!$B$2:$Y$301, MATCH(ROUND(MIN(300,MAX(1,D846)),0), FactorTable!$A$2:$A$301,0), Skills!M23+1)</f>
        <v/>
      </c>
      <c r="F846">
        <f>IF(Skills!N23=TRUE,(Skills!L23/10)*(E846/1000),Skills!L23/10)+Skills!O23</f>
        <v/>
      </c>
      <c r="G846">
        <f>Skills!G23*IF(Skills!H23&gt;0,Skills!I23/Skills!H23,1)</f>
        <v/>
      </c>
      <c r="H846">
        <f>1-(1-Skills!J23/100)^Skills!K23</f>
        <v/>
      </c>
      <c r="I846" t="inlineStr">
        <is>
          <t>1</t>
        </is>
      </c>
      <c r="J846" t="inlineStr"/>
      <c r="K846" t="inlineStr"/>
      <c r="L846" t="inlineStr"/>
      <c r="M846" t="inlineStr"/>
      <c r="N846" t="inlineStr"/>
      <c r="O846">
        <f>(1-Summary!$B$11)*T846+Summary!$B$11*V846</f>
        <v/>
      </c>
      <c r="P846">
        <f>IF(B867=0,0,O846/B867)</f>
        <v/>
      </c>
      <c r="Q846" t="n">
        <v>0</v>
      </c>
      <c r="R846" t="n">
        <v>0</v>
      </c>
      <c r="S846">
        <f>IFERROR(O846/N846,0)</f>
        <v/>
      </c>
      <c r="T846" t="n">
        <v>0</v>
      </c>
      <c r="V846" t="n">
        <v>0</v>
      </c>
    </row>
    <row r="847">
      <c r="A847">
        <f>Skills!A24</f>
        <v/>
      </c>
      <c r="B847">
        <f>Skills!B24</f>
        <v/>
      </c>
      <c r="C847">
        <f>Inputs!$B$3&gt;=38</f>
        <v/>
      </c>
      <c r="D847">
        <f>IF(Skills!C24=1,60+(Inputs!$B$25+1)+Inputs!$B$29,IF(Skills!C24=2,90+Inputs!$B$26+Inputs!$B$29,IF(Skills!C24=3,120+Inputs!$B$27+Inputs!$B$29,MAX(0,(Inputs!$B$3-100)*3)+Inputs!$B$28+Inputs!$B$29)))</f>
        <v/>
      </c>
      <c r="E847">
        <f>INDEX(FactorTable!$B$2:$Y$301, MATCH(ROUND(MIN(300,MAX(1,D847)),0), FactorTable!$A$2:$A$301,0), Skills!M24+1)</f>
        <v/>
      </c>
      <c r="F847">
        <f>IF(Skills!N24=TRUE,(Skills!L24/10)*(E847/1000),Skills!L24/10)+Skills!O24</f>
        <v/>
      </c>
      <c r="G847">
        <f>Skills!G24*IF(Skills!H24&gt;0,Skills!I24/Skills!H24,1)</f>
        <v/>
      </c>
      <c r="H847">
        <f>1-(1-Skills!J24/100)^Skills!K24</f>
        <v/>
      </c>
      <c r="I847" t="inlineStr">
        <is>
          <t>1</t>
        </is>
      </c>
      <c r="J847" t="inlineStr"/>
      <c r="K847" t="inlineStr"/>
      <c r="L847" t="inlineStr"/>
      <c r="M847" t="inlineStr"/>
      <c r="N847" t="inlineStr"/>
      <c r="O847">
        <f>(1-Summary!$B$11)*T847+Summary!$B$11*V847</f>
        <v/>
      </c>
      <c r="P847">
        <f>IF(B867=0,0,O847/B867)</f>
        <v/>
      </c>
      <c r="Q847" t="n">
        <v>0</v>
      </c>
      <c r="R847" t="n">
        <v>0</v>
      </c>
      <c r="S847">
        <f>IFERROR(O847/N847,0)</f>
        <v/>
      </c>
      <c r="T847" t="n">
        <v>0</v>
      </c>
      <c r="V847" t="n">
        <v>0</v>
      </c>
    </row>
    <row r="848">
      <c r="A848">
        <f>Skills!A25</f>
        <v/>
      </c>
      <c r="B848">
        <f>Skills!B25</f>
        <v/>
      </c>
      <c r="C848">
        <f>Inputs!$B$3&gt;=43</f>
        <v/>
      </c>
      <c r="D848">
        <f>IF(Skills!C25=1,60+(Inputs!$B$25+1)+Inputs!$B$29,IF(Skills!C25=2,90+Inputs!$B$26+Inputs!$B$29,IF(Skills!C25=3,120+Inputs!$B$27+Inputs!$B$29,MAX(0,(Inputs!$B$3-100)*3)+Inputs!$B$28+Inputs!$B$29)))</f>
        <v/>
      </c>
      <c r="E848">
        <f>INDEX(FactorTable!$B$2:$Y$301, MATCH(ROUND(MIN(300,MAX(1,D848)),0), FactorTable!$A$2:$A$301,0), Skills!M25+1)</f>
        <v/>
      </c>
      <c r="F848">
        <f>IF(Skills!N25=TRUE,(Skills!L25/10)*(E848/1000),Skills!L25/10)+Skills!O25</f>
        <v/>
      </c>
      <c r="G848">
        <f>Skills!G25*IF(Skills!H25&gt;0,Skills!I25/Skills!H25,1)</f>
        <v/>
      </c>
      <c r="H848">
        <f>1-(1-Skills!J25/100)^Skills!K25</f>
        <v/>
      </c>
      <c r="I848" t="inlineStr">
        <is>
          <t>1</t>
        </is>
      </c>
      <c r="J848" t="inlineStr"/>
      <c r="K848" t="inlineStr"/>
      <c r="L848" t="inlineStr"/>
      <c r="M848" t="inlineStr"/>
      <c r="N848" t="inlineStr"/>
      <c r="O848">
        <f>(1-Summary!$B$11)*T848+Summary!$B$11*V848</f>
        <v/>
      </c>
      <c r="P848">
        <f>IF(B867=0,0,O848/B867)</f>
        <v/>
      </c>
      <c r="Q848" t="n">
        <v>0</v>
      </c>
      <c r="R848" t="n">
        <v>0</v>
      </c>
      <c r="S848">
        <f>IFERROR(O848/N848,0)</f>
        <v/>
      </c>
      <c r="T848" t="n">
        <v>0</v>
      </c>
      <c r="V848" t="n">
        <v>0</v>
      </c>
    </row>
    <row r="849">
      <c r="A849">
        <f>Skills!A26</f>
        <v/>
      </c>
      <c r="B849">
        <f>Skills!B26</f>
        <v/>
      </c>
      <c r="C849">
        <f>Inputs!$B$3&gt;=75</f>
        <v/>
      </c>
      <c r="D849">
        <f>IF(Skills!C26=1,60+(Inputs!$B$25+1)+Inputs!$B$29,IF(Skills!C26=2,90+Inputs!$B$26+Inputs!$B$29,IF(Skills!C26=3,120+Inputs!$B$27+Inputs!$B$29,MAX(0,(Inputs!$B$3-100)*3)+Inputs!$B$28+Inputs!$B$29)))</f>
        <v/>
      </c>
      <c r="E849">
        <f>INDEX(FactorTable!$B$2:$Y$301, MATCH(ROUND(MIN(300,MAX(1,D849)),0), FactorTable!$A$2:$A$301,0), Skills!M26+1)</f>
        <v/>
      </c>
      <c r="F849">
        <f>IF(Skills!N26=TRUE,(Skills!L26/10)*(E849/1000),Skills!L26/10)+Skills!O26</f>
        <v/>
      </c>
      <c r="G849">
        <f>Skills!G26*IF(Skills!H26&gt;0,Skills!I26/Skills!H26,1)</f>
        <v/>
      </c>
      <c r="H849">
        <f>1-(1-Skills!J26/100)^Skills!K26</f>
        <v/>
      </c>
      <c r="I849" t="inlineStr">
        <is>
          <t>1</t>
        </is>
      </c>
      <c r="J849" t="inlineStr"/>
      <c r="K849" t="inlineStr"/>
      <c r="L849" t="inlineStr"/>
      <c r="M849" t="inlineStr"/>
      <c r="N849" t="inlineStr"/>
      <c r="O849">
        <f>(1-Summary!$B$11)*T849+Summary!$B$11*V849</f>
        <v/>
      </c>
      <c r="P849">
        <f>IF(B867=0,0,O849/B867)</f>
        <v/>
      </c>
      <c r="Q849" t="n">
        <v>0</v>
      </c>
      <c r="R849" t="n">
        <v>0</v>
      </c>
      <c r="S849">
        <f>IFERROR(O849/N849,0)</f>
        <v/>
      </c>
      <c r="T849" t="n">
        <v>0</v>
      </c>
      <c r="V849" t="n">
        <v>0</v>
      </c>
    </row>
    <row r="850">
      <c r="A850">
        <f>Skills!A27</f>
        <v/>
      </c>
      <c r="B850">
        <f>Skills!B27</f>
        <v/>
      </c>
      <c r="C850">
        <f>Inputs!$B$3&gt;=125</f>
        <v/>
      </c>
      <c r="D850">
        <f>IF(Skills!C27=1,60+(Inputs!$B$25+1)+Inputs!$B$29,IF(Skills!C27=2,90+Inputs!$B$26+Inputs!$B$29,IF(Skills!C27=3,120+Inputs!$B$27+Inputs!$B$29,MAX(0,(Inputs!$B$3-100)*3)+Inputs!$B$28+Inputs!$B$29)))</f>
        <v/>
      </c>
      <c r="E850">
        <f>INDEX(FactorTable!$B$2:$Y$301, MATCH(ROUND(MIN(300,MAX(1,D850)),0), FactorTable!$A$2:$A$301,0), Skills!M27+1)</f>
        <v/>
      </c>
      <c r="F850">
        <f>IF(Skills!N27=TRUE,(Skills!L27/10)*(E850/1000),Skills!L27/10)+Skills!O27</f>
        <v/>
      </c>
      <c r="G850">
        <f>Skills!G27*IF(Skills!H27&gt;0,Skills!I27/Skills!H27,1)</f>
        <v/>
      </c>
      <c r="H850">
        <f>1-(1-Skills!J27/100)^Skills!K27</f>
        <v/>
      </c>
      <c r="I850" t="inlineStr">
        <is>
          <t>1</t>
        </is>
      </c>
      <c r="J850" t="inlineStr"/>
      <c r="K850" t="inlineStr"/>
      <c r="L850" t="inlineStr"/>
      <c r="M850" t="inlineStr"/>
      <c r="N850" t="inlineStr"/>
      <c r="O850">
        <f>(1-Summary!$B$11)*T850+Summary!$B$11*V850</f>
        <v/>
      </c>
      <c r="P850">
        <f>IF(B867=0,0,O850/B867)</f>
        <v/>
      </c>
      <c r="Q850" t="n">
        <v>0</v>
      </c>
      <c r="R850" t="n">
        <v>0</v>
      </c>
      <c r="S850">
        <f>IFERROR(O850/N850,0)</f>
        <v/>
      </c>
      <c r="T850" t="n">
        <v>0</v>
      </c>
      <c r="V850" t="n">
        <v>0</v>
      </c>
    </row>
    <row r="851">
      <c r="A851">
        <f>Skills!A28</f>
        <v/>
      </c>
      <c r="B851">
        <f>Skills!B28</f>
        <v/>
      </c>
      <c r="C851">
        <f>Inputs!$B$3&gt;=125</f>
        <v/>
      </c>
      <c r="D851">
        <f>IF(Skills!C28=1,60+(Inputs!$B$25+1)+Inputs!$B$29,IF(Skills!C28=2,90+Inputs!$B$26+Inputs!$B$29,IF(Skills!C28=3,120+Inputs!$B$27+Inputs!$B$29,MAX(0,(Inputs!$B$3-100)*3)+Inputs!$B$28+Inputs!$B$29)))</f>
        <v/>
      </c>
      <c r="E851">
        <f>INDEX(FactorTable!$B$2:$Y$301, MATCH(ROUND(MIN(300,MAX(1,D851)),0), FactorTable!$A$2:$A$301,0), Skills!M28+1)</f>
        <v/>
      </c>
      <c r="F851">
        <f>IF(Skills!N28=TRUE,(Skills!L28/10)*(E851/1000),Skills!L28/10)+Skills!O28</f>
        <v/>
      </c>
      <c r="G851">
        <f>Skills!G28*IF(Skills!H28&gt;0,Skills!I28/Skills!H28,1)</f>
        <v/>
      </c>
      <c r="H851">
        <f>1-(1-Skills!J28/100)^Skills!K28</f>
        <v/>
      </c>
      <c r="I851" t="inlineStr">
        <is>
          <t>1</t>
        </is>
      </c>
      <c r="J851" t="inlineStr"/>
      <c r="K851" t="inlineStr"/>
      <c r="L851" t="inlineStr"/>
      <c r="M851" t="inlineStr"/>
      <c r="N851" t="inlineStr"/>
      <c r="O851">
        <f>(1-Summary!$B$11)*T851+Summary!$B$11*V851</f>
        <v/>
      </c>
      <c r="P851">
        <f>IF(B867=0,0,O851/B867)</f>
        <v/>
      </c>
      <c r="Q851" t="n">
        <v>0</v>
      </c>
      <c r="R851" t="n">
        <v>0</v>
      </c>
      <c r="S851">
        <f>IFERROR(O851/N851,0)</f>
        <v/>
      </c>
      <c r="T851" t="n">
        <v>0</v>
      </c>
      <c r="V851" t="n">
        <v>0</v>
      </c>
    </row>
    <row r="852">
      <c r="A852">
        <f>Skills!A29</f>
        <v/>
      </c>
      <c r="B852">
        <f>Skills!B29</f>
        <v/>
      </c>
      <c r="C852">
        <f>Inputs!$B$3&gt;=120</f>
        <v/>
      </c>
      <c r="D852">
        <f>IF(Skills!C29=1,60+(Inputs!$B$25+1)+Inputs!$B$29,IF(Skills!C29=2,90+Inputs!$B$26+Inputs!$B$29,IF(Skills!C29=3,120+Inputs!$B$27+Inputs!$B$29,MAX(0,(Inputs!$B$3-100)*3)+Inputs!$B$28+Inputs!$B$29)))</f>
        <v/>
      </c>
      <c r="E852">
        <f>INDEX(FactorTable!$B$2:$Y$301, MATCH(ROUND(MIN(300,MAX(1,D852)),0), FactorTable!$A$2:$A$301,0), Skills!M29+1)</f>
        <v/>
      </c>
      <c r="F852">
        <f>IF(Skills!N29=TRUE,(Skills!L29/10)*(E852/1000),Skills!L29/10)+Skills!O29</f>
        <v/>
      </c>
      <c r="G852">
        <f>Skills!G29*IF(Skills!H29&gt;0,Skills!I29/Skills!H29,1)</f>
        <v/>
      </c>
      <c r="H852">
        <f>1-(1-Skills!J29/100)^Skills!K29</f>
        <v/>
      </c>
      <c r="I852" t="inlineStr">
        <is>
          <t>1</t>
        </is>
      </c>
      <c r="J852" t="inlineStr"/>
      <c r="K852" t="inlineStr"/>
      <c r="L852" t="inlineStr"/>
      <c r="M852" t="inlineStr"/>
      <c r="N852" t="inlineStr"/>
      <c r="O852">
        <f>(1-Summary!$B$11)*T852+Summary!$B$11*V852</f>
        <v/>
      </c>
      <c r="P852">
        <f>IF(B867=0,0,O852/B867)</f>
        <v/>
      </c>
      <c r="Q852" t="n">
        <v>0</v>
      </c>
      <c r="R852" t="n">
        <v>0</v>
      </c>
      <c r="S852">
        <f>IFERROR(O852/N852,0)</f>
        <v/>
      </c>
      <c r="T852" t="n">
        <v>0</v>
      </c>
      <c r="V852" t="n">
        <v>0</v>
      </c>
    </row>
    <row r="853">
      <c r="A853">
        <f>Skills!A30</f>
        <v/>
      </c>
      <c r="B853">
        <f>Skills!B30</f>
        <v/>
      </c>
      <c r="C853">
        <f>Inputs!$B$3&gt;=120</f>
        <v/>
      </c>
      <c r="D853">
        <f>IF(Skills!C30=1,60+(Inputs!$B$25+1)+Inputs!$B$29,IF(Skills!C30=2,90+Inputs!$B$26+Inputs!$B$29,IF(Skills!C30=3,120+Inputs!$B$27+Inputs!$B$29,MAX(0,(Inputs!$B$3-100)*3)+Inputs!$B$28+Inputs!$B$29)))</f>
        <v/>
      </c>
      <c r="E853">
        <f>INDEX(FactorTable!$B$2:$Y$301, MATCH(ROUND(MIN(300,MAX(1,D853)),0), FactorTable!$A$2:$A$301,0), Skills!M30+1)</f>
        <v/>
      </c>
      <c r="F853">
        <f>IF(Skills!N30=TRUE,(Skills!L30/10)*(E853/1000),Skills!L30/10)+Skills!O30</f>
        <v/>
      </c>
      <c r="G853">
        <f>Skills!G30*IF(Skills!H30&gt;0,Skills!I30/Skills!H30,1)</f>
        <v/>
      </c>
      <c r="H853">
        <f>1-(1-Skills!J30/100)^Skills!K30</f>
        <v/>
      </c>
      <c r="I853" t="inlineStr">
        <is>
          <t>1</t>
        </is>
      </c>
      <c r="J853" t="inlineStr"/>
      <c r="K853" t="inlineStr"/>
      <c r="L853" t="inlineStr"/>
      <c r="M853" t="inlineStr"/>
      <c r="N853" t="inlineStr"/>
      <c r="O853">
        <f>(1-Summary!$B$11)*T853+Summary!$B$11*V853</f>
        <v/>
      </c>
      <c r="P853">
        <f>IF(B867=0,0,O853/B867)</f>
        <v/>
      </c>
      <c r="Q853" t="n">
        <v>0</v>
      </c>
      <c r="R853" t="n">
        <v>0</v>
      </c>
      <c r="S853">
        <f>IFERROR(O853/N853,0)</f>
        <v/>
      </c>
      <c r="T853" t="n">
        <v>0</v>
      </c>
      <c r="V853" t="n">
        <v>0</v>
      </c>
    </row>
    <row r="854">
      <c r="A854">
        <f>Skills!A31</f>
        <v/>
      </c>
      <c r="B854">
        <f>Skills!B31</f>
        <v/>
      </c>
      <c r="C854">
        <f>Inputs!$B$3&gt;=45</f>
        <v/>
      </c>
      <c r="D854">
        <f>IF(Skills!C31=1,60+(Inputs!$B$25+1)+Inputs!$B$29,IF(Skills!C31=2,90+Inputs!$B$26+Inputs!$B$29,IF(Skills!C31=3,120+Inputs!$B$27+Inputs!$B$29,MAX(0,(Inputs!$B$3-100)*3)+Inputs!$B$28+Inputs!$B$29)))</f>
        <v/>
      </c>
      <c r="E854">
        <f>INDEX(FactorTable!$B$2:$Y$301, MATCH(ROUND(MIN(300,MAX(1,D854)),0), FactorTable!$A$2:$A$301,0), Skills!M31+1)</f>
        <v/>
      </c>
      <c r="F854">
        <f>IF(Skills!N31=TRUE,(Skills!L31/10)*(E854/1000),Skills!L31/10)+Skills!O31</f>
        <v/>
      </c>
      <c r="G854">
        <f>Skills!G31*IF(Skills!H31&gt;0,Skills!I31/Skills!H31,1)</f>
        <v/>
      </c>
      <c r="H854">
        <f>1-(1-Skills!J31/100)^Skills!K31</f>
        <v/>
      </c>
      <c r="I854" t="inlineStr">
        <is>
          <t>1</t>
        </is>
      </c>
      <c r="J854" t="inlineStr"/>
      <c r="K854" t="inlineStr"/>
      <c r="L854" t="inlineStr"/>
      <c r="M854" t="inlineStr"/>
      <c r="N854" t="inlineStr"/>
      <c r="O854">
        <f>(1-Summary!$B$11)*T854+Summary!$B$11*V854</f>
        <v/>
      </c>
      <c r="P854">
        <f>IF(B867=0,0,O854/B867)</f>
        <v/>
      </c>
      <c r="Q854" t="n">
        <v>0</v>
      </c>
      <c r="R854" t="n">
        <v>0</v>
      </c>
      <c r="S854">
        <f>IFERROR(O854/N854,0)</f>
        <v/>
      </c>
      <c r="T854" t="n">
        <v>0</v>
      </c>
      <c r="V854" t="n">
        <v>0</v>
      </c>
    </row>
    <row r="856">
      <c r="A856" t="inlineStr">
        <is>
          <t>Attack% Bucket Multiplier</t>
        </is>
      </c>
      <c r="B856">
        <f>(1+(((C837=TRUE)*F837)+((C838=TRUE)*IF(Inputs!$B$38="pvp",F838,(1-Summary!$B$11)*(F838)+Summary!$B$11*(0)))+((C839=TRUE)*F839*IF(AND(Inputs!$B$38&lt;&gt;"pvp",Inputs!$B$43&gt;0),(((R839-1)*(Skills!T16*(1+Inputs!$B$34/100))+MIN((Skills!T16*(1+Inputs!$B$34/100)),MAX(0,Inputs!$B$43-((R839-1)*Skills!D16))))/Inputs!$B$43),IF(Inputs!$B$38="pvp",MIN((Skills!T16*(1+Inputs!$B$34/100)),15)/15,(Skills!T16*(1+Inputs!$B$34/100))/Skills!D16)))+((C854=TRUE)*(F854-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57">
      <c r="A857" t="inlineStr">
        <is>
          <t>Global Crit Rate Bonus %</t>
        </is>
      </c>
      <c r="B857">
        <f>(C840=TRUE)*20*IF(AND(Inputs!$B$38&lt;&gt;"pvp",Inputs!$B$43&gt;0),(((R840-1)*(Skills!T17*(1+Inputs!$B$34/100))+MIN((Skills!T17*(1+Inputs!$B$34/100)),MAX(0,Inputs!$B$43-((R840-1)*Skills!D17))))/Inputs!$B$43),IF(Inputs!$B$38="pvp",MIN((Skills!T17*(1+Inputs!$B$34/100)),15)/15,(Skills!T17*(1+Inputs!$B$34/100))/Skills!D17))</f>
        <v/>
      </c>
    </row>
    <row r="858">
      <c r="A858" t="inlineStr">
        <is>
          <t>Attack Speed Buff Bonus %</t>
        </is>
      </c>
      <c r="B858">
        <f>((C843=TRUE)*F843*IF(AND(Inputs!$B$38&lt;&gt;"pvp",Inputs!$B$43&gt;0),(((R843-1)*(Skills!T20*(1+Inputs!$B$34/100))+MIN((Skills!T20*(1+Inputs!$B$34/100)),MAX(0,Inputs!$B$43-((R843-1)*Skills!D20))))/Inputs!$B$43),IF(Inputs!$B$38="pvp",MIN((Skills!T20*(1+Inputs!$B$34/100)),15)/15,(Skills!T20*(1+Inputs!$B$34/100))/Skills!D20)))</f>
        <v/>
      </c>
    </row>
    <row r="859">
      <c r="A859" t="inlineStr">
        <is>
          <t>Actions Per Second</t>
        </is>
      </c>
      <c r="B859">
        <f>1+MIN(150,150*(1-(1-(Inputs!$B$11+((C845=TRUE)*(F845-Calc!F22))+((C846=TRUE)*(F846-Calc!F23)))/150)*(1-B858/150)))/100</f>
        <v/>
      </c>
    </row>
    <row r="860">
      <c r="A860" t="inlineStr">
        <is>
          <t>Skill + Buff Cast Rate</t>
        </is>
      </c>
      <c r="B860">
        <f>IF(AND(Inputs!$B$38&lt;&gt;"pvp",Inputs!$B$43&gt;0),SUMPRODUCT((Skills!E2:E31=TRUE)*(C825:C854=TRUE)*R825:R854*Skills!F2:F31)/Inputs!$B$43,SUMPRODUCT((Skills!E2:E31=TRUE)*(C825:C854=TRUE)*Q825:Q854*Skills!F2:F31))</f>
        <v/>
      </c>
    </row>
    <row r="861">
      <c r="A861" t="inlineStr">
        <is>
          <t>Arrow Stream Casts Per Second</t>
        </is>
      </c>
      <c r="B861">
        <f>MAX(0,B859-B860)</f>
        <v/>
      </c>
    </row>
    <row r="862">
      <c r="A862" t="inlineStr">
        <is>
          <t>Global Critical Damage Bonus % (Sharp Eyes + Concentration)</t>
        </is>
      </c>
      <c r="B862">
        <f>(C840=TRUE)*F840*IF(AND(Inputs!$B$38&lt;&gt;"pvp",Inputs!$B$43&gt;0),(((R840-1)*(Skills!T17*(1+Inputs!$B$34/100))+MIN((Skills!T17*(1+Inputs!$B$34/100)),MAX(0,Inputs!$B$43-((R840-1)*Skills!D17))))/Inputs!$B$43),IF(Inputs!$B$38="pvp",MIN((Skills!T17*(1+Inputs!$B$34/100)),15)/15,(Skills!T17*(1+Inputs!$B$34/100))/Skills!D17))+(C841=TRUE)*30</f>
        <v/>
      </c>
    </row>
    <row r="863">
      <c r="A863" t="inlineStr">
        <is>
          <t>Global Final Damage Bonus % (Mortal Blow)</t>
        </is>
      </c>
      <c r="B863">
        <f>(C842=TRUE)*F842</f>
        <v/>
      </c>
    </row>
    <row r="864">
      <c r="A864" t="inlineStr">
        <is>
          <t>Buff-Casting Startup Delay (s, fixed-duration only)</t>
        </is>
      </c>
      <c r="B864">
        <f>IF(AND(Inputs!$B$38&lt;&gt;"pvp",Inputs!$B$43&gt;0),SUMPRODUCT((Skills!T2:T31&gt;0)*(Skills!E2:E31=TRUE)*(C825:C854=TRUE))/B859,0)</f>
        <v/>
      </c>
    </row>
    <row r="865">
      <c r="A865" t="inlineStr">
        <is>
          <t>Boss-Only Total DPS (this block's swept value)</t>
        </is>
      </c>
      <c r="B865">
        <f>SUM(T825:T854)</f>
        <v/>
      </c>
    </row>
    <row r="866">
      <c r="A866" t="inlineStr">
        <is>
          <t>Normal-Only Total DPS (this block's swept value)</t>
        </is>
      </c>
      <c r="B866">
        <f>SUM(V825:V854)</f>
        <v/>
      </c>
    </row>
    <row r="867">
      <c r="A867" s="6" t="inlineStr">
        <is>
          <t>TOTAL DPS</t>
        </is>
      </c>
      <c r="B867" s="6">
        <f>SUM(O825:O854)</f>
        <v/>
      </c>
    </row>
    <row r="870">
      <c r="A870" s="6" t="inlineStr">
        <is>
          <t>Stat: Skill Level Bonus — 2nd Job</t>
        </is>
      </c>
    </row>
    <row r="871">
      <c r="A871" s="5" t="inlineStr">
        <is>
          <t>Key</t>
        </is>
      </c>
      <c r="B871" s="5" t="inlineStr">
        <is>
          <t>Name</t>
        </is>
      </c>
      <c r="C871" s="5" t="inlineStr">
        <is>
          <t>Unlocked</t>
        </is>
      </c>
      <c r="D871" s="5" t="inlineStr">
        <is>
          <t>InputLevel</t>
        </is>
      </c>
      <c r="E871" s="5" t="inlineStr">
        <is>
          <t>Factor</t>
        </is>
      </c>
      <c r="F871" s="5" t="inlineStr">
        <is>
          <t>CoefficientPercent</t>
        </is>
      </c>
      <c r="G871" s="5" t="inlineStr">
        <is>
          <t>EffectiveHits</t>
        </is>
      </c>
      <c r="H871" s="5" t="inlineStr">
        <is>
          <t>ProcProbability</t>
        </is>
      </c>
      <c r="I871" s="5" t="inlineStr">
        <is>
          <t>MapleHeroMultiplier</t>
        </is>
      </c>
      <c r="J871" s="5" t="inlineStr">
        <is>
          <t>BaseDamage</t>
        </is>
      </c>
      <c r="K871" s="5" t="inlineStr">
        <is>
          <t>BaseHitDamage</t>
        </is>
      </c>
      <c r="L871" s="5" t="inlineStr">
        <is>
          <t>NonCritAvg</t>
        </is>
      </c>
      <c r="M871" s="5" t="inlineStr">
        <is>
          <t>CritAvg</t>
        </is>
      </c>
      <c r="N871" s="5" t="inlineStr">
        <is>
          <t>ExpectedDamage(perHit)</t>
        </is>
      </c>
      <c r="O871" s="5" t="inlineStr">
        <is>
          <t>DPS</t>
        </is>
      </c>
      <c r="P871" s="5" t="inlineStr">
        <is>
          <t>% of Total</t>
        </is>
      </c>
      <c r="Q871" s="5" t="inlineStr">
        <is>
          <t>InvCooldown</t>
        </is>
      </c>
      <c r="R871" s="5" t="inlineStr">
        <is>
          <t>CastsInFight</t>
        </is>
      </c>
      <c r="S871" s="5" t="inlineStr">
        <is>
          <t>HitRate(perSec)</t>
        </is>
      </c>
      <c r="U871" t="inlineStr">
        <is>
          <t>helpers</t>
        </is>
      </c>
    </row>
    <row r="872">
      <c r="A872">
        <f>Skills!A2</f>
        <v/>
      </c>
      <c r="B872">
        <f>Skills!B2</f>
        <v/>
      </c>
      <c r="C872">
        <f>Inputs!$B$3&gt;=100</f>
        <v/>
      </c>
      <c r="D872" t="inlineStr"/>
      <c r="E872" t="inlineStr"/>
      <c r="F872">
        <f>U874+Skills!O2</f>
        <v/>
      </c>
      <c r="G872">
        <f>Skills!G2*IF(Skills!H2&gt;0,Skills!I2/Skills!H2,1)</f>
        <v/>
      </c>
      <c r="H872">
        <f>1-(1-Skills!J2/100)^Skills!K2</f>
        <v/>
      </c>
      <c r="I872" t="inlineStr">
        <is>
          <t>1</t>
        </is>
      </c>
      <c r="J872">
        <f>((Inputs!$B$6*(1+Inputs!$B$7/100))+(((Inputs!$B$12*(1+Inputs!$B$13/100))-(Inputs!$B$12*(1+Inputs!$B$13/100)))+0.25*(Inputs!$B$14-Inputs!$B$14))*(1+Inputs!$B$7/100))*(F872/100)</f>
        <v/>
      </c>
      <c r="K872">
        <f>J872*(1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872)</f>
        <v/>
      </c>
      <c r="L872">
        <f>K872*(MIN(Inputs!$B$22+((C895=TRUE)*(F895-Calc!F25)),(Inputs!$B$23+((C900=TRUE)*(F900-Calc!F30))+(IF(ArtifactsInput!$M$15,CHOOSE(ArtifactsInput!$N$15+1,25,30,35,40,45,50)/100*(Inputs!$B$11-Inputs!$B$11),0))))/100+(Inputs!$B$23+((C900=TRUE)*(F900-Calc!F30))+(IF(ArtifactsInput!$M$15,CHOOSE(ArtifactsInput!$N$15+1,25,30,35,40,45,50)/100*(Inputs!$B$11-Inputs!$B$11),0)))/100)/2</f>
        <v/>
      </c>
      <c r="M872">
        <f>L872*(1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2">
        <f>L872*(1-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872*(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2">
        <f>(1-Summary!$B$11)*T872+Summary!$B$11*V872</f>
        <v/>
      </c>
      <c r="P872">
        <f>IF(B914=0,0,O872/B914)</f>
        <v/>
      </c>
      <c r="Q872" t="n">
        <v>0</v>
      </c>
      <c r="R872" t="n">
        <v>0</v>
      </c>
      <c r="S872">
        <f>IFERROR(O872/N872,0)</f>
        <v/>
      </c>
      <c r="T872">
        <f>IF(C872,(Skills!G2*N872*B908)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872*(1-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872*(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872*(1-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872*(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2">
        <f>MAX(0,(Inputs!$B$3-100)*3)+Inputs!$B$28+Inputs!$B$29</f>
        <v/>
      </c>
      <c r="V872">
        <f>IF(C872,(Skills!G2*N872*B908)*IF(Inputs!$B$38="pvp",1,(1+(Inputs!$B$21+Skills!Q2+(IF(ArtifactsInput!$M$33,CHOOSE(ArtifactsInput!$N$33+1,30,36,42,48,54,60),0))+(IF(AND(ArtifactsInput!$M$35,Inputs!$B$4&lt;&gt;"Chapter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3">
      <c r="A873">
        <f>Skills!A3</f>
        <v/>
      </c>
      <c r="B873">
        <f>Skills!B3</f>
        <v/>
      </c>
      <c r="C873">
        <f>Inputs!$B$3&gt;=50</f>
        <v/>
      </c>
      <c r="D873">
        <f>IF(Skills!C3=1,60+Inputs!$B$25+Inputs!$B$29,IF(Skills!C3=2,90+(Inputs!$B$26+1)+Inputs!$B$29,IF(Skills!C3=3,120+Inputs!$B$27+Inputs!$B$29,MAX(0,(Inputs!$B$3-100)*3)+Inputs!$B$28+Inputs!$B$29)))</f>
        <v/>
      </c>
      <c r="E873">
        <f>INDEX(FactorTable!$B$2:$Y$301, MATCH(ROUND(MIN(300,MAX(1,D873)),0), FactorTable!$A$2:$A$301,0), Skills!M3+1)</f>
        <v/>
      </c>
      <c r="F873">
        <f>IF(Skills!N3=TRUE,(Skills!L3/10)*(E873/1000),Skills!L3/10)+Skills!O3</f>
        <v/>
      </c>
      <c r="G873">
        <f>Skills!G3*IF(Skills!H3&gt;0,Skills!I3/Skills!H3,1)</f>
        <v/>
      </c>
      <c r="H873">
        <f>1-(1-Skills!J3/100)^Skills!K3</f>
        <v/>
      </c>
      <c r="I873" t="inlineStr">
        <is>
          <t>1</t>
        </is>
      </c>
      <c r="J873">
        <f>((Inputs!$B$6*(1+Inputs!$B$7/100))+(((Inputs!$B$12*(1+Inputs!$B$13/100))-(Inputs!$B$12*(1+Inputs!$B$13/100)))+0.25*(Inputs!$B$14-Inputs!$B$14))*(1+Inputs!$B$7/100))*(F873/100)</f>
        <v/>
      </c>
      <c r="K873">
        <f>J873*(1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874=TRUE,F874,0)/100)*(1+(IF(Skills!A3="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873)</f>
        <v/>
      </c>
      <c r="L873">
        <f>K873*(MIN(Inputs!$B$22+((C895=TRUE)*(F895-Calc!F25)),(Inputs!$B$23+((C900=TRUE)*(F900-Calc!F30))+(IF(ArtifactsInput!$M$15,CHOOSE(ArtifactsInput!$N$15+1,25,30,35,40,45,50)/100*(Inputs!$B$11-Inputs!$B$11),0))))/100+(Inputs!$B$23+((C900=TRUE)*(F900-Calc!F30))+(IF(ArtifactsInput!$M$15,CHOOSE(ArtifactsInput!$N$15+1,25,30,35,40,45,50)/100*(Inputs!$B$11-Inputs!$B$11),0)))/100)/2</f>
        <v/>
      </c>
      <c r="M873">
        <f>L873*(1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3">
        <f>L873*(1-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873*(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3">
        <f>(1-Summary!$B$11)*T873+Summary!$B$11*V873</f>
        <v/>
      </c>
      <c r="P873">
        <f>IF(B914=0,0,O873/B914)</f>
        <v/>
      </c>
      <c r="Q873">
        <f>IFERROR(1/(IF(Inputs!$B$38="pvp",15,MAX(0.1,Skills!D3-IF(Skills!E3=TRUE,Inputs!$B$32,0)))*(1-IF(AND(ArtifactsInput!$M$27,Inputs!$B$4="Chapter Hunt"),CHOOSE(ArtifactsInput!$N$27+1,20,24,28,32,36,40),0)/100)),0)</f>
        <v/>
      </c>
      <c r="R873">
        <f>IF(AND(Inputs!$B$38&lt;&gt;"pvp",Inputs!$B$43&gt;0),IF(MAX(0,Inputs!$B$43-B911)&lt;=0,0,(INT(MAX(0,Inputs!$B$43-B911)/(IF(Inputs!$B$38="pvp",15,MAX(0.1,Skills!D3-IF(Skills!E3=TRUE,Inputs!$B$32,0)))*(1-IF(AND(ArtifactsInput!$M$27,Inputs!$B$4="Chapter Hunt"),CHOOSE(ArtifactsInput!$N$27+1,20,24,28,32,36,40),0)/100)))+1)),0)</f>
        <v/>
      </c>
      <c r="S873">
        <f>IFERROR(O873/N873,0)</f>
        <v/>
      </c>
      <c r="T873">
        <f>IF(C873,(H873*N873*IF(AND(Inputs!$B$38&lt;&gt;"pvp",Inputs!$B$43&gt;0),((Skills!G3*((R873-1)*IF(Skills!H3&gt;0,Skills!I3/Skills!H3,1)+IF(Skills!H3&gt;0,MIN(Skills!I3,MAX(0,MAX(0,Inputs!$B$43-B911)-((R873-1)*(IF(Inputs!$B$38="pvp",15,MAX(0.1,Skills!D3-IF(Skills!E3=TRUE,Inputs!$B$32,0)))*(1-IF(AND(ArtifactsInput!$M$27,Inputs!$B$4="Chapter Hunt"),CHOOSE(ArtifactsInput!$N$27+1,20,24,28,32,36,40),0)/100)))))/Skills!H3,1)))/Inputs!$B$43),G873*Q873)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873*(1-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873*(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873*(1-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873*(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3">
        <f>INDEX(FactorTable!$B$2:$Y$301, MATCH(ROUND(MIN(300,MAX(1,U872)),0), FactorTable!$A$2:$A$301,0), 22)</f>
        <v/>
      </c>
      <c r="V873">
        <f>IF(C873,(H873*N873*IF(AND(Inputs!$B$38&lt;&gt;"pvp",Inputs!$B$43&gt;0),((Skills!G3*((R873-1)*IF(Skills!H3&gt;0,Skills!I3/Skills!H3,1)+IF(Skills!H3&gt;0,MIN(Skills!I3,MAX(0,MAX(0,Inputs!$B$43-B911)-((R873-1)*(IF(Inputs!$B$38="pvp",15,MAX(0.1,Skills!D3-IF(Skills!E3=TRUE,Inputs!$B$32,0)))*(1-IF(AND(ArtifactsInput!$M$27,Inputs!$B$4="Chapter Hunt"),CHOOSE(ArtifactsInput!$N$27+1,20,24,28,32,36,40),0)/100)))))/Skills!H3,1)))/Inputs!$B$43),G873*Q873))*IF(Inputs!$B$38="pvp",1,(1+(Inputs!$B$21+Skills!Q3+(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4">
      <c r="A874">
        <f>Skills!A4</f>
        <v/>
      </c>
      <c r="B874">
        <f>Skills!B4</f>
        <v/>
      </c>
      <c r="C874">
        <f>Inputs!$B$3&gt;=105</f>
        <v/>
      </c>
      <c r="D874">
        <f>IF(Skills!C4=1,60+Inputs!$B$25+Inputs!$B$29,IF(Skills!C4=2,90+(Inputs!$B$26+1)+Inputs!$B$29,IF(Skills!C4=3,120+Inputs!$B$27+Inputs!$B$29,MAX(0,(Inputs!$B$3-100)*3)+Inputs!$B$28+Inputs!$B$29)))</f>
        <v/>
      </c>
      <c r="E874">
        <f>INDEX(FactorTable!$B$2:$Y$301, MATCH(ROUND(MIN(300,MAX(1,D874)),0), FactorTable!$A$2:$A$301,0), Skills!M4+1)</f>
        <v/>
      </c>
      <c r="F874">
        <f>IF(Skills!N4=TRUE,(Skills!L4/10)*(E874/1000),Skills!L4/10)+Skills!O4</f>
        <v/>
      </c>
      <c r="G874" t="inlineStr"/>
      <c r="H874" t="inlineStr"/>
      <c r="I874" t="inlineStr">
        <is>
          <t>1</t>
        </is>
      </c>
      <c r="J874" t="inlineStr"/>
      <c r="K874" t="inlineStr"/>
      <c r="L874" t="inlineStr"/>
      <c r="M874" t="inlineStr"/>
      <c r="N874" t="inlineStr"/>
      <c r="O874" t="inlineStr"/>
      <c r="P874" t="inlineStr"/>
      <c r="Q874" t="inlineStr"/>
      <c r="R874" t="inlineStr"/>
      <c r="S874" t="inlineStr"/>
      <c r="T874" t="inlineStr"/>
      <c r="U874">
        <f>290*U873/1000</f>
        <v/>
      </c>
      <c r="V874" t="inlineStr"/>
    </row>
    <row r="875">
      <c r="A875">
        <f>Skills!A5</f>
        <v/>
      </c>
      <c r="B875">
        <f>Skills!B5</f>
        <v/>
      </c>
      <c r="C875">
        <f>Inputs!$B$3&gt;=35</f>
        <v/>
      </c>
      <c r="D875">
        <f>IF(Skills!C5=1,60+Inputs!$B$25+Inputs!$B$29,IF(Skills!C5=2,90+(Inputs!$B$26+1)+Inputs!$B$29,IF(Skills!C5=3,120+Inputs!$B$27+Inputs!$B$29,MAX(0,(Inputs!$B$3-100)*3)+Inputs!$B$28+Inputs!$B$29)))</f>
        <v/>
      </c>
      <c r="E875">
        <f>INDEX(FactorTable!$B$2:$Y$301, MATCH(ROUND(MIN(300,MAX(1,D875)),0), FactorTable!$A$2:$A$301,0), Skills!M5+1)</f>
        <v/>
      </c>
      <c r="F875">
        <f>IF(Skills!N5=TRUE,(Skills!L5/10)*(E875/1000),Skills!L5/10)+Skills!O5</f>
        <v/>
      </c>
      <c r="G875">
        <f>Skills!G5*IF(Skills!H5&gt;0,Skills!I5/Skills!H5,1)</f>
        <v/>
      </c>
      <c r="H875">
        <f>1-(1-Skills!J5/100)^Skills!K5</f>
        <v/>
      </c>
      <c r="I875" t="inlineStr">
        <is>
          <t>1</t>
        </is>
      </c>
      <c r="J875">
        <f>((Inputs!$B$6*(1+Inputs!$B$7/100))+(((Inputs!$B$12*(1+Inputs!$B$13/100))-(Inputs!$B$12*(1+Inputs!$B$13/100)))+0.25*(Inputs!$B$14-Inputs!$B$14))*(1+Inputs!$B$7/100))*(F875/100)</f>
        <v/>
      </c>
      <c r="K875">
        <f>J875*(1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881=TRUE,F881,0)/100)*(1+(IF(Skills!A5="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875)</f>
        <v/>
      </c>
      <c r="L875">
        <f>K875*(MIN(Inputs!$B$22+((C895=TRUE)*(F895-Calc!F25)),(Inputs!$B$23+((C900=TRUE)*(F900-Calc!F30))+(IF(ArtifactsInput!$M$15,CHOOSE(ArtifactsInput!$N$15+1,25,30,35,40,45,50)/100*(Inputs!$B$11-Inputs!$B$11),0))))/100+(Inputs!$B$23+((C900=TRUE)*(F900-Calc!F30))+(IF(ArtifactsInput!$M$15,CHOOSE(ArtifactsInput!$N$15+1,25,30,35,40,45,50)/100*(Inputs!$B$11-Inputs!$B$11),0)))/100)/2</f>
        <v/>
      </c>
      <c r="M875">
        <f>L875*(1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5">
        <f>L875*(1-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875*(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5">
        <f>(1-Summary!$B$11)*T875+Summary!$B$11*V875</f>
        <v/>
      </c>
      <c r="P875">
        <f>IF(B914=0,0,O875/B914)</f>
        <v/>
      </c>
      <c r="Q875">
        <f>IFERROR(1/(IF(Inputs!$B$38="pvp",15,MAX(0.1,Skills!D5-IF(Skills!E5=TRUE,Inputs!$B$32,0)))*(1-IF(AND(ArtifactsInput!$M$27,Inputs!$B$4="Chapter Hunt"),CHOOSE(ArtifactsInput!$N$27+1,20,24,28,32,36,40),0)/100)),0)</f>
        <v/>
      </c>
      <c r="R875">
        <f>IF(AND(Inputs!$B$38&lt;&gt;"pvp",Inputs!$B$43&gt;0),IF(MAX(0,Inputs!$B$43-B911)&lt;=0,0,(INT(MAX(0,Inputs!$B$43-B911)/(IF(Inputs!$B$38="pvp",15,MAX(0.1,Skills!D5-IF(Skills!E5=TRUE,Inputs!$B$32,0)))*(1-IF(AND(ArtifactsInput!$M$27,Inputs!$B$4="Chapter Hunt"),CHOOSE(ArtifactsInput!$N$27+1,20,24,28,32,36,40),0)/100)))+1)),0)</f>
        <v/>
      </c>
      <c r="S875">
        <f>IFERROR(O875/N875,0)</f>
        <v/>
      </c>
      <c r="T875">
        <f>IF(C875,(H875*N875*IF(AND(Inputs!$B$38&lt;&gt;"pvp",Inputs!$B$43&gt;0),((Skills!G5*((R875-1)*IF(Skills!H5&gt;0,Skills!I5/Skills!H5,1)+IF(Skills!H5&gt;0,MIN(Skills!I5,MAX(0,MAX(0,Inputs!$B$43-B911)-((R875-1)*(IF(Inputs!$B$38="pvp",15,MAX(0.1,Skills!D5-IF(Skills!E5=TRUE,Inputs!$B$32,0)))*(1-IF(AND(ArtifactsInput!$M$27,Inputs!$B$4="Chapter Hunt"),CHOOSE(ArtifactsInput!$N$27+1,20,24,28,32,36,40),0)/100)))))/Skills!H5,1)))/Inputs!$B$43),G875*Q875)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875*(1-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875*(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875*(1-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875*(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5">
        <f>IF(C875,(H875*N875*IF(AND(Inputs!$B$38&lt;&gt;"pvp",Inputs!$B$43&gt;0),((Skills!G5*((R875-1)*IF(Skills!H5&gt;0,Skills!I5/Skills!H5,1)+IF(Skills!H5&gt;0,MIN(Skills!I5,MAX(0,MAX(0,Inputs!$B$43-B911)-((R875-1)*(IF(Inputs!$B$38="pvp",15,MAX(0.1,Skills!D5-IF(Skills!E5=TRUE,Inputs!$B$32,0)))*(1-IF(AND(ArtifactsInput!$M$27,Inputs!$B$4="Chapter Hunt"),CHOOSE(ArtifactsInput!$N$27+1,20,24,28,32,36,40),0)/100)))))/Skills!H5,1)))/Inputs!$B$43),G875*Q875))*IF(Inputs!$B$38="pvp",1,(1+(Inputs!$B$21+Skills!Q5+(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6">
      <c r="A876">
        <f>Skills!A6</f>
        <v/>
      </c>
      <c r="B876">
        <f>Skills!B6</f>
        <v/>
      </c>
      <c r="C876">
        <f>Inputs!$B$3&gt;=40</f>
        <v/>
      </c>
      <c r="D876">
        <f>IF(Skills!C6=1,60+Inputs!$B$25+Inputs!$B$29,IF(Skills!C6=2,90+(Inputs!$B$26+1)+Inputs!$B$29,IF(Skills!C6=3,120+Inputs!$B$27+Inputs!$B$29,MAX(0,(Inputs!$B$3-100)*3)+Inputs!$B$28+Inputs!$B$29)))</f>
        <v/>
      </c>
      <c r="E876">
        <f>INDEX(FactorTable!$B$2:$Y$301, MATCH(ROUND(MIN(300,MAX(1,D876)),0), FactorTable!$A$2:$A$301,0), Skills!M6+1)</f>
        <v/>
      </c>
      <c r="F876">
        <f>IF(Skills!N6=TRUE,(Skills!L6/10)*(E876/1000),Skills!L6/10)+Skills!O6</f>
        <v/>
      </c>
      <c r="G876">
        <f>Skills!G6*IF(Skills!H6&gt;0,Skills!I6/Skills!H6,1)</f>
        <v/>
      </c>
      <c r="H876">
        <f>1-(1-Skills!J6/100)^Skills!K6</f>
        <v/>
      </c>
      <c r="I876" t="inlineStr">
        <is>
          <t>1</t>
        </is>
      </c>
      <c r="J876">
        <f>((Inputs!$B$6*(1+Inputs!$B$7/100))+(((Inputs!$B$12*(1+Inputs!$B$13/100))-(Inputs!$B$12*(1+Inputs!$B$13/100)))+0.25*(Inputs!$B$14-Inputs!$B$14))*(1+Inputs!$B$7/100))*(F876/100)</f>
        <v/>
      </c>
      <c r="K876">
        <f>J876*(1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877=TRUE,F877,0)/100)*(1+(IF(Skills!A6="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876)</f>
        <v/>
      </c>
      <c r="L876">
        <f>K876*(MIN(Inputs!$B$22+((C895=TRUE)*(F895-Calc!F25)),(Inputs!$B$23+((C900=TRUE)*(F900-Calc!F30))+(IF(ArtifactsInput!$M$15,CHOOSE(ArtifactsInput!$N$15+1,25,30,35,40,45,50)/100*(Inputs!$B$11-Inputs!$B$11),0))))/100+(Inputs!$B$23+((C900=TRUE)*(F900-Calc!F30))+(IF(ArtifactsInput!$M$15,CHOOSE(ArtifactsInput!$N$15+1,25,30,35,40,45,50)/100*(Inputs!$B$11-Inputs!$B$11),0)))/100)/2</f>
        <v/>
      </c>
      <c r="M876">
        <f>L876*(1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6">
        <f>L876*(1-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876*(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6">
        <f>(1-Summary!$B$11)*T876+Summary!$B$11*V876</f>
        <v/>
      </c>
      <c r="P876">
        <f>IF(B914=0,0,O876/B914)</f>
        <v/>
      </c>
      <c r="Q876">
        <f>IFERROR(1/(IF(Inputs!$B$38="pvp",15,MAX(0.1,Skills!D6-IF(Skills!E6=TRUE,Inputs!$B$32,0)))*(1-IF(AND(ArtifactsInput!$M$27,Inputs!$B$4="Chapter Hunt"),CHOOSE(ArtifactsInput!$N$27+1,20,24,28,32,36,40),0)/100)),0)</f>
        <v/>
      </c>
      <c r="R876">
        <f>IF(AND(Inputs!$B$38&lt;&gt;"pvp",Inputs!$B$43&gt;0),IF(MAX(0,Inputs!$B$43-B911)&lt;=0,0,(INT(MAX(0,Inputs!$B$43-B911)/(IF(Inputs!$B$38="pvp",15,MAX(0.1,Skills!D6-IF(Skills!E6=TRUE,Inputs!$B$32,0)))*(1-IF(AND(ArtifactsInput!$M$27,Inputs!$B$4="Chapter Hunt"),CHOOSE(ArtifactsInput!$N$27+1,20,24,28,32,36,40),0)/100)))+1)),0)</f>
        <v/>
      </c>
      <c r="S876">
        <f>IFERROR(O876/N876,0)</f>
        <v/>
      </c>
      <c r="T876">
        <f>IF(C876,(H876*N876*IF(AND(Inputs!$B$38&lt;&gt;"pvp",Inputs!$B$43&gt;0),((Skills!G6*((R876-1)*IF(Skills!H6&gt;0,Skills!I6/Skills!H6,1)+IF(Skills!H6&gt;0,MIN(Skills!I6,MAX(0,MAX(0,Inputs!$B$43-B911)-((R876-1)*(IF(Inputs!$B$38="pvp",15,MAX(0.1,Skills!D6-IF(Skills!E6=TRUE,Inputs!$B$32,0)))*(1-IF(AND(ArtifactsInput!$M$27,Inputs!$B$4="Chapter Hunt"),CHOOSE(ArtifactsInput!$N$27+1,20,24,28,32,36,40),0)/100)))))/Skills!H6,1)))/Inputs!$B$43),G876*Q876)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876*(1-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876*(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876*(1-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876*(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6">
        <f>IF(C876,(H876*N876*IF(AND(Inputs!$B$38&lt;&gt;"pvp",Inputs!$B$43&gt;0),((Skills!G6*((R876-1)*IF(Skills!H6&gt;0,Skills!I6/Skills!H6,1)+IF(Skills!H6&gt;0,MIN(Skills!I6,MAX(0,MAX(0,Inputs!$B$43-B911)-((R876-1)*(IF(Inputs!$B$38="pvp",15,MAX(0.1,Skills!D6-IF(Skills!E6=TRUE,Inputs!$B$32,0)))*(1-IF(AND(ArtifactsInput!$M$27,Inputs!$B$4="Chapter Hunt"),CHOOSE(ArtifactsInput!$N$27+1,20,24,28,32,36,40),0)/100)))))/Skills!H6,1)))/Inputs!$B$43),G876*Q876))*IF(Inputs!$B$38="pvp",1,(1+(Inputs!$B$21+Skills!Q6+(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7">
      <c r="A877">
        <f>Skills!A7</f>
        <v/>
      </c>
      <c r="B877">
        <f>Skills!B7</f>
        <v/>
      </c>
      <c r="C877">
        <f>Inputs!$B$3&gt;=107</f>
        <v/>
      </c>
      <c r="D877">
        <f>IF(Skills!C7=1,60+Inputs!$B$25+Inputs!$B$29,IF(Skills!C7=2,90+(Inputs!$B$26+1)+Inputs!$B$29,IF(Skills!C7=3,120+Inputs!$B$27+Inputs!$B$29,MAX(0,(Inputs!$B$3-100)*3)+Inputs!$B$28+Inputs!$B$29)))</f>
        <v/>
      </c>
      <c r="E877">
        <f>INDEX(FactorTable!$B$2:$Y$301, MATCH(ROUND(MIN(300,MAX(1,D877)),0), FactorTable!$A$2:$A$301,0), Skills!M7+1)</f>
        <v/>
      </c>
      <c r="F877">
        <f>IF(Skills!N7=TRUE,(Skills!L7/10)*(E877/1000),Skills!L7/10)+Skills!O7</f>
        <v/>
      </c>
      <c r="G877" t="inlineStr"/>
      <c r="H877" t="inlineStr"/>
      <c r="I877" t="inlineStr">
        <is>
          <t>1</t>
        </is>
      </c>
      <c r="J877" t="inlineStr"/>
      <c r="K877" t="inlineStr"/>
      <c r="L877" t="inlineStr"/>
      <c r="M877" t="inlineStr"/>
      <c r="N877" t="inlineStr"/>
      <c r="O877" t="inlineStr"/>
      <c r="P877" t="inlineStr"/>
      <c r="Q877" t="inlineStr"/>
      <c r="R877" t="inlineStr"/>
      <c r="S877" t="inlineStr"/>
      <c r="T877" t="inlineStr"/>
      <c r="V877" t="inlineStr"/>
    </row>
    <row r="878">
      <c r="A878">
        <f>Skills!A8</f>
        <v/>
      </c>
      <c r="B878">
        <f>Skills!B8</f>
        <v/>
      </c>
      <c r="C878">
        <f>Inputs!$B$3&gt;=69</f>
        <v/>
      </c>
      <c r="D878">
        <f>IF(Skills!C8=1,60+Inputs!$B$25+Inputs!$B$29,IF(Skills!C8=2,90+(Inputs!$B$26+1)+Inputs!$B$29,IF(Skills!C8=3,120+Inputs!$B$27+Inputs!$B$29,MAX(0,(Inputs!$B$3-100)*3)+Inputs!$B$28+Inputs!$B$29)))</f>
        <v/>
      </c>
      <c r="E878">
        <f>INDEX(FactorTable!$B$2:$Y$301, MATCH(ROUND(MIN(300,MAX(1,D878)),0), FactorTable!$A$2:$A$301,0), Skills!M8+1)</f>
        <v/>
      </c>
      <c r="F878">
        <f>IF(Skills!N8=TRUE,(Skills!L8/10)*(E878/1000),Skills!L8/10)+Skills!O8</f>
        <v/>
      </c>
      <c r="G878">
        <f>Skills!G8*IF(Skills!H8&gt;0,Skills!I8/Skills!H8,1)</f>
        <v/>
      </c>
      <c r="H878">
        <f>1-(1-Skills!J8/100)^Skills!K8</f>
        <v/>
      </c>
      <c r="I878" t="inlineStr">
        <is>
          <t>1</t>
        </is>
      </c>
      <c r="J878">
        <f>((Inputs!$B$6*(1+Inputs!$B$7/100))+(((Inputs!$B$12*(1+Inputs!$B$13/100))-(Inputs!$B$12*(1+Inputs!$B$13/100)))+0.25*(Inputs!$B$14-Inputs!$B$14))*(1+Inputs!$B$7/100))*(F878/100)</f>
        <v/>
      </c>
      <c r="K878">
        <f>J878*(1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881=TRUE,F881,0)/100)*(1+(IF(Skills!A8="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878)</f>
        <v/>
      </c>
      <c r="L878">
        <f>K878*(MIN(Inputs!$B$22+((C895=TRUE)*(F895-Calc!F25)),(Inputs!$B$23+((C900=TRUE)*(F900-Calc!F30))+(IF(ArtifactsInput!$M$15,CHOOSE(ArtifactsInput!$N$15+1,25,30,35,40,45,50)/100*(Inputs!$B$11-Inputs!$B$11),0))))/100+(Inputs!$B$23+((C900=TRUE)*(F900-Calc!F30))+(IF(ArtifactsInput!$M$15,CHOOSE(ArtifactsInput!$N$15+1,25,30,35,40,45,50)/100*(Inputs!$B$11-Inputs!$B$11),0)))/100)/2</f>
        <v/>
      </c>
      <c r="M878">
        <f>L878*(1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8">
        <f>L878*(1-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878*(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8">
        <f>(1-Summary!$B$11)*T878+Summary!$B$11*V878</f>
        <v/>
      </c>
      <c r="P878">
        <f>IF(B914=0,0,O878/B914)</f>
        <v/>
      </c>
      <c r="Q878">
        <f>IFERROR(1/(IF(Inputs!$B$38="pvp",15,MAX(0.1,Skills!D8-IF(Skills!E8=TRUE,Inputs!$B$32,0)))*(1-IF(AND(ArtifactsInput!$M$27,Inputs!$B$4="Chapter Hunt"),CHOOSE(ArtifactsInput!$N$27+1,20,24,28,32,36,40),0)/100)),0)</f>
        <v/>
      </c>
      <c r="R878">
        <f>IF(AND(Inputs!$B$38&lt;&gt;"pvp",Inputs!$B$43&gt;0),IF(MAX(0,Inputs!$B$43-B911)&lt;=0,0,(INT(MAX(0,Inputs!$B$43-B911)/(IF(Inputs!$B$38="pvp",15,MAX(0.1,Skills!D8-IF(Skills!E8=TRUE,Inputs!$B$32,0)))*(1-IF(AND(ArtifactsInput!$M$27,Inputs!$B$4="Chapter Hunt"),CHOOSE(ArtifactsInput!$N$27+1,20,24,28,32,36,40),0)/100)))+1)),0)</f>
        <v/>
      </c>
      <c r="S878">
        <f>IFERROR(O878/N878,0)</f>
        <v/>
      </c>
      <c r="T878">
        <f>IF(C878,(H878*N878*IF(AND(Inputs!$B$38&lt;&gt;"pvp",Inputs!$B$43&gt;0),((Skills!G8*((R878-1)*IF(Skills!H8&gt;0,Skills!I8/Skills!H8,1)+IF(Skills!H8&gt;0,MIN(Skills!I8,MAX(0,MAX(0,Inputs!$B$43-B911)-((R878-1)*(IF(Inputs!$B$38="pvp",15,MAX(0.1,Skills!D8-IF(Skills!E8=TRUE,Inputs!$B$32,0)))*(1-IF(AND(ArtifactsInput!$M$27,Inputs!$B$4="Chapter Hunt"),CHOOSE(ArtifactsInput!$N$27+1,20,24,28,32,36,40),0)/100)))))/Skills!H8,1)))/Inputs!$B$43),G878*Q878)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878*(1-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878*(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878*(1-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878*(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8">
        <f>IF(C878,(H878*N878*IF(AND(Inputs!$B$38&lt;&gt;"pvp",Inputs!$B$43&gt;0),((Skills!G8*((R878-1)*IF(Skills!H8&gt;0,Skills!I8/Skills!H8,1)+IF(Skills!H8&gt;0,MIN(Skills!I8,MAX(0,MAX(0,Inputs!$B$43-B911)-((R878-1)*(IF(Inputs!$B$38="pvp",15,MAX(0.1,Skills!D8-IF(Skills!E8=TRUE,Inputs!$B$32,0)))*(1-IF(AND(ArtifactsInput!$M$27,Inputs!$B$4="Chapter Hunt"),CHOOSE(ArtifactsInput!$N$27+1,20,24,28,32,36,40),0)/100)))))/Skills!H8,1)))/Inputs!$B$43),G878*Q878))*IF(Inputs!$B$38="pvp",1,(1+(Inputs!$B$21+Skills!Q8+(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9">
      <c r="A879">
        <f>Skills!A9</f>
        <v/>
      </c>
      <c r="B879">
        <f>Skills!B9</f>
        <v/>
      </c>
      <c r="C879">
        <f>Inputs!$B$3&gt;=63</f>
        <v/>
      </c>
      <c r="D879">
        <f>IF(Skills!C9=1,60+Inputs!$B$25+Inputs!$B$29,IF(Skills!C9=2,90+(Inputs!$B$26+1)+Inputs!$B$29,IF(Skills!C9=3,120+Inputs!$B$27+Inputs!$B$29,MAX(0,(Inputs!$B$3-100)*3)+Inputs!$B$28+Inputs!$B$29)))</f>
        <v/>
      </c>
      <c r="E879">
        <f>INDEX(FactorTable!$B$2:$Y$301, MATCH(ROUND(MIN(300,MAX(1,D879)),0), FactorTable!$A$2:$A$301,0), Skills!M9+1)</f>
        <v/>
      </c>
      <c r="F879">
        <f>IF(Skills!N9=TRUE,(Skills!L9/10)*(E879/1000),Skills!L9/10)+Skills!O9</f>
        <v/>
      </c>
      <c r="G879">
        <f>Skills!G9*IF(Skills!H9&gt;0,Skills!I9/Skills!H9,1)</f>
        <v/>
      </c>
      <c r="H879">
        <f>1-(1-Skills!J9/100)^Skills!K9</f>
        <v/>
      </c>
      <c r="I879" t="inlineStr">
        <is>
          <t>1</t>
        </is>
      </c>
      <c r="J879">
        <f>((Inputs!$B$6*(1+Inputs!$B$7/100))+(((Inputs!$B$12*(1+Inputs!$B$13/100))-(Inputs!$B$12*(1+Inputs!$B$13/100)))+0.25*(Inputs!$B$14-Inputs!$B$14))*(1+Inputs!$B$7/100))*(F879/100)</f>
        <v/>
      </c>
      <c r="K879">
        <f>J879*(1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881=TRUE,F881,0)/100)*(1+(IF(Skills!A9="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879)</f>
        <v/>
      </c>
      <c r="L879">
        <f>K879*(MIN(Inputs!$B$22+((C895=TRUE)*(F895-Calc!F25)),(Inputs!$B$23+((C900=TRUE)*(F900-Calc!F30))+(IF(ArtifactsInput!$M$15,CHOOSE(ArtifactsInput!$N$15+1,25,30,35,40,45,50)/100*(Inputs!$B$11-Inputs!$B$11),0))))/100+(Inputs!$B$23+((C900=TRUE)*(F900-Calc!F30))+(IF(ArtifactsInput!$M$15,CHOOSE(ArtifactsInput!$N$15+1,25,30,35,40,45,50)/100*(Inputs!$B$11-Inputs!$B$11),0)))/100)/2</f>
        <v/>
      </c>
      <c r="M879">
        <f>L879*(1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9">
        <f>L879*(1-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879*(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9">
        <f>(1-Summary!$B$11)*T879+Summary!$B$11*V879</f>
        <v/>
      </c>
      <c r="P879">
        <f>IF(B914=0,0,O879/B914)</f>
        <v/>
      </c>
      <c r="Q879">
        <f>IFERROR(1/(IF(Inputs!$B$38="pvp",15,MAX(0.1,Skills!D9-IF(Skills!E9=TRUE,Inputs!$B$32,0)))*(1-IF(AND(ArtifactsInput!$M$27,Inputs!$B$4="Chapter Hunt"),CHOOSE(ArtifactsInput!$N$27+1,20,24,28,32,36,40),0)/100)),0)</f>
        <v/>
      </c>
      <c r="R879">
        <f>IF(AND(Inputs!$B$38&lt;&gt;"pvp",Inputs!$B$43&gt;0),IF(MAX(0,Inputs!$B$43-B911)&lt;=0,0,(INT(MAX(0,Inputs!$B$43-B911)/(IF(Inputs!$B$38="pvp",15,MAX(0.1,Skills!D9-IF(Skills!E9=TRUE,Inputs!$B$32,0)))*(1-IF(AND(ArtifactsInput!$M$27,Inputs!$B$4="Chapter Hunt"),CHOOSE(ArtifactsInput!$N$27+1,20,24,28,32,36,40),0)/100)))+1)),0)</f>
        <v/>
      </c>
      <c r="S879">
        <f>IFERROR(O879/N879,0)</f>
        <v/>
      </c>
      <c r="T879">
        <f>IF(C879,(H879*N879*IF(AND(Inputs!$B$38&lt;&gt;"pvp",Inputs!$B$43&gt;0),((Skills!G9*((R879-1)*IF(Skills!H9&gt;0,Skills!I9/Skills!H9,1)+IF(Skills!H9&gt;0,MIN(Skills!I9,MAX(0,MAX(0,Inputs!$B$43-B911)-((R879-1)*(IF(Inputs!$B$38="pvp",15,MAX(0.1,Skills!D9-IF(Skills!E9=TRUE,Inputs!$B$32,0)))*(1-IF(AND(ArtifactsInput!$M$27,Inputs!$B$4="Chapter Hunt"),CHOOSE(ArtifactsInput!$N$27+1,20,24,28,32,36,40),0)/100)))))/Skills!H9,1)))/Inputs!$B$43),G879*Q879)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879*(1-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879*(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879*(1-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879*(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9">
        <f>IF(C879,(H879*N879*IF(AND(Inputs!$B$38&lt;&gt;"pvp",Inputs!$B$43&gt;0),((Skills!G9*((R879-1)*IF(Skills!H9&gt;0,Skills!I9/Skills!H9,1)+IF(Skills!H9&gt;0,MIN(Skills!I9,MAX(0,MAX(0,Inputs!$B$43-B911)-((R879-1)*(IF(Inputs!$B$38="pvp",15,MAX(0.1,Skills!D9-IF(Skills!E9=TRUE,Inputs!$B$32,0)))*(1-IF(AND(ArtifactsInput!$M$27,Inputs!$B$4="Chapter Hunt"),CHOOSE(ArtifactsInput!$N$27+1,20,24,28,32,36,40),0)/100)))))/Skills!H9,1)))/Inputs!$B$43),G879*Q879))*IF(Inputs!$B$38="pvp",1,(1+(Inputs!$B$21+Skills!Q9+(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0">
      <c r="A880">
        <f>Skills!A10</f>
        <v/>
      </c>
      <c r="B880">
        <f>Skills!B10</f>
        <v/>
      </c>
      <c r="C880">
        <f>Inputs!$B$3&gt;=103</f>
        <v/>
      </c>
      <c r="D880">
        <f>IF(Skills!C10=1,60+Inputs!$B$25+Inputs!$B$29,IF(Skills!C10=2,90+(Inputs!$B$26+1)+Inputs!$B$29,IF(Skills!C10=3,120+Inputs!$B$27+Inputs!$B$29,MAX(0,(Inputs!$B$3-100)*3)+Inputs!$B$28+Inputs!$B$29)))</f>
        <v/>
      </c>
      <c r="E880">
        <f>INDEX(FactorTable!$B$2:$Y$301, MATCH(ROUND(MIN(300,MAX(1,D880)),0), FactorTable!$A$2:$A$301,0), Skills!M10+1)</f>
        <v/>
      </c>
      <c r="F880">
        <f>IF(Skills!N10=TRUE,(Skills!L10/10)*(E880/1000),Skills!L10/10)+Skills!O10</f>
        <v/>
      </c>
      <c r="G880">
        <f>Skills!G10*IF(Skills!H10&gt;0,Skills!I10/Skills!H10,1)</f>
        <v/>
      </c>
      <c r="H880">
        <f>1-(1-Skills!J10/100)^Skills!K10</f>
        <v/>
      </c>
      <c r="I880" t="inlineStr">
        <is>
          <t>1</t>
        </is>
      </c>
      <c r="J880">
        <f>((Inputs!$B$6*(1+Inputs!$B$7/100))+(((Inputs!$B$12*(1+Inputs!$B$13/100))-(Inputs!$B$12*(1+Inputs!$B$13/100)))+0.25*(Inputs!$B$14-Inputs!$B$14))*(1+Inputs!$B$7/100))*(F880/100)</f>
        <v/>
      </c>
      <c r="K880">
        <f>J880*(1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880)</f>
        <v/>
      </c>
      <c r="L880">
        <f>K880*(MIN(Inputs!$B$22+((C895=TRUE)*(F895-Calc!F25)),(Inputs!$B$23+((C900=TRUE)*(F900-Calc!F30))+(IF(ArtifactsInput!$M$15,CHOOSE(ArtifactsInput!$N$15+1,25,30,35,40,45,50)/100*(Inputs!$B$11-Inputs!$B$11),0))))/100+(Inputs!$B$23+((C900=TRUE)*(F900-Calc!F30))+(IF(ArtifactsInput!$M$15,CHOOSE(ArtifactsInput!$N$15+1,25,30,35,40,45,50)/100*(Inputs!$B$11-Inputs!$B$11),0)))/100)/2</f>
        <v/>
      </c>
      <c r="M880">
        <f>L880*(1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0">
        <f>L880*(1-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880*(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0">
        <f>(1-Summary!$B$11)*T880+Summary!$B$11*V880</f>
        <v/>
      </c>
      <c r="P880">
        <f>IF(B914=0,0,O880/B914)</f>
        <v/>
      </c>
      <c r="Q880">
        <f>IFERROR(1/(IF(Inputs!$B$38="pvp",15,MAX(0.1,Skills!D10-IF(Skills!E10=TRUE,Inputs!$B$32,0)))*(1-IF(AND(ArtifactsInput!$M$27,Inputs!$B$4="Chapter Hunt"),CHOOSE(ArtifactsInput!$N$27+1,20,24,28,32,36,40),0)/100)),0)</f>
        <v/>
      </c>
      <c r="R880">
        <f>IF(AND(Inputs!$B$38&lt;&gt;"pvp",Inputs!$B$43&gt;0),IF(MAX(0,Inputs!$B$43-B911)&lt;=0,0,(INT(MAX(0,Inputs!$B$43-B911)/(IF(Inputs!$B$38="pvp",15,MAX(0.1,Skills!D10-IF(Skills!E10=TRUE,Inputs!$B$32,0)))*(1-IF(AND(ArtifactsInput!$M$27,Inputs!$B$4="Chapter Hunt"),CHOOSE(ArtifactsInput!$N$27+1,20,24,28,32,36,40),0)/100)))+1)),0)</f>
        <v/>
      </c>
      <c r="S880">
        <f>IFERROR(O880/N880,0)</f>
        <v/>
      </c>
      <c r="T880">
        <f>IF(C880,(H880*N880*IF(AND(Inputs!$B$38&lt;&gt;"pvp",Inputs!$B$43&gt;0),((Skills!G10*((R880-1)*IF(Skills!H10&gt;0,Skills!I10/Skills!H10,1)+IF(Skills!H10&gt;0,MIN(Skills!I10,MAX(0,MAX(0,Inputs!$B$43-B911)-((R880-1)*(IF(Inputs!$B$38="pvp",15,MAX(0.1,Skills!D10-IF(Skills!E10=TRUE,Inputs!$B$32,0)))*(1-IF(AND(ArtifactsInput!$M$27,Inputs!$B$4="Chapter Hunt"),CHOOSE(ArtifactsInput!$N$27+1,20,24,28,32,36,40),0)/100)))))/Skills!H10,1)))/Inputs!$B$43),G880*Q880)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880*(1-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880*(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880*(1-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880*(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0">
        <f>IF(C880,(H880*N880*IF(AND(Inputs!$B$38&lt;&gt;"pvp",Inputs!$B$43&gt;0),((Skills!G10*((R880-1)*IF(Skills!H10&gt;0,Skills!I10/Skills!H10,1)+IF(Skills!H10&gt;0,MIN(Skills!I10,MAX(0,MAX(0,Inputs!$B$43-B911)-((R880-1)*(IF(Inputs!$B$38="pvp",15,MAX(0.1,Skills!D10-IF(Skills!E10=TRUE,Inputs!$B$32,0)))*(1-IF(AND(ArtifactsInput!$M$27,Inputs!$B$4="Chapter Hunt"),CHOOSE(ArtifactsInput!$N$27+1,20,24,28,32,36,40),0)/100)))))/Skills!H10,1)))/Inputs!$B$43),G880*Q880))*IF(Inputs!$B$38="pvp",1,(1+(Inputs!$B$21+Skills!Q10+(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1">
      <c r="A881">
        <f>Skills!A11</f>
        <v/>
      </c>
      <c r="B881">
        <f>Skills!B11</f>
        <v/>
      </c>
      <c r="C881">
        <f>Inputs!$B$3&gt;=100</f>
        <v/>
      </c>
      <c r="D881">
        <f>IF(Skills!C11=1,60+Inputs!$B$25+Inputs!$B$29,IF(Skills!C11=2,90+(Inputs!$B$26+1)+Inputs!$B$29,IF(Skills!C11=3,120+Inputs!$B$27+Inputs!$B$29,MAX(0,(Inputs!$B$3-100)*3)+Inputs!$B$28+Inputs!$B$29)))</f>
        <v/>
      </c>
      <c r="E881">
        <f>INDEX(FactorTable!$B$2:$Y$301, MATCH(ROUND(MIN(300,MAX(1,D881)),0), FactorTable!$A$2:$A$301,0), Skills!M11+1)</f>
        <v/>
      </c>
      <c r="F881">
        <f>IF(Skills!N11=TRUE,(Skills!L11/10)*(E881/1000),Skills!L11/10)+Skills!O11</f>
        <v/>
      </c>
      <c r="G881" t="inlineStr"/>
      <c r="H881" t="inlineStr"/>
      <c r="I881" t="inlineStr">
        <is>
          <t>1</t>
        </is>
      </c>
      <c r="J881" t="inlineStr"/>
      <c r="K881" t="inlineStr"/>
      <c r="L881" t="inlineStr"/>
      <c r="M881" t="inlineStr"/>
      <c r="N881" t="inlineStr"/>
      <c r="O881" t="inlineStr"/>
      <c r="P881" t="inlineStr"/>
      <c r="Q881" t="inlineStr"/>
      <c r="R881" t="inlineStr"/>
      <c r="S881" t="inlineStr"/>
      <c r="T881" t="inlineStr"/>
      <c r="V881" t="inlineStr"/>
    </row>
    <row r="882">
      <c r="A882">
        <f>Skills!A12</f>
        <v/>
      </c>
      <c r="B882">
        <f>Skills!B12</f>
        <v/>
      </c>
      <c r="C882">
        <f>Inputs!$B$3&gt;=60</f>
        <v/>
      </c>
      <c r="D882">
        <f>IF(Skills!C12=1,60+Inputs!$B$25+Inputs!$B$29,IF(Skills!C12=2,90+(Inputs!$B$26+1)+Inputs!$B$29,IF(Skills!C12=3,120+Inputs!$B$27+Inputs!$B$29,MAX(0,(Inputs!$B$3-100)*3)+Inputs!$B$28+Inputs!$B$29)))</f>
        <v/>
      </c>
      <c r="E882">
        <f>INDEX(FactorTable!$B$2:$Y$301, MATCH(ROUND(MIN(300,MAX(1,D882)),0), FactorTable!$A$2:$A$301,0), Skills!M12+1)</f>
        <v/>
      </c>
      <c r="F882">
        <f>IF(Skills!N12=TRUE,(Skills!L12/10)*(E882/1000),Skills!L12/10)+Skills!O12</f>
        <v/>
      </c>
      <c r="G882">
        <f>Skills!G12*IF(Skills!H12&gt;0,Skills!I12/Skills!H12,1)</f>
        <v/>
      </c>
      <c r="H882">
        <f>1-(1-Skills!J12/100)^Skills!K12</f>
        <v/>
      </c>
      <c r="I882" t="inlineStr">
        <is>
          <t>1</t>
        </is>
      </c>
      <c r="J882">
        <f>((Inputs!$B$6*(1+Inputs!$B$7/100))+(((Inputs!$B$12*(1+Inputs!$B$13/100))-(Inputs!$B$12*(1+Inputs!$B$13/100)))+0.25*(Inputs!$B$14-Inputs!$B$14))*(1+Inputs!$B$7/100))*(F882/100)</f>
        <v/>
      </c>
      <c r="K882">
        <f>J882*(1+((Inputs!$B$12*(1+Inputs!$B$13/100))*0.01+Inputs!$B$14*0.0025)/100)*(1+Inputs!$B$15/100)*(1+Inputs!$B$16/100)*(5000/(6000+Inputs!$B$42*(1-(100*(1-(1-(Inputs!$B$19+((C898=TRUE)*(F898-Calc!F28)))/100)*(1-CHOOSE(ArtifactsInput!$N$40+1,5,6,7,8,9,10)/100)^(ArtifactsInput!$M$40-ArtifactsInput!$M$40)))/100)))*(1+(Inputs!$B$24+((C896=TRUE)*(F896-Calc!F26))+((C897=TRUE)*(F897-Calc!F27))+B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883=TRUE,F883,0)/100)*(1+(IF(Skills!A12="ARROW_STREAM",Inputs!$B$17+((C894=TRUE)*(F894-Calc!F24))+(((IF(AND(ArtifactsInput!$M$42,((Inputs!$B$9+((C891=TRUE)*(F891-Calc!F21))+B904+(ArtifactsInput!$M$24-ArtifactsInput!$M$24)*CHOOSE(ArtifactsInput!$N$24+1,10,12,14,16,18,20)+IF(ArtifactsInput!$M$10,CHOOSE(ArtifactsInput!$N$10+1,15,18,21,24,27,30)*(IF(Inputs!$B$38="pvp",MIN(15,15)/15,IF(AND(Inputs!$B$38&lt;&gt;"pvp",Inputs!$B$43&gt;0),MIN(15,Inputs!$B$43)/(Inputs!$B$43),0))),0)))&gt;=100),MIN(100,((Inputs!$B$9+((C891=TRUE)*(F891-Calc!F21))+B904+(ArtifactsInput!$M$24-ArtifactsInput!$M$24)*CHOOSE(ArtifactsInput!$N$24+1,10,12,14,16,18,20)+IF(ArtifactsInput!$M$10,CHOOSE(ArtifactsInput!$N$10+1,15,18,21,24,27,30)*(IF(Inputs!$B$38="pvp",MIN(15,15)/15,IF(AND(Inputs!$B$38&lt;&gt;"pvp",Inputs!$B$43&gt;0),MIN(15,Inputs!$B$43)/(Inputs!$B$43),0))),0)))-100),0))*CHOOSE(ArtifactsInput!$N$42+1,0.6,0.72,0.84,0.96,1.08,1.2))),Inputs!$B$18+((C899=TRUE)*(F899-Calc!F29))+(IF(AND(ArtifactsInput!$M$42,((Inputs!$B$9+((C891=TRUE)*(F891-Calc!F21))+B904+(ArtifactsInput!$M$24-ArtifactsInput!$M$24)*CHOOSE(ArtifactsInput!$N$24+1,10,12,14,16,18,20)+IF(ArtifactsInput!$M$10,CHOOSE(ArtifactsInput!$N$10+1,15,18,21,24,27,30)*(IF(Inputs!$B$38="pvp",MIN(15,15)/15,IF(AND(Inputs!$B$38&lt;&gt;"pvp",Inputs!$B$43&gt;0),MIN(15,Inputs!$B$43)/(Inputs!$B$43),0))),0)))&gt;=100),CHOOSE(ArtifactsInput!$N$42+1,40,48,56,64,72,80),0))))/100)*((1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882)</f>
        <v/>
      </c>
      <c r="L882">
        <f>K882*(MIN(Inputs!$B$22+((C895=TRUE)*(F895-Calc!F25)),(Inputs!$B$23+((C900=TRUE)*(F900-Calc!F30))+(IF(ArtifactsInput!$M$15,CHOOSE(ArtifactsInput!$N$15+1,25,30,35,40,45,50)/100*(Inputs!$B$11-Inputs!$B$11),0))))/100+(Inputs!$B$23+((C900=TRUE)*(F900-Calc!F30))+(IF(ArtifactsInput!$M$15,CHOOSE(ArtifactsInput!$N$15+1,25,30,35,40,45,50)/100*(Inputs!$B$11-Inputs!$B$11),0)))/100)/2</f>
        <v/>
      </c>
      <c r="M882">
        <f>L882*(1+(Inputs!$B$10+0+B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2">
        <f>L882*(1-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882*(MIN((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2">
        <f>(1-Summary!$B$11)*T882+Summary!$B$11*V882</f>
        <v/>
      </c>
      <c r="P882">
        <f>IF(B914=0,0,O882/B914)</f>
        <v/>
      </c>
      <c r="Q882">
        <f>IFERROR(1/(IF(Inputs!$B$38="pvp",15,MAX(0.1,Skills!D12-IF(Skills!E12=TRUE,Inputs!$B$32,0)))*(1-IF(AND(ArtifactsInput!$M$27,Inputs!$B$4="Chapter Hunt"),CHOOSE(ArtifactsInput!$N$27+1,20,24,28,32,36,40),0)/100)),0)</f>
        <v/>
      </c>
      <c r="R882">
        <f>IF(AND(Inputs!$B$38&lt;&gt;"pvp",Inputs!$B$43&gt;0),IF(MAX(0,Inputs!$B$43-B911)&lt;=0,0,(INT(MAX(0,Inputs!$B$43-B911)/(IF(Inputs!$B$38="pvp",15,MAX(0.1,Skills!D12-IF(Skills!E12=TRUE,Inputs!$B$32,0)))*(1-IF(AND(ArtifactsInput!$M$27,Inputs!$B$4="Chapter Hunt"),CHOOSE(ArtifactsInput!$N$27+1,20,24,28,32,36,40),0)/100)))+1)),0)</f>
        <v/>
      </c>
      <c r="S882">
        <f>IFERROR(O882/N882,0)</f>
        <v/>
      </c>
      <c r="T882">
        <f>IF(C882,(H882*N882*IF(AND(Inputs!$B$38&lt;&gt;"pvp",Inputs!$B$43&gt;0),((Skills!G12*((R882-1)*IF(Skills!H12&gt;0,Skills!I12/Skills!H12,1)+IF(Skills!H12&gt;0,MIN(Skills!I12,MAX(0,MAX(0,Inputs!$B$43-B911)-((R882-1)*(IF(Inputs!$B$38="pvp",15,MAX(0.1,Skills!D12-IF(Skills!E12=TRUE,Inputs!$B$32,0)))*(1-IF(AND(ArtifactsInput!$M$27,Inputs!$B$4="Chapter Hunt"),CHOOSE(ArtifactsInput!$N$27+1,20,24,28,32,36,40),0)/100)))))/Skills!H12,1)))/Inputs!$B$43),G882*Q882)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(5000/(6000+Inputs!$B$42*(1-(100*(1-(1-(100*(1-(1-(Inputs!$B$19+((C898=TRUE)*(F898-Calc!F28)))/100)*(1-CHOOSE(ArtifactsInput!$N$40+1,5,6,7,8,9,10)/100)^(ArtifactsInput!$M$40-ArtifactsInput!$M$40)))/100)*(1-IF(ArtifactsInput!$M$40,CHOOSE(ArtifactsInput!$N$40+1,5,6,7,8,9,10),0)/100)^IF(Inputs!$B$38="pvp",1,2)))/100)))/(5000/(6000+Inputs!$B$42*(1-(100*(1-(1-(Inputs!$B$19+((C898=TRUE)*(F898-Calc!F28)))/100)*(1-CHOOSE(ArtifactsInput!$N$40+1,5,6,7,8,9,10)/100)^(ArtifactsInput!$M$40-ArtifactsInput!$M$40)))/100))))*((L882*(1-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882*(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882*(1-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882*(MIN(100,(Inputs!$B$9+((C891=TRUE)*(F891-Calc!F21))+B904+(ArtifactsInput!$M$24-ArtifactsInput!$M$24)*CHOOSE(ArtifactsInput!$N$24+1,10,12,14,16,18,20)+(IF(AND(ArtifactsInput!$M$42,((Inputs!$B$9+((C891=TRUE)*(F891-Calc!F21))+B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2">
        <f>IF(C882,(H882*N882*IF(AND(Inputs!$B$38&lt;&gt;"pvp",Inputs!$B$43&gt;0),((Skills!G12*((R882-1)*IF(Skills!H12&gt;0,Skills!I12/Skills!H12,1)+IF(Skills!H12&gt;0,MIN(Skills!I12,MAX(0,MAX(0,Inputs!$B$43-B911)-((R882-1)*(IF(Inputs!$B$38="pvp",15,MAX(0.1,Skills!D12-IF(Skills!E12=TRUE,Inputs!$B$32,0)))*(1-IF(AND(ArtifactsInput!$M$27,Inputs!$B$4="Chapter Hunt"),CHOOSE(ArtifactsInput!$N$27+1,20,24,28,32,36,40),0)/100)))))/Skills!H12,1)))/Inputs!$B$43),G882*Q882))*IF(Inputs!$B$38="pvp",1,(1+(Inputs!$B$21+Skills!Q12+(IF(ArtifactsInput!$M$33,CHOOSE(ArtifactsInput!$N$33+1,30,36,42,48,54,60),0))+(IF(AND(ArtifactsInput!$M$35,Inputs!$B$4&lt;&gt;"Chapter Hunt"),CHOOSE(ArtifactsInput!$N$35+1,15,18,21,24,27,30)*(1-EXP(-(0.2*B906)*5)),0)+IF(AND(ArtifactsInput!$M$22,Inputs!$B$4&lt;&gt;"Chapter Hunt"),CHOOSE(ArtifactsInput!$N$22+1,10,12,14,16,18,20)*((0*(((0.15*B906*5))^0/1)+1*(((0.15*B906*5))^1/1)+2*(((0.15*B906*5))^2/2)+3*(((0.15*B906*5))^3/6)+4*(((0.15*B906*5))^4/24)+5*(((0.15*B906*5))^5/120))/((((0.15*B906*5))^0/1)+(((0.15*B906*5))^1/1)+(((0.15*B906*5))^2/2)+(((0.15*B906*5))^3/6)+(((0.15*B906*5))^4/24)+(((0.15*B906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3">
      <c r="A883">
        <f>Skills!A13</f>
        <v/>
      </c>
      <c r="B883">
        <f>Skills!B13</f>
        <v/>
      </c>
      <c r="C883">
        <f>Inputs!$B$3&gt;=110</f>
        <v/>
      </c>
      <c r="D883">
        <f>IF(Skills!C13=1,60+Inputs!$B$25+Inputs!$B$29,IF(Skills!C13=2,90+(Inputs!$B$26+1)+Inputs!$B$29,IF(Skills!C13=3,120+Inputs!$B$27+Inputs!$B$29,MAX(0,(Inputs!$B$3-100)*3)+Inputs!$B$28+Inputs!$B$29)))</f>
        <v/>
      </c>
      <c r="E883">
        <f>INDEX(FactorTable!$B$2:$Y$301, MATCH(ROUND(MIN(300,MAX(1,D883)),0), FactorTable!$A$2:$A$301,0), Skills!M13+1)</f>
        <v/>
      </c>
      <c r="F883">
        <f>IF(Skills!N13=TRUE,(Skills!L13/10)*(E883/1000),Skills!L13/10)+Skills!O13</f>
        <v/>
      </c>
      <c r="G883" t="inlineStr"/>
      <c r="H883" t="inlineStr"/>
      <c r="I883" t="inlineStr">
        <is>
          <t>1</t>
        </is>
      </c>
      <c r="J883" t="inlineStr"/>
      <c r="K883" t="inlineStr"/>
      <c r="L883" t="inlineStr"/>
      <c r="M883" t="inlineStr"/>
      <c r="N883" t="inlineStr"/>
      <c r="O883" t="inlineStr"/>
      <c r="P883" t="inlineStr"/>
      <c r="Q883" t="inlineStr"/>
      <c r="R883" t="inlineStr"/>
      <c r="S883" t="inlineStr"/>
      <c r="T883" t="inlineStr"/>
      <c r="V883" t="inlineStr"/>
    </row>
    <row r="884">
      <c r="A884">
        <f>Skills!A14</f>
        <v/>
      </c>
      <c r="B884">
        <f>Skills!B14</f>
        <v/>
      </c>
      <c r="C884">
        <f>Inputs!$B$3&gt;=74</f>
        <v/>
      </c>
      <c r="D884">
        <f>IF(Skills!C14=1,60+Inputs!$B$25+Inputs!$B$29,IF(Skills!C14=2,90+(Inputs!$B$26+1)+Inputs!$B$29,IF(Skills!C14=3,120+Inputs!$B$27+Inputs!$B$29,MAX(0,(Inputs!$B$3-100)*3)+Inputs!$B$28+Inputs!$B$29)))</f>
        <v/>
      </c>
      <c r="E884">
        <f>INDEX(FactorTable!$B$2:$Y$301, MATCH(ROUND(MIN(300,MAX(1,D884)),0), FactorTable!$A$2:$A$301,0), Skills!M14+1)</f>
        <v/>
      </c>
      <c r="F884">
        <f>IF(Skills!N14=TRUE,(Skills!L14/10)*(E884/1000),Skills!L14/10)+Skills!O14</f>
        <v/>
      </c>
      <c r="G884">
        <f>Skills!G14*IF(Skills!H14&gt;0,Skills!I14/Skills!H14,1)</f>
        <v/>
      </c>
      <c r="H884">
        <f>1-(1-Skills!J14/100)^Skills!K14</f>
        <v/>
      </c>
      <c r="I884" t="inlineStr">
        <is>
          <t>1</t>
        </is>
      </c>
      <c r="J884" t="inlineStr"/>
      <c r="K884" t="inlineStr"/>
      <c r="L884" t="inlineStr"/>
      <c r="M884" t="inlineStr"/>
      <c r="N884" t="inlineStr"/>
      <c r="O884">
        <f>(1-Summary!$B$11)*T884+Summary!$B$11*V884</f>
        <v/>
      </c>
      <c r="P884">
        <f>IF(B914=0,0,O884/B914)</f>
        <v/>
      </c>
      <c r="Q884" t="n">
        <v>0</v>
      </c>
      <c r="R884" t="n">
        <v>0</v>
      </c>
      <c r="S884">
        <f>IFERROR(O884/N884,0)</f>
        <v/>
      </c>
      <c r="T884" t="n">
        <v>0</v>
      </c>
      <c r="V884" t="n">
        <v>0</v>
      </c>
    </row>
    <row r="885">
      <c r="A885">
        <f>Skills!A15</f>
        <v/>
      </c>
      <c r="B885">
        <f>Skills!B15</f>
        <v/>
      </c>
      <c r="C885">
        <f>Inputs!$B$3&gt;=74</f>
        <v/>
      </c>
      <c r="D885">
        <f>IF(Skills!C15=1,60+Inputs!$B$25+Inputs!$B$29,IF(Skills!C15=2,90+(Inputs!$B$26+1)+Inputs!$B$29,IF(Skills!C15=3,120+Inputs!$B$27+Inputs!$B$29,MAX(0,(Inputs!$B$3-100)*3)+Inputs!$B$28+Inputs!$B$29)))</f>
        <v/>
      </c>
      <c r="E885">
        <f>INDEX(FactorTable!$B$2:$Y$301, MATCH(ROUND(MIN(300,MAX(1,D885)),0), FactorTable!$A$2:$A$301,0), Skills!M15+1)</f>
        <v/>
      </c>
      <c r="F885">
        <f>IF(Skills!N15=TRUE,(Skills!L15/10)*(E885/1000),Skills!L15/10)+Skills!O15</f>
        <v/>
      </c>
      <c r="G885">
        <f>Skills!G15*IF(Skills!H15&gt;0,Skills!I15/Skills!H15,1)</f>
        <v/>
      </c>
      <c r="H885">
        <f>1-(1-Skills!J15/100)^Skills!K15</f>
        <v/>
      </c>
      <c r="I885" t="inlineStr">
        <is>
          <t>1</t>
        </is>
      </c>
      <c r="J885" t="inlineStr"/>
      <c r="K885" t="inlineStr"/>
      <c r="L885" t="inlineStr"/>
      <c r="M885" t="inlineStr"/>
      <c r="N885" t="inlineStr"/>
      <c r="O885">
        <f>(1-Summary!$B$11)*T885+Summary!$B$11*V885</f>
        <v/>
      </c>
      <c r="P885">
        <f>IF(B914=0,0,O885/B914)</f>
        <v/>
      </c>
      <c r="Q885" t="n">
        <v>0</v>
      </c>
      <c r="R885" t="n">
        <v>0</v>
      </c>
      <c r="S885">
        <f>IFERROR(O885/N885,0)</f>
        <v/>
      </c>
      <c r="T885" t="n">
        <v>0</v>
      </c>
      <c r="V885" t="n">
        <v>0</v>
      </c>
    </row>
    <row r="886">
      <c r="A886">
        <f>Skills!A16</f>
        <v/>
      </c>
      <c r="B886">
        <f>Skills!B16</f>
        <v/>
      </c>
      <c r="C886">
        <f>Inputs!$B$3&gt;=117</f>
        <v/>
      </c>
      <c r="D886">
        <f>IF(Skills!C16=1,60+Inputs!$B$25+Inputs!$B$29,IF(Skills!C16=2,90+(Inputs!$B$26+1)+Inputs!$B$29,IF(Skills!C16=3,120+Inputs!$B$27+Inputs!$B$29,MAX(0,(Inputs!$B$3-100)*3)+Inputs!$B$28+Inputs!$B$29)))</f>
        <v/>
      </c>
      <c r="E886">
        <f>INDEX(FactorTable!$B$2:$Y$301, MATCH(ROUND(MIN(300,MAX(1,D886)),0), FactorTable!$A$2:$A$301,0), Skills!M16+1)</f>
        <v/>
      </c>
      <c r="F886">
        <f>IF(Skills!N16=TRUE,(Skills!L16/10)*(E886/1000),Skills!L16/10)+Skills!O16</f>
        <v/>
      </c>
      <c r="G886">
        <f>Skills!G16*IF(Skills!H16&gt;0,Skills!I16/Skills!H16,1)</f>
        <v/>
      </c>
      <c r="H886">
        <f>1-(1-Skills!J16/100)^Skills!K16</f>
        <v/>
      </c>
      <c r="I886" t="inlineStr">
        <is>
          <t>1</t>
        </is>
      </c>
      <c r="J886" t="inlineStr"/>
      <c r="K886" t="inlineStr"/>
      <c r="L886" t="inlineStr"/>
      <c r="M886" t="inlineStr"/>
      <c r="N886" t="inlineStr"/>
      <c r="O886">
        <f>(1-Summary!$B$11)*T886+Summary!$B$11*V886</f>
        <v/>
      </c>
      <c r="P886">
        <f>IF(B914=0,0,O886/B914)</f>
        <v/>
      </c>
      <c r="Q886">
        <f>IFERROR(1/(IF(Inputs!$B$38="pvp",15,MAX(0.1,Skills!D16-IF(Skills!E16=TRUE,Inputs!$B$32,0)))*(1-IF(AND(ArtifactsInput!$M$27,Inputs!$B$4="Chapter Hunt"),CHOOSE(ArtifactsInput!$N$27+1,20,24,28,32,36,40),0)/100)),0)</f>
        <v/>
      </c>
      <c r="R886">
        <f>IF(AND(Inputs!$B$38&lt;&gt;"pvp",Inputs!$B$43&gt;0),IF(Inputs!$B$43&lt;=0,0,(INT(Inputs!$B$43/(IF(Inputs!$B$38="pvp",15,MAX(0.1,Skills!D16-IF(Skills!E16=TRUE,Inputs!$B$32,0)))*(1-IF(AND(ArtifactsInput!$M$27,Inputs!$B$4="Chapter Hunt"),CHOOSE(ArtifactsInput!$N$27+1,20,24,28,32,36,40),0)/100)))+1)),0)</f>
        <v/>
      </c>
      <c r="S886">
        <f>IFERROR(O886/N886,0)</f>
        <v/>
      </c>
      <c r="T886" t="n">
        <v>0</v>
      </c>
      <c r="V886" t="n">
        <v>0</v>
      </c>
    </row>
    <row r="887">
      <c r="A887">
        <f>Skills!A17</f>
        <v/>
      </c>
      <c r="B887">
        <f>Skills!B17</f>
        <v/>
      </c>
      <c r="C887">
        <f>Inputs!$B$3&gt;=115</f>
        <v/>
      </c>
      <c r="D887">
        <f>IF(Skills!C17=1,60+Inputs!$B$25+Inputs!$B$29,IF(Skills!C17=2,90+(Inputs!$B$26+1)+Inputs!$B$29,IF(Skills!C17=3,120+Inputs!$B$27+Inputs!$B$29,MAX(0,(Inputs!$B$3-100)*3)+Inputs!$B$28+Inputs!$B$29)))</f>
        <v/>
      </c>
      <c r="E887">
        <f>INDEX(FactorTable!$B$2:$Y$301, MATCH(ROUND(MIN(300,MAX(1,D887)),0), FactorTable!$A$2:$A$301,0), Skills!M17+1)</f>
        <v/>
      </c>
      <c r="F887">
        <f>IF(Skills!N17=TRUE,(Skills!L17/10)*(E887/1000),Skills!L17/10)+Skills!O17</f>
        <v/>
      </c>
      <c r="G887">
        <f>Skills!G17*IF(Skills!H17&gt;0,Skills!I17/Skills!H17,1)</f>
        <v/>
      </c>
      <c r="H887">
        <f>1-(1-Skills!J17/100)^Skills!K17</f>
        <v/>
      </c>
      <c r="I887" t="inlineStr">
        <is>
          <t>1</t>
        </is>
      </c>
      <c r="J887" t="inlineStr"/>
      <c r="K887" t="inlineStr"/>
      <c r="L887" t="inlineStr"/>
      <c r="M887" t="inlineStr"/>
      <c r="N887" t="inlineStr"/>
      <c r="O887">
        <f>(1-Summary!$B$11)*T887+Summary!$B$11*V887</f>
        <v/>
      </c>
      <c r="P887">
        <f>IF(B914=0,0,O887/B914)</f>
        <v/>
      </c>
      <c r="Q887">
        <f>IFERROR(1/(IF(Inputs!$B$38="pvp",15,MAX(0.1,Skills!D17-IF(Skills!E17=TRUE,Inputs!$B$32,0)))*(1-IF(AND(ArtifactsInput!$M$27,Inputs!$B$4="Chapter Hunt"),CHOOSE(ArtifactsInput!$N$27+1,20,24,28,32,36,40),0)/100)),0)</f>
        <v/>
      </c>
      <c r="R887">
        <f>IF(AND(Inputs!$B$38&lt;&gt;"pvp",Inputs!$B$43&gt;0),IF(Inputs!$B$43&lt;=0,0,(INT(Inputs!$B$43/(IF(Inputs!$B$38="pvp",15,MAX(0.1,Skills!D17-IF(Skills!E17=TRUE,Inputs!$B$32,0)))*(1-IF(AND(ArtifactsInput!$M$27,Inputs!$B$4="Chapter Hunt"),CHOOSE(ArtifactsInput!$N$27+1,20,24,28,32,36,40),0)/100)))+1)),0)</f>
        <v/>
      </c>
      <c r="S887">
        <f>IFERROR(O887/N887,0)</f>
        <v/>
      </c>
      <c r="T887" t="n">
        <v>0</v>
      </c>
      <c r="V887" t="n">
        <v>0</v>
      </c>
    </row>
    <row r="888">
      <c r="A888">
        <f>Skills!A18</f>
        <v/>
      </c>
      <c r="B888">
        <f>Skills!B18</f>
        <v/>
      </c>
      <c r="C888">
        <f>Inputs!$B$3&gt;=66</f>
        <v/>
      </c>
      <c r="D888">
        <f>IF(Skills!C18=1,60+Inputs!$B$25+Inputs!$B$29,IF(Skills!C18=2,90+(Inputs!$B$26+1)+Inputs!$B$29,IF(Skills!C18=3,120+Inputs!$B$27+Inputs!$B$29,MAX(0,(Inputs!$B$3-100)*3)+Inputs!$B$28+Inputs!$B$29)))</f>
        <v/>
      </c>
      <c r="E888">
        <f>INDEX(FactorTable!$B$2:$Y$301, MATCH(ROUND(MIN(300,MAX(1,D888)),0), FactorTable!$A$2:$A$301,0), Skills!M18+1)</f>
        <v/>
      </c>
      <c r="F888">
        <f>IF(Skills!N18=TRUE,(Skills!L18/10)*(E888/1000),Skills!L18/10)+Skills!O18</f>
        <v/>
      </c>
      <c r="G888">
        <f>Skills!G18*IF(Skills!H18&gt;0,Skills!I18/Skills!H18,1)</f>
        <v/>
      </c>
      <c r="H888">
        <f>1-(1-Skills!J18/100)^Skills!K18</f>
        <v/>
      </c>
      <c r="I888" t="inlineStr">
        <is>
          <t>1</t>
        </is>
      </c>
      <c r="J888" t="inlineStr"/>
      <c r="K888" t="inlineStr"/>
      <c r="L888" t="inlineStr"/>
      <c r="M888" t="inlineStr"/>
      <c r="N888" t="inlineStr"/>
      <c r="O888">
        <f>(1-Summary!$B$11)*T888+Summary!$B$11*V888</f>
        <v/>
      </c>
      <c r="P888">
        <f>IF(B914=0,0,O888/B914)</f>
        <v/>
      </c>
      <c r="Q888" t="n">
        <v>0</v>
      </c>
      <c r="R888" t="n">
        <v>0</v>
      </c>
      <c r="S888">
        <f>IFERROR(O888/N888,0)</f>
        <v/>
      </c>
      <c r="T888" t="n">
        <v>0</v>
      </c>
      <c r="V888" t="n">
        <v>0</v>
      </c>
    </row>
    <row r="889">
      <c r="A889">
        <f>Skills!A19</f>
        <v/>
      </c>
      <c r="B889">
        <f>Skills!B19</f>
        <v/>
      </c>
      <c r="C889">
        <f>Inputs!$B$3&gt;=72</f>
        <v/>
      </c>
      <c r="D889">
        <f>IF(Skills!C19=1,60+Inputs!$B$25+Inputs!$B$29,IF(Skills!C19=2,90+(Inputs!$B$26+1)+Inputs!$B$29,IF(Skills!C19=3,120+Inputs!$B$27+Inputs!$B$29,MAX(0,(Inputs!$B$3-100)*3)+Inputs!$B$28+Inputs!$B$29)))</f>
        <v/>
      </c>
      <c r="E889">
        <f>INDEX(FactorTable!$B$2:$Y$301, MATCH(ROUND(MIN(300,MAX(1,D889)),0), FactorTable!$A$2:$A$301,0), Skills!M19+1)</f>
        <v/>
      </c>
      <c r="F889">
        <f>IF(Skills!N19=TRUE,(Skills!L19/10)*(E889/1000),Skills!L19/10)+Skills!O19</f>
        <v/>
      </c>
      <c r="G889">
        <f>Skills!G19*IF(Skills!H19&gt;0,Skills!I19/Skills!H19,1)</f>
        <v/>
      </c>
      <c r="H889">
        <f>1-(1-Skills!J19/100)^Skills!K19</f>
        <v/>
      </c>
      <c r="I889" t="inlineStr">
        <is>
          <t>1</t>
        </is>
      </c>
      <c r="J889" t="inlineStr"/>
      <c r="K889" t="inlineStr"/>
      <c r="L889" t="inlineStr"/>
      <c r="M889" t="inlineStr"/>
      <c r="N889" t="inlineStr"/>
      <c r="O889">
        <f>(1-Summary!$B$11)*T889+Summary!$B$11*V889</f>
        <v/>
      </c>
      <c r="P889">
        <f>IF(B914=0,0,O889/B914)</f>
        <v/>
      </c>
      <c r="Q889" t="n">
        <v>0</v>
      </c>
      <c r="R889" t="n">
        <v>0</v>
      </c>
      <c r="S889">
        <f>IFERROR(O889/N889,0)</f>
        <v/>
      </c>
      <c r="T889" t="n">
        <v>0</v>
      </c>
      <c r="V889" t="n">
        <v>0</v>
      </c>
    </row>
    <row r="890">
      <c r="A890">
        <f>Skills!A20</f>
        <v/>
      </c>
      <c r="B890">
        <f>Skills!B20</f>
        <v/>
      </c>
      <c r="C890">
        <f>TRUE</f>
        <v/>
      </c>
      <c r="D890">
        <f>IF(Skills!C20=1,60+Inputs!$B$25+Inputs!$B$29,IF(Skills!C20=2,90+(Inputs!$B$26+1)+Inputs!$B$29,IF(Skills!C20=3,120+Inputs!$B$27+Inputs!$B$29,MAX(0,(Inputs!$B$3-100)*3)+Inputs!$B$28+Inputs!$B$29)))</f>
        <v/>
      </c>
      <c r="E890">
        <f>INDEX(FactorTable!$B$2:$Y$301, MATCH(ROUND(MIN(300,MAX(1,D890)),0), FactorTable!$A$2:$A$301,0), Skills!M20+1)</f>
        <v/>
      </c>
      <c r="F890">
        <f>IF(Skills!N20=TRUE,(Skills!L20/10)*(E890/1000),Skills!L20/10)+Skills!O20</f>
        <v/>
      </c>
      <c r="G890">
        <f>Skills!G20*IF(Skills!H20&gt;0,Skills!I20/Skills!H20,1)</f>
        <v/>
      </c>
      <c r="H890">
        <f>1-(1-Skills!J20/100)^Skills!K20</f>
        <v/>
      </c>
      <c r="I890" t="inlineStr">
        <is>
          <t>1</t>
        </is>
      </c>
      <c r="J890" t="inlineStr"/>
      <c r="K890" t="inlineStr"/>
      <c r="L890" t="inlineStr"/>
      <c r="M890" t="inlineStr"/>
      <c r="N890" t="inlineStr"/>
      <c r="O890">
        <f>(1-Summary!$B$11)*T890+Summary!$B$11*V890</f>
        <v/>
      </c>
      <c r="P890">
        <f>IF(B914=0,0,O890/B914)</f>
        <v/>
      </c>
      <c r="Q890">
        <f>IFERROR(1/(IF(Inputs!$B$38="pvp",15,MAX(0.1,Skills!D20-IF(Skills!E20=TRUE,Inputs!$B$32,0)))*(1-IF(AND(ArtifactsInput!$M$27,Inputs!$B$4="Chapter Hunt"),CHOOSE(ArtifactsInput!$N$27+1,20,24,28,32,36,40),0)/100)),0)</f>
        <v/>
      </c>
      <c r="R890">
        <f>IF(AND(Inputs!$B$38&lt;&gt;"pvp",Inputs!$B$43&gt;0),IF(Inputs!$B$43&lt;=0,0,(INT(Inputs!$B$43/(IF(Inputs!$B$38="pvp",15,MAX(0.1,Skills!D20-IF(Skills!E20=TRUE,Inputs!$B$32,0)))*(1-IF(AND(ArtifactsInput!$M$27,Inputs!$B$4="Chapter Hunt"),CHOOSE(ArtifactsInput!$N$27+1,20,24,28,32,36,40),0)/100)))+1)),0)</f>
        <v/>
      </c>
      <c r="S890">
        <f>IFERROR(O890/N890,0)</f>
        <v/>
      </c>
      <c r="T890" t="n">
        <v>0</v>
      </c>
      <c r="V890" t="n">
        <v>0</v>
      </c>
    </row>
    <row r="891">
      <c r="A891">
        <f>Skills!A21</f>
        <v/>
      </c>
      <c r="B891">
        <f>Skills!B21</f>
        <v/>
      </c>
      <c r="C891">
        <f>Inputs!$B$3&gt;=15</f>
        <v/>
      </c>
      <c r="D891">
        <f>IF(Skills!C21=1,60+Inputs!$B$25+Inputs!$B$29,IF(Skills!C21=2,90+(Inputs!$B$26+1)+Inputs!$B$29,IF(Skills!C21=3,120+Inputs!$B$27+Inputs!$B$29,MAX(0,(Inputs!$B$3-100)*3)+Inputs!$B$28+Inputs!$B$29)))</f>
        <v/>
      </c>
      <c r="E891">
        <f>INDEX(FactorTable!$B$2:$Y$301, MATCH(ROUND(MIN(300,MAX(1,D891)),0), FactorTable!$A$2:$A$301,0), Skills!M21+1)</f>
        <v/>
      </c>
      <c r="F891">
        <f>IF(Skills!N21=TRUE,(Skills!L21/10)*(E891/1000),Skills!L21/10)+Skills!O21</f>
        <v/>
      </c>
      <c r="G891">
        <f>Skills!G21*IF(Skills!H21&gt;0,Skills!I21/Skills!H21,1)</f>
        <v/>
      </c>
      <c r="H891">
        <f>1-(1-Skills!J21/100)^Skills!K21</f>
        <v/>
      </c>
      <c r="I891" t="inlineStr">
        <is>
          <t>1</t>
        </is>
      </c>
      <c r="J891" t="inlineStr"/>
      <c r="K891" t="inlineStr"/>
      <c r="L891" t="inlineStr"/>
      <c r="M891" t="inlineStr"/>
      <c r="N891" t="inlineStr"/>
      <c r="O891">
        <f>(1-Summary!$B$11)*T891+Summary!$B$11*V891</f>
        <v/>
      </c>
      <c r="P891">
        <f>IF(B914=0,0,O891/B914)</f>
        <v/>
      </c>
      <c r="Q891" t="n">
        <v>0</v>
      </c>
      <c r="R891" t="n">
        <v>0</v>
      </c>
      <c r="S891">
        <f>IFERROR(O891/N891,0)</f>
        <v/>
      </c>
      <c r="T891" t="n">
        <v>0</v>
      </c>
      <c r="V891" t="n">
        <v>0</v>
      </c>
    </row>
    <row r="892">
      <c r="A892">
        <f>Skills!A22</f>
        <v/>
      </c>
      <c r="B892">
        <f>Skills!B22</f>
        <v/>
      </c>
      <c r="C892">
        <f>Inputs!$B$3&gt;=10</f>
        <v/>
      </c>
      <c r="D892">
        <f>IF(Skills!C22=1,60+Inputs!$B$25+Inputs!$B$29,IF(Skills!C22=2,90+(Inputs!$B$26+1)+Inputs!$B$29,IF(Skills!C22=3,120+Inputs!$B$27+Inputs!$B$29,MAX(0,(Inputs!$B$3-100)*3)+Inputs!$B$28+Inputs!$B$29)))</f>
        <v/>
      </c>
      <c r="E892">
        <f>INDEX(FactorTable!$B$2:$Y$301, MATCH(ROUND(MIN(300,MAX(1,D892)),0), FactorTable!$A$2:$A$301,0), Skills!M22+1)</f>
        <v/>
      </c>
      <c r="F892">
        <f>IF(Skills!N22=TRUE,(Skills!L22/10)*(E892/1000),Skills!L22/10)+Skills!O22</f>
        <v/>
      </c>
      <c r="G892">
        <f>Skills!G22*IF(Skills!H22&gt;0,Skills!I22/Skills!H22,1)</f>
        <v/>
      </c>
      <c r="H892">
        <f>1-(1-Skills!J22/100)^Skills!K22</f>
        <v/>
      </c>
      <c r="I892" t="inlineStr">
        <is>
          <t>1</t>
        </is>
      </c>
      <c r="J892" t="inlineStr"/>
      <c r="K892" t="inlineStr"/>
      <c r="L892" t="inlineStr"/>
      <c r="M892" t="inlineStr"/>
      <c r="N892" t="inlineStr"/>
      <c r="O892">
        <f>(1-Summary!$B$11)*T892+Summary!$B$11*V892</f>
        <v/>
      </c>
      <c r="P892">
        <f>IF(B914=0,0,O892/B914)</f>
        <v/>
      </c>
      <c r="Q892" t="n">
        <v>0</v>
      </c>
      <c r="R892" t="n">
        <v>0</v>
      </c>
      <c r="S892">
        <f>IFERROR(O892/N892,0)</f>
        <v/>
      </c>
      <c r="T892" t="n">
        <v>0</v>
      </c>
      <c r="V892" t="n">
        <v>0</v>
      </c>
    </row>
    <row r="893">
      <c r="A893">
        <f>Skills!A23</f>
        <v/>
      </c>
      <c r="B893">
        <f>Skills!B23</f>
        <v/>
      </c>
      <c r="C893">
        <f>Inputs!$B$3&gt;=33</f>
        <v/>
      </c>
      <c r="D893">
        <f>IF(Skills!C23=1,60+Inputs!$B$25+Inputs!$B$29,IF(Skills!C23=2,90+(Inputs!$B$26+1)+Inputs!$B$29,IF(Skills!C23=3,120+Inputs!$B$27+Inputs!$B$29,MAX(0,(Inputs!$B$3-100)*3)+Inputs!$B$28+Inputs!$B$29)))</f>
        <v/>
      </c>
      <c r="E893">
        <f>INDEX(FactorTable!$B$2:$Y$301, MATCH(ROUND(MIN(300,MAX(1,D893)),0), FactorTable!$A$2:$A$301,0), Skills!M23+1)</f>
        <v/>
      </c>
      <c r="F893">
        <f>IF(Skills!N23=TRUE,(Skills!L23/10)*(E893/1000),Skills!L23/10)+Skills!O23</f>
        <v/>
      </c>
      <c r="G893">
        <f>Skills!G23*IF(Skills!H23&gt;0,Skills!I23/Skills!H23,1)</f>
        <v/>
      </c>
      <c r="H893">
        <f>1-(1-Skills!J23/100)^Skills!K23</f>
        <v/>
      </c>
      <c r="I893" t="inlineStr">
        <is>
          <t>1</t>
        </is>
      </c>
      <c r="J893" t="inlineStr"/>
      <c r="K893" t="inlineStr"/>
      <c r="L893" t="inlineStr"/>
      <c r="M893" t="inlineStr"/>
      <c r="N893" t="inlineStr"/>
      <c r="O893">
        <f>(1-Summary!$B$11)*T893+Summary!$B$11*V893</f>
        <v/>
      </c>
      <c r="P893">
        <f>IF(B914=0,0,O893/B914)</f>
        <v/>
      </c>
      <c r="Q893" t="n">
        <v>0</v>
      </c>
      <c r="R893" t="n">
        <v>0</v>
      </c>
      <c r="S893">
        <f>IFERROR(O893/N893,0)</f>
        <v/>
      </c>
      <c r="T893" t="n">
        <v>0</v>
      </c>
      <c r="V893" t="n">
        <v>0</v>
      </c>
    </row>
    <row r="894">
      <c r="A894">
        <f>Skills!A24</f>
        <v/>
      </c>
      <c r="B894">
        <f>Skills!B24</f>
        <v/>
      </c>
      <c r="C894">
        <f>Inputs!$B$3&gt;=38</f>
        <v/>
      </c>
      <c r="D894">
        <f>IF(Skills!C24=1,60+Inputs!$B$25+Inputs!$B$29,IF(Skills!C24=2,90+(Inputs!$B$26+1)+Inputs!$B$29,IF(Skills!C24=3,120+Inputs!$B$27+Inputs!$B$29,MAX(0,(Inputs!$B$3-100)*3)+Inputs!$B$28+Inputs!$B$29)))</f>
        <v/>
      </c>
      <c r="E894">
        <f>INDEX(FactorTable!$B$2:$Y$301, MATCH(ROUND(MIN(300,MAX(1,D894)),0), FactorTable!$A$2:$A$301,0), Skills!M24+1)</f>
        <v/>
      </c>
      <c r="F894">
        <f>IF(Skills!N24=TRUE,(Skills!L24/10)*(E894/1000),Skills!L24/10)+Skills!O24</f>
        <v/>
      </c>
      <c r="G894">
        <f>Skills!G24*IF(Skills!H24&gt;0,Skills!I24/Skills!H24,1)</f>
        <v/>
      </c>
      <c r="H894">
        <f>1-(1-Skills!J24/100)^Skills!K24</f>
        <v/>
      </c>
      <c r="I894" t="inlineStr">
        <is>
          <t>1</t>
        </is>
      </c>
      <c r="J894" t="inlineStr"/>
      <c r="K894" t="inlineStr"/>
      <c r="L894" t="inlineStr"/>
      <c r="M894" t="inlineStr"/>
      <c r="N894" t="inlineStr"/>
      <c r="O894">
        <f>(1-Summary!$B$11)*T894+Summary!$B$11*V894</f>
        <v/>
      </c>
      <c r="P894">
        <f>IF(B914=0,0,O894/B914)</f>
        <v/>
      </c>
      <c r="Q894" t="n">
        <v>0</v>
      </c>
      <c r="R894" t="n">
        <v>0</v>
      </c>
      <c r="S894">
        <f>IFERROR(O894/N894,0)</f>
        <v/>
      </c>
      <c r="T894" t="n">
        <v>0</v>
      </c>
      <c r="V894" t="n">
        <v>0</v>
      </c>
    </row>
    <row r="895">
      <c r="A895">
        <f>Skills!A25</f>
        <v/>
      </c>
      <c r="B895">
        <f>Skills!B25</f>
        <v/>
      </c>
      <c r="C895">
        <f>Inputs!$B$3&gt;=43</f>
        <v/>
      </c>
      <c r="D895">
        <f>IF(Skills!C25=1,60+Inputs!$B$25+Inputs!$B$29,IF(Skills!C25=2,90+(Inputs!$B$26+1)+Inputs!$B$29,IF(Skills!C25=3,120+Inputs!$B$27+Inputs!$B$29,MAX(0,(Inputs!$B$3-100)*3)+Inputs!$B$28+Inputs!$B$29)))</f>
        <v/>
      </c>
      <c r="E895">
        <f>INDEX(FactorTable!$B$2:$Y$301, MATCH(ROUND(MIN(300,MAX(1,D895)),0), FactorTable!$A$2:$A$301,0), Skills!M25+1)</f>
        <v/>
      </c>
      <c r="F895">
        <f>IF(Skills!N25=TRUE,(Skills!L25/10)*(E895/1000),Skills!L25/10)+Skills!O25</f>
        <v/>
      </c>
      <c r="G895">
        <f>Skills!G25*IF(Skills!H25&gt;0,Skills!I25/Skills!H25,1)</f>
        <v/>
      </c>
      <c r="H895">
        <f>1-(1-Skills!J25/100)^Skills!K25</f>
        <v/>
      </c>
      <c r="I895" t="inlineStr">
        <is>
          <t>1</t>
        </is>
      </c>
      <c r="J895" t="inlineStr"/>
      <c r="K895" t="inlineStr"/>
      <c r="L895" t="inlineStr"/>
      <c r="M895" t="inlineStr"/>
      <c r="N895" t="inlineStr"/>
      <c r="O895">
        <f>(1-Summary!$B$11)*T895+Summary!$B$11*V895</f>
        <v/>
      </c>
      <c r="P895">
        <f>IF(B914=0,0,O895/B914)</f>
        <v/>
      </c>
      <c r="Q895" t="n">
        <v>0</v>
      </c>
      <c r="R895" t="n">
        <v>0</v>
      </c>
      <c r="S895">
        <f>IFERROR(O895/N895,0)</f>
        <v/>
      </c>
      <c r="T895" t="n">
        <v>0</v>
      </c>
      <c r="V895" t="n">
        <v>0</v>
      </c>
    </row>
    <row r="896">
      <c r="A896">
        <f>Skills!A26</f>
        <v/>
      </c>
      <c r="B896">
        <f>Skills!B26</f>
        <v/>
      </c>
      <c r="C896">
        <f>Inputs!$B$3&gt;=75</f>
        <v/>
      </c>
      <c r="D896">
        <f>IF(Skills!C26=1,60+Inputs!$B$25+Inputs!$B$29,IF(Skills!C26=2,90+(Inputs!$B$26+1)+Inputs!$B$29,IF(Skills!C26=3,120+Inputs!$B$27+Inputs!$B$29,MAX(0,(Inputs!$B$3-100)*3)+Inputs!$B$28+Inputs!$B$29)))</f>
        <v/>
      </c>
      <c r="E896">
        <f>INDEX(FactorTable!$B$2:$Y$301, MATCH(ROUND(MIN(300,MAX(1,D896)),0), FactorTable!$A$2:$A$301,0), Skills!M26+1)</f>
        <v/>
      </c>
      <c r="F896">
        <f>IF(Skills!N26=TRUE,(Skills!L26/10)*(E896/1000),Skills!L26/10)+Skills!O26</f>
        <v/>
      </c>
      <c r="G896">
        <f>Skills!G26*IF(Skills!H26&gt;0,Skills!I26/Skills!H26,1)</f>
        <v/>
      </c>
      <c r="H896">
        <f>1-(1-Skills!J26/100)^Skills!K26</f>
        <v/>
      </c>
      <c r="I896" t="inlineStr">
        <is>
          <t>1</t>
        </is>
      </c>
      <c r="J896" t="inlineStr"/>
      <c r="K896" t="inlineStr"/>
      <c r="L896" t="inlineStr"/>
      <c r="M896" t="inlineStr"/>
      <c r="N896" t="inlineStr"/>
      <c r="O896">
        <f>(1-Summary!$B$11)*T896+Summary!$B$11*V896</f>
        <v/>
      </c>
      <c r="P896">
        <f>IF(B914=0,0,O896/B914)</f>
        <v/>
      </c>
      <c r="Q896" t="n">
        <v>0</v>
      </c>
      <c r="R896" t="n">
        <v>0</v>
      </c>
      <c r="S896">
        <f>IFERROR(O896/N896,0)</f>
        <v/>
      </c>
      <c r="T896" t="n">
        <v>0</v>
      </c>
      <c r="V896" t="n">
        <v>0</v>
      </c>
    </row>
    <row r="897">
      <c r="A897">
        <f>Skills!A27</f>
        <v/>
      </c>
      <c r="B897">
        <f>Skills!B27</f>
        <v/>
      </c>
      <c r="C897">
        <f>Inputs!$B$3&gt;=125</f>
        <v/>
      </c>
      <c r="D897">
        <f>IF(Skills!C27=1,60+Inputs!$B$25+Inputs!$B$29,IF(Skills!C27=2,90+(Inputs!$B$26+1)+Inputs!$B$29,IF(Skills!C27=3,120+Inputs!$B$27+Inputs!$B$29,MAX(0,(Inputs!$B$3-100)*3)+Inputs!$B$28+Inputs!$B$29)))</f>
        <v/>
      </c>
      <c r="E897">
        <f>INDEX(FactorTable!$B$2:$Y$301, MATCH(ROUND(MIN(300,MAX(1,D897)),0), FactorTable!$A$2:$A$301,0), Skills!M27+1)</f>
        <v/>
      </c>
      <c r="F897">
        <f>IF(Skills!N27=TRUE,(Skills!L27/10)*(E897/1000),Skills!L27/10)+Skills!O27</f>
        <v/>
      </c>
      <c r="G897">
        <f>Skills!G27*IF(Skills!H27&gt;0,Skills!I27/Skills!H27,1)</f>
        <v/>
      </c>
      <c r="H897">
        <f>1-(1-Skills!J27/100)^Skills!K27</f>
        <v/>
      </c>
      <c r="I897" t="inlineStr">
        <is>
          <t>1</t>
        </is>
      </c>
      <c r="J897" t="inlineStr"/>
      <c r="K897" t="inlineStr"/>
      <c r="L897" t="inlineStr"/>
      <c r="M897" t="inlineStr"/>
      <c r="N897" t="inlineStr"/>
      <c r="O897">
        <f>(1-Summary!$B$11)*T897+Summary!$B$11*V897</f>
        <v/>
      </c>
      <c r="P897">
        <f>IF(B914=0,0,O897/B914)</f>
        <v/>
      </c>
      <c r="Q897" t="n">
        <v>0</v>
      </c>
      <c r="R897" t="n">
        <v>0</v>
      </c>
      <c r="S897">
        <f>IFERROR(O897/N897,0)</f>
        <v/>
      </c>
      <c r="T897" t="n">
        <v>0</v>
      </c>
      <c r="V897" t="n">
        <v>0</v>
      </c>
    </row>
    <row r="898">
      <c r="A898">
        <f>Skills!A28</f>
        <v/>
      </c>
      <c r="B898">
        <f>Skills!B28</f>
        <v/>
      </c>
      <c r="C898">
        <f>Inputs!$B$3&gt;=125</f>
        <v/>
      </c>
      <c r="D898">
        <f>IF(Skills!C28=1,60+Inputs!$B$25+Inputs!$B$29,IF(Skills!C28=2,90+(Inputs!$B$26+1)+Inputs!$B$29,IF(Skills!C28=3,120+Inputs!$B$27+Inputs!$B$29,MAX(0,(Inputs!$B$3-100)*3)+Inputs!$B$28+Inputs!$B$29)))</f>
        <v/>
      </c>
      <c r="E898">
        <f>INDEX(FactorTable!$B$2:$Y$301, MATCH(ROUND(MIN(300,MAX(1,D898)),0), FactorTable!$A$2:$A$301,0), Skills!M28+1)</f>
        <v/>
      </c>
      <c r="F898">
        <f>IF(Skills!N28=TRUE,(Skills!L28/10)*(E898/1000),Skills!L28/10)+Skills!O28</f>
        <v/>
      </c>
      <c r="G898">
        <f>Skills!G28*IF(Skills!H28&gt;0,Skills!I28/Skills!H28,1)</f>
        <v/>
      </c>
      <c r="H898">
        <f>1-(1-Skills!J28/100)^Skills!K28</f>
        <v/>
      </c>
      <c r="I898" t="inlineStr">
        <is>
          <t>1</t>
        </is>
      </c>
      <c r="J898" t="inlineStr"/>
      <c r="K898" t="inlineStr"/>
      <c r="L898" t="inlineStr"/>
      <c r="M898" t="inlineStr"/>
      <c r="N898" t="inlineStr"/>
      <c r="O898">
        <f>(1-Summary!$B$11)*T898+Summary!$B$11*V898</f>
        <v/>
      </c>
      <c r="P898">
        <f>IF(B914=0,0,O898/B914)</f>
        <v/>
      </c>
      <c r="Q898" t="n">
        <v>0</v>
      </c>
      <c r="R898" t="n">
        <v>0</v>
      </c>
      <c r="S898">
        <f>IFERROR(O898/N898,0)</f>
        <v/>
      </c>
      <c r="T898" t="n">
        <v>0</v>
      </c>
      <c r="V898" t="n">
        <v>0</v>
      </c>
    </row>
    <row r="899">
      <c r="A899">
        <f>Skills!A29</f>
        <v/>
      </c>
      <c r="B899">
        <f>Skills!B29</f>
        <v/>
      </c>
      <c r="C899">
        <f>Inputs!$B$3&gt;=120</f>
        <v/>
      </c>
      <c r="D899">
        <f>IF(Skills!C29=1,60+Inputs!$B$25+Inputs!$B$29,IF(Skills!C29=2,90+(Inputs!$B$26+1)+Inputs!$B$29,IF(Skills!C29=3,120+Inputs!$B$27+Inputs!$B$29,MAX(0,(Inputs!$B$3-100)*3)+Inputs!$B$28+Inputs!$B$29)))</f>
        <v/>
      </c>
      <c r="E899">
        <f>INDEX(FactorTable!$B$2:$Y$301, MATCH(ROUND(MIN(300,MAX(1,D899)),0), FactorTable!$A$2:$A$301,0), Skills!M29+1)</f>
        <v/>
      </c>
      <c r="F899">
        <f>IF(Skills!N29=TRUE,(Skills!L29/10)*(E899/1000),Skills!L29/10)+Skills!O29</f>
        <v/>
      </c>
      <c r="G899">
        <f>Skills!G29*IF(Skills!H29&gt;0,Skills!I29/Skills!H29,1)</f>
        <v/>
      </c>
      <c r="H899">
        <f>1-(1-Skills!J29/100)^Skills!K29</f>
        <v/>
      </c>
      <c r="I899" t="inlineStr">
        <is>
          <t>1</t>
        </is>
      </c>
      <c r="J899" t="inlineStr"/>
      <c r="K899" t="inlineStr"/>
      <c r="L899" t="inlineStr"/>
      <c r="M899" t="inlineStr"/>
      <c r="N899" t="inlineStr"/>
      <c r="O899">
        <f>(1-Summary!$B$11)*T899+Summary!$B$11*V899</f>
        <v/>
      </c>
      <c r="P899">
        <f>IF(B914=0,0,O899/B914)</f>
        <v/>
      </c>
      <c r="Q899" t="n">
        <v>0</v>
      </c>
      <c r="R899" t="n">
        <v>0</v>
      </c>
      <c r="S899">
        <f>IFERROR(O899/N899,0)</f>
        <v/>
      </c>
      <c r="T899" t="n">
        <v>0</v>
      </c>
      <c r="V899" t="n">
        <v>0</v>
      </c>
    </row>
    <row r="900">
      <c r="A900">
        <f>Skills!A30</f>
        <v/>
      </c>
      <c r="B900">
        <f>Skills!B30</f>
        <v/>
      </c>
      <c r="C900">
        <f>Inputs!$B$3&gt;=120</f>
        <v/>
      </c>
      <c r="D900">
        <f>IF(Skills!C30=1,60+Inputs!$B$25+Inputs!$B$29,IF(Skills!C30=2,90+(Inputs!$B$26+1)+Inputs!$B$29,IF(Skills!C30=3,120+Inputs!$B$27+Inputs!$B$29,MAX(0,(Inputs!$B$3-100)*3)+Inputs!$B$28+Inputs!$B$29)))</f>
        <v/>
      </c>
      <c r="E900">
        <f>INDEX(FactorTable!$B$2:$Y$301, MATCH(ROUND(MIN(300,MAX(1,D900)),0), FactorTable!$A$2:$A$301,0), Skills!M30+1)</f>
        <v/>
      </c>
      <c r="F900">
        <f>IF(Skills!N30=TRUE,(Skills!L30/10)*(E900/1000),Skills!L30/10)+Skills!O30</f>
        <v/>
      </c>
      <c r="G900">
        <f>Skills!G30*IF(Skills!H30&gt;0,Skills!I30/Skills!H30,1)</f>
        <v/>
      </c>
      <c r="H900">
        <f>1-(1-Skills!J30/100)^Skills!K30</f>
        <v/>
      </c>
      <c r="I900" t="inlineStr">
        <is>
          <t>1</t>
        </is>
      </c>
      <c r="J900" t="inlineStr"/>
      <c r="K900" t="inlineStr"/>
      <c r="L900" t="inlineStr"/>
      <c r="M900" t="inlineStr"/>
      <c r="N900" t="inlineStr"/>
      <c r="O900">
        <f>(1-Summary!$B$11)*T900+Summary!$B$11*V900</f>
        <v/>
      </c>
      <c r="P900">
        <f>IF(B914=0,0,O900/B914)</f>
        <v/>
      </c>
      <c r="Q900" t="n">
        <v>0</v>
      </c>
      <c r="R900" t="n">
        <v>0</v>
      </c>
      <c r="S900">
        <f>IFERROR(O900/N900,0)</f>
        <v/>
      </c>
      <c r="T900" t="n">
        <v>0</v>
      </c>
      <c r="V900" t="n">
        <v>0</v>
      </c>
    </row>
    <row r="901">
      <c r="A901">
        <f>Skills!A31</f>
        <v/>
      </c>
      <c r="B901">
        <f>Skills!B31</f>
        <v/>
      </c>
      <c r="C901">
        <f>Inputs!$B$3&gt;=45</f>
        <v/>
      </c>
      <c r="D901">
        <f>IF(Skills!C31=1,60+Inputs!$B$25+Inputs!$B$29,IF(Skills!C31=2,90+(Inputs!$B$26+1)+Inputs!$B$29,IF(Skills!C31=3,120+Inputs!$B$27+Inputs!$B$29,MAX(0,(Inputs!$B$3-100)*3)+Inputs!$B$28+Inputs!$B$29)))</f>
        <v/>
      </c>
      <c r="E901">
        <f>INDEX(FactorTable!$B$2:$Y$301, MATCH(ROUND(MIN(300,MAX(1,D901)),0), FactorTable!$A$2:$A$301,0), Skills!M31+1)</f>
        <v/>
      </c>
      <c r="F901">
        <f>IF(Skills!N31=TRUE,(Skills!L31/10)*(E901/1000),Skills!L31/10)+Skills!O31</f>
        <v/>
      </c>
      <c r="G901">
        <f>Skills!G31*IF(Skills!H31&gt;0,Skills!I31/Skills!H31,1)</f>
        <v/>
      </c>
      <c r="H901">
        <f>1-(1-Skills!J31/100)^Skills!K31</f>
        <v/>
      </c>
      <c r="I901" t="inlineStr">
        <is>
          <t>1</t>
        </is>
      </c>
      <c r="J901" t="inlineStr"/>
      <c r="K901" t="inlineStr"/>
      <c r="L901" t="inlineStr"/>
      <c r="M901" t="inlineStr"/>
      <c r="N901" t="inlineStr"/>
      <c r="O901">
        <f>(1-Summary!$B$11)*T901+Summary!$B$11*V901</f>
        <v/>
      </c>
      <c r="P901">
        <f>IF(B914=0,0,O901/B914)</f>
        <v/>
      </c>
      <c r="Q901" t="n">
        <v>0</v>
      </c>
      <c r="R901" t="n">
        <v>0</v>
      </c>
      <c r="S901">
        <f>IFERROR(O901/N901,0)</f>
        <v/>
      </c>
      <c r="T901" t="n">
        <v>0</v>
      </c>
      <c r="V901" t="n">
        <v>0</v>
      </c>
    </row>
    <row r="903">
      <c r="A903" t="inlineStr">
        <is>
          <t>Attack% Bucket Multiplier</t>
        </is>
      </c>
      <c r="B903">
        <f>(1+(((C884=TRUE)*F884)+((C885=TRUE)*IF(Inputs!$B$38="pvp",F885,(1-Summary!$B$11)*(F885)+Summary!$B$11*(0)))+((C886=TRUE)*F886*IF(AND(Inputs!$B$38&lt;&gt;"pvp",Inputs!$B$43&gt;0),(((R886-1)*(Skills!T16*(1+Inputs!$B$34/100))+MIN((Skills!T16*(1+Inputs!$B$34/100)),MAX(0,Inputs!$B$43-((R886-1)*Skills!D16))))/Inputs!$B$43),IF(Inputs!$B$38="pvp",MIN((Skills!T16*(1+Inputs!$B$34/100)),15)/15,(Skills!T16*(1+Inputs!$B$34/100))/Skills!D16)))+((C901=TRUE)*(F901-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04">
      <c r="A904" t="inlineStr">
        <is>
          <t>Global Crit Rate Bonus %</t>
        </is>
      </c>
      <c r="B904">
        <f>(C887=TRUE)*20*IF(AND(Inputs!$B$38&lt;&gt;"pvp",Inputs!$B$43&gt;0),(((R887-1)*(Skills!T17*(1+Inputs!$B$34/100))+MIN((Skills!T17*(1+Inputs!$B$34/100)),MAX(0,Inputs!$B$43-((R887-1)*Skills!D17))))/Inputs!$B$43),IF(Inputs!$B$38="pvp",MIN((Skills!T17*(1+Inputs!$B$34/100)),15)/15,(Skills!T17*(1+Inputs!$B$34/100))/Skills!D17))</f>
        <v/>
      </c>
    </row>
    <row r="905">
      <c r="A905" t="inlineStr">
        <is>
          <t>Attack Speed Buff Bonus %</t>
        </is>
      </c>
      <c r="B905">
        <f>((C890=TRUE)*F890*IF(AND(Inputs!$B$38&lt;&gt;"pvp",Inputs!$B$43&gt;0),(((R890-1)*(Skills!T20*(1+Inputs!$B$34/100))+MIN((Skills!T20*(1+Inputs!$B$34/100)),MAX(0,Inputs!$B$43-((R890-1)*Skills!D20))))/Inputs!$B$43),IF(Inputs!$B$38="pvp",MIN((Skills!T20*(1+Inputs!$B$34/100)),15)/15,(Skills!T20*(1+Inputs!$B$34/100))/Skills!D20)))</f>
        <v/>
      </c>
    </row>
    <row r="906">
      <c r="A906" t="inlineStr">
        <is>
          <t>Actions Per Second</t>
        </is>
      </c>
      <c r="B906">
        <f>1+MIN(150,150*(1-(1-(Inputs!$B$11+((C892=TRUE)*(F892-Calc!F22))+((C893=TRUE)*(F893-Calc!F23)))/150)*(1-B905/150)))/100</f>
        <v/>
      </c>
    </row>
    <row r="907">
      <c r="A907" t="inlineStr">
        <is>
          <t>Skill + Buff Cast Rate</t>
        </is>
      </c>
      <c r="B907">
        <f>IF(AND(Inputs!$B$38&lt;&gt;"pvp",Inputs!$B$43&gt;0),SUMPRODUCT((Skills!E2:E31=TRUE)*(C872:C901=TRUE)*R872:R901*Skills!F2:F31)/Inputs!$B$43,SUMPRODUCT((Skills!E2:E31=TRUE)*(C872:C901=TRUE)*Q872:Q901*Skills!F2:F31))</f>
        <v/>
      </c>
    </row>
    <row r="908">
      <c r="A908" t="inlineStr">
        <is>
          <t>Arrow Stream Casts Per Second</t>
        </is>
      </c>
      <c r="B908">
        <f>MAX(0,B906-B907)</f>
        <v/>
      </c>
    </row>
    <row r="909">
      <c r="A909" t="inlineStr">
        <is>
          <t>Global Critical Damage Bonus % (Sharp Eyes + Concentration)</t>
        </is>
      </c>
      <c r="B909">
        <f>(C887=TRUE)*F887*IF(AND(Inputs!$B$38&lt;&gt;"pvp",Inputs!$B$43&gt;0),(((R887-1)*(Skills!T17*(1+Inputs!$B$34/100))+MIN((Skills!T17*(1+Inputs!$B$34/100)),MAX(0,Inputs!$B$43-((R887-1)*Skills!D17))))/Inputs!$B$43),IF(Inputs!$B$38="pvp",MIN((Skills!T17*(1+Inputs!$B$34/100)),15)/15,(Skills!T17*(1+Inputs!$B$34/100))/Skills!D17))+(C888=TRUE)*30</f>
        <v/>
      </c>
    </row>
    <row r="910">
      <c r="A910" t="inlineStr">
        <is>
          <t>Global Final Damage Bonus % (Mortal Blow)</t>
        </is>
      </c>
      <c r="B910">
        <f>(C889=TRUE)*F889</f>
        <v/>
      </c>
    </row>
    <row r="911">
      <c r="A911" t="inlineStr">
        <is>
          <t>Buff-Casting Startup Delay (s, fixed-duration only)</t>
        </is>
      </c>
      <c r="B911">
        <f>IF(AND(Inputs!$B$38&lt;&gt;"pvp",Inputs!$B$43&gt;0),SUMPRODUCT((Skills!T2:T31&gt;0)*(Skills!E2:E31=TRUE)*(C872:C901=TRUE))/B906,0)</f>
        <v/>
      </c>
    </row>
    <row r="912">
      <c r="A912" t="inlineStr">
        <is>
          <t>Boss-Only Total DPS (this block's swept value)</t>
        </is>
      </c>
      <c r="B912">
        <f>SUM(T872:T901)</f>
        <v/>
      </c>
    </row>
    <row r="913">
      <c r="A913" t="inlineStr">
        <is>
          <t>Normal-Only Total DPS (this block's swept value)</t>
        </is>
      </c>
      <c r="B913">
        <f>SUM(V872:V901)</f>
        <v/>
      </c>
    </row>
    <row r="914">
      <c r="A914" s="6" t="inlineStr">
        <is>
          <t>TOTAL DPS</t>
        </is>
      </c>
      <c r="B914" s="6">
        <f>SUM(O872:O901)</f>
        <v/>
      </c>
    </row>
    <row r="917">
      <c r="A917" s="6" t="inlineStr">
        <is>
          <t>Stat: Skill Level Bonus — 3rd Job</t>
        </is>
      </c>
    </row>
    <row r="918">
      <c r="A918" s="5" t="inlineStr">
        <is>
          <t>Key</t>
        </is>
      </c>
      <c r="B918" s="5" t="inlineStr">
        <is>
          <t>Name</t>
        </is>
      </c>
      <c r="C918" s="5" t="inlineStr">
        <is>
          <t>Unlocked</t>
        </is>
      </c>
      <c r="D918" s="5" t="inlineStr">
        <is>
          <t>InputLevel</t>
        </is>
      </c>
      <c r="E918" s="5" t="inlineStr">
        <is>
          <t>Factor</t>
        </is>
      </c>
      <c r="F918" s="5" t="inlineStr">
        <is>
          <t>CoefficientPercent</t>
        </is>
      </c>
      <c r="G918" s="5" t="inlineStr">
        <is>
          <t>EffectiveHits</t>
        </is>
      </c>
      <c r="H918" s="5" t="inlineStr">
        <is>
          <t>ProcProbability</t>
        </is>
      </c>
      <c r="I918" s="5" t="inlineStr">
        <is>
          <t>MapleHeroMultiplier</t>
        </is>
      </c>
      <c r="J918" s="5" t="inlineStr">
        <is>
          <t>BaseDamage</t>
        </is>
      </c>
      <c r="K918" s="5" t="inlineStr">
        <is>
          <t>BaseHitDamage</t>
        </is>
      </c>
      <c r="L918" s="5" t="inlineStr">
        <is>
          <t>NonCritAvg</t>
        </is>
      </c>
      <c r="M918" s="5" t="inlineStr">
        <is>
          <t>CritAvg</t>
        </is>
      </c>
      <c r="N918" s="5" t="inlineStr">
        <is>
          <t>ExpectedDamage(perHit)</t>
        </is>
      </c>
      <c r="O918" s="5" t="inlineStr">
        <is>
          <t>DPS</t>
        </is>
      </c>
      <c r="P918" s="5" t="inlineStr">
        <is>
          <t>% of Total</t>
        </is>
      </c>
      <c r="Q918" s="5" t="inlineStr">
        <is>
          <t>InvCooldown</t>
        </is>
      </c>
      <c r="R918" s="5" t="inlineStr">
        <is>
          <t>CastsInFight</t>
        </is>
      </c>
      <c r="S918" s="5" t="inlineStr">
        <is>
          <t>HitRate(perSec)</t>
        </is>
      </c>
      <c r="U918" t="inlineStr">
        <is>
          <t>helpers</t>
        </is>
      </c>
    </row>
    <row r="919">
      <c r="A919">
        <f>Skills!A2</f>
        <v/>
      </c>
      <c r="B919">
        <f>Skills!B2</f>
        <v/>
      </c>
      <c r="C919">
        <f>Inputs!$B$3&gt;=100</f>
        <v/>
      </c>
      <c r="D919" t="inlineStr"/>
      <c r="E919" t="inlineStr"/>
      <c r="F919">
        <f>U921+Skills!O2</f>
        <v/>
      </c>
      <c r="G919">
        <f>Skills!G2*IF(Skills!H2&gt;0,Skills!I2/Skills!H2,1)</f>
        <v/>
      </c>
      <c r="H919">
        <f>1-(1-Skills!J2/100)^Skills!K2</f>
        <v/>
      </c>
      <c r="I919" t="inlineStr">
        <is>
          <t>1</t>
        </is>
      </c>
      <c r="J919">
        <f>((Inputs!$B$6*(1+Inputs!$B$7/100))+(((Inputs!$B$12*(1+Inputs!$B$13/100))-(Inputs!$B$12*(1+Inputs!$B$13/100)))+0.25*(Inputs!$B$14-Inputs!$B$14))*(1+Inputs!$B$7/100))*(F919/100)</f>
        <v/>
      </c>
      <c r="K919">
        <f>J919*(1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919)</f>
        <v/>
      </c>
      <c r="L919">
        <f>K919*(MIN(Inputs!$B$22+((C942=TRUE)*(F942-Calc!F25)),(Inputs!$B$23+((C947=TRUE)*(F947-Calc!F30))+(IF(ArtifactsInput!$M$15,CHOOSE(ArtifactsInput!$N$15+1,25,30,35,40,45,50)/100*(Inputs!$B$11-Inputs!$B$11),0))))/100+(Inputs!$B$23+((C947=TRUE)*(F947-Calc!F30))+(IF(ArtifactsInput!$M$15,CHOOSE(ArtifactsInput!$N$15+1,25,30,35,40,45,50)/100*(Inputs!$B$11-Inputs!$B$11),0)))/100)/2</f>
        <v/>
      </c>
      <c r="M919">
        <f>L919*(1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9">
        <f>L919*(1-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919*(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9">
        <f>(1-Summary!$B$11)*T919+Summary!$B$11*V919</f>
        <v/>
      </c>
      <c r="P919">
        <f>IF(B961=0,0,O919/B961)</f>
        <v/>
      </c>
      <c r="Q919" t="n">
        <v>0</v>
      </c>
      <c r="R919" t="n">
        <v>0</v>
      </c>
      <c r="S919">
        <f>IFERROR(O919/N919,0)</f>
        <v/>
      </c>
      <c r="T919">
        <f>IF(C919,(Skills!G2*N919*B955)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919*(1-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919*(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919*(1-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919*(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9">
        <f>MAX(0,(Inputs!$B$3-100)*3)+Inputs!$B$28+Inputs!$B$29</f>
        <v/>
      </c>
      <c r="V919">
        <f>IF(C919,(Skills!G2*N919*B955)*IF(Inputs!$B$38="pvp",1,(1+(Inputs!$B$21+Skills!Q2+(IF(ArtifactsInput!$M$33,CHOOSE(ArtifactsInput!$N$33+1,30,36,42,48,54,60),0))+(IF(AND(ArtifactsInput!$M$35,Inputs!$B$4&lt;&gt;"Chapter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0">
      <c r="A920">
        <f>Skills!A3</f>
        <v/>
      </c>
      <c r="B920">
        <f>Skills!B3</f>
        <v/>
      </c>
      <c r="C920">
        <f>Inputs!$B$3&gt;=50</f>
        <v/>
      </c>
      <c r="D920">
        <f>IF(Skills!C3=1,60+Inputs!$B$25+Inputs!$B$29,IF(Skills!C3=2,90+Inputs!$B$26+Inputs!$B$29,IF(Skills!C3=3,120+(Inputs!$B$27+1)+Inputs!$B$29,MAX(0,(Inputs!$B$3-100)*3)+Inputs!$B$28+Inputs!$B$29)))</f>
        <v/>
      </c>
      <c r="E920">
        <f>INDEX(FactorTable!$B$2:$Y$301, MATCH(ROUND(MIN(300,MAX(1,D920)),0), FactorTable!$A$2:$A$301,0), Skills!M3+1)</f>
        <v/>
      </c>
      <c r="F920">
        <f>IF(Skills!N3=TRUE,(Skills!L3/10)*(E920/1000),Skills!L3/10)+Skills!O3</f>
        <v/>
      </c>
      <c r="G920">
        <f>Skills!G3*IF(Skills!H3&gt;0,Skills!I3/Skills!H3,1)</f>
        <v/>
      </c>
      <c r="H920">
        <f>1-(1-Skills!J3/100)^Skills!K3</f>
        <v/>
      </c>
      <c r="I920" t="inlineStr">
        <is>
          <t>1</t>
        </is>
      </c>
      <c r="J920">
        <f>((Inputs!$B$6*(1+Inputs!$B$7/100))+(((Inputs!$B$12*(1+Inputs!$B$13/100))-(Inputs!$B$12*(1+Inputs!$B$13/100)))+0.25*(Inputs!$B$14-Inputs!$B$14))*(1+Inputs!$B$7/100))*(F920/100)</f>
        <v/>
      </c>
      <c r="K920">
        <f>J920*(1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921=TRUE,F921,0)/100)*(1+(IF(Skills!A3="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920)</f>
        <v/>
      </c>
      <c r="L920">
        <f>K920*(MIN(Inputs!$B$22+((C942=TRUE)*(F942-Calc!F25)),(Inputs!$B$23+((C947=TRUE)*(F947-Calc!F30))+(IF(ArtifactsInput!$M$15,CHOOSE(ArtifactsInput!$N$15+1,25,30,35,40,45,50)/100*(Inputs!$B$11-Inputs!$B$11),0))))/100+(Inputs!$B$23+((C947=TRUE)*(F947-Calc!F30))+(IF(ArtifactsInput!$M$15,CHOOSE(ArtifactsInput!$N$15+1,25,30,35,40,45,50)/100*(Inputs!$B$11-Inputs!$B$11),0)))/100)/2</f>
        <v/>
      </c>
      <c r="M920">
        <f>L920*(1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0">
        <f>L920*(1-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920*(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0">
        <f>(1-Summary!$B$11)*T920+Summary!$B$11*V920</f>
        <v/>
      </c>
      <c r="P920">
        <f>IF(B961=0,0,O920/B961)</f>
        <v/>
      </c>
      <c r="Q920">
        <f>IFERROR(1/(IF(Inputs!$B$38="pvp",15,MAX(0.1,Skills!D3-IF(Skills!E3=TRUE,Inputs!$B$32,0)))*(1-IF(AND(ArtifactsInput!$M$27,Inputs!$B$4="Chapter Hunt"),CHOOSE(ArtifactsInput!$N$27+1,20,24,28,32,36,40),0)/100)),0)</f>
        <v/>
      </c>
      <c r="R920">
        <f>IF(AND(Inputs!$B$38&lt;&gt;"pvp",Inputs!$B$43&gt;0),IF(MAX(0,Inputs!$B$43-B958)&lt;=0,0,(INT(MAX(0,Inputs!$B$43-B958)/(IF(Inputs!$B$38="pvp",15,MAX(0.1,Skills!D3-IF(Skills!E3=TRUE,Inputs!$B$32,0)))*(1-IF(AND(ArtifactsInput!$M$27,Inputs!$B$4="Chapter Hunt"),CHOOSE(ArtifactsInput!$N$27+1,20,24,28,32,36,40),0)/100)))+1)),0)</f>
        <v/>
      </c>
      <c r="S920">
        <f>IFERROR(O920/N920,0)</f>
        <v/>
      </c>
      <c r="T920">
        <f>IF(C920,(H920*N920*IF(AND(Inputs!$B$38&lt;&gt;"pvp",Inputs!$B$43&gt;0),((Skills!G3*((R920-1)*IF(Skills!H3&gt;0,Skills!I3/Skills!H3,1)+IF(Skills!H3&gt;0,MIN(Skills!I3,MAX(0,MAX(0,Inputs!$B$43-B958)-((R920-1)*(IF(Inputs!$B$38="pvp",15,MAX(0.1,Skills!D3-IF(Skills!E3=TRUE,Inputs!$B$32,0)))*(1-IF(AND(ArtifactsInput!$M$27,Inputs!$B$4="Chapter Hunt"),CHOOSE(ArtifactsInput!$N$27+1,20,24,28,32,36,40),0)/100)))))/Skills!H3,1)))/Inputs!$B$43),G920*Q920)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920*(1-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920*(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920*(1-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920*(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0">
        <f>INDEX(FactorTable!$B$2:$Y$301, MATCH(ROUND(MIN(300,MAX(1,U919)),0), FactorTable!$A$2:$A$301,0), 22)</f>
        <v/>
      </c>
      <c r="V920">
        <f>IF(C920,(H920*N920*IF(AND(Inputs!$B$38&lt;&gt;"pvp",Inputs!$B$43&gt;0),((Skills!G3*((R920-1)*IF(Skills!H3&gt;0,Skills!I3/Skills!H3,1)+IF(Skills!H3&gt;0,MIN(Skills!I3,MAX(0,MAX(0,Inputs!$B$43-B958)-((R920-1)*(IF(Inputs!$B$38="pvp",15,MAX(0.1,Skills!D3-IF(Skills!E3=TRUE,Inputs!$B$32,0)))*(1-IF(AND(ArtifactsInput!$M$27,Inputs!$B$4="Chapter Hunt"),CHOOSE(ArtifactsInput!$N$27+1,20,24,28,32,36,40),0)/100)))))/Skills!H3,1)))/Inputs!$B$43),G920*Q920))*IF(Inputs!$B$38="pvp",1,(1+(Inputs!$B$21+Skills!Q3+(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1">
      <c r="A921">
        <f>Skills!A4</f>
        <v/>
      </c>
      <c r="B921">
        <f>Skills!B4</f>
        <v/>
      </c>
      <c r="C921">
        <f>Inputs!$B$3&gt;=105</f>
        <v/>
      </c>
      <c r="D921">
        <f>IF(Skills!C4=1,60+Inputs!$B$25+Inputs!$B$29,IF(Skills!C4=2,90+Inputs!$B$26+Inputs!$B$29,IF(Skills!C4=3,120+(Inputs!$B$27+1)+Inputs!$B$29,MAX(0,(Inputs!$B$3-100)*3)+Inputs!$B$28+Inputs!$B$29)))</f>
        <v/>
      </c>
      <c r="E921">
        <f>INDEX(FactorTable!$B$2:$Y$301, MATCH(ROUND(MIN(300,MAX(1,D921)),0), FactorTable!$A$2:$A$301,0), Skills!M4+1)</f>
        <v/>
      </c>
      <c r="F921">
        <f>IF(Skills!N4=TRUE,(Skills!L4/10)*(E921/1000),Skills!L4/10)+Skills!O4</f>
        <v/>
      </c>
      <c r="G921" t="inlineStr"/>
      <c r="H921" t="inlineStr"/>
      <c r="I921" t="inlineStr">
        <is>
          <t>1</t>
        </is>
      </c>
      <c r="J921" t="inlineStr"/>
      <c r="K921" t="inlineStr"/>
      <c r="L921" t="inlineStr"/>
      <c r="M921" t="inlineStr"/>
      <c r="N921" t="inlineStr"/>
      <c r="O921" t="inlineStr"/>
      <c r="P921" t="inlineStr"/>
      <c r="Q921" t="inlineStr"/>
      <c r="R921" t="inlineStr"/>
      <c r="S921" t="inlineStr"/>
      <c r="T921" t="inlineStr"/>
      <c r="U921">
        <f>290*U920/1000</f>
        <v/>
      </c>
      <c r="V921" t="inlineStr"/>
    </row>
    <row r="922">
      <c r="A922">
        <f>Skills!A5</f>
        <v/>
      </c>
      <c r="B922">
        <f>Skills!B5</f>
        <v/>
      </c>
      <c r="C922">
        <f>Inputs!$B$3&gt;=35</f>
        <v/>
      </c>
      <c r="D922">
        <f>IF(Skills!C5=1,60+Inputs!$B$25+Inputs!$B$29,IF(Skills!C5=2,90+Inputs!$B$26+Inputs!$B$29,IF(Skills!C5=3,120+(Inputs!$B$27+1)+Inputs!$B$29,MAX(0,(Inputs!$B$3-100)*3)+Inputs!$B$28+Inputs!$B$29)))</f>
        <v/>
      </c>
      <c r="E922">
        <f>INDEX(FactorTable!$B$2:$Y$301, MATCH(ROUND(MIN(300,MAX(1,D922)),0), FactorTable!$A$2:$A$301,0), Skills!M5+1)</f>
        <v/>
      </c>
      <c r="F922">
        <f>IF(Skills!N5=TRUE,(Skills!L5/10)*(E922/1000),Skills!L5/10)+Skills!O5</f>
        <v/>
      </c>
      <c r="G922">
        <f>Skills!G5*IF(Skills!H5&gt;0,Skills!I5/Skills!H5,1)</f>
        <v/>
      </c>
      <c r="H922">
        <f>1-(1-Skills!J5/100)^Skills!K5</f>
        <v/>
      </c>
      <c r="I922" t="inlineStr">
        <is>
          <t>1</t>
        </is>
      </c>
      <c r="J922">
        <f>((Inputs!$B$6*(1+Inputs!$B$7/100))+(((Inputs!$B$12*(1+Inputs!$B$13/100))-(Inputs!$B$12*(1+Inputs!$B$13/100)))+0.25*(Inputs!$B$14-Inputs!$B$14))*(1+Inputs!$B$7/100))*(F922/100)</f>
        <v/>
      </c>
      <c r="K922">
        <f>J922*(1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928=TRUE,F928,0)/100)*(1+(IF(Skills!A5="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922)</f>
        <v/>
      </c>
      <c r="L922">
        <f>K922*(MIN(Inputs!$B$22+((C942=TRUE)*(F942-Calc!F25)),(Inputs!$B$23+((C947=TRUE)*(F947-Calc!F30))+(IF(ArtifactsInput!$M$15,CHOOSE(ArtifactsInput!$N$15+1,25,30,35,40,45,50)/100*(Inputs!$B$11-Inputs!$B$11),0))))/100+(Inputs!$B$23+((C947=TRUE)*(F947-Calc!F30))+(IF(ArtifactsInput!$M$15,CHOOSE(ArtifactsInput!$N$15+1,25,30,35,40,45,50)/100*(Inputs!$B$11-Inputs!$B$11),0)))/100)/2</f>
        <v/>
      </c>
      <c r="M922">
        <f>L922*(1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2">
        <f>L922*(1-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922*(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2">
        <f>(1-Summary!$B$11)*T922+Summary!$B$11*V922</f>
        <v/>
      </c>
      <c r="P922">
        <f>IF(B961=0,0,O922/B961)</f>
        <v/>
      </c>
      <c r="Q922">
        <f>IFERROR(1/(IF(Inputs!$B$38="pvp",15,MAX(0.1,Skills!D5-IF(Skills!E5=TRUE,Inputs!$B$32,0)))*(1-IF(AND(ArtifactsInput!$M$27,Inputs!$B$4="Chapter Hunt"),CHOOSE(ArtifactsInput!$N$27+1,20,24,28,32,36,40),0)/100)),0)</f>
        <v/>
      </c>
      <c r="R922">
        <f>IF(AND(Inputs!$B$38&lt;&gt;"pvp",Inputs!$B$43&gt;0),IF(MAX(0,Inputs!$B$43-B958)&lt;=0,0,(INT(MAX(0,Inputs!$B$43-B958)/(IF(Inputs!$B$38="pvp",15,MAX(0.1,Skills!D5-IF(Skills!E5=TRUE,Inputs!$B$32,0)))*(1-IF(AND(ArtifactsInput!$M$27,Inputs!$B$4="Chapter Hunt"),CHOOSE(ArtifactsInput!$N$27+1,20,24,28,32,36,40),0)/100)))+1)),0)</f>
        <v/>
      </c>
      <c r="S922">
        <f>IFERROR(O922/N922,0)</f>
        <v/>
      </c>
      <c r="T922">
        <f>IF(C922,(H922*N922*IF(AND(Inputs!$B$38&lt;&gt;"pvp",Inputs!$B$43&gt;0),((Skills!G5*((R922-1)*IF(Skills!H5&gt;0,Skills!I5/Skills!H5,1)+IF(Skills!H5&gt;0,MIN(Skills!I5,MAX(0,MAX(0,Inputs!$B$43-B958)-((R922-1)*(IF(Inputs!$B$38="pvp",15,MAX(0.1,Skills!D5-IF(Skills!E5=TRUE,Inputs!$B$32,0)))*(1-IF(AND(ArtifactsInput!$M$27,Inputs!$B$4="Chapter Hunt"),CHOOSE(ArtifactsInput!$N$27+1,20,24,28,32,36,40),0)/100)))))/Skills!H5,1)))/Inputs!$B$43),G922*Q922)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922*(1-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922*(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922*(1-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922*(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2">
        <f>IF(C922,(H922*N922*IF(AND(Inputs!$B$38&lt;&gt;"pvp",Inputs!$B$43&gt;0),((Skills!G5*((R922-1)*IF(Skills!H5&gt;0,Skills!I5/Skills!H5,1)+IF(Skills!H5&gt;0,MIN(Skills!I5,MAX(0,MAX(0,Inputs!$B$43-B958)-((R922-1)*(IF(Inputs!$B$38="pvp",15,MAX(0.1,Skills!D5-IF(Skills!E5=TRUE,Inputs!$B$32,0)))*(1-IF(AND(ArtifactsInput!$M$27,Inputs!$B$4="Chapter Hunt"),CHOOSE(ArtifactsInput!$N$27+1,20,24,28,32,36,40),0)/100)))))/Skills!H5,1)))/Inputs!$B$43),G922*Q922))*IF(Inputs!$B$38="pvp",1,(1+(Inputs!$B$21+Skills!Q5+(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3">
      <c r="A923">
        <f>Skills!A6</f>
        <v/>
      </c>
      <c r="B923">
        <f>Skills!B6</f>
        <v/>
      </c>
      <c r="C923">
        <f>Inputs!$B$3&gt;=40</f>
        <v/>
      </c>
      <c r="D923">
        <f>IF(Skills!C6=1,60+Inputs!$B$25+Inputs!$B$29,IF(Skills!C6=2,90+Inputs!$B$26+Inputs!$B$29,IF(Skills!C6=3,120+(Inputs!$B$27+1)+Inputs!$B$29,MAX(0,(Inputs!$B$3-100)*3)+Inputs!$B$28+Inputs!$B$29)))</f>
        <v/>
      </c>
      <c r="E923">
        <f>INDEX(FactorTable!$B$2:$Y$301, MATCH(ROUND(MIN(300,MAX(1,D923)),0), FactorTable!$A$2:$A$301,0), Skills!M6+1)</f>
        <v/>
      </c>
      <c r="F923">
        <f>IF(Skills!N6=TRUE,(Skills!L6/10)*(E923/1000),Skills!L6/10)+Skills!O6</f>
        <v/>
      </c>
      <c r="G923">
        <f>Skills!G6*IF(Skills!H6&gt;0,Skills!I6/Skills!H6,1)</f>
        <v/>
      </c>
      <c r="H923">
        <f>1-(1-Skills!J6/100)^Skills!K6</f>
        <v/>
      </c>
      <c r="I923" t="inlineStr">
        <is>
          <t>1</t>
        </is>
      </c>
      <c r="J923">
        <f>((Inputs!$B$6*(1+Inputs!$B$7/100))+(((Inputs!$B$12*(1+Inputs!$B$13/100))-(Inputs!$B$12*(1+Inputs!$B$13/100)))+0.25*(Inputs!$B$14-Inputs!$B$14))*(1+Inputs!$B$7/100))*(F923/100)</f>
        <v/>
      </c>
      <c r="K923">
        <f>J923*(1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924=TRUE,F924,0)/100)*(1+(IF(Skills!A6="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923)</f>
        <v/>
      </c>
      <c r="L923">
        <f>K923*(MIN(Inputs!$B$22+((C942=TRUE)*(F942-Calc!F25)),(Inputs!$B$23+((C947=TRUE)*(F947-Calc!F30))+(IF(ArtifactsInput!$M$15,CHOOSE(ArtifactsInput!$N$15+1,25,30,35,40,45,50)/100*(Inputs!$B$11-Inputs!$B$11),0))))/100+(Inputs!$B$23+((C947=TRUE)*(F947-Calc!F30))+(IF(ArtifactsInput!$M$15,CHOOSE(ArtifactsInput!$N$15+1,25,30,35,40,45,50)/100*(Inputs!$B$11-Inputs!$B$11),0)))/100)/2</f>
        <v/>
      </c>
      <c r="M923">
        <f>L923*(1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3">
        <f>L923*(1-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923*(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3">
        <f>(1-Summary!$B$11)*T923+Summary!$B$11*V923</f>
        <v/>
      </c>
      <c r="P923">
        <f>IF(B961=0,0,O923/B961)</f>
        <v/>
      </c>
      <c r="Q923">
        <f>IFERROR(1/(IF(Inputs!$B$38="pvp",15,MAX(0.1,Skills!D6-IF(Skills!E6=TRUE,Inputs!$B$32,0)))*(1-IF(AND(ArtifactsInput!$M$27,Inputs!$B$4="Chapter Hunt"),CHOOSE(ArtifactsInput!$N$27+1,20,24,28,32,36,40),0)/100)),0)</f>
        <v/>
      </c>
      <c r="R923">
        <f>IF(AND(Inputs!$B$38&lt;&gt;"pvp",Inputs!$B$43&gt;0),IF(MAX(0,Inputs!$B$43-B958)&lt;=0,0,(INT(MAX(0,Inputs!$B$43-B958)/(IF(Inputs!$B$38="pvp",15,MAX(0.1,Skills!D6-IF(Skills!E6=TRUE,Inputs!$B$32,0)))*(1-IF(AND(ArtifactsInput!$M$27,Inputs!$B$4="Chapter Hunt"),CHOOSE(ArtifactsInput!$N$27+1,20,24,28,32,36,40),0)/100)))+1)),0)</f>
        <v/>
      </c>
      <c r="S923">
        <f>IFERROR(O923/N923,0)</f>
        <v/>
      </c>
      <c r="T923">
        <f>IF(C923,(H923*N923*IF(AND(Inputs!$B$38&lt;&gt;"pvp",Inputs!$B$43&gt;0),((Skills!G6*((R923-1)*IF(Skills!H6&gt;0,Skills!I6/Skills!H6,1)+IF(Skills!H6&gt;0,MIN(Skills!I6,MAX(0,MAX(0,Inputs!$B$43-B958)-((R923-1)*(IF(Inputs!$B$38="pvp",15,MAX(0.1,Skills!D6-IF(Skills!E6=TRUE,Inputs!$B$32,0)))*(1-IF(AND(ArtifactsInput!$M$27,Inputs!$B$4="Chapter Hunt"),CHOOSE(ArtifactsInput!$N$27+1,20,24,28,32,36,40),0)/100)))))/Skills!H6,1)))/Inputs!$B$43),G923*Q923)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923*(1-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923*(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923*(1-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923*(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3">
        <f>IF(C923,(H923*N923*IF(AND(Inputs!$B$38&lt;&gt;"pvp",Inputs!$B$43&gt;0),((Skills!G6*((R923-1)*IF(Skills!H6&gt;0,Skills!I6/Skills!H6,1)+IF(Skills!H6&gt;0,MIN(Skills!I6,MAX(0,MAX(0,Inputs!$B$43-B958)-((R923-1)*(IF(Inputs!$B$38="pvp",15,MAX(0.1,Skills!D6-IF(Skills!E6=TRUE,Inputs!$B$32,0)))*(1-IF(AND(ArtifactsInput!$M$27,Inputs!$B$4="Chapter Hunt"),CHOOSE(ArtifactsInput!$N$27+1,20,24,28,32,36,40),0)/100)))))/Skills!H6,1)))/Inputs!$B$43),G923*Q923))*IF(Inputs!$B$38="pvp",1,(1+(Inputs!$B$21+Skills!Q6+(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4">
      <c r="A924">
        <f>Skills!A7</f>
        <v/>
      </c>
      <c r="B924">
        <f>Skills!B7</f>
        <v/>
      </c>
      <c r="C924">
        <f>Inputs!$B$3&gt;=107</f>
        <v/>
      </c>
      <c r="D924">
        <f>IF(Skills!C7=1,60+Inputs!$B$25+Inputs!$B$29,IF(Skills!C7=2,90+Inputs!$B$26+Inputs!$B$29,IF(Skills!C7=3,120+(Inputs!$B$27+1)+Inputs!$B$29,MAX(0,(Inputs!$B$3-100)*3)+Inputs!$B$28+Inputs!$B$29)))</f>
        <v/>
      </c>
      <c r="E924">
        <f>INDEX(FactorTable!$B$2:$Y$301, MATCH(ROUND(MIN(300,MAX(1,D924)),0), FactorTable!$A$2:$A$301,0), Skills!M7+1)</f>
        <v/>
      </c>
      <c r="F924">
        <f>IF(Skills!N7=TRUE,(Skills!L7/10)*(E924/1000),Skills!L7/10)+Skills!O7</f>
        <v/>
      </c>
      <c r="G924" t="inlineStr"/>
      <c r="H924" t="inlineStr"/>
      <c r="I924" t="inlineStr">
        <is>
          <t>1</t>
        </is>
      </c>
      <c r="J924" t="inlineStr"/>
      <c r="K924" t="inlineStr"/>
      <c r="L924" t="inlineStr"/>
      <c r="M924" t="inlineStr"/>
      <c r="N924" t="inlineStr"/>
      <c r="O924" t="inlineStr"/>
      <c r="P924" t="inlineStr"/>
      <c r="Q924" t="inlineStr"/>
      <c r="R924" t="inlineStr"/>
      <c r="S924" t="inlineStr"/>
      <c r="T924" t="inlineStr"/>
      <c r="V924" t="inlineStr"/>
    </row>
    <row r="925">
      <c r="A925">
        <f>Skills!A8</f>
        <v/>
      </c>
      <c r="B925">
        <f>Skills!B8</f>
        <v/>
      </c>
      <c r="C925">
        <f>Inputs!$B$3&gt;=69</f>
        <v/>
      </c>
      <c r="D925">
        <f>IF(Skills!C8=1,60+Inputs!$B$25+Inputs!$B$29,IF(Skills!C8=2,90+Inputs!$B$26+Inputs!$B$29,IF(Skills!C8=3,120+(Inputs!$B$27+1)+Inputs!$B$29,MAX(0,(Inputs!$B$3-100)*3)+Inputs!$B$28+Inputs!$B$29)))</f>
        <v/>
      </c>
      <c r="E925">
        <f>INDEX(FactorTable!$B$2:$Y$301, MATCH(ROUND(MIN(300,MAX(1,D925)),0), FactorTable!$A$2:$A$301,0), Skills!M8+1)</f>
        <v/>
      </c>
      <c r="F925">
        <f>IF(Skills!N8=TRUE,(Skills!L8/10)*(E925/1000),Skills!L8/10)+Skills!O8</f>
        <v/>
      </c>
      <c r="G925">
        <f>Skills!G8*IF(Skills!H8&gt;0,Skills!I8/Skills!H8,1)</f>
        <v/>
      </c>
      <c r="H925">
        <f>1-(1-Skills!J8/100)^Skills!K8</f>
        <v/>
      </c>
      <c r="I925" t="inlineStr">
        <is>
          <t>1</t>
        </is>
      </c>
      <c r="J925">
        <f>((Inputs!$B$6*(1+Inputs!$B$7/100))+(((Inputs!$B$12*(1+Inputs!$B$13/100))-(Inputs!$B$12*(1+Inputs!$B$13/100)))+0.25*(Inputs!$B$14-Inputs!$B$14))*(1+Inputs!$B$7/100))*(F925/100)</f>
        <v/>
      </c>
      <c r="K925">
        <f>J925*(1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928=TRUE,F928,0)/100)*(1+(IF(Skills!A8="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925)</f>
        <v/>
      </c>
      <c r="L925">
        <f>K925*(MIN(Inputs!$B$22+((C942=TRUE)*(F942-Calc!F25)),(Inputs!$B$23+((C947=TRUE)*(F947-Calc!F30))+(IF(ArtifactsInput!$M$15,CHOOSE(ArtifactsInput!$N$15+1,25,30,35,40,45,50)/100*(Inputs!$B$11-Inputs!$B$11),0))))/100+(Inputs!$B$23+((C947=TRUE)*(F947-Calc!F30))+(IF(ArtifactsInput!$M$15,CHOOSE(ArtifactsInput!$N$15+1,25,30,35,40,45,50)/100*(Inputs!$B$11-Inputs!$B$11),0)))/100)/2</f>
        <v/>
      </c>
      <c r="M925">
        <f>L925*(1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5">
        <f>L925*(1-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925*(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5">
        <f>(1-Summary!$B$11)*T925+Summary!$B$11*V925</f>
        <v/>
      </c>
      <c r="P925">
        <f>IF(B961=0,0,O925/B961)</f>
        <v/>
      </c>
      <c r="Q925">
        <f>IFERROR(1/(IF(Inputs!$B$38="pvp",15,MAX(0.1,Skills!D8-IF(Skills!E8=TRUE,Inputs!$B$32,0)))*(1-IF(AND(ArtifactsInput!$M$27,Inputs!$B$4="Chapter Hunt"),CHOOSE(ArtifactsInput!$N$27+1,20,24,28,32,36,40),0)/100)),0)</f>
        <v/>
      </c>
      <c r="R925">
        <f>IF(AND(Inputs!$B$38&lt;&gt;"pvp",Inputs!$B$43&gt;0),IF(MAX(0,Inputs!$B$43-B958)&lt;=0,0,(INT(MAX(0,Inputs!$B$43-B958)/(IF(Inputs!$B$38="pvp",15,MAX(0.1,Skills!D8-IF(Skills!E8=TRUE,Inputs!$B$32,0)))*(1-IF(AND(ArtifactsInput!$M$27,Inputs!$B$4="Chapter Hunt"),CHOOSE(ArtifactsInput!$N$27+1,20,24,28,32,36,40),0)/100)))+1)),0)</f>
        <v/>
      </c>
      <c r="S925">
        <f>IFERROR(O925/N925,0)</f>
        <v/>
      </c>
      <c r="T925">
        <f>IF(C925,(H925*N925*IF(AND(Inputs!$B$38&lt;&gt;"pvp",Inputs!$B$43&gt;0),((Skills!G8*((R925-1)*IF(Skills!H8&gt;0,Skills!I8/Skills!H8,1)+IF(Skills!H8&gt;0,MIN(Skills!I8,MAX(0,MAX(0,Inputs!$B$43-B958)-((R925-1)*(IF(Inputs!$B$38="pvp",15,MAX(0.1,Skills!D8-IF(Skills!E8=TRUE,Inputs!$B$32,0)))*(1-IF(AND(ArtifactsInput!$M$27,Inputs!$B$4="Chapter Hunt"),CHOOSE(ArtifactsInput!$N$27+1,20,24,28,32,36,40),0)/100)))))/Skills!H8,1)))/Inputs!$B$43),G925*Q925)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925*(1-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925*(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925*(1-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925*(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5">
        <f>IF(C925,(H925*N925*IF(AND(Inputs!$B$38&lt;&gt;"pvp",Inputs!$B$43&gt;0),((Skills!G8*((R925-1)*IF(Skills!H8&gt;0,Skills!I8/Skills!H8,1)+IF(Skills!H8&gt;0,MIN(Skills!I8,MAX(0,MAX(0,Inputs!$B$43-B958)-((R925-1)*(IF(Inputs!$B$38="pvp",15,MAX(0.1,Skills!D8-IF(Skills!E8=TRUE,Inputs!$B$32,0)))*(1-IF(AND(ArtifactsInput!$M$27,Inputs!$B$4="Chapter Hunt"),CHOOSE(ArtifactsInput!$N$27+1,20,24,28,32,36,40),0)/100)))))/Skills!H8,1)))/Inputs!$B$43),G925*Q925))*IF(Inputs!$B$38="pvp",1,(1+(Inputs!$B$21+Skills!Q8+(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6">
      <c r="A926">
        <f>Skills!A9</f>
        <v/>
      </c>
      <c r="B926">
        <f>Skills!B9</f>
        <v/>
      </c>
      <c r="C926">
        <f>Inputs!$B$3&gt;=63</f>
        <v/>
      </c>
      <c r="D926">
        <f>IF(Skills!C9=1,60+Inputs!$B$25+Inputs!$B$29,IF(Skills!C9=2,90+Inputs!$B$26+Inputs!$B$29,IF(Skills!C9=3,120+(Inputs!$B$27+1)+Inputs!$B$29,MAX(0,(Inputs!$B$3-100)*3)+Inputs!$B$28+Inputs!$B$29)))</f>
        <v/>
      </c>
      <c r="E926">
        <f>INDEX(FactorTable!$B$2:$Y$301, MATCH(ROUND(MIN(300,MAX(1,D926)),0), FactorTable!$A$2:$A$301,0), Skills!M9+1)</f>
        <v/>
      </c>
      <c r="F926">
        <f>IF(Skills!N9=TRUE,(Skills!L9/10)*(E926/1000),Skills!L9/10)+Skills!O9</f>
        <v/>
      </c>
      <c r="G926">
        <f>Skills!G9*IF(Skills!H9&gt;0,Skills!I9/Skills!H9,1)</f>
        <v/>
      </c>
      <c r="H926">
        <f>1-(1-Skills!J9/100)^Skills!K9</f>
        <v/>
      </c>
      <c r="I926" t="inlineStr">
        <is>
          <t>1</t>
        </is>
      </c>
      <c r="J926">
        <f>((Inputs!$B$6*(1+Inputs!$B$7/100))+(((Inputs!$B$12*(1+Inputs!$B$13/100))-(Inputs!$B$12*(1+Inputs!$B$13/100)))+0.25*(Inputs!$B$14-Inputs!$B$14))*(1+Inputs!$B$7/100))*(F926/100)</f>
        <v/>
      </c>
      <c r="K926">
        <f>J926*(1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928=TRUE,F928,0)/100)*(1+(IF(Skills!A9="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926)</f>
        <v/>
      </c>
      <c r="L926">
        <f>K926*(MIN(Inputs!$B$22+((C942=TRUE)*(F942-Calc!F25)),(Inputs!$B$23+((C947=TRUE)*(F947-Calc!F30))+(IF(ArtifactsInput!$M$15,CHOOSE(ArtifactsInput!$N$15+1,25,30,35,40,45,50)/100*(Inputs!$B$11-Inputs!$B$11),0))))/100+(Inputs!$B$23+((C947=TRUE)*(F947-Calc!F30))+(IF(ArtifactsInput!$M$15,CHOOSE(ArtifactsInput!$N$15+1,25,30,35,40,45,50)/100*(Inputs!$B$11-Inputs!$B$11),0)))/100)/2</f>
        <v/>
      </c>
      <c r="M926">
        <f>L926*(1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6">
        <f>L926*(1-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926*(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6">
        <f>(1-Summary!$B$11)*T926+Summary!$B$11*V926</f>
        <v/>
      </c>
      <c r="P926">
        <f>IF(B961=0,0,O926/B961)</f>
        <v/>
      </c>
      <c r="Q926">
        <f>IFERROR(1/(IF(Inputs!$B$38="pvp",15,MAX(0.1,Skills!D9-IF(Skills!E9=TRUE,Inputs!$B$32,0)))*(1-IF(AND(ArtifactsInput!$M$27,Inputs!$B$4="Chapter Hunt"),CHOOSE(ArtifactsInput!$N$27+1,20,24,28,32,36,40),0)/100)),0)</f>
        <v/>
      </c>
      <c r="R926">
        <f>IF(AND(Inputs!$B$38&lt;&gt;"pvp",Inputs!$B$43&gt;0),IF(MAX(0,Inputs!$B$43-B958)&lt;=0,0,(INT(MAX(0,Inputs!$B$43-B958)/(IF(Inputs!$B$38="pvp",15,MAX(0.1,Skills!D9-IF(Skills!E9=TRUE,Inputs!$B$32,0)))*(1-IF(AND(ArtifactsInput!$M$27,Inputs!$B$4="Chapter Hunt"),CHOOSE(ArtifactsInput!$N$27+1,20,24,28,32,36,40),0)/100)))+1)),0)</f>
        <v/>
      </c>
      <c r="S926">
        <f>IFERROR(O926/N926,0)</f>
        <v/>
      </c>
      <c r="T926">
        <f>IF(C926,(H926*N926*IF(AND(Inputs!$B$38&lt;&gt;"pvp",Inputs!$B$43&gt;0),((Skills!G9*((R926-1)*IF(Skills!H9&gt;0,Skills!I9/Skills!H9,1)+IF(Skills!H9&gt;0,MIN(Skills!I9,MAX(0,MAX(0,Inputs!$B$43-B958)-((R926-1)*(IF(Inputs!$B$38="pvp",15,MAX(0.1,Skills!D9-IF(Skills!E9=TRUE,Inputs!$B$32,0)))*(1-IF(AND(ArtifactsInput!$M$27,Inputs!$B$4="Chapter Hunt"),CHOOSE(ArtifactsInput!$N$27+1,20,24,28,32,36,40),0)/100)))))/Skills!H9,1)))/Inputs!$B$43),G926*Q926)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926*(1-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926*(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926*(1-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926*(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6">
        <f>IF(C926,(H926*N926*IF(AND(Inputs!$B$38&lt;&gt;"pvp",Inputs!$B$43&gt;0),((Skills!G9*((R926-1)*IF(Skills!H9&gt;0,Skills!I9/Skills!H9,1)+IF(Skills!H9&gt;0,MIN(Skills!I9,MAX(0,MAX(0,Inputs!$B$43-B958)-((R926-1)*(IF(Inputs!$B$38="pvp",15,MAX(0.1,Skills!D9-IF(Skills!E9=TRUE,Inputs!$B$32,0)))*(1-IF(AND(ArtifactsInput!$M$27,Inputs!$B$4="Chapter Hunt"),CHOOSE(ArtifactsInput!$N$27+1,20,24,28,32,36,40),0)/100)))))/Skills!H9,1)))/Inputs!$B$43),G926*Q926))*IF(Inputs!$B$38="pvp",1,(1+(Inputs!$B$21+Skills!Q9+(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7">
      <c r="A927">
        <f>Skills!A10</f>
        <v/>
      </c>
      <c r="B927">
        <f>Skills!B10</f>
        <v/>
      </c>
      <c r="C927">
        <f>Inputs!$B$3&gt;=103</f>
        <v/>
      </c>
      <c r="D927">
        <f>IF(Skills!C10=1,60+Inputs!$B$25+Inputs!$B$29,IF(Skills!C10=2,90+Inputs!$B$26+Inputs!$B$29,IF(Skills!C10=3,120+(Inputs!$B$27+1)+Inputs!$B$29,MAX(0,(Inputs!$B$3-100)*3)+Inputs!$B$28+Inputs!$B$29)))</f>
        <v/>
      </c>
      <c r="E927">
        <f>INDEX(FactorTable!$B$2:$Y$301, MATCH(ROUND(MIN(300,MAX(1,D927)),0), FactorTable!$A$2:$A$301,0), Skills!M10+1)</f>
        <v/>
      </c>
      <c r="F927">
        <f>IF(Skills!N10=TRUE,(Skills!L10/10)*(E927/1000),Skills!L10/10)+Skills!O10</f>
        <v/>
      </c>
      <c r="G927">
        <f>Skills!G10*IF(Skills!H10&gt;0,Skills!I10/Skills!H10,1)</f>
        <v/>
      </c>
      <c r="H927">
        <f>1-(1-Skills!J10/100)^Skills!K10</f>
        <v/>
      </c>
      <c r="I927" t="inlineStr">
        <is>
          <t>1</t>
        </is>
      </c>
      <c r="J927">
        <f>((Inputs!$B$6*(1+Inputs!$B$7/100))+(((Inputs!$B$12*(1+Inputs!$B$13/100))-(Inputs!$B$12*(1+Inputs!$B$13/100)))+0.25*(Inputs!$B$14-Inputs!$B$14))*(1+Inputs!$B$7/100))*(F927/100)</f>
        <v/>
      </c>
      <c r="K927">
        <f>J927*(1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927)</f>
        <v/>
      </c>
      <c r="L927">
        <f>K927*(MIN(Inputs!$B$22+((C942=TRUE)*(F942-Calc!F25)),(Inputs!$B$23+((C947=TRUE)*(F947-Calc!F30))+(IF(ArtifactsInput!$M$15,CHOOSE(ArtifactsInput!$N$15+1,25,30,35,40,45,50)/100*(Inputs!$B$11-Inputs!$B$11),0))))/100+(Inputs!$B$23+((C947=TRUE)*(F947-Calc!F30))+(IF(ArtifactsInput!$M$15,CHOOSE(ArtifactsInput!$N$15+1,25,30,35,40,45,50)/100*(Inputs!$B$11-Inputs!$B$11),0)))/100)/2</f>
        <v/>
      </c>
      <c r="M927">
        <f>L927*(1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7">
        <f>L927*(1-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927*(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7">
        <f>(1-Summary!$B$11)*T927+Summary!$B$11*V927</f>
        <v/>
      </c>
      <c r="P927">
        <f>IF(B961=0,0,O927/B961)</f>
        <v/>
      </c>
      <c r="Q927">
        <f>IFERROR(1/(IF(Inputs!$B$38="pvp",15,MAX(0.1,Skills!D10-IF(Skills!E10=TRUE,Inputs!$B$32,0)))*(1-IF(AND(ArtifactsInput!$M$27,Inputs!$B$4="Chapter Hunt"),CHOOSE(ArtifactsInput!$N$27+1,20,24,28,32,36,40),0)/100)),0)</f>
        <v/>
      </c>
      <c r="R927">
        <f>IF(AND(Inputs!$B$38&lt;&gt;"pvp",Inputs!$B$43&gt;0),IF(MAX(0,Inputs!$B$43-B958)&lt;=0,0,(INT(MAX(0,Inputs!$B$43-B958)/(IF(Inputs!$B$38="pvp",15,MAX(0.1,Skills!D10-IF(Skills!E10=TRUE,Inputs!$B$32,0)))*(1-IF(AND(ArtifactsInput!$M$27,Inputs!$B$4="Chapter Hunt"),CHOOSE(ArtifactsInput!$N$27+1,20,24,28,32,36,40),0)/100)))+1)),0)</f>
        <v/>
      </c>
      <c r="S927">
        <f>IFERROR(O927/N927,0)</f>
        <v/>
      </c>
      <c r="T927">
        <f>IF(C927,(H927*N927*IF(AND(Inputs!$B$38&lt;&gt;"pvp",Inputs!$B$43&gt;0),((Skills!G10*((R927-1)*IF(Skills!H10&gt;0,Skills!I10/Skills!H10,1)+IF(Skills!H10&gt;0,MIN(Skills!I10,MAX(0,MAX(0,Inputs!$B$43-B958)-((R927-1)*(IF(Inputs!$B$38="pvp",15,MAX(0.1,Skills!D10-IF(Skills!E10=TRUE,Inputs!$B$32,0)))*(1-IF(AND(ArtifactsInput!$M$27,Inputs!$B$4="Chapter Hunt"),CHOOSE(ArtifactsInput!$N$27+1,20,24,28,32,36,40),0)/100)))))/Skills!H10,1)))/Inputs!$B$43),G927*Q927)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927*(1-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927*(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927*(1-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927*(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7">
        <f>IF(C927,(H927*N927*IF(AND(Inputs!$B$38&lt;&gt;"pvp",Inputs!$B$43&gt;0),((Skills!G10*((R927-1)*IF(Skills!H10&gt;0,Skills!I10/Skills!H10,1)+IF(Skills!H10&gt;0,MIN(Skills!I10,MAX(0,MAX(0,Inputs!$B$43-B958)-((R927-1)*(IF(Inputs!$B$38="pvp",15,MAX(0.1,Skills!D10-IF(Skills!E10=TRUE,Inputs!$B$32,0)))*(1-IF(AND(ArtifactsInput!$M$27,Inputs!$B$4="Chapter Hunt"),CHOOSE(ArtifactsInput!$N$27+1,20,24,28,32,36,40),0)/100)))))/Skills!H10,1)))/Inputs!$B$43),G927*Q927))*IF(Inputs!$B$38="pvp",1,(1+(Inputs!$B$21+Skills!Q10+(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8">
      <c r="A928">
        <f>Skills!A11</f>
        <v/>
      </c>
      <c r="B928">
        <f>Skills!B11</f>
        <v/>
      </c>
      <c r="C928">
        <f>Inputs!$B$3&gt;=100</f>
        <v/>
      </c>
      <c r="D928">
        <f>IF(Skills!C11=1,60+Inputs!$B$25+Inputs!$B$29,IF(Skills!C11=2,90+Inputs!$B$26+Inputs!$B$29,IF(Skills!C11=3,120+(Inputs!$B$27+1)+Inputs!$B$29,MAX(0,(Inputs!$B$3-100)*3)+Inputs!$B$28+Inputs!$B$29)))</f>
        <v/>
      </c>
      <c r="E928">
        <f>INDEX(FactorTable!$B$2:$Y$301, MATCH(ROUND(MIN(300,MAX(1,D928)),0), FactorTable!$A$2:$A$301,0), Skills!M11+1)</f>
        <v/>
      </c>
      <c r="F928">
        <f>IF(Skills!N11=TRUE,(Skills!L11/10)*(E928/1000),Skills!L11/10)+Skills!O11</f>
        <v/>
      </c>
      <c r="G928" t="inlineStr"/>
      <c r="H928" t="inlineStr"/>
      <c r="I928" t="inlineStr">
        <is>
          <t>1</t>
        </is>
      </c>
      <c r="J928" t="inlineStr"/>
      <c r="K928" t="inlineStr"/>
      <c r="L928" t="inlineStr"/>
      <c r="M928" t="inlineStr"/>
      <c r="N928" t="inlineStr"/>
      <c r="O928" t="inlineStr"/>
      <c r="P928" t="inlineStr"/>
      <c r="Q928" t="inlineStr"/>
      <c r="R928" t="inlineStr"/>
      <c r="S928" t="inlineStr"/>
      <c r="T928" t="inlineStr"/>
      <c r="V928" t="inlineStr"/>
    </row>
    <row r="929">
      <c r="A929">
        <f>Skills!A12</f>
        <v/>
      </c>
      <c r="B929">
        <f>Skills!B12</f>
        <v/>
      </c>
      <c r="C929">
        <f>Inputs!$B$3&gt;=60</f>
        <v/>
      </c>
      <c r="D929">
        <f>IF(Skills!C12=1,60+Inputs!$B$25+Inputs!$B$29,IF(Skills!C12=2,90+Inputs!$B$26+Inputs!$B$29,IF(Skills!C12=3,120+(Inputs!$B$27+1)+Inputs!$B$29,MAX(0,(Inputs!$B$3-100)*3)+Inputs!$B$28+Inputs!$B$29)))</f>
        <v/>
      </c>
      <c r="E929">
        <f>INDEX(FactorTable!$B$2:$Y$301, MATCH(ROUND(MIN(300,MAX(1,D929)),0), FactorTable!$A$2:$A$301,0), Skills!M12+1)</f>
        <v/>
      </c>
      <c r="F929">
        <f>IF(Skills!N12=TRUE,(Skills!L12/10)*(E929/1000),Skills!L12/10)+Skills!O12</f>
        <v/>
      </c>
      <c r="G929">
        <f>Skills!G12*IF(Skills!H12&gt;0,Skills!I12/Skills!H12,1)</f>
        <v/>
      </c>
      <c r="H929">
        <f>1-(1-Skills!J12/100)^Skills!K12</f>
        <v/>
      </c>
      <c r="I929" t="inlineStr">
        <is>
          <t>1</t>
        </is>
      </c>
      <c r="J929">
        <f>((Inputs!$B$6*(1+Inputs!$B$7/100))+(((Inputs!$B$12*(1+Inputs!$B$13/100))-(Inputs!$B$12*(1+Inputs!$B$13/100)))+0.25*(Inputs!$B$14-Inputs!$B$14))*(1+Inputs!$B$7/100))*(F929/100)</f>
        <v/>
      </c>
      <c r="K929">
        <f>J929*(1+((Inputs!$B$12*(1+Inputs!$B$13/100))*0.01+Inputs!$B$14*0.0025)/100)*(1+Inputs!$B$15/100)*(1+Inputs!$B$16/100)*(5000/(6000+Inputs!$B$42*(1-(100*(1-(1-(Inputs!$B$19+((C945=TRUE)*(F945-Calc!F28)))/100)*(1-CHOOSE(ArtifactsInput!$N$40+1,5,6,7,8,9,10)/100)^(ArtifactsInput!$M$40-ArtifactsInput!$M$40)))/100)))*(1+(Inputs!$B$24+((C943=TRUE)*(F943-Calc!F26))+((C944=TRUE)*(F944-Calc!F27))+B957)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930=TRUE,F930,0)/100)*(1+(IF(Skills!A12="ARROW_STREAM",Inputs!$B$17+((C941=TRUE)*(F941-Calc!F24))+(((IF(AND(ArtifactsInput!$M$42,((Inputs!$B$9+((C938=TRUE)*(F938-Calc!F21))+B951+(ArtifactsInput!$M$24-ArtifactsInput!$M$24)*CHOOSE(ArtifactsInput!$N$24+1,10,12,14,16,18,20)+IF(ArtifactsInput!$M$10,CHOOSE(ArtifactsInput!$N$10+1,15,18,21,24,27,30)*(IF(Inputs!$B$38="pvp",MIN(15,15)/15,IF(AND(Inputs!$B$38&lt;&gt;"pvp",Inputs!$B$43&gt;0),MIN(15,Inputs!$B$43)/(Inputs!$B$43),0))),0)))&gt;=100),MIN(100,((Inputs!$B$9+((C938=TRUE)*(F938-Calc!F21))+B951+(ArtifactsInput!$M$24-ArtifactsInput!$M$24)*CHOOSE(ArtifactsInput!$N$24+1,10,12,14,16,18,20)+IF(ArtifactsInput!$M$10,CHOOSE(ArtifactsInput!$N$10+1,15,18,21,24,27,30)*(IF(Inputs!$B$38="pvp",MIN(15,15)/15,IF(AND(Inputs!$B$38&lt;&gt;"pvp",Inputs!$B$43&gt;0),MIN(15,Inputs!$B$43)/(Inputs!$B$43),0))),0)))-100),0))*CHOOSE(ArtifactsInput!$N$42+1,0.6,0.72,0.84,0.96,1.08,1.2))),Inputs!$B$18+((C946=TRUE)*(F946-Calc!F29))+(IF(AND(ArtifactsInput!$M$42,((Inputs!$B$9+((C938=TRUE)*(F938-Calc!F21))+B951+(ArtifactsInput!$M$24-ArtifactsInput!$M$24)*CHOOSE(ArtifactsInput!$N$24+1,10,12,14,16,18,20)+IF(ArtifactsInput!$M$10,CHOOSE(ArtifactsInput!$N$10+1,15,18,21,24,27,30)*(IF(Inputs!$B$38="pvp",MIN(15,15)/15,IF(AND(Inputs!$B$38&lt;&gt;"pvp",Inputs!$B$43&gt;0),MIN(15,Inputs!$B$43)/(Inputs!$B$43),0))),0)))&gt;=100),CHOOSE(ArtifactsInput!$N$42+1,40,48,56,64,72,80),0))))/100)*((1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929)</f>
        <v/>
      </c>
      <c r="L929">
        <f>K929*(MIN(Inputs!$B$22+((C942=TRUE)*(F942-Calc!F25)),(Inputs!$B$23+((C947=TRUE)*(F947-Calc!F30))+(IF(ArtifactsInput!$M$15,CHOOSE(ArtifactsInput!$N$15+1,25,30,35,40,45,50)/100*(Inputs!$B$11-Inputs!$B$11),0))))/100+(Inputs!$B$23+((C947=TRUE)*(F947-Calc!F30))+(IF(ArtifactsInput!$M$15,CHOOSE(ArtifactsInput!$N$15+1,25,30,35,40,45,50)/100*(Inputs!$B$11-Inputs!$B$11),0)))/100)/2</f>
        <v/>
      </c>
      <c r="M929">
        <f>L929*(1+(Inputs!$B$10+0+B956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9">
        <f>L929*(1-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929*(MIN((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9">
        <f>(1-Summary!$B$11)*T929+Summary!$B$11*V929</f>
        <v/>
      </c>
      <c r="P929">
        <f>IF(B961=0,0,O929/B961)</f>
        <v/>
      </c>
      <c r="Q929">
        <f>IFERROR(1/(IF(Inputs!$B$38="pvp",15,MAX(0.1,Skills!D12-IF(Skills!E12=TRUE,Inputs!$B$32,0)))*(1-IF(AND(ArtifactsInput!$M$27,Inputs!$B$4="Chapter Hunt"),CHOOSE(ArtifactsInput!$N$27+1,20,24,28,32,36,40),0)/100)),0)</f>
        <v/>
      </c>
      <c r="R929">
        <f>IF(AND(Inputs!$B$38&lt;&gt;"pvp",Inputs!$B$43&gt;0),IF(MAX(0,Inputs!$B$43-B958)&lt;=0,0,(INT(MAX(0,Inputs!$B$43-B958)/(IF(Inputs!$B$38="pvp",15,MAX(0.1,Skills!D12-IF(Skills!E12=TRUE,Inputs!$B$32,0)))*(1-IF(AND(ArtifactsInput!$M$27,Inputs!$B$4="Chapter Hunt"),CHOOSE(ArtifactsInput!$N$27+1,20,24,28,32,36,40),0)/100)))+1)),0)</f>
        <v/>
      </c>
      <c r="S929">
        <f>IFERROR(O929/N929,0)</f>
        <v/>
      </c>
      <c r="T929">
        <f>IF(C929,(H929*N929*IF(AND(Inputs!$B$38&lt;&gt;"pvp",Inputs!$B$43&gt;0),((Skills!G12*((R929-1)*IF(Skills!H12&gt;0,Skills!I12/Skills!H12,1)+IF(Skills!H12&gt;0,MIN(Skills!I12,MAX(0,MAX(0,Inputs!$B$43-B958)-((R929-1)*(IF(Inputs!$B$38="pvp",15,MAX(0.1,Skills!D12-IF(Skills!E12=TRUE,Inputs!$B$32,0)))*(1-IF(AND(ArtifactsInput!$M$27,Inputs!$B$4="Chapter Hunt"),CHOOSE(ArtifactsInput!$N$27+1,20,24,28,32,36,40),0)/100)))))/Skills!H12,1)))/Inputs!$B$43),G929*Q929)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(5000/(6000+Inputs!$B$42*(1-(100*(1-(1-(100*(1-(1-(Inputs!$B$19+((C945=TRUE)*(F945-Calc!F28)))/100)*(1-CHOOSE(ArtifactsInput!$N$40+1,5,6,7,8,9,10)/100)^(ArtifactsInput!$M$40-ArtifactsInput!$M$40)))/100)*(1-IF(ArtifactsInput!$M$40,CHOOSE(ArtifactsInput!$N$40+1,5,6,7,8,9,10),0)/100)^IF(Inputs!$B$38="pvp",1,2)))/100)))/(5000/(6000+Inputs!$B$42*(1-(100*(1-(1-(Inputs!$B$19+((C945=TRUE)*(F945-Calc!F28)))/100)*(1-CHOOSE(ArtifactsInput!$N$40+1,5,6,7,8,9,10)/100)^(ArtifactsInput!$M$40-ArtifactsInput!$M$40)))/100))))*((L929*(1-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929*(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929*(1-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929*(MIN(100,(Inputs!$B$9+((C938=TRUE)*(F938-Calc!F21))+B951+(ArtifactsInput!$M$24-ArtifactsInput!$M$24)*CHOOSE(ArtifactsInput!$N$24+1,10,12,14,16,18,20)+(IF(AND(ArtifactsInput!$M$42,((Inputs!$B$9+((C938=TRUE)*(F938-Calc!F21))+B951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9">
        <f>IF(C929,(H929*N929*IF(AND(Inputs!$B$38&lt;&gt;"pvp",Inputs!$B$43&gt;0),((Skills!G12*((R929-1)*IF(Skills!H12&gt;0,Skills!I12/Skills!H12,1)+IF(Skills!H12&gt;0,MIN(Skills!I12,MAX(0,MAX(0,Inputs!$B$43-B958)-((R929-1)*(IF(Inputs!$B$38="pvp",15,MAX(0.1,Skills!D12-IF(Skills!E12=TRUE,Inputs!$B$32,0)))*(1-IF(AND(ArtifactsInput!$M$27,Inputs!$B$4="Chapter Hunt"),CHOOSE(ArtifactsInput!$N$27+1,20,24,28,32,36,40),0)/100)))))/Skills!H12,1)))/Inputs!$B$43),G929*Q929))*IF(Inputs!$B$38="pvp",1,(1+(Inputs!$B$21+Skills!Q12+(IF(ArtifactsInput!$M$33,CHOOSE(ArtifactsInput!$N$33+1,30,36,42,48,54,60),0))+(IF(AND(ArtifactsInput!$M$35,Inputs!$B$4&lt;&gt;"Chapter Hunt"),CHOOSE(ArtifactsInput!$N$35+1,15,18,21,24,27,30)*(1-EXP(-(0.2*B953)*5)),0)+IF(AND(ArtifactsInput!$M$22,Inputs!$B$4&lt;&gt;"Chapter Hunt"),CHOOSE(ArtifactsInput!$N$22+1,10,12,14,16,18,20)*((0*(((0.15*B953*5))^0/1)+1*(((0.15*B953*5))^1/1)+2*(((0.15*B953*5))^2/2)+3*(((0.15*B953*5))^3/6)+4*(((0.15*B953*5))^4/24)+5*(((0.15*B953*5))^5/120))/((((0.15*B953*5))^0/1)+(((0.15*B953*5))^1/1)+(((0.15*B953*5))^2/2)+(((0.15*B953*5))^3/6)+(((0.15*B953*5))^4/24)+(((0.15*B953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0">
      <c r="A930">
        <f>Skills!A13</f>
        <v/>
      </c>
      <c r="B930">
        <f>Skills!B13</f>
        <v/>
      </c>
      <c r="C930">
        <f>Inputs!$B$3&gt;=110</f>
        <v/>
      </c>
      <c r="D930">
        <f>IF(Skills!C13=1,60+Inputs!$B$25+Inputs!$B$29,IF(Skills!C13=2,90+Inputs!$B$26+Inputs!$B$29,IF(Skills!C13=3,120+(Inputs!$B$27+1)+Inputs!$B$29,MAX(0,(Inputs!$B$3-100)*3)+Inputs!$B$28+Inputs!$B$29)))</f>
        <v/>
      </c>
      <c r="E930">
        <f>INDEX(FactorTable!$B$2:$Y$301, MATCH(ROUND(MIN(300,MAX(1,D930)),0), FactorTable!$A$2:$A$301,0), Skills!M13+1)</f>
        <v/>
      </c>
      <c r="F930">
        <f>IF(Skills!N13=TRUE,(Skills!L13/10)*(E930/1000),Skills!L13/10)+Skills!O13</f>
        <v/>
      </c>
      <c r="G930" t="inlineStr"/>
      <c r="H930" t="inlineStr"/>
      <c r="I930" t="inlineStr">
        <is>
          <t>1</t>
        </is>
      </c>
      <c r="J930" t="inlineStr"/>
      <c r="K930" t="inlineStr"/>
      <c r="L930" t="inlineStr"/>
      <c r="M930" t="inlineStr"/>
      <c r="N930" t="inlineStr"/>
      <c r="O930" t="inlineStr"/>
      <c r="P930" t="inlineStr"/>
      <c r="Q930" t="inlineStr"/>
      <c r="R930" t="inlineStr"/>
      <c r="S930" t="inlineStr"/>
      <c r="T930" t="inlineStr"/>
      <c r="V930" t="inlineStr"/>
    </row>
    <row r="931">
      <c r="A931">
        <f>Skills!A14</f>
        <v/>
      </c>
      <c r="B931">
        <f>Skills!B14</f>
        <v/>
      </c>
      <c r="C931">
        <f>Inputs!$B$3&gt;=74</f>
        <v/>
      </c>
      <c r="D931">
        <f>IF(Skills!C14=1,60+Inputs!$B$25+Inputs!$B$29,IF(Skills!C14=2,90+Inputs!$B$26+Inputs!$B$29,IF(Skills!C14=3,120+(Inputs!$B$27+1)+Inputs!$B$29,MAX(0,(Inputs!$B$3-100)*3)+Inputs!$B$28+Inputs!$B$29)))</f>
        <v/>
      </c>
      <c r="E931">
        <f>INDEX(FactorTable!$B$2:$Y$301, MATCH(ROUND(MIN(300,MAX(1,D931)),0), FactorTable!$A$2:$A$301,0), Skills!M14+1)</f>
        <v/>
      </c>
      <c r="F931">
        <f>IF(Skills!N14=TRUE,(Skills!L14/10)*(E931/1000),Skills!L14/10)+Skills!O14</f>
        <v/>
      </c>
      <c r="G931">
        <f>Skills!G14*IF(Skills!H14&gt;0,Skills!I14/Skills!H14,1)</f>
        <v/>
      </c>
      <c r="H931">
        <f>1-(1-Skills!J14/100)^Skills!K14</f>
        <v/>
      </c>
      <c r="I931" t="inlineStr">
        <is>
          <t>1</t>
        </is>
      </c>
      <c r="J931" t="inlineStr"/>
      <c r="K931" t="inlineStr"/>
      <c r="L931" t="inlineStr"/>
      <c r="M931" t="inlineStr"/>
      <c r="N931" t="inlineStr"/>
      <c r="O931">
        <f>(1-Summary!$B$11)*T931+Summary!$B$11*V931</f>
        <v/>
      </c>
      <c r="P931">
        <f>IF(B961=0,0,O931/B961)</f>
        <v/>
      </c>
      <c r="Q931" t="n">
        <v>0</v>
      </c>
      <c r="R931" t="n">
        <v>0</v>
      </c>
      <c r="S931">
        <f>IFERROR(O931/N931,0)</f>
        <v/>
      </c>
      <c r="T931" t="n">
        <v>0</v>
      </c>
      <c r="V931" t="n">
        <v>0</v>
      </c>
    </row>
    <row r="932">
      <c r="A932">
        <f>Skills!A15</f>
        <v/>
      </c>
      <c r="B932">
        <f>Skills!B15</f>
        <v/>
      </c>
      <c r="C932">
        <f>Inputs!$B$3&gt;=74</f>
        <v/>
      </c>
      <c r="D932">
        <f>IF(Skills!C15=1,60+Inputs!$B$25+Inputs!$B$29,IF(Skills!C15=2,90+Inputs!$B$26+Inputs!$B$29,IF(Skills!C15=3,120+(Inputs!$B$27+1)+Inputs!$B$29,MAX(0,(Inputs!$B$3-100)*3)+Inputs!$B$28+Inputs!$B$29)))</f>
        <v/>
      </c>
      <c r="E932">
        <f>INDEX(FactorTable!$B$2:$Y$301, MATCH(ROUND(MIN(300,MAX(1,D932)),0), FactorTable!$A$2:$A$301,0), Skills!M15+1)</f>
        <v/>
      </c>
      <c r="F932">
        <f>IF(Skills!N15=TRUE,(Skills!L15/10)*(E932/1000),Skills!L15/10)+Skills!O15</f>
        <v/>
      </c>
      <c r="G932">
        <f>Skills!G15*IF(Skills!H15&gt;0,Skills!I15/Skills!H15,1)</f>
        <v/>
      </c>
      <c r="H932">
        <f>1-(1-Skills!J15/100)^Skills!K15</f>
        <v/>
      </c>
      <c r="I932" t="inlineStr">
        <is>
          <t>1</t>
        </is>
      </c>
      <c r="J932" t="inlineStr"/>
      <c r="K932" t="inlineStr"/>
      <c r="L932" t="inlineStr"/>
      <c r="M932" t="inlineStr"/>
      <c r="N932" t="inlineStr"/>
      <c r="O932">
        <f>(1-Summary!$B$11)*T932+Summary!$B$11*V932</f>
        <v/>
      </c>
      <c r="P932">
        <f>IF(B961=0,0,O932/B961)</f>
        <v/>
      </c>
      <c r="Q932" t="n">
        <v>0</v>
      </c>
      <c r="R932" t="n">
        <v>0</v>
      </c>
      <c r="S932">
        <f>IFERROR(O932/N932,0)</f>
        <v/>
      </c>
      <c r="T932" t="n">
        <v>0</v>
      </c>
      <c r="V932" t="n">
        <v>0</v>
      </c>
    </row>
    <row r="933">
      <c r="A933">
        <f>Skills!A16</f>
        <v/>
      </c>
      <c r="B933">
        <f>Skills!B16</f>
        <v/>
      </c>
      <c r="C933">
        <f>Inputs!$B$3&gt;=117</f>
        <v/>
      </c>
      <c r="D933">
        <f>IF(Skills!C16=1,60+Inputs!$B$25+Inputs!$B$29,IF(Skills!C16=2,90+Inputs!$B$26+Inputs!$B$29,IF(Skills!C16=3,120+(Inputs!$B$27+1)+Inputs!$B$29,MAX(0,(Inputs!$B$3-100)*3)+Inputs!$B$28+Inputs!$B$29)))</f>
        <v/>
      </c>
      <c r="E933">
        <f>INDEX(FactorTable!$B$2:$Y$301, MATCH(ROUND(MIN(300,MAX(1,D933)),0), FactorTable!$A$2:$A$301,0), Skills!M16+1)</f>
        <v/>
      </c>
      <c r="F933">
        <f>IF(Skills!N16=TRUE,(Skills!L16/10)*(E933/1000),Skills!L16/10)+Skills!O16</f>
        <v/>
      </c>
      <c r="G933">
        <f>Skills!G16*IF(Skills!H16&gt;0,Skills!I16/Skills!H16,1)</f>
        <v/>
      </c>
      <c r="H933">
        <f>1-(1-Skills!J16/100)^Skills!K16</f>
        <v/>
      </c>
      <c r="I933" t="inlineStr">
        <is>
          <t>1</t>
        </is>
      </c>
      <c r="J933" t="inlineStr"/>
      <c r="K933" t="inlineStr"/>
      <c r="L933" t="inlineStr"/>
      <c r="M933" t="inlineStr"/>
      <c r="N933" t="inlineStr"/>
      <c r="O933">
        <f>(1-Summary!$B$11)*T933+Summary!$B$11*V933</f>
        <v/>
      </c>
      <c r="P933">
        <f>IF(B961=0,0,O933/B961)</f>
        <v/>
      </c>
      <c r="Q933">
        <f>IFERROR(1/(IF(Inputs!$B$38="pvp",15,MAX(0.1,Skills!D16-IF(Skills!E16=TRUE,Inputs!$B$32,0)))*(1-IF(AND(ArtifactsInput!$M$27,Inputs!$B$4="Chapter Hunt"),CHOOSE(ArtifactsInput!$N$27+1,20,24,28,32,36,40),0)/100)),0)</f>
        <v/>
      </c>
      <c r="R933">
        <f>IF(AND(Inputs!$B$38&lt;&gt;"pvp",Inputs!$B$43&gt;0),IF(Inputs!$B$43&lt;=0,0,(INT(Inputs!$B$43/(IF(Inputs!$B$38="pvp",15,MAX(0.1,Skills!D16-IF(Skills!E16=TRUE,Inputs!$B$32,0)))*(1-IF(AND(ArtifactsInput!$M$27,Inputs!$B$4="Chapter Hunt"),CHOOSE(ArtifactsInput!$N$27+1,20,24,28,32,36,40),0)/100)))+1)),0)</f>
        <v/>
      </c>
      <c r="S933">
        <f>IFERROR(O933/N933,0)</f>
        <v/>
      </c>
      <c r="T933" t="n">
        <v>0</v>
      </c>
      <c r="V933" t="n">
        <v>0</v>
      </c>
    </row>
    <row r="934">
      <c r="A934">
        <f>Skills!A17</f>
        <v/>
      </c>
      <c r="B934">
        <f>Skills!B17</f>
        <v/>
      </c>
      <c r="C934">
        <f>Inputs!$B$3&gt;=115</f>
        <v/>
      </c>
      <c r="D934">
        <f>IF(Skills!C17=1,60+Inputs!$B$25+Inputs!$B$29,IF(Skills!C17=2,90+Inputs!$B$26+Inputs!$B$29,IF(Skills!C17=3,120+(Inputs!$B$27+1)+Inputs!$B$29,MAX(0,(Inputs!$B$3-100)*3)+Inputs!$B$28+Inputs!$B$29)))</f>
        <v/>
      </c>
      <c r="E934">
        <f>INDEX(FactorTable!$B$2:$Y$301, MATCH(ROUND(MIN(300,MAX(1,D934)),0), FactorTable!$A$2:$A$301,0), Skills!M17+1)</f>
        <v/>
      </c>
      <c r="F934">
        <f>IF(Skills!N17=TRUE,(Skills!L17/10)*(E934/1000),Skills!L17/10)+Skills!O17</f>
        <v/>
      </c>
      <c r="G934">
        <f>Skills!G17*IF(Skills!H17&gt;0,Skills!I17/Skills!H17,1)</f>
        <v/>
      </c>
      <c r="H934">
        <f>1-(1-Skills!J17/100)^Skills!K17</f>
        <v/>
      </c>
      <c r="I934" t="inlineStr">
        <is>
          <t>1</t>
        </is>
      </c>
      <c r="J934" t="inlineStr"/>
      <c r="K934" t="inlineStr"/>
      <c r="L934" t="inlineStr"/>
      <c r="M934" t="inlineStr"/>
      <c r="N934" t="inlineStr"/>
      <c r="O934">
        <f>(1-Summary!$B$11)*T934+Summary!$B$11*V934</f>
        <v/>
      </c>
      <c r="P934">
        <f>IF(B961=0,0,O934/B961)</f>
        <v/>
      </c>
      <c r="Q934">
        <f>IFERROR(1/(IF(Inputs!$B$38="pvp",15,MAX(0.1,Skills!D17-IF(Skills!E17=TRUE,Inputs!$B$32,0)))*(1-IF(AND(ArtifactsInput!$M$27,Inputs!$B$4="Chapter Hunt"),CHOOSE(ArtifactsInput!$N$27+1,20,24,28,32,36,40),0)/100)),0)</f>
        <v/>
      </c>
      <c r="R934">
        <f>IF(AND(Inputs!$B$38&lt;&gt;"pvp",Inputs!$B$43&gt;0),IF(Inputs!$B$43&lt;=0,0,(INT(Inputs!$B$43/(IF(Inputs!$B$38="pvp",15,MAX(0.1,Skills!D17-IF(Skills!E17=TRUE,Inputs!$B$32,0)))*(1-IF(AND(ArtifactsInput!$M$27,Inputs!$B$4="Chapter Hunt"),CHOOSE(ArtifactsInput!$N$27+1,20,24,28,32,36,40),0)/100)))+1)),0)</f>
        <v/>
      </c>
      <c r="S934">
        <f>IFERROR(O934/N934,0)</f>
        <v/>
      </c>
      <c r="T934" t="n">
        <v>0</v>
      </c>
      <c r="V934" t="n">
        <v>0</v>
      </c>
    </row>
    <row r="935">
      <c r="A935">
        <f>Skills!A18</f>
        <v/>
      </c>
      <c r="B935">
        <f>Skills!B18</f>
        <v/>
      </c>
      <c r="C935">
        <f>Inputs!$B$3&gt;=66</f>
        <v/>
      </c>
      <c r="D935">
        <f>IF(Skills!C18=1,60+Inputs!$B$25+Inputs!$B$29,IF(Skills!C18=2,90+Inputs!$B$26+Inputs!$B$29,IF(Skills!C18=3,120+(Inputs!$B$27+1)+Inputs!$B$29,MAX(0,(Inputs!$B$3-100)*3)+Inputs!$B$28+Inputs!$B$29)))</f>
        <v/>
      </c>
      <c r="E935">
        <f>INDEX(FactorTable!$B$2:$Y$301, MATCH(ROUND(MIN(300,MAX(1,D935)),0), FactorTable!$A$2:$A$301,0), Skills!M18+1)</f>
        <v/>
      </c>
      <c r="F935">
        <f>IF(Skills!N18=TRUE,(Skills!L18/10)*(E935/1000),Skills!L18/10)+Skills!O18</f>
        <v/>
      </c>
      <c r="G935">
        <f>Skills!G18*IF(Skills!H18&gt;0,Skills!I18/Skills!H18,1)</f>
        <v/>
      </c>
      <c r="H935">
        <f>1-(1-Skills!J18/100)^Skills!K18</f>
        <v/>
      </c>
      <c r="I935" t="inlineStr">
        <is>
          <t>1</t>
        </is>
      </c>
      <c r="J935" t="inlineStr"/>
      <c r="K935" t="inlineStr"/>
      <c r="L935" t="inlineStr"/>
      <c r="M935" t="inlineStr"/>
      <c r="N935" t="inlineStr"/>
      <c r="O935">
        <f>(1-Summary!$B$11)*T935+Summary!$B$11*V935</f>
        <v/>
      </c>
      <c r="P935">
        <f>IF(B961=0,0,O935/B961)</f>
        <v/>
      </c>
      <c r="Q935" t="n">
        <v>0</v>
      </c>
      <c r="R935" t="n">
        <v>0</v>
      </c>
      <c r="S935">
        <f>IFERROR(O935/N935,0)</f>
        <v/>
      </c>
      <c r="T935" t="n">
        <v>0</v>
      </c>
      <c r="V935" t="n">
        <v>0</v>
      </c>
    </row>
    <row r="936">
      <c r="A936">
        <f>Skills!A19</f>
        <v/>
      </c>
      <c r="B936">
        <f>Skills!B19</f>
        <v/>
      </c>
      <c r="C936">
        <f>Inputs!$B$3&gt;=72</f>
        <v/>
      </c>
      <c r="D936">
        <f>IF(Skills!C19=1,60+Inputs!$B$25+Inputs!$B$29,IF(Skills!C19=2,90+Inputs!$B$26+Inputs!$B$29,IF(Skills!C19=3,120+(Inputs!$B$27+1)+Inputs!$B$29,MAX(0,(Inputs!$B$3-100)*3)+Inputs!$B$28+Inputs!$B$29)))</f>
        <v/>
      </c>
      <c r="E936">
        <f>INDEX(FactorTable!$B$2:$Y$301, MATCH(ROUND(MIN(300,MAX(1,D936)),0), FactorTable!$A$2:$A$301,0), Skills!M19+1)</f>
        <v/>
      </c>
      <c r="F936">
        <f>IF(Skills!N19=TRUE,(Skills!L19/10)*(E936/1000),Skills!L19/10)+Skills!O19</f>
        <v/>
      </c>
      <c r="G936">
        <f>Skills!G19*IF(Skills!H19&gt;0,Skills!I19/Skills!H19,1)</f>
        <v/>
      </c>
      <c r="H936">
        <f>1-(1-Skills!J19/100)^Skills!K19</f>
        <v/>
      </c>
      <c r="I936" t="inlineStr">
        <is>
          <t>1</t>
        </is>
      </c>
      <c r="J936" t="inlineStr"/>
      <c r="K936" t="inlineStr"/>
      <c r="L936" t="inlineStr"/>
      <c r="M936" t="inlineStr"/>
      <c r="N936" t="inlineStr"/>
      <c r="O936">
        <f>(1-Summary!$B$11)*T936+Summary!$B$11*V936</f>
        <v/>
      </c>
      <c r="P936">
        <f>IF(B961=0,0,O936/B961)</f>
        <v/>
      </c>
      <c r="Q936" t="n">
        <v>0</v>
      </c>
      <c r="R936" t="n">
        <v>0</v>
      </c>
      <c r="S936">
        <f>IFERROR(O936/N936,0)</f>
        <v/>
      </c>
      <c r="T936" t="n">
        <v>0</v>
      </c>
      <c r="V936" t="n">
        <v>0</v>
      </c>
    </row>
    <row r="937">
      <c r="A937">
        <f>Skills!A20</f>
        <v/>
      </c>
      <c r="B937">
        <f>Skills!B20</f>
        <v/>
      </c>
      <c r="C937">
        <f>TRUE</f>
        <v/>
      </c>
      <c r="D937">
        <f>IF(Skills!C20=1,60+Inputs!$B$25+Inputs!$B$29,IF(Skills!C20=2,90+Inputs!$B$26+Inputs!$B$29,IF(Skills!C20=3,120+(Inputs!$B$27+1)+Inputs!$B$29,MAX(0,(Inputs!$B$3-100)*3)+Inputs!$B$28+Inputs!$B$29)))</f>
        <v/>
      </c>
      <c r="E937">
        <f>INDEX(FactorTable!$B$2:$Y$301, MATCH(ROUND(MIN(300,MAX(1,D937)),0), FactorTable!$A$2:$A$301,0), Skills!M20+1)</f>
        <v/>
      </c>
      <c r="F937">
        <f>IF(Skills!N20=TRUE,(Skills!L20/10)*(E937/1000),Skills!L20/10)+Skills!O20</f>
        <v/>
      </c>
      <c r="G937">
        <f>Skills!G20*IF(Skills!H20&gt;0,Skills!I20/Skills!H20,1)</f>
        <v/>
      </c>
      <c r="H937">
        <f>1-(1-Skills!J20/100)^Skills!K20</f>
        <v/>
      </c>
      <c r="I937" t="inlineStr">
        <is>
          <t>1</t>
        </is>
      </c>
      <c r="J937" t="inlineStr"/>
      <c r="K937" t="inlineStr"/>
      <c r="L937" t="inlineStr"/>
      <c r="M937" t="inlineStr"/>
      <c r="N937" t="inlineStr"/>
      <c r="O937">
        <f>(1-Summary!$B$11)*T937+Summary!$B$11*V937</f>
        <v/>
      </c>
      <c r="P937">
        <f>IF(B961=0,0,O937/B961)</f>
        <v/>
      </c>
      <c r="Q937">
        <f>IFERROR(1/(IF(Inputs!$B$38="pvp",15,MAX(0.1,Skills!D20-IF(Skills!E20=TRUE,Inputs!$B$32,0)))*(1-IF(AND(ArtifactsInput!$M$27,Inputs!$B$4="Chapter Hunt"),CHOOSE(ArtifactsInput!$N$27+1,20,24,28,32,36,40),0)/100)),0)</f>
        <v/>
      </c>
      <c r="R937">
        <f>IF(AND(Inputs!$B$38&lt;&gt;"pvp",Inputs!$B$43&gt;0),IF(Inputs!$B$43&lt;=0,0,(INT(Inputs!$B$43/(IF(Inputs!$B$38="pvp",15,MAX(0.1,Skills!D20-IF(Skills!E20=TRUE,Inputs!$B$32,0)))*(1-IF(AND(ArtifactsInput!$M$27,Inputs!$B$4="Chapter Hunt"),CHOOSE(ArtifactsInput!$N$27+1,20,24,28,32,36,40),0)/100)))+1)),0)</f>
        <v/>
      </c>
      <c r="S937">
        <f>IFERROR(O937/N937,0)</f>
        <v/>
      </c>
      <c r="T937" t="n">
        <v>0</v>
      </c>
      <c r="V937" t="n">
        <v>0</v>
      </c>
    </row>
    <row r="938">
      <c r="A938">
        <f>Skills!A21</f>
        <v/>
      </c>
      <c r="B938">
        <f>Skills!B21</f>
        <v/>
      </c>
      <c r="C938">
        <f>Inputs!$B$3&gt;=15</f>
        <v/>
      </c>
      <c r="D938">
        <f>IF(Skills!C21=1,60+Inputs!$B$25+Inputs!$B$29,IF(Skills!C21=2,90+Inputs!$B$26+Inputs!$B$29,IF(Skills!C21=3,120+(Inputs!$B$27+1)+Inputs!$B$29,MAX(0,(Inputs!$B$3-100)*3)+Inputs!$B$28+Inputs!$B$29)))</f>
        <v/>
      </c>
      <c r="E938">
        <f>INDEX(FactorTable!$B$2:$Y$301, MATCH(ROUND(MIN(300,MAX(1,D938)),0), FactorTable!$A$2:$A$301,0), Skills!M21+1)</f>
        <v/>
      </c>
      <c r="F938">
        <f>IF(Skills!N21=TRUE,(Skills!L21/10)*(E938/1000),Skills!L21/10)+Skills!O21</f>
        <v/>
      </c>
      <c r="G938">
        <f>Skills!G21*IF(Skills!H21&gt;0,Skills!I21/Skills!H21,1)</f>
        <v/>
      </c>
      <c r="H938">
        <f>1-(1-Skills!J21/100)^Skills!K21</f>
        <v/>
      </c>
      <c r="I938" t="inlineStr">
        <is>
          <t>1</t>
        </is>
      </c>
      <c r="J938" t="inlineStr"/>
      <c r="K938" t="inlineStr"/>
      <c r="L938" t="inlineStr"/>
      <c r="M938" t="inlineStr"/>
      <c r="N938" t="inlineStr"/>
      <c r="O938">
        <f>(1-Summary!$B$11)*T938+Summary!$B$11*V938</f>
        <v/>
      </c>
      <c r="P938">
        <f>IF(B961=0,0,O938/B961)</f>
        <v/>
      </c>
      <c r="Q938" t="n">
        <v>0</v>
      </c>
      <c r="R938" t="n">
        <v>0</v>
      </c>
      <c r="S938">
        <f>IFERROR(O938/N938,0)</f>
        <v/>
      </c>
      <c r="T938" t="n">
        <v>0</v>
      </c>
      <c r="V938" t="n">
        <v>0</v>
      </c>
    </row>
    <row r="939">
      <c r="A939">
        <f>Skills!A22</f>
        <v/>
      </c>
      <c r="B939">
        <f>Skills!B22</f>
        <v/>
      </c>
      <c r="C939">
        <f>Inputs!$B$3&gt;=10</f>
        <v/>
      </c>
      <c r="D939">
        <f>IF(Skills!C22=1,60+Inputs!$B$25+Inputs!$B$29,IF(Skills!C22=2,90+Inputs!$B$26+Inputs!$B$29,IF(Skills!C22=3,120+(Inputs!$B$27+1)+Inputs!$B$29,MAX(0,(Inputs!$B$3-100)*3)+Inputs!$B$28+Inputs!$B$29)))</f>
        <v/>
      </c>
      <c r="E939">
        <f>INDEX(FactorTable!$B$2:$Y$301, MATCH(ROUND(MIN(300,MAX(1,D939)),0), FactorTable!$A$2:$A$301,0), Skills!M22+1)</f>
        <v/>
      </c>
      <c r="F939">
        <f>IF(Skills!N22=TRUE,(Skills!L22/10)*(E939/1000),Skills!L22/10)+Skills!O22</f>
        <v/>
      </c>
      <c r="G939">
        <f>Skills!G22*IF(Skills!H22&gt;0,Skills!I22/Skills!H22,1)</f>
        <v/>
      </c>
      <c r="H939">
        <f>1-(1-Skills!J22/100)^Skills!K22</f>
        <v/>
      </c>
      <c r="I939" t="inlineStr">
        <is>
          <t>1</t>
        </is>
      </c>
      <c r="J939" t="inlineStr"/>
      <c r="K939" t="inlineStr"/>
      <c r="L939" t="inlineStr"/>
      <c r="M939" t="inlineStr"/>
      <c r="N939" t="inlineStr"/>
      <c r="O939">
        <f>(1-Summary!$B$11)*T939+Summary!$B$11*V939</f>
        <v/>
      </c>
      <c r="P939">
        <f>IF(B961=0,0,O939/B961)</f>
        <v/>
      </c>
      <c r="Q939" t="n">
        <v>0</v>
      </c>
      <c r="R939" t="n">
        <v>0</v>
      </c>
      <c r="S939">
        <f>IFERROR(O939/N939,0)</f>
        <v/>
      </c>
      <c r="T939" t="n">
        <v>0</v>
      </c>
      <c r="V939" t="n">
        <v>0</v>
      </c>
    </row>
    <row r="940">
      <c r="A940">
        <f>Skills!A23</f>
        <v/>
      </c>
      <c r="B940">
        <f>Skills!B23</f>
        <v/>
      </c>
      <c r="C940">
        <f>Inputs!$B$3&gt;=33</f>
        <v/>
      </c>
      <c r="D940">
        <f>IF(Skills!C23=1,60+Inputs!$B$25+Inputs!$B$29,IF(Skills!C23=2,90+Inputs!$B$26+Inputs!$B$29,IF(Skills!C23=3,120+(Inputs!$B$27+1)+Inputs!$B$29,MAX(0,(Inputs!$B$3-100)*3)+Inputs!$B$28+Inputs!$B$29)))</f>
        <v/>
      </c>
      <c r="E940">
        <f>INDEX(FactorTable!$B$2:$Y$301, MATCH(ROUND(MIN(300,MAX(1,D940)),0), FactorTable!$A$2:$A$301,0), Skills!M23+1)</f>
        <v/>
      </c>
      <c r="F940">
        <f>IF(Skills!N23=TRUE,(Skills!L23/10)*(E940/1000),Skills!L23/10)+Skills!O23</f>
        <v/>
      </c>
      <c r="G940">
        <f>Skills!G23*IF(Skills!H23&gt;0,Skills!I23/Skills!H23,1)</f>
        <v/>
      </c>
      <c r="H940">
        <f>1-(1-Skills!J23/100)^Skills!K23</f>
        <v/>
      </c>
      <c r="I940" t="inlineStr">
        <is>
          <t>1</t>
        </is>
      </c>
      <c r="J940" t="inlineStr"/>
      <c r="K940" t="inlineStr"/>
      <c r="L940" t="inlineStr"/>
      <c r="M940" t="inlineStr"/>
      <c r="N940" t="inlineStr"/>
      <c r="O940">
        <f>(1-Summary!$B$11)*T940+Summary!$B$11*V940</f>
        <v/>
      </c>
      <c r="P940">
        <f>IF(B961=0,0,O940/B961)</f>
        <v/>
      </c>
      <c r="Q940" t="n">
        <v>0</v>
      </c>
      <c r="R940" t="n">
        <v>0</v>
      </c>
      <c r="S940">
        <f>IFERROR(O940/N940,0)</f>
        <v/>
      </c>
      <c r="T940" t="n">
        <v>0</v>
      </c>
      <c r="V940" t="n">
        <v>0</v>
      </c>
    </row>
    <row r="941">
      <c r="A941">
        <f>Skills!A24</f>
        <v/>
      </c>
      <c r="B941">
        <f>Skills!B24</f>
        <v/>
      </c>
      <c r="C941">
        <f>Inputs!$B$3&gt;=38</f>
        <v/>
      </c>
      <c r="D941">
        <f>IF(Skills!C24=1,60+Inputs!$B$25+Inputs!$B$29,IF(Skills!C24=2,90+Inputs!$B$26+Inputs!$B$29,IF(Skills!C24=3,120+(Inputs!$B$27+1)+Inputs!$B$29,MAX(0,(Inputs!$B$3-100)*3)+Inputs!$B$28+Inputs!$B$29)))</f>
        <v/>
      </c>
      <c r="E941">
        <f>INDEX(FactorTable!$B$2:$Y$301, MATCH(ROUND(MIN(300,MAX(1,D941)),0), FactorTable!$A$2:$A$301,0), Skills!M24+1)</f>
        <v/>
      </c>
      <c r="F941">
        <f>IF(Skills!N24=TRUE,(Skills!L24/10)*(E941/1000),Skills!L24/10)+Skills!O24</f>
        <v/>
      </c>
      <c r="G941">
        <f>Skills!G24*IF(Skills!H24&gt;0,Skills!I24/Skills!H24,1)</f>
        <v/>
      </c>
      <c r="H941">
        <f>1-(1-Skills!J24/100)^Skills!K24</f>
        <v/>
      </c>
      <c r="I941" t="inlineStr">
        <is>
          <t>1</t>
        </is>
      </c>
      <c r="J941" t="inlineStr"/>
      <c r="K941" t="inlineStr"/>
      <c r="L941" t="inlineStr"/>
      <c r="M941" t="inlineStr"/>
      <c r="N941" t="inlineStr"/>
      <c r="O941">
        <f>(1-Summary!$B$11)*T941+Summary!$B$11*V941</f>
        <v/>
      </c>
      <c r="P941">
        <f>IF(B961=0,0,O941/B961)</f>
        <v/>
      </c>
      <c r="Q941" t="n">
        <v>0</v>
      </c>
      <c r="R941" t="n">
        <v>0</v>
      </c>
      <c r="S941">
        <f>IFERROR(O941/N941,0)</f>
        <v/>
      </c>
      <c r="T941" t="n">
        <v>0</v>
      </c>
      <c r="V941" t="n">
        <v>0</v>
      </c>
    </row>
    <row r="942">
      <c r="A942">
        <f>Skills!A25</f>
        <v/>
      </c>
      <c r="B942">
        <f>Skills!B25</f>
        <v/>
      </c>
      <c r="C942">
        <f>Inputs!$B$3&gt;=43</f>
        <v/>
      </c>
      <c r="D942">
        <f>IF(Skills!C25=1,60+Inputs!$B$25+Inputs!$B$29,IF(Skills!C25=2,90+Inputs!$B$26+Inputs!$B$29,IF(Skills!C25=3,120+(Inputs!$B$27+1)+Inputs!$B$29,MAX(0,(Inputs!$B$3-100)*3)+Inputs!$B$28+Inputs!$B$29)))</f>
        <v/>
      </c>
      <c r="E942">
        <f>INDEX(FactorTable!$B$2:$Y$301, MATCH(ROUND(MIN(300,MAX(1,D942)),0), FactorTable!$A$2:$A$301,0), Skills!M25+1)</f>
        <v/>
      </c>
      <c r="F942">
        <f>IF(Skills!N25=TRUE,(Skills!L25/10)*(E942/1000),Skills!L25/10)+Skills!O25</f>
        <v/>
      </c>
      <c r="G942">
        <f>Skills!G25*IF(Skills!H25&gt;0,Skills!I25/Skills!H25,1)</f>
        <v/>
      </c>
      <c r="H942">
        <f>1-(1-Skills!J25/100)^Skills!K25</f>
        <v/>
      </c>
      <c r="I942" t="inlineStr">
        <is>
          <t>1</t>
        </is>
      </c>
      <c r="J942" t="inlineStr"/>
      <c r="K942" t="inlineStr"/>
      <c r="L942" t="inlineStr"/>
      <c r="M942" t="inlineStr"/>
      <c r="N942" t="inlineStr"/>
      <c r="O942">
        <f>(1-Summary!$B$11)*T942+Summary!$B$11*V942</f>
        <v/>
      </c>
      <c r="P942">
        <f>IF(B961=0,0,O942/B961)</f>
        <v/>
      </c>
      <c r="Q942" t="n">
        <v>0</v>
      </c>
      <c r="R942" t="n">
        <v>0</v>
      </c>
      <c r="S942">
        <f>IFERROR(O942/N942,0)</f>
        <v/>
      </c>
      <c r="T942" t="n">
        <v>0</v>
      </c>
      <c r="V942" t="n">
        <v>0</v>
      </c>
    </row>
    <row r="943">
      <c r="A943">
        <f>Skills!A26</f>
        <v/>
      </c>
      <c r="B943">
        <f>Skills!B26</f>
        <v/>
      </c>
      <c r="C943">
        <f>Inputs!$B$3&gt;=75</f>
        <v/>
      </c>
      <c r="D943">
        <f>IF(Skills!C26=1,60+Inputs!$B$25+Inputs!$B$29,IF(Skills!C26=2,90+Inputs!$B$26+Inputs!$B$29,IF(Skills!C26=3,120+(Inputs!$B$27+1)+Inputs!$B$29,MAX(0,(Inputs!$B$3-100)*3)+Inputs!$B$28+Inputs!$B$29)))</f>
        <v/>
      </c>
      <c r="E943">
        <f>INDEX(FactorTable!$B$2:$Y$301, MATCH(ROUND(MIN(300,MAX(1,D943)),0), FactorTable!$A$2:$A$301,0), Skills!M26+1)</f>
        <v/>
      </c>
      <c r="F943">
        <f>IF(Skills!N26=TRUE,(Skills!L26/10)*(E943/1000),Skills!L26/10)+Skills!O26</f>
        <v/>
      </c>
      <c r="G943">
        <f>Skills!G26*IF(Skills!H26&gt;0,Skills!I26/Skills!H26,1)</f>
        <v/>
      </c>
      <c r="H943">
        <f>1-(1-Skills!J26/100)^Skills!K26</f>
        <v/>
      </c>
      <c r="I943" t="inlineStr">
        <is>
          <t>1</t>
        </is>
      </c>
      <c r="J943" t="inlineStr"/>
      <c r="K943" t="inlineStr"/>
      <c r="L943" t="inlineStr"/>
      <c r="M943" t="inlineStr"/>
      <c r="N943" t="inlineStr"/>
      <c r="O943">
        <f>(1-Summary!$B$11)*T943+Summary!$B$11*V943</f>
        <v/>
      </c>
      <c r="P943">
        <f>IF(B961=0,0,O943/B961)</f>
        <v/>
      </c>
      <c r="Q943" t="n">
        <v>0</v>
      </c>
      <c r="R943" t="n">
        <v>0</v>
      </c>
      <c r="S943">
        <f>IFERROR(O943/N943,0)</f>
        <v/>
      </c>
      <c r="T943" t="n">
        <v>0</v>
      </c>
      <c r="V943" t="n">
        <v>0</v>
      </c>
    </row>
    <row r="944">
      <c r="A944">
        <f>Skills!A27</f>
        <v/>
      </c>
      <c r="B944">
        <f>Skills!B27</f>
        <v/>
      </c>
      <c r="C944">
        <f>Inputs!$B$3&gt;=125</f>
        <v/>
      </c>
      <c r="D944">
        <f>IF(Skills!C27=1,60+Inputs!$B$25+Inputs!$B$29,IF(Skills!C27=2,90+Inputs!$B$26+Inputs!$B$29,IF(Skills!C27=3,120+(Inputs!$B$27+1)+Inputs!$B$29,MAX(0,(Inputs!$B$3-100)*3)+Inputs!$B$28+Inputs!$B$29)))</f>
        <v/>
      </c>
      <c r="E944">
        <f>INDEX(FactorTable!$B$2:$Y$301, MATCH(ROUND(MIN(300,MAX(1,D944)),0), FactorTable!$A$2:$A$301,0), Skills!M27+1)</f>
        <v/>
      </c>
      <c r="F944">
        <f>IF(Skills!N27=TRUE,(Skills!L27/10)*(E944/1000),Skills!L27/10)+Skills!O27</f>
        <v/>
      </c>
      <c r="G944">
        <f>Skills!G27*IF(Skills!H27&gt;0,Skills!I27/Skills!H27,1)</f>
        <v/>
      </c>
      <c r="H944">
        <f>1-(1-Skills!J27/100)^Skills!K27</f>
        <v/>
      </c>
      <c r="I944" t="inlineStr">
        <is>
          <t>1</t>
        </is>
      </c>
      <c r="J944" t="inlineStr"/>
      <c r="K944" t="inlineStr"/>
      <c r="L944" t="inlineStr"/>
      <c r="M944" t="inlineStr"/>
      <c r="N944" t="inlineStr"/>
      <c r="O944">
        <f>(1-Summary!$B$11)*T944+Summary!$B$11*V944</f>
        <v/>
      </c>
      <c r="P944">
        <f>IF(B961=0,0,O944/B961)</f>
        <v/>
      </c>
      <c r="Q944" t="n">
        <v>0</v>
      </c>
      <c r="R944" t="n">
        <v>0</v>
      </c>
      <c r="S944">
        <f>IFERROR(O944/N944,0)</f>
        <v/>
      </c>
      <c r="T944" t="n">
        <v>0</v>
      </c>
      <c r="V944" t="n">
        <v>0</v>
      </c>
    </row>
    <row r="945">
      <c r="A945">
        <f>Skills!A28</f>
        <v/>
      </c>
      <c r="B945">
        <f>Skills!B28</f>
        <v/>
      </c>
      <c r="C945">
        <f>Inputs!$B$3&gt;=125</f>
        <v/>
      </c>
      <c r="D945">
        <f>IF(Skills!C28=1,60+Inputs!$B$25+Inputs!$B$29,IF(Skills!C28=2,90+Inputs!$B$26+Inputs!$B$29,IF(Skills!C28=3,120+(Inputs!$B$27+1)+Inputs!$B$29,MAX(0,(Inputs!$B$3-100)*3)+Inputs!$B$28+Inputs!$B$29)))</f>
        <v/>
      </c>
      <c r="E945">
        <f>INDEX(FactorTable!$B$2:$Y$301, MATCH(ROUND(MIN(300,MAX(1,D945)),0), FactorTable!$A$2:$A$301,0), Skills!M28+1)</f>
        <v/>
      </c>
      <c r="F945">
        <f>IF(Skills!N28=TRUE,(Skills!L28/10)*(E945/1000),Skills!L28/10)+Skills!O28</f>
        <v/>
      </c>
      <c r="G945">
        <f>Skills!G28*IF(Skills!H28&gt;0,Skills!I28/Skills!H28,1)</f>
        <v/>
      </c>
      <c r="H945">
        <f>1-(1-Skills!J28/100)^Skills!K28</f>
        <v/>
      </c>
      <c r="I945" t="inlineStr">
        <is>
          <t>1</t>
        </is>
      </c>
      <c r="J945" t="inlineStr"/>
      <c r="K945" t="inlineStr"/>
      <c r="L945" t="inlineStr"/>
      <c r="M945" t="inlineStr"/>
      <c r="N945" t="inlineStr"/>
      <c r="O945">
        <f>(1-Summary!$B$11)*T945+Summary!$B$11*V945</f>
        <v/>
      </c>
      <c r="P945">
        <f>IF(B961=0,0,O945/B961)</f>
        <v/>
      </c>
      <c r="Q945" t="n">
        <v>0</v>
      </c>
      <c r="R945" t="n">
        <v>0</v>
      </c>
      <c r="S945">
        <f>IFERROR(O945/N945,0)</f>
        <v/>
      </c>
      <c r="T945" t="n">
        <v>0</v>
      </c>
      <c r="V945" t="n">
        <v>0</v>
      </c>
    </row>
    <row r="946">
      <c r="A946">
        <f>Skills!A29</f>
        <v/>
      </c>
      <c r="B946">
        <f>Skills!B29</f>
        <v/>
      </c>
      <c r="C946">
        <f>Inputs!$B$3&gt;=120</f>
        <v/>
      </c>
      <c r="D946">
        <f>IF(Skills!C29=1,60+Inputs!$B$25+Inputs!$B$29,IF(Skills!C29=2,90+Inputs!$B$26+Inputs!$B$29,IF(Skills!C29=3,120+(Inputs!$B$27+1)+Inputs!$B$29,MAX(0,(Inputs!$B$3-100)*3)+Inputs!$B$28+Inputs!$B$29)))</f>
        <v/>
      </c>
      <c r="E946">
        <f>INDEX(FactorTable!$B$2:$Y$301, MATCH(ROUND(MIN(300,MAX(1,D946)),0), FactorTable!$A$2:$A$301,0), Skills!M29+1)</f>
        <v/>
      </c>
      <c r="F946">
        <f>IF(Skills!N29=TRUE,(Skills!L29/10)*(E946/1000),Skills!L29/10)+Skills!O29</f>
        <v/>
      </c>
      <c r="G946">
        <f>Skills!G29*IF(Skills!H29&gt;0,Skills!I29/Skills!H29,1)</f>
        <v/>
      </c>
      <c r="H946">
        <f>1-(1-Skills!J29/100)^Skills!K29</f>
        <v/>
      </c>
      <c r="I946" t="inlineStr">
        <is>
          <t>1</t>
        </is>
      </c>
      <c r="J946" t="inlineStr"/>
      <c r="K946" t="inlineStr"/>
      <c r="L946" t="inlineStr"/>
      <c r="M946" t="inlineStr"/>
      <c r="N946" t="inlineStr"/>
      <c r="O946">
        <f>(1-Summary!$B$11)*T946+Summary!$B$11*V946</f>
        <v/>
      </c>
      <c r="P946">
        <f>IF(B961=0,0,O946/B961)</f>
        <v/>
      </c>
      <c r="Q946" t="n">
        <v>0</v>
      </c>
      <c r="R946" t="n">
        <v>0</v>
      </c>
      <c r="S946">
        <f>IFERROR(O946/N946,0)</f>
        <v/>
      </c>
      <c r="T946" t="n">
        <v>0</v>
      </c>
      <c r="V946" t="n">
        <v>0</v>
      </c>
    </row>
    <row r="947">
      <c r="A947">
        <f>Skills!A30</f>
        <v/>
      </c>
      <c r="B947">
        <f>Skills!B30</f>
        <v/>
      </c>
      <c r="C947">
        <f>Inputs!$B$3&gt;=120</f>
        <v/>
      </c>
      <c r="D947">
        <f>IF(Skills!C30=1,60+Inputs!$B$25+Inputs!$B$29,IF(Skills!C30=2,90+Inputs!$B$26+Inputs!$B$29,IF(Skills!C30=3,120+(Inputs!$B$27+1)+Inputs!$B$29,MAX(0,(Inputs!$B$3-100)*3)+Inputs!$B$28+Inputs!$B$29)))</f>
        <v/>
      </c>
      <c r="E947">
        <f>INDEX(FactorTable!$B$2:$Y$301, MATCH(ROUND(MIN(300,MAX(1,D947)),0), FactorTable!$A$2:$A$301,0), Skills!M30+1)</f>
        <v/>
      </c>
      <c r="F947">
        <f>IF(Skills!N30=TRUE,(Skills!L30/10)*(E947/1000),Skills!L30/10)+Skills!O30</f>
        <v/>
      </c>
      <c r="G947">
        <f>Skills!G30*IF(Skills!H30&gt;0,Skills!I30/Skills!H30,1)</f>
        <v/>
      </c>
      <c r="H947">
        <f>1-(1-Skills!J30/100)^Skills!K30</f>
        <v/>
      </c>
      <c r="I947" t="inlineStr">
        <is>
          <t>1</t>
        </is>
      </c>
      <c r="J947" t="inlineStr"/>
      <c r="K947" t="inlineStr"/>
      <c r="L947" t="inlineStr"/>
      <c r="M947" t="inlineStr"/>
      <c r="N947" t="inlineStr"/>
      <c r="O947">
        <f>(1-Summary!$B$11)*T947+Summary!$B$11*V947</f>
        <v/>
      </c>
      <c r="P947">
        <f>IF(B961=0,0,O947/B961)</f>
        <v/>
      </c>
      <c r="Q947" t="n">
        <v>0</v>
      </c>
      <c r="R947" t="n">
        <v>0</v>
      </c>
      <c r="S947">
        <f>IFERROR(O947/N947,0)</f>
        <v/>
      </c>
      <c r="T947" t="n">
        <v>0</v>
      </c>
      <c r="V947" t="n">
        <v>0</v>
      </c>
    </row>
    <row r="948">
      <c r="A948">
        <f>Skills!A31</f>
        <v/>
      </c>
      <c r="B948">
        <f>Skills!B31</f>
        <v/>
      </c>
      <c r="C948">
        <f>Inputs!$B$3&gt;=45</f>
        <v/>
      </c>
      <c r="D948">
        <f>IF(Skills!C31=1,60+Inputs!$B$25+Inputs!$B$29,IF(Skills!C31=2,90+Inputs!$B$26+Inputs!$B$29,IF(Skills!C31=3,120+(Inputs!$B$27+1)+Inputs!$B$29,MAX(0,(Inputs!$B$3-100)*3)+Inputs!$B$28+Inputs!$B$29)))</f>
        <v/>
      </c>
      <c r="E948">
        <f>INDEX(FactorTable!$B$2:$Y$301, MATCH(ROUND(MIN(300,MAX(1,D948)),0), FactorTable!$A$2:$A$301,0), Skills!M31+1)</f>
        <v/>
      </c>
      <c r="F948">
        <f>IF(Skills!N31=TRUE,(Skills!L31/10)*(E948/1000),Skills!L31/10)+Skills!O31</f>
        <v/>
      </c>
      <c r="G948">
        <f>Skills!G31*IF(Skills!H31&gt;0,Skills!I31/Skills!H31,1)</f>
        <v/>
      </c>
      <c r="H948">
        <f>1-(1-Skills!J31/100)^Skills!K31</f>
        <v/>
      </c>
      <c r="I948" t="inlineStr">
        <is>
          <t>1</t>
        </is>
      </c>
      <c r="J948" t="inlineStr"/>
      <c r="K948" t="inlineStr"/>
      <c r="L948" t="inlineStr"/>
      <c r="M948" t="inlineStr"/>
      <c r="N948" t="inlineStr"/>
      <c r="O948">
        <f>(1-Summary!$B$11)*T948+Summary!$B$11*V948</f>
        <v/>
      </c>
      <c r="P948">
        <f>IF(B961=0,0,O948/B961)</f>
        <v/>
      </c>
      <c r="Q948" t="n">
        <v>0</v>
      </c>
      <c r="R948" t="n">
        <v>0</v>
      </c>
      <c r="S948">
        <f>IFERROR(O948/N948,0)</f>
        <v/>
      </c>
      <c r="T948" t="n">
        <v>0</v>
      </c>
      <c r="V948" t="n">
        <v>0</v>
      </c>
    </row>
    <row r="950">
      <c r="A950" t="inlineStr">
        <is>
          <t>Attack% Bucket Multiplier</t>
        </is>
      </c>
      <c r="B950">
        <f>(1+(((C931=TRUE)*F931)+((C932=TRUE)*IF(Inputs!$B$38="pvp",F932,(1-Summary!$B$11)*(F932)+Summary!$B$11*(0)))+((C933=TRUE)*F933*IF(AND(Inputs!$B$38&lt;&gt;"pvp",Inputs!$B$43&gt;0),(((R933-1)*(Skills!T16*(1+Inputs!$B$34/100))+MIN((Skills!T16*(1+Inputs!$B$34/100)),MAX(0,Inputs!$B$43-((R933-1)*Skills!D16))))/Inputs!$B$43),IF(Inputs!$B$38="pvp",MIN((Skills!T16*(1+Inputs!$B$34/100)),15)/15,(Skills!T16*(1+Inputs!$B$34/100))/Skills!D16)))+((C948=TRUE)*(F948-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51">
      <c r="A951" t="inlineStr">
        <is>
          <t>Global Crit Rate Bonus %</t>
        </is>
      </c>
      <c r="B951">
        <f>(C934=TRUE)*20*IF(AND(Inputs!$B$38&lt;&gt;"pvp",Inputs!$B$43&gt;0),(((R934-1)*(Skills!T17*(1+Inputs!$B$34/100))+MIN((Skills!T17*(1+Inputs!$B$34/100)),MAX(0,Inputs!$B$43-((R934-1)*Skills!D17))))/Inputs!$B$43),IF(Inputs!$B$38="pvp",MIN((Skills!T17*(1+Inputs!$B$34/100)),15)/15,(Skills!T17*(1+Inputs!$B$34/100))/Skills!D17))</f>
        <v/>
      </c>
    </row>
    <row r="952">
      <c r="A952" t="inlineStr">
        <is>
          <t>Attack Speed Buff Bonus %</t>
        </is>
      </c>
      <c r="B952">
        <f>((C937=TRUE)*F937*IF(AND(Inputs!$B$38&lt;&gt;"pvp",Inputs!$B$43&gt;0),(((R937-1)*(Skills!T20*(1+Inputs!$B$34/100))+MIN((Skills!T20*(1+Inputs!$B$34/100)),MAX(0,Inputs!$B$43-((R937-1)*Skills!D20))))/Inputs!$B$43),IF(Inputs!$B$38="pvp",MIN((Skills!T20*(1+Inputs!$B$34/100)),15)/15,(Skills!T20*(1+Inputs!$B$34/100))/Skills!D20)))</f>
        <v/>
      </c>
    </row>
    <row r="953">
      <c r="A953" t="inlineStr">
        <is>
          <t>Actions Per Second</t>
        </is>
      </c>
      <c r="B953">
        <f>1+MIN(150,150*(1-(1-(Inputs!$B$11+((C939=TRUE)*(F939-Calc!F22))+((C940=TRUE)*(F940-Calc!F23)))/150)*(1-B952/150)))/100</f>
        <v/>
      </c>
    </row>
    <row r="954">
      <c r="A954" t="inlineStr">
        <is>
          <t>Skill + Buff Cast Rate</t>
        </is>
      </c>
      <c r="B954">
        <f>IF(AND(Inputs!$B$38&lt;&gt;"pvp",Inputs!$B$43&gt;0),SUMPRODUCT((Skills!E2:E31=TRUE)*(C919:C948=TRUE)*R919:R948*Skills!F2:F31)/Inputs!$B$43,SUMPRODUCT((Skills!E2:E31=TRUE)*(C919:C948=TRUE)*Q919:Q948*Skills!F2:F31))</f>
        <v/>
      </c>
    </row>
    <row r="955">
      <c r="A955" t="inlineStr">
        <is>
          <t>Arrow Stream Casts Per Second</t>
        </is>
      </c>
      <c r="B955">
        <f>MAX(0,B953-B954)</f>
        <v/>
      </c>
    </row>
    <row r="956">
      <c r="A956" t="inlineStr">
        <is>
          <t>Global Critical Damage Bonus % (Sharp Eyes + Concentration)</t>
        </is>
      </c>
      <c r="B956">
        <f>(C934=TRUE)*F934*IF(AND(Inputs!$B$38&lt;&gt;"pvp",Inputs!$B$43&gt;0),(((R934-1)*(Skills!T17*(1+Inputs!$B$34/100))+MIN((Skills!T17*(1+Inputs!$B$34/100)),MAX(0,Inputs!$B$43-((R934-1)*Skills!D17))))/Inputs!$B$43),IF(Inputs!$B$38="pvp",MIN((Skills!T17*(1+Inputs!$B$34/100)),15)/15,(Skills!T17*(1+Inputs!$B$34/100))/Skills!D17))+(C935=TRUE)*30</f>
        <v/>
      </c>
    </row>
    <row r="957">
      <c r="A957" t="inlineStr">
        <is>
          <t>Global Final Damage Bonus % (Mortal Blow)</t>
        </is>
      </c>
      <c r="B957">
        <f>(C936=TRUE)*F936</f>
        <v/>
      </c>
    </row>
    <row r="958">
      <c r="A958" t="inlineStr">
        <is>
          <t>Buff-Casting Startup Delay (s, fixed-duration only)</t>
        </is>
      </c>
      <c r="B958">
        <f>IF(AND(Inputs!$B$38&lt;&gt;"pvp",Inputs!$B$43&gt;0),SUMPRODUCT((Skills!T2:T31&gt;0)*(Skills!E2:E31=TRUE)*(C919:C948=TRUE))/B953,0)</f>
        <v/>
      </c>
    </row>
    <row r="959">
      <c r="A959" t="inlineStr">
        <is>
          <t>Boss-Only Total DPS (this block's swept value)</t>
        </is>
      </c>
      <c r="B959">
        <f>SUM(T919:T948)</f>
        <v/>
      </c>
    </row>
    <row r="960">
      <c r="A960" t="inlineStr">
        <is>
          <t>Normal-Only Total DPS (this block's swept value)</t>
        </is>
      </c>
      <c r="B960">
        <f>SUM(V919:V948)</f>
        <v/>
      </c>
    </row>
    <row r="961">
      <c r="A961" s="6" t="inlineStr">
        <is>
          <t>TOTAL DPS</t>
        </is>
      </c>
      <c r="B961" s="6">
        <f>SUM(O919:O948)</f>
        <v/>
      </c>
    </row>
    <row r="964">
      <c r="A964" s="6" t="inlineStr">
        <is>
          <t>Stat: Skill Level Bonus — 4th Job</t>
        </is>
      </c>
    </row>
    <row r="965">
      <c r="A965" s="5" t="inlineStr">
        <is>
          <t>Key</t>
        </is>
      </c>
      <c r="B965" s="5" t="inlineStr">
        <is>
          <t>Name</t>
        </is>
      </c>
      <c r="C965" s="5" t="inlineStr">
        <is>
          <t>Unlocked</t>
        </is>
      </c>
      <c r="D965" s="5" t="inlineStr">
        <is>
          <t>InputLevel</t>
        </is>
      </c>
      <c r="E965" s="5" t="inlineStr">
        <is>
          <t>Factor</t>
        </is>
      </c>
      <c r="F965" s="5" t="inlineStr">
        <is>
          <t>CoefficientPercent</t>
        </is>
      </c>
      <c r="G965" s="5" t="inlineStr">
        <is>
          <t>EffectiveHits</t>
        </is>
      </c>
      <c r="H965" s="5" t="inlineStr">
        <is>
          <t>ProcProbability</t>
        </is>
      </c>
      <c r="I965" s="5" t="inlineStr">
        <is>
          <t>MapleHeroMultiplier</t>
        </is>
      </c>
      <c r="J965" s="5" t="inlineStr">
        <is>
          <t>BaseDamage</t>
        </is>
      </c>
      <c r="K965" s="5" t="inlineStr">
        <is>
          <t>BaseHitDamage</t>
        </is>
      </c>
      <c r="L965" s="5" t="inlineStr">
        <is>
          <t>NonCritAvg</t>
        </is>
      </c>
      <c r="M965" s="5" t="inlineStr">
        <is>
          <t>CritAvg</t>
        </is>
      </c>
      <c r="N965" s="5" t="inlineStr">
        <is>
          <t>ExpectedDamage(perHit)</t>
        </is>
      </c>
      <c r="O965" s="5" t="inlineStr">
        <is>
          <t>DPS</t>
        </is>
      </c>
      <c r="P965" s="5" t="inlineStr">
        <is>
          <t>% of Total</t>
        </is>
      </c>
      <c r="Q965" s="5" t="inlineStr">
        <is>
          <t>InvCooldown</t>
        </is>
      </c>
      <c r="R965" s="5" t="inlineStr">
        <is>
          <t>CastsInFight</t>
        </is>
      </c>
      <c r="S965" s="5" t="inlineStr">
        <is>
          <t>HitRate(perSec)</t>
        </is>
      </c>
      <c r="U965" t="inlineStr">
        <is>
          <t>helpers</t>
        </is>
      </c>
    </row>
    <row r="966">
      <c r="A966">
        <f>Skills!A2</f>
        <v/>
      </c>
      <c r="B966">
        <f>Skills!B2</f>
        <v/>
      </c>
      <c r="C966">
        <f>Inputs!$B$3&gt;=100</f>
        <v/>
      </c>
      <c r="D966" t="inlineStr"/>
      <c r="E966" t="inlineStr"/>
      <c r="F966">
        <f>U968+Skills!O2</f>
        <v/>
      </c>
      <c r="G966">
        <f>Skills!G2*IF(Skills!H2&gt;0,Skills!I2/Skills!H2,1)</f>
        <v/>
      </c>
      <c r="H966">
        <f>1-(1-Skills!J2/100)^Skills!K2</f>
        <v/>
      </c>
      <c r="I966" t="inlineStr">
        <is>
          <t>1</t>
        </is>
      </c>
      <c r="J966">
        <f>((Inputs!$B$6*(1+Inputs!$B$7/100))+(((Inputs!$B$12*(1+Inputs!$B$13/100))-(Inputs!$B$12*(1+Inputs!$B$13/100)))+0.25*(Inputs!$B$14-Inputs!$B$14))*(1+Inputs!$B$7/100))*(F966/100)</f>
        <v/>
      </c>
      <c r="K966">
        <f>J966*(1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966)</f>
        <v/>
      </c>
      <c r="L966">
        <f>K966*(MIN(Inputs!$B$22+((C989=TRUE)*(F989-Calc!F25)),(Inputs!$B$23+((C994=TRUE)*(F994-Calc!F30))+(IF(ArtifactsInput!$M$15,CHOOSE(ArtifactsInput!$N$15+1,25,30,35,40,45,50)/100*(Inputs!$B$11-Inputs!$B$11),0))))/100+(Inputs!$B$23+((C994=TRUE)*(F994-Calc!F30))+(IF(ArtifactsInput!$M$15,CHOOSE(ArtifactsInput!$N$15+1,25,30,35,40,45,50)/100*(Inputs!$B$11-Inputs!$B$11),0)))/100)/2</f>
        <v/>
      </c>
      <c r="M966">
        <f>L966*(1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6">
        <f>L966*(1-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966*(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6">
        <f>(1-Summary!$B$11)*T966+Summary!$B$11*V966</f>
        <v/>
      </c>
      <c r="P966">
        <f>IF(B1008=0,0,O966/B1008)</f>
        <v/>
      </c>
      <c r="Q966" t="n">
        <v>0</v>
      </c>
      <c r="R966" t="n">
        <v>0</v>
      </c>
      <c r="S966">
        <f>IFERROR(O966/N966,0)</f>
        <v/>
      </c>
      <c r="T966">
        <f>IF(C966,(Skills!G2*N966*B1002)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966*(1-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966*(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966*(1-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966*(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6">
        <f>MAX(0,(Inputs!$B$3-100)*3)+(Inputs!$B$28+1)+Inputs!$B$29</f>
        <v/>
      </c>
      <c r="V966">
        <f>IF(C966,(Skills!G2*N966*B1002)*IF(Inputs!$B$38="pvp",1,(1+(Inputs!$B$21+Skills!Q2+(IF(ArtifactsInput!$M$33,CHOOSE(ArtifactsInput!$N$33+1,30,36,42,48,54,60),0))+(IF(AND(ArtifactsInput!$M$35,Inputs!$B$4&lt;&gt;"Chapter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7">
      <c r="A967">
        <f>Skills!A3</f>
        <v/>
      </c>
      <c r="B967">
        <f>Skills!B3</f>
        <v/>
      </c>
      <c r="C967">
        <f>Inputs!$B$3&gt;=50</f>
        <v/>
      </c>
      <c r="D967">
        <f>IF(Skills!C3=1,60+Inputs!$B$25+Inputs!$B$29,IF(Skills!C3=2,90+Inputs!$B$26+Inputs!$B$29,IF(Skills!C3=3,120+Inputs!$B$27+Inputs!$B$29,MAX(0,(Inputs!$B$3-100)*3)+(Inputs!$B$28+1)+Inputs!$B$29)))</f>
        <v/>
      </c>
      <c r="E967">
        <f>INDEX(FactorTable!$B$2:$Y$301, MATCH(ROUND(MIN(300,MAX(1,D967)),0), FactorTable!$A$2:$A$301,0), Skills!M3+1)</f>
        <v/>
      </c>
      <c r="F967">
        <f>IF(Skills!N3=TRUE,(Skills!L3/10)*(E967/1000),Skills!L3/10)+Skills!O3</f>
        <v/>
      </c>
      <c r="G967">
        <f>Skills!G3*IF(Skills!H3&gt;0,Skills!I3/Skills!H3,1)</f>
        <v/>
      </c>
      <c r="H967">
        <f>1-(1-Skills!J3/100)^Skills!K3</f>
        <v/>
      </c>
      <c r="I967" t="inlineStr">
        <is>
          <t>1</t>
        </is>
      </c>
      <c r="J967">
        <f>((Inputs!$B$6*(1+Inputs!$B$7/100))+(((Inputs!$B$12*(1+Inputs!$B$13/100))-(Inputs!$B$12*(1+Inputs!$B$13/100)))+0.25*(Inputs!$B$14-Inputs!$B$14))*(1+Inputs!$B$7/100))*(F967/100)</f>
        <v/>
      </c>
      <c r="K967">
        <f>J967*(1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968=TRUE,F968,0)/100)*(1+(IF(Skills!A3="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967)</f>
        <v/>
      </c>
      <c r="L967">
        <f>K967*(MIN(Inputs!$B$22+((C989=TRUE)*(F989-Calc!F25)),(Inputs!$B$23+((C994=TRUE)*(F994-Calc!F30))+(IF(ArtifactsInput!$M$15,CHOOSE(ArtifactsInput!$N$15+1,25,30,35,40,45,50)/100*(Inputs!$B$11-Inputs!$B$11),0))))/100+(Inputs!$B$23+((C994=TRUE)*(F994-Calc!F30))+(IF(ArtifactsInput!$M$15,CHOOSE(ArtifactsInput!$N$15+1,25,30,35,40,45,50)/100*(Inputs!$B$11-Inputs!$B$11),0)))/100)/2</f>
        <v/>
      </c>
      <c r="M967">
        <f>L967*(1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7">
        <f>L967*(1-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967*(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7">
        <f>(1-Summary!$B$11)*T967+Summary!$B$11*V967</f>
        <v/>
      </c>
      <c r="P967">
        <f>IF(B1008=0,0,O967/B1008)</f>
        <v/>
      </c>
      <c r="Q967">
        <f>IFERROR(1/(IF(Inputs!$B$38="pvp",15,MAX(0.1,Skills!D3-IF(Skills!E3=TRUE,Inputs!$B$32,0)))*(1-IF(AND(ArtifactsInput!$M$27,Inputs!$B$4="Chapter Hunt"),CHOOSE(ArtifactsInput!$N$27+1,20,24,28,32,36,40),0)/100)),0)</f>
        <v/>
      </c>
      <c r="R967">
        <f>IF(AND(Inputs!$B$38&lt;&gt;"pvp",Inputs!$B$43&gt;0),IF(MAX(0,Inputs!$B$43-B1005)&lt;=0,0,(INT(MAX(0,Inputs!$B$43-B1005)/(IF(Inputs!$B$38="pvp",15,MAX(0.1,Skills!D3-IF(Skills!E3=TRUE,Inputs!$B$32,0)))*(1-IF(AND(ArtifactsInput!$M$27,Inputs!$B$4="Chapter Hunt"),CHOOSE(ArtifactsInput!$N$27+1,20,24,28,32,36,40),0)/100)))+1)),0)</f>
        <v/>
      </c>
      <c r="S967">
        <f>IFERROR(O967/N967,0)</f>
        <v/>
      </c>
      <c r="T967">
        <f>IF(C967,(H967*N967*IF(AND(Inputs!$B$38&lt;&gt;"pvp",Inputs!$B$43&gt;0),((Skills!G3*((R967-1)*IF(Skills!H3&gt;0,Skills!I3/Skills!H3,1)+IF(Skills!H3&gt;0,MIN(Skills!I3,MAX(0,MAX(0,Inputs!$B$43-B1005)-((R967-1)*(IF(Inputs!$B$38="pvp",15,MAX(0.1,Skills!D3-IF(Skills!E3=TRUE,Inputs!$B$32,0)))*(1-IF(AND(ArtifactsInput!$M$27,Inputs!$B$4="Chapter Hunt"),CHOOSE(ArtifactsInput!$N$27+1,20,24,28,32,36,40),0)/100)))))/Skills!H3,1)))/Inputs!$B$43),G967*Q967)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967*(1-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967*(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967*(1-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967*(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7">
        <f>INDEX(FactorTable!$B$2:$Y$301, MATCH(ROUND(MIN(300,MAX(1,U966)),0), FactorTable!$A$2:$A$301,0), 22)</f>
        <v/>
      </c>
      <c r="V967">
        <f>IF(C967,(H967*N967*IF(AND(Inputs!$B$38&lt;&gt;"pvp",Inputs!$B$43&gt;0),((Skills!G3*((R967-1)*IF(Skills!H3&gt;0,Skills!I3/Skills!H3,1)+IF(Skills!H3&gt;0,MIN(Skills!I3,MAX(0,MAX(0,Inputs!$B$43-B1005)-((R967-1)*(IF(Inputs!$B$38="pvp",15,MAX(0.1,Skills!D3-IF(Skills!E3=TRUE,Inputs!$B$32,0)))*(1-IF(AND(ArtifactsInput!$M$27,Inputs!$B$4="Chapter Hunt"),CHOOSE(ArtifactsInput!$N$27+1,20,24,28,32,36,40),0)/100)))))/Skills!H3,1)))/Inputs!$B$43),G967*Q967))*IF(Inputs!$B$38="pvp",1,(1+(Inputs!$B$21+Skills!Q3+(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8">
      <c r="A968">
        <f>Skills!A4</f>
        <v/>
      </c>
      <c r="B968">
        <f>Skills!B4</f>
        <v/>
      </c>
      <c r="C968">
        <f>Inputs!$B$3&gt;=105</f>
        <v/>
      </c>
      <c r="D968">
        <f>IF(Skills!C4=1,60+Inputs!$B$25+Inputs!$B$29,IF(Skills!C4=2,90+Inputs!$B$26+Inputs!$B$29,IF(Skills!C4=3,120+Inputs!$B$27+Inputs!$B$29,MAX(0,(Inputs!$B$3-100)*3)+(Inputs!$B$28+1)+Inputs!$B$29)))</f>
        <v/>
      </c>
      <c r="E968">
        <f>INDEX(FactorTable!$B$2:$Y$301, MATCH(ROUND(MIN(300,MAX(1,D968)),0), FactorTable!$A$2:$A$301,0), Skills!M4+1)</f>
        <v/>
      </c>
      <c r="F968">
        <f>IF(Skills!N4=TRUE,(Skills!L4/10)*(E968/1000),Skills!L4/10)+Skills!O4</f>
        <v/>
      </c>
      <c r="G968" t="inlineStr"/>
      <c r="H968" t="inlineStr"/>
      <c r="I968" t="inlineStr">
        <is>
          <t>1</t>
        </is>
      </c>
      <c r="J968" t="inlineStr"/>
      <c r="K968" t="inlineStr"/>
      <c r="L968" t="inlineStr"/>
      <c r="M968" t="inlineStr"/>
      <c r="N968" t="inlineStr"/>
      <c r="O968" t="inlineStr"/>
      <c r="P968" t="inlineStr"/>
      <c r="Q968" t="inlineStr"/>
      <c r="R968" t="inlineStr"/>
      <c r="S968" t="inlineStr"/>
      <c r="T968" t="inlineStr"/>
      <c r="U968">
        <f>290*U967/1000</f>
        <v/>
      </c>
      <c r="V968" t="inlineStr"/>
    </row>
    <row r="969">
      <c r="A969">
        <f>Skills!A5</f>
        <v/>
      </c>
      <c r="B969">
        <f>Skills!B5</f>
        <v/>
      </c>
      <c r="C969">
        <f>Inputs!$B$3&gt;=35</f>
        <v/>
      </c>
      <c r="D969">
        <f>IF(Skills!C5=1,60+Inputs!$B$25+Inputs!$B$29,IF(Skills!C5=2,90+Inputs!$B$26+Inputs!$B$29,IF(Skills!C5=3,120+Inputs!$B$27+Inputs!$B$29,MAX(0,(Inputs!$B$3-100)*3)+(Inputs!$B$28+1)+Inputs!$B$29)))</f>
        <v/>
      </c>
      <c r="E969">
        <f>INDEX(FactorTable!$B$2:$Y$301, MATCH(ROUND(MIN(300,MAX(1,D969)),0), FactorTable!$A$2:$A$301,0), Skills!M5+1)</f>
        <v/>
      </c>
      <c r="F969">
        <f>IF(Skills!N5=TRUE,(Skills!L5/10)*(E969/1000),Skills!L5/10)+Skills!O5</f>
        <v/>
      </c>
      <c r="G969">
        <f>Skills!G5*IF(Skills!H5&gt;0,Skills!I5/Skills!H5,1)</f>
        <v/>
      </c>
      <c r="H969">
        <f>1-(1-Skills!J5/100)^Skills!K5</f>
        <v/>
      </c>
      <c r="I969" t="inlineStr">
        <is>
          <t>1</t>
        </is>
      </c>
      <c r="J969">
        <f>((Inputs!$B$6*(1+Inputs!$B$7/100))+(((Inputs!$B$12*(1+Inputs!$B$13/100))-(Inputs!$B$12*(1+Inputs!$B$13/100)))+0.25*(Inputs!$B$14-Inputs!$B$14))*(1+Inputs!$B$7/100))*(F969/100)</f>
        <v/>
      </c>
      <c r="K969">
        <f>J969*(1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975=TRUE,F975,0)/100)*(1+(IF(Skills!A5="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969)</f>
        <v/>
      </c>
      <c r="L969">
        <f>K969*(MIN(Inputs!$B$22+((C989=TRUE)*(F989-Calc!F25)),(Inputs!$B$23+((C994=TRUE)*(F994-Calc!F30))+(IF(ArtifactsInput!$M$15,CHOOSE(ArtifactsInput!$N$15+1,25,30,35,40,45,50)/100*(Inputs!$B$11-Inputs!$B$11),0))))/100+(Inputs!$B$23+((C994=TRUE)*(F994-Calc!F30))+(IF(ArtifactsInput!$M$15,CHOOSE(ArtifactsInput!$N$15+1,25,30,35,40,45,50)/100*(Inputs!$B$11-Inputs!$B$11),0)))/100)/2</f>
        <v/>
      </c>
      <c r="M969">
        <f>L969*(1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9">
        <f>L969*(1-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969*(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9">
        <f>(1-Summary!$B$11)*T969+Summary!$B$11*V969</f>
        <v/>
      </c>
      <c r="P969">
        <f>IF(B1008=0,0,O969/B1008)</f>
        <v/>
      </c>
      <c r="Q969">
        <f>IFERROR(1/(IF(Inputs!$B$38="pvp",15,MAX(0.1,Skills!D5-IF(Skills!E5=TRUE,Inputs!$B$32,0)))*(1-IF(AND(ArtifactsInput!$M$27,Inputs!$B$4="Chapter Hunt"),CHOOSE(ArtifactsInput!$N$27+1,20,24,28,32,36,40),0)/100)),0)</f>
        <v/>
      </c>
      <c r="R969">
        <f>IF(AND(Inputs!$B$38&lt;&gt;"pvp",Inputs!$B$43&gt;0),IF(MAX(0,Inputs!$B$43-B1005)&lt;=0,0,(INT(MAX(0,Inputs!$B$43-B1005)/(IF(Inputs!$B$38="pvp",15,MAX(0.1,Skills!D5-IF(Skills!E5=TRUE,Inputs!$B$32,0)))*(1-IF(AND(ArtifactsInput!$M$27,Inputs!$B$4="Chapter Hunt"),CHOOSE(ArtifactsInput!$N$27+1,20,24,28,32,36,40),0)/100)))+1)),0)</f>
        <v/>
      </c>
      <c r="S969">
        <f>IFERROR(O969/N969,0)</f>
        <v/>
      </c>
      <c r="T969">
        <f>IF(C969,(H969*N969*IF(AND(Inputs!$B$38&lt;&gt;"pvp",Inputs!$B$43&gt;0),((Skills!G5*((R969-1)*IF(Skills!H5&gt;0,Skills!I5/Skills!H5,1)+IF(Skills!H5&gt;0,MIN(Skills!I5,MAX(0,MAX(0,Inputs!$B$43-B1005)-((R969-1)*(IF(Inputs!$B$38="pvp",15,MAX(0.1,Skills!D5-IF(Skills!E5=TRUE,Inputs!$B$32,0)))*(1-IF(AND(ArtifactsInput!$M$27,Inputs!$B$4="Chapter Hunt"),CHOOSE(ArtifactsInput!$N$27+1,20,24,28,32,36,40),0)/100)))))/Skills!H5,1)))/Inputs!$B$43),G969*Q969)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969*(1-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969*(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969*(1-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969*(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9">
        <f>IF(C969,(H969*N969*IF(AND(Inputs!$B$38&lt;&gt;"pvp",Inputs!$B$43&gt;0),((Skills!G5*((R969-1)*IF(Skills!H5&gt;0,Skills!I5/Skills!H5,1)+IF(Skills!H5&gt;0,MIN(Skills!I5,MAX(0,MAX(0,Inputs!$B$43-B1005)-((R969-1)*(IF(Inputs!$B$38="pvp",15,MAX(0.1,Skills!D5-IF(Skills!E5=TRUE,Inputs!$B$32,0)))*(1-IF(AND(ArtifactsInput!$M$27,Inputs!$B$4="Chapter Hunt"),CHOOSE(ArtifactsInput!$N$27+1,20,24,28,32,36,40),0)/100)))))/Skills!H5,1)))/Inputs!$B$43),G969*Q969))*IF(Inputs!$B$38="pvp",1,(1+(Inputs!$B$21+Skills!Q5+(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0">
      <c r="A970">
        <f>Skills!A6</f>
        <v/>
      </c>
      <c r="B970">
        <f>Skills!B6</f>
        <v/>
      </c>
      <c r="C970">
        <f>Inputs!$B$3&gt;=40</f>
        <v/>
      </c>
      <c r="D970">
        <f>IF(Skills!C6=1,60+Inputs!$B$25+Inputs!$B$29,IF(Skills!C6=2,90+Inputs!$B$26+Inputs!$B$29,IF(Skills!C6=3,120+Inputs!$B$27+Inputs!$B$29,MAX(0,(Inputs!$B$3-100)*3)+(Inputs!$B$28+1)+Inputs!$B$29)))</f>
        <v/>
      </c>
      <c r="E970">
        <f>INDEX(FactorTable!$B$2:$Y$301, MATCH(ROUND(MIN(300,MAX(1,D970)),0), FactorTable!$A$2:$A$301,0), Skills!M6+1)</f>
        <v/>
      </c>
      <c r="F970">
        <f>IF(Skills!N6=TRUE,(Skills!L6/10)*(E970/1000),Skills!L6/10)+Skills!O6</f>
        <v/>
      </c>
      <c r="G970">
        <f>Skills!G6*IF(Skills!H6&gt;0,Skills!I6/Skills!H6,1)</f>
        <v/>
      </c>
      <c r="H970">
        <f>1-(1-Skills!J6/100)^Skills!K6</f>
        <v/>
      </c>
      <c r="I970" t="inlineStr">
        <is>
          <t>1</t>
        </is>
      </c>
      <c r="J970">
        <f>((Inputs!$B$6*(1+Inputs!$B$7/100))+(((Inputs!$B$12*(1+Inputs!$B$13/100))-(Inputs!$B$12*(1+Inputs!$B$13/100)))+0.25*(Inputs!$B$14-Inputs!$B$14))*(1+Inputs!$B$7/100))*(F970/100)</f>
        <v/>
      </c>
      <c r="K970">
        <f>J970*(1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971=TRUE,F971,0)/100)*(1+(IF(Skills!A6="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970)</f>
        <v/>
      </c>
      <c r="L970">
        <f>K970*(MIN(Inputs!$B$22+((C989=TRUE)*(F989-Calc!F25)),(Inputs!$B$23+((C994=TRUE)*(F994-Calc!F30))+(IF(ArtifactsInput!$M$15,CHOOSE(ArtifactsInput!$N$15+1,25,30,35,40,45,50)/100*(Inputs!$B$11-Inputs!$B$11),0))))/100+(Inputs!$B$23+((C994=TRUE)*(F994-Calc!F30))+(IF(ArtifactsInput!$M$15,CHOOSE(ArtifactsInput!$N$15+1,25,30,35,40,45,50)/100*(Inputs!$B$11-Inputs!$B$11),0)))/100)/2</f>
        <v/>
      </c>
      <c r="M970">
        <f>L970*(1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0">
        <f>L970*(1-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970*(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0">
        <f>(1-Summary!$B$11)*T970+Summary!$B$11*V970</f>
        <v/>
      </c>
      <c r="P970">
        <f>IF(B1008=0,0,O970/B1008)</f>
        <v/>
      </c>
      <c r="Q970">
        <f>IFERROR(1/(IF(Inputs!$B$38="pvp",15,MAX(0.1,Skills!D6-IF(Skills!E6=TRUE,Inputs!$B$32,0)))*(1-IF(AND(ArtifactsInput!$M$27,Inputs!$B$4="Chapter Hunt"),CHOOSE(ArtifactsInput!$N$27+1,20,24,28,32,36,40),0)/100)),0)</f>
        <v/>
      </c>
      <c r="R970">
        <f>IF(AND(Inputs!$B$38&lt;&gt;"pvp",Inputs!$B$43&gt;0),IF(MAX(0,Inputs!$B$43-B1005)&lt;=0,0,(INT(MAX(0,Inputs!$B$43-B1005)/(IF(Inputs!$B$38="pvp",15,MAX(0.1,Skills!D6-IF(Skills!E6=TRUE,Inputs!$B$32,0)))*(1-IF(AND(ArtifactsInput!$M$27,Inputs!$B$4="Chapter Hunt"),CHOOSE(ArtifactsInput!$N$27+1,20,24,28,32,36,40),0)/100)))+1)),0)</f>
        <v/>
      </c>
      <c r="S970">
        <f>IFERROR(O970/N970,0)</f>
        <v/>
      </c>
      <c r="T970">
        <f>IF(C970,(H970*N970*IF(AND(Inputs!$B$38&lt;&gt;"pvp",Inputs!$B$43&gt;0),((Skills!G6*((R970-1)*IF(Skills!H6&gt;0,Skills!I6/Skills!H6,1)+IF(Skills!H6&gt;0,MIN(Skills!I6,MAX(0,MAX(0,Inputs!$B$43-B1005)-((R970-1)*(IF(Inputs!$B$38="pvp",15,MAX(0.1,Skills!D6-IF(Skills!E6=TRUE,Inputs!$B$32,0)))*(1-IF(AND(ArtifactsInput!$M$27,Inputs!$B$4="Chapter Hunt"),CHOOSE(ArtifactsInput!$N$27+1,20,24,28,32,36,40),0)/100)))))/Skills!H6,1)))/Inputs!$B$43),G970*Q970)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970*(1-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970*(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970*(1-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970*(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0">
        <f>IF(C970,(H970*N970*IF(AND(Inputs!$B$38&lt;&gt;"pvp",Inputs!$B$43&gt;0),((Skills!G6*((R970-1)*IF(Skills!H6&gt;0,Skills!I6/Skills!H6,1)+IF(Skills!H6&gt;0,MIN(Skills!I6,MAX(0,MAX(0,Inputs!$B$43-B1005)-((R970-1)*(IF(Inputs!$B$38="pvp",15,MAX(0.1,Skills!D6-IF(Skills!E6=TRUE,Inputs!$B$32,0)))*(1-IF(AND(ArtifactsInput!$M$27,Inputs!$B$4="Chapter Hunt"),CHOOSE(ArtifactsInput!$N$27+1,20,24,28,32,36,40),0)/100)))))/Skills!H6,1)))/Inputs!$B$43),G970*Q970))*IF(Inputs!$B$38="pvp",1,(1+(Inputs!$B$21+Skills!Q6+(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1">
      <c r="A971">
        <f>Skills!A7</f>
        <v/>
      </c>
      <c r="B971">
        <f>Skills!B7</f>
        <v/>
      </c>
      <c r="C971">
        <f>Inputs!$B$3&gt;=107</f>
        <v/>
      </c>
      <c r="D971">
        <f>IF(Skills!C7=1,60+Inputs!$B$25+Inputs!$B$29,IF(Skills!C7=2,90+Inputs!$B$26+Inputs!$B$29,IF(Skills!C7=3,120+Inputs!$B$27+Inputs!$B$29,MAX(0,(Inputs!$B$3-100)*3)+(Inputs!$B$28+1)+Inputs!$B$29)))</f>
        <v/>
      </c>
      <c r="E971">
        <f>INDEX(FactorTable!$B$2:$Y$301, MATCH(ROUND(MIN(300,MAX(1,D971)),0), FactorTable!$A$2:$A$301,0), Skills!M7+1)</f>
        <v/>
      </c>
      <c r="F971">
        <f>IF(Skills!N7=TRUE,(Skills!L7/10)*(E971/1000),Skills!L7/10)+Skills!O7</f>
        <v/>
      </c>
      <c r="G971" t="inlineStr"/>
      <c r="H971" t="inlineStr"/>
      <c r="I971" t="inlineStr">
        <is>
          <t>1</t>
        </is>
      </c>
      <c r="J971" t="inlineStr"/>
      <c r="K971" t="inlineStr"/>
      <c r="L971" t="inlineStr"/>
      <c r="M971" t="inlineStr"/>
      <c r="N971" t="inlineStr"/>
      <c r="O971" t="inlineStr"/>
      <c r="P971" t="inlineStr"/>
      <c r="Q971" t="inlineStr"/>
      <c r="R971" t="inlineStr"/>
      <c r="S971" t="inlineStr"/>
      <c r="T971" t="inlineStr"/>
      <c r="V971" t="inlineStr"/>
    </row>
    <row r="972">
      <c r="A972">
        <f>Skills!A8</f>
        <v/>
      </c>
      <c r="B972">
        <f>Skills!B8</f>
        <v/>
      </c>
      <c r="C972">
        <f>Inputs!$B$3&gt;=69</f>
        <v/>
      </c>
      <c r="D972">
        <f>IF(Skills!C8=1,60+Inputs!$B$25+Inputs!$B$29,IF(Skills!C8=2,90+Inputs!$B$26+Inputs!$B$29,IF(Skills!C8=3,120+Inputs!$B$27+Inputs!$B$29,MAX(0,(Inputs!$B$3-100)*3)+(Inputs!$B$28+1)+Inputs!$B$29)))</f>
        <v/>
      </c>
      <c r="E972">
        <f>INDEX(FactorTable!$B$2:$Y$301, MATCH(ROUND(MIN(300,MAX(1,D972)),0), FactorTable!$A$2:$A$301,0), Skills!M8+1)</f>
        <v/>
      </c>
      <c r="F972">
        <f>IF(Skills!N8=TRUE,(Skills!L8/10)*(E972/1000),Skills!L8/10)+Skills!O8</f>
        <v/>
      </c>
      <c r="G972">
        <f>Skills!G8*IF(Skills!H8&gt;0,Skills!I8/Skills!H8,1)</f>
        <v/>
      </c>
      <c r="H972">
        <f>1-(1-Skills!J8/100)^Skills!K8</f>
        <v/>
      </c>
      <c r="I972" t="inlineStr">
        <is>
          <t>1</t>
        </is>
      </c>
      <c r="J972">
        <f>((Inputs!$B$6*(1+Inputs!$B$7/100))+(((Inputs!$B$12*(1+Inputs!$B$13/100))-(Inputs!$B$12*(1+Inputs!$B$13/100)))+0.25*(Inputs!$B$14-Inputs!$B$14))*(1+Inputs!$B$7/100))*(F972/100)</f>
        <v/>
      </c>
      <c r="K972">
        <f>J972*(1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975=TRUE,F975,0)/100)*(1+(IF(Skills!A8="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972)</f>
        <v/>
      </c>
      <c r="L972">
        <f>K972*(MIN(Inputs!$B$22+((C989=TRUE)*(F989-Calc!F25)),(Inputs!$B$23+((C994=TRUE)*(F994-Calc!F30))+(IF(ArtifactsInput!$M$15,CHOOSE(ArtifactsInput!$N$15+1,25,30,35,40,45,50)/100*(Inputs!$B$11-Inputs!$B$11),0))))/100+(Inputs!$B$23+((C994=TRUE)*(F994-Calc!F30))+(IF(ArtifactsInput!$M$15,CHOOSE(ArtifactsInput!$N$15+1,25,30,35,40,45,50)/100*(Inputs!$B$11-Inputs!$B$11),0)))/100)/2</f>
        <v/>
      </c>
      <c r="M972">
        <f>L972*(1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2">
        <f>L972*(1-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972*(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2">
        <f>(1-Summary!$B$11)*T972+Summary!$B$11*V972</f>
        <v/>
      </c>
      <c r="P972">
        <f>IF(B1008=0,0,O972/B1008)</f>
        <v/>
      </c>
      <c r="Q972">
        <f>IFERROR(1/(IF(Inputs!$B$38="pvp",15,MAX(0.1,Skills!D8-IF(Skills!E8=TRUE,Inputs!$B$32,0)))*(1-IF(AND(ArtifactsInput!$M$27,Inputs!$B$4="Chapter Hunt"),CHOOSE(ArtifactsInput!$N$27+1,20,24,28,32,36,40),0)/100)),0)</f>
        <v/>
      </c>
      <c r="R972">
        <f>IF(AND(Inputs!$B$38&lt;&gt;"pvp",Inputs!$B$43&gt;0),IF(MAX(0,Inputs!$B$43-B1005)&lt;=0,0,(INT(MAX(0,Inputs!$B$43-B1005)/(IF(Inputs!$B$38="pvp",15,MAX(0.1,Skills!D8-IF(Skills!E8=TRUE,Inputs!$B$32,0)))*(1-IF(AND(ArtifactsInput!$M$27,Inputs!$B$4="Chapter Hunt"),CHOOSE(ArtifactsInput!$N$27+1,20,24,28,32,36,40),0)/100)))+1)),0)</f>
        <v/>
      </c>
      <c r="S972">
        <f>IFERROR(O972/N972,0)</f>
        <v/>
      </c>
      <c r="T972">
        <f>IF(C972,(H972*N972*IF(AND(Inputs!$B$38&lt;&gt;"pvp",Inputs!$B$43&gt;0),((Skills!G8*((R972-1)*IF(Skills!H8&gt;0,Skills!I8/Skills!H8,1)+IF(Skills!H8&gt;0,MIN(Skills!I8,MAX(0,MAX(0,Inputs!$B$43-B1005)-((R972-1)*(IF(Inputs!$B$38="pvp",15,MAX(0.1,Skills!D8-IF(Skills!E8=TRUE,Inputs!$B$32,0)))*(1-IF(AND(ArtifactsInput!$M$27,Inputs!$B$4="Chapter Hunt"),CHOOSE(ArtifactsInput!$N$27+1,20,24,28,32,36,40),0)/100)))))/Skills!H8,1)))/Inputs!$B$43),G972*Q972)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972*(1-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972*(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972*(1-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972*(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2">
        <f>IF(C972,(H972*N972*IF(AND(Inputs!$B$38&lt;&gt;"pvp",Inputs!$B$43&gt;0),((Skills!G8*((R972-1)*IF(Skills!H8&gt;0,Skills!I8/Skills!H8,1)+IF(Skills!H8&gt;0,MIN(Skills!I8,MAX(0,MAX(0,Inputs!$B$43-B1005)-((R972-1)*(IF(Inputs!$B$38="pvp",15,MAX(0.1,Skills!D8-IF(Skills!E8=TRUE,Inputs!$B$32,0)))*(1-IF(AND(ArtifactsInput!$M$27,Inputs!$B$4="Chapter Hunt"),CHOOSE(ArtifactsInput!$N$27+1,20,24,28,32,36,40),0)/100)))))/Skills!H8,1)))/Inputs!$B$43),G972*Q972))*IF(Inputs!$B$38="pvp",1,(1+(Inputs!$B$21+Skills!Q8+(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3">
      <c r="A973">
        <f>Skills!A9</f>
        <v/>
      </c>
      <c r="B973">
        <f>Skills!B9</f>
        <v/>
      </c>
      <c r="C973">
        <f>Inputs!$B$3&gt;=63</f>
        <v/>
      </c>
      <c r="D973">
        <f>IF(Skills!C9=1,60+Inputs!$B$25+Inputs!$B$29,IF(Skills!C9=2,90+Inputs!$B$26+Inputs!$B$29,IF(Skills!C9=3,120+Inputs!$B$27+Inputs!$B$29,MAX(0,(Inputs!$B$3-100)*3)+(Inputs!$B$28+1)+Inputs!$B$29)))</f>
        <v/>
      </c>
      <c r="E973">
        <f>INDEX(FactorTable!$B$2:$Y$301, MATCH(ROUND(MIN(300,MAX(1,D973)),0), FactorTable!$A$2:$A$301,0), Skills!M9+1)</f>
        <v/>
      </c>
      <c r="F973">
        <f>IF(Skills!N9=TRUE,(Skills!L9/10)*(E973/1000),Skills!L9/10)+Skills!O9</f>
        <v/>
      </c>
      <c r="G973">
        <f>Skills!G9*IF(Skills!H9&gt;0,Skills!I9/Skills!H9,1)</f>
        <v/>
      </c>
      <c r="H973">
        <f>1-(1-Skills!J9/100)^Skills!K9</f>
        <v/>
      </c>
      <c r="I973" t="inlineStr">
        <is>
          <t>1</t>
        </is>
      </c>
      <c r="J973">
        <f>((Inputs!$B$6*(1+Inputs!$B$7/100))+(((Inputs!$B$12*(1+Inputs!$B$13/100))-(Inputs!$B$12*(1+Inputs!$B$13/100)))+0.25*(Inputs!$B$14-Inputs!$B$14))*(1+Inputs!$B$7/100))*(F973/100)</f>
        <v/>
      </c>
      <c r="K973">
        <f>J973*(1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975=TRUE,F975,0)/100)*(1+(IF(Skills!A9="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973)</f>
        <v/>
      </c>
      <c r="L973">
        <f>K973*(MIN(Inputs!$B$22+((C989=TRUE)*(F989-Calc!F25)),(Inputs!$B$23+((C994=TRUE)*(F994-Calc!F30))+(IF(ArtifactsInput!$M$15,CHOOSE(ArtifactsInput!$N$15+1,25,30,35,40,45,50)/100*(Inputs!$B$11-Inputs!$B$11),0))))/100+(Inputs!$B$23+((C994=TRUE)*(F994-Calc!F30))+(IF(ArtifactsInput!$M$15,CHOOSE(ArtifactsInput!$N$15+1,25,30,35,40,45,50)/100*(Inputs!$B$11-Inputs!$B$11),0)))/100)/2</f>
        <v/>
      </c>
      <c r="M973">
        <f>L973*(1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3">
        <f>L973*(1-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973*(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3">
        <f>(1-Summary!$B$11)*T973+Summary!$B$11*V973</f>
        <v/>
      </c>
      <c r="P973">
        <f>IF(B1008=0,0,O973/B1008)</f>
        <v/>
      </c>
      <c r="Q973">
        <f>IFERROR(1/(IF(Inputs!$B$38="pvp",15,MAX(0.1,Skills!D9-IF(Skills!E9=TRUE,Inputs!$B$32,0)))*(1-IF(AND(ArtifactsInput!$M$27,Inputs!$B$4="Chapter Hunt"),CHOOSE(ArtifactsInput!$N$27+1,20,24,28,32,36,40),0)/100)),0)</f>
        <v/>
      </c>
      <c r="R973">
        <f>IF(AND(Inputs!$B$38&lt;&gt;"pvp",Inputs!$B$43&gt;0),IF(MAX(0,Inputs!$B$43-B1005)&lt;=0,0,(INT(MAX(0,Inputs!$B$43-B1005)/(IF(Inputs!$B$38="pvp",15,MAX(0.1,Skills!D9-IF(Skills!E9=TRUE,Inputs!$B$32,0)))*(1-IF(AND(ArtifactsInput!$M$27,Inputs!$B$4="Chapter Hunt"),CHOOSE(ArtifactsInput!$N$27+1,20,24,28,32,36,40),0)/100)))+1)),0)</f>
        <v/>
      </c>
      <c r="S973">
        <f>IFERROR(O973/N973,0)</f>
        <v/>
      </c>
      <c r="T973">
        <f>IF(C973,(H973*N973*IF(AND(Inputs!$B$38&lt;&gt;"pvp",Inputs!$B$43&gt;0),((Skills!G9*((R973-1)*IF(Skills!H9&gt;0,Skills!I9/Skills!H9,1)+IF(Skills!H9&gt;0,MIN(Skills!I9,MAX(0,MAX(0,Inputs!$B$43-B1005)-((R973-1)*(IF(Inputs!$B$38="pvp",15,MAX(0.1,Skills!D9-IF(Skills!E9=TRUE,Inputs!$B$32,0)))*(1-IF(AND(ArtifactsInput!$M$27,Inputs!$B$4="Chapter Hunt"),CHOOSE(ArtifactsInput!$N$27+1,20,24,28,32,36,40),0)/100)))))/Skills!H9,1)))/Inputs!$B$43),G973*Q973)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973*(1-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973*(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973*(1-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973*(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3">
        <f>IF(C973,(H973*N973*IF(AND(Inputs!$B$38&lt;&gt;"pvp",Inputs!$B$43&gt;0),((Skills!G9*((R973-1)*IF(Skills!H9&gt;0,Skills!I9/Skills!H9,1)+IF(Skills!H9&gt;0,MIN(Skills!I9,MAX(0,MAX(0,Inputs!$B$43-B1005)-((R973-1)*(IF(Inputs!$B$38="pvp",15,MAX(0.1,Skills!D9-IF(Skills!E9=TRUE,Inputs!$B$32,0)))*(1-IF(AND(ArtifactsInput!$M$27,Inputs!$B$4="Chapter Hunt"),CHOOSE(ArtifactsInput!$N$27+1,20,24,28,32,36,40),0)/100)))))/Skills!H9,1)))/Inputs!$B$43),G973*Q973))*IF(Inputs!$B$38="pvp",1,(1+(Inputs!$B$21+Skills!Q9+(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4">
      <c r="A974">
        <f>Skills!A10</f>
        <v/>
      </c>
      <c r="B974">
        <f>Skills!B10</f>
        <v/>
      </c>
      <c r="C974">
        <f>Inputs!$B$3&gt;=103</f>
        <v/>
      </c>
      <c r="D974">
        <f>IF(Skills!C10=1,60+Inputs!$B$25+Inputs!$B$29,IF(Skills!C10=2,90+Inputs!$B$26+Inputs!$B$29,IF(Skills!C10=3,120+Inputs!$B$27+Inputs!$B$29,MAX(0,(Inputs!$B$3-100)*3)+(Inputs!$B$28+1)+Inputs!$B$29)))</f>
        <v/>
      </c>
      <c r="E974">
        <f>INDEX(FactorTable!$B$2:$Y$301, MATCH(ROUND(MIN(300,MAX(1,D974)),0), FactorTable!$A$2:$A$301,0), Skills!M10+1)</f>
        <v/>
      </c>
      <c r="F974">
        <f>IF(Skills!N10=TRUE,(Skills!L10/10)*(E974/1000),Skills!L10/10)+Skills!O10</f>
        <v/>
      </c>
      <c r="G974">
        <f>Skills!G10*IF(Skills!H10&gt;0,Skills!I10/Skills!H10,1)</f>
        <v/>
      </c>
      <c r="H974">
        <f>1-(1-Skills!J10/100)^Skills!K10</f>
        <v/>
      </c>
      <c r="I974" t="inlineStr">
        <is>
          <t>1</t>
        </is>
      </c>
      <c r="J974">
        <f>((Inputs!$B$6*(1+Inputs!$B$7/100))+(((Inputs!$B$12*(1+Inputs!$B$13/100))-(Inputs!$B$12*(1+Inputs!$B$13/100)))+0.25*(Inputs!$B$14-Inputs!$B$14))*(1+Inputs!$B$7/100))*(F974/100)</f>
        <v/>
      </c>
      <c r="K974">
        <f>J974*(1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974)</f>
        <v/>
      </c>
      <c r="L974">
        <f>K974*(MIN(Inputs!$B$22+((C989=TRUE)*(F989-Calc!F25)),(Inputs!$B$23+((C994=TRUE)*(F994-Calc!F30))+(IF(ArtifactsInput!$M$15,CHOOSE(ArtifactsInput!$N$15+1,25,30,35,40,45,50)/100*(Inputs!$B$11-Inputs!$B$11),0))))/100+(Inputs!$B$23+((C994=TRUE)*(F994-Calc!F30))+(IF(ArtifactsInput!$M$15,CHOOSE(ArtifactsInput!$N$15+1,25,30,35,40,45,50)/100*(Inputs!$B$11-Inputs!$B$11),0)))/100)/2</f>
        <v/>
      </c>
      <c r="M974">
        <f>L974*(1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4">
        <f>L974*(1-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974*(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4">
        <f>(1-Summary!$B$11)*T974+Summary!$B$11*V974</f>
        <v/>
      </c>
      <c r="P974">
        <f>IF(B1008=0,0,O974/B1008)</f>
        <v/>
      </c>
      <c r="Q974">
        <f>IFERROR(1/(IF(Inputs!$B$38="pvp",15,MAX(0.1,Skills!D10-IF(Skills!E10=TRUE,Inputs!$B$32,0)))*(1-IF(AND(ArtifactsInput!$M$27,Inputs!$B$4="Chapter Hunt"),CHOOSE(ArtifactsInput!$N$27+1,20,24,28,32,36,40),0)/100)),0)</f>
        <v/>
      </c>
      <c r="R974">
        <f>IF(AND(Inputs!$B$38&lt;&gt;"pvp",Inputs!$B$43&gt;0),IF(MAX(0,Inputs!$B$43-B1005)&lt;=0,0,(INT(MAX(0,Inputs!$B$43-B1005)/(IF(Inputs!$B$38="pvp",15,MAX(0.1,Skills!D10-IF(Skills!E10=TRUE,Inputs!$B$32,0)))*(1-IF(AND(ArtifactsInput!$M$27,Inputs!$B$4="Chapter Hunt"),CHOOSE(ArtifactsInput!$N$27+1,20,24,28,32,36,40),0)/100)))+1)),0)</f>
        <v/>
      </c>
      <c r="S974">
        <f>IFERROR(O974/N974,0)</f>
        <v/>
      </c>
      <c r="T974">
        <f>IF(C974,(H974*N974*IF(AND(Inputs!$B$38&lt;&gt;"pvp",Inputs!$B$43&gt;0),((Skills!G10*((R974-1)*IF(Skills!H10&gt;0,Skills!I10/Skills!H10,1)+IF(Skills!H10&gt;0,MIN(Skills!I10,MAX(0,MAX(0,Inputs!$B$43-B1005)-((R974-1)*(IF(Inputs!$B$38="pvp",15,MAX(0.1,Skills!D10-IF(Skills!E10=TRUE,Inputs!$B$32,0)))*(1-IF(AND(ArtifactsInput!$M$27,Inputs!$B$4="Chapter Hunt"),CHOOSE(ArtifactsInput!$N$27+1,20,24,28,32,36,40),0)/100)))))/Skills!H10,1)))/Inputs!$B$43),G974*Q974)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974*(1-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974*(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974*(1-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974*(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4">
        <f>IF(C974,(H974*N974*IF(AND(Inputs!$B$38&lt;&gt;"pvp",Inputs!$B$43&gt;0),((Skills!G10*((R974-1)*IF(Skills!H10&gt;0,Skills!I10/Skills!H10,1)+IF(Skills!H10&gt;0,MIN(Skills!I10,MAX(0,MAX(0,Inputs!$B$43-B1005)-((R974-1)*(IF(Inputs!$B$38="pvp",15,MAX(0.1,Skills!D10-IF(Skills!E10=TRUE,Inputs!$B$32,0)))*(1-IF(AND(ArtifactsInput!$M$27,Inputs!$B$4="Chapter Hunt"),CHOOSE(ArtifactsInput!$N$27+1,20,24,28,32,36,40),0)/100)))))/Skills!H10,1)))/Inputs!$B$43),G974*Q974))*IF(Inputs!$B$38="pvp",1,(1+(Inputs!$B$21+Skills!Q10+(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5">
      <c r="A975">
        <f>Skills!A11</f>
        <v/>
      </c>
      <c r="B975">
        <f>Skills!B11</f>
        <v/>
      </c>
      <c r="C975">
        <f>Inputs!$B$3&gt;=100</f>
        <v/>
      </c>
      <c r="D975">
        <f>IF(Skills!C11=1,60+Inputs!$B$25+Inputs!$B$29,IF(Skills!C11=2,90+Inputs!$B$26+Inputs!$B$29,IF(Skills!C11=3,120+Inputs!$B$27+Inputs!$B$29,MAX(0,(Inputs!$B$3-100)*3)+(Inputs!$B$28+1)+Inputs!$B$29)))</f>
        <v/>
      </c>
      <c r="E975">
        <f>INDEX(FactorTable!$B$2:$Y$301, MATCH(ROUND(MIN(300,MAX(1,D975)),0), FactorTable!$A$2:$A$301,0), Skills!M11+1)</f>
        <v/>
      </c>
      <c r="F975">
        <f>IF(Skills!N11=TRUE,(Skills!L11/10)*(E975/1000),Skills!L11/10)+Skills!O11</f>
        <v/>
      </c>
      <c r="G975" t="inlineStr"/>
      <c r="H975" t="inlineStr"/>
      <c r="I975" t="inlineStr">
        <is>
          <t>1</t>
        </is>
      </c>
      <c r="J975" t="inlineStr"/>
      <c r="K975" t="inlineStr"/>
      <c r="L975" t="inlineStr"/>
      <c r="M975" t="inlineStr"/>
      <c r="N975" t="inlineStr"/>
      <c r="O975" t="inlineStr"/>
      <c r="P975" t="inlineStr"/>
      <c r="Q975" t="inlineStr"/>
      <c r="R975" t="inlineStr"/>
      <c r="S975" t="inlineStr"/>
      <c r="T975" t="inlineStr"/>
      <c r="V975" t="inlineStr"/>
    </row>
    <row r="976">
      <c r="A976">
        <f>Skills!A12</f>
        <v/>
      </c>
      <c r="B976">
        <f>Skills!B12</f>
        <v/>
      </c>
      <c r="C976">
        <f>Inputs!$B$3&gt;=60</f>
        <v/>
      </c>
      <c r="D976">
        <f>IF(Skills!C12=1,60+Inputs!$B$25+Inputs!$B$29,IF(Skills!C12=2,90+Inputs!$B$26+Inputs!$B$29,IF(Skills!C12=3,120+Inputs!$B$27+Inputs!$B$29,MAX(0,(Inputs!$B$3-100)*3)+(Inputs!$B$28+1)+Inputs!$B$29)))</f>
        <v/>
      </c>
      <c r="E976">
        <f>INDEX(FactorTable!$B$2:$Y$301, MATCH(ROUND(MIN(300,MAX(1,D976)),0), FactorTable!$A$2:$A$301,0), Skills!M12+1)</f>
        <v/>
      </c>
      <c r="F976">
        <f>IF(Skills!N12=TRUE,(Skills!L12/10)*(E976/1000),Skills!L12/10)+Skills!O12</f>
        <v/>
      </c>
      <c r="G976">
        <f>Skills!G12*IF(Skills!H12&gt;0,Skills!I12/Skills!H12,1)</f>
        <v/>
      </c>
      <c r="H976">
        <f>1-(1-Skills!J12/100)^Skills!K12</f>
        <v/>
      </c>
      <c r="I976" t="inlineStr">
        <is>
          <t>1</t>
        </is>
      </c>
      <c r="J976">
        <f>((Inputs!$B$6*(1+Inputs!$B$7/100))+(((Inputs!$B$12*(1+Inputs!$B$13/100))-(Inputs!$B$12*(1+Inputs!$B$13/100)))+0.25*(Inputs!$B$14-Inputs!$B$14))*(1+Inputs!$B$7/100))*(F976/100)</f>
        <v/>
      </c>
      <c r="K976">
        <f>J976*(1+((Inputs!$B$12*(1+Inputs!$B$13/100))*0.01+Inputs!$B$14*0.0025)/100)*(1+Inputs!$B$15/100)*(1+Inputs!$B$16/100)*(5000/(6000+Inputs!$B$42*(1-(100*(1-(1-(Inputs!$B$19+((C992=TRUE)*(F992-Calc!F28)))/100)*(1-CHOOSE(ArtifactsInput!$N$40+1,5,6,7,8,9,10)/100)^(ArtifactsInput!$M$40-ArtifactsInput!$M$40)))/100)))*(1+(Inputs!$B$24+((C990=TRUE)*(F990-Calc!F26))+((C991=TRUE)*(F991-Calc!F27))+B1004)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977=TRUE,F977,0)/100)*(1+(IF(Skills!A12="ARROW_STREAM",Inputs!$B$17+((C988=TRUE)*(F988-Calc!F24))+(((IF(AND(ArtifactsInput!$M$42,((Inputs!$B$9+((C985=TRUE)*(F985-Calc!F21))+B998+(ArtifactsInput!$M$24-ArtifactsInput!$M$24)*CHOOSE(ArtifactsInput!$N$24+1,10,12,14,16,18,20)+IF(ArtifactsInput!$M$10,CHOOSE(ArtifactsInput!$N$10+1,15,18,21,24,27,30)*(IF(Inputs!$B$38="pvp",MIN(15,15)/15,IF(AND(Inputs!$B$38&lt;&gt;"pvp",Inputs!$B$43&gt;0),MIN(15,Inputs!$B$43)/(Inputs!$B$43),0))),0)))&gt;=100),MIN(100,((Inputs!$B$9+((C985=TRUE)*(F985-Calc!F21))+B998+(ArtifactsInput!$M$24-ArtifactsInput!$M$24)*CHOOSE(ArtifactsInput!$N$24+1,10,12,14,16,18,20)+IF(ArtifactsInput!$M$10,CHOOSE(ArtifactsInput!$N$10+1,15,18,21,24,27,30)*(IF(Inputs!$B$38="pvp",MIN(15,15)/15,IF(AND(Inputs!$B$38&lt;&gt;"pvp",Inputs!$B$43&gt;0),MIN(15,Inputs!$B$43)/(Inputs!$B$43),0))),0)))-100),0))*CHOOSE(ArtifactsInput!$N$42+1,0.6,0.72,0.84,0.96,1.08,1.2))),Inputs!$B$18+((C993=TRUE)*(F993-Calc!F29))+(IF(AND(ArtifactsInput!$M$42,((Inputs!$B$9+((C985=TRUE)*(F985-Calc!F21))+B998+(ArtifactsInput!$M$24-ArtifactsInput!$M$24)*CHOOSE(ArtifactsInput!$N$24+1,10,12,14,16,18,20)+IF(ArtifactsInput!$M$10,CHOOSE(ArtifactsInput!$N$10+1,15,18,21,24,27,30)*(IF(Inputs!$B$38="pvp",MIN(15,15)/15,IF(AND(Inputs!$B$38&lt;&gt;"pvp",Inputs!$B$43&gt;0),MIN(15,Inputs!$B$43)/(Inputs!$B$43),0))),0)))&gt;=100),CHOOSE(ArtifactsInput!$N$42+1,40,48,56,64,72,80),0))))/100)*((1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976)</f>
        <v/>
      </c>
      <c r="L976">
        <f>K976*(MIN(Inputs!$B$22+((C989=TRUE)*(F989-Calc!F25)),(Inputs!$B$23+((C994=TRUE)*(F994-Calc!F30))+(IF(ArtifactsInput!$M$15,CHOOSE(ArtifactsInput!$N$15+1,25,30,35,40,45,50)/100*(Inputs!$B$11-Inputs!$B$11),0))))/100+(Inputs!$B$23+((C994=TRUE)*(F994-Calc!F30))+(IF(ArtifactsInput!$M$15,CHOOSE(ArtifactsInput!$N$15+1,25,30,35,40,45,50)/100*(Inputs!$B$11-Inputs!$B$11),0)))/100)/2</f>
        <v/>
      </c>
      <c r="M976">
        <f>L976*(1+(Inputs!$B$10+0+B1003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6">
        <f>L976*(1-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976*(MIN((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6">
        <f>(1-Summary!$B$11)*T976+Summary!$B$11*V976</f>
        <v/>
      </c>
      <c r="P976">
        <f>IF(B1008=0,0,O976/B1008)</f>
        <v/>
      </c>
      <c r="Q976">
        <f>IFERROR(1/(IF(Inputs!$B$38="pvp",15,MAX(0.1,Skills!D12-IF(Skills!E12=TRUE,Inputs!$B$32,0)))*(1-IF(AND(ArtifactsInput!$M$27,Inputs!$B$4="Chapter Hunt"),CHOOSE(ArtifactsInput!$N$27+1,20,24,28,32,36,40),0)/100)),0)</f>
        <v/>
      </c>
      <c r="R976">
        <f>IF(AND(Inputs!$B$38&lt;&gt;"pvp",Inputs!$B$43&gt;0),IF(MAX(0,Inputs!$B$43-B1005)&lt;=0,0,(INT(MAX(0,Inputs!$B$43-B1005)/(IF(Inputs!$B$38="pvp",15,MAX(0.1,Skills!D12-IF(Skills!E12=TRUE,Inputs!$B$32,0)))*(1-IF(AND(ArtifactsInput!$M$27,Inputs!$B$4="Chapter Hunt"),CHOOSE(ArtifactsInput!$N$27+1,20,24,28,32,36,40),0)/100)))+1)),0)</f>
        <v/>
      </c>
      <c r="S976">
        <f>IFERROR(O976/N976,0)</f>
        <v/>
      </c>
      <c r="T976">
        <f>IF(C976,(H976*N976*IF(AND(Inputs!$B$38&lt;&gt;"pvp",Inputs!$B$43&gt;0),((Skills!G12*((R976-1)*IF(Skills!H12&gt;0,Skills!I12/Skills!H12,1)+IF(Skills!H12&gt;0,MIN(Skills!I12,MAX(0,MAX(0,Inputs!$B$43-B1005)-((R976-1)*(IF(Inputs!$B$38="pvp",15,MAX(0.1,Skills!D12-IF(Skills!E12=TRUE,Inputs!$B$32,0)))*(1-IF(AND(ArtifactsInput!$M$27,Inputs!$B$4="Chapter Hunt"),CHOOSE(ArtifactsInput!$N$27+1,20,24,28,32,36,40),0)/100)))))/Skills!H12,1)))/Inputs!$B$43),G976*Q976)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(5000/(6000+Inputs!$B$42*(1-(100*(1-(1-(100*(1-(1-(Inputs!$B$19+((C992=TRUE)*(F992-Calc!F28)))/100)*(1-CHOOSE(ArtifactsInput!$N$40+1,5,6,7,8,9,10)/100)^(ArtifactsInput!$M$40-ArtifactsInput!$M$40)))/100)*(1-IF(ArtifactsInput!$M$40,CHOOSE(ArtifactsInput!$N$40+1,5,6,7,8,9,10),0)/100)^IF(Inputs!$B$38="pvp",1,2)))/100)))/(5000/(6000+Inputs!$B$42*(1-(100*(1-(1-(Inputs!$B$19+((C992=TRUE)*(F992-Calc!F28)))/100)*(1-CHOOSE(ArtifactsInput!$N$40+1,5,6,7,8,9,10)/100)^(ArtifactsInput!$M$40-ArtifactsInput!$M$40)))/100))))*((L976*(1-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976*(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976*(1-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976*(MIN(100,(Inputs!$B$9+((C985=TRUE)*(F985-Calc!F21))+B998+(ArtifactsInput!$M$24-ArtifactsInput!$M$24)*CHOOSE(ArtifactsInput!$N$24+1,10,12,14,16,18,20)+(IF(AND(ArtifactsInput!$M$42,((Inputs!$B$9+((C985=TRUE)*(F985-Calc!F21))+B998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6">
        <f>IF(C976,(H976*N976*IF(AND(Inputs!$B$38&lt;&gt;"pvp",Inputs!$B$43&gt;0),((Skills!G12*((R976-1)*IF(Skills!H12&gt;0,Skills!I12/Skills!H12,1)+IF(Skills!H12&gt;0,MIN(Skills!I12,MAX(0,MAX(0,Inputs!$B$43-B1005)-((R976-1)*(IF(Inputs!$B$38="pvp",15,MAX(0.1,Skills!D12-IF(Skills!E12=TRUE,Inputs!$B$32,0)))*(1-IF(AND(ArtifactsInput!$M$27,Inputs!$B$4="Chapter Hunt"),CHOOSE(ArtifactsInput!$N$27+1,20,24,28,32,36,40),0)/100)))))/Skills!H12,1)))/Inputs!$B$43),G976*Q976))*IF(Inputs!$B$38="pvp",1,(1+(Inputs!$B$21+Skills!Q12+(IF(ArtifactsInput!$M$33,CHOOSE(ArtifactsInput!$N$33+1,30,36,42,48,54,60),0))+(IF(AND(ArtifactsInput!$M$35,Inputs!$B$4&lt;&gt;"Chapter Hunt"),CHOOSE(ArtifactsInput!$N$35+1,15,18,21,24,27,30)*(1-EXP(-(0.2*B1000)*5)),0)+IF(AND(ArtifactsInput!$M$22,Inputs!$B$4&lt;&gt;"Chapter Hunt"),CHOOSE(ArtifactsInput!$N$22+1,10,12,14,16,18,20)*((0*(((0.15*B1000*5))^0/1)+1*(((0.15*B1000*5))^1/1)+2*(((0.15*B1000*5))^2/2)+3*(((0.15*B1000*5))^3/6)+4*(((0.15*B1000*5))^4/24)+5*(((0.15*B1000*5))^5/120))/((((0.15*B1000*5))^0/1)+(((0.15*B1000*5))^1/1)+(((0.15*B1000*5))^2/2)+(((0.15*B1000*5))^3/6)+(((0.15*B1000*5))^4/24)+(((0.15*B1000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7">
      <c r="A977">
        <f>Skills!A13</f>
        <v/>
      </c>
      <c r="B977">
        <f>Skills!B13</f>
        <v/>
      </c>
      <c r="C977">
        <f>Inputs!$B$3&gt;=110</f>
        <v/>
      </c>
      <c r="D977">
        <f>IF(Skills!C13=1,60+Inputs!$B$25+Inputs!$B$29,IF(Skills!C13=2,90+Inputs!$B$26+Inputs!$B$29,IF(Skills!C13=3,120+Inputs!$B$27+Inputs!$B$29,MAX(0,(Inputs!$B$3-100)*3)+(Inputs!$B$28+1)+Inputs!$B$29)))</f>
        <v/>
      </c>
      <c r="E977">
        <f>INDEX(FactorTable!$B$2:$Y$301, MATCH(ROUND(MIN(300,MAX(1,D977)),0), FactorTable!$A$2:$A$301,0), Skills!M13+1)</f>
        <v/>
      </c>
      <c r="F977">
        <f>IF(Skills!N13=TRUE,(Skills!L13/10)*(E977/1000),Skills!L13/10)+Skills!O13</f>
        <v/>
      </c>
      <c r="G977" t="inlineStr"/>
      <c r="H977" t="inlineStr"/>
      <c r="I977" t="inlineStr">
        <is>
          <t>1</t>
        </is>
      </c>
      <c r="J977" t="inlineStr"/>
      <c r="K977" t="inlineStr"/>
      <c r="L977" t="inlineStr"/>
      <c r="M977" t="inlineStr"/>
      <c r="N977" t="inlineStr"/>
      <c r="O977" t="inlineStr"/>
      <c r="P977" t="inlineStr"/>
      <c r="Q977" t="inlineStr"/>
      <c r="R977" t="inlineStr"/>
      <c r="S977" t="inlineStr"/>
      <c r="T977" t="inlineStr"/>
      <c r="V977" t="inlineStr"/>
    </row>
    <row r="978">
      <c r="A978">
        <f>Skills!A14</f>
        <v/>
      </c>
      <c r="B978">
        <f>Skills!B14</f>
        <v/>
      </c>
      <c r="C978">
        <f>Inputs!$B$3&gt;=74</f>
        <v/>
      </c>
      <c r="D978">
        <f>IF(Skills!C14=1,60+Inputs!$B$25+Inputs!$B$29,IF(Skills!C14=2,90+Inputs!$B$26+Inputs!$B$29,IF(Skills!C14=3,120+Inputs!$B$27+Inputs!$B$29,MAX(0,(Inputs!$B$3-100)*3)+(Inputs!$B$28+1)+Inputs!$B$29)))</f>
        <v/>
      </c>
      <c r="E978">
        <f>INDEX(FactorTable!$B$2:$Y$301, MATCH(ROUND(MIN(300,MAX(1,D978)),0), FactorTable!$A$2:$A$301,0), Skills!M14+1)</f>
        <v/>
      </c>
      <c r="F978">
        <f>IF(Skills!N14=TRUE,(Skills!L14/10)*(E978/1000),Skills!L14/10)+Skills!O14</f>
        <v/>
      </c>
      <c r="G978">
        <f>Skills!G14*IF(Skills!H14&gt;0,Skills!I14/Skills!H14,1)</f>
        <v/>
      </c>
      <c r="H978">
        <f>1-(1-Skills!J14/100)^Skills!K14</f>
        <v/>
      </c>
      <c r="I978" t="inlineStr">
        <is>
          <t>1</t>
        </is>
      </c>
      <c r="J978" t="inlineStr"/>
      <c r="K978" t="inlineStr"/>
      <c r="L978" t="inlineStr"/>
      <c r="M978" t="inlineStr"/>
      <c r="N978" t="inlineStr"/>
      <c r="O978">
        <f>(1-Summary!$B$11)*T978+Summary!$B$11*V978</f>
        <v/>
      </c>
      <c r="P978">
        <f>IF(B1008=0,0,O978/B1008)</f>
        <v/>
      </c>
      <c r="Q978" t="n">
        <v>0</v>
      </c>
      <c r="R978" t="n">
        <v>0</v>
      </c>
      <c r="S978">
        <f>IFERROR(O978/N978,0)</f>
        <v/>
      </c>
      <c r="T978" t="n">
        <v>0</v>
      </c>
      <c r="V978" t="n">
        <v>0</v>
      </c>
    </row>
    <row r="979">
      <c r="A979">
        <f>Skills!A15</f>
        <v/>
      </c>
      <c r="B979">
        <f>Skills!B15</f>
        <v/>
      </c>
      <c r="C979">
        <f>Inputs!$B$3&gt;=74</f>
        <v/>
      </c>
      <c r="D979">
        <f>IF(Skills!C15=1,60+Inputs!$B$25+Inputs!$B$29,IF(Skills!C15=2,90+Inputs!$B$26+Inputs!$B$29,IF(Skills!C15=3,120+Inputs!$B$27+Inputs!$B$29,MAX(0,(Inputs!$B$3-100)*3)+(Inputs!$B$28+1)+Inputs!$B$29)))</f>
        <v/>
      </c>
      <c r="E979">
        <f>INDEX(FactorTable!$B$2:$Y$301, MATCH(ROUND(MIN(300,MAX(1,D979)),0), FactorTable!$A$2:$A$301,0), Skills!M15+1)</f>
        <v/>
      </c>
      <c r="F979">
        <f>IF(Skills!N15=TRUE,(Skills!L15/10)*(E979/1000),Skills!L15/10)+Skills!O15</f>
        <v/>
      </c>
      <c r="G979">
        <f>Skills!G15*IF(Skills!H15&gt;0,Skills!I15/Skills!H15,1)</f>
        <v/>
      </c>
      <c r="H979">
        <f>1-(1-Skills!J15/100)^Skills!K15</f>
        <v/>
      </c>
      <c r="I979" t="inlineStr">
        <is>
          <t>1</t>
        </is>
      </c>
      <c r="J979" t="inlineStr"/>
      <c r="K979" t="inlineStr"/>
      <c r="L979" t="inlineStr"/>
      <c r="M979" t="inlineStr"/>
      <c r="N979" t="inlineStr"/>
      <c r="O979">
        <f>(1-Summary!$B$11)*T979+Summary!$B$11*V979</f>
        <v/>
      </c>
      <c r="P979">
        <f>IF(B1008=0,0,O979/B1008)</f>
        <v/>
      </c>
      <c r="Q979" t="n">
        <v>0</v>
      </c>
      <c r="R979" t="n">
        <v>0</v>
      </c>
      <c r="S979">
        <f>IFERROR(O979/N979,0)</f>
        <v/>
      </c>
      <c r="T979" t="n">
        <v>0</v>
      </c>
      <c r="V979" t="n">
        <v>0</v>
      </c>
    </row>
    <row r="980">
      <c r="A980">
        <f>Skills!A16</f>
        <v/>
      </c>
      <c r="B980">
        <f>Skills!B16</f>
        <v/>
      </c>
      <c r="C980">
        <f>Inputs!$B$3&gt;=117</f>
        <v/>
      </c>
      <c r="D980">
        <f>IF(Skills!C16=1,60+Inputs!$B$25+Inputs!$B$29,IF(Skills!C16=2,90+Inputs!$B$26+Inputs!$B$29,IF(Skills!C16=3,120+Inputs!$B$27+Inputs!$B$29,MAX(0,(Inputs!$B$3-100)*3)+(Inputs!$B$28+1)+Inputs!$B$29)))</f>
        <v/>
      </c>
      <c r="E980">
        <f>INDEX(FactorTable!$B$2:$Y$301, MATCH(ROUND(MIN(300,MAX(1,D980)),0), FactorTable!$A$2:$A$301,0), Skills!M16+1)</f>
        <v/>
      </c>
      <c r="F980">
        <f>IF(Skills!N16=TRUE,(Skills!L16/10)*(E980/1000),Skills!L16/10)+Skills!O16</f>
        <v/>
      </c>
      <c r="G980">
        <f>Skills!G16*IF(Skills!H16&gt;0,Skills!I16/Skills!H16,1)</f>
        <v/>
      </c>
      <c r="H980">
        <f>1-(1-Skills!J16/100)^Skills!K16</f>
        <v/>
      </c>
      <c r="I980" t="inlineStr">
        <is>
          <t>1</t>
        </is>
      </c>
      <c r="J980" t="inlineStr"/>
      <c r="K980" t="inlineStr"/>
      <c r="L980" t="inlineStr"/>
      <c r="M980" t="inlineStr"/>
      <c r="N980" t="inlineStr"/>
      <c r="O980">
        <f>(1-Summary!$B$11)*T980+Summary!$B$11*V980</f>
        <v/>
      </c>
      <c r="P980">
        <f>IF(B1008=0,0,O980/B1008)</f>
        <v/>
      </c>
      <c r="Q980">
        <f>IFERROR(1/(IF(Inputs!$B$38="pvp",15,MAX(0.1,Skills!D16-IF(Skills!E16=TRUE,Inputs!$B$32,0)))*(1-IF(AND(ArtifactsInput!$M$27,Inputs!$B$4="Chapter Hunt"),CHOOSE(ArtifactsInput!$N$27+1,20,24,28,32,36,40),0)/100)),0)</f>
        <v/>
      </c>
      <c r="R980">
        <f>IF(AND(Inputs!$B$38&lt;&gt;"pvp",Inputs!$B$43&gt;0),IF(Inputs!$B$43&lt;=0,0,(INT(Inputs!$B$43/(IF(Inputs!$B$38="pvp",15,MAX(0.1,Skills!D16-IF(Skills!E16=TRUE,Inputs!$B$32,0)))*(1-IF(AND(ArtifactsInput!$M$27,Inputs!$B$4="Chapter Hunt"),CHOOSE(ArtifactsInput!$N$27+1,20,24,28,32,36,40),0)/100)))+1)),0)</f>
        <v/>
      </c>
      <c r="S980">
        <f>IFERROR(O980/N980,0)</f>
        <v/>
      </c>
      <c r="T980" t="n">
        <v>0</v>
      </c>
      <c r="V980" t="n">
        <v>0</v>
      </c>
    </row>
    <row r="981">
      <c r="A981">
        <f>Skills!A17</f>
        <v/>
      </c>
      <c r="B981">
        <f>Skills!B17</f>
        <v/>
      </c>
      <c r="C981">
        <f>Inputs!$B$3&gt;=115</f>
        <v/>
      </c>
      <c r="D981">
        <f>IF(Skills!C17=1,60+Inputs!$B$25+Inputs!$B$29,IF(Skills!C17=2,90+Inputs!$B$26+Inputs!$B$29,IF(Skills!C17=3,120+Inputs!$B$27+Inputs!$B$29,MAX(0,(Inputs!$B$3-100)*3)+(Inputs!$B$28+1)+Inputs!$B$29)))</f>
        <v/>
      </c>
      <c r="E981">
        <f>INDEX(FactorTable!$B$2:$Y$301, MATCH(ROUND(MIN(300,MAX(1,D981)),0), FactorTable!$A$2:$A$301,0), Skills!M17+1)</f>
        <v/>
      </c>
      <c r="F981">
        <f>IF(Skills!N17=TRUE,(Skills!L17/10)*(E981/1000),Skills!L17/10)+Skills!O17</f>
        <v/>
      </c>
      <c r="G981">
        <f>Skills!G17*IF(Skills!H17&gt;0,Skills!I17/Skills!H17,1)</f>
        <v/>
      </c>
      <c r="H981">
        <f>1-(1-Skills!J17/100)^Skills!K17</f>
        <v/>
      </c>
      <c r="I981" t="inlineStr">
        <is>
          <t>1</t>
        </is>
      </c>
      <c r="J981" t="inlineStr"/>
      <c r="K981" t="inlineStr"/>
      <c r="L981" t="inlineStr"/>
      <c r="M981" t="inlineStr"/>
      <c r="N981" t="inlineStr"/>
      <c r="O981">
        <f>(1-Summary!$B$11)*T981+Summary!$B$11*V981</f>
        <v/>
      </c>
      <c r="P981">
        <f>IF(B1008=0,0,O981/B1008)</f>
        <v/>
      </c>
      <c r="Q981">
        <f>IFERROR(1/(IF(Inputs!$B$38="pvp",15,MAX(0.1,Skills!D17-IF(Skills!E17=TRUE,Inputs!$B$32,0)))*(1-IF(AND(ArtifactsInput!$M$27,Inputs!$B$4="Chapter Hunt"),CHOOSE(ArtifactsInput!$N$27+1,20,24,28,32,36,40),0)/100)),0)</f>
        <v/>
      </c>
      <c r="R981">
        <f>IF(AND(Inputs!$B$38&lt;&gt;"pvp",Inputs!$B$43&gt;0),IF(Inputs!$B$43&lt;=0,0,(INT(Inputs!$B$43/(IF(Inputs!$B$38="pvp",15,MAX(0.1,Skills!D17-IF(Skills!E17=TRUE,Inputs!$B$32,0)))*(1-IF(AND(ArtifactsInput!$M$27,Inputs!$B$4="Chapter Hunt"),CHOOSE(ArtifactsInput!$N$27+1,20,24,28,32,36,40),0)/100)))+1)),0)</f>
        <v/>
      </c>
      <c r="S981">
        <f>IFERROR(O981/N981,0)</f>
        <v/>
      </c>
      <c r="T981" t="n">
        <v>0</v>
      </c>
      <c r="V981" t="n">
        <v>0</v>
      </c>
    </row>
    <row r="982">
      <c r="A982">
        <f>Skills!A18</f>
        <v/>
      </c>
      <c r="B982">
        <f>Skills!B18</f>
        <v/>
      </c>
      <c r="C982">
        <f>Inputs!$B$3&gt;=66</f>
        <v/>
      </c>
      <c r="D982">
        <f>IF(Skills!C18=1,60+Inputs!$B$25+Inputs!$B$29,IF(Skills!C18=2,90+Inputs!$B$26+Inputs!$B$29,IF(Skills!C18=3,120+Inputs!$B$27+Inputs!$B$29,MAX(0,(Inputs!$B$3-100)*3)+(Inputs!$B$28+1)+Inputs!$B$29)))</f>
        <v/>
      </c>
      <c r="E982">
        <f>INDEX(FactorTable!$B$2:$Y$301, MATCH(ROUND(MIN(300,MAX(1,D982)),0), FactorTable!$A$2:$A$301,0), Skills!M18+1)</f>
        <v/>
      </c>
      <c r="F982">
        <f>IF(Skills!N18=TRUE,(Skills!L18/10)*(E982/1000),Skills!L18/10)+Skills!O18</f>
        <v/>
      </c>
      <c r="G982">
        <f>Skills!G18*IF(Skills!H18&gt;0,Skills!I18/Skills!H18,1)</f>
        <v/>
      </c>
      <c r="H982">
        <f>1-(1-Skills!J18/100)^Skills!K18</f>
        <v/>
      </c>
      <c r="I982" t="inlineStr">
        <is>
          <t>1</t>
        </is>
      </c>
      <c r="J982" t="inlineStr"/>
      <c r="K982" t="inlineStr"/>
      <c r="L982" t="inlineStr"/>
      <c r="M982" t="inlineStr"/>
      <c r="N982" t="inlineStr"/>
      <c r="O982">
        <f>(1-Summary!$B$11)*T982+Summary!$B$11*V982</f>
        <v/>
      </c>
      <c r="P982">
        <f>IF(B1008=0,0,O982/B1008)</f>
        <v/>
      </c>
      <c r="Q982" t="n">
        <v>0</v>
      </c>
      <c r="R982" t="n">
        <v>0</v>
      </c>
      <c r="S982">
        <f>IFERROR(O982/N982,0)</f>
        <v/>
      </c>
      <c r="T982" t="n">
        <v>0</v>
      </c>
      <c r="V982" t="n">
        <v>0</v>
      </c>
    </row>
    <row r="983">
      <c r="A983">
        <f>Skills!A19</f>
        <v/>
      </c>
      <c r="B983">
        <f>Skills!B19</f>
        <v/>
      </c>
      <c r="C983">
        <f>Inputs!$B$3&gt;=72</f>
        <v/>
      </c>
      <c r="D983">
        <f>IF(Skills!C19=1,60+Inputs!$B$25+Inputs!$B$29,IF(Skills!C19=2,90+Inputs!$B$26+Inputs!$B$29,IF(Skills!C19=3,120+Inputs!$B$27+Inputs!$B$29,MAX(0,(Inputs!$B$3-100)*3)+(Inputs!$B$28+1)+Inputs!$B$29)))</f>
        <v/>
      </c>
      <c r="E983">
        <f>INDEX(FactorTable!$B$2:$Y$301, MATCH(ROUND(MIN(300,MAX(1,D983)),0), FactorTable!$A$2:$A$301,0), Skills!M19+1)</f>
        <v/>
      </c>
      <c r="F983">
        <f>IF(Skills!N19=TRUE,(Skills!L19/10)*(E983/1000),Skills!L19/10)+Skills!O19</f>
        <v/>
      </c>
      <c r="G983">
        <f>Skills!G19*IF(Skills!H19&gt;0,Skills!I19/Skills!H19,1)</f>
        <v/>
      </c>
      <c r="H983">
        <f>1-(1-Skills!J19/100)^Skills!K19</f>
        <v/>
      </c>
      <c r="I983" t="inlineStr">
        <is>
          <t>1</t>
        </is>
      </c>
      <c r="J983" t="inlineStr"/>
      <c r="K983" t="inlineStr"/>
      <c r="L983" t="inlineStr"/>
      <c r="M983" t="inlineStr"/>
      <c r="N983" t="inlineStr"/>
      <c r="O983">
        <f>(1-Summary!$B$11)*T983+Summary!$B$11*V983</f>
        <v/>
      </c>
      <c r="P983">
        <f>IF(B1008=0,0,O983/B1008)</f>
        <v/>
      </c>
      <c r="Q983" t="n">
        <v>0</v>
      </c>
      <c r="R983" t="n">
        <v>0</v>
      </c>
      <c r="S983">
        <f>IFERROR(O983/N983,0)</f>
        <v/>
      </c>
      <c r="T983" t="n">
        <v>0</v>
      </c>
      <c r="V983" t="n">
        <v>0</v>
      </c>
    </row>
    <row r="984">
      <c r="A984">
        <f>Skills!A20</f>
        <v/>
      </c>
      <c r="B984">
        <f>Skills!B20</f>
        <v/>
      </c>
      <c r="C984">
        <f>TRUE</f>
        <v/>
      </c>
      <c r="D984">
        <f>IF(Skills!C20=1,60+Inputs!$B$25+Inputs!$B$29,IF(Skills!C20=2,90+Inputs!$B$26+Inputs!$B$29,IF(Skills!C20=3,120+Inputs!$B$27+Inputs!$B$29,MAX(0,(Inputs!$B$3-100)*3)+(Inputs!$B$28+1)+Inputs!$B$29)))</f>
        <v/>
      </c>
      <c r="E984">
        <f>INDEX(FactorTable!$B$2:$Y$301, MATCH(ROUND(MIN(300,MAX(1,D984)),0), FactorTable!$A$2:$A$301,0), Skills!M20+1)</f>
        <v/>
      </c>
      <c r="F984">
        <f>IF(Skills!N20=TRUE,(Skills!L20/10)*(E984/1000),Skills!L20/10)+Skills!O20</f>
        <v/>
      </c>
      <c r="G984">
        <f>Skills!G20*IF(Skills!H20&gt;0,Skills!I20/Skills!H20,1)</f>
        <v/>
      </c>
      <c r="H984">
        <f>1-(1-Skills!J20/100)^Skills!K20</f>
        <v/>
      </c>
      <c r="I984" t="inlineStr">
        <is>
          <t>1</t>
        </is>
      </c>
      <c r="J984" t="inlineStr"/>
      <c r="K984" t="inlineStr"/>
      <c r="L984" t="inlineStr"/>
      <c r="M984" t="inlineStr"/>
      <c r="N984" t="inlineStr"/>
      <c r="O984">
        <f>(1-Summary!$B$11)*T984+Summary!$B$11*V984</f>
        <v/>
      </c>
      <c r="P984">
        <f>IF(B1008=0,0,O984/B1008)</f>
        <v/>
      </c>
      <c r="Q984">
        <f>IFERROR(1/(IF(Inputs!$B$38="pvp",15,MAX(0.1,Skills!D20-IF(Skills!E20=TRUE,Inputs!$B$32,0)))*(1-IF(AND(ArtifactsInput!$M$27,Inputs!$B$4="Chapter Hunt"),CHOOSE(ArtifactsInput!$N$27+1,20,24,28,32,36,40),0)/100)),0)</f>
        <v/>
      </c>
      <c r="R984">
        <f>IF(AND(Inputs!$B$38&lt;&gt;"pvp",Inputs!$B$43&gt;0),IF(Inputs!$B$43&lt;=0,0,(INT(Inputs!$B$43/(IF(Inputs!$B$38="pvp",15,MAX(0.1,Skills!D20-IF(Skills!E20=TRUE,Inputs!$B$32,0)))*(1-IF(AND(ArtifactsInput!$M$27,Inputs!$B$4="Chapter Hunt"),CHOOSE(ArtifactsInput!$N$27+1,20,24,28,32,36,40),0)/100)))+1)),0)</f>
        <v/>
      </c>
      <c r="S984">
        <f>IFERROR(O984/N984,0)</f>
        <v/>
      </c>
      <c r="T984" t="n">
        <v>0</v>
      </c>
      <c r="V984" t="n">
        <v>0</v>
      </c>
    </row>
    <row r="985">
      <c r="A985">
        <f>Skills!A21</f>
        <v/>
      </c>
      <c r="B985">
        <f>Skills!B21</f>
        <v/>
      </c>
      <c r="C985">
        <f>Inputs!$B$3&gt;=15</f>
        <v/>
      </c>
      <c r="D985">
        <f>IF(Skills!C21=1,60+Inputs!$B$25+Inputs!$B$29,IF(Skills!C21=2,90+Inputs!$B$26+Inputs!$B$29,IF(Skills!C21=3,120+Inputs!$B$27+Inputs!$B$29,MAX(0,(Inputs!$B$3-100)*3)+(Inputs!$B$28+1)+Inputs!$B$29)))</f>
        <v/>
      </c>
      <c r="E985">
        <f>INDEX(FactorTable!$B$2:$Y$301, MATCH(ROUND(MIN(300,MAX(1,D985)),0), FactorTable!$A$2:$A$301,0), Skills!M21+1)</f>
        <v/>
      </c>
      <c r="F985">
        <f>IF(Skills!N21=TRUE,(Skills!L21/10)*(E985/1000),Skills!L21/10)+Skills!O21</f>
        <v/>
      </c>
      <c r="G985">
        <f>Skills!G21*IF(Skills!H21&gt;0,Skills!I21/Skills!H21,1)</f>
        <v/>
      </c>
      <c r="H985">
        <f>1-(1-Skills!J21/100)^Skills!K21</f>
        <v/>
      </c>
      <c r="I985" t="inlineStr">
        <is>
          <t>1</t>
        </is>
      </c>
      <c r="J985" t="inlineStr"/>
      <c r="K985" t="inlineStr"/>
      <c r="L985" t="inlineStr"/>
      <c r="M985" t="inlineStr"/>
      <c r="N985" t="inlineStr"/>
      <c r="O985">
        <f>(1-Summary!$B$11)*T985+Summary!$B$11*V985</f>
        <v/>
      </c>
      <c r="P985">
        <f>IF(B1008=0,0,O985/B1008)</f>
        <v/>
      </c>
      <c r="Q985" t="n">
        <v>0</v>
      </c>
      <c r="R985" t="n">
        <v>0</v>
      </c>
      <c r="S985">
        <f>IFERROR(O985/N985,0)</f>
        <v/>
      </c>
      <c r="T985" t="n">
        <v>0</v>
      </c>
      <c r="V985" t="n">
        <v>0</v>
      </c>
    </row>
    <row r="986">
      <c r="A986">
        <f>Skills!A22</f>
        <v/>
      </c>
      <c r="B986">
        <f>Skills!B22</f>
        <v/>
      </c>
      <c r="C986">
        <f>Inputs!$B$3&gt;=10</f>
        <v/>
      </c>
      <c r="D986">
        <f>IF(Skills!C22=1,60+Inputs!$B$25+Inputs!$B$29,IF(Skills!C22=2,90+Inputs!$B$26+Inputs!$B$29,IF(Skills!C22=3,120+Inputs!$B$27+Inputs!$B$29,MAX(0,(Inputs!$B$3-100)*3)+(Inputs!$B$28+1)+Inputs!$B$29)))</f>
        <v/>
      </c>
      <c r="E986">
        <f>INDEX(FactorTable!$B$2:$Y$301, MATCH(ROUND(MIN(300,MAX(1,D986)),0), FactorTable!$A$2:$A$301,0), Skills!M22+1)</f>
        <v/>
      </c>
      <c r="F986">
        <f>IF(Skills!N22=TRUE,(Skills!L22/10)*(E986/1000),Skills!L22/10)+Skills!O22</f>
        <v/>
      </c>
      <c r="G986">
        <f>Skills!G22*IF(Skills!H22&gt;0,Skills!I22/Skills!H22,1)</f>
        <v/>
      </c>
      <c r="H986">
        <f>1-(1-Skills!J22/100)^Skills!K22</f>
        <v/>
      </c>
      <c r="I986" t="inlineStr">
        <is>
          <t>1</t>
        </is>
      </c>
      <c r="J986" t="inlineStr"/>
      <c r="K986" t="inlineStr"/>
      <c r="L986" t="inlineStr"/>
      <c r="M986" t="inlineStr"/>
      <c r="N986" t="inlineStr"/>
      <c r="O986">
        <f>(1-Summary!$B$11)*T986+Summary!$B$11*V986</f>
        <v/>
      </c>
      <c r="P986">
        <f>IF(B1008=0,0,O986/B1008)</f>
        <v/>
      </c>
      <c r="Q986" t="n">
        <v>0</v>
      </c>
      <c r="R986" t="n">
        <v>0</v>
      </c>
      <c r="S986">
        <f>IFERROR(O986/N986,0)</f>
        <v/>
      </c>
      <c r="T986" t="n">
        <v>0</v>
      </c>
      <c r="V986" t="n">
        <v>0</v>
      </c>
    </row>
    <row r="987">
      <c r="A987">
        <f>Skills!A23</f>
        <v/>
      </c>
      <c r="B987">
        <f>Skills!B23</f>
        <v/>
      </c>
      <c r="C987">
        <f>Inputs!$B$3&gt;=33</f>
        <v/>
      </c>
      <c r="D987">
        <f>IF(Skills!C23=1,60+Inputs!$B$25+Inputs!$B$29,IF(Skills!C23=2,90+Inputs!$B$26+Inputs!$B$29,IF(Skills!C23=3,120+Inputs!$B$27+Inputs!$B$29,MAX(0,(Inputs!$B$3-100)*3)+(Inputs!$B$28+1)+Inputs!$B$29)))</f>
        <v/>
      </c>
      <c r="E987">
        <f>INDEX(FactorTable!$B$2:$Y$301, MATCH(ROUND(MIN(300,MAX(1,D987)),0), FactorTable!$A$2:$A$301,0), Skills!M23+1)</f>
        <v/>
      </c>
      <c r="F987">
        <f>IF(Skills!N23=TRUE,(Skills!L23/10)*(E987/1000),Skills!L23/10)+Skills!O23</f>
        <v/>
      </c>
      <c r="G987">
        <f>Skills!G23*IF(Skills!H23&gt;0,Skills!I23/Skills!H23,1)</f>
        <v/>
      </c>
      <c r="H987">
        <f>1-(1-Skills!J23/100)^Skills!K23</f>
        <v/>
      </c>
      <c r="I987" t="inlineStr">
        <is>
          <t>1</t>
        </is>
      </c>
      <c r="J987" t="inlineStr"/>
      <c r="K987" t="inlineStr"/>
      <c r="L987" t="inlineStr"/>
      <c r="M987" t="inlineStr"/>
      <c r="N987" t="inlineStr"/>
      <c r="O987">
        <f>(1-Summary!$B$11)*T987+Summary!$B$11*V987</f>
        <v/>
      </c>
      <c r="P987">
        <f>IF(B1008=0,0,O987/B1008)</f>
        <v/>
      </c>
      <c r="Q987" t="n">
        <v>0</v>
      </c>
      <c r="R987" t="n">
        <v>0</v>
      </c>
      <c r="S987">
        <f>IFERROR(O987/N987,0)</f>
        <v/>
      </c>
      <c r="T987" t="n">
        <v>0</v>
      </c>
      <c r="V987" t="n">
        <v>0</v>
      </c>
    </row>
    <row r="988">
      <c r="A988">
        <f>Skills!A24</f>
        <v/>
      </c>
      <c r="B988">
        <f>Skills!B24</f>
        <v/>
      </c>
      <c r="C988">
        <f>Inputs!$B$3&gt;=38</f>
        <v/>
      </c>
      <c r="D988">
        <f>IF(Skills!C24=1,60+Inputs!$B$25+Inputs!$B$29,IF(Skills!C24=2,90+Inputs!$B$26+Inputs!$B$29,IF(Skills!C24=3,120+Inputs!$B$27+Inputs!$B$29,MAX(0,(Inputs!$B$3-100)*3)+(Inputs!$B$28+1)+Inputs!$B$29)))</f>
        <v/>
      </c>
      <c r="E988">
        <f>INDEX(FactorTable!$B$2:$Y$301, MATCH(ROUND(MIN(300,MAX(1,D988)),0), FactorTable!$A$2:$A$301,0), Skills!M24+1)</f>
        <v/>
      </c>
      <c r="F988">
        <f>IF(Skills!N24=TRUE,(Skills!L24/10)*(E988/1000),Skills!L24/10)+Skills!O24</f>
        <v/>
      </c>
      <c r="G988">
        <f>Skills!G24*IF(Skills!H24&gt;0,Skills!I24/Skills!H24,1)</f>
        <v/>
      </c>
      <c r="H988">
        <f>1-(1-Skills!J24/100)^Skills!K24</f>
        <v/>
      </c>
      <c r="I988" t="inlineStr">
        <is>
          <t>1</t>
        </is>
      </c>
      <c r="J988" t="inlineStr"/>
      <c r="K988" t="inlineStr"/>
      <c r="L988" t="inlineStr"/>
      <c r="M988" t="inlineStr"/>
      <c r="N988" t="inlineStr"/>
      <c r="O988">
        <f>(1-Summary!$B$11)*T988+Summary!$B$11*V988</f>
        <v/>
      </c>
      <c r="P988">
        <f>IF(B1008=0,0,O988/B1008)</f>
        <v/>
      </c>
      <c r="Q988" t="n">
        <v>0</v>
      </c>
      <c r="R988" t="n">
        <v>0</v>
      </c>
      <c r="S988">
        <f>IFERROR(O988/N988,0)</f>
        <v/>
      </c>
      <c r="T988" t="n">
        <v>0</v>
      </c>
      <c r="V988" t="n">
        <v>0</v>
      </c>
    </row>
    <row r="989">
      <c r="A989">
        <f>Skills!A25</f>
        <v/>
      </c>
      <c r="B989">
        <f>Skills!B25</f>
        <v/>
      </c>
      <c r="C989">
        <f>Inputs!$B$3&gt;=43</f>
        <v/>
      </c>
      <c r="D989">
        <f>IF(Skills!C25=1,60+Inputs!$B$25+Inputs!$B$29,IF(Skills!C25=2,90+Inputs!$B$26+Inputs!$B$29,IF(Skills!C25=3,120+Inputs!$B$27+Inputs!$B$29,MAX(0,(Inputs!$B$3-100)*3)+(Inputs!$B$28+1)+Inputs!$B$29)))</f>
        <v/>
      </c>
      <c r="E989">
        <f>INDEX(FactorTable!$B$2:$Y$301, MATCH(ROUND(MIN(300,MAX(1,D989)),0), FactorTable!$A$2:$A$301,0), Skills!M25+1)</f>
        <v/>
      </c>
      <c r="F989">
        <f>IF(Skills!N25=TRUE,(Skills!L25/10)*(E989/1000),Skills!L25/10)+Skills!O25</f>
        <v/>
      </c>
      <c r="G989">
        <f>Skills!G25*IF(Skills!H25&gt;0,Skills!I25/Skills!H25,1)</f>
        <v/>
      </c>
      <c r="H989">
        <f>1-(1-Skills!J25/100)^Skills!K25</f>
        <v/>
      </c>
      <c r="I989" t="inlineStr">
        <is>
          <t>1</t>
        </is>
      </c>
      <c r="J989" t="inlineStr"/>
      <c r="K989" t="inlineStr"/>
      <c r="L989" t="inlineStr"/>
      <c r="M989" t="inlineStr"/>
      <c r="N989" t="inlineStr"/>
      <c r="O989">
        <f>(1-Summary!$B$11)*T989+Summary!$B$11*V989</f>
        <v/>
      </c>
      <c r="P989">
        <f>IF(B1008=0,0,O989/B1008)</f>
        <v/>
      </c>
      <c r="Q989" t="n">
        <v>0</v>
      </c>
      <c r="R989" t="n">
        <v>0</v>
      </c>
      <c r="S989">
        <f>IFERROR(O989/N989,0)</f>
        <v/>
      </c>
      <c r="T989" t="n">
        <v>0</v>
      </c>
      <c r="V989" t="n">
        <v>0</v>
      </c>
    </row>
    <row r="990">
      <c r="A990">
        <f>Skills!A26</f>
        <v/>
      </c>
      <c r="B990">
        <f>Skills!B26</f>
        <v/>
      </c>
      <c r="C990">
        <f>Inputs!$B$3&gt;=75</f>
        <v/>
      </c>
      <c r="D990">
        <f>IF(Skills!C26=1,60+Inputs!$B$25+Inputs!$B$29,IF(Skills!C26=2,90+Inputs!$B$26+Inputs!$B$29,IF(Skills!C26=3,120+Inputs!$B$27+Inputs!$B$29,MAX(0,(Inputs!$B$3-100)*3)+(Inputs!$B$28+1)+Inputs!$B$29)))</f>
        <v/>
      </c>
      <c r="E990">
        <f>INDEX(FactorTable!$B$2:$Y$301, MATCH(ROUND(MIN(300,MAX(1,D990)),0), FactorTable!$A$2:$A$301,0), Skills!M26+1)</f>
        <v/>
      </c>
      <c r="F990">
        <f>IF(Skills!N26=TRUE,(Skills!L26/10)*(E990/1000),Skills!L26/10)+Skills!O26</f>
        <v/>
      </c>
      <c r="G990">
        <f>Skills!G26*IF(Skills!H26&gt;0,Skills!I26/Skills!H26,1)</f>
        <v/>
      </c>
      <c r="H990">
        <f>1-(1-Skills!J26/100)^Skills!K26</f>
        <v/>
      </c>
      <c r="I990" t="inlineStr">
        <is>
          <t>1</t>
        </is>
      </c>
      <c r="J990" t="inlineStr"/>
      <c r="K990" t="inlineStr"/>
      <c r="L990" t="inlineStr"/>
      <c r="M990" t="inlineStr"/>
      <c r="N990" t="inlineStr"/>
      <c r="O990">
        <f>(1-Summary!$B$11)*T990+Summary!$B$11*V990</f>
        <v/>
      </c>
      <c r="P990">
        <f>IF(B1008=0,0,O990/B1008)</f>
        <v/>
      </c>
      <c r="Q990" t="n">
        <v>0</v>
      </c>
      <c r="R990" t="n">
        <v>0</v>
      </c>
      <c r="S990">
        <f>IFERROR(O990/N990,0)</f>
        <v/>
      </c>
      <c r="T990" t="n">
        <v>0</v>
      </c>
      <c r="V990" t="n">
        <v>0</v>
      </c>
    </row>
    <row r="991">
      <c r="A991">
        <f>Skills!A27</f>
        <v/>
      </c>
      <c r="B991">
        <f>Skills!B27</f>
        <v/>
      </c>
      <c r="C991">
        <f>Inputs!$B$3&gt;=125</f>
        <v/>
      </c>
      <c r="D991">
        <f>IF(Skills!C27=1,60+Inputs!$B$25+Inputs!$B$29,IF(Skills!C27=2,90+Inputs!$B$26+Inputs!$B$29,IF(Skills!C27=3,120+Inputs!$B$27+Inputs!$B$29,MAX(0,(Inputs!$B$3-100)*3)+(Inputs!$B$28+1)+Inputs!$B$29)))</f>
        <v/>
      </c>
      <c r="E991">
        <f>INDEX(FactorTable!$B$2:$Y$301, MATCH(ROUND(MIN(300,MAX(1,D991)),0), FactorTable!$A$2:$A$301,0), Skills!M27+1)</f>
        <v/>
      </c>
      <c r="F991">
        <f>IF(Skills!N27=TRUE,(Skills!L27/10)*(E991/1000),Skills!L27/10)+Skills!O27</f>
        <v/>
      </c>
      <c r="G991">
        <f>Skills!G27*IF(Skills!H27&gt;0,Skills!I27/Skills!H27,1)</f>
        <v/>
      </c>
      <c r="H991">
        <f>1-(1-Skills!J27/100)^Skills!K27</f>
        <v/>
      </c>
      <c r="I991" t="inlineStr">
        <is>
          <t>1</t>
        </is>
      </c>
      <c r="J991" t="inlineStr"/>
      <c r="K991" t="inlineStr"/>
      <c r="L991" t="inlineStr"/>
      <c r="M991" t="inlineStr"/>
      <c r="N991" t="inlineStr"/>
      <c r="O991">
        <f>(1-Summary!$B$11)*T991+Summary!$B$11*V991</f>
        <v/>
      </c>
      <c r="P991">
        <f>IF(B1008=0,0,O991/B1008)</f>
        <v/>
      </c>
      <c r="Q991" t="n">
        <v>0</v>
      </c>
      <c r="R991" t="n">
        <v>0</v>
      </c>
      <c r="S991">
        <f>IFERROR(O991/N991,0)</f>
        <v/>
      </c>
      <c r="T991" t="n">
        <v>0</v>
      </c>
      <c r="V991" t="n">
        <v>0</v>
      </c>
    </row>
    <row r="992">
      <c r="A992">
        <f>Skills!A28</f>
        <v/>
      </c>
      <c r="B992">
        <f>Skills!B28</f>
        <v/>
      </c>
      <c r="C992">
        <f>Inputs!$B$3&gt;=125</f>
        <v/>
      </c>
      <c r="D992">
        <f>IF(Skills!C28=1,60+Inputs!$B$25+Inputs!$B$29,IF(Skills!C28=2,90+Inputs!$B$26+Inputs!$B$29,IF(Skills!C28=3,120+Inputs!$B$27+Inputs!$B$29,MAX(0,(Inputs!$B$3-100)*3)+(Inputs!$B$28+1)+Inputs!$B$29)))</f>
        <v/>
      </c>
      <c r="E992">
        <f>INDEX(FactorTable!$B$2:$Y$301, MATCH(ROUND(MIN(300,MAX(1,D992)),0), FactorTable!$A$2:$A$301,0), Skills!M28+1)</f>
        <v/>
      </c>
      <c r="F992">
        <f>IF(Skills!N28=TRUE,(Skills!L28/10)*(E992/1000),Skills!L28/10)+Skills!O28</f>
        <v/>
      </c>
      <c r="G992">
        <f>Skills!G28*IF(Skills!H28&gt;0,Skills!I28/Skills!H28,1)</f>
        <v/>
      </c>
      <c r="H992">
        <f>1-(1-Skills!J28/100)^Skills!K28</f>
        <v/>
      </c>
      <c r="I992" t="inlineStr">
        <is>
          <t>1</t>
        </is>
      </c>
      <c r="J992" t="inlineStr"/>
      <c r="K992" t="inlineStr"/>
      <c r="L992" t="inlineStr"/>
      <c r="M992" t="inlineStr"/>
      <c r="N992" t="inlineStr"/>
      <c r="O992">
        <f>(1-Summary!$B$11)*T992+Summary!$B$11*V992</f>
        <v/>
      </c>
      <c r="P992">
        <f>IF(B1008=0,0,O992/B1008)</f>
        <v/>
      </c>
      <c r="Q992" t="n">
        <v>0</v>
      </c>
      <c r="R992" t="n">
        <v>0</v>
      </c>
      <c r="S992">
        <f>IFERROR(O992/N992,0)</f>
        <v/>
      </c>
      <c r="T992" t="n">
        <v>0</v>
      </c>
      <c r="V992" t="n">
        <v>0</v>
      </c>
    </row>
    <row r="993">
      <c r="A993">
        <f>Skills!A29</f>
        <v/>
      </c>
      <c r="B993">
        <f>Skills!B29</f>
        <v/>
      </c>
      <c r="C993">
        <f>Inputs!$B$3&gt;=120</f>
        <v/>
      </c>
      <c r="D993">
        <f>IF(Skills!C29=1,60+Inputs!$B$25+Inputs!$B$29,IF(Skills!C29=2,90+Inputs!$B$26+Inputs!$B$29,IF(Skills!C29=3,120+Inputs!$B$27+Inputs!$B$29,MAX(0,(Inputs!$B$3-100)*3)+(Inputs!$B$28+1)+Inputs!$B$29)))</f>
        <v/>
      </c>
      <c r="E993">
        <f>INDEX(FactorTable!$B$2:$Y$301, MATCH(ROUND(MIN(300,MAX(1,D993)),0), FactorTable!$A$2:$A$301,0), Skills!M29+1)</f>
        <v/>
      </c>
      <c r="F993">
        <f>IF(Skills!N29=TRUE,(Skills!L29/10)*(E993/1000),Skills!L29/10)+Skills!O29</f>
        <v/>
      </c>
      <c r="G993">
        <f>Skills!G29*IF(Skills!H29&gt;0,Skills!I29/Skills!H29,1)</f>
        <v/>
      </c>
      <c r="H993">
        <f>1-(1-Skills!J29/100)^Skills!K29</f>
        <v/>
      </c>
      <c r="I993" t="inlineStr">
        <is>
          <t>1</t>
        </is>
      </c>
      <c r="J993" t="inlineStr"/>
      <c r="K993" t="inlineStr"/>
      <c r="L993" t="inlineStr"/>
      <c r="M993" t="inlineStr"/>
      <c r="N993" t="inlineStr"/>
      <c r="O993">
        <f>(1-Summary!$B$11)*T993+Summary!$B$11*V993</f>
        <v/>
      </c>
      <c r="P993">
        <f>IF(B1008=0,0,O993/B1008)</f>
        <v/>
      </c>
      <c r="Q993" t="n">
        <v>0</v>
      </c>
      <c r="R993" t="n">
        <v>0</v>
      </c>
      <c r="S993">
        <f>IFERROR(O993/N993,0)</f>
        <v/>
      </c>
      <c r="T993" t="n">
        <v>0</v>
      </c>
      <c r="V993" t="n">
        <v>0</v>
      </c>
    </row>
    <row r="994">
      <c r="A994">
        <f>Skills!A30</f>
        <v/>
      </c>
      <c r="B994">
        <f>Skills!B30</f>
        <v/>
      </c>
      <c r="C994">
        <f>Inputs!$B$3&gt;=120</f>
        <v/>
      </c>
      <c r="D994">
        <f>IF(Skills!C30=1,60+Inputs!$B$25+Inputs!$B$29,IF(Skills!C30=2,90+Inputs!$B$26+Inputs!$B$29,IF(Skills!C30=3,120+Inputs!$B$27+Inputs!$B$29,MAX(0,(Inputs!$B$3-100)*3)+(Inputs!$B$28+1)+Inputs!$B$29)))</f>
        <v/>
      </c>
      <c r="E994">
        <f>INDEX(FactorTable!$B$2:$Y$301, MATCH(ROUND(MIN(300,MAX(1,D994)),0), FactorTable!$A$2:$A$301,0), Skills!M30+1)</f>
        <v/>
      </c>
      <c r="F994">
        <f>IF(Skills!N30=TRUE,(Skills!L30/10)*(E994/1000),Skills!L30/10)+Skills!O30</f>
        <v/>
      </c>
      <c r="G994">
        <f>Skills!G30*IF(Skills!H30&gt;0,Skills!I30/Skills!H30,1)</f>
        <v/>
      </c>
      <c r="H994">
        <f>1-(1-Skills!J30/100)^Skills!K30</f>
        <v/>
      </c>
      <c r="I994" t="inlineStr">
        <is>
          <t>1</t>
        </is>
      </c>
      <c r="J994" t="inlineStr"/>
      <c r="K994" t="inlineStr"/>
      <c r="L994" t="inlineStr"/>
      <c r="M994" t="inlineStr"/>
      <c r="N994" t="inlineStr"/>
      <c r="O994">
        <f>(1-Summary!$B$11)*T994+Summary!$B$11*V994</f>
        <v/>
      </c>
      <c r="P994">
        <f>IF(B1008=0,0,O994/B1008)</f>
        <v/>
      </c>
      <c r="Q994" t="n">
        <v>0</v>
      </c>
      <c r="R994" t="n">
        <v>0</v>
      </c>
      <c r="S994">
        <f>IFERROR(O994/N994,0)</f>
        <v/>
      </c>
      <c r="T994" t="n">
        <v>0</v>
      </c>
      <c r="V994" t="n">
        <v>0</v>
      </c>
    </row>
    <row r="995">
      <c r="A995">
        <f>Skills!A31</f>
        <v/>
      </c>
      <c r="B995">
        <f>Skills!B31</f>
        <v/>
      </c>
      <c r="C995">
        <f>Inputs!$B$3&gt;=45</f>
        <v/>
      </c>
      <c r="D995">
        <f>IF(Skills!C31=1,60+Inputs!$B$25+Inputs!$B$29,IF(Skills!C31=2,90+Inputs!$B$26+Inputs!$B$29,IF(Skills!C31=3,120+Inputs!$B$27+Inputs!$B$29,MAX(0,(Inputs!$B$3-100)*3)+(Inputs!$B$28+1)+Inputs!$B$29)))</f>
        <v/>
      </c>
      <c r="E995">
        <f>INDEX(FactorTable!$B$2:$Y$301, MATCH(ROUND(MIN(300,MAX(1,D995)),0), FactorTable!$A$2:$A$301,0), Skills!M31+1)</f>
        <v/>
      </c>
      <c r="F995">
        <f>IF(Skills!N31=TRUE,(Skills!L31/10)*(E995/1000),Skills!L31/10)+Skills!O31</f>
        <v/>
      </c>
      <c r="G995">
        <f>Skills!G31*IF(Skills!H31&gt;0,Skills!I31/Skills!H31,1)</f>
        <v/>
      </c>
      <c r="H995">
        <f>1-(1-Skills!J31/100)^Skills!K31</f>
        <v/>
      </c>
      <c r="I995" t="inlineStr">
        <is>
          <t>1</t>
        </is>
      </c>
      <c r="J995" t="inlineStr"/>
      <c r="K995" t="inlineStr"/>
      <c r="L995" t="inlineStr"/>
      <c r="M995" t="inlineStr"/>
      <c r="N995" t="inlineStr"/>
      <c r="O995">
        <f>(1-Summary!$B$11)*T995+Summary!$B$11*V995</f>
        <v/>
      </c>
      <c r="P995">
        <f>IF(B1008=0,0,O995/B1008)</f>
        <v/>
      </c>
      <c r="Q995" t="n">
        <v>0</v>
      </c>
      <c r="R995" t="n">
        <v>0</v>
      </c>
      <c r="S995">
        <f>IFERROR(O995/N995,0)</f>
        <v/>
      </c>
      <c r="T995" t="n">
        <v>0</v>
      </c>
      <c r="V995" t="n">
        <v>0</v>
      </c>
    </row>
    <row r="997">
      <c r="A997" t="inlineStr">
        <is>
          <t>Attack% Bucket Multiplier</t>
        </is>
      </c>
      <c r="B997">
        <f>(1+(((C978=TRUE)*F978)+((C979=TRUE)*IF(Inputs!$B$38="pvp",F979,(1-Summary!$B$11)*(F979)+Summary!$B$11*(0)))+((C980=TRUE)*F980*IF(AND(Inputs!$B$38&lt;&gt;"pvp",Inputs!$B$43&gt;0),(((R980-1)*(Skills!T16*(1+Inputs!$B$34/100))+MIN((Skills!T16*(1+Inputs!$B$34/100)),MAX(0,Inputs!$B$43-((R980-1)*Skills!D16))))/Inputs!$B$43),IF(Inputs!$B$38="pvp",MIN((Skills!T16*(1+Inputs!$B$34/100)),15)/15,(Skills!T16*(1+Inputs!$B$34/100))/Skills!D16)))+((C995=TRUE)*(F995-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98">
      <c r="A998" t="inlineStr">
        <is>
          <t>Global Crit Rate Bonus %</t>
        </is>
      </c>
      <c r="B998">
        <f>(C981=TRUE)*20*IF(AND(Inputs!$B$38&lt;&gt;"pvp",Inputs!$B$43&gt;0),(((R981-1)*(Skills!T17*(1+Inputs!$B$34/100))+MIN((Skills!T17*(1+Inputs!$B$34/100)),MAX(0,Inputs!$B$43-((R981-1)*Skills!D17))))/Inputs!$B$43),IF(Inputs!$B$38="pvp",MIN((Skills!T17*(1+Inputs!$B$34/100)),15)/15,(Skills!T17*(1+Inputs!$B$34/100))/Skills!D17))</f>
        <v/>
      </c>
    </row>
    <row r="999">
      <c r="A999" t="inlineStr">
        <is>
          <t>Attack Speed Buff Bonus %</t>
        </is>
      </c>
      <c r="B999">
        <f>((C984=TRUE)*F984*IF(AND(Inputs!$B$38&lt;&gt;"pvp",Inputs!$B$43&gt;0),(((R984-1)*(Skills!T20*(1+Inputs!$B$34/100))+MIN((Skills!T20*(1+Inputs!$B$34/100)),MAX(0,Inputs!$B$43-((R984-1)*Skills!D20))))/Inputs!$B$43),IF(Inputs!$B$38="pvp",MIN((Skills!T20*(1+Inputs!$B$34/100)),15)/15,(Skills!T20*(1+Inputs!$B$34/100))/Skills!D20)))</f>
        <v/>
      </c>
    </row>
    <row r="1000">
      <c r="A1000" t="inlineStr">
        <is>
          <t>Actions Per Second</t>
        </is>
      </c>
      <c r="B1000">
        <f>1+MIN(150,150*(1-(1-(Inputs!$B$11+((C986=TRUE)*(F986-Calc!F22))+((C987=TRUE)*(F987-Calc!F23)))/150)*(1-B999/150)))/100</f>
        <v/>
      </c>
    </row>
    <row r="1001">
      <c r="A1001" t="inlineStr">
        <is>
          <t>Skill + Buff Cast Rate</t>
        </is>
      </c>
      <c r="B1001">
        <f>IF(AND(Inputs!$B$38&lt;&gt;"pvp",Inputs!$B$43&gt;0),SUMPRODUCT((Skills!E2:E31=TRUE)*(C966:C995=TRUE)*R966:R995*Skills!F2:F31)/Inputs!$B$43,SUMPRODUCT((Skills!E2:E31=TRUE)*(C966:C995=TRUE)*Q966:Q995*Skills!F2:F31))</f>
        <v/>
      </c>
    </row>
    <row r="1002">
      <c r="A1002" t="inlineStr">
        <is>
          <t>Arrow Stream Casts Per Second</t>
        </is>
      </c>
      <c r="B1002">
        <f>MAX(0,B1000-B1001)</f>
        <v/>
      </c>
    </row>
    <row r="1003">
      <c r="A1003" t="inlineStr">
        <is>
          <t>Global Critical Damage Bonus % (Sharp Eyes + Concentration)</t>
        </is>
      </c>
      <c r="B1003">
        <f>(C981=TRUE)*F981*IF(AND(Inputs!$B$38&lt;&gt;"pvp",Inputs!$B$43&gt;0),(((R981-1)*(Skills!T17*(1+Inputs!$B$34/100))+MIN((Skills!T17*(1+Inputs!$B$34/100)),MAX(0,Inputs!$B$43-((R981-1)*Skills!D17))))/Inputs!$B$43),IF(Inputs!$B$38="pvp",MIN((Skills!T17*(1+Inputs!$B$34/100)),15)/15,(Skills!T17*(1+Inputs!$B$34/100))/Skills!D17))+(C982=TRUE)*30</f>
        <v/>
      </c>
    </row>
    <row r="1004">
      <c r="A1004" t="inlineStr">
        <is>
          <t>Global Final Damage Bonus % (Mortal Blow)</t>
        </is>
      </c>
      <c r="B1004">
        <f>(C983=TRUE)*F983</f>
        <v/>
      </c>
    </row>
    <row r="1005">
      <c r="A1005" t="inlineStr">
        <is>
          <t>Buff-Casting Startup Delay (s, fixed-duration only)</t>
        </is>
      </c>
      <c r="B1005">
        <f>IF(AND(Inputs!$B$38&lt;&gt;"pvp",Inputs!$B$43&gt;0),SUMPRODUCT((Skills!T2:T31&gt;0)*(Skills!E2:E31=TRUE)*(C966:C995=TRUE))/B1000,0)</f>
        <v/>
      </c>
    </row>
    <row r="1006">
      <c r="A1006" t="inlineStr">
        <is>
          <t>Boss-Only Total DPS (this block's swept value)</t>
        </is>
      </c>
      <c r="B1006">
        <f>SUM(T966:T995)</f>
        <v/>
      </c>
    </row>
    <row r="1007">
      <c r="A1007" t="inlineStr">
        <is>
          <t>Normal-Only Total DPS (this block's swept value)</t>
        </is>
      </c>
      <c r="B1007">
        <f>SUM(V966:V995)</f>
        <v/>
      </c>
    </row>
    <row r="1008">
      <c r="A1008" s="6" t="inlineStr">
        <is>
          <t>TOTAL DPS</t>
        </is>
      </c>
      <c r="B1008" s="6">
        <f>SUM(O966:O995)</f>
        <v/>
      </c>
    </row>
    <row r="1011">
      <c r="A1011" s="6" t="inlineStr">
        <is>
          <t>Stat: Skill Level Bonus — All Skills</t>
        </is>
      </c>
    </row>
    <row r="1012">
      <c r="A1012" s="5" t="inlineStr">
        <is>
          <t>Key</t>
        </is>
      </c>
      <c r="B1012" s="5" t="inlineStr">
        <is>
          <t>Name</t>
        </is>
      </c>
      <c r="C1012" s="5" t="inlineStr">
        <is>
          <t>Unlocked</t>
        </is>
      </c>
      <c r="D1012" s="5" t="inlineStr">
        <is>
          <t>InputLevel</t>
        </is>
      </c>
      <c r="E1012" s="5" t="inlineStr">
        <is>
          <t>Factor</t>
        </is>
      </c>
      <c r="F1012" s="5" t="inlineStr">
        <is>
          <t>CoefficientPercent</t>
        </is>
      </c>
      <c r="G1012" s="5" t="inlineStr">
        <is>
          <t>EffectiveHits</t>
        </is>
      </c>
      <c r="H1012" s="5" t="inlineStr">
        <is>
          <t>ProcProbability</t>
        </is>
      </c>
      <c r="I1012" s="5" t="inlineStr">
        <is>
          <t>MapleHeroMultiplier</t>
        </is>
      </c>
      <c r="J1012" s="5" t="inlineStr">
        <is>
          <t>BaseDamage</t>
        </is>
      </c>
      <c r="K1012" s="5" t="inlineStr">
        <is>
          <t>BaseHitDamage</t>
        </is>
      </c>
      <c r="L1012" s="5" t="inlineStr">
        <is>
          <t>NonCritAvg</t>
        </is>
      </c>
      <c r="M1012" s="5" t="inlineStr">
        <is>
          <t>CritAvg</t>
        </is>
      </c>
      <c r="N1012" s="5" t="inlineStr">
        <is>
          <t>ExpectedDamage(perHit)</t>
        </is>
      </c>
      <c r="O1012" s="5" t="inlineStr">
        <is>
          <t>DPS</t>
        </is>
      </c>
      <c r="P1012" s="5" t="inlineStr">
        <is>
          <t>% of Total</t>
        </is>
      </c>
      <c r="Q1012" s="5" t="inlineStr">
        <is>
          <t>InvCooldown</t>
        </is>
      </c>
      <c r="R1012" s="5" t="inlineStr">
        <is>
          <t>CastsInFight</t>
        </is>
      </c>
      <c r="S1012" s="5" t="inlineStr">
        <is>
          <t>HitRate(perSec)</t>
        </is>
      </c>
      <c r="U1012" t="inlineStr">
        <is>
          <t>helpers</t>
        </is>
      </c>
    </row>
    <row r="1013">
      <c r="A1013">
        <f>Skills!A2</f>
        <v/>
      </c>
      <c r="B1013">
        <f>Skills!B2</f>
        <v/>
      </c>
      <c r="C1013">
        <f>Inputs!$B$3&gt;=100</f>
        <v/>
      </c>
      <c r="D1013" t="inlineStr"/>
      <c r="E1013" t="inlineStr"/>
      <c r="F1013">
        <f>U1015+Skills!O2</f>
        <v/>
      </c>
      <c r="G1013">
        <f>Skills!G2*IF(Skills!H2&gt;0,Skills!I2/Skills!H2,1)</f>
        <v/>
      </c>
      <c r="H1013">
        <f>1-(1-Skills!J2/100)^Skills!K2</f>
        <v/>
      </c>
      <c r="I1013" t="inlineStr">
        <is>
          <t>1</t>
        </is>
      </c>
      <c r="J1013">
        <f>((Inputs!$B$6*(1+Inputs!$B$7/100))+(((Inputs!$B$12*(1+Inputs!$B$13/100))-(Inputs!$B$12*(1+Inputs!$B$13/100)))+0.25*(Inputs!$B$14-Inputs!$B$14))*(1+Inputs!$B$7/100))*(F1013/100)</f>
        <v/>
      </c>
      <c r="K1013">
        <f>J1013*(1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1013)</f>
        <v/>
      </c>
      <c r="L1013">
        <f>K1013*(MIN(Inputs!$B$22+((C1036=TRUE)*(F1036-Calc!F25)),(Inputs!$B$23+((C1041=TRUE)*(F1041-Calc!F30))+(IF(ArtifactsInput!$M$15,CHOOSE(ArtifactsInput!$N$15+1,25,30,35,40,45,50)/100*(Inputs!$B$11-Inputs!$B$11),0))))/100+(Inputs!$B$23+((C1041=TRUE)*(F1041-Calc!F30))+(IF(ArtifactsInput!$M$15,CHOOSE(ArtifactsInput!$N$15+1,25,30,35,40,45,50)/100*(Inputs!$B$11-Inputs!$B$11),0)))/100)/2</f>
        <v/>
      </c>
      <c r="M1013">
        <f>L1013*(1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3">
        <f>L1013*(1-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1013*(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3">
        <f>(1-Summary!$B$11)*T1013+Summary!$B$11*V1013</f>
        <v/>
      </c>
      <c r="P1013">
        <f>IF(B1055=0,0,O1013/B1055)</f>
        <v/>
      </c>
      <c r="Q1013" t="n">
        <v>0</v>
      </c>
      <c r="R1013" t="n">
        <v>0</v>
      </c>
      <c r="S1013">
        <f>IFERROR(O1013/N1013,0)</f>
        <v/>
      </c>
      <c r="T1013">
        <f>IF(C1013,(Skills!G2*N1013*B1049)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1013*(1-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1013*(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1013*(1-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1013*(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3">
        <f>MAX(0,(Inputs!$B$3-100)*3)+Inputs!$B$28+(Inputs!$B$29+1)</f>
        <v/>
      </c>
      <c r="V1013">
        <f>IF(C1013,(Skills!G2*N1013*B1049)*IF(Inputs!$B$38="pvp",1,(1+(Inputs!$B$21+Skills!Q2+(IF(ArtifactsInput!$M$33,CHOOSE(ArtifactsInput!$N$33+1,30,36,42,48,54,60),0))+(IF(AND(ArtifactsInput!$M$35,Inputs!$B$4&lt;&gt;"Chapter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4">
      <c r="A1014">
        <f>Skills!A3</f>
        <v/>
      </c>
      <c r="B1014">
        <f>Skills!B3</f>
        <v/>
      </c>
      <c r="C1014">
        <f>Inputs!$B$3&gt;=50</f>
        <v/>
      </c>
      <c r="D1014">
        <f>IF(Skills!C3=1,60+Inputs!$B$25+(Inputs!$B$29+1),IF(Skills!C3=2,90+Inputs!$B$26+(Inputs!$B$29+1),IF(Skills!C3=3,120+Inputs!$B$27+(Inputs!$B$29+1),MAX(0,(Inputs!$B$3-100)*3)+Inputs!$B$28+(Inputs!$B$29+1))))</f>
        <v/>
      </c>
      <c r="E1014">
        <f>INDEX(FactorTable!$B$2:$Y$301, MATCH(ROUND(MIN(300,MAX(1,D1014)),0), FactorTable!$A$2:$A$301,0), Skills!M3+1)</f>
        <v/>
      </c>
      <c r="F1014">
        <f>IF(Skills!N3=TRUE,(Skills!L3/10)*(E1014/1000),Skills!L3/10)+Skills!O3</f>
        <v/>
      </c>
      <c r="G1014">
        <f>Skills!G3*IF(Skills!H3&gt;0,Skills!I3/Skills!H3,1)</f>
        <v/>
      </c>
      <c r="H1014">
        <f>1-(1-Skills!J3/100)^Skills!K3</f>
        <v/>
      </c>
      <c r="I1014" t="inlineStr">
        <is>
          <t>1</t>
        </is>
      </c>
      <c r="J1014">
        <f>((Inputs!$B$6*(1+Inputs!$B$7/100))+(((Inputs!$B$12*(1+Inputs!$B$13/100))-(Inputs!$B$12*(1+Inputs!$B$13/100)))+0.25*(Inputs!$B$14-Inputs!$B$14))*(1+Inputs!$B$7/100))*(F1014/100)</f>
        <v/>
      </c>
      <c r="K1014">
        <f>J1014*(1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1015=TRUE,F1015,0)/100)*(1+(IF(Skills!A3="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1014)</f>
        <v/>
      </c>
      <c r="L1014">
        <f>K1014*(MIN(Inputs!$B$22+((C1036=TRUE)*(F1036-Calc!F25)),(Inputs!$B$23+((C1041=TRUE)*(F1041-Calc!F30))+(IF(ArtifactsInput!$M$15,CHOOSE(ArtifactsInput!$N$15+1,25,30,35,40,45,50)/100*(Inputs!$B$11-Inputs!$B$11),0))))/100+(Inputs!$B$23+((C1041=TRUE)*(F1041-Calc!F30))+(IF(ArtifactsInput!$M$15,CHOOSE(ArtifactsInput!$N$15+1,25,30,35,40,45,50)/100*(Inputs!$B$11-Inputs!$B$11),0)))/100)/2</f>
        <v/>
      </c>
      <c r="M1014">
        <f>L1014*(1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4">
        <f>L1014*(1-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1014*(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4">
        <f>(1-Summary!$B$11)*T1014+Summary!$B$11*V1014</f>
        <v/>
      </c>
      <c r="P1014">
        <f>IF(B1055=0,0,O1014/B1055)</f>
        <v/>
      </c>
      <c r="Q1014">
        <f>IFERROR(1/(IF(Inputs!$B$38="pvp",15,MAX(0.1,Skills!D3-IF(Skills!E3=TRUE,Inputs!$B$32,0)))*(1-IF(AND(ArtifactsInput!$M$27,Inputs!$B$4="Chapter Hunt"),CHOOSE(ArtifactsInput!$N$27+1,20,24,28,32,36,40),0)/100)),0)</f>
        <v/>
      </c>
      <c r="R1014">
        <f>IF(AND(Inputs!$B$38&lt;&gt;"pvp",Inputs!$B$43&gt;0),IF(MAX(0,Inputs!$B$43-B1052)&lt;=0,0,(INT(MAX(0,Inputs!$B$43-B1052)/(IF(Inputs!$B$38="pvp",15,MAX(0.1,Skills!D3-IF(Skills!E3=TRUE,Inputs!$B$32,0)))*(1-IF(AND(ArtifactsInput!$M$27,Inputs!$B$4="Chapter Hunt"),CHOOSE(ArtifactsInput!$N$27+1,20,24,28,32,36,40),0)/100)))+1)),0)</f>
        <v/>
      </c>
      <c r="S1014">
        <f>IFERROR(O1014/N1014,0)</f>
        <v/>
      </c>
      <c r="T1014">
        <f>IF(C1014,(H1014*N1014*IF(AND(Inputs!$B$38&lt;&gt;"pvp",Inputs!$B$43&gt;0),((Skills!G3*((R1014-1)*IF(Skills!H3&gt;0,Skills!I3/Skills!H3,1)+IF(Skills!H3&gt;0,MIN(Skills!I3,MAX(0,MAX(0,Inputs!$B$43-B1052)-((R1014-1)*(IF(Inputs!$B$38="pvp",15,MAX(0.1,Skills!D3-IF(Skills!E3=TRUE,Inputs!$B$32,0)))*(1-IF(AND(ArtifactsInput!$M$27,Inputs!$B$4="Chapter Hunt"),CHOOSE(ArtifactsInput!$N$27+1,20,24,28,32,36,40),0)/100)))))/Skills!H3,1)))/Inputs!$B$43),G1014*Q1014)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1014*(1-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1014*(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1014*(1-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1014*(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4">
        <f>INDEX(FactorTable!$B$2:$Y$301, MATCH(ROUND(MIN(300,MAX(1,U1013)),0), FactorTable!$A$2:$A$301,0), 22)</f>
        <v/>
      </c>
      <c r="V1014">
        <f>IF(C1014,(H1014*N1014*IF(AND(Inputs!$B$38&lt;&gt;"pvp",Inputs!$B$43&gt;0),((Skills!G3*((R1014-1)*IF(Skills!H3&gt;0,Skills!I3/Skills!H3,1)+IF(Skills!H3&gt;0,MIN(Skills!I3,MAX(0,MAX(0,Inputs!$B$43-B1052)-((R1014-1)*(IF(Inputs!$B$38="pvp",15,MAX(0.1,Skills!D3-IF(Skills!E3=TRUE,Inputs!$B$32,0)))*(1-IF(AND(ArtifactsInput!$M$27,Inputs!$B$4="Chapter Hunt"),CHOOSE(ArtifactsInput!$N$27+1,20,24,28,32,36,40),0)/100)))))/Skills!H3,1)))/Inputs!$B$43),G1014*Q1014))*IF(Inputs!$B$38="pvp",1,(1+(Inputs!$B$21+Skills!Q3+(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5">
      <c r="A1015">
        <f>Skills!A4</f>
        <v/>
      </c>
      <c r="B1015">
        <f>Skills!B4</f>
        <v/>
      </c>
      <c r="C1015">
        <f>Inputs!$B$3&gt;=105</f>
        <v/>
      </c>
      <c r="D1015">
        <f>IF(Skills!C4=1,60+Inputs!$B$25+(Inputs!$B$29+1),IF(Skills!C4=2,90+Inputs!$B$26+(Inputs!$B$29+1),IF(Skills!C4=3,120+Inputs!$B$27+(Inputs!$B$29+1),MAX(0,(Inputs!$B$3-100)*3)+Inputs!$B$28+(Inputs!$B$29+1))))</f>
        <v/>
      </c>
      <c r="E1015">
        <f>INDEX(FactorTable!$B$2:$Y$301, MATCH(ROUND(MIN(300,MAX(1,D1015)),0), FactorTable!$A$2:$A$301,0), Skills!M4+1)</f>
        <v/>
      </c>
      <c r="F1015">
        <f>IF(Skills!N4=TRUE,(Skills!L4/10)*(E1015/1000),Skills!L4/10)+Skills!O4</f>
        <v/>
      </c>
      <c r="G1015" t="inlineStr"/>
      <c r="H1015" t="inlineStr"/>
      <c r="I1015" t="inlineStr">
        <is>
          <t>1</t>
        </is>
      </c>
      <c r="J1015" t="inlineStr"/>
      <c r="K1015" t="inlineStr"/>
      <c r="L1015" t="inlineStr"/>
      <c r="M1015" t="inlineStr"/>
      <c r="N1015" t="inlineStr"/>
      <c r="O1015" t="inlineStr"/>
      <c r="P1015" t="inlineStr"/>
      <c r="Q1015" t="inlineStr"/>
      <c r="R1015" t="inlineStr"/>
      <c r="S1015" t="inlineStr"/>
      <c r="T1015" t="inlineStr"/>
      <c r="U1015">
        <f>290*U1014/1000</f>
        <v/>
      </c>
      <c r="V1015" t="inlineStr"/>
    </row>
    <row r="1016">
      <c r="A1016">
        <f>Skills!A5</f>
        <v/>
      </c>
      <c r="B1016">
        <f>Skills!B5</f>
        <v/>
      </c>
      <c r="C1016">
        <f>Inputs!$B$3&gt;=35</f>
        <v/>
      </c>
      <c r="D1016">
        <f>IF(Skills!C5=1,60+Inputs!$B$25+(Inputs!$B$29+1),IF(Skills!C5=2,90+Inputs!$B$26+(Inputs!$B$29+1),IF(Skills!C5=3,120+Inputs!$B$27+(Inputs!$B$29+1),MAX(0,(Inputs!$B$3-100)*3)+Inputs!$B$28+(Inputs!$B$29+1))))</f>
        <v/>
      </c>
      <c r="E1016">
        <f>INDEX(FactorTable!$B$2:$Y$301, MATCH(ROUND(MIN(300,MAX(1,D1016)),0), FactorTable!$A$2:$A$301,0), Skills!M5+1)</f>
        <v/>
      </c>
      <c r="F1016">
        <f>IF(Skills!N5=TRUE,(Skills!L5/10)*(E1016/1000),Skills!L5/10)+Skills!O5</f>
        <v/>
      </c>
      <c r="G1016">
        <f>Skills!G5*IF(Skills!H5&gt;0,Skills!I5/Skills!H5,1)</f>
        <v/>
      </c>
      <c r="H1016">
        <f>1-(1-Skills!J5/100)^Skills!K5</f>
        <v/>
      </c>
      <c r="I1016" t="inlineStr">
        <is>
          <t>1</t>
        </is>
      </c>
      <c r="J1016">
        <f>((Inputs!$B$6*(1+Inputs!$B$7/100))+(((Inputs!$B$12*(1+Inputs!$B$13/100))-(Inputs!$B$12*(1+Inputs!$B$13/100)))+0.25*(Inputs!$B$14-Inputs!$B$14))*(1+Inputs!$B$7/100))*(F1016/100)</f>
        <v/>
      </c>
      <c r="K1016">
        <f>J1016*(1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1022=TRUE,F1022,0)/100)*(1+(IF(Skills!A5="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1016)</f>
        <v/>
      </c>
      <c r="L1016">
        <f>K1016*(MIN(Inputs!$B$22+((C1036=TRUE)*(F1036-Calc!F25)),(Inputs!$B$23+((C1041=TRUE)*(F1041-Calc!F30))+(IF(ArtifactsInput!$M$15,CHOOSE(ArtifactsInput!$N$15+1,25,30,35,40,45,50)/100*(Inputs!$B$11-Inputs!$B$11),0))))/100+(Inputs!$B$23+((C1041=TRUE)*(F1041-Calc!F30))+(IF(ArtifactsInput!$M$15,CHOOSE(ArtifactsInput!$N$15+1,25,30,35,40,45,50)/100*(Inputs!$B$11-Inputs!$B$11),0)))/100)/2</f>
        <v/>
      </c>
      <c r="M1016">
        <f>L1016*(1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6">
        <f>L1016*(1-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1016*(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6">
        <f>(1-Summary!$B$11)*T1016+Summary!$B$11*V1016</f>
        <v/>
      </c>
      <c r="P1016">
        <f>IF(B1055=0,0,O1016/B1055)</f>
        <v/>
      </c>
      <c r="Q1016">
        <f>IFERROR(1/(IF(Inputs!$B$38="pvp",15,MAX(0.1,Skills!D5-IF(Skills!E5=TRUE,Inputs!$B$32,0)))*(1-IF(AND(ArtifactsInput!$M$27,Inputs!$B$4="Chapter Hunt"),CHOOSE(ArtifactsInput!$N$27+1,20,24,28,32,36,40),0)/100)),0)</f>
        <v/>
      </c>
      <c r="R1016">
        <f>IF(AND(Inputs!$B$38&lt;&gt;"pvp",Inputs!$B$43&gt;0),IF(MAX(0,Inputs!$B$43-B1052)&lt;=0,0,(INT(MAX(0,Inputs!$B$43-B1052)/(IF(Inputs!$B$38="pvp",15,MAX(0.1,Skills!D5-IF(Skills!E5=TRUE,Inputs!$B$32,0)))*(1-IF(AND(ArtifactsInput!$M$27,Inputs!$B$4="Chapter Hunt"),CHOOSE(ArtifactsInput!$N$27+1,20,24,28,32,36,40),0)/100)))+1)),0)</f>
        <v/>
      </c>
      <c r="S1016">
        <f>IFERROR(O1016/N1016,0)</f>
        <v/>
      </c>
      <c r="T1016">
        <f>IF(C1016,(H1016*N1016*IF(AND(Inputs!$B$38&lt;&gt;"pvp",Inputs!$B$43&gt;0),((Skills!G5*((R1016-1)*IF(Skills!H5&gt;0,Skills!I5/Skills!H5,1)+IF(Skills!H5&gt;0,MIN(Skills!I5,MAX(0,MAX(0,Inputs!$B$43-B1052)-((R1016-1)*(IF(Inputs!$B$38="pvp",15,MAX(0.1,Skills!D5-IF(Skills!E5=TRUE,Inputs!$B$32,0)))*(1-IF(AND(ArtifactsInput!$M$27,Inputs!$B$4="Chapter Hunt"),CHOOSE(ArtifactsInput!$N$27+1,20,24,28,32,36,40),0)/100)))))/Skills!H5,1)))/Inputs!$B$43),G1016*Q1016)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1016*(1-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1016*(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1016*(1-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1016*(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16">
        <f>IF(C1016,(H1016*N1016*IF(AND(Inputs!$B$38&lt;&gt;"pvp",Inputs!$B$43&gt;0),((Skills!G5*((R1016-1)*IF(Skills!H5&gt;0,Skills!I5/Skills!H5,1)+IF(Skills!H5&gt;0,MIN(Skills!I5,MAX(0,MAX(0,Inputs!$B$43-B1052)-((R1016-1)*(IF(Inputs!$B$38="pvp",15,MAX(0.1,Skills!D5-IF(Skills!E5=TRUE,Inputs!$B$32,0)))*(1-IF(AND(ArtifactsInput!$M$27,Inputs!$B$4="Chapter Hunt"),CHOOSE(ArtifactsInput!$N$27+1,20,24,28,32,36,40),0)/100)))))/Skills!H5,1)))/Inputs!$B$43),G1016*Q1016))*IF(Inputs!$B$38="pvp",1,(1+(Inputs!$B$21+Skills!Q5+(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7">
      <c r="A1017">
        <f>Skills!A6</f>
        <v/>
      </c>
      <c r="B1017">
        <f>Skills!B6</f>
        <v/>
      </c>
      <c r="C1017">
        <f>Inputs!$B$3&gt;=40</f>
        <v/>
      </c>
      <c r="D1017">
        <f>IF(Skills!C6=1,60+Inputs!$B$25+(Inputs!$B$29+1),IF(Skills!C6=2,90+Inputs!$B$26+(Inputs!$B$29+1),IF(Skills!C6=3,120+Inputs!$B$27+(Inputs!$B$29+1),MAX(0,(Inputs!$B$3-100)*3)+Inputs!$B$28+(Inputs!$B$29+1))))</f>
        <v/>
      </c>
      <c r="E1017">
        <f>INDEX(FactorTable!$B$2:$Y$301, MATCH(ROUND(MIN(300,MAX(1,D1017)),0), FactorTable!$A$2:$A$301,0), Skills!M6+1)</f>
        <v/>
      </c>
      <c r="F1017">
        <f>IF(Skills!N6=TRUE,(Skills!L6/10)*(E1017/1000),Skills!L6/10)+Skills!O6</f>
        <v/>
      </c>
      <c r="G1017">
        <f>Skills!G6*IF(Skills!H6&gt;0,Skills!I6/Skills!H6,1)</f>
        <v/>
      </c>
      <c r="H1017">
        <f>1-(1-Skills!J6/100)^Skills!K6</f>
        <v/>
      </c>
      <c r="I1017" t="inlineStr">
        <is>
          <t>1</t>
        </is>
      </c>
      <c r="J1017">
        <f>((Inputs!$B$6*(1+Inputs!$B$7/100))+(((Inputs!$B$12*(1+Inputs!$B$13/100))-(Inputs!$B$12*(1+Inputs!$B$13/100)))+0.25*(Inputs!$B$14-Inputs!$B$14))*(1+Inputs!$B$7/100))*(F1017/100)</f>
        <v/>
      </c>
      <c r="K1017">
        <f>J1017*(1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1018=TRUE,F1018,0)/100)*(1+(IF(Skills!A6="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1017)</f>
        <v/>
      </c>
      <c r="L1017">
        <f>K1017*(MIN(Inputs!$B$22+((C1036=TRUE)*(F1036-Calc!F25)),(Inputs!$B$23+((C1041=TRUE)*(F1041-Calc!F30))+(IF(ArtifactsInput!$M$15,CHOOSE(ArtifactsInput!$N$15+1,25,30,35,40,45,50)/100*(Inputs!$B$11-Inputs!$B$11),0))))/100+(Inputs!$B$23+((C1041=TRUE)*(F1041-Calc!F30))+(IF(ArtifactsInput!$M$15,CHOOSE(ArtifactsInput!$N$15+1,25,30,35,40,45,50)/100*(Inputs!$B$11-Inputs!$B$11),0)))/100)/2</f>
        <v/>
      </c>
      <c r="M1017">
        <f>L1017*(1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7">
        <f>L1017*(1-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1017*(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7">
        <f>(1-Summary!$B$11)*T1017+Summary!$B$11*V1017</f>
        <v/>
      </c>
      <c r="P1017">
        <f>IF(B1055=0,0,O1017/B1055)</f>
        <v/>
      </c>
      <c r="Q1017">
        <f>IFERROR(1/(IF(Inputs!$B$38="pvp",15,MAX(0.1,Skills!D6-IF(Skills!E6=TRUE,Inputs!$B$32,0)))*(1-IF(AND(ArtifactsInput!$M$27,Inputs!$B$4="Chapter Hunt"),CHOOSE(ArtifactsInput!$N$27+1,20,24,28,32,36,40),0)/100)),0)</f>
        <v/>
      </c>
      <c r="R1017">
        <f>IF(AND(Inputs!$B$38&lt;&gt;"pvp",Inputs!$B$43&gt;0),IF(MAX(0,Inputs!$B$43-B1052)&lt;=0,0,(INT(MAX(0,Inputs!$B$43-B1052)/(IF(Inputs!$B$38="pvp",15,MAX(0.1,Skills!D6-IF(Skills!E6=TRUE,Inputs!$B$32,0)))*(1-IF(AND(ArtifactsInput!$M$27,Inputs!$B$4="Chapter Hunt"),CHOOSE(ArtifactsInput!$N$27+1,20,24,28,32,36,40),0)/100)))+1)),0)</f>
        <v/>
      </c>
      <c r="S1017">
        <f>IFERROR(O1017/N1017,0)</f>
        <v/>
      </c>
      <c r="T1017">
        <f>IF(C1017,(H1017*N1017*IF(AND(Inputs!$B$38&lt;&gt;"pvp",Inputs!$B$43&gt;0),((Skills!G6*((R1017-1)*IF(Skills!H6&gt;0,Skills!I6/Skills!H6,1)+IF(Skills!H6&gt;0,MIN(Skills!I6,MAX(0,MAX(0,Inputs!$B$43-B1052)-((R1017-1)*(IF(Inputs!$B$38="pvp",15,MAX(0.1,Skills!D6-IF(Skills!E6=TRUE,Inputs!$B$32,0)))*(1-IF(AND(ArtifactsInput!$M$27,Inputs!$B$4="Chapter Hunt"),CHOOSE(ArtifactsInput!$N$27+1,20,24,28,32,36,40),0)/100)))))/Skills!H6,1)))/Inputs!$B$43),G1017*Q1017)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1017*(1-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1017*(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1017*(1-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1017*(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17">
        <f>IF(C1017,(H1017*N1017*IF(AND(Inputs!$B$38&lt;&gt;"pvp",Inputs!$B$43&gt;0),((Skills!G6*((R1017-1)*IF(Skills!H6&gt;0,Skills!I6/Skills!H6,1)+IF(Skills!H6&gt;0,MIN(Skills!I6,MAX(0,MAX(0,Inputs!$B$43-B1052)-((R1017-1)*(IF(Inputs!$B$38="pvp",15,MAX(0.1,Skills!D6-IF(Skills!E6=TRUE,Inputs!$B$32,0)))*(1-IF(AND(ArtifactsInput!$M$27,Inputs!$B$4="Chapter Hunt"),CHOOSE(ArtifactsInput!$N$27+1,20,24,28,32,36,40),0)/100)))))/Skills!H6,1)))/Inputs!$B$43),G1017*Q1017))*IF(Inputs!$B$38="pvp",1,(1+(Inputs!$B$21+Skills!Q6+(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8">
      <c r="A1018">
        <f>Skills!A7</f>
        <v/>
      </c>
      <c r="B1018">
        <f>Skills!B7</f>
        <v/>
      </c>
      <c r="C1018">
        <f>Inputs!$B$3&gt;=107</f>
        <v/>
      </c>
      <c r="D1018">
        <f>IF(Skills!C7=1,60+Inputs!$B$25+(Inputs!$B$29+1),IF(Skills!C7=2,90+Inputs!$B$26+(Inputs!$B$29+1),IF(Skills!C7=3,120+Inputs!$B$27+(Inputs!$B$29+1),MAX(0,(Inputs!$B$3-100)*3)+Inputs!$B$28+(Inputs!$B$29+1))))</f>
        <v/>
      </c>
      <c r="E1018">
        <f>INDEX(FactorTable!$B$2:$Y$301, MATCH(ROUND(MIN(300,MAX(1,D1018)),0), FactorTable!$A$2:$A$301,0), Skills!M7+1)</f>
        <v/>
      </c>
      <c r="F1018">
        <f>IF(Skills!N7=TRUE,(Skills!L7/10)*(E1018/1000),Skills!L7/10)+Skills!O7</f>
        <v/>
      </c>
      <c r="G1018" t="inlineStr"/>
      <c r="H1018" t="inlineStr"/>
      <c r="I1018" t="inlineStr">
        <is>
          <t>1</t>
        </is>
      </c>
      <c r="J1018" t="inlineStr"/>
      <c r="K1018" t="inlineStr"/>
      <c r="L1018" t="inlineStr"/>
      <c r="M1018" t="inlineStr"/>
      <c r="N1018" t="inlineStr"/>
      <c r="O1018" t="inlineStr"/>
      <c r="P1018" t="inlineStr"/>
      <c r="Q1018" t="inlineStr"/>
      <c r="R1018" t="inlineStr"/>
      <c r="S1018" t="inlineStr"/>
      <c r="T1018" t="inlineStr"/>
      <c r="V1018" t="inlineStr"/>
    </row>
    <row r="1019">
      <c r="A1019">
        <f>Skills!A8</f>
        <v/>
      </c>
      <c r="B1019">
        <f>Skills!B8</f>
        <v/>
      </c>
      <c r="C1019">
        <f>Inputs!$B$3&gt;=69</f>
        <v/>
      </c>
      <c r="D1019">
        <f>IF(Skills!C8=1,60+Inputs!$B$25+(Inputs!$B$29+1),IF(Skills!C8=2,90+Inputs!$B$26+(Inputs!$B$29+1),IF(Skills!C8=3,120+Inputs!$B$27+(Inputs!$B$29+1),MAX(0,(Inputs!$B$3-100)*3)+Inputs!$B$28+(Inputs!$B$29+1))))</f>
        <v/>
      </c>
      <c r="E1019">
        <f>INDEX(FactorTable!$B$2:$Y$301, MATCH(ROUND(MIN(300,MAX(1,D1019)),0), FactorTable!$A$2:$A$301,0), Skills!M8+1)</f>
        <v/>
      </c>
      <c r="F1019">
        <f>IF(Skills!N8=TRUE,(Skills!L8/10)*(E1019/1000),Skills!L8/10)+Skills!O8</f>
        <v/>
      </c>
      <c r="G1019">
        <f>Skills!G8*IF(Skills!H8&gt;0,Skills!I8/Skills!H8,1)</f>
        <v/>
      </c>
      <c r="H1019">
        <f>1-(1-Skills!J8/100)^Skills!K8</f>
        <v/>
      </c>
      <c r="I1019" t="inlineStr">
        <is>
          <t>1</t>
        </is>
      </c>
      <c r="J1019">
        <f>((Inputs!$B$6*(1+Inputs!$B$7/100))+(((Inputs!$B$12*(1+Inputs!$B$13/100))-(Inputs!$B$12*(1+Inputs!$B$13/100)))+0.25*(Inputs!$B$14-Inputs!$B$14))*(1+Inputs!$B$7/100))*(F1019/100)</f>
        <v/>
      </c>
      <c r="K1019">
        <f>J1019*(1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1022=TRUE,F1022,0)/100)*(1+(IF(Skills!A8="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1019)</f>
        <v/>
      </c>
      <c r="L1019">
        <f>K1019*(MIN(Inputs!$B$22+((C1036=TRUE)*(F1036-Calc!F25)),(Inputs!$B$23+((C1041=TRUE)*(F1041-Calc!F30))+(IF(ArtifactsInput!$M$15,CHOOSE(ArtifactsInput!$N$15+1,25,30,35,40,45,50)/100*(Inputs!$B$11-Inputs!$B$11),0))))/100+(Inputs!$B$23+((C1041=TRUE)*(F1041-Calc!F30))+(IF(ArtifactsInput!$M$15,CHOOSE(ArtifactsInput!$N$15+1,25,30,35,40,45,50)/100*(Inputs!$B$11-Inputs!$B$11),0)))/100)/2</f>
        <v/>
      </c>
      <c r="M1019">
        <f>L1019*(1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9">
        <f>L1019*(1-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1019*(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9">
        <f>(1-Summary!$B$11)*T1019+Summary!$B$11*V1019</f>
        <v/>
      </c>
      <c r="P1019">
        <f>IF(B1055=0,0,O1019/B1055)</f>
        <v/>
      </c>
      <c r="Q1019">
        <f>IFERROR(1/(IF(Inputs!$B$38="pvp",15,MAX(0.1,Skills!D8-IF(Skills!E8=TRUE,Inputs!$B$32,0)))*(1-IF(AND(ArtifactsInput!$M$27,Inputs!$B$4="Chapter Hunt"),CHOOSE(ArtifactsInput!$N$27+1,20,24,28,32,36,40),0)/100)),0)</f>
        <v/>
      </c>
      <c r="R1019">
        <f>IF(AND(Inputs!$B$38&lt;&gt;"pvp",Inputs!$B$43&gt;0),IF(MAX(0,Inputs!$B$43-B1052)&lt;=0,0,(INT(MAX(0,Inputs!$B$43-B1052)/(IF(Inputs!$B$38="pvp",15,MAX(0.1,Skills!D8-IF(Skills!E8=TRUE,Inputs!$B$32,0)))*(1-IF(AND(ArtifactsInput!$M$27,Inputs!$B$4="Chapter Hunt"),CHOOSE(ArtifactsInput!$N$27+1,20,24,28,32,36,40),0)/100)))+1)),0)</f>
        <v/>
      </c>
      <c r="S1019">
        <f>IFERROR(O1019/N1019,0)</f>
        <v/>
      </c>
      <c r="T1019">
        <f>IF(C1019,(H1019*N1019*IF(AND(Inputs!$B$38&lt;&gt;"pvp",Inputs!$B$43&gt;0),((Skills!G8*((R1019-1)*IF(Skills!H8&gt;0,Skills!I8/Skills!H8,1)+IF(Skills!H8&gt;0,MIN(Skills!I8,MAX(0,MAX(0,Inputs!$B$43-B1052)-((R1019-1)*(IF(Inputs!$B$38="pvp",15,MAX(0.1,Skills!D8-IF(Skills!E8=TRUE,Inputs!$B$32,0)))*(1-IF(AND(ArtifactsInput!$M$27,Inputs!$B$4="Chapter Hunt"),CHOOSE(ArtifactsInput!$N$27+1,20,24,28,32,36,40),0)/100)))))/Skills!H8,1)))/Inputs!$B$43),G1019*Q1019)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1019*(1-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1019*(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1019*(1-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1019*(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19">
        <f>IF(C1019,(H1019*N1019*IF(AND(Inputs!$B$38&lt;&gt;"pvp",Inputs!$B$43&gt;0),((Skills!G8*((R1019-1)*IF(Skills!H8&gt;0,Skills!I8/Skills!H8,1)+IF(Skills!H8&gt;0,MIN(Skills!I8,MAX(0,MAX(0,Inputs!$B$43-B1052)-((R1019-1)*(IF(Inputs!$B$38="pvp",15,MAX(0.1,Skills!D8-IF(Skills!E8=TRUE,Inputs!$B$32,0)))*(1-IF(AND(ArtifactsInput!$M$27,Inputs!$B$4="Chapter Hunt"),CHOOSE(ArtifactsInput!$N$27+1,20,24,28,32,36,40),0)/100)))))/Skills!H8,1)))/Inputs!$B$43),G1019*Q1019))*IF(Inputs!$B$38="pvp",1,(1+(Inputs!$B$21+Skills!Q8+(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0">
      <c r="A1020">
        <f>Skills!A9</f>
        <v/>
      </c>
      <c r="B1020">
        <f>Skills!B9</f>
        <v/>
      </c>
      <c r="C1020">
        <f>Inputs!$B$3&gt;=63</f>
        <v/>
      </c>
      <c r="D1020">
        <f>IF(Skills!C9=1,60+Inputs!$B$25+(Inputs!$B$29+1),IF(Skills!C9=2,90+Inputs!$B$26+(Inputs!$B$29+1),IF(Skills!C9=3,120+Inputs!$B$27+(Inputs!$B$29+1),MAX(0,(Inputs!$B$3-100)*3)+Inputs!$B$28+(Inputs!$B$29+1))))</f>
        <v/>
      </c>
      <c r="E1020">
        <f>INDEX(FactorTable!$B$2:$Y$301, MATCH(ROUND(MIN(300,MAX(1,D1020)),0), FactorTable!$A$2:$A$301,0), Skills!M9+1)</f>
        <v/>
      </c>
      <c r="F1020">
        <f>IF(Skills!N9=TRUE,(Skills!L9/10)*(E1020/1000),Skills!L9/10)+Skills!O9</f>
        <v/>
      </c>
      <c r="G1020">
        <f>Skills!G9*IF(Skills!H9&gt;0,Skills!I9/Skills!H9,1)</f>
        <v/>
      </c>
      <c r="H1020">
        <f>1-(1-Skills!J9/100)^Skills!K9</f>
        <v/>
      </c>
      <c r="I1020" t="inlineStr">
        <is>
          <t>1</t>
        </is>
      </c>
      <c r="J1020">
        <f>((Inputs!$B$6*(1+Inputs!$B$7/100))+(((Inputs!$B$12*(1+Inputs!$B$13/100))-(Inputs!$B$12*(1+Inputs!$B$13/100)))+0.25*(Inputs!$B$14-Inputs!$B$14))*(1+Inputs!$B$7/100))*(F1020/100)</f>
        <v/>
      </c>
      <c r="K1020">
        <f>J1020*(1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1022=TRUE,F1022,0)/100)*(1+(IF(Skills!A9="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1020)</f>
        <v/>
      </c>
      <c r="L1020">
        <f>K1020*(MIN(Inputs!$B$22+((C1036=TRUE)*(F1036-Calc!F25)),(Inputs!$B$23+((C1041=TRUE)*(F1041-Calc!F30))+(IF(ArtifactsInput!$M$15,CHOOSE(ArtifactsInput!$N$15+1,25,30,35,40,45,50)/100*(Inputs!$B$11-Inputs!$B$11),0))))/100+(Inputs!$B$23+((C1041=TRUE)*(F1041-Calc!F30))+(IF(ArtifactsInput!$M$15,CHOOSE(ArtifactsInput!$N$15+1,25,30,35,40,45,50)/100*(Inputs!$B$11-Inputs!$B$11),0)))/100)/2</f>
        <v/>
      </c>
      <c r="M1020">
        <f>L1020*(1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0">
        <f>L1020*(1-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1020*(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0">
        <f>(1-Summary!$B$11)*T1020+Summary!$B$11*V1020</f>
        <v/>
      </c>
      <c r="P1020">
        <f>IF(B1055=0,0,O1020/B1055)</f>
        <v/>
      </c>
      <c r="Q1020">
        <f>IFERROR(1/(IF(Inputs!$B$38="pvp",15,MAX(0.1,Skills!D9-IF(Skills!E9=TRUE,Inputs!$B$32,0)))*(1-IF(AND(ArtifactsInput!$M$27,Inputs!$B$4="Chapter Hunt"),CHOOSE(ArtifactsInput!$N$27+1,20,24,28,32,36,40),0)/100)),0)</f>
        <v/>
      </c>
      <c r="R1020">
        <f>IF(AND(Inputs!$B$38&lt;&gt;"pvp",Inputs!$B$43&gt;0),IF(MAX(0,Inputs!$B$43-B1052)&lt;=0,0,(INT(MAX(0,Inputs!$B$43-B1052)/(IF(Inputs!$B$38="pvp",15,MAX(0.1,Skills!D9-IF(Skills!E9=TRUE,Inputs!$B$32,0)))*(1-IF(AND(ArtifactsInput!$M$27,Inputs!$B$4="Chapter Hunt"),CHOOSE(ArtifactsInput!$N$27+1,20,24,28,32,36,40),0)/100)))+1)),0)</f>
        <v/>
      </c>
      <c r="S1020">
        <f>IFERROR(O1020/N1020,0)</f>
        <v/>
      </c>
      <c r="T1020">
        <f>IF(C1020,(H1020*N1020*IF(AND(Inputs!$B$38&lt;&gt;"pvp",Inputs!$B$43&gt;0),((Skills!G9*((R1020-1)*IF(Skills!H9&gt;0,Skills!I9/Skills!H9,1)+IF(Skills!H9&gt;0,MIN(Skills!I9,MAX(0,MAX(0,Inputs!$B$43-B1052)-((R1020-1)*(IF(Inputs!$B$38="pvp",15,MAX(0.1,Skills!D9-IF(Skills!E9=TRUE,Inputs!$B$32,0)))*(1-IF(AND(ArtifactsInput!$M$27,Inputs!$B$4="Chapter Hunt"),CHOOSE(ArtifactsInput!$N$27+1,20,24,28,32,36,40),0)/100)))))/Skills!H9,1)))/Inputs!$B$43),G1020*Q1020)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1020*(1-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1020*(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1020*(1-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1020*(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0">
        <f>IF(C1020,(H1020*N1020*IF(AND(Inputs!$B$38&lt;&gt;"pvp",Inputs!$B$43&gt;0),((Skills!G9*((R1020-1)*IF(Skills!H9&gt;0,Skills!I9/Skills!H9,1)+IF(Skills!H9&gt;0,MIN(Skills!I9,MAX(0,MAX(0,Inputs!$B$43-B1052)-((R1020-1)*(IF(Inputs!$B$38="pvp",15,MAX(0.1,Skills!D9-IF(Skills!E9=TRUE,Inputs!$B$32,0)))*(1-IF(AND(ArtifactsInput!$M$27,Inputs!$B$4="Chapter Hunt"),CHOOSE(ArtifactsInput!$N$27+1,20,24,28,32,36,40),0)/100)))))/Skills!H9,1)))/Inputs!$B$43),G1020*Q1020))*IF(Inputs!$B$38="pvp",1,(1+(Inputs!$B$21+Skills!Q9+(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1">
      <c r="A1021">
        <f>Skills!A10</f>
        <v/>
      </c>
      <c r="B1021">
        <f>Skills!B10</f>
        <v/>
      </c>
      <c r="C1021">
        <f>Inputs!$B$3&gt;=103</f>
        <v/>
      </c>
      <c r="D1021">
        <f>IF(Skills!C10=1,60+Inputs!$B$25+(Inputs!$B$29+1),IF(Skills!C10=2,90+Inputs!$B$26+(Inputs!$B$29+1),IF(Skills!C10=3,120+Inputs!$B$27+(Inputs!$B$29+1),MAX(0,(Inputs!$B$3-100)*3)+Inputs!$B$28+(Inputs!$B$29+1))))</f>
        <v/>
      </c>
      <c r="E1021">
        <f>INDEX(FactorTable!$B$2:$Y$301, MATCH(ROUND(MIN(300,MAX(1,D1021)),0), FactorTable!$A$2:$A$301,0), Skills!M10+1)</f>
        <v/>
      </c>
      <c r="F1021">
        <f>IF(Skills!N10=TRUE,(Skills!L10/10)*(E1021/1000),Skills!L10/10)+Skills!O10</f>
        <v/>
      </c>
      <c r="G1021">
        <f>Skills!G10*IF(Skills!H10&gt;0,Skills!I10/Skills!H10,1)</f>
        <v/>
      </c>
      <c r="H1021">
        <f>1-(1-Skills!J10/100)^Skills!K10</f>
        <v/>
      </c>
      <c r="I1021" t="inlineStr">
        <is>
          <t>1</t>
        </is>
      </c>
      <c r="J1021">
        <f>((Inputs!$B$6*(1+Inputs!$B$7/100))+(((Inputs!$B$12*(1+Inputs!$B$13/100))-(Inputs!$B$12*(1+Inputs!$B$13/100)))+0.25*(Inputs!$B$14-Inputs!$B$14))*(1+Inputs!$B$7/100))*(F1021/100)</f>
        <v/>
      </c>
      <c r="K1021">
        <f>J1021*(1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1021)</f>
        <v/>
      </c>
      <c r="L1021">
        <f>K1021*(MIN(Inputs!$B$22+((C1036=TRUE)*(F1036-Calc!F25)),(Inputs!$B$23+((C1041=TRUE)*(F1041-Calc!F30))+(IF(ArtifactsInput!$M$15,CHOOSE(ArtifactsInput!$N$15+1,25,30,35,40,45,50)/100*(Inputs!$B$11-Inputs!$B$11),0))))/100+(Inputs!$B$23+((C1041=TRUE)*(F1041-Calc!F30))+(IF(ArtifactsInput!$M$15,CHOOSE(ArtifactsInput!$N$15+1,25,30,35,40,45,50)/100*(Inputs!$B$11-Inputs!$B$11),0)))/100)/2</f>
        <v/>
      </c>
      <c r="M1021">
        <f>L1021*(1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1">
        <f>L1021*(1-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1">
        <f>(1-Summary!$B$11)*T1021+Summary!$B$11*V1021</f>
        <v/>
      </c>
      <c r="P1021">
        <f>IF(B1055=0,0,O1021/B1055)</f>
        <v/>
      </c>
      <c r="Q1021">
        <f>IFERROR(1/(IF(Inputs!$B$38="pvp",15,MAX(0.1,Skills!D10-IF(Skills!E10=TRUE,Inputs!$B$32,0)))*(1-IF(AND(ArtifactsInput!$M$27,Inputs!$B$4="Chapter Hunt"),CHOOSE(ArtifactsInput!$N$27+1,20,24,28,32,36,40),0)/100)),0)</f>
        <v/>
      </c>
      <c r="R1021">
        <f>IF(AND(Inputs!$B$38&lt;&gt;"pvp",Inputs!$B$43&gt;0),IF(MAX(0,Inputs!$B$43-B1052)&lt;=0,0,(INT(MAX(0,Inputs!$B$43-B1052)/(IF(Inputs!$B$38="pvp",15,MAX(0.1,Skills!D10-IF(Skills!E10=TRUE,Inputs!$B$32,0)))*(1-IF(AND(ArtifactsInput!$M$27,Inputs!$B$4="Chapter Hunt"),CHOOSE(ArtifactsInput!$N$27+1,20,24,28,32,36,40),0)/100)))+1)),0)</f>
        <v/>
      </c>
      <c r="S1021">
        <f>IFERROR(O1021/N1021,0)</f>
        <v/>
      </c>
      <c r="T1021">
        <f>IF(C1021,(H1021*N1021*IF(AND(Inputs!$B$38&lt;&gt;"pvp",Inputs!$B$43&gt;0),((Skills!G10*((R1021-1)*IF(Skills!H10&gt;0,Skills!I10/Skills!H10,1)+IF(Skills!H10&gt;0,MIN(Skills!I10,MAX(0,MAX(0,Inputs!$B$43-B1052)-((R1021-1)*(IF(Inputs!$B$38="pvp",15,MAX(0.1,Skills!D10-IF(Skills!E10=TRUE,Inputs!$B$32,0)))*(1-IF(AND(ArtifactsInput!$M$27,Inputs!$B$4="Chapter Hunt"),CHOOSE(ArtifactsInput!$N$27+1,20,24,28,32,36,40),0)/100)))))/Skills!H10,1)))/Inputs!$B$43),G1021*Q1021)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1021*(1-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1021*(1-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1">
        <f>IF(C1021,(H1021*N1021*IF(AND(Inputs!$B$38&lt;&gt;"pvp",Inputs!$B$43&gt;0),((Skills!G10*((R1021-1)*IF(Skills!H10&gt;0,Skills!I10/Skills!H10,1)+IF(Skills!H10&gt;0,MIN(Skills!I10,MAX(0,MAX(0,Inputs!$B$43-B1052)-((R1021-1)*(IF(Inputs!$B$38="pvp",15,MAX(0.1,Skills!D10-IF(Skills!E10=TRUE,Inputs!$B$32,0)))*(1-IF(AND(ArtifactsInput!$M$27,Inputs!$B$4="Chapter Hunt"),CHOOSE(ArtifactsInput!$N$27+1,20,24,28,32,36,40),0)/100)))))/Skills!H10,1)))/Inputs!$B$43),G1021*Q1021))*IF(Inputs!$B$38="pvp",1,(1+(Inputs!$B$21+Skills!Q10+(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2">
      <c r="A1022">
        <f>Skills!A11</f>
        <v/>
      </c>
      <c r="B1022">
        <f>Skills!B11</f>
        <v/>
      </c>
      <c r="C1022">
        <f>Inputs!$B$3&gt;=100</f>
        <v/>
      </c>
      <c r="D1022">
        <f>IF(Skills!C11=1,60+Inputs!$B$25+(Inputs!$B$29+1),IF(Skills!C11=2,90+Inputs!$B$26+(Inputs!$B$29+1),IF(Skills!C11=3,120+Inputs!$B$27+(Inputs!$B$29+1),MAX(0,(Inputs!$B$3-100)*3)+Inputs!$B$28+(Inputs!$B$29+1))))</f>
        <v/>
      </c>
      <c r="E1022">
        <f>INDEX(FactorTable!$B$2:$Y$301, MATCH(ROUND(MIN(300,MAX(1,D1022)),0), FactorTable!$A$2:$A$301,0), Skills!M11+1)</f>
        <v/>
      </c>
      <c r="F1022">
        <f>IF(Skills!N11=TRUE,(Skills!L11/10)*(E1022/1000),Skills!L11/10)+Skills!O11</f>
        <v/>
      </c>
      <c r="G1022" t="inlineStr"/>
      <c r="H1022" t="inlineStr"/>
      <c r="I1022" t="inlineStr">
        <is>
          <t>1</t>
        </is>
      </c>
      <c r="J1022" t="inlineStr"/>
      <c r="K1022" t="inlineStr"/>
      <c r="L1022" t="inlineStr"/>
      <c r="M1022" t="inlineStr"/>
      <c r="N1022" t="inlineStr"/>
      <c r="O1022" t="inlineStr"/>
      <c r="P1022" t="inlineStr"/>
      <c r="Q1022" t="inlineStr"/>
      <c r="R1022" t="inlineStr"/>
      <c r="S1022" t="inlineStr"/>
      <c r="T1022" t="inlineStr"/>
      <c r="V1022" t="inlineStr"/>
    </row>
    <row r="1023">
      <c r="A1023">
        <f>Skills!A12</f>
        <v/>
      </c>
      <c r="B1023">
        <f>Skills!B12</f>
        <v/>
      </c>
      <c r="C1023">
        <f>Inputs!$B$3&gt;=60</f>
        <v/>
      </c>
      <c r="D1023">
        <f>IF(Skills!C12=1,60+Inputs!$B$25+(Inputs!$B$29+1),IF(Skills!C12=2,90+Inputs!$B$26+(Inputs!$B$29+1),IF(Skills!C12=3,120+Inputs!$B$27+(Inputs!$B$29+1),MAX(0,(Inputs!$B$3-100)*3)+Inputs!$B$28+(Inputs!$B$29+1))))</f>
        <v/>
      </c>
      <c r="E1023">
        <f>INDEX(FactorTable!$B$2:$Y$301, MATCH(ROUND(MIN(300,MAX(1,D1023)),0), FactorTable!$A$2:$A$301,0), Skills!M12+1)</f>
        <v/>
      </c>
      <c r="F1023">
        <f>IF(Skills!N12=TRUE,(Skills!L12/10)*(E1023/1000),Skills!L12/10)+Skills!O12</f>
        <v/>
      </c>
      <c r="G1023">
        <f>Skills!G12*IF(Skills!H12&gt;0,Skills!I12/Skills!H12,1)</f>
        <v/>
      </c>
      <c r="H1023">
        <f>1-(1-Skills!J12/100)^Skills!K12</f>
        <v/>
      </c>
      <c r="I1023" t="inlineStr">
        <is>
          <t>1</t>
        </is>
      </c>
      <c r="J1023">
        <f>((Inputs!$B$6*(1+Inputs!$B$7/100))+(((Inputs!$B$12*(1+Inputs!$B$13/100))-(Inputs!$B$12*(1+Inputs!$B$13/100)))+0.25*(Inputs!$B$14-Inputs!$B$14))*(1+Inputs!$B$7/100))*(F1023/100)</f>
        <v/>
      </c>
      <c r="K1023">
        <f>J1023*(1+((Inputs!$B$12*(1+Inputs!$B$13/100))*0.01+Inputs!$B$14*0.0025)/100)*(1+Inputs!$B$15/100)*(1+Inputs!$B$16/100)*(5000/(6000+Inputs!$B$42*(1-(100*(1-(1-(Inputs!$B$19+((C1039=TRUE)*(F1039-Calc!F28)))/100)*(1-CHOOSE(ArtifactsInput!$N$40+1,5,6,7,8,9,10)/100)^(ArtifactsInput!$M$40-ArtifactsInput!$M$40)))/100)))*(1+(Inputs!$B$24+((C1037=TRUE)*(F1037-Calc!F26))+((C1038=TRUE)*(F1038-Calc!F27))+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1024=TRUE,F1024,0)/100)*(1+(IF(Skills!A12="ARROW_STREAM",Inputs!$B$17+((C1035=TRUE)*(F1035-Calc!F24))+(((IF(AND(ArtifactsInput!$M$42,((Inputs!$B$9+((C1032=TRUE)*(F1032-Calc!F21))+B1045+(ArtifactsInput!$M$24-ArtifactsInput!$M$24)*CHOOSE(ArtifactsInput!$N$24+1,10,12,14,16,18,20)+IF(ArtifactsInput!$M$10,CHOOSE(ArtifactsInput!$N$10+1,15,18,21,24,27,30)*(IF(Inputs!$B$38="pvp",MIN(15,15)/15,IF(AND(Inputs!$B$38&lt;&gt;"pvp",Inputs!$B$43&gt;0),MIN(15,Inputs!$B$43)/(Inputs!$B$43),0))),0)))&gt;=100),MIN(100,((Inputs!$B$9+((C1032=TRUE)*(F1032-Calc!F21))+B1045+(ArtifactsInput!$M$24-ArtifactsInput!$M$24)*CHOOSE(ArtifactsInput!$N$24+1,10,12,14,16,18,20)+IF(ArtifactsInput!$M$10,CHOOSE(ArtifactsInput!$N$10+1,15,18,21,24,27,30)*(IF(Inputs!$B$38="pvp",MIN(15,15)/15,IF(AND(Inputs!$B$38&lt;&gt;"pvp",Inputs!$B$43&gt;0),MIN(15,Inputs!$B$43)/(Inputs!$B$43),0))),0)))-100),0))*CHOOSE(ArtifactsInput!$N$42+1,0.6,0.72,0.84,0.96,1.08,1.2))),Inputs!$B$18+((C1040=TRUE)*(F1040-Calc!F29))+(IF(AND(ArtifactsInput!$M$42,((Inputs!$B$9+((C1032=TRUE)*(F1032-Calc!F21))+B1045+(ArtifactsInput!$M$24-ArtifactsInput!$M$24)*CHOOSE(ArtifactsInput!$N$24+1,10,12,14,16,18,20)+IF(ArtifactsInput!$M$10,CHOOSE(ArtifactsInput!$N$10+1,15,18,21,24,27,30)*(IF(Inputs!$B$38="pvp",MIN(15,15)/15,IF(AND(Inputs!$B$38&lt;&gt;"pvp",Inputs!$B$43&gt;0),MIN(15,Inputs!$B$43)/(Inputs!$B$43),0))),0)))&gt;=100),CHOOSE(ArtifactsInput!$N$42+1,40,48,56,64,72,80),0))))/100)*((1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1023)</f>
        <v/>
      </c>
      <c r="L1023">
        <f>K1023*(MIN(Inputs!$B$22+((C1036=TRUE)*(F1036-Calc!F25)),(Inputs!$B$23+((C1041=TRUE)*(F1041-Calc!F30))+(IF(ArtifactsInput!$M$15,CHOOSE(ArtifactsInput!$N$15+1,25,30,35,40,45,50)/100*(Inputs!$B$11-Inputs!$B$11),0))))/100+(Inputs!$B$23+((C1041=TRUE)*(F1041-Calc!F30))+(IF(ArtifactsInput!$M$15,CHOOSE(ArtifactsInput!$N$15+1,25,30,35,40,45,50)/100*(Inputs!$B$11-Inputs!$B$11),0)))/100)/2</f>
        <v/>
      </c>
      <c r="M1023">
        <f>L1023*(1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3">
        <f>L1023*(1-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1023*(MIN((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3">
        <f>(1-Summary!$B$11)*T1023+Summary!$B$11*V1023</f>
        <v/>
      </c>
      <c r="P1023">
        <f>IF(B1055=0,0,O1023/B1055)</f>
        <v/>
      </c>
      <c r="Q1023">
        <f>IFERROR(1/(IF(Inputs!$B$38="pvp",15,MAX(0.1,Skills!D12-IF(Skills!E12=TRUE,Inputs!$B$32,0)))*(1-IF(AND(ArtifactsInput!$M$27,Inputs!$B$4="Chapter Hunt"),CHOOSE(ArtifactsInput!$N$27+1,20,24,28,32,36,40),0)/100)),0)</f>
        <v/>
      </c>
      <c r="R1023">
        <f>IF(AND(Inputs!$B$38&lt;&gt;"pvp",Inputs!$B$43&gt;0),IF(MAX(0,Inputs!$B$43-B1052)&lt;=0,0,(INT(MAX(0,Inputs!$B$43-B1052)/(IF(Inputs!$B$38="pvp",15,MAX(0.1,Skills!D12-IF(Skills!E12=TRUE,Inputs!$B$32,0)))*(1-IF(AND(ArtifactsInput!$M$27,Inputs!$B$4="Chapter Hunt"),CHOOSE(ArtifactsInput!$N$27+1,20,24,28,32,36,40),0)/100)))+1)),0)</f>
        <v/>
      </c>
      <c r="S1023">
        <f>IFERROR(O1023/N1023,0)</f>
        <v/>
      </c>
      <c r="T1023">
        <f>IF(C1023,(H1023*N1023*IF(AND(Inputs!$B$38&lt;&gt;"pvp",Inputs!$B$43&gt;0),((Skills!G12*((R1023-1)*IF(Skills!H12&gt;0,Skills!I12/Skills!H12,1)+IF(Skills!H12&gt;0,MIN(Skills!I12,MAX(0,MAX(0,Inputs!$B$43-B1052)-((R1023-1)*(IF(Inputs!$B$38="pvp",15,MAX(0.1,Skills!D12-IF(Skills!E12=TRUE,Inputs!$B$32,0)))*(1-IF(AND(ArtifactsInput!$M$27,Inputs!$B$4="Chapter Hunt"),CHOOSE(ArtifactsInput!$N$27+1,20,24,28,32,36,40),0)/100)))))/Skills!H12,1)))/Inputs!$B$43),G1023*Q1023)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(5000/(6000+Inputs!$B$42*(1-(100*(1-(1-(100*(1-(1-(Inputs!$B$19+((C1039=TRUE)*(F1039-Calc!F28)))/100)*(1-CHOOSE(ArtifactsInput!$N$40+1,5,6,7,8,9,10)/100)^(ArtifactsInput!$M$40-ArtifactsInput!$M$40)))/100)*(1-IF(ArtifactsInput!$M$40,CHOOSE(ArtifactsInput!$N$40+1,5,6,7,8,9,10),0)/100)^IF(Inputs!$B$38="pvp",1,2)))/100)))/(5000/(6000+Inputs!$B$42*(1-(100*(1-(1-(Inputs!$B$19+((C1039=TRUE)*(F1039-Calc!F28)))/100)*(1-CHOOSE(ArtifactsInput!$N$40+1,5,6,7,8,9,10)/100)^(ArtifactsInput!$M$40-ArtifactsInput!$M$40)))/100))))*((L1023*(1-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1023*(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1023*(1-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1023*(MIN(100,(Inputs!$B$9+((C1032=TRUE)*(F1032-Calc!F21))+B1045+(ArtifactsInput!$M$24-ArtifactsInput!$M$24)*CHOOSE(ArtifactsInput!$N$24+1,10,12,14,16,18,20)+(IF(AND(ArtifactsInput!$M$42,((Inputs!$B$9+((C1032=TRUE)*(F1032-Calc!F21))+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3">
        <f>IF(C1023,(H1023*N1023*IF(AND(Inputs!$B$38&lt;&gt;"pvp",Inputs!$B$43&gt;0),((Skills!G12*((R1023-1)*IF(Skills!H12&gt;0,Skills!I12/Skills!H12,1)+IF(Skills!H12&gt;0,MIN(Skills!I12,MAX(0,MAX(0,Inputs!$B$43-B1052)-((R1023-1)*(IF(Inputs!$B$38="pvp",15,MAX(0.1,Skills!D12-IF(Skills!E12=TRUE,Inputs!$B$32,0)))*(1-IF(AND(ArtifactsInput!$M$27,Inputs!$B$4="Chapter Hunt"),CHOOSE(ArtifactsInput!$N$27+1,20,24,28,32,36,40),0)/100)))))/Skills!H12,1)))/Inputs!$B$43),G1023*Q1023))*IF(Inputs!$B$38="pvp",1,(1+(Inputs!$B$21+Skills!Q12+(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4">
      <c r="A1024">
        <f>Skills!A13</f>
        <v/>
      </c>
      <c r="B1024">
        <f>Skills!B13</f>
        <v/>
      </c>
      <c r="C1024">
        <f>Inputs!$B$3&gt;=110</f>
        <v/>
      </c>
      <c r="D1024">
        <f>IF(Skills!C13=1,60+Inputs!$B$25+(Inputs!$B$29+1),IF(Skills!C13=2,90+Inputs!$B$26+(Inputs!$B$29+1),IF(Skills!C13=3,120+Inputs!$B$27+(Inputs!$B$29+1),MAX(0,(Inputs!$B$3-100)*3)+Inputs!$B$28+(Inputs!$B$29+1))))</f>
        <v/>
      </c>
      <c r="E1024">
        <f>INDEX(FactorTable!$B$2:$Y$301, MATCH(ROUND(MIN(300,MAX(1,D1024)),0), FactorTable!$A$2:$A$301,0), Skills!M13+1)</f>
        <v/>
      </c>
      <c r="F1024">
        <f>IF(Skills!N13=TRUE,(Skills!L13/10)*(E1024/1000),Skills!L13/10)+Skills!O13</f>
        <v/>
      </c>
      <c r="G1024" t="inlineStr"/>
      <c r="H1024" t="inlineStr"/>
      <c r="I1024" t="inlineStr">
        <is>
          <t>1</t>
        </is>
      </c>
      <c r="J1024" t="inlineStr"/>
      <c r="K1024" t="inlineStr"/>
      <c r="L1024" t="inlineStr"/>
      <c r="M1024" t="inlineStr"/>
      <c r="N1024" t="inlineStr"/>
      <c r="O1024" t="inlineStr"/>
      <c r="P1024" t="inlineStr"/>
      <c r="Q1024" t="inlineStr"/>
      <c r="R1024" t="inlineStr"/>
      <c r="S1024" t="inlineStr"/>
      <c r="T1024" t="inlineStr"/>
      <c r="V1024" t="inlineStr"/>
    </row>
    <row r="1025">
      <c r="A1025">
        <f>Skills!A14</f>
        <v/>
      </c>
      <c r="B1025">
        <f>Skills!B14</f>
        <v/>
      </c>
      <c r="C1025">
        <f>Inputs!$B$3&gt;=74</f>
        <v/>
      </c>
      <c r="D1025">
        <f>IF(Skills!C14=1,60+Inputs!$B$25+(Inputs!$B$29+1),IF(Skills!C14=2,90+Inputs!$B$26+(Inputs!$B$29+1),IF(Skills!C14=3,120+Inputs!$B$27+(Inputs!$B$29+1),MAX(0,(Inputs!$B$3-100)*3)+Inputs!$B$28+(Inputs!$B$29+1))))</f>
        <v/>
      </c>
      <c r="E1025">
        <f>INDEX(FactorTable!$B$2:$Y$301, MATCH(ROUND(MIN(300,MAX(1,D1025)),0), FactorTable!$A$2:$A$301,0), Skills!M14+1)</f>
        <v/>
      </c>
      <c r="F1025">
        <f>IF(Skills!N14=TRUE,(Skills!L14/10)*(E1025/1000),Skills!L14/10)+Skills!O14</f>
        <v/>
      </c>
      <c r="G1025">
        <f>Skills!G14*IF(Skills!H14&gt;0,Skills!I14/Skills!H14,1)</f>
        <v/>
      </c>
      <c r="H1025">
        <f>1-(1-Skills!J14/100)^Skills!K14</f>
        <v/>
      </c>
      <c r="I1025" t="inlineStr">
        <is>
          <t>1</t>
        </is>
      </c>
      <c r="J1025" t="inlineStr"/>
      <c r="K1025" t="inlineStr"/>
      <c r="L1025" t="inlineStr"/>
      <c r="M1025" t="inlineStr"/>
      <c r="N1025" t="inlineStr"/>
      <c r="O1025">
        <f>(1-Summary!$B$11)*T1025+Summary!$B$11*V1025</f>
        <v/>
      </c>
      <c r="P1025">
        <f>IF(B1055=0,0,O1025/B1055)</f>
        <v/>
      </c>
      <c r="Q1025" t="n">
        <v>0</v>
      </c>
      <c r="R1025" t="n">
        <v>0</v>
      </c>
      <c r="S1025">
        <f>IFERROR(O1025/N1025,0)</f>
        <v/>
      </c>
      <c r="T1025" t="n">
        <v>0</v>
      </c>
      <c r="V1025" t="n">
        <v>0</v>
      </c>
    </row>
    <row r="1026">
      <c r="A1026">
        <f>Skills!A15</f>
        <v/>
      </c>
      <c r="B1026">
        <f>Skills!B15</f>
        <v/>
      </c>
      <c r="C1026">
        <f>Inputs!$B$3&gt;=74</f>
        <v/>
      </c>
      <c r="D1026">
        <f>IF(Skills!C15=1,60+Inputs!$B$25+(Inputs!$B$29+1),IF(Skills!C15=2,90+Inputs!$B$26+(Inputs!$B$29+1),IF(Skills!C15=3,120+Inputs!$B$27+(Inputs!$B$29+1),MAX(0,(Inputs!$B$3-100)*3)+Inputs!$B$28+(Inputs!$B$29+1))))</f>
        <v/>
      </c>
      <c r="E1026">
        <f>INDEX(FactorTable!$B$2:$Y$301, MATCH(ROUND(MIN(300,MAX(1,D1026)),0), FactorTable!$A$2:$A$301,0), Skills!M15+1)</f>
        <v/>
      </c>
      <c r="F1026">
        <f>IF(Skills!N15=TRUE,(Skills!L15/10)*(E1026/1000),Skills!L15/10)+Skills!O15</f>
        <v/>
      </c>
      <c r="G1026">
        <f>Skills!G15*IF(Skills!H15&gt;0,Skills!I15/Skills!H15,1)</f>
        <v/>
      </c>
      <c r="H1026">
        <f>1-(1-Skills!J15/100)^Skills!K15</f>
        <v/>
      </c>
      <c r="I1026" t="inlineStr">
        <is>
          <t>1</t>
        </is>
      </c>
      <c r="J1026" t="inlineStr"/>
      <c r="K1026" t="inlineStr"/>
      <c r="L1026" t="inlineStr"/>
      <c r="M1026" t="inlineStr"/>
      <c r="N1026" t="inlineStr"/>
      <c r="O1026">
        <f>(1-Summary!$B$11)*T1026+Summary!$B$11*V1026</f>
        <v/>
      </c>
      <c r="P1026">
        <f>IF(B1055=0,0,O1026/B1055)</f>
        <v/>
      </c>
      <c r="Q1026" t="n">
        <v>0</v>
      </c>
      <c r="R1026" t="n">
        <v>0</v>
      </c>
      <c r="S1026">
        <f>IFERROR(O1026/N1026,0)</f>
        <v/>
      </c>
      <c r="T1026" t="n">
        <v>0</v>
      </c>
      <c r="V1026" t="n">
        <v>0</v>
      </c>
    </row>
    <row r="1027">
      <c r="A1027">
        <f>Skills!A16</f>
        <v/>
      </c>
      <c r="B1027">
        <f>Skills!B16</f>
        <v/>
      </c>
      <c r="C1027">
        <f>Inputs!$B$3&gt;=117</f>
        <v/>
      </c>
      <c r="D1027">
        <f>IF(Skills!C16=1,60+Inputs!$B$25+(Inputs!$B$29+1),IF(Skills!C16=2,90+Inputs!$B$26+(Inputs!$B$29+1),IF(Skills!C16=3,120+Inputs!$B$27+(Inputs!$B$29+1),MAX(0,(Inputs!$B$3-100)*3)+Inputs!$B$28+(Inputs!$B$29+1))))</f>
        <v/>
      </c>
      <c r="E1027">
        <f>INDEX(FactorTable!$B$2:$Y$301, MATCH(ROUND(MIN(300,MAX(1,D1027)),0), FactorTable!$A$2:$A$301,0), Skills!M16+1)</f>
        <v/>
      </c>
      <c r="F1027">
        <f>IF(Skills!N16=TRUE,(Skills!L16/10)*(E1027/1000),Skills!L16/10)+Skills!O16</f>
        <v/>
      </c>
      <c r="G1027">
        <f>Skills!G16*IF(Skills!H16&gt;0,Skills!I16/Skills!H16,1)</f>
        <v/>
      </c>
      <c r="H1027">
        <f>1-(1-Skills!J16/100)^Skills!K16</f>
        <v/>
      </c>
      <c r="I1027" t="inlineStr">
        <is>
          <t>1</t>
        </is>
      </c>
      <c r="J1027" t="inlineStr"/>
      <c r="K1027" t="inlineStr"/>
      <c r="L1027" t="inlineStr"/>
      <c r="M1027" t="inlineStr"/>
      <c r="N1027" t="inlineStr"/>
      <c r="O1027">
        <f>(1-Summary!$B$11)*T1027+Summary!$B$11*V1027</f>
        <v/>
      </c>
      <c r="P1027">
        <f>IF(B1055=0,0,O1027/B1055)</f>
        <v/>
      </c>
      <c r="Q1027">
        <f>IFERROR(1/(IF(Inputs!$B$38="pvp",15,MAX(0.1,Skills!D16-IF(Skills!E16=TRUE,Inputs!$B$32,0)))*(1-IF(AND(ArtifactsInput!$M$27,Inputs!$B$4="Chapter Hunt"),CHOOSE(ArtifactsInput!$N$27+1,20,24,28,32,36,40),0)/100)),0)</f>
        <v/>
      </c>
      <c r="R1027">
        <f>IF(AND(Inputs!$B$38&lt;&gt;"pvp",Inputs!$B$43&gt;0),IF(Inputs!$B$43&lt;=0,0,(INT(Inputs!$B$43/(IF(Inputs!$B$38="pvp",15,MAX(0.1,Skills!D16-IF(Skills!E16=TRUE,Inputs!$B$32,0)))*(1-IF(AND(ArtifactsInput!$M$27,Inputs!$B$4="Chapter Hunt"),CHOOSE(ArtifactsInput!$N$27+1,20,24,28,32,36,40),0)/100)))+1)),0)</f>
        <v/>
      </c>
      <c r="S1027">
        <f>IFERROR(O1027/N1027,0)</f>
        <v/>
      </c>
      <c r="T1027" t="n">
        <v>0</v>
      </c>
      <c r="V1027" t="n">
        <v>0</v>
      </c>
    </row>
    <row r="1028">
      <c r="A1028">
        <f>Skills!A17</f>
        <v/>
      </c>
      <c r="B1028">
        <f>Skills!B17</f>
        <v/>
      </c>
      <c r="C1028">
        <f>Inputs!$B$3&gt;=115</f>
        <v/>
      </c>
      <c r="D1028">
        <f>IF(Skills!C17=1,60+Inputs!$B$25+(Inputs!$B$29+1),IF(Skills!C17=2,90+Inputs!$B$26+(Inputs!$B$29+1),IF(Skills!C17=3,120+Inputs!$B$27+(Inputs!$B$29+1),MAX(0,(Inputs!$B$3-100)*3)+Inputs!$B$28+(Inputs!$B$29+1))))</f>
        <v/>
      </c>
      <c r="E1028">
        <f>INDEX(FactorTable!$B$2:$Y$301, MATCH(ROUND(MIN(300,MAX(1,D1028)),0), FactorTable!$A$2:$A$301,0), Skills!M17+1)</f>
        <v/>
      </c>
      <c r="F1028">
        <f>IF(Skills!N17=TRUE,(Skills!L17/10)*(E1028/1000),Skills!L17/10)+Skills!O17</f>
        <v/>
      </c>
      <c r="G1028">
        <f>Skills!G17*IF(Skills!H17&gt;0,Skills!I17/Skills!H17,1)</f>
        <v/>
      </c>
      <c r="H1028">
        <f>1-(1-Skills!J17/100)^Skills!K17</f>
        <v/>
      </c>
      <c r="I1028" t="inlineStr">
        <is>
          <t>1</t>
        </is>
      </c>
      <c r="J1028" t="inlineStr"/>
      <c r="K1028" t="inlineStr"/>
      <c r="L1028" t="inlineStr"/>
      <c r="M1028" t="inlineStr"/>
      <c r="N1028" t="inlineStr"/>
      <c r="O1028">
        <f>(1-Summary!$B$11)*T1028+Summary!$B$11*V1028</f>
        <v/>
      </c>
      <c r="P1028">
        <f>IF(B1055=0,0,O1028/B1055)</f>
        <v/>
      </c>
      <c r="Q1028">
        <f>IFERROR(1/(IF(Inputs!$B$38="pvp",15,MAX(0.1,Skills!D17-IF(Skills!E17=TRUE,Inputs!$B$32,0)))*(1-IF(AND(ArtifactsInput!$M$27,Inputs!$B$4="Chapter Hunt"),CHOOSE(ArtifactsInput!$N$27+1,20,24,28,32,36,40),0)/100)),0)</f>
        <v/>
      </c>
      <c r="R1028">
        <f>IF(AND(Inputs!$B$38&lt;&gt;"pvp",Inputs!$B$43&gt;0),IF(Inputs!$B$43&lt;=0,0,(INT(Inputs!$B$43/(IF(Inputs!$B$38="pvp",15,MAX(0.1,Skills!D17-IF(Skills!E17=TRUE,Inputs!$B$32,0)))*(1-IF(AND(ArtifactsInput!$M$27,Inputs!$B$4="Chapter Hunt"),CHOOSE(ArtifactsInput!$N$27+1,20,24,28,32,36,40),0)/100)))+1)),0)</f>
        <v/>
      </c>
      <c r="S1028">
        <f>IFERROR(O1028/N1028,0)</f>
        <v/>
      </c>
      <c r="T1028" t="n">
        <v>0</v>
      </c>
      <c r="V1028" t="n">
        <v>0</v>
      </c>
    </row>
    <row r="1029">
      <c r="A1029">
        <f>Skills!A18</f>
        <v/>
      </c>
      <c r="B1029">
        <f>Skills!B18</f>
        <v/>
      </c>
      <c r="C1029">
        <f>Inputs!$B$3&gt;=66</f>
        <v/>
      </c>
      <c r="D1029">
        <f>IF(Skills!C18=1,60+Inputs!$B$25+(Inputs!$B$29+1),IF(Skills!C18=2,90+Inputs!$B$26+(Inputs!$B$29+1),IF(Skills!C18=3,120+Inputs!$B$27+(Inputs!$B$29+1),MAX(0,(Inputs!$B$3-100)*3)+Inputs!$B$28+(Inputs!$B$29+1))))</f>
        <v/>
      </c>
      <c r="E1029">
        <f>INDEX(FactorTable!$B$2:$Y$301, MATCH(ROUND(MIN(300,MAX(1,D1029)),0), FactorTable!$A$2:$A$301,0), Skills!M18+1)</f>
        <v/>
      </c>
      <c r="F1029">
        <f>IF(Skills!N18=TRUE,(Skills!L18/10)*(E1029/1000),Skills!L18/10)+Skills!O18</f>
        <v/>
      </c>
      <c r="G1029">
        <f>Skills!G18*IF(Skills!H18&gt;0,Skills!I18/Skills!H18,1)</f>
        <v/>
      </c>
      <c r="H1029">
        <f>1-(1-Skills!J18/100)^Skills!K18</f>
        <v/>
      </c>
      <c r="I1029" t="inlineStr">
        <is>
          <t>1</t>
        </is>
      </c>
      <c r="J1029" t="inlineStr"/>
      <c r="K1029" t="inlineStr"/>
      <c r="L1029" t="inlineStr"/>
      <c r="M1029" t="inlineStr"/>
      <c r="N1029" t="inlineStr"/>
      <c r="O1029">
        <f>(1-Summary!$B$11)*T1029+Summary!$B$11*V1029</f>
        <v/>
      </c>
      <c r="P1029">
        <f>IF(B1055=0,0,O1029/B1055)</f>
        <v/>
      </c>
      <c r="Q1029" t="n">
        <v>0</v>
      </c>
      <c r="R1029" t="n">
        <v>0</v>
      </c>
      <c r="S1029">
        <f>IFERROR(O1029/N1029,0)</f>
        <v/>
      </c>
      <c r="T1029" t="n">
        <v>0</v>
      </c>
      <c r="V1029" t="n">
        <v>0</v>
      </c>
    </row>
    <row r="1030">
      <c r="A1030">
        <f>Skills!A19</f>
        <v/>
      </c>
      <c r="B1030">
        <f>Skills!B19</f>
        <v/>
      </c>
      <c r="C1030">
        <f>Inputs!$B$3&gt;=72</f>
        <v/>
      </c>
      <c r="D1030">
        <f>IF(Skills!C19=1,60+Inputs!$B$25+(Inputs!$B$29+1),IF(Skills!C19=2,90+Inputs!$B$26+(Inputs!$B$29+1),IF(Skills!C19=3,120+Inputs!$B$27+(Inputs!$B$29+1),MAX(0,(Inputs!$B$3-100)*3)+Inputs!$B$28+(Inputs!$B$29+1))))</f>
        <v/>
      </c>
      <c r="E1030">
        <f>INDEX(FactorTable!$B$2:$Y$301, MATCH(ROUND(MIN(300,MAX(1,D1030)),0), FactorTable!$A$2:$A$301,0), Skills!M19+1)</f>
        <v/>
      </c>
      <c r="F1030">
        <f>IF(Skills!N19=TRUE,(Skills!L19/10)*(E1030/1000),Skills!L19/10)+Skills!O19</f>
        <v/>
      </c>
      <c r="G1030">
        <f>Skills!G19*IF(Skills!H19&gt;0,Skills!I19/Skills!H19,1)</f>
        <v/>
      </c>
      <c r="H1030">
        <f>1-(1-Skills!J19/100)^Skills!K19</f>
        <v/>
      </c>
      <c r="I1030" t="inlineStr">
        <is>
          <t>1</t>
        </is>
      </c>
      <c r="J1030" t="inlineStr"/>
      <c r="K1030" t="inlineStr"/>
      <c r="L1030" t="inlineStr"/>
      <c r="M1030" t="inlineStr"/>
      <c r="N1030" t="inlineStr"/>
      <c r="O1030">
        <f>(1-Summary!$B$11)*T1030+Summary!$B$11*V1030</f>
        <v/>
      </c>
      <c r="P1030">
        <f>IF(B1055=0,0,O1030/B1055)</f>
        <v/>
      </c>
      <c r="Q1030" t="n">
        <v>0</v>
      </c>
      <c r="R1030" t="n">
        <v>0</v>
      </c>
      <c r="S1030">
        <f>IFERROR(O1030/N1030,0)</f>
        <v/>
      </c>
      <c r="T1030" t="n">
        <v>0</v>
      </c>
      <c r="V1030" t="n">
        <v>0</v>
      </c>
    </row>
    <row r="1031">
      <c r="A1031">
        <f>Skills!A20</f>
        <v/>
      </c>
      <c r="B1031">
        <f>Skills!B20</f>
        <v/>
      </c>
      <c r="C1031">
        <f>TRUE</f>
        <v/>
      </c>
      <c r="D1031">
        <f>IF(Skills!C20=1,60+Inputs!$B$25+(Inputs!$B$29+1),IF(Skills!C20=2,90+Inputs!$B$26+(Inputs!$B$29+1),IF(Skills!C20=3,120+Inputs!$B$27+(Inputs!$B$29+1),MAX(0,(Inputs!$B$3-100)*3)+Inputs!$B$28+(Inputs!$B$29+1))))</f>
        <v/>
      </c>
      <c r="E1031">
        <f>INDEX(FactorTable!$B$2:$Y$301, MATCH(ROUND(MIN(300,MAX(1,D1031)),0), FactorTable!$A$2:$A$301,0), Skills!M20+1)</f>
        <v/>
      </c>
      <c r="F1031">
        <f>IF(Skills!N20=TRUE,(Skills!L20/10)*(E1031/1000),Skills!L20/10)+Skills!O20</f>
        <v/>
      </c>
      <c r="G1031">
        <f>Skills!G20*IF(Skills!H20&gt;0,Skills!I20/Skills!H20,1)</f>
        <v/>
      </c>
      <c r="H1031">
        <f>1-(1-Skills!J20/100)^Skills!K20</f>
        <v/>
      </c>
      <c r="I1031" t="inlineStr">
        <is>
          <t>1</t>
        </is>
      </c>
      <c r="J1031" t="inlineStr"/>
      <c r="K1031" t="inlineStr"/>
      <c r="L1031" t="inlineStr"/>
      <c r="M1031" t="inlineStr"/>
      <c r="N1031" t="inlineStr"/>
      <c r="O1031">
        <f>(1-Summary!$B$11)*T1031+Summary!$B$11*V1031</f>
        <v/>
      </c>
      <c r="P1031">
        <f>IF(B1055=0,0,O1031/B1055)</f>
        <v/>
      </c>
      <c r="Q1031">
        <f>IFERROR(1/(IF(Inputs!$B$38="pvp",15,MAX(0.1,Skills!D20-IF(Skills!E20=TRUE,Inputs!$B$32,0)))*(1-IF(AND(ArtifactsInput!$M$27,Inputs!$B$4="Chapter Hunt"),CHOOSE(ArtifactsInput!$N$27+1,20,24,28,32,36,40),0)/100)),0)</f>
        <v/>
      </c>
      <c r="R1031">
        <f>IF(AND(Inputs!$B$38&lt;&gt;"pvp",Inputs!$B$43&gt;0),IF(Inputs!$B$43&lt;=0,0,(INT(Inputs!$B$43/(IF(Inputs!$B$38="pvp",15,MAX(0.1,Skills!D20-IF(Skills!E20=TRUE,Inputs!$B$32,0)))*(1-IF(AND(ArtifactsInput!$M$27,Inputs!$B$4="Chapter Hunt"),CHOOSE(ArtifactsInput!$N$27+1,20,24,28,32,36,40),0)/100)))+1)),0)</f>
        <v/>
      </c>
      <c r="S1031">
        <f>IFERROR(O1031/N1031,0)</f>
        <v/>
      </c>
      <c r="T1031" t="n">
        <v>0</v>
      </c>
      <c r="V1031" t="n">
        <v>0</v>
      </c>
    </row>
    <row r="1032">
      <c r="A1032">
        <f>Skills!A21</f>
        <v/>
      </c>
      <c r="B1032">
        <f>Skills!B21</f>
        <v/>
      </c>
      <c r="C1032">
        <f>Inputs!$B$3&gt;=15</f>
        <v/>
      </c>
      <c r="D1032">
        <f>IF(Skills!C21=1,60+Inputs!$B$25+(Inputs!$B$29+1),IF(Skills!C21=2,90+Inputs!$B$26+(Inputs!$B$29+1),IF(Skills!C21=3,120+Inputs!$B$27+(Inputs!$B$29+1),MAX(0,(Inputs!$B$3-100)*3)+Inputs!$B$28+(Inputs!$B$29+1))))</f>
        <v/>
      </c>
      <c r="E1032">
        <f>INDEX(FactorTable!$B$2:$Y$301, MATCH(ROUND(MIN(300,MAX(1,D1032)),0), FactorTable!$A$2:$A$301,0), Skills!M21+1)</f>
        <v/>
      </c>
      <c r="F1032">
        <f>IF(Skills!N21=TRUE,(Skills!L21/10)*(E1032/1000),Skills!L21/10)+Skills!O21</f>
        <v/>
      </c>
      <c r="G1032">
        <f>Skills!G21*IF(Skills!H21&gt;0,Skills!I21/Skills!H21,1)</f>
        <v/>
      </c>
      <c r="H1032">
        <f>1-(1-Skills!J21/100)^Skills!K21</f>
        <v/>
      </c>
      <c r="I1032" t="inlineStr">
        <is>
          <t>1</t>
        </is>
      </c>
      <c r="J1032" t="inlineStr"/>
      <c r="K1032" t="inlineStr"/>
      <c r="L1032" t="inlineStr"/>
      <c r="M1032" t="inlineStr"/>
      <c r="N1032" t="inlineStr"/>
      <c r="O1032">
        <f>(1-Summary!$B$11)*T1032+Summary!$B$11*V1032</f>
        <v/>
      </c>
      <c r="P1032">
        <f>IF(B1055=0,0,O1032/B1055)</f>
        <v/>
      </c>
      <c r="Q1032" t="n">
        <v>0</v>
      </c>
      <c r="R1032" t="n">
        <v>0</v>
      </c>
      <c r="S1032">
        <f>IFERROR(O1032/N1032,0)</f>
        <v/>
      </c>
      <c r="T1032" t="n">
        <v>0</v>
      </c>
      <c r="V1032" t="n">
        <v>0</v>
      </c>
    </row>
    <row r="1033">
      <c r="A1033">
        <f>Skills!A22</f>
        <v/>
      </c>
      <c r="B1033">
        <f>Skills!B22</f>
        <v/>
      </c>
      <c r="C1033">
        <f>Inputs!$B$3&gt;=10</f>
        <v/>
      </c>
      <c r="D1033">
        <f>IF(Skills!C22=1,60+Inputs!$B$25+(Inputs!$B$29+1),IF(Skills!C22=2,90+Inputs!$B$26+(Inputs!$B$29+1),IF(Skills!C22=3,120+Inputs!$B$27+(Inputs!$B$29+1),MAX(0,(Inputs!$B$3-100)*3)+Inputs!$B$28+(Inputs!$B$29+1))))</f>
        <v/>
      </c>
      <c r="E1033">
        <f>INDEX(FactorTable!$B$2:$Y$301, MATCH(ROUND(MIN(300,MAX(1,D1033)),0), FactorTable!$A$2:$A$301,0), Skills!M22+1)</f>
        <v/>
      </c>
      <c r="F1033">
        <f>IF(Skills!N22=TRUE,(Skills!L22/10)*(E1033/1000),Skills!L22/10)+Skills!O22</f>
        <v/>
      </c>
      <c r="G1033">
        <f>Skills!G22*IF(Skills!H22&gt;0,Skills!I22/Skills!H22,1)</f>
        <v/>
      </c>
      <c r="H1033">
        <f>1-(1-Skills!J22/100)^Skills!K22</f>
        <v/>
      </c>
      <c r="I1033" t="inlineStr">
        <is>
          <t>1</t>
        </is>
      </c>
      <c r="J1033" t="inlineStr"/>
      <c r="K1033" t="inlineStr"/>
      <c r="L1033" t="inlineStr"/>
      <c r="M1033" t="inlineStr"/>
      <c r="N1033" t="inlineStr"/>
      <c r="O1033">
        <f>(1-Summary!$B$11)*T1033+Summary!$B$11*V1033</f>
        <v/>
      </c>
      <c r="P1033">
        <f>IF(B1055=0,0,O1033/B1055)</f>
        <v/>
      </c>
      <c r="Q1033" t="n">
        <v>0</v>
      </c>
      <c r="R1033" t="n">
        <v>0</v>
      </c>
      <c r="S1033">
        <f>IFERROR(O1033/N1033,0)</f>
        <v/>
      </c>
      <c r="T1033" t="n">
        <v>0</v>
      </c>
      <c r="V1033" t="n">
        <v>0</v>
      </c>
    </row>
    <row r="1034">
      <c r="A1034">
        <f>Skills!A23</f>
        <v/>
      </c>
      <c r="B1034">
        <f>Skills!B23</f>
        <v/>
      </c>
      <c r="C1034">
        <f>Inputs!$B$3&gt;=33</f>
        <v/>
      </c>
      <c r="D1034">
        <f>IF(Skills!C23=1,60+Inputs!$B$25+(Inputs!$B$29+1),IF(Skills!C23=2,90+Inputs!$B$26+(Inputs!$B$29+1),IF(Skills!C23=3,120+Inputs!$B$27+(Inputs!$B$29+1),MAX(0,(Inputs!$B$3-100)*3)+Inputs!$B$28+(Inputs!$B$29+1))))</f>
        <v/>
      </c>
      <c r="E1034">
        <f>INDEX(FactorTable!$B$2:$Y$301, MATCH(ROUND(MIN(300,MAX(1,D1034)),0), FactorTable!$A$2:$A$301,0), Skills!M23+1)</f>
        <v/>
      </c>
      <c r="F1034">
        <f>IF(Skills!N23=TRUE,(Skills!L23/10)*(E1034/1000),Skills!L23/10)+Skills!O23</f>
        <v/>
      </c>
      <c r="G1034">
        <f>Skills!G23*IF(Skills!H23&gt;0,Skills!I23/Skills!H23,1)</f>
        <v/>
      </c>
      <c r="H1034">
        <f>1-(1-Skills!J23/100)^Skills!K23</f>
        <v/>
      </c>
      <c r="I1034" t="inlineStr">
        <is>
          <t>1</t>
        </is>
      </c>
      <c r="J1034" t="inlineStr"/>
      <c r="K1034" t="inlineStr"/>
      <c r="L1034" t="inlineStr"/>
      <c r="M1034" t="inlineStr"/>
      <c r="N1034" t="inlineStr"/>
      <c r="O1034">
        <f>(1-Summary!$B$11)*T1034+Summary!$B$11*V1034</f>
        <v/>
      </c>
      <c r="P1034">
        <f>IF(B1055=0,0,O1034/B1055)</f>
        <v/>
      </c>
      <c r="Q1034" t="n">
        <v>0</v>
      </c>
      <c r="R1034" t="n">
        <v>0</v>
      </c>
      <c r="S1034">
        <f>IFERROR(O1034/N1034,0)</f>
        <v/>
      </c>
      <c r="T1034" t="n">
        <v>0</v>
      </c>
      <c r="V1034" t="n">
        <v>0</v>
      </c>
    </row>
    <row r="1035">
      <c r="A1035">
        <f>Skills!A24</f>
        <v/>
      </c>
      <c r="B1035">
        <f>Skills!B24</f>
        <v/>
      </c>
      <c r="C1035">
        <f>Inputs!$B$3&gt;=38</f>
        <v/>
      </c>
      <c r="D1035">
        <f>IF(Skills!C24=1,60+Inputs!$B$25+(Inputs!$B$29+1),IF(Skills!C24=2,90+Inputs!$B$26+(Inputs!$B$29+1),IF(Skills!C24=3,120+Inputs!$B$27+(Inputs!$B$29+1),MAX(0,(Inputs!$B$3-100)*3)+Inputs!$B$28+(Inputs!$B$29+1))))</f>
        <v/>
      </c>
      <c r="E1035">
        <f>INDEX(FactorTable!$B$2:$Y$301, MATCH(ROUND(MIN(300,MAX(1,D1035)),0), FactorTable!$A$2:$A$301,0), Skills!M24+1)</f>
        <v/>
      </c>
      <c r="F1035">
        <f>IF(Skills!N24=TRUE,(Skills!L24/10)*(E1035/1000),Skills!L24/10)+Skills!O24</f>
        <v/>
      </c>
      <c r="G1035">
        <f>Skills!G24*IF(Skills!H24&gt;0,Skills!I24/Skills!H24,1)</f>
        <v/>
      </c>
      <c r="H1035">
        <f>1-(1-Skills!J24/100)^Skills!K24</f>
        <v/>
      </c>
      <c r="I1035" t="inlineStr">
        <is>
          <t>1</t>
        </is>
      </c>
      <c r="J1035" t="inlineStr"/>
      <c r="K1035" t="inlineStr"/>
      <c r="L1035" t="inlineStr"/>
      <c r="M1035" t="inlineStr"/>
      <c r="N1035" t="inlineStr"/>
      <c r="O1035">
        <f>(1-Summary!$B$11)*T1035+Summary!$B$11*V1035</f>
        <v/>
      </c>
      <c r="P1035">
        <f>IF(B1055=0,0,O1035/B1055)</f>
        <v/>
      </c>
      <c r="Q1035" t="n">
        <v>0</v>
      </c>
      <c r="R1035" t="n">
        <v>0</v>
      </c>
      <c r="S1035">
        <f>IFERROR(O1035/N1035,0)</f>
        <v/>
      </c>
      <c r="T1035" t="n">
        <v>0</v>
      </c>
      <c r="V1035" t="n">
        <v>0</v>
      </c>
    </row>
    <row r="1036">
      <c r="A1036">
        <f>Skills!A25</f>
        <v/>
      </c>
      <c r="B1036">
        <f>Skills!B25</f>
        <v/>
      </c>
      <c r="C1036">
        <f>Inputs!$B$3&gt;=43</f>
        <v/>
      </c>
      <c r="D1036">
        <f>IF(Skills!C25=1,60+Inputs!$B$25+(Inputs!$B$29+1),IF(Skills!C25=2,90+Inputs!$B$26+(Inputs!$B$29+1),IF(Skills!C25=3,120+Inputs!$B$27+(Inputs!$B$29+1),MAX(0,(Inputs!$B$3-100)*3)+Inputs!$B$28+(Inputs!$B$29+1))))</f>
        <v/>
      </c>
      <c r="E1036">
        <f>INDEX(FactorTable!$B$2:$Y$301, MATCH(ROUND(MIN(300,MAX(1,D1036)),0), FactorTable!$A$2:$A$301,0), Skills!M25+1)</f>
        <v/>
      </c>
      <c r="F1036">
        <f>IF(Skills!N25=TRUE,(Skills!L25/10)*(E1036/1000),Skills!L25/10)+Skills!O25</f>
        <v/>
      </c>
      <c r="G1036">
        <f>Skills!G25*IF(Skills!H25&gt;0,Skills!I25/Skills!H25,1)</f>
        <v/>
      </c>
      <c r="H1036">
        <f>1-(1-Skills!J25/100)^Skills!K25</f>
        <v/>
      </c>
      <c r="I1036" t="inlineStr">
        <is>
          <t>1</t>
        </is>
      </c>
      <c r="J1036" t="inlineStr"/>
      <c r="K1036" t="inlineStr"/>
      <c r="L1036" t="inlineStr"/>
      <c r="M1036" t="inlineStr"/>
      <c r="N1036" t="inlineStr"/>
      <c r="O1036">
        <f>(1-Summary!$B$11)*T1036+Summary!$B$11*V1036</f>
        <v/>
      </c>
      <c r="P1036">
        <f>IF(B1055=0,0,O1036/B1055)</f>
        <v/>
      </c>
      <c r="Q1036" t="n">
        <v>0</v>
      </c>
      <c r="R1036" t="n">
        <v>0</v>
      </c>
      <c r="S1036">
        <f>IFERROR(O1036/N1036,0)</f>
        <v/>
      </c>
      <c r="T1036" t="n">
        <v>0</v>
      </c>
      <c r="V1036" t="n">
        <v>0</v>
      </c>
    </row>
    <row r="1037">
      <c r="A1037">
        <f>Skills!A26</f>
        <v/>
      </c>
      <c r="B1037">
        <f>Skills!B26</f>
        <v/>
      </c>
      <c r="C1037">
        <f>Inputs!$B$3&gt;=75</f>
        <v/>
      </c>
      <c r="D1037">
        <f>IF(Skills!C26=1,60+Inputs!$B$25+(Inputs!$B$29+1),IF(Skills!C26=2,90+Inputs!$B$26+(Inputs!$B$29+1),IF(Skills!C26=3,120+Inputs!$B$27+(Inputs!$B$29+1),MAX(0,(Inputs!$B$3-100)*3)+Inputs!$B$28+(Inputs!$B$29+1))))</f>
        <v/>
      </c>
      <c r="E1037">
        <f>INDEX(FactorTable!$B$2:$Y$301, MATCH(ROUND(MIN(300,MAX(1,D1037)),0), FactorTable!$A$2:$A$301,0), Skills!M26+1)</f>
        <v/>
      </c>
      <c r="F1037">
        <f>IF(Skills!N26=TRUE,(Skills!L26/10)*(E1037/1000),Skills!L26/10)+Skills!O26</f>
        <v/>
      </c>
      <c r="G1037">
        <f>Skills!G26*IF(Skills!H26&gt;0,Skills!I26/Skills!H26,1)</f>
        <v/>
      </c>
      <c r="H1037">
        <f>1-(1-Skills!J26/100)^Skills!K26</f>
        <v/>
      </c>
      <c r="I1037" t="inlineStr">
        <is>
          <t>1</t>
        </is>
      </c>
      <c r="J1037" t="inlineStr"/>
      <c r="K1037" t="inlineStr"/>
      <c r="L1037" t="inlineStr"/>
      <c r="M1037" t="inlineStr"/>
      <c r="N1037" t="inlineStr"/>
      <c r="O1037">
        <f>(1-Summary!$B$11)*T1037+Summary!$B$11*V1037</f>
        <v/>
      </c>
      <c r="P1037">
        <f>IF(B1055=0,0,O1037/B1055)</f>
        <v/>
      </c>
      <c r="Q1037" t="n">
        <v>0</v>
      </c>
      <c r="R1037" t="n">
        <v>0</v>
      </c>
      <c r="S1037">
        <f>IFERROR(O1037/N1037,0)</f>
        <v/>
      </c>
      <c r="T1037" t="n">
        <v>0</v>
      </c>
      <c r="V1037" t="n">
        <v>0</v>
      </c>
    </row>
    <row r="1038">
      <c r="A1038">
        <f>Skills!A27</f>
        <v/>
      </c>
      <c r="B1038">
        <f>Skills!B27</f>
        <v/>
      </c>
      <c r="C1038">
        <f>Inputs!$B$3&gt;=125</f>
        <v/>
      </c>
      <c r="D1038">
        <f>IF(Skills!C27=1,60+Inputs!$B$25+(Inputs!$B$29+1),IF(Skills!C27=2,90+Inputs!$B$26+(Inputs!$B$29+1),IF(Skills!C27=3,120+Inputs!$B$27+(Inputs!$B$29+1),MAX(0,(Inputs!$B$3-100)*3)+Inputs!$B$28+(Inputs!$B$29+1))))</f>
        <v/>
      </c>
      <c r="E1038">
        <f>INDEX(FactorTable!$B$2:$Y$301, MATCH(ROUND(MIN(300,MAX(1,D1038)),0), FactorTable!$A$2:$A$301,0), Skills!M27+1)</f>
        <v/>
      </c>
      <c r="F1038">
        <f>IF(Skills!N27=TRUE,(Skills!L27/10)*(E1038/1000),Skills!L27/10)+Skills!O27</f>
        <v/>
      </c>
      <c r="G1038">
        <f>Skills!G27*IF(Skills!H27&gt;0,Skills!I27/Skills!H27,1)</f>
        <v/>
      </c>
      <c r="H1038">
        <f>1-(1-Skills!J27/100)^Skills!K27</f>
        <v/>
      </c>
      <c r="I1038" t="inlineStr">
        <is>
          <t>1</t>
        </is>
      </c>
      <c r="J1038" t="inlineStr"/>
      <c r="K1038" t="inlineStr"/>
      <c r="L1038" t="inlineStr"/>
      <c r="M1038" t="inlineStr"/>
      <c r="N1038" t="inlineStr"/>
      <c r="O1038">
        <f>(1-Summary!$B$11)*T1038+Summary!$B$11*V1038</f>
        <v/>
      </c>
      <c r="P1038">
        <f>IF(B1055=0,0,O1038/B1055)</f>
        <v/>
      </c>
      <c r="Q1038" t="n">
        <v>0</v>
      </c>
      <c r="R1038" t="n">
        <v>0</v>
      </c>
      <c r="S1038">
        <f>IFERROR(O1038/N1038,0)</f>
        <v/>
      </c>
      <c r="T1038" t="n">
        <v>0</v>
      </c>
      <c r="V1038" t="n">
        <v>0</v>
      </c>
    </row>
    <row r="1039">
      <c r="A1039">
        <f>Skills!A28</f>
        <v/>
      </c>
      <c r="B1039">
        <f>Skills!B28</f>
        <v/>
      </c>
      <c r="C1039">
        <f>Inputs!$B$3&gt;=125</f>
        <v/>
      </c>
      <c r="D1039">
        <f>IF(Skills!C28=1,60+Inputs!$B$25+(Inputs!$B$29+1),IF(Skills!C28=2,90+Inputs!$B$26+(Inputs!$B$29+1),IF(Skills!C28=3,120+Inputs!$B$27+(Inputs!$B$29+1),MAX(0,(Inputs!$B$3-100)*3)+Inputs!$B$28+(Inputs!$B$29+1))))</f>
        <v/>
      </c>
      <c r="E1039">
        <f>INDEX(FactorTable!$B$2:$Y$301, MATCH(ROUND(MIN(300,MAX(1,D1039)),0), FactorTable!$A$2:$A$301,0), Skills!M28+1)</f>
        <v/>
      </c>
      <c r="F1039">
        <f>IF(Skills!N28=TRUE,(Skills!L28/10)*(E1039/1000),Skills!L28/10)+Skills!O28</f>
        <v/>
      </c>
      <c r="G1039">
        <f>Skills!G28*IF(Skills!H28&gt;0,Skills!I28/Skills!H28,1)</f>
        <v/>
      </c>
      <c r="H1039">
        <f>1-(1-Skills!J28/100)^Skills!K28</f>
        <v/>
      </c>
      <c r="I1039" t="inlineStr">
        <is>
          <t>1</t>
        </is>
      </c>
      <c r="J1039" t="inlineStr"/>
      <c r="K1039" t="inlineStr"/>
      <c r="L1039" t="inlineStr"/>
      <c r="M1039" t="inlineStr"/>
      <c r="N1039" t="inlineStr"/>
      <c r="O1039">
        <f>(1-Summary!$B$11)*T1039+Summary!$B$11*V1039</f>
        <v/>
      </c>
      <c r="P1039">
        <f>IF(B1055=0,0,O1039/B1055)</f>
        <v/>
      </c>
      <c r="Q1039" t="n">
        <v>0</v>
      </c>
      <c r="R1039" t="n">
        <v>0</v>
      </c>
      <c r="S1039">
        <f>IFERROR(O1039/N1039,0)</f>
        <v/>
      </c>
      <c r="T1039" t="n">
        <v>0</v>
      </c>
      <c r="V1039" t="n">
        <v>0</v>
      </c>
    </row>
    <row r="1040">
      <c r="A1040">
        <f>Skills!A29</f>
        <v/>
      </c>
      <c r="B1040">
        <f>Skills!B29</f>
        <v/>
      </c>
      <c r="C1040">
        <f>Inputs!$B$3&gt;=120</f>
        <v/>
      </c>
      <c r="D1040">
        <f>IF(Skills!C29=1,60+Inputs!$B$25+(Inputs!$B$29+1),IF(Skills!C29=2,90+Inputs!$B$26+(Inputs!$B$29+1),IF(Skills!C29=3,120+Inputs!$B$27+(Inputs!$B$29+1),MAX(0,(Inputs!$B$3-100)*3)+Inputs!$B$28+(Inputs!$B$29+1))))</f>
        <v/>
      </c>
      <c r="E1040">
        <f>INDEX(FactorTable!$B$2:$Y$301, MATCH(ROUND(MIN(300,MAX(1,D1040)),0), FactorTable!$A$2:$A$301,0), Skills!M29+1)</f>
        <v/>
      </c>
      <c r="F1040">
        <f>IF(Skills!N29=TRUE,(Skills!L29/10)*(E1040/1000),Skills!L29/10)+Skills!O29</f>
        <v/>
      </c>
      <c r="G1040">
        <f>Skills!G29*IF(Skills!H29&gt;0,Skills!I29/Skills!H29,1)</f>
        <v/>
      </c>
      <c r="H1040">
        <f>1-(1-Skills!J29/100)^Skills!K29</f>
        <v/>
      </c>
      <c r="I1040" t="inlineStr">
        <is>
          <t>1</t>
        </is>
      </c>
      <c r="J1040" t="inlineStr"/>
      <c r="K1040" t="inlineStr"/>
      <c r="L1040" t="inlineStr"/>
      <c r="M1040" t="inlineStr"/>
      <c r="N1040" t="inlineStr"/>
      <c r="O1040">
        <f>(1-Summary!$B$11)*T1040+Summary!$B$11*V1040</f>
        <v/>
      </c>
      <c r="P1040">
        <f>IF(B1055=0,0,O1040/B1055)</f>
        <v/>
      </c>
      <c r="Q1040" t="n">
        <v>0</v>
      </c>
      <c r="R1040" t="n">
        <v>0</v>
      </c>
      <c r="S1040">
        <f>IFERROR(O1040/N1040,0)</f>
        <v/>
      </c>
      <c r="T1040" t="n">
        <v>0</v>
      </c>
      <c r="V1040" t="n">
        <v>0</v>
      </c>
    </row>
    <row r="1041">
      <c r="A1041">
        <f>Skills!A30</f>
        <v/>
      </c>
      <c r="B1041">
        <f>Skills!B30</f>
        <v/>
      </c>
      <c r="C1041">
        <f>Inputs!$B$3&gt;=120</f>
        <v/>
      </c>
      <c r="D1041">
        <f>IF(Skills!C30=1,60+Inputs!$B$25+(Inputs!$B$29+1),IF(Skills!C30=2,90+Inputs!$B$26+(Inputs!$B$29+1),IF(Skills!C30=3,120+Inputs!$B$27+(Inputs!$B$29+1),MAX(0,(Inputs!$B$3-100)*3)+Inputs!$B$28+(Inputs!$B$29+1))))</f>
        <v/>
      </c>
      <c r="E1041">
        <f>INDEX(FactorTable!$B$2:$Y$301, MATCH(ROUND(MIN(300,MAX(1,D1041)),0), FactorTable!$A$2:$A$301,0), Skills!M30+1)</f>
        <v/>
      </c>
      <c r="F1041">
        <f>IF(Skills!N30=TRUE,(Skills!L30/10)*(E1041/1000),Skills!L30/10)+Skills!O30</f>
        <v/>
      </c>
      <c r="G1041">
        <f>Skills!G30*IF(Skills!H30&gt;0,Skills!I30/Skills!H30,1)</f>
        <v/>
      </c>
      <c r="H1041">
        <f>1-(1-Skills!J30/100)^Skills!K30</f>
        <v/>
      </c>
      <c r="I1041" t="inlineStr">
        <is>
          <t>1</t>
        </is>
      </c>
      <c r="J1041" t="inlineStr"/>
      <c r="K1041" t="inlineStr"/>
      <c r="L1041" t="inlineStr"/>
      <c r="M1041" t="inlineStr"/>
      <c r="N1041" t="inlineStr"/>
      <c r="O1041">
        <f>(1-Summary!$B$11)*T1041+Summary!$B$11*V1041</f>
        <v/>
      </c>
      <c r="P1041">
        <f>IF(B1055=0,0,O1041/B1055)</f>
        <v/>
      </c>
      <c r="Q1041" t="n">
        <v>0</v>
      </c>
      <c r="R1041" t="n">
        <v>0</v>
      </c>
      <c r="S1041">
        <f>IFERROR(O1041/N1041,0)</f>
        <v/>
      </c>
      <c r="T1041" t="n">
        <v>0</v>
      </c>
      <c r="V1041" t="n">
        <v>0</v>
      </c>
    </row>
    <row r="1042">
      <c r="A1042">
        <f>Skills!A31</f>
        <v/>
      </c>
      <c r="B1042">
        <f>Skills!B31</f>
        <v/>
      </c>
      <c r="C1042">
        <f>Inputs!$B$3&gt;=45</f>
        <v/>
      </c>
      <c r="D1042">
        <f>IF(Skills!C31=1,60+Inputs!$B$25+(Inputs!$B$29+1),IF(Skills!C31=2,90+Inputs!$B$26+(Inputs!$B$29+1),IF(Skills!C31=3,120+Inputs!$B$27+(Inputs!$B$29+1),MAX(0,(Inputs!$B$3-100)*3)+Inputs!$B$28+(Inputs!$B$29+1))))</f>
        <v/>
      </c>
      <c r="E1042">
        <f>INDEX(FactorTable!$B$2:$Y$301, MATCH(ROUND(MIN(300,MAX(1,D1042)),0), FactorTable!$A$2:$A$301,0), Skills!M31+1)</f>
        <v/>
      </c>
      <c r="F1042">
        <f>IF(Skills!N31=TRUE,(Skills!L31/10)*(E1042/1000),Skills!L31/10)+Skills!O31</f>
        <v/>
      </c>
      <c r="G1042">
        <f>Skills!G31*IF(Skills!H31&gt;0,Skills!I31/Skills!H31,1)</f>
        <v/>
      </c>
      <c r="H1042">
        <f>1-(1-Skills!J31/100)^Skills!K31</f>
        <v/>
      </c>
      <c r="I1042" t="inlineStr">
        <is>
          <t>1</t>
        </is>
      </c>
      <c r="J1042" t="inlineStr"/>
      <c r="K1042" t="inlineStr"/>
      <c r="L1042" t="inlineStr"/>
      <c r="M1042" t="inlineStr"/>
      <c r="N1042" t="inlineStr"/>
      <c r="O1042">
        <f>(1-Summary!$B$11)*T1042+Summary!$B$11*V1042</f>
        <v/>
      </c>
      <c r="P1042">
        <f>IF(B1055=0,0,O1042/B1055)</f>
        <v/>
      </c>
      <c r="Q1042" t="n">
        <v>0</v>
      </c>
      <c r="R1042" t="n">
        <v>0</v>
      </c>
      <c r="S1042">
        <f>IFERROR(O1042/N1042,0)</f>
        <v/>
      </c>
      <c r="T1042" t="n">
        <v>0</v>
      </c>
      <c r="V1042" t="n">
        <v>0</v>
      </c>
    </row>
    <row r="1044">
      <c r="A1044" t="inlineStr">
        <is>
          <t>Attack% Bucket Multiplier</t>
        </is>
      </c>
      <c r="B1044">
        <f>(1+(((C1025=TRUE)*F1025)+((C1026=TRUE)*IF(Inputs!$B$38="pvp",F1026,(1-Summary!$B$11)*(F1026)+Summary!$B$11*(0)))+((C1027=TRUE)*F1027*IF(AND(Inputs!$B$38&lt;&gt;"pvp",Inputs!$B$43&gt;0),(((R1027-1)*(Skills!T16*(1+Inputs!$B$34/100))+MIN((Skills!T16*(1+Inputs!$B$34/100)),MAX(0,Inputs!$B$43-((R1027-1)*Skills!D16))))/Inputs!$B$43),IF(Inputs!$B$38="pvp",MIN((Skills!T16*(1+Inputs!$B$34/100)),15)/15,(Skills!T16*(1+Inputs!$B$34/100))/Skills!D16)))+((C1042=TRUE)*(F1042-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45">
      <c r="A1045" t="inlineStr">
        <is>
          <t>Global Crit Rate Bonus %</t>
        </is>
      </c>
      <c r="B1045">
        <f>(C1028=TRUE)*20*IF(AND(Inputs!$B$38&lt;&gt;"pvp",Inputs!$B$43&gt;0),(((R1028-1)*(Skills!T17*(1+Inputs!$B$34/100))+MIN((Skills!T17*(1+Inputs!$B$34/100)),MAX(0,Inputs!$B$43-((R1028-1)*Skills!D17))))/Inputs!$B$43),IF(Inputs!$B$38="pvp",MIN((Skills!T17*(1+Inputs!$B$34/100)),15)/15,(Skills!T17*(1+Inputs!$B$34/100))/Skills!D17))</f>
        <v/>
      </c>
    </row>
    <row r="1046">
      <c r="A1046" t="inlineStr">
        <is>
          <t>Attack Speed Buff Bonus %</t>
        </is>
      </c>
      <c r="B1046">
        <f>((C1031=TRUE)*F1031*IF(AND(Inputs!$B$38&lt;&gt;"pvp",Inputs!$B$43&gt;0),(((R1031-1)*(Skills!T20*(1+Inputs!$B$34/100))+MIN((Skills!T20*(1+Inputs!$B$34/100)),MAX(0,Inputs!$B$43-((R1031-1)*Skills!D20))))/Inputs!$B$43),IF(Inputs!$B$38="pvp",MIN((Skills!T20*(1+Inputs!$B$34/100)),15)/15,(Skills!T20*(1+Inputs!$B$34/100))/Skills!D20)))</f>
        <v/>
      </c>
    </row>
    <row r="1047">
      <c r="A1047" t="inlineStr">
        <is>
          <t>Actions Per Second</t>
        </is>
      </c>
      <c r="B1047">
        <f>1+MIN(150,150*(1-(1-(Inputs!$B$11+((C1033=TRUE)*(F1033-Calc!F22))+((C1034=TRUE)*(F1034-Calc!F23)))/150)*(1-B1046/150)))/100</f>
        <v/>
      </c>
    </row>
    <row r="1048">
      <c r="A1048" t="inlineStr">
        <is>
          <t>Skill + Buff Cast Rate</t>
        </is>
      </c>
      <c r="B1048">
        <f>IF(AND(Inputs!$B$38&lt;&gt;"pvp",Inputs!$B$43&gt;0),SUMPRODUCT((Skills!E2:E31=TRUE)*(C1013:C1042=TRUE)*R1013:R1042*Skills!F2:F31)/Inputs!$B$43,SUMPRODUCT((Skills!E2:E31=TRUE)*(C1013:C1042=TRUE)*Q1013:Q1042*Skills!F2:F31))</f>
        <v/>
      </c>
    </row>
    <row r="1049">
      <c r="A1049" t="inlineStr">
        <is>
          <t>Arrow Stream Casts Per Second</t>
        </is>
      </c>
      <c r="B1049">
        <f>MAX(0,B1047-B1048)</f>
        <v/>
      </c>
    </row>
    <row r="1050">
      <c r="A1050" t="inlineStr">
        <is>
          <t>Global Critical Damage Bonus % (Sharp Eyes + Concentration)</t>
        </is>
      </c>
      <c r="B1050">
        <f>(C1028=TRUE)*F1028*IF(AND(Inputs!$B$38&lt;&gt;"pvp",Inputs!$B$43&gt;0),(((R1028-1)*(Skills!T17*(1+Inputs!$B$34/100))+MIN((Skills!T17*(1+Inputs!$B$34/100)),MAX(0,Inputs!$B$43-((R1028-1)*Skills!D17))))/Inputs!$B$43),IF(Inputs!$B$38="pvp",MIN((Skills!T17*(1+Inputs!$B$34/100)),15)/15,(Skills!T17*(1+Inputs!$B$34/100))/Skills!D17))+(C1029=TRUE)*30</f>
        <v/>
      </c>
    </row>
    <row r="1051">
      <c r="A1051" t="inlineStr">
        <is>
          <t>Global Final Damage Bonus % (Mortal Blow)</t>
        </is>
      </c>
      <c r="B1051">
        <f>(C1030=TRUE)*F1030</f>
        <v/>
      </c>
    </row>
    <row r="1052">
      <c r="A1052" t="inlineStr">
        <is>
          <t>Buff-Casting Startup Delay (s, fixed-duration only)</t>
        </is>
      </c>
      <c r="B1052">
        <f>IF(AND(Inputs!$B$38&lt;&gt;"pvp",Inputs!$B$43&gt;0),SUMPRODUCT((Skills!T2:T31&gt;0)*(Skills!E2:E31=TRUE)*(C1013:C1042=TRUE))/B1047,0)</f>
        <v/>
      </c>
    </row>
    <row r="1053">
      <c r="A1053" t="inlineStr">
        <is>
          <t>Boss-Only Total DPS (this block's swept value)</t>
        </is>
      </c>
      <c r="B1053">
        <f>SUM(T1013:T1042)</f>
        <v/>
      </c>
    </row>
    <row r="1054">
      <c r="A1054" t="inlineStr">
        <is>
          <t>Normal-Only Total DPS (this block's swept value)</t>
        </is>
      </c>
      <c r="B1054">
        <f>SUM(V1013:V1042)</f>
        <v/>
      </c>
    </row>
    <row r="1055">
      <c r="A1055" s="6" t="inlineStr">
        <is>
          <t>TOTAL DPS</t>
        </is>
      </c>
      <c r="B1055" s="6">
        <f>SUM(O1013:O1042)</f>
        <v/>
      </c>
    </row>
    <row r="1058">
      <c r="A1058" s="6" t="inlineStr">
        <is>
          <t>Stat: Flat ATTACK</t>
        </is>
      </c>
    </row>
    <row r="1059">
      <c r="A1059" s="5" t="inlineStr">
        <is>
          <t>Key</t>
        </is>
      </c>
      <c r="B1059" s="5" t="inlineStr">
        <is>
          <t>Name</t>
        </is>
      </c>
      <c r="C1059" s="5" t="inlineStr">
        <is>
          <t>Unlocked</t>
        </is>
      </c>
      <c r="D1059" s="5" t="inlineStr">
        <is>
          <t>InputLevel</t>
        </is>
      </c>
      <c r="E1059" s="5" t="inlineStr">
        <is>
          <t>Factor</t>
        </is>
      </c>
      <c r="F1059" s="5" t="inlineStr">
        <is>
          <t>CoefficientPercent</t>
        </is>
      </c>
      <c r="G1059" s="5" t="inlineStr">
        <is>
          <t>EffectiveHits</t>
        </is>
      </c>
      <c r="H1059" s="5" t="inlineStr">
        <is>
          <t>ProcProbability</t>
        </is>
      </c>
      <c r="I1059" s="5" t="inlineStr">
        <is>
          <t>MapleHeroMultiplier</t>
        </is>
      </c>
      <c r="J1059" s="5" t="inlineStr">
        <is>
          <t>BaseDamage</t>
        </is>
      </c>
      <c r="K1059" s="5" t="inlineStr">
        <is>
          <t>BaseHitDamage</t>
        </is>
      </c>
      <c r="L1059" s="5" t="inlineStr">
        <is>
          <t>NonCritAvg</t>
        </is>
      </c>
      <c r="M1059" s="5" t="inlineStr">
        <is>
          <t>CritAvg</t>
        </is>
      </c>
      <c r="N1059" s="5" t="inlineStr">
        <is>
          <t>ExpectedDamage(perHit)</t>
        </is>
      </c>
      <c r="O1059" s="5" t="inlineStr">
        <is>
          <t>DPS</t>
        </is>
      </c>
      <c r="P1059" s="5" t="inlineStr">
        <is>
          <t>% of Total</t>
        </is>
      </c>
      <c r="Q1059" s="5" t="inlineStr">
        <is>
          <t>InvCooldown</t>
        </is>
      </c>
      <c r="R1059" s="5" t="inlineStr">
        <is>
          <t>CastsInFight</t>
        </is>
      </c>
      <c r="S1059" s="5" t="inlineStr">
        <is>
          <t>HitRate(perSec)</t>
        </is>
      </c>
      <c r="U1059" t="inlineStr">
        <is>
          <t>helpers</t>
        </is>
      </c>
    </row>
    <row r="1060">
      <c r="A1060">
        <f>Skills!A2</f>
        <v/>
      </c>
      <c r="B1060">
        <f>Skills!B2</f>
        <v/>
      </c>
      <c r="C1060">
        <f>Inputs!$B$3&gt;=100</f>
        <v/>
      </c>
      <c r="D1060" t="inlineStr"/>
      <c r="E1060" t="inlineStr"/>
      <c r="F1060">
        <f>U1062+Skills!O2</f>
        <v/>
      </c>
      <c r="G1060">
        <f>Skills!G2*IF(Skills!H2&gt;0,Skills!I2/Skills!H2,1)</f>
        <v/>
      </c>
      <c r="H1060">
        <f>1-(1-Skills!J2/100)^Skills!K2</f>
        <v/>
      </c>
      <c r="I1060" t="inlineStr">
        <is>
          <t>1</t>
        </is>
      </c>
      <c r="J1060">
        <f>(((Inputs!$B$6+1)*(1+Inputs!$B$7/100))+(((Inputs!$B$12*(1+Inputs!$B$13/100))-(Inputs!$B$12*(1+Inputs!$B$13/100)))+0.25*(Inputs!$B$14-Inputs!$B$14))*(1+Inputs!$B$7/100))*(F1060/100)</f>
        <v/>
      </c>
      <c r="K1060">
        <f>J1060*(1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1060)</f>
        <v/>
      </c>
      <c r="L1060">
        <f>K1060*(MIN(Inputs!$B$22+((C1083=TRUE)*(F1083-Calc!F25)),(Inputs!$B$23+((C1088=TRUE)*(F1088-Calc!F30))+(IF(ArtifactsInput!$M$15,CHOOSE(ArtifactsInput!$N$15+1,25,30,35,40,45,50)/100*(Inputs!$B$11-Inputs!$B$11),0))))/100+(Inputs!$B$23+((C1088=TRUE)*(F1088-Calc!F30))+(IF(ArtifactsInput!$M$15,CHOOSE(ArtifactsInput!$N$15+1,25,30,35,40,45,50)/100*(Inputs!$B$11-Inputs!$B$11),0)))/100)/2</f>
        <v/>
      </c>
      <c r="M1060">
        <f>L1060*(1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0">
        <f>L1060*(1-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1060*(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0">
        <f>(1-Summary!$B$11)*T1060+Summary!$B$11*V1060</f>
        <v/>
      </c>
      <c r="P1060">
        <f>IF(B1102=0,0,O1060/B1102)</f>
        <v/>
      </c>
      <c r="Q1060" t="n">
        <v>0</v>
      </c>
      <c r="R1060" t="n">
        <v>0</v>
      </c>
      <c r="S1060">
        <f>IFERROR(O1060/N1060,0)</f>
        <v/>
      </c>
      <c r="T1060">
        <f>IF(C1060,(Skills!G2*N1060*B1096)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1060*(1-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1060*(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1060*(1-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1060*(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0">
        <f>MAX(0,(Inputs!$B$3-100)*3)+Inputs!$B$28+Inputs!$B$29</f>
        <v/>
      </c>
      <c r="V1060">
        <f>IF(C1060,(Skills!G2*N1060*B1096)*IF(Inputs!$B$38="pvp",1,(1+(Inputs!$B$21+Skills!Q2+(IF(ArtifactsInput!$M$33,CHOOSE(ArtifactsInput!$N$33+1,30,36,42,48,54,60),0))+(IF(AND(ArtifactsInput!$M$35,Inputs!$B$4&lt;&gt;"Chapter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1">
      <c r="A1061">
        <f>Skills!A3</f>
        <v/>
      </c>
      <c r="B1061">
        <f>Skills!B3</f>
        <v/>
      </c>
      <c r="C1061">
        <f>Inputs!$B$3&gt;=50</f>
        <v/>
      </c>
      <c r="D1061">
        <f>IF(Skills!C3=1,60+Inputs!$B$25+Inputs!$B$29,IF(Skills!C3=2,90+Inputs!$B$26+Inputs!$B$29,IF(Skills!C3=3,120+Inputs!$B$27+Inputs!$B$29,MAX(0,(Inputs!$B$3-100)*3)+Inputs!$B$28+Inputs!$B$29)))</f>
        <v/>
      </c>
      <c r="E1061">
        <f>INDEX(FactorTable!$B$2:$Y$301, MATCH(ROUND(MIN(300,MAX(1,D1061)),0), FactorTable!$A$2:$A$301,0), Skills!M3+1)</f>
        <v/>
      </c>
      <c r="F1061">
        <f>IF(Skills!N3=TRUE,(Skills!L3/10)*(E1061/1000),Skills!L3/10)+Skills!O3</f>
        <v/>
      </c>
      <c r="G1061">
        <f>Skills!G3*IF(Skills!H3&gt;0,Skills!I3/Skills!H3,1)</f>
        <v/>
      </c>
      <c r="H1061">
        <f>1-(1-Skills!J3/100)^Skills!K3</f>
        <v/>
      </c>
      <c r="I1061" t="inlineStr">
        <is>
          <t>1</t>
        </is>
      </c>
      <c r="J1061">
        <f>(((Inputs!$B$6+1)*(1+Inputs!$B$7/100))+(((Inputs!$B$12*(1+Inputs!$B$13/100))-(Inputs!$B$12*(1+Inputs!$B$13/100)))+0.25*(Inputs!$B$14-Inputs!$B$14))*(1+Inputs!$B$7/100))*(F1061/100)</f>
        <v/>
      </c>
      <c r="K1061">
        <f>J1061*(1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1062=TRUE,F1062,0)/100)*(1+(IF(Skills!A3="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1061)</f>
        <v/>
      </c>
      <c r="L1061">
        <f>K1061*(MIN(Inputs!$B$22+((C1083=TRUE)*(F1083-Calc!F25)),(Inputs!$B$23+((C1088=TRUE)*(F1088-Calc!F30))+(IF(ArtifactsInput!$M$15,CHOOSE(ArtifactsInput!$N$15+1,25,30,35,40,45,50)/100*(Inputs!$B$11-Inputs!$B$11),0))))/100+(Inputs!$B$23+((C1088=TRUE)*(F1088-Calc!F30))+(IF(ArtifactsInput!$M$15,CHOOSE(ArtifactsInput!$N$15+1,25,30,35,40,45,50)/100*(Inputs!$B$11-Inputs!$B$11),0)))/100)/2</f>
        <v/>
      </c>
      <c r="M1061">
        <f>L1061*(1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1">
        <f>L1061*(1-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1">
        <f>(1-Summary!$B$11)*T1061+Summary!$B$11*V1061</f>
        <v/>
      </c>
      <c r="P1061">
        <f>IF(B1102=0,0,O1061/B1102)</f>
        <v/>
      </c>
      <c r="Q1061">
        <f>IFERROR(1/(IF(Inputs!$B$38="pvp",15,MAX(0.1,Skills!D3-IF(Skills!E3=TRUE,Inputs!$B$32,0)))*(1-IF(AND(ArtifactsInput!$M$27,Inputs!$B$4="Chapter Hunt"),CHOOSE(ArtifactsInput!$N$27+1,20,24,28,32,36,40),0)/100)),0)</f>
        <v/>
      </c>
      <c r="R1061">
        <f>IF(AND(Inputs!$B$38&lt;&gt;"pvp",Inputs!$B$43&gt;0),IF(MAX(0,Inputs!$B$43-B1099)&lt;=0,0,(INT(MAX(0,Inputs!$B$43-B1099)/(IF(Inputs!$B$38="pvp",15,MAX(0.1,Skills!D3-IF(Skills!E3=TRUE,Inputs!$B$32,0)))*(1-IF(AND(ArtifactsInput!$M$27,Inputs!$B$4="Chapter Hunt"),CHOOSE(ArtifactsInput!$N$27+1,20,24,28,32,36,40),0)/100)))+1)),0)</f>
        <v/>
      </c>
      <c r="S1061">
        <f>IFERROR(O1061/N1061,0)</f>
        <v/>
      </c>
      <c r="T1061">
        <f>IF(C1061,(H1061*N1061*IF(AND(Inputs!$B$38&lt;&gt;"pvp",Inputs!$B$43&gt;0),((Skills!G3*((R1061-1)*IF(Skills!H3&gt;0,Skills!I3/Skills!H3,1)+IF(Skills!H3&gt;0,MIN(Skills!I3,MAX(0,MAX(0,Inputs!$B$43-B1099)-((R1061-1)*(IF(Inputs!$B$38="pvp",15,MAX(0.1,Skills!D3-IF(Skills!E3=TRUE,Inputs!$B$32,0)))*(1-IF(AND(ArtifactsInput!$M$27,Inputs!$B$4="Chapter Hunt"),CHOOSE(ArtifactsInput!$N$27+1,20,24,28,32,36,40),0)/100)))))/Skills!H3,1)))/Inputs!$B$43),G1061*Q1061)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1061*(1-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1061*(1-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1">
        <f>INDEX(FactorTable!$B$2:$Y$301, MATCH(ROUND(MIN(300,MAX(1,U1060)),0), FactorTable!$A$2:$A$301,0), 22)</f>
        <v/>
      </c>
      <c r="V1061">
        <f>IF(C1061,(H1061*N1061*IF(AND(Inputs!$B$38&lt;&gt;"pvp",Inputs!$B$43&gt;0),((Skills!G3*((R1061-1)*IF(Skills!H3&gt;0,Skills!I3/Skills!H3,1)+IF(Skills!H3&gt;0,MIN(Skills!I3,MAX(0,MAX(0,Inputs!$B$43-B1099)-((R1061-1)*(IF(Inputs!$B$38="pvp",15,MAX(0.1,Skills!D3-IF(Skills!E3=TRUE,Inputs!$B$32,0)))*(1-IF(AND(ArtifactsInput!$M$27,Inputs!$B$4="Chapter Hunt"),CHOOSE(ArtifactsInput!$N$27+1,20,24,28,32,36,40),0)/100)))))/Skills!H3,1)))/Inputs!$B$43),G1061*Q1061))*IF(Inputs!$B$38="pvp",1,(1+(Inputs!$B$21+Skills!Q3+(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2">
      <c r="A1062">
        <f>Skills!A4</f>
        <v/>
      </c>
      <c r="B1062">
        <f>Skills!B4</f>
        <v/>
      </c>
      <c r="C1062">
        <f>Inputs!$B$3&gt;=105</f>
        <v/>
      </c>
      <c r="D1062">
        <f>IF(Skills!C4=1,60+Inputs!$B$25+Inputs!$B$29,IF(Skills!C4=2,90+Inputs!$B$26+Inputs!$B$29,IF(Skills!C4=3,120+Inputs!$B$27+Inputs!$B$29,MAX(0,(Inputs!$B$3-100)*3)+Inputs!$B$28+Inputs!$B$29)))</f>
        <v/>
      </c>
      <c r="E1062">
        <f>INDEX(FactorTable!$B$2:$Y$301, MATCH(ROUND(MIN(300,MAX(1,D1062)),0), FactorTable!$A$2:$A$301,0), Skills!M4+1)</f>
        <v/>
      </c>
      <c r="F1062">
        <f>IF(Skills!N4=TRUE,(Skills!L4/10)*(E1062/1000),Skills!L4/10)+Skills!O4</f>
        <v/>
      </c>
      <c r="G1062" t="inlineStr"/>
      <c r="H1062" t="inlineStr"/>
      <c r="I1062" t="inlineStr">
        <is>
          <t>1</t>
        </is>
      </c>
      <c r="J1062" t="inlineStr"/>
      <c r="K1062" t="inlineStr"/>
      <c r="L1062" t="inlineStr"/>
      <c r="M1062" t="inlineStr"/>
      <c r="N1062" t="inlineStr"/>
      <c r="O1062" t="inlineStr"/>
      <c r="P1062" t="inlineStr"/>
      <c r="Q1062" t="inlineStr"/>
      <c r="R1062" t="inlineStr"/>
      <c r="S1062" t="inlineStr"/>
      <c r="T1062" t="inlineStr"/>
      <c r="U1062">
        <f>290*U1061/1000</f>
        <v/>
      </c>
      <c r="V1062" t="inlineStr"/>
    </row>
    <row r="1063">
      <c r="A1063">
        <f>Skills!A5</f>
        <v/>
      </c>
      <c r="B1063">
        <f>Skills!B5</f>
        <v/>
      </c>
      <c r="C1063">
        <f>Inputs!$B$3&gt;=35</f>
        <v/>
      </c>
      <c r="D1063">
        <f>IF(Skills!C5=1,60+Inputs!$B$25+Inputs!$B$29,IF(Skills!C5=2,90+Inputs!$B$26+Inputs!$B$29,IF(Skills!C5=3,120+Inputs!$B$27+Inputs!$B$29,MAX(0,(Inputs!$B$3-100)*3)+Inputs!$B$28+Inputs!$B$29)))</f>
        <v/>
      </c>
      <c r="E1063">
        <f>INDEX(FactorTable!$B$2:$Y$301, MATCH(ROUND(MIN(300,MAX(1,D1063)),0), FactorTable!$A$2:$A$301,0), Skills!M5+1)</f>
        <v/>
      </c>
      <c r="F1063">
        <f>IF(Skills!N5=TRUE,(Skills!L5/10)*(E1063/1000),Skills!L5/10)+Skills!O5</f>
        <v/>
      </c>
      <c r="G1063">
        <f>Skills!G5*IF(Skills!H5&gt;0,Skills!I5/Skills!H5,1)</f>
        <v/>
      </c>
      <c r="H1063">
        <f>1-(1-Skills!J5/100)^Skills!K5</f>
        <v/>
      </c>
      <c r="I1063" t="inlineStr">
        <is>
          <t>1</t>
        </is>
      </c>
      <c r="J1063">
        <f>(((Inputs!$B$6+1)*(1+Inputs!$B$7/100))+(((Inputs!$B$12*(1+Inputs!$B$13/100))-(Inputs!$B$12*(1+Inputs!$B$13/100)))+0.25*(Inputs!$B$14-Inputs!$B$14))*(1+Inputs!$B$7/100))*(F1063/100)</f>
        <v/>
      </c>
      <c r="K1063">
        <f>J1063*(1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1069=TRUE,F1069,0)/100)*(1+(IF(Skills!A5="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1063)</f>
        <v/>
      </c>
      <c r="L1063">
        <f>K1063*(MIN(Inputs!$B$22+((C1083=TRUE)*(F1083-Calc!F25)),(Inputs!$B$23+((C1088=TRUE)*(F1088-Calc!F30))+(IF(ArtifactsInput!$M$15,CHOOSE(ArtifactsInput!$N$15+1,25,30,35,40,45,50)/100*(Inputs!$B$11-Inputs!$B$11),0))))/100+(Inputs!$B$23+((C1088=TRUE)*(F1088-Calc!F30))+(IF(ArtifactsInput!$M$15,CHOOSE(ArtifactsInput!$N$15+1,25,30,35,40,45,50)/100*(Inputs!$B$11-Inputs!$B$11),0)))/100)/2</f>
        <v/>
      </c>
      <c r="M1063">
        <f>L1063*(1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3">
        <f>L1063*(1-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1063*(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3">
        <f>(1-Summary!$B$11)*T1063+Summary!$B$11*V1063</f>
        <v/>
      </c>
      <c r="P1063">
        <f>IF(B1102=0,0,O1063/B1102)</f>
        <v/>
      </c>
      <c r="Q1063">
        <f>IFERROR(1/(IF(Inputs!$B$38="pvp",15,MAX(0.1,Skills!D5-IF(Skills!E5=TRUE,Inputs!$B$32,0)))*(1-IF(AND(ArtifactsInput!$M$27,Inputs!$B$4="Chapter Hunt"),CHOOSE(ArtifactsInput!$N$27+1,20,24,28,32,36,40),0)/100)),0)</f>
        <v/>
      </c>
      <c r="R1063">
        <f>IF(AND(Inputs!$B$38&lt;&gt;"pvp",Inputs!$B$43&gt;0),IF(MAX(0,Inputs!$B$43-B1099)&lt;=0,0,(INT(MAX(0,Inputs!$B$43-B1099)/(IF(Inputs!$B$38="pvp",15,MAX(0.1,Skills!D5-IF(Skills!E5=TRUE,Inputs!$B$32,0)))*(1-IF(AND(ArtifactsInput!$M$27,Inputs!$B$4="Chapter Hunt"),CHOOSE(ArtifactsInput!$N$27+1,20,24,28,32,36,40),0)/100)))+1)),0)</f>
        <v/>
      </c>
      <c r="S1063">
        <f>IFERROR(O1063/N1063,0)</f>
        <v/>
      </c>
      <c r="T1063">
        <f>IF(C1063,(H1063*N1063*IF(AND(Inputs!$B$38&lt;&gt;"pvp",Inputs!$B$43&gt;0),((Skills!G5*((R1063-1)*IF(Skills!H5&gt;0,Skills!I5/Skills!H5,1)+IF(Skills!H5&gt;0,MIN(Skills!I5,MAX(0,MAX(0,Inputs!$B$43-B1099)-((R1063-1)*(IF(Inputs!$B$38="pvp",15,MAX(0.1,Skills!D5-IF(Skills!E5=TRUE,Inputs!$B$32,0)))*(1-IF(AND(ArtifactsInput!$M$27,Inputs!$B$4="Chapter Hunt"),CHOOSE(ArtifactsInput!$N$27+1,20,24,28,32,36,40),0)/100)))))/Skills!H5,1)))/Inputs!$B$43),G1063*Q1063)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1063*(1-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1063*(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1063*(1-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1063*(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3">
        <f>IF(C1063,(H1063*N1063*IF(AND(Inputs!$B$38&lt;&gt;"pvp",Inputs!$B$43&gt;0),((Skills!G5*((R1063-1)*IF(Skills!H5&gt;0,Skills!I5/Skills!H5,1)+IF(Skills!H5&gt;0,MIN(Skills!I5,MAX(0,MAX(0,Inputs!$B$43-B1099)-((R1063-1)*(IF(Inputs!$B$38="pvp",15,MAX(0.1,Skills!D5-IF(Skills!E5=TRUE,Inputs!$B$32,0)))*(1-IF(AND(ArtifactsInput!$M$27,Inputs!$B$4="Chapter Hunt"),CHOOSE(ArtifactsInput!$N$27+1,20,24,28,32,36,40),0)/100)))))/Skills!H5,1)))/Inputs!$B$43),G1063*Q1063))*IF(Inputs!$B$38="pvp",1,(1+(Inputs!$B$21+Skills!Q5+(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4">
      <c r="A1064">
        <f>Skills!A6</f>
        <v/>
      </c>
      <c r="B1064">
        <f>Skills!B6</f>
        <v/>
      </c>
      <c r="C1064">
        <f>Inputs!$B$3&gt;=40</f>
        <v/>
      </c>
      <c r="D1064">
        <f>IF(Skills!C6=1,60+Inputs!$B$25+Inputs!$B$29,IF(Skills!C6=2,90+Inputs!$B$26+Inputs!$B$29,IF(Skills!C6=3,120+Inputs!$B$27+Inputs!$B$29,MAX(0,(Inputs!$B$3-100)*3)+Inputs!$B$28+Inputs!$B$29)))</f>
        <v/>
      </c>
      <c r="E1064">
        <f>INDEX(FactorTable!$B$2:$Y$301, MATCH(ROUND(MIN(300,MAX(1,D1064)),0), FactorTable!$A$2:$A$301,0), Skills!M6+1)</f>
        <v/>
      </c>
      <c r="F1064">
        <f>IF(Skills!N6=TRUE,(Skills!L6/10)*(E1064/1000),Skills!L6/10)+Skills!O6</f>
        <v/>
      </c>
      <c r="G1064">
        <f>Skills!G6*IF(Skills!H6&gt;0,Skills!I6/Skills!H6,1)</f>
        <v/>
      </c>
      <c r="H1064">
        <f>1-(1-Skills!J6/100)^Skills!K6</f>
        <v/>
      </c>
      <c r="I1064" t="inlineStr">
        <is>
          <t>1</t>
        </is>
      </c>
      <c r="J1064">
        <f>(((Inputs!$B$6+1)*(1+Inputs!$B$7/100))+(((Inputs!$B$12*(1+Inputs!$B$13/100))-(Inputs!$B$12*(1+Inputs!$B$13/100)))+0.25*(Inputs!$B$14-Inputs!$B$14))*(1+Inputs!$B$7/100))*(F1064/100)</f>
        <v/>
      </c>
      <c r="K1064">
        <f>J1064*(1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1065=TRUE,F1065,0)/100)*(1+(IF(Skills!A6="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1064)</f>
        <v/>
      </c>
      <c r="L1064">
        <f>K1064*(MIN(Inputs!$B$22+((C1083=TRUE)*(F1083-Calc!F25)),(Inputs!$B$23+((C1088=TRUE)*(F1088-Calc!F30))+(IF(ArtifactsInput!$M$15,CHOOSE(ArtifactsInput!$N$15+1,25,30,35,40,45,50)/100*(Inputs!$B$11-Inputs!$B$11),0))))/100+(Inputs!$B$23+((C1088=TRUE)*(F1088-Calc!F30))+(IF(ArtifactsInput!$M$15,CHOOSE(ArtifactsInput!$N$15+1,25,30,35,40,45,50)/100*(Inputs!$B$11-Inputs!$B$11),0)))/100)/2</f>
        <v/>
      </c>
      <c r="M1064">
        <f>L1064*(1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4">
        <f>L1064*(1-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1064*(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4">
        <f>(1-Summary!$B$11)*T1064+Summary!$B$11*V1064</f>
        <v/>
      </c>
      <c r="P1064">
        <f>IF(B1102=0,0,O1064/B1102)</f>
        <v/>
      </c>
      <c r="Q1064">
        <f>IFERROR(1/(IF(Inputs!$B$38="pvp",15,MAX(0.1,Skills!D6-IF(Skills!E6=TRUE,Inputs!$B$32,0)))*(1-IF(AND(ArtifactsInput!$M$27,Inputs!$B$4="Chapter Hunt"),CHOOSE(ArtifactsInput!$N$27+1,20,24,28,32,36,40),0)/100)),0)</f>
        <v/>
      </c>
      <c r="R1064">
        <f>IF(AND(Inputs!$B$38&lt;&gt;"pvp",Inputs!$B$43&gt;0),IF(MAX(0,Inputs!$B$43-B1099)&lt;=0,0,(INT(MAX(0,Inputs!$B$43-B1099)/(IF(Inputs!$B$38="pvp",15,MAX(0.1,Skills!D6-IF(Skills!E6=TRUE,Inputs!$B$32,0)))*(1-IF(AND(ArtifactsInput!$M$27,Inputs!$B$4="Chapter Hunt"),CHOOSE(ArtifactsInput!$N$27+1,20,24,28,32,36,40),0)/100)))+1)),0)</f>
        <v/>
      </c>
      <c r="S1064">
        <f>IFERROR(O1064/N1064,0)</f>
        <v/>
      </c>
      <c r="T1064">
        <f>IF(C1064,(H1064*N1064*IF(AND(Inputs!$B$38&lt;&gt;"pvp",Inputs!$B$43&gt;0),((Skills!G6*((R1064-1)*IF(Skills!H6&gt;0,Skills!I6/Skills!H6,1)+IF(Skills!H6&gt;0,MIN(Skills!I6,MAX(0,MAX(0,Inputs!$B$43-B1099)-((R1064-1)*(IF(Inputs!$B$38="pvp",15,MAX(0.1,Skills!D6-IF(Skills!E6=TRUE,Inputs!$B$32,0)))*(1-IF(AND(ArtifactsInput!$M$27,Inputs!$B$4="Chapter Hunt"),CHOOSE(ArtifactsInput!$N$27+1,20,24,28,32,36,40),0)/100)))))/Skills!H6,1)))/Inputs!$B$43),G1064*Q1064)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1064*(1-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1064*(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1064*(1-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1064*(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4">
        <f>IF(C1064,(H1064*N1064*IF(AND(Inputs!$B$38&lt;&gt;"pvp",Inputs!$B$43&gt;0),((Skills!G6*((R1064-1)*IF(Skills!H6&gt;0,Skills!I6/Skills!H6,1)+IF(Skills!H6&gt;0,MIN(Skills!I6,MAX(0,MAX(0,Inputs!$B$43-B1099)-((R1064-1)*(IF(Inputs!$B$38="pvp",15,MAX(0.1,Skills!D6-IF(Skills!E6=TRUE,Inputs!$B$32,0)))*(1-IF(AND(ArtifactsInput!$M$27,Inputs!$B$4="Chapter Hunt"),CHOOSE(ArtifactsInput!$N$27+1,20,24,28,32,36,40),0)/100)))))/Skills!H6,1)))/Inputs!$B$43),G1064*Q1064))*IF(Inputs!$B$38="pvp",1,(1+(Inputs!$B$21+Skills!Q6+(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5">
      <c r="A1065">
        <f>Skills!A7</f>
        <v/>
      </c>
      <c r="B1065">
        <f>Skills!B7</f>
        <v/>
      </c>
      <c r="C1065">
        <f>Inputs!$B$3&gt;=107</f>
        <v/>
      </c>
      <c r="D1065">
        <f>IF(Skills!C7=1,60+Inputs!$B$25+Inputs!$B$29,IF(Skills!C7=2,90+Inputs!$B$26+Inputs!$B$29,IF(Skills!C7=3,120+Inputs!$B$27+Inputs!$B$29,MAX(0,(Inputs!$B$3-100)*3)+Inputs!$B$28+Inputs!$B$29)))</f>
        <v/>
      </c>
      <c r="E1065">
        <f>INDEX(FactorTable!$B$2:$Y$301, MATCH(ROUND(MIN(300,MAX(1,D1065)),0), FactorTable!$A$2:$A$301,0), Skills!M7+1)</f>
        <v/>
      </c>
      <c r="F1065">
        <f>IF(Skills!N7=TRUE,(Skills!L7/10)*(E1065/1000),Skills!L7/10)+Skills!O7</f>
        <v/>
      </c>
      <c r="G1065" t="inlineStr"/>
      <c r="H1065" t="inlineStr"/>
      <c r="I1065" t="inlineStr">
        <is>
          <t>1</t>
        </is>
      </c>
      <c r="J1065" t="inlineStr"/>
      <c r="K1065" t="inlineStr"/>
      <c r="L1065" t="inlineStr"/>
      <c r="M1065" t="inlineStr"/>
      <c r="N1065" t="inlineStr"/>
      <c r="O1065" t="inlineStr"/>
      <c r="P1065" t="inlineStr"/>
      <c r="Q1065" t="inlineStr"/>
      <c r="R1065" t="inlineStr"/>
      <c r="S1065" t="inlineStr"/>
      <c r="T1065" t="inlineStr"/>
      <c r="V1065" t="inlineStr"/>
    </row>
    <row r="1066">
      <c r="A1066">
        <f>Skills!A8</f>
        <v/>
      </c>
      <c r="B1066">
        <f>Skills!B8</f>
        <v/>
      </c>
      <c r="C1066">
        <f>Inputs!$B$3&gt;=69</f>
        <v/>
      </c>
      <c r="D1066">
        <f>IF(Skills!C8=1,60+Inputs!$B$25+Inputs!$B$29,IF(Skills!C8=2,90+Inputs!$B$26+Inputs!$B$29,IF(Skills!C8=3,120+Inputs!$B$27+Inputs!$B$29,MAX(0,(Inputs!$B$3-100)*3)+Inputs!$B$28+Inputs!$B$29)))</f>
        <v/>
      </c>
      <c r="E1066">
        <f>INDEX(FactorTable!$B$2:$Y$301, MATCH(ROUND(MIN(300,MAX(1,D1066)),0), FactorTable!$A$2:$A$301,0), Skills!M8+1)</f>
        <v/>
      </c>
      <c r="F1066">
        <f>IF(Skills!N8=TRUE,(Skills!L8/10)*(E1066/1000),Skills!L8/10)+Skills!O8</f>
        <v/>
      </c>
      <c r="G1066">
        <f>Skills!G8*IF(Skills!H8&gt;0,Skills!I8/Skills!H8,1)</f>
        <v/>
      </c>
      <c r="H1066">
        <f>1-(1-Skills!J8/100)^Skills!K8</f>
        <v/>
      </c>
      <c r="I1066" t="inlineStr">
        <is>
          <t>1</t>
        </is>
      </c>
      <c r="J1066">
        <f>(((Inputs!$B$6+1)*(1+Inputs!$B$7/100))+(((Inputs!$B$12*(1+Inputs!$B$13/100))-(Inputs!$B$12*(1+Inputs!$B$13/100)))+0.25*(Inputs!$B$14-Inputs!$B$14))*(1+Inputs!$B$7/100))*(F1066/100)</f>
        <v/>
      </c>
      <c r="K1066">
        <f>J1066*(1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1069=TRUE,F1069,0)/100)*(1+(IF(Skills!A8="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1066)</f>
        <v/>
      </c>
      <c r="L1066">
        <f>K1066*(MIN(Inputs!$B$22+((C1083=TRUE)*(F1083-Calc!F25)),(Inputs!$B$23+((C1088=TRUE)*(F1088-Calc!F30))+(IF(ArtifactsInput!$M$15,CHOOSE(ArtifactsInput!$N$15+1,25,30,35,40,45,50)/100*(Inputs!$B$11-Inputs!$B$11),0))))/100+(Inputs!$B$23+((C1088=TRUE)*(F1088-Calc!F30))+(IF(ArtifactsInput!$M$15,CHOOSE(ArtifactsInput!$N$15+1,25,30,35,40,45,50)/100*(Inputs!$B$11-Inputs!$B$11),0)))/100)/2</f>
        <v/>
      </c>
      <c r="M1066">
        <f>L1066*(1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6">
        <f>L1066*(1-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1066*(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6">
        <f>(1-Summary!$B$11)*T1066+Summary!$B$11*V1066</f>
        <v/>
      </c>
      <c r="P1066">
        <f>IF(B1102=0,0,O1066/B1102)</f>
        <v/>
      </c>
      <c r="Q1066">
        <f>IFERROR(1/(IF(Inputs!$B$38="pvp",15,MAX(0.1,Skills!D8-IF(Skills!E8=TRUE,Inputs!$B$32,0)))*(1-IF(AND(ArtifactsInput!$M$27,Inputs!$B$4="Chapter Hunt"),CHOOSE(ArtifactsInput!$N$27+1,20,24,28,32,36,40),0)/100)),0)</f>
        <v/>
      </c>
      <c r="R1066">
        <f>IF(AND(Inputs!$B$38&lt;&gt;"pvp",Inputs!$B$43&gt;0),IF(MAX(0,Inputs!$B$43-B1099)&lt;=0,0,(INT(MAX(0,Inputs!$B$43-B1099)/(IF(Inputs!$B$38="pvp",15,MAX(0.1,Skills!D8-IF(Skills!E8=TRUE,Inputs!$B$32,0)))*(1-IF(AND(ArtifactsInput!$M$27,Inputs!$B$4="Chapter Hunt"),CHOOSE(ArtifactsInput!$N$27+1,20,24,28,32,36,40),0)/100)))+1)),0)</f>
        <v/>
      </c>
      <c r="S1066">
        <f>IFERROR(O1066/N1066,0)</f>
        <v/>
      </c>
      <c r="T1066">
        <f>IF(C1066,(H1066*N1066*IF(AND(Inputs!$B$38&lt;&gt;"pvp",Inputs!$B$43&gt;0),((Skills!G8*((R1066-1)*IF(Skills!H8&gt;0,Skills!I8/Skills!H8,1)+IF(Skills!H8&gt;0,MIN(Skills!I8,MAX(0,MAX(0,Inputs!$B$43-B1099)-((R1066-1)*(IF(Inputs!$B$38="pvp",15,MAX(0.1,Skills!D8-IF(Skills!E8=TRUE,Inputs!$B$32,0)))*(1-IF(AND(ArtifactsInput!$M$27,Inputs!$B$4="Chapter Hunt"),CHOOSE(ArtifactsInput!$N$27+1,20,24,28,32,36,40),0)/100)))))/Skills!H8,1)))/Inputs!$B$43),G1066*Q1066)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1066*(1-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1066*(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1066*(1-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1066*(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6">
        <f>IF(C1066,(H1066*N1066*IF(AND(Inputs!$B$38&lt;&gt;"pvp",Inputs!$B$43&gt;0),((Skills!G8*((R1066-1)*IF(Skills!H8&gt;0,Skills!I8/Skills!H8,1)+IF(Skills!H8&gt;0,MIN(Skills!I8,MAX(0,MAX(0,Inputs!$B$43-B1099)-((R1066-1)*(IF(Inputs!$B$38="pvp",15,MAX(0.1,Skills!D8-IF(Skills!E8=TRUE,Inputs!$B$32,0)))*(1-IF(AND(ArtifactsInput!$M$27,Inputs!$B$4="Chapter Hunt"),CHOOSE(ArtifactsInput!$N$27+1,20,24,28,32,36,40),0)/100)))))/Skills!H8,1)))/Inputs!$B$43),G1066*Q1066))*IF(Inputs!$B$38="pvp",1,(1+(Inputs!$B$21+Skills!Q8+(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7">
      <c r="A1067">
        <f>Skills!A9</f>
        <v/>
      </c>
      <c r="B1067">
        <f>Skills!B9</f>
        <v/>
      </c>
      <c r="C1067">
        <f>Inputs!$B$3&gt;=63</f>
        <v/>
      </c>
      <c r="D1067">
        <f>IF(Skills!C9=1,60+Inputs!$B$25+Inputs!$B$29,IF(Skills!C9=2,90+Inputs!$B$26+Inputs!$B$29,IF(Skills!C9=3,120+Inputs!$B$27+Inputs!$B$29,MAX(0,(Inputs!$B$3-100)*3)+Inputs!$B$28+Inputs!$B$29)))</f>
        <v/>
      </c>
      <c r="E1067">
        <f>INDEX(FactorTable!$B$2:$Y$301, MATCH(ROUND(MIN(300,MAX(1,D1067)),0), FactorTable!$A$2:$A$301,0), Skills!M9+1)</f>
        <v/>
      </c>
      <c r="F1067">
        <f>IF(Skills!N9=TRUE,(Skills!L9/10)*(E1067/1000),Skills!L9/10)+Skills!O9</f>
        <v/>
      </c>
      <c r="G1067">
        <f>Skills!G9*IF(Skills!H9&gt;0,Skills!I9/Skills!H9,1)</f>
        <v/>
      </c>
      <c r="H1067">
        <f>1-(1-Skills!J9/100)^Skills!K9</f>
        <v/>
      </c>
      <c r="I1067" t="inlineStr">
        <is>
          <t>1</t>
        </is>
      </c>
      <c r="J1067">
        <f>(((Inputs!$B$6+1)*(1+Inputs!$B$7/100))+(((Inputs!$B$12*(1+Inputs!$B$13/100))-(Inputs!$B$12*(1+Inputs!$B$13/100)))+0.25*(Inputs!$B$14-Inputs!$B$14))*(1+Inputs!$B$7/100))*(F1067/100)</f>
        <v/>
      </c>
      <c r="K1067">
        <f>J1067*(1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1069=TRUE,F1069,0)/100)*(1+(IF(Skills!A9="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1067)</f>
        <v/>
      </c>
      <c r="L1067">
        <f>K1067*(MIN(Inputs!$B$22+((C1083=TRUE)*(F1083-Calc!F25)),(Inputs!$B$23+((C1088=TRUE)*(F1088-Calc!F30))+(IF(ArtifactsInput!$M$15,CHOOSE(ArtifactsInput!$N$15+1,25,30,35,40,45,50)/100*(Inputs!$B$11-Inputs!$B$11),0))))/100+(Inputs!$B$23+((C1088=TRUE)*(F1088-Calc!F30))+(IF(ArtifactsInput!$M$15,CHOOSE(ArtifactsInput!$N$15+1,25,30,35,40,45,50)/100*(Inputs!$B$11-Inputs!$B$11),0)))/100)/2</f>
        <v/>
      </c>
      <c r="M1067">
        <f>L1067*(1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7">
        <f>L1067*(1-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1067*(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7">
        <f>(1-Summary!$B$11)*T1067+Summary!$B$11*V1067</f>
        <v/>
      </c>
      <c r="P1067">
        <f>IF(B1102=0,0,O1067/B1102)</f>
        <v/>
      </c>
      <c r="Q1067">
        <f>IFERROR(1/(IF(Inputs!$B$38="pvp",15,MAX(0.1,Skills!D9-IF(Skills!E9=TRUE,Inputs!$B$32,0)))*(1-IF(AND(ArtifactsInput!$M$27,Inputs!$B$4="Chapter Hunt"),CHOOSE(ArtifactsInput!$N$27+1,20,24,28,32,36,40),0)/100)),0)</f>
        <v/>
      </c>
      <c r="R1067">
        <f>IF(AND(Inputs!$B$38&lt;&gt;"pvp",Inputs!$B$43&gt;0),IF(MAX(0,Inputs!$B$43-B1099)&lt;=0,0,(INT(MAX(0,Inputs!$B$43-B1099)/(IF(Inputs!$B$38="pvp",15,MAX(0.1,Skills!D9-IF(Skills!E9=TRUE,Inputs!$B$32,0)))*(1-IF(AND(ArtifactsInput!$M$27,Inputs!$B$4="Chapter Hunt"),CHOOSE(ArtifactsInput!$N$27+1,20,24,28,32,36,40),0)/100)))+1)),0)</f>
        <v/>
      </c>
      <c r="S1067">
        <f>IFERROR(O1067/N1067,0)</f>
        <v/>
      </c>
      <c r="T1067">
        <f>IF(C1067,(H1067*N1067*IF(AND(Inputs!$B$38&lt;&gt;"pvp",Inputs!$B$43&gt;0),((Skills!G9*((R1067-1)*IF(Skills!H9&gt;0,Skills!I9/Skills!H9,1)+IF(Skills!H9&gt;0,MIN(Skills!I9,MAX(0,MAX(0,Inputs!$B$43-B1099)-((R1067-1)*(IF(Inputs!$B$38="pvp",15,MAX(0.1,Skills!D9-IF(Skills!E9=TRUE,Inputs!$B$32,0)))*(1-IF(AND(ArtifactsInput!$M$27,Inputs!$B$4="Chapter Hunt"),CHOOSE(ArtifactsInput!$N$27+1,20,24,28,32,36,40),0)/100)))))/Skills!H9,1)))/Inputs!$B$43),G1067*Q1067)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1067*(1-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1067*(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1067*(1-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1067*(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7">
        <f>IF(C1067,(H1067*N1067*IF(AND(Inputs!$B$38&lt;&gt;"pvp",Inputs!$B$43&gt;0),((Skills!G9*((R1067-1)*IF(Skills!H9&gt;0,Skills!I9/Skills!H9,1)+IF(Skills!H9&gt;0,MIN(Skills!I9,MAX(0,MAX(0,Inputs!$B$43-B1099)-((R1067-1)*(IF(Inputs!$B$38="pvp",15,MAX(0.1,Skills!D9-IF(Skills!E9=TRUE,Inputs!$B$32,0)))*(1-IF(AND(ArtifactsInput!$M$27,Inputs!$B$4="Chapter Hunt"),CHOOSE(ArtifactsInput!$N$27+1,20,24,28,32,36,40),0)/100)))))/Skills!H9,1)))/Inputs!$B$43),G1067*Q1067))*IF(Inputs!$B$38="pvp",1,(1+(Inputs!$B$21+Skills!Q9+(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8">
      <c r="A1068">
        <f>Skills!A10</f>
        <v/>
      </c>
      <c r="B1068">
        <f>Skills!B10</f>
        <v/>
      </c>
      <c r="C1068">
        <f>Inputs!$B$3&gt;=103</f>
        <v/>
      </c>
      <c r="D1068">
        <f>IF(Skills!C10=1,60+Inputs!$B$25+Inputs!$B$29,IF(Skills!C10=2,90+Inputs!$B$26+Inputs!$B$29,IF(Skills!C10=3,120+Inputs!$B$27+Inputs!$B$29,MAX(0,(Inputs!$B$3-100)*3)+Inputs!$B$28+Inputs!$B$29)))</f>
        <v/>
      </c>
      <c r="E1068">
        <f>INDEX(FactorTable!$B$2:$Y$301, MATCH(ROUND(MIN(300,MAX(1,D1068)),0), FactorTable!$A$2:$A$301,0), Skills!M10+1)</f>
        <v/>
      </c>
      <c r="F1068">
        <f>IF(Skills!N10=TRUE,(Skills!L10/10)*(E1068/1000),Skills!L10/10)+Skills!O10</f>
        <v/>
      </c>
      <c r="G1068">
        <f>Skills!G10*IF(Skills!H10&gt;0,Skills!I10/Skills!H10,1)</f>
        <v/>
      </c>
      <c r="H1068">
        <f>1-(1-Skills!J10/100)^Skills!K10</f>
        <v/>
      </c>
      <c r="I1068" t="inlineStr">
        <is>
          <t>1</t>
        </is>
      </c>
      <c r="J1068">
        <f>(((Inputs!$B$6+1)*(1+Inputs!$B$7/100))+(((Inputs!$B$12*(1+Inputs!$B$13/100))-(Inputs!$B$12*(1+Inputs!$B$13/100)))+0.25*(Inputs!$B$14-Inputs!$B$14))*(1+Inputs!$B$7/100))*(F1068/100)</f>
        <v/>
      </c>
      <c r="K1068">
        <f>J1068*(1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1068)</f>
        <v/>
      </c>
      <c r="L1068">
        <f>K1068*(MIN(Inputs!$B$22+((C1083=TRUE)*(F1083-Calc!F25)),(Inputs!$B$23+((C1088=TRUE)*(F1088-Calc!F30))+(IF(ArtifactsInput!$M$15,CHOOSE(ArtifactsInput!$N$15+1,25,30,35,40,45,50)/100*(Inputs!$B$11-Inputs!$B$11),0))))/100+(Inputs!$B$23+((C1088=TRUE)*(F1088-Calc!F30))+(IF(ArtifactsInput!$M$15,CHOOSE(ArtifactsInput!$N$15+1,25,30,35,40,45,50)/100*(Inputs!$B$11-Inputs!$B$11),0)))/100)/2</f>
        <v/>
      </c>
      <c r="M1068">
        <f>L1068*(1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8">
        <f>L1068*(1-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1068*(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8">
        <f>(1-Summary!$B$11)*T1068+Summary!$B$11*V1068</f>
        <v/>
      </c>
      <c r="P1068">
        <f>IF(B1102=0,0,O1068/B1102)</f>
        <v/>
      </c>
      <c r="Q1068">
        <f>IFERROR(1/(IF(Inputs!$B$38="pvp",15,MAX(0.1,Skills!D10-IF(Skills!E10=TRUE,Inputs!$B$32,0)))*(1-IF(AND(ArtifactsInput!$M$27,Inputs!$B$4="Chapter Hunt"),CHOOSE(ArtifactsInput!$N$27+1,20,24,28,32,36,40),0)/100)),0)</f>
        <v/>
      </c>
      <c r="R1068">
        <f>IF(AND(Inputs!$B$38&lt;&gt;"pvp",Inputs!$B$43&gt;0),IF(MAX(0,Inputs!$B$43-B1099)&lt;=0,0,(INT(MAX(0,Inputs!$B$43-B1099)/(IF(Inputs!$B$38="pvp",15,MAX(0.1,Skills!D10-IF(Skills!E10=TRUE,Inputs!$B$32,0)))*(1-IF(AND(ArtifactsInput!$M$27,Inputs!$B$4="Chapter Hunt"),CHOOSE(ArtifactsInput!$N$27+1,20,24,28,32,36,40),0)/100)))+1)),0)</f>
        <v/>
      </c>
      <c r="S1068">
        <f>IFERROR(O1068/N1068,0)</f>
        <v/>
      </c>
      <c r="T1068">
        <f>IF(C1068,(H1068*N1068*IF(AND(Inputs!$B$38&lt;&gt;"pvp",Inputs!$B$43&gt;0),((Skills!G10*((R1068-1)*IF(Skills!H10&gt;0,Skills!I10/Skills!H10,1)+IF(Skills!H10&gt;0,MIN(Skills!I10,MAX(0,MAX(0,Inputs!$B$43-B1099)-((R1068-1)*(IF(Inputs!$B$38="pvp",15,MAX(0.1,Skills!D10-IF(Skills!E10=TRUE,Inputs!$B$32,0)))*(1-IF(AND(ArtifactsInput!$M$27,Inputs!$B$4="Chapter Hunt"),CHOOSE(ArtifactsInput!$N$27+1,20,24,28,32,36,40),0)/100)))))/Skills!H10,1)))/Inputs!$B$43),G1068*Q1068)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1068*(1-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1068*(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1068*(1-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1068*(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8">
        <f>IF(C1068,(H1068*N1068*IF(AND(Inputs!$B$38&lt;&gt;"pvp",Inputs!$B$43&gt;0),((Skills!G10*((R1068-1)*IF(Skills!H10&gt;0,Skills!I10/Skills!H10,1)+IF(Skills!H10&gt;0,MIN(Skills!I10,MAX(0,MAX(0,Inputs!$B$43-B1099)-((R1068-1)*(IF(Inputs!$B$38="pvp",15,MAX(0.1,Skills!D10-IF(Skills!E10=TRUE,Inputs!$B$32,0)))*(1-IF(AND(ArtifactsInput!$M$27,Inputs!$B$4="Chapter Hunt"),CHOOSE(ArtifactsInput!$N$27+1,20,24,28,32,36,40),0)/100)))))/Skills!H10,1)))/Inputs!$B$43),G1068*Q1068))*IF(Inputs!$B$38="pvp",1,(1+(Inputs!$B$21+Skills!Q10+(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9">
      <c r="A1069">
        <f>Skills!A11</f>
        <v/>
      </c>
      <c r="B1069">
        <f>Skills!B11</f>
        <v/>
      </c>
      <c r="C1069">
        <f>Inputs!$B$3&gt;=100</f>
        <v/>
      </c>
      <c r="D1069">
        <f>IF(Skills!C11=1,60+Inputs!$B$25+Inputs!$B$29,IF(Skills!C11=2,90+Inputs!$B$26+Inputs!$B$29,IF(Skills!C11=3,120+Inputs!$B$27+Inputs!$B$29,MAX(0,(Inputs!$B$3-100)*3)+Inputs!$B$28+Inputs!$B$29)))</f>
        <v/>
      </c>
      <c r="E1069">
        <f>INDEX(FactorTable!$B$2:$Y$301, MATCH(ROUND(MIN(300,MAX(1,D1069)),0), FactorTable!$A$2:$A$301,0), Skills!M11+1)</f>
        <v/>
      </c>
      <c r="F1069">
        <f>IF(Skills!N11=TRUE,(Skills!L11/10)*(E1069/1000),Skills!L11/10)+Skills!O11</f>
        <v/>
      </c>
      <c r="G1069" t="inlineStr"/>
      <c r="H1069" t="inlineStr"/>
      <c r="I1069" t="inlineStr">
        <is>
          <t>1</t>
        </is>
      </c>
      <c r="J1069" t="inlineStr"/>
      <c r="K1069" t="inlineStr"/>
      <c r="L1069" t="inlineStr"/>
      <c r="M1069" t="inlineStr"/>
      <c r="N1069" t="inlineStr"/>
      <c r="O1069" t="inlineStr"/>
      <c r="P1069" t="inlineStr"/>
      <c r="Q1069" t="inlineStr"/>
      <c r="R1069" t="inlineStr"/>
      <c r="S1069" t="inlineStr"/>
      <c r="T1069" t="inlineStr"/>
      <c r="V1069" t="inlineStr"/>
    </row>
    <row r="1070">
      <c r="A1070">
        <f>Skills!A12</f>
        <v/>
      </c>
      <c r="B1070">
        <f>Skills!B12</f>
        <v/>
      </c>
      <c r="C1070">
        <f>Inputs!$B$3&gt;=60</f>
        <v/>
      </c>
      <c r="D1070">
        <f>IF(Skills!C12=1,60+Inputs!$B$25+Inputs!$B$29,IF(Skills!C12=2,90+Inputs!$B$26+Inputs!$B$29,IF(Skills!C12=3,120+Inputs!$B$27+Inputs!$B$29,MAX(0,(Inputs!$B$3-100)*3)+Inputs!$B$28+Inputs!$B$29)))</f>
        <v/>
      </c>
      <c r="E1070">
        <f>INDEX(FactorTable!$B$2:$Y$301, MATCH(ROUND(MIN(300,MAX(1,D1070)),0), FactorTable!$A$2:$A$301,0), Skills!M12+1)</f>
        <v/>
      </c>
      <c r="F1070">
        <f>IF(Skills!N12=TRUE,(Skills!L12/10)*(E1070/1000),Skills!L12/10)+Skills!O12</f>
        <v/>
      </c>
      <c r="G1070">
        <f>Skills!G12*IF(Skills!H12&gt;0,Skills!I12/Skills!H12,1)</f>
        <v/>
      </c>
      <c r="H1070">
        <f>1-(1-Skills!J12/100)^Skills!K12</f>
        <v/>
      </c>
      <c r="I1070" t="inlineStr">
        <is>
          <t>1</t>
        </is>
      </c>
      <c r="J1070">
        <f>(((Inputs!$B$6+1)*(1+Inputs!$B$7/100))+(((Inputs!$B$12*(1+Inputs!$B$13/100))-(Inputs!$B$12*(1+Inputs!$B$13/100)))+0.25*(Inputs!$B$14-Inputs!$B$14))*(1+Inputs!$B$7/100))*(F1070/100)</f>
        <v/>
      </c>
      <c r="K1070">
        <f>J1070*(1+((Inputs!$B$12*(1+Inputs!$B$13/100))*0.01+Inputs!$B$14*0.0025)/100)*(1+Inputs!$B$15/100)*(1+Inputs!$B$16/100)*(5000/(6000+Inputs!$B$42*(1-(100*(1-(1-(Inputs!$B$19+((C1086=TRUE)*(F1086-Calc!F28)))/100)*(1-CHOOSE(ArtifactsInput!$N$40+1,5,6,7,8,9,10)/100)^(ArtifactsInput!$M$40-ArtifactsInput!$M$40)))/100)))*(1+(Inputs!$B$24+((C1084=TRUE)*(F1084-Calc!F26))+((C1085=TRUE)*(F1085-Calc!F27))+B1098)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1071=TRUE,F1071,0)/100)*(1+(IF(Skills!A12="ARROW_STREAM",Inputs!$B$17+((C1082=TRUE)*(F1082-Calc!F24))+(((IF(AND(ArtifactsInput!$M$42,((Inputs!$B$9+((C1079=TRUE)*(F1079-Calc!F21))+B1092+(ArtifactsInput!$M$24-ArtifactsInput!$M$24)*CHOOSE(ArtifactsInput!$N$24+1,10,12,14,16,18,20)+IF(ArtifactsInput!$M$10,CHOOSE(ArtifactsInput!$N$10+1,15,18,21,24,27,30)*(IF(Inputs!$B$38="pvp",MIN(15,15)/15,IF(AND(Inputs!$B$38&lt;&gt;"pvp",Inputs!$B$43&gt;0),MIN(15,Inputs!$B$43)/(Inputs!$B$43),0))),0)))&gt;=100),MIN(100,((Inputs!$B$9+((C1079=TRUE)*(F1079-Calc!F21))+B1092+(ArtifactsInput!$M$24-ArtifactsInput!$M$24)*CHOOSE(ArtifactsInput!$N$24+1,10,12,14,16,18,20)+IF(ArtifactsInput!$M$10,CHOOSE(ArtifactsInput!$N$10+1,15,18,21,24,27,30)*(IF(Inputs!$B$38="pvp",MIN(15,15)/15,IF(AND(Inputs!$B$38&lt;&gt;"pvp",Inputs!$B$43&gt;0),MIN(15,Inputs!$B$43)/(Inputs!$B$43),0))),0)))-100),0))*CHOOSE(ArtifactsInput!$N$42+1,0.6,0.72,0.84,0.96,1.08,1.2))),Inputs!$B$18+((C1087=TRUE)*(F1087-Calc!F29))+(IF(AND(ArtifactsInput!$M$42,((Inputs!$B$9+((C1079=TRUE)*(F1079-Calc!F21))+B1092+(ArtifactsInput!$M$24-ArtifactsInput!$M$24)*CHOOSE(ArtifactsInput!$N$24+1,10,12,14,16,18,20)+IF(ArtifactsInput!$M$10,CHOOSE(ArtifactsInput!$N$10+1,15,18,21,24,27,30)*(IF(Inputs!$B$38="pvp",MIN(15,15)/15,IF(AND(Inputs!$B$38&lt;&gt;"pvp",Inputs!$B$43&gt;0),MIN(15,Inputs!$B$43)/(Inputs!$B$43),0))),0)))&gt;=100),CHOOSE(ArtifactsInput!$N$42+1,40,48,56,64,72,80),0))))/100)*((1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1070)</f>
        <v/>
      </c>
      <c r="L1070">
        <f>K1070*(MIN(Inputs!$B$22+((C1083=TRUE)*(F1083-Calc!F25)),(Inputs!$B$23+((C1088=TRUE)*(F1088-Calc!F30))+(IF(ArtifactsInput!$M$15,CHOOSE(ArtifactsInput!$N$15+1,25,30,35,40,45,50)/100*(Inputs!$B$11-Inputs!$B$11),0))))/100+(Inputs!$B$23+((C1088=TRUE)*(F1088-Calc!F30))+(IF(ArtifactsInput!$M$15,CHOOSE(ArtifactsInput!$N$15+1,25,30,35,40,45,50)/100*(Inputs!$B$11-Inputs!$B$11),0)))/100)/2</f>
        <v/>
      </c>
      <c r="M1070">
        <f>L1070*(1+(Inputs!$B$10+0+B1097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0">
        <f>L1070*(1-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1070*(MIN((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0">
        <f>(1-Summary!$B$11)*T1070+Summary!$B$11*V1070</f>
        <v/>
      </c>
      <c r="P1070">
        <f>IF(B1102=0,0,O1070/B1102)</f>
        <v/>
      </c>
      <c r="Q1070">
        <f>IFERROR(1/(IF(Inputs!$B$38="pvp",15,MAX(0.1,Skills!D12-IF(Skills!E12=TRUE,Inputs!$B$32,0)))*(1-IF(AND(ArtifactsInput!$M$27,Inputs!$B$4="Chapter Hunt"),CHOOSE(ArtifactsInput!$N$27+1,20,24,28,32,36,40),0)/100)),0)</f>
        <v/>
      </c>
      <c r="R1070">
        <f>IF(AND(Inputs!$B$38&lt;&gt;"pvp",Inputs!$B$43&gt;0),IF(MAX(0,Inputs!$B$43-B1099)&lt;=0,0,(INT(MAX(0,Inputs!$B$43-B1099)/(IF(Inputs!$B$38="pvp",15,MAX(0.1,Skills!D12-IF(Skills!E12=TRUE,Inputs!$B$32,0)))*(1-IF(AND(ArtifactsInput!$M$27,Inputs!$B$4="Chapter Hunt"),CHOOSE(ArtifactsInput!$N$27+1,20,24,28,32,36,40),0)/100)))+1)),0)</f>
        <v/>
      </c>
      <c r="S1070">
        <f>IFERROR(O1070/N1070,0)</f>
        <v/>
      </c>
      <c r="T1070">
        <f>IF(C1070,(H1070*N1070*IF(AND(Inputs!$B$38&lt;&gt;"pvp",Inputs!$B$43&gt;0),((Skills!G12*((R1070-1)*IF(Skills!H12&gt;0,Skills!I12/Skills!H12,1)+IF(Skills!H12&gt;0,MIN(Skills!I12,MAX(0,MAX(0,Inputs!$B$43-B1099)-((R1070-1)*(IF(Inputs!$B$38="pvp",15,MAX(0.1,Skills!D12-IF(Skills!E12=TRUE,Inputs!$B$32,0)))*(1-IF(AND(ArtifactsInput!$M$27,Inputs!$B$4="Chapter Hunt"),CHOOSE(ArtifactsInput!$N$27+1,20,24,28,32,36,40),0)/100)))))/Skills!H12,1)))/Inputs!$B$43),G1070*Q1070)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(5000/(6000+Inputs!$B$42*(1-(100*(1-(1-(100*(1-(1-(Inputs!$B$19+((C1086=TRUE)*(F1086-Calc!F28)))/100)*(1-CHOOSE(ArtifactsInput!$N$40+1,5,6,7,8,9,10)/100)^(ArtifactsInput!$M$40-ArtifactsInput!$M$40)))/100)*(1-IF(ArtifactsInput!$M$40,CHOOSE(ArtifactsInput!$N$40+1,5,6,7,8,9,10),0)/100)^IF(Inputs!$B$38="pvp",1,2)))/100)))/(5000/(6000+Inputs!$B$42*(1-(100*(1-(1-(Inputs!$B$19+((C1086=TRUE)*(F1086-Calc!F28)))/100)*(1-CHOOSE(ArtifactsInput!$N$40+1,5,6,7,8,9,10)/100)^(ArtifactsInput!$M$40-ArtifactsInput!$M$40)))/100))))*((L1070*(1-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1070*(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1070*(1-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1070*(MIN(100,(Inputs!$B$9+((C1079=TRUE)*(F1079-Calc!F21))+B1092+(ArtifactsInput!$M$24-ArtifactsInput!$M$24)*CHOOSE(ArtifactsInput!$N$24+1,10,12,14,16,18,20)+(IF(AND(ArtifactsInput!$M$42,((Inputs!$B$9+((C1079=TRUE)*(F1079-Calc!F21))+B1092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0">
        <f>IF(C1070,(H1070*N1070*IF(AND(Inputs!$B$38&lt;&gt;"pvp",Inputs!$B$43&gt;0),((Skills!G12*((R1070-1)*IF(Skills!H12&gt;0,Skills!I12/Skills!H12,1)+IF(Skills!H12&gt;0,MIN(Skills!I12,MAX(0,MAX(0,Inputs!$B$43-B1099)-((R1070-1)*(IF(Inputs!$B$38="pvp",15,MAX(0.1,Skills!D12-IF(Skills!E12=TRUE,Inputs!$B$32,0)))*(1-IF(AND(ArtifactsInput!$M$27,Inputs!$B$4="Chapter Hunt"),CHOOSE(ArtifactsInput!$N$27+1,20,24,28,32,36,40),0)/100)))))/Skills!H12,1)))/Inputs!$B$43),G1070*Q1070))*IF(Inputs!$B$38="pvp",1,(1+(Inputs!$B$21+Skills!Q12+(IF(ArtifactsInput!$M$33,CHOOSE(ArtifactsInput!$N$33+1,30,36,42,48,54,60),0))+(IF(AND(ArtifactsInput!$M$35,Inputs!$B$4&lt;&gt;"Chapter Hunt"),CHOOSE(ArtifactsInput!$N$35+1,15,18,21,24,27,30)*(1-EXP(-(0.2*B1094)*5)),0)+IF(AND(ArtifactsInput!$M$22,Inputs!$B$4&lt;&gt;"Chapter Hunt"),CHOOSE(ArtifactsInput!$N$22+1,10,12,14,16,18,20)*((0*(((0.15*B1094*5))^0/1)+1*(((0.15*B1094*5))^1/1)+2*(((0.15*B1094*5))^2/2)+3*(((0.15*B1094*5))^3/6)+4*(((0.15*B1094*5))^4/24)+5*(((0.15*B1094*5))^5/120))/((((0.15*B1094*5))^0/1)+(((0.15*B1094*5))^1/1)+(((0.15*B1094*5))^2/2)+(((0.15*B1094*5))^3/6)+(((0.15*B1094*5))^4/24)+(((0.15*B1094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1">
      <c r="A1071">
        <f>Skills!A13</f>
        <v/>
      </c>
      <c r="B1071">
        <f>Skills!B13</f>
        <v/>
      </c>
      <c r="C1071">
        <f>Inputs!$B$3&gt;=110</f>
        <v/>
      </c>
      <c r="D1071">
        <f>IF(Skills!C13=1,60+Inputs!$B$25+Inputs!$B$29,IF(Skills!C13=2,90+Inputs!$B$26+Inputs!$B$29,IF(Skills!C13=3,120+Inputs!$B$27+Inputs!$B$29,MAX(0,(Inputs!$B$3-100)*3)+Inputs!$B$28+Inputs!$B$29)))</f>
        <v/>
      </c>
      <c r="E1071">
        <f>INDEX(FactorTable!$B$2:$Y$301, MATCH(ROUND(MIN(300,MAX(1,D1071)),0), FactorTable!$A$2:$A$301,0), Skills!M13+1)</f>
        <v/>
      </c>
      <c r="F1071">
        <f>IF(Skills!N13=TRUE,(Skills!L13/10)*(E1071/1000),Skills!L13/10)+Skills!O13</f>
        <v/>
      </c>
      <c r="G1071" t="inlineStr"/>
      <c r="H1071" t="inlineStr"/>
      <c r="I1071" t="inlineStr">
        <is>
          <t>1</t>
        </is>
      </c>
      <c r="J1071" t="inlineStr"/>
      <c r="K1071" t="inlineStr"/>
      <c r="L1071" t="inlineStr"/>
      <c r="M1071" t="inlineStr"/>
      <c r="N1071" t="inlineStr"/>
      <c r="O1071" t="inlineStr"/>
      <c r="P1071" t="inlineStr"/>
      <c r="Q1071" t="inlineStr"/>
      <c r="R1071" t="inlineStr"/>
      <c r="S1071" t="inlineStr"/>
      <c r="T1071" t="inlineStr"/>
      <c r="V1071" t="inlineStr"/>
    </row>
    <row r="1072">
      <c r="A1072">
        <f>Skills!A14</f>
        <v/>
      </c>
      <c r="B1072">
        <f>Skills!B14</f>
        <v/>
      </c>
      <c r="C1072">
        <f>Inputs!$B$3&gt;=74</f>
        <v/>
      </c>
      <c r="D1072">
        <f>IF(Skills!C14=1,60+Inputs!$B$25+Inputs!$B$29,IF(Skills!C14=2,90+Inputs!$B$26+Inputs!$B$29,IF(Skills!C14=3,120+Inputs!$B$27+Inputs!$B$29,MAX(0,(Inputs!$B$3-100)*3)+Inputs!$B$28+Inputs!$B$29)))</f>
        <v/>
      </c>
      <c r="E1072">
        <f>INDEX(FactorTable!$B$2:$Y$301, MATCH(ROUND(MIN(300,MAX(1,D1072)),0), FactorTable!$A$2:$A$301,0), Skills!M14+1)</f>
        <v/>
      </c>
      <c r="F1072">
        <f>IF(Skills!N14=TRUE,(Skills!L14/10)*(E1072/1000),Skills!L14/10)+Skills!O14</f>
        <v/>
      </c>
      <c r="G1072">
        <f>Skills!G14*IF(Skills!H14&gt;0,Skills!I14/Skills!H14,1)</f>
        <v/>
      </c>
      <c r="H1072">
        <f>1-(1-Skills!J14/100)^Skills!K14</f>
        <v/>
      </c>
      <c r="I1072" t="inlineStr">
        <is>
          <t>1</t>
        </is>
      </c>
      <c r="J1072" t="inlineStr"/>
      <c r="K1072" t="inlineStr"/>
      <c r="L1072" t="inlineStr"/>
      <c r="M1072" t="inlineStr"/>
      <c r="N1072" t="inlineStr"/>
      <c r="O1072">
        <f>(1-Summary!$B$11)*T1072+Summary!$B$11*V1072</f>
        <v/>
      </c>
      <c r="P1072">
        <f>IF(B1102=0,0,O1072/B1102)</f>
        <v/>
      </c>
      <c r="Q1072" t="n">
        <v>0</v>
      </c>
      <c r="R1072" t="n">
        <v>0</v>
      </c>
      <c r="S1072">
        <f>IFERROR(O1072/N1072,0)</f>
        <v/>
      </c>
      <c r="T1072" t="n">
        <v>0</v>
      </c>
      <c r="V1072" t="n">
        <v>0</v>
      </c>
    </row>
    <row r="1073">
      <c r="A1073">
        <f>Skills!A15</f>
        <v/>
      </c>
      <c r="B1073">
        <f>Skills!B15</f>
        <v/>
      </c>
      <c r="C1073">
        <f>Inputs!$B$3&gt;=74</f>
        <v/>
      </c>
      <c r="D1073">
        <f>IF(Skills!C15=1,60+Inputs!$B$25+Inputs!$B$29,IF(Skills!C15=2,90+Inputs!$B$26+Inputs!$B$29,IF(Skills!C15=3,120+Inputs!$B$27+Inputs!$B$29,MAX(0,(Inputs!$B$3-100)*3)+Inputs!$B$28+Inputs!$B$29)))</f>
        <v/>
      </c>
      <c r="E1073">
        <f>INDEX(FactorTable!$B$2:$Y$301, MATCH(ROUND(MIN(300,MAX(1,D1073)),0), FactorTable!$A$2:$A$301,0), Skills!M15+1)</f>
        <v/>
      </c>
      <c r="F1073">
        <f>IF(Skills!N15=TRUE,(Skills!L15/10)*(E1073/1000),Skills!L15/10)+Skills!O15</f>
        <v/>
      </c>
      <c r="G1073">
        <f>Skills!G15*IF(Skills!H15&gt;0,Skills!I15/Skills!H15,1)</f>
        <v/>
      </c>
      <c r="H1073">
        <f>1-(1-Skills!J15/100)^Skills!K15</f>
        <v/>
      </c>
      <c r="I1073" t="inlineStr">
        <is>
          <t>1</t>
        </is>
      </c>
      <c r="J1073" t="inlineStr"/>
      <c r="K1073" t="inlineStr"/>
      <c r="L1073" t="inlineStr"/>
      <c r="M1073" t="inlineStr"/>
      <c r="N1073" t="inlineStr"/>
      <c r="O1073">
        <f>(1-Summary!$B$11)*T1073+Summary!$B$11*V1073</f>
        <v/>
      </c>
      <c r="P1073">
        <f>IF(B1102=0,0,O1073/B1102)</f>
        <v/>
      </c>
      <c r="Q1073" t="n">
        <v>0</v>
      </c>
      <c r="R1073" t="n">
        <v>0</v>
      </c>
      <c r="S1073">
        <f>IFERROR(O1073/N1073,0)</f>
        <v/>
      </c>
      <c r="T1073" t="n">
        <v>0</v>
      </c>
      <c r="V1073" t="n">
        <v>0</v>
      </c>
    </row>
    <row r="1074">
      <c r="A1074">
        <f>Skills!A16</f>
        <v/>
      </c>
      <c r="B1074">
        <f>Skills!B16</f>
        <v/>
      </c>
      <c r="C1074">
        <f>Inputs!$B$3&gt;=117</f>
        <v/>
      </c>
      <c r="D1074">
        <f>IF(Skills!C16=1,60+Inputs!$B$25+Inputs!$B$29,IF(Skills!C16=2,90+Inputs!$B$26+Inputs!$B$29,IF(Skills!C16=3,120+Inputs!$B$27+Inputs!$B$29,MAX(0,(Inputs!$B$3-100)*3)+Inputs!$B$28+Inputs!$B$29)))</f>
        <v/>
      </c>
      <c r="E1074">
        <f>INDEX(FactorTable!$B$2:$Y$301, MATCH(ROUND(MIN(300,MAX(1,D1074)),0), FactorTable!$A$2:$A$301,0), Skills!M16+1)</f>
        <v/>
      </c>
      <c r="F1074">
        <f>IF(Skills!N16=TRUE,(Skills!L16/10)*(E1074/1000),Skills!L16/10)+Skills!O16</f>
        <v/>
      </c>
      <c r="G1074">
        <f>Skills!G16*IF(Skills!H16&gt;0,Skills!I16/Skills!H16,1)</f>
        <v/>
      </c>
      <c r="H1074">
        <f>1-(1-Skills!J16/100)^Skills!K16</f>
        <v/>
      </c>
      <c r="I1074" t="inlineStr">
        <is>
          <t>1</t>
        </is>
      </c>
      <c r="J1074" t="inlineStr"/>
      <c r="K1074" t="inlineStr"/>
      <c r="L1074" t="inlineStr"/>
      <c r="M1074" t="inlineStr"/>
      <c r="N1074" t="inlineStr"/>
      <c r="O1074">
        <f>(1-Summary!$B$11)*T1074+Summary!$B$11*V1074</f>
        <v/>
      </c>
      <c r="P1074">
        <f>IF(B1102=0,0,O1074/B1102)</f>
        <v/>
      </c>
      <c r="Q1074">
        <f>IFERROR(1/(IF(Inputs!$B$38="pvp",15,MAX(0.1,Skills!D16-IF(Skills!E16=TRUE,Inputs!$B$32,0)))*(1-IF(AND(ArtifactsInput!$M$27,Inputs!$B$4="Chapter Hunt"),CHOOSE(ArtifactsInput!$N$27+1,20,24,28,32,36,40),0)/100)),0)</f>
        <v/>
      </c>
      <c r="R1074">
        <f>IF(AND(Inputs!$B$38&lt;&gt;"pvp",Inputs!$B$43&gt;0),IF(Inputs!$B$43&lt;=0,0,(INT(Inputs!$B$43/(IF(Inputs!$B$38="pvp",15,MAX(0.1,Skills!D16-IF(Skills!E16=TRUE,Inputs!$B$32,0)))*(1-IF(AND(ArtifactsInput!$M$27,Inputs!$B$4="Chapter Hunt"),CHOOSE(ArtifactsInput!$N$27+1,20,24,28,32,36,40),0)/100)))+1)),0)</f>
        <v/>
      </c>
      <c r="S1074">
        <f>IFERROR(O1074/N1074,0)</f>
        <v/>
      </c>
      <c r="T1074" t="n">
        <v>0</v>
      </c>
      <c r="V1074" t="n">
        <v>0</v>
      </c>
    </row>
    <row r="1075">
      <c r="A1075">
        <f>Skills!A17</f>
        <v/>
      </c>
      <c r="B1075">
        <f>Skills!B17</f>
        <v/>
      </c>
      <c r="C1075">
        <f>Inputs!$B$3&gt;=115</f>
        <v/>
      </c>
      <c r="D1075">
        <f>IF(Skills!C17=1,60+Inputs!$B$25+Inputs!$B$29,IF(Skills!C17=2,90+Inputs!$B$26+Inputs!$B$29,IF(Skills!C17=3,120+Inputs!$B$27+Inputs!$B$29,MAX(0,(Inputs!$B$3-100)*3)+Inputs!$B$28+Inputs!$B$29)))</f>
        <v/>
      </c>
      <c r="E1075">
        <f>INDEX(FactorTable!$B$2:$Y$301, MATCH(ROUND(MIN(300,MAX(1,D1075)),0), FactorTable!$A$2:$A$301,0), Skills!M17+1)</f>
        <v/>
      </c>
      <c r="F1075">
        <f>IF(Skills!N17=TRUE,(Skills!L17/10)*(E1075/1000),Skills!L17/10)+Skills!O17</f>
        <v/>
      </c>
      <c r="G1075">
        <f>Skills!G17*IF(Skills!H17&gt;0,Skills!I17/Skills!H17,1)</f>
        <v/>
      </c>
      <c r="H1075">
        <f>1-(1-Skills!J17/100)^Skills!K17</f>
        <v/>
      </c>
      <c r="I1075" t="inlineStr">
        <is>
          <t>1</t>
        </is>
      </c>
      <c r="J1075" t="inlineStr"/>
      <c r="K1075" t="inlineStr"/>
      <c r="L1075" t="inlineStr"/>
      <c r="M1075" t="inlineStr"/>
      <c r="N1075" t="inlineStr"/>
      <c r="O1075">
        <f>(1-Summary!$B$11)*T1075+Summary!$B$11*V1075</f>
        <v/>
      </c>
      <c r="P1075">
        <f>IF(B1102=0,0,O1075/B1102)</f>
        <v/>
      </c>
      <c r="Q1075">
        <f>IFERROR(1/(IF(Inputs!$B$38="pvp",15,MAX(0.1,Skills!D17-IF(Skills!E17=TRUE,Inputs!$B$32,0)))*(1-IF(AND(ArtifactsInput!$M$27,Inputs!$B$4="Chapter Hunt"),CHOOSE(ArtifactsInput!$N$27+1,20,24,28,32,36,40),0)/100)),0)</f>
        <v/>
      </c>
      <c r="R1075">
        <f>IF(AND(Inputs!$B$38&lt;&gt;"pvp",Inputs!$B$43&gt;0),IF(Inputs!$B$43&lt;=0,0,(INT(Inputs!$B$43/(IF(Inputs!$B$38="pvp",15,MAX(0.1,Skills!D17-IF(Skills!E17=TRUE,Inputs!$B$32,0)))*(1-IF(AND(ArtifactsInput!$M$27,Inputs!$B$4="Chapter Hunt"),CHOOSE(ArtifactsInput!$N$27+1,20,24,28,32,36,40),0)/100)))+1)),0)</f>
        <v/>
      </c>
      <c r="S1075">
        <f>IFERROR(O1075/N1075,0)</f>
        <v/>
      </c>
      <c r="T1075" t="n">
        <v>0</v>
      </c>
      <c r="V1075" t="n">
        <v>0</v>
      </c>
    </row>
    <row r="1076">
      <c r="A1076">
        <f>Skills!A18</f>
        <v/>
      </c>
      <c r="B1076">
        <f>Skills!B18</f>
        <v/>
      </c>
      <c r="C1076">
        <f>Inputs!$B$3&gt;=66</f>
        <v/>
      </c>
      <c r="D1076">
        <f>IF(Skills!C18=1,60+Inputs!$B$25+Inputs!$B$29,IF(Skills!C18=2,90+Inputs!$B$26+Inputs!$B$29,IF(Skills!C18=3,120+Inputs!$B$27+Inputs!$B$29,MAX(0,(Inputs!$B$3-100)*3)+Inputs!$B$28+Inputs!$B$29)))</f>
        <v/>
      </c>
      <c r="E1076">
        <f>INDEX(FactorTable!$B$2:$Y$301, MATCH(ROUND(MIN(300,MAX(1,D1076)),0), FactorTable!$A$2:$A$301,0), Skills!M18+1)</f>
        <v/>
      </c>
      <c r="F1076">
        <f>IF(Skills!N18=TRUE,(Skills!L18/10)*(E1076/1000),Skills!L18/10)+Skills!O18</f>
        <v/>
      </c>
      <c r="G1076">
        <f>Skills!G18*IF(Skills!H18&gt;0,Skills!I18/Skills!H18,1)</f>
        <v/>
      </c>
      <c r="H1076">
        <f>1-(1-Skills!J18/100)^Skills!K18</f>
        <v/>
      </c>
      <c r="I1076" t="inlineStr">
        <is>
          <t>1</t>
        </is>
      </c>
      <c r="J1076" t="inlineStr"/>
      <c r="K1076" t="inlineStr"/>
      <c r="L1076" t="inlineStr"/>
      <c r="M1076" t="inlineStr"/>
      <c r="N1076" t="inlineStr"/>
      <c r="O1076">
        <f>(1-Summary!$B$11)*T1076+Summary!$B$11*V1076</f>
        <v/>
      </c>
      <c r="P1076">
        <f>IF(B1102=0,0,O1076/B1102)</f>
        <v/>
      </c>
      <c r="Q1076" t="n">
        <v>0</v>
      </c>
      <c r="R1076" t="n">
        <v>0</v>
      </c>
      <c r="S1076">
        <f>IFERROR(O1076/N1076,0)</f>
        <v/>
      </c>
      <c r="T1076" t="n">
        <v>0</v>
      </c>
      <c r="V1076" t="n">
        <v>0</v>
      </c>
    </row>
    <row r="1077">
      <c r="A1077">
        <f>Skills!A19</f>
        <v/>
      </c>
      <c r="B1077">
        <f>Skills!B19</f>
        <v/>
      </c>
      <c r="C1077">
        <f>Inputs!$B$3&gt;=72</f>
        <v/>
      </c>
      <c r="D1077">
        <f>IF(Skills!C19=1,60+Inputs!$B$25+Inputs!$B$29,IF(Skills!C19=2,90+Inputs!$B$26+Inputs!$B$29,IF(Skills!C19=3,120+Inputs!$B$27+Inputs!$B$29,MAX(0,(Inputs!$B$3-100)*3)+Inputs!$B$28+Inputs!$B$29)))</f>
        <v/>
      </c>
      <c r="E1077">
        <f>INDEX(FactorTable!$B$2:$Y$301, MATCH(ROUND(MIN(300,MAX(1,D1077)),0), FactorTable!$A$2:$A$301,0), Skills!M19+1)</f>
        <v/>
      </c>
      <c r="F1077">
        <f>IF(Skills!N19=TRUE,(Skills!L19/10)*(E1077/1000),Skills!L19/10)+Skills!O19</f>
        <v/>
      </c>
      <c r="G1077">
        <f>Skills!G19*IF(Skills!H19&gt;0,Skills!I19/Skills!H19,1)</f>
        <v/>
      </c>
      <c r="H1077">
        <f>1-(1-Skills!J19/100)^Skills!K19</f>
        <v/>
      </c>
      <c r="I1077" t="inlineStr">
        <is>
          <t>1</t>
        </is>
      </c>
      <c r="J1077" t="inlineStr"/>
      <c r="K1077" t="inlineStr"/>
      <c r="L1077" t="inlineStr"/>
      <c r="M1077" t="inlineStr"/>
      <c r="N1077" t="inlineStr"/>
      <c r="O1077">
        <f>(1-Summary!$B$11)*T1077+Summary!$B$11*V1077</f>
        <v/>
      </c>
      <c r="P1077">
        <f>IF(B1102=0,0,O1077/B1102)</f>
        <v/>
      </c>
      <c r="Q1077" t="n">
        <v>0</v>
      </c>
      <c r="R1077" t="n">
        <v>0</v>
      </c>
      <c r="S1077">
        <f>IFERROR(O1077/N1077,0)</f>
        <v/>
      </c>
      <c r="T1077" t="n">
        <v>0</v>
      </c>
      <c r="V1077" t="n">
        <v>0</v>
      </c>
    </row>
    <row r="1078">
      <c r="A1078">
        <f>Skills!A20</f>
        <v/>
      </c>
      <c r="B1078">
        <f>Skills!B20</f>
        <v/>
      </c>
      <c r="C1078">
        <f>TRUE</f>
        <v/>
      </c>
      <c r="D1078">
        <f>IF(Skills!C20=1,60+Inputs!$B$25+Inputs!$B$29,IF(Skills!C20=2,90+Inputs!$B$26+Inputs!$B$29,IF(Skills!C20=3,120+Inputs!$B$27+Inputs!$B$29,MAX(0,(Inputs!$B$3-100)*3)+Inputs!$B$28+Inputs!$B$29)))</f>
        <v/>
      </c>
      <c r="E1078">
        <f>INDEX(FactorTable!$B$2:$Y$301, MATCH(ROUND(MIN(300,MAX(1,D1078)),0), FactorTable!$A$2:$A$301,0), Skills!M20+1)</f>
        <v/>
      </c>
      <c r="F1078">
        <f>IF(Skills!N20=TRUE,(Skills!L20/10)*(E1078/1000),Skills!L20/10)+Skills!O20</f>
        <v/>
      </c>
      <c r="G1078">
        <f>Skills!G20*IF(Skills!H20&gt;0,Skills!I20/Skills!H20,1)</f>
        <v/>
      </c>
      <c r="H1078">
        <f>1-(1-Skills!J20/100)^Skills!K20</f>
        <v/>
      </c>
      <c r="I1078" t="inlineStr">
        <is>
          <t>1</t>
        </is>
      </c>
      <c r="J1078" t="inlineStr"/>
      <c r="K1078" t="inlineStr"/>
      <c r="L1078" t="inlineStr"/>
      <c r="M1078" t="inlineStr"/>
      <c r="N1078" t="inlineStr"/>
      <c r="O1078">
        <f>(1-Summary!$B$11)*T1078+Summary!$B$11*V1078</f>
        <v/>
      </c>
      <c r="P1078">
        <f>IF(B1102=0,0,O1078/B1102)</f>
        <v/>
      </c>
      <c r="Q1078">
        <f>IFERROR(1/(IF(Inputs!$B$38="pvp",15,MAX(0.1,Skills!D20-IF(Skills!E20=TRUE,Inputs!$B$32,0)))*(1-IF(AND(ArtifactsInput!$M$27,Inputs!$B$4="Chapter Hunt"),CHOOSE(ArtifactsInput!$N$27+1,20,24,28,32,36,40),0)/100)),0)</f>
        <v/>
      </c>
      <c r="R1078">
        <f>IF(AND(Inputs!$B$38&lt;&gt;"pvp",Inputs!$B$43&gt;0),IF(Inputs!$B$43&lt;=0,0,(INT(Inputs!$B$43/(IF(Inputs!$B$38="pvp",15,MAX(0.1,Skills!D20-IF(Skills!E20=TRUE,Inputs!$B$32,0)))*(1-IF(AND(ArtifactsInput!$M$27,Inputs!$B$4="Chapter Hunt"),CHOOSE(ArtifactsInput!$N$27+1,20,24,28,32,36,40),0)/100)))+1)),0)</f>
        <v/>
      </c>
      <c r="S1078">
        <f>IFERROR(O1078/N1078,0)</f>
        <v/>
      </c>
      <c r="T1078" t="n">
        <v>0</v>
      </c>
      <c r="V1078" t="n">
        <v>0</v>
      </c>
    </row>
    <row r="1079">
      <c r="A1079">
        <f>Skills!A21</f>
        <v/>
      </c>
      <c r="B1079">
        <f>Skills!B21</f>
        <v/>
      </c>
      <c r="C1079">
        <f>Inputs!$B$3&gt;=15</f>
        <v/>
      </c>
      <c r="D1079">
        <f>IF(Skills!C21=1,60+Inputs!$B$25+Inputs!$B$29,IF(Skills!C21=2,90+Inputs!$B$26+Inputs!$B$29,IF(Skills!C21=3,120+Inputs!$B$27+Inputs!$B$29,MAX(0,(Inputs!$B$3-100)*3)+Inputs!$B$28+Inputs!$B$29)))</f>
        <v/>
      </c>
      <c r="E1079">
        <f>INDEX(FactorTable!$B$2:$Y$301, MATCH(ROUND(MIN(300,MAX(1,D1079)),0), FactorTable!$A$2:$A$301,0), Skills!M21+1)</f>
        <v/>
      </c>
      <c r="F1079">
        <f>IF(Skills!N21=TRUE,(Skills!L21/10)*(E1079/1000),Skills!L21/10)+Skills!O21</f>
        <v/>
      </c>
      <c r="G1079">
        <f>Skills!G21*IF(Skills!H21&gt;0,Skills!I21/Skills!H21,1)</f>
        <v/>
      </c>
      <c r="H1079">
        <f>1-(1-Skills!J21/100)^Skills!K21</f>
        <v/>
      </c>
      <c r="I1079" t="inlineStr">
        <is>
          <t>1</t>
        </is>
      </c>
      <c r="J1079" t="inlineStr"/>
      <c r="K1079" t="inlineStr"/>
      <c r="L1079" t="inlineStr"/>
      <c r="M1079" t="inlineStr"/>
      <c r="N1079" t="inlineStr"/>
      <c r="O1079">
        <f>(1-Summary!$B$11)*T1079+Summary!$B$11*V1079</f>
        <v/>
      </c>
      <c r="P1079">
        <f>IF(B1102=0,0,O1079/B1102)</f>
        <v/>
      </c>
      <c r="Q1079" t="n">
        <v>0</v>
      </c>
      <c r="R1079" t="n">
        <v>0</v>
      </c>
      <c r="S1079">
        <f>IFERROR(O1079/N1079,0)</f>
        <v/>
      </c>
      <c r="T1079" t="n">
        <v>0</v>
      </c>
      <c r="V1079" t="n">
        <v>0</v>
      </c>
    </row>
    <row r="1080">
      <c r="A1080">
        <f>Skills!A22</f>
        <v/>
      </c>
      <c r="B1080">
        <f>Skills!B22</f>
        <v/>
      </c>
      <c r="C1080">
        <f>Inputs!$B$3&gt;=10</f>
        <v/>
      </c>
      <c r="D1080">
        <f>IF(Skills!C22=1,60+Inputs!$B$25+Inputs!$B$29,IF(Skills!C22=2,90+Inputs!$B$26+Inputs!$B$29,IF(Skills!C22=3,120+Inputs!$B$27+Inputs!$B$29,MAX(0,(Inputs!$B$3-100)*3)+Inputs!$B$28+Inputs!$B$29)))</f>
        <v/>
      </c>
      <c r="E1080">
        <f>INDEX(FactorTable!$B$2:$Y$301, MATCH(ROUND(MIN(300,MAX(1,D1080)),0), FactorTable!$A$2:$A$301,0), Skills!M22+1)</f>
        <v/>
      </c>
      <c r="F1080">
        <f>IF(Skills!N22=TRUE,(Skills!L22/10)*(E1080/1000),Skills!L22/10)+Skills!O22</f>
        <v/>
      </c>
      <c r="G1080">
        <f>Skills!G22*IF(Skills!H22&gt;0,Skills!I22/Skills!H22,1)</f>
        <v/>
      </c>
      <c r="H1080">
        <f>1-(1-Skills!J22/100)^Skills!K22</f>
        <v/>
      </c>
      <c r="I1080" t="inlineStr">
        <is>
          <t>1</t>
        </is>
      </c>
      <c r="J1080" t="inlineStr"/>
      <c r="K1080" t="inlineStr"/>
      <c r="L1080" t="inlineStr"/>
      <c r="M1080" t="inlineStr"/>
      <c r="N1080" t="inlineStr"/>
      <c r="O1080">
        <f>(1-Summary!$B$11)*T1080+Summary!$B$11*V1080</f>
        <v/>
      </c>
      <c r="P1080">
        <f>IF(B1102=0,0,O1080/B1102)</f>
        <v/>
      </c>
      <c r="Q1080" t="n">
        <v>0</v>
      </c>
      <c r="R1080" t="n">
        <v>0</v>
      </c>
      <c r="S1080">
        <f>IFERROR(O1080/N1080,0)</f>
        <v/>
      </c>
      <c r="T1080" t="n">
        <v>0</v>
      </c>
      <c r="V1080" t="n">
        <v>0</v>
      </c>
    </row>
    <row r="1081">
      <c r="A1081">
        <f>Skills!A23</f>
        <v/>
      </c>
      <c r="B1081">
        <f>Skills!B23</f>
        <v/>
      </c>
      <c r="C1081">
        <f>Inputs!$B$3&gt;=33</f>
        <v/>
      </c>
      <c r="D1081">
        <f>IF(Skills!C23=1,60+Inputs!$B$25+Inputs!$B$29,IF(Skills!C23=2,90+Inputs!$B$26+Inputs!$B$29,IF(Skills!C23=3,120+Inputs!$B$27+Inputs!$B$29,MAX(0,(Inputs!$B$3-100)*3)+Inputs!$B$28+Inputs!$B$29)))</f>
        <v/>
      </c>
      <c r="E1081">
        <f>INDEX(FactorTable!$B$2:$Y$301, MATCH(ROUND(MIN(300,MAX(1,D1081)),0), FactorTable!$A$2:$A$301,0), Skills!M23+1)</f>
        <v/>
      </c>
      <c r="F1081">
        <f>IF(Skills!N23=TRUE,(Skills!L23/10)*(E1081/1000),Skills!L23/10)+Skills!O23</f>
        <v/>
      </c>
      <c r="G1081">
        <f>Skills!G23*IF(Skills!H23&gt;0,Skills!I23/Skills!H23,1)</f>
        <v/>
      </c>
      <c r="H1081">
        <f>1-(1-Skills!J23/100)^Skills!K23</f>
        <v/>
      </c>
      <c r="I1081" t="inlineStr">
        <is>
          <t>1</t>
        </is>
      </c>
      <c r="J1081" t="inlineStr"/>
      <c r="K1081" t="inlineStr"/>
      <c r="L1081" t="inlineStr"/>
      <c r="M1081" t="inlineStr"/>
      <c r="N1081" t="inlineStr"/>
      <c r="O1081">
        <f>(1-Summary!$B$11)*T1081+Summary!$B$11*V1081</f>
        <v/>
      </c>
      <c r="P1081">
        <f>IF(B1102=0,0,O1081/B1102)</f>
        <v/>
      </c>
      <c r="Q1081" t="n">
        <v>0</v>
      </c>
      <c r="R1081" t="n">
        <v>0</v>
      </c>
      <c r="S1081">
        <f>IFERROR(O1081/N1081,0)</f>
        <v/>
      </c>
      <c r="T1081" t="n">
        <v>0</v>
      </c>
      <c r="V1081" t="n">
        <v>0</v>
      </c>
    </row>
    <row r="1082">
      <c r="A1082">
        <f>Skills!A24</f>
        <v/>
      </c>
      <c r="B1082">
        <f>Skills!B24</f>
        <v/>
      </c>
      <c r="C1082">
        <f>Inputs!$B$3&gt;=38</f>
        <v/>
      </c>
      <c r="D1082">
        <f>IF(Skills!C24=1,60+Inputs!$B$25+Inputs!$B$29,IF(Skills!C24=2,90+Inputs!$B$26+Inputs!$B$29,IF(Skills!C24=3,120+Inputs!$B$27+Inputs!$B$29,MAX(0,(Inputs!$B$3-100)*3)+Inputs!$B$28+Inputs!$B$29)))</f>
        <v/>
      </c>
      <c r="E1082">
        <f>INDEX(FactorTable!$B$2:$Y$301, MATCH(ROUND(MIN(300,MAX(1,D1082)),0), FactorTable!$A$2:$A$301,0), Skills!M24+1)</f>
        <v/>
      </c>
      <c r="F1082">
        <f>IF(Skills!N24=TRUE,(Skills!L24/10)*(E1082/1000),Skills!L24/10)+Skills!O24</f>
        <v/>
      </c>
      <c r="G1082">
        <f>Skills!G24*IF(Skills!H24&gt;0,Skills!I24/Skills!H24,1)</f>
        <v/>
      </c>
      <c r="H1082">
        <f>1-(1-Skills!J24/100)^Skills!K24</f>
        <v/>
      </c>
      <c r="I1082" t="inlineStr">
        <is>
          <t>1</t>
        </is>
      </c>
      <c r="J1082" t="inlineStr"/>
      <c r="K1082" t="inlineStr"/>
      <c r="L1082" t="inlineStr"/>
      <c r="M1082" t="inlineStr"/>
      <c r="N1082" t="inlineStr"/>
      <c r="O1082">
        <f>(1-Summary!$B$11)*T1082+Summary!$B$11*V1082</f>
        <v/>
      </c>
      <c r="P1082">
        <f>IF(B1102=0,0,O1082/B1102)</f>
        <v/>
      </c>
      <c r="Q1082" t="n">
        <v>0</v>
      </c>
      <c r="R1082" t="n">
        <v>0</v>
      </c>
      <c r="S1082">
        <f>IFERROR(O1082/N1082,0)</f>
        <v/>
      </c>
      <c r="T1082" t="n">
        <v>0</v>
      </c>
      <c r="V1082" t="n">
        <v>0</v>
      </c>
    </row>
    <row r="1083">
      <c r="A1083">
        <f>Skills!A25</f>
        <v/>
      </c>
      <c r="B1083">
        <f>Skills!B25</f>
        <v/>
      </c>
      <c r="C1083">
        <f>Inputs!$B$3&gt;=43</f>
        <v/>
      </c>
      <c r="D1083">
        <f>IF(Skills!C25=1,60+Inputs!$B$25+Inputs!$B$29,IF(Skills!C25=2,90+Inputs!$B$26+Inputs!$B$29,IF(Skills!C25=3,120+Inputs!$B$27+Inputs!$B$29,MAX(0,(Inputs!$B$3-100)*3)+Inputs!$B$28+Inputs!$B$29)))</f>
        <v/>
      </c>
      <c r="E1083">
        <f>INDEX(FactorTable!$B$2:$Y$301, MATCH(ROUND(MIN(300,MAX(1,D1083)),0), FactorTable!$A$2:$A$301,0), Skills!M25+1)</f>
        <v/>
      </c>
      <c r="F1083">
        <f>IF(Skills!N25=TRUE,(Skills!L25/10)*(E1083/1000),Skills!L25/10)+Skills!O25</f>
        <v/>
      </c>
      <c r="G1083">
        <f>Skills!G25*IF(Skills!H25&gt;0,Skills!I25/Skills!H25,1)</f>
        <v/>
      </c>
      <c r="H1083">
        <f>1-(1-Skills!J25/100)^Skills!K25</f>
        <v/>
      </c>
      <c r="I1083" t="inlineStr">
        <is>
          <t>1</t>
        </is>
      </c>
      <c r="J1083" t="inlineStr"/>
      <c r="K1083" t="inlineStr"/>
      <c r="L1083" t="inlineStr"/>
      <c r="M1083" t="inlineStr"/>
      <c r="N1083" t="inlineStr"/>
      <c r="O1083">
        <f>(1-Summary!$B$11)*T1083+Summary!$B$11*V1083</f>
        <v/>
      </c>
      <c r="P1083">
        <f>IF(B1102=0,0,O1083/B1102)</f>
        <v/>
      </c>
      <c r="Q1083" t="n">
        <v>0</v>
      </c>
      <c r="R1083" t="n">
        <v>0</v>
      </c>
      <c r="S1083">
        <f>IFERROR(O1083/N1083,0)</f>
        <v/>
      </c>
      <c r="T1083" t="n">
        <v>0</v>
      </c>
      <c r="V1083" t="n">
        <v>0</v>
      </c>
    </row>
    <row r="1084">
      <c r="A1084">
        <f>Skills!A26</f>
        <v/>
      </c>
      <c r="B1084">
        <f>Skills!B26</f>
        <v/>
      </c>
      <c r="C1084">
        <f>Inputs!$B$3&gt;=75</f>
        <v/>
      </c>
      <c r="D1084">
        <f>IF(Skills!C26=1,60+Inputs!$B$25+Inputs!$B$29,IF(Skills!C26=2,90+Inputs!$B$26+Inputs!$B$29,IF(Skills!C26=3,120+Inputs!$B$27+Inputs!$B$29,MAX(0,(Inputs!$B$3-100)*3)+Inputs!$B$28+Inputs!$B$29)))</f>
        <v/>
      </c>
      <c r="E1084">
        <f>INDEX(FactorTable!$B$2:$Y$301, MATCH(ROUND(MIN(300,MAX(1,D1084)),0), FactorTable!$A$2:$A$301,0), Skills!M26+1)</f>
        <v/>
      </c>
      <c r="F1084">
        <f>IF(Skills!N26=TRUE,(Skills!L26/10)*(E1084/1000),Skills!L26/10)+Skills!O26</f>
        <v/>
      </c>
      <c r="G1084">
        <f>Skills!G26*IF(Skills!H26&gt;0,Skills!I26/Skills!H26,1)</f>
        <v/>
      </c>
      <c r="H1084">
        <f>1-(1-Skills!J26/100)^Skills!K26</f>
        <v/>
      </c>
      <c r="I1084" t="inlineStr">
        <is>
          <t>1</t>
        </is>
      </c>
      <c r="J1084" t="inlineStr"/>
      <c r="K1084" t="inlineStr"/>
      <c r="L1084" t="inlineStr"/>
      <c r="M1084" t="inlineStr"/>
      <c r="N1084" t="inlineStr"/>
      <c r="O1084">
        <f>(1-Summary!$B$11)*T1084+Summary!$B$11*V1084</f>
        <v/>
      </c>
      <c r="P1084">
        <f>IF(B1102=0,0,O1084/B1102)</f>
        <v/>
      </c>
      <c r="Q1084" t="n">
        <v>0</v>
      </c>
      <c r="R1084" t="n">
        <v>0</v>
      </c>
      <c r="S1084">
        <f>IFERROR(O1084/N1084,0)</f>
        <v/>
      </c>
      <c r="T1084" t="n">
        <v>0</v>
      </c>
      <c r="V1084" t="n">
        <v>0</v>
      </c>
    </row>
    <row r="1085">
      <c r="A1085">
        <f>Skills!A27</f>
        <v/>
      </c>
      <c r="B1085">
        <f>Skills!B27</f>
        <v/>
      </c>
      <c r="C1085">
        <f>Inputs!$B$3&gt;=125</f>
        <v/>
      </c>
      <c r="D1085">
        <f>IF(Skills!C27=1,60+Inputs!$B$25+Inputs!$B$29,IF(Skills!C27=2,90+Inputs!$B$26+Inputs!$B$29,IF(Skills!C27=3,120+Inputs!$B$27+Inputs!$B$29,MAX(0,(Inputs!$B$3-100)*3)+Inputs!$B$28+Inputs!$B$29)))</f>
        <v/>
      </c>
      <c r="E1085">
        <f>INDEX(FactorTable!$B$2:$Y$301, MATCH(ROUND(MIN(300,MAX(1,D1085)),0), FactorTable!$A$2:$A$301,0), Skills!M27+1)</f>
        <v/>
      </c>
      <c r="F1085">
        <f>IF(Skills!N27=TRUE,(Skills!L27/10)*(E1085/1000),Skills!L27/10)+Skills!O27</f>
        <v/>
      </c>
      <c r="G1085">
        <f>Skills!G27*IF(Skills!H27&gt;0,Skills!I27/Skills!H27,1)</f>
        <v/>
      </c>
      <c r="H1085">
        <f>1-(1-Skills!J27/100)^Skills!K27</f>
        <v/>
      </c>
      <c r="I1085" t="inlineStr">
        <is>
          <t>1</t>
        </is>
      </c>
      <c r="J1085" t="inlineStr"/>
      <c r="K1085" t="inlineStr"/>
      <c r="L1085" t="inlineStr"/>
      <c r="M1085" t="inlineStr"/>
      <c r="N1085" t="inlineStr"/>
      <c r="O1085">
        <f>(1-Summary!$B$11)*T1085+Summary!$B$11*V1085</f>
        <v/>
      </c>
      <c r="P1085">
        <f>IF(B1102=0,0,O1085/B1102)</f>
        <v/>
      </c>
      <c r="Q1085" t="n">
        <v>0</v>
      </c>
      <c r="R1085" t="n">
        <v>0</v>
      </c>
      <c r="S1085">
        <f>IFERROR(O1085/N1085,0)</f>
        <v/>
      </c>
      <c r="T1085" t="n">
        <v>0</v>
      </c>
      <c r="V1085" t="n">
        <v>0</v>
      </c>
    </row>
    <row r="1086">
      <c r="A1086">
        <f>Skills!A28</f>
        <v/>
      </c>
      <c r="B1086">
        <f>Skills!B28</f>
        <v/>
      </c>
      <c r="C1086">
        <f>Inputs!$B$3&gt;=125</f>
        <v/>
      </c>
      <c r="D1086">
        <f>IF(Skills!C28=1,60+Inputs!$B$25+Inputs!$B$29,IF(Skills!C28=2,90+Inputs!$B$26+Inputs!$B$29,IF(Skills!C28=3,120+Inputs!$B$27+Inputs!$B$29,MAX(0,(Inputs!$B$3-100)*3)+Inputs!$B$28+Inputs!$B$29)))</f>
        <v/>
      </c>
      <c r="E1086">
        <f>INDEX(FactorTable!$B$2:$Y$301, MATCH(ROUND(MIN(300,MAX(1,D1086)),0), FactorTable!$A$2:$A$301,0), Skills!M28+1)</f>
        <v/>
      </c>
      <c r="F1086">
        <f>IF(Skills!N28=TRUE,(Skills!L28/10)*(E1086/1000),Skills!L28/10)+Skills!O28</f>
        <v/>
      </c>
      <c r="G1086">
        <f>Skills!G28*IF(Skills!H28&gt;0,Skills!I28/Skills!H28,1)</f>
        <v/>
      </c>
      <c r="H1086">
        <f>1-(1-Skills!J28/100)^Skills!K28</f>
        <v/>
      </c>
      <c r="I1086" t="inlineStr">
        <is>
          <t>1</t>
        </is>
      </c>
      <c r="J1086" t="inlineStr"/>
      <c r="K1086" t="inlineStr"/>
      <c r="L1086" t="inlineStr"/>
      <c r="M1086" t="inlineStr"/>
      <c r="N1086" t="inlineStr"/>
      <c r="O1086">
        <f>(1-Summary!$B$11)*T1086+Summary!$B$11*V1086</f>
        <v/>
      </c>
      <c r="P1086">
        <f>IF(B1102=0,0,O1086/B1102)</f>
        <v/>
      </c>
      <c r="Q1086" t="n">
        <v>0</v>
      </c>
      <c r="R1086" t="n">
        <v>0</v>
      </c>
      <c r="S1086">
        <f>IFERROR(O1086/N1086,0)</f>
        <v/>
      </c>
      <c r="T1086" t="n">
        <v>0</v>
      </c>
      <c r="V1086" t="n">
        <v>0</v>
      </c>
    </row>
    <row r="1087">
      <c r="A1087">
        <f>Skills!A29</f>
        <v/>
      </c>
      <c r="B1087">
        <f>Skills!B29</f>
        <v/>
      </c>
      <c r="C1087">
        <f>Inputs!$B$3&gt;=120</f>
        <v/>
      </c>
      <c r="D1087">
        <f>IF(Skills!C29=1,60+Inputs!$B$25+Inputs!$B$29,IF(Skills!C29=2,90+Inputs!$B$26+Inputs!$B$29,IF(Skills!C29=3,120+Inputs!$B$27+Inputs!$B$29,MAX(0,(Inputs!$B$3-100)*3)+Inputs!$B$28+Inputs!$B$29)))</f>
        <v/>
      </c>
      <c r="E1087">
        <f>INDEX(FactorTable!$B$2:$Y$301, MATCH(ROUND(MIN(300,MAX(1,D1087)),0), FactorTable!$A$2:$A$301,0), Skills!M29+1)</f>
        <v/>
      </c>
      <c r="F1087">
        <f>IF(Skills!N29=TRUE,(Skills!L29/10)*(E1087/1000),Skills!L29/10)+Skills!O29</f>
        <v/>
      </c>
      <c r="G1087">
        <f>Skills!G29*IF(Skills!H29&gt;0,Skills!I29/Skills!H29,1)</f>
        <v/>
      </c>
      <c r="H1087">
        <f>1-(1-Skills!J29/100)^Skills!K29</f>
        <v/>
      </c>
      <c r="I1087" t="inlineStr">
        <is>
          <t>1</t>
        </is>
      </c>
      <c r="J1087" t="inlineStr"/>
      <c r="K1087" t="inlineStr"/>
      <c r="L1087" t="inlineStr"/>
      <c r="M1087" t="inlineStr"/>
      <c r="N1087" t="inlineStr"/>
      <c r="O1087">
        <f>(1-Summary!$B$11)*T1087+Summary!$B$11*V1087</f>
        <v/>
      </c>
      <c r="P1087">
        <f>IF(B1102=0,0,O1087/B1102)</f>
        <v/>
      </c>
      <c r="Q1087" t="n">
        <v>0</v>
      </c>
      <c r="R1087" t="n">
        <v>0</v>
      </c>
      <c r="S1087">
        <f>IFERROR(O1087/N1087,0)</f>
        <v/>
      </c>
      <c r="T1087" t="n">
        <v>0</v>
      </c>
      <c r="V1087" t="n">
        <v>0</v>
      </c>
    </row>
    <row r="1088">
      <c r="A1088">
        <f>Skills!A30</f>
        <v/>
      </c>
      <c r="B1088">
        <f>Skills!B30</f>
        <v/>
      </c>
      <c r="C1088">
        <f>Inputs!$B$3&gt;=120</f>
        <v/>
      </c>
      <c r="D1088">
        <f>IF(Skills!C30=1,60+Inputs!$B$25+Inputs!$B$29,IF(Skills!C30=2,90+Inputs!$B$26+Inputs!$B$29,IF(Skills!C30=3,120+Inputs!$B$27+Inputs!$B$29,MAX(0,(Inputs!$B$3-100)*3)+Inputs!$B$28+Inputs!$B$29)))</f>
        <v/>
      </c>
      <c r="E1088">
        <f>INDEX(FactorTable!$B$2:$Y$301, MATCH(ROUND(MIN(300,MAX(1,D1088)),0), FactorTable!$A$2:$A$301,0), Skills!M30+1)</f>
        <v/>
      </c>
      <c r="F1088">
        <f>IF(Skills!N30=TRUE,(Skills!L30/10)*(E1088/1000),Skills!L30/10)+Skills!O30</f>
        <v/>
      </c>
      <c r="G1088">
        <f>Skills!G30*IF(Skills!H30&gt;0,Skills!I30/Skills!H30,1)</f>
        <v/>
      </c>
      <c r="H1088">
        <f>1-(1-Skills!J30/100)^Skills!K30</f>
        <v/>
      </c>
      <c r="I1088" t="inlineStr">
        <is>
          <t>1</t>
        </is>
      </c>
      <c r="J1088" t="inlineStr"/>
      <c r="K1088" t="inlineStr"/>
      <c r="L1088" t="inlineStr"/>
      <c r="M1088" t="inlineStr"/>
      <c r="N1088" t="inlineStr"/>
      <c r="O1088">
        <f>(1-Summary!$B$11)*T1088+Summary!$B$11*V1088</f>
        <v/>
      </c>
      <c r="P1088">
        <f>IF(B1102=0,0,O1088/B1102)</f>
        <v/>
      </c>
      <c r="Q1088" t="n">
        <v>0</v>
      </c>
      <c r="R1088" t="n">
        <v>0</v>
      </c>
      <c r="S1088">
        <f>IFERROR(O1088/N1088,0)</f>
        <v/>
      </c>
      <c r="T1088" t="n">
        <v>0</v>
      </c>
      <c r="V1088" t="n">
        <v>0</v>
      </c>
    </row>
    <row r="1089">
      <c r="A1089">
        <f>Skills!A31</f>
        <v/>
      </c>
      <c r="B1089">
        <f>Skills!B31</f>
        <v/>
      </c>
      <c r="C1089">
        <f>Inputs!$B$3&gt;=45</f>
        <v/>
      </c>
      <c r="D1089">
        <f>IF(Skills!C31=1,60+Inputs!$B$25+Inputs!$B$29,IF(Skills!C31=2,90+Inputs!$B$26+Inputs!$B$29,IF(Skills!C31=3,120+Inputs!$B$27+Inputs!$B$29,MAX(0,(Inputs!$B$3-100)*3)+Inputs!$B$28+Inputs!$B$29)))</f>
        <v/>
      </c>
      <c r="E1089">
        <f>INDEX(FactorTable!$B$2:$Y$301, MATCH(ROUND(MIN(300,MAX(1,D1089)),0), FactorTable!$A$2:$A$301,0), Skills!M31+1)</f>
        <v/>
      </c>
      <c r="F1089">
        <f>IF(Skills!N31=TRUE,(Skills!L31/10)*(E1089/1000),Skills!L31/10)+Skills!O31</f>
        <v/>
      </c>
      <c r="G1089">
        <f>Skills!G31*IF(Skills!H31&gt;0,Skills!I31/Skills!H31,1)</f>
        <v/>
      </c>
      <c r="H1089">
        <f>1-(1-Skills!J31/100)^Skills!K31</f>
        <v/>
      </c>
      <c r="I1089" t="inlineStr">
        <is>
          <t>1</t>
        </is>
      </c>
      <c r="J1089" t="inlineStr"/>
      <c r="K1089" t="inlineStr"/>
      <c r="L1089" t="inlineStr"/>
      <c r="M1089" t="inlineStr"/>
      <c r="N1089" t="inlineStr"/>
      <c r="O1089">
        <f>(1-Summary!$B$11)*T1089+Summary!$B$11*V1089</f>
        <v/>
      </c>
      <c r="P1089">
        <f>IF(B1102=0,0,O1089/B1102)</f>
        <v/>
      </c>
      <c r="Q1089" t="n">
        <v>0</v>
      </c>
      <c r="R1089" t="n">
        <v>0</v>
      </c>
      <c r="S1089">
        <f>IFERROR(O1089/N1089,0)</f>
        <v/>
      </c>
      <c r="T1089" t="n">
        <v>0</v>
      </c>
      <c r="V1089" t="n">
        <v>0</v>
      </c>
    </row>
    <row r="1091">
      <c r="A1091" t="inlineStr">
        <is>
          <t>Attack% Bucket Multiplier</t>
        </is>
      </c>
      <c r="B1091">
        <f>(1+(((C1072=TRUE)*F1072)+((C1073=TRUE)*IF(Inputs!$B$38="pvp",F1073,(1-Summary!$B$11)*(F1073)+Summary!$B$11*(0)))+((C1074=TRUE)*F1074*IF(AND(Inputs!$B$38&lt;&gt;"pvp",Inputs!$B$43&gt;0),(((R1074-1)*(Skills!T16*(1+Inputs!$B$34/100))+MIN((Skills!T16*(1+Inputs!$B$34/100)),MAX(0,Inputs!$B$43-((R1074-1)*Skills!D16))))/Inputs!$B$43),IF(Inputs!$B$38="pvp",MIN((Skills!T16*(1+Inputs!$B$34/100)),15)/15,(Skills!T16*(1+Inputs!$B$34/100))/Skills!D16)))+((C1089=TRUE)*(F1089-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92">
      <c r="A1092" t="inlineStr">
        <is>
          <t>Global Crit Rate Bonus %</t>
        </is>
      </c>
      <c r="B1092">
        <f>(C1075=TRUE)*20*IF(AND(Inputs!$B$38&lt;&gt;"pvp",Inputs!$B$43&gt;0),(((R1075-1)*(Skills!T17*(1+Inputs!$B$34/100))+MIN((Skills!T17*(1+Inputs!$B$34/100)),MAX(0,Inputs!$B$43-((R1075-1)*Skills!D17))))/Inputs!$B$43),IF(Inputs!$B$38="pvp",MIN((Skills!T17*(1+Inputs!$B$34/100)),15)/15,(Skills!T17*(1+Inputs!$B$34/100))/Skills!D17))</f>
        <v/>
      </c>
    </row>
    <row r="1093">
      <c r="A1093" t="inlineStr">
        <is>
          <t>Attack Speed Buff Bonus %</t>
        </is>
      </c>
      <c r="B1093">
        <f>((C1078=TRUE)*F1078*IF(AND(Inputs!$B$38&lt;&gt;"pvp",Inputs!$B$43&gt;0),(((R1078-1)*(Skills!T20*(1+Inputs!$B$34/100))+MIN((Skills!T20*(1+Inputs!$B$34/100)),MAX(0,Inputs!$B$43-((R1078-1)*Skills!D20))))/Inputs!$B$43),IF(Inputs!$B$38="pvp",MIN((Skills!T20*(1+Inputs!$B$34/100)),15)/15,(Skills!T20*(1+Inputs!$B$34/100))/Skills!D20)))</f>
        <v/>
      </c>
    </row>
    <row r="1094">
      <c r="A1094" t="inlineStr">
        <is>
          <t>Actions Per Second</t>
        </is>
      </c>
      <c r="B1094">
        <f>1+MIN(150,150*(1-(1-(Inputs!$B$11+((C1080=TRUE)*(F1080-Calc!F22))+((C1081=TRUE)*(F1081-Calc!F23)))/150)*(1-B1093/150)))/100</f>
        <v/>
      </c>
    </row>
    <row r="1095">
      <c r="A1095" t="inlineStr">
        <is>
          <t>Skill + Buff Cast Rate</t>
        </is>
      </c>
      <c r="B1095">
        <f>IF(AND(Inputs!$B$38&lt;&gt;"pvp",Inputs!$B$43&gt;0),SUMPRODUCT((Skills!E2:E31=TRUE)*(C1060:C1089=TRUE)*R1060:R1089*Skills!F2:F31)/Inputs!$B$43,SUMPRODUCT((Skills!E2:E31=TRUE)*(C1060:C1089=TRUE)*Q1060:Q1089*Skills!F2:F31))</f>
        <v/>
      </c>
    </row>
    <row r="1096">
      <c r="A1096" t="inlineStr">
        <is>
          <t>Arrow Stream Casts Per Second</t>
        </is>
      </c>
      <c r="B1096">
        <f>MAX(0,B1094-B1095)</f>
        <v/>
      </c>
    </row>
    <row r="1097">
      <c r="A1097" t="inlineStr">
        <is>
          <t>Global Critical Damage Bonus % (Sharp Eyes + Concentration)</t>
        </is>
      </c>
      <c r="B1097">
        <f>(C1075=TRUE)*F1075*IF(AND(Inputs!$B$38&lt;&gt;"pvp",Inputs!$B$43&gt;0),(((R1075-1)*(Skills!T17*(1+Inputs!$B$34/100))+MIN((Skills!T17*(1+Inputs!$B$34/100)),MAX(0,Inputs!$B$43-((R1075-1)*Skills!D17))))/Inputs!$B$43),IF(Inputs!$B$38="pvp",MIN((Skills!T17*(1+Inputs!$B$34/100)),15)/15,(Skills!T17*(1+Inputs!$B$34/100))/Skills!D17))+(C1076=TRUE)*30</f>
        <v/>
      </c>
    </row>
    <row r="1098">
      <c r="A1098" t="inlineStr">
        <is>
          <t>Global Final Damage Bonus % (Mortal Blow)</t>
        </is>
      </c>
      <c r="B1098">
        <f>(C1077=TRUE)*F1077</f>
        <v/>
      </c>
    </row>
    <row r="1099">
      <c r="A1099" t="inlineStr">
        <is>
          <t>Buff-Casting Startup Delay (s, fixed-duration only)</t>
        </is>
      </c>
      <c r="B1099">
        <f>IF(AND(Inputs!$B$38&lt;&gt;"pvp",Inputs!$B$43&gt;0),SUMPRODUCT((Skills!T2:T31&gt;0)*(Skills!E2:E31=TRUE)*(C1060:C1089=TRUE))/B1094,0)</f>
        <v/>
      </c>
    </row>
    <row r="1100">
      <c r="A1100" t="inlineStr">
        <is>
          <t>Boss-Only Total DPS (this block's swept value)</t>
        </is>
      </c>
      <c r="B1100">
        <f>SUM(T1060:T1089)</f>
        <v/>
      </c>
    </row>
    <row r="1101">
      <c r="A1101" t="inlineStr">
        <is>
          <t>Normal-Only Total DPS (this block's swept value)</t>
        </is>
      </c>
      <c r="B1101">
        <f>SUM(V1060:V1089)</f>
        <v/>
      </c>
    </row>
    <row r="1102">
      <c r="A1102" s="6" t="inlineStr">
        <is>
          <t>TOTAL DPS</t>
        </is>
      </c>
      <c r="B1102" s="6">
        <f>SUM(O1060:O1089)</f>
        <v/>
      </c>
    </row>
    <row r="1105">
      <c r="A1105" s="6" t="inlineStr">
        <is>
          <t>Stat: ATTACK %</t>
        </is>
      </c>
    </row>
    <row r="1106">
      <c r="A1106" s="5" t="inlineStr">
        <is>
          <t>Key</t>
        </is>
      </c>
      <c r="B1106" s="5" t="inlineStr">
        <is>
          <t>Name</t>
        </is>
      </c>
      <c r="C1106" s="5" t="inlineStr">
        <is>
          <t>Unlocked</t>
        </is>
      </c>
      <c r="D1106" s="5" t="inlineStr">
        <is>
          <t>InputLevel</t>
        </is>
      </c>
      <c r="E1106" s="5" t="inlineStr">
        <is>
          <t>Factor</t>
        </is>
      </c>
      <c r="F1106" s="5" t="inlineStr">
        <is>
          <t>CoefficientPercent</t>
        </is>
      </c>
      <c r="G1106" s="5" t="inlineStr">
        <is>
          <t>EffectiveHits</t>
        </is>
      </c>
      <c r="H1106" s="5" t="inlineStr">
        <is>
          <t>ProcProbability</t>
        </is>
      </c>
      <c r="I1106" s="5" t="inlineStr">
        <is>
          <t>MapleHeroMultiplier</t>
        </is>
      </c>
      <c r="J1106" s="5" t="inlineStr">
        <is>
          <t>BaseDamage</t>
        </is>
      </c>
      <c r="K1106" s="5" t="inlineStr">
        <is>
          <t>BaseHitDamage</t>
        </is>
      </c>
      <c r="L1106" s="5" t="inlineStr">
        <is>
          <t>NonCritAvg</t>
        </is>
      </c>
      <c r="M1106" s="5" t="inlineStr">
        <is>
          <t>CritAvg</t>
        </is>
      </c>
      <c r="N1106" s="5" t="inlineStr">
        <is>
          <t>ExpectedDamage(perHit)</t>
        </is>
      </c>
      <c r="O1106" s="5" t="inlineStr">
        <is>
          <t>DPS</t>
        </is>
      </c>
      <c r="P1106" s="5" t="inlineStr">
        <is>
          <t>% of Total</t>
        </is>
      </c>
      <c r="Q1106" s="5" t="inlineStr">
        <is>
          <t>InvCooldown</t>
        </is>
      </c>
      <c r="R1106" s="5" t="inlineStr">
        <is>
          <t>CastsInFight</t>
        </is>
      </c>
      <c r="S1106" s="5" t="inlineStr">
        <is>
          <t>HitRate(perSec)</t>
        </is>
      </c>
      <c r="U1106" t="inlineStr">
        <is>
          <t>helpers</t>
        </is>
      </c>
    </row>
    <row r="1107">
      <c r="A1107">
        <f>Skills!A2</f>
        <v/>
      </c>
      <c r="B1107">
        <f>Skills!B2</f>
        <v/>
      </c>
      <c r="C1107">
        <f>Inputs!$B$3&gt;=100</f>
        <v/>
      </c>
      <c r="D1107" t="inlineStr"/>
      <c r="E1107" t="inlineStr"/>
      <c r="F1107">
        <f>U1109+Skills!O2</f>
        <v/>
      </c>
      <c r="G1107">
        <f>Skills!G2*IF(Skills!H2&gt;0,Skills!I2/Skills!H2,1)</f>
        <v/>
      </c>
      <c r="H1107">
        <f>1-(1-Skills!J2/100)^Skills!K2</f>
        <v/>
      </c>
      <c r="I1107" t="inlineStr">
        <is>
          <t>1</t>
        </is>
      </c>
      <c r="J1107">
        <f>((Inputs!$B$6*(1+(Inputs!$B$7+1)/100))+(((Inputs!$B$12*(1+Inputs!$B$13/100))-(Inputs!$B$12*(1+Inputs!$B$13/100)))+0.25*(Inputs!$B$14-Inputs!$B$14))*(1+(Inputs!$B$7+1)/100))*(F1107/100)</f>
        <v/>
      </c>
      <c r="K1107">
        <f>J1107*(1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1107)</f>
        <v/>
      </c>
      <c r="L1107">
        <f>K1107*(MIN(Inputs!$B$22+((C1130=TRUE)*(F1130-Calc!F25)),(Inputs!$B$23+((C1135=TRUE)*(F1135-Calc!F30))+(IF(ArtifactsInput!$M$15,CHOOSE(ArtifactsInput!$N$15+1,25,30,35,40,45,50)/100*(Inputs!$B$11-Inputs!$B$11),0))))/100+(Inputs!$B$23+((C1135=TRUE)*(F1135-Calc!F30))+(IF(ArtifactsInput!$M$15,CHOOSE(ArtifactsInput!$N$15+1,25,30,35,40,45,50)/100*(Inputs!$B$11-Inputs!$B$11),0)))/100)/2</f>
        <v/>
      </c>
      <c r="M1107">
        <f>L1107*(1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7">
        <f>L1107*(1-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1107*(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7">
        <f>(1-Summary!$B$11)*T1107+Summary!$B$11*V1107</f>
        <v/>
      </c>
      <c r="P1107">
        <f>IF(B1149=0,0,O1107/B1149)</f>
        <v/>
      </c>
      <c r="Q1107" t="n">
        <v>0</v>
      </c>
      <c r="R1107" t="n">
        <v>0</v>
      </c>
      <c r="S1107">
        <f>IFERROR(O1107/N1107,0)</f>
        <v/>
      </c>
      <c r="T1107">
        <f>IF(C1107,(Skills!G2*N1107*B1143)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1107*(1-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1107*(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1107*(1-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1107*(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7">
        <f>MAX(0,(Inputs!$B$3-100)*3)+Inputs!$B$28+Inputs!$B$29</f>
        <v/>
      </c>
      <c r="V1107">
        <f>IF(C1107,(Skills!G2*N1107*B1143)*IF(Inputs!$B$38="pvp",1,(1+(Inputs!$B$21+Skills!Q2+(IF(ArtifactsInput!$M$33,CHOOSE(ArtifactsInput!$N$33+1,30,36,42,48,54,60),0))+(IF(AND(ArtifactsInput!$M$35,Inputs!$B$4&lt;&gt;"Chapter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8">
      <c r="A1108">
        <f>Skills!A3</f>
        <v/>
      </c>
      <c r="B1108">
        <f>Skills!B3</f>
        <v/>
      </c>
      <c r="C1108">
        <f>Inputs!$B$3&gt;=50</f>
        <v/>
      </c>
      <c r="D1108">
        <f>IF(Skills!C3=1,60+Inputs!$B$25+Inputs!$B$29,IF(Skills!C3=2,90+Inputs!$B$26+Inputs!$B$29,IF(Skills!C3=3,120+Inputs!$B$27+Inputs!$B$29,MAX(0,(Inputs!$B$3-100)*3)+Inputs!$B$28+Inputs!$B$29)))</f>
        <v/>
      </c>
      <c r="E1108">
        <f>INDEX(FactorTable!$B$2:$Y$301, MATCH(ROUND(MIN(300,MAX(1,D1108)),0), FactorTable!$A$2:$A$301,0), Skills!M3+1)</f>
        <v/>
      </c>
      <c r="F1108">
        <f>IF(Skills!N3=TRUE,(Skills!L3/10)*(E1108/1000),Skills!L3/10)+Skills!O3</f>
        <v/>
      </c>
      <c r="G1108">
        <f>Skills!G3*IF(Skills!H3&gt;0,Skills!I3/Skills!H3,1)</f>
        <v/>
      </c>
      <c r="H1108">
        <f>1-(1-Skills!J3/100)^Skills!K3</f>
        <v/>
      </c>
      <c r="I1108" t="inlineStr">
        <is>
          <t>1</t>
        </is>
      </c>
      <c r="J1108">
        <f>((Inputs!$B$6*(1+(Inputs!$B$7+1)/100))+(((Inputs!$B$12*(1+Inputs!$B$13/100))-(Inputs!$B$12*(1+Inputs!$B$13/100)))+0.25*(Inputs!$B$14-Inputs!$B$14))*(1+(Inputs!$B$7+1)/100))*(F1108/100)</f>
        <v/>
      </c>
      <c r="K1108">
        <f>J1108*(1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1109=TRUE,F1109,0)/100)*(1+(IF(Skills!A3="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1108)</f>
        <v/>
      </c>
      <c r="L1108">
        <f>K1108*(MIN(Inputs!$B$22+((C1130=TRUE)*(F1130-Calc!F25)),(Inputs!$B$23+((C1135=TRUE)*(F1135-Calc!F30))+(IF(ArtifactsInput!$M$15,CHOOSE(ArtifactsInput!$N$15+1,25,30,35,40,45,50)/100*(Inputs!$B$11-Inputs!$B$11),0))))/100+(Inputs!$B$23+((C1135=TRUE)*(F1135-Calc!F30))+(IF(ArtifactsInput!$M$15,CHOOSE(ArtifactsInput!$N$15+1,25,30,35,40,45,50)/100*(Inputs!$B$11-Inputs!$B$11),0)))/100)/2</f>
        <v/>
      </c>
      <c r="M1108">
        <f>L1108*(1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8">
        <f>L1108*(1-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1108*(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8">
        <f>(1-Summary!$B$11)*T1108+Summary!$B$11*V1108</f>
        <v/>
      </c>
      <c r="P1108">
        <f>IF(B1149=0,0,O1108/B1149)</f>
        <v/>
      </c>
      <c r="Q1108">
        <f>IFERROR(1/(IF(Inputs!$B$38="pvp",15,MAX(0.1,Skills!D3-IF(Skills!E3=TRUE,Inputs!$B$32,0)))*(1-IF(AND(ArtifactsInput!$M$27,Inputs!$B$4="Chapter Hunt"),CHOOSE(ArtifactsInput!$N$27+1,20,24,28,32,36,40),0)/100)),0)</f>
        <v/>
      </c>
      <c r="R1108">
        <f>IF(AND(Inputs!$B$38&lt;&gt;"pvp",Inputs!$B$43&gt;0),IF(MAX(0,Inputs!$B$43-B1146)&lt;=0,0,(INT(MAX(0,Inputs!$B$43-B1146)/(IF(Inputs!$B$38="pvp",15,MAX(0.1,Skills!D3-IF(Skills!E3=TRUE,Inputs!$B$32,0)))*(1-IF(AND(ArtifactsInput!$M$27,Inputs!$B$4="Chapter Hunt"),CHOOSE(ArtifactsInput!$N$27+1,20,24,28,32,36,40),0)/100)))+1)),0)</f>
        <v/>
      </c>
      <c r="S1108">
        <f>IFERROR(O1108/N1108,0)</f>
        <v/>
      </c>
      <c r="T1108">
        <f>IF(C1108,(H1108*N1108*IF(AND(Inputs!$B$38&lt;&gt;"pvp",Inputs!$B$43&gt;0),((Skills!G3*((R1108-1)*IF(Skills!H3&gt;0,Skills!I3/Skills!H3,1)+IF(Skills!H3&gt;0,MIN(Skills!I3,MAX(0,MAX(0,Inputs!$B$43-B1146)-((R1108-1)*(IF(Inputs!$B$38="pvp",15,MAX(0.1,Skills!D3-IF(Skills!E3=TRUE,Inputs!$B$32,0)))*(1-IF(AND(ArtifactsInput!$M$27,Inputs!$B$4="Chapter Hunt"),CHOOSE(ArtifactsInput!$N$27+1,20,24,28,32,36,40),0)/100)))))/Skills!H3,1)))/Inputs!$B$43),G1108*Q1108)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1108*(1-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1108*(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1108*(1-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1108*(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8">
        <f>INDEX(FactorTable!$B$2:$Y$301, MATCH(ROUND(MIN(300,MAX(1,U1107)),0), FactorTable!$A$2:$A$301,0), 22)</f>
        <v/>
      </c>
      <c r="V1108">
        <f>IF(C1108,(H1108*N1108*IF(AND(Inputs!$B$38&lt;&gt;"pvp",Inputs!$B$43&gt;0),((Skills!G3*((R1108-1)*IF(Skills!H3&gt;0,Skills!I3/Skills!H3,1)+IF(Skills!H3&gt;0,MIN(Skills!I3,MAX(0,MAX(0,Inputs!$B$43-B1146)-((R1108-1)*(IF(Inputs!$B$38="pvp",15,MAX(0.1,Skills!D3-IF(Skills!E3=TRUE,Inputs!$B$32,0)))*(1-IF(AND(ArtifactsInput!$M$27,Inputs!$B$4="Chapter Hunt"),CHOOSE(ArtifactsInput!$N$27+1,20,24,28,32,36,40),0)/100)))))/Skills!H3,1)))/Inputs!$B$43),G1108*Q1108))*IF(Inputs!$B$38="pvp",1,(1+(Inputs!$B$21+Skills!Q3+(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9">
      <c r="A1109">
        <f>Skills!A4</f>
        <v/>
      </c>
      <c r="B1109">
        <f>Skills!B4</f>
        <v/>
      </c>
      <c r="C1109">
        <f>Inputs!$B$3&gt;=105</f>
        <v/>
      </c>
      <c r="D1109">
        <f>IF(Skills!C4=1,60+Inputs!$B$25+Inputs!$B$29,IF(Skills!C4=2,90+Inputs!$B$26+Inputs!$B$29,IF(Skills!C4=3,120+Inputs!$B$27+Inputs!$B$29,MAX(0,(Inputs!$B$3-100)*3)+Inputs!$B$28+Inputs!$B$29)))</f>
        <v/>
      </c>
      <c r="E1109">
        <f>INDEX(FactorTable!$B$2:$Y$301, MATCH(ROUND(MIN(300,MAX(1,D1109)),0), FactorTable!$A$2:$A$301,0), Skills!M4+1)</f>
        <v/>
      </c>
      <c r="F1109">
        <f>IF(Skills!N4=TRUE,(Skills!L4/10)*(E1109/1000),Skills!L4/10)+Skills!O4</f>
        <v/>
      </c>
      <c r="G1109" t="inlineStr"/>
      <c r="H1109" t="inlineStr"/>
      <c r="I1109" t="inlineStr">
        <is>
          <t>1</t>
        </is>
      </c>
      <c r="J1109" t="inlineStr"/>
      <c r="K1109" t="inlineStr"/>
      <c r="L1109" t="inlineStr"/>
      <c r="M1109" t="inlineStr"/>
      <c r="N1109" t="inlineStr"/>
      <c r="O1109" t="inlineStr"/>
      <c r="P1109" t="inlineStr"/>
      <c r="Q1109" t="inlineStr"/>
      <c r="R1109" t="inlineStr"/>
      <c r="S1109" t="inlineStr"/>
      <c r="T1109" t="inlineStr"/>
      <c r="U1109">
        <f>290*U1108/1000</f>
        <v/>
      </c>
      <c r="V1109" t="inlineStr"/>
    </row>
    <row r="1110">
      <c r="A1110">
        <f>Skills!A5</f>
        <v/>
      </c>
      <c r="B1110">
        <f>Skills!B5</f>
        <v/>
      </c>
      <c r="C1110">
        <f>Inputs!$B$3&gt;=35</f>
        <v/>
      </c>
      <c r="D1110">
        <f>IF(Skills!C5=1,60+Inputs!$B$25+Inputs!$B$29,IF(Skills!C5=2,90+Inputs!$B$26+Inputs!$B$29,IF(Skills!C5=3,120+Inputs!$B$27+Inputs!$B$29,MAX(0,(Inputs!$B$3-100)*3)+Inputs!$B$28+Inputs!$B$29)))</f>
        <v/>
      </c>
      <c r="E1110">
        <f>INDEX(FactorTable!$B$2:$Y$301, MATCH(ROUND(MIN(300,MAX(1,D1110)),0), FactorTable!$A$2:$A$301,0), Skills!M5+1)</f>
        <v/>
      </c>
      <c r="F1110">
        <f>IF(Skills!N5=TRUE,(Skills!L5/10)*(E1110/1000),Skills!L5/10)+Skills!O5</f>
        <v/>
      </c>
      <c r="G1110">
        <f>Skills!G5*IF(Skills!H5&gt;0,Skills!I5/Skills!H5,1)</f>
        <v/>
      </c>
      <c r="H1110">
        <f>1-(1-Skills!J5/100)^Skills!K5</f>
        <v/>
      </c>
      <c r="I1110" t="inlineStr">
        <is>
          <t>1</t>
        </is>
      </c>
      <c r="J1110">
        <f>((Inputs!$B$6*(1+(Inputs!$B$7+1)/100))+(((Inputs!$B$12*(1+Inputs!$B$13/100))-(Inputs!$B$12*(1+Inputs!$B$13/100)))+0.25*(Inputs!$B$14-Inputs!$B$14))*(1+(Inputs!$B$7+1)/100))*(F1110/100)</f>
        <v/>
      </c>
      <c r="K1110">
        <f>J1110*(1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1116=TRUE,F1116,0)/100)*(1+(IF(Skills!A5="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1110)</f>
        <v/>
      </c>
      <c r="L1110">
        <f>K1110*(MIN(Inputs!$B$22+((C1130=TRUE)*(F1130-Calc!F25)),(Inputs!$B$23+((C1135=TRUE)*(F1135-Calc!F30))+(IF(ArtifactsInput!$M$15,CHOOSE(ArtifactsInput!$N$15+1,25,30,35,40,45,50)/100*(Inputs!$B$11-Inputs!$B$11),0))))/100+(Inputs!$B$23+((C1135=TRUE)*(F1135-Calc!F30))+(IF(ArtifactsInput!$M$15,CHOOSE(ArtifactsInput!$N$15+1,25,30,35,40,45,50)/100*(Inputs!$B$11-Inputs!$B$11),0)))/100)/2</f>
        <v/>
      </c>
      <c r="M1110">
        <f>L1110*(1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0">
        <f>L1110*(1-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1110*(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0">
        <f>(1-Summary!$B$11)*T1110+Summary!$B$11*V1110</f>
        <v/>
      </c>
      <c r="P1110">
        <f>IF(B1149=0,0,O1110/B1149)</f>
        <v/>
      </c>
      <c r="Q1110">
        <f>IFERROR(1/(IF(Inputs!$B$38="pvp",15,MAX(0.1,Skills!D5-IF(Skills!E5=TRUE,Inputs!$B$32,0)))*(1-IF(AND(ArtifactsInput!$M$27,Inputs!$B$4="Chapter Hunt"),CHOOSE(ArtifactsInput!$N$27+1,20,24,28,32,36,40),0)/100)),0)</f>
        <v/>
      </c>
      <c r="R1110">
        <f>IF(AND(Inputs!$B$38&lt;&gt;"pvp",Inputs!$B$43&gt;0),IF(MAX(0,Inputs!$B$43-B1146)&lt;=0,0,(INT(MAX(0,Inputs!$B$43-B1146)/(IF(Inputs!$B$38="pvp",15,MAX(0.1,Skills!D5-IF(Skills!E5=TRUE,Inputs!$B$32,0)))*(1-IF(AND(ArtifactsInput!$M$27,Inputs!$B$4="Chapter Hunt"),CHOOSE(ArtifactsInput!$N$27+1,20,24,28,32,36,40),0)/100)))+1)),0)</f>
        <v/>
      </c>
      <c r="S1110">
        <f>IFERROR(O1110/N1110,0)</f>
        <v/>
      </c>
      <c r="T1110">
        <f>IF(C1110,(H1110*N1110*IF(AND(Inputs!$B$38&lt;&gt;"pvp",Inputs!$B$43&gt;0),((Skills!G5*((R1110-1)*IF(Skills!H5&gt;0,Skills!I5/Skills!H5,1)+IF(Skills!H5&gt;0,MIN(Skills!I5,MAX(0,MAX(0,Inputs!$B$43-B1146)-((R1110-1)*(IF(Inputs!$B$38="pvp",15,MAX(0.1,Skills!D5-IF(Skills!E5=TRUE,Inputs!$B$32,0)))*(1-IF(AND(ArtifactsInput!$M$27,Inputs!$B$4="Chapter Hunt"),CHOOSE(ArtifactsInput!$N$27+1,20,24,28,32,36,40),0)/100)))))/Skills!H5,1)))/Inputs!$B$43),G1110*Q1110)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1110*(1-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1110*(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1110*(1-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1110*(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0">
        <f>IF(C1110,(H1110*N1110*IF(AND(Inputs!$B$38&lt;&gt;"pvp",Inputs!$B$43&gt;0),((Skills!G5*((R1110-1)*IF(Skills!H5&gt;0,Skills!I5/Skills!H5,1)+IF(Skills!H5&gt;0,MIN(Skills!I5,MAX(0,MAX(0,Inputs!$B$43-B1146)-((R1110-1)*(IF(Inputs!$B$38="pvp",15,MAX(0.1,Skills!D5-IF(Skills!E5=TRUE,Inputs!$B$32,0)))*(1-IF(AND(ArtifactsInput!$M$27,Inputs!$B$4="Chapter Hunt"),CHOOSE(ArtifactsInput!$N$27+1,20,24,28,32,36,40),0)/100)))))/Skills!H5,1)))/Inputs!$B$43),G1110*Q1110))*IF(Inputs!$B$38="pvp",1,(1+(Inputs!$B$21+Skills!Q5+(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1">
      <c r="A1111">
        <f>Skills!A6</f>
        <v/>
      </c>
      <c r="B1111">
        <f>Skills!B6</f>
        <v/>
      </c>
      <c r="C1111">
        <f>Inputs!$B$3&gt;=40</f>
        <v/>
      </c>
      <c r="D1111">
        <f>IF(Skills!C6=1,60+Inputs!$B$25+Inputs!$B$29,IF(Skills!C6=2,90+Inputs!$B$26+Inputs!$B$29,IF(Skills!C6=3,120+Inputs!$B$27+Inputs!$B$29,MAX(0,(Inputs!$B$3-100)*3)+Inputs!$B$28+Inputs!$B$29)))</f>
        <v/>
      </c>
      <c r="E1111">
        <f>INDEX(FactorTable!$B$2:$Y$301, MATCH(ROUND(MIN(300,MAX(1,D1111)),0), FactorTable!$A$2:$A$301,0), Skills!M6+1)</f>
        <v/>
      </c>
      <c r="F1111">
        <f>IF(Skills!N6=TRUE,(Skills!L6/10)*(E1111/1000),Skills!L6/10)+Skills!O6</f>
        <v/>
      </c>
      <c r="G1111">
        <f>Skills!G6*IF(Skills!H6&gt;0,Skills!I6/Skills!H6,1)</f>
        <v/>
      </c>
      <c r="H1111">
        <f>1-(1-Skills!J6/100)^Skills!K6</f>
        <v/>
      </c>
      <c r="I1111" t="inlineStr">
        <is>
          <t>1</t>
        </is>
      </c>
      <c r="J1111">
        <f>((Inputs!$B$6*(1+(Inputs!$B$7+1)/100))+(((Inputs!$B$12*(1+Inputs!$B$13/100))-(Inputs!$B$12*(1+Inputs!$B$13/100)))+0.25*(Inputs!$B$14-Inputs!$B$14))*(1+(Inputs!$B$7+1)/100))*(F1111/100)</f>
        <v/>
      </c>
      <c r="K1111">
        <f>J1111*(1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1112=TRUE,F1112,0)/100)*(1+(IF(Skills!A6="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1111)</f>
        <v/>
      </c>
      <c r="L1111">
        <f>K1111*(MIN(Inputs!$B$22+((C1130=TRUE)*(F1130-Calc!F25)),(Inputs!$B$23+((C1135=TRUE)*(F1135-Calc!F30))+(IF(ArtifactsInput!$M$15,CHOOSE(ArtifactsInput!$N$15+1,25,30,35,40,45,50)/100*(Inputs!$B$11-Inputs!$B$11),0))))/100+(Inputs!$B$23+((C1135=TRUE)*(F1135-Calc!F30))+(IF(ArtifactsInput!$M$15,CHOOSE(ArtifactsInput!$N$15+1,25,30,35,40,45,50)/100*(Inputs!$B$11-Inputs!$B$11),0)))/100)/2</f>
        <v/>
      </c>
      <c r="M1111">
        <f>L1111*(1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1">
        <f>L1111*(1-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1">
        <f>(1-Summary!$B$11)*T1111+Summary!$B$11*V1111</f>
        <v/>
      </c>
      <c r="P1111">
        <f>IF(B1149=0,0,O1111/B1149)</f>
        <v/>
      </c>
      <c r="Q1111">
        <f>IFERROR(1/(IF(Inputs!$B$38="pvp",15,MAX(0.1,Skills!D6-IF(Skills!E6=TRUE,Inputs!$B$32,0)))*(1-IF(AND(ArtifactsInput!$M$27,Inputs!$B$4="Chapter Hunt"),CHOOSE(ArtifactsInput!$N$27+1,20,24,28,32,36,40),0)/100)),0)</f>
        <v/>
      </c>
      <c r="R1111">
        <f>IF(AND(Inputs!$B$38&lt;&gt;"pvp",Inputs!$B$43&gt;0),IF(MAX(0,Inputs!$B$43-B1146)&lt;=0,0,(INT(MAX(0,Inputs!$B$43-B1146)/(IF(Inputs!$B$38="pvp",15,MAX(0.1,Skills!D6-IF(Skills!E6=TRUE,Inputs!$B$32,0)))*(1-IF(AND(ArtifactsInput!$M$27,Inputs!$B$4="Chapter Hunt"),CHOOSE(ArtifactsInput!$N$27+1,20,24,28,32,36,40),0)/100)))+1)),0)</f>
        <v/>
      </c>
      <c r="S1111">
        <f>IFERROR(O1111/N1111,0)</f>
        <v/>
      </c>
      <c r="T1111">
        <f>IF(C1111,(H1111*N1111*IF(AND(Inputs!$B$38&lt;&gt;"pvp",Inputs!$B$43&gt;0),((Skills!G6*((R1111-1)*IF(Skills!H6&gt;0,Skills!I6/Skills!H6,1)+IF(Skills!H6&gt;0,MIN(Skills!I6,MAX(0,MAX(0,Inputs!$B$43-B1146)-((R1111-1)*(IF(Inputs!$B$38="pvp",15,MAX(0.1,Skills!D6-IF(Skills!E6=TRUE,Inputs!$B$32,0)))*(1-IF(AND(ArtifactsInput!$M$27,Inputs!$B$4="Chapter Hunt"),CHOOSE(ArtifactsInput!$N$27+1,20,24,28,32,36,40),0)/100)))))/Skills!H6,1)))/Inputs!$B$43),G1111*Q1111)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1111*(1-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1111*(1-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1">
        <f>IF(C1111,(H1111*N1111*IF(AND(Inputs!$B$38&lt;&gt;"pvp",Inputs!$B$43&gt;0),((Skills!G6*((R1111-1)*IF(Skills!H6&gt;0,Skills!I6/Skills!H6,1)+IF(Skills!H6&gt;0,MIN(Skills!I6,MAX(0,MAX(0,Inputs!$B$43-B1146)-((R1111-1)*(IF(Inputs!$B$38="pvp",15,MAX(0.1,Skills!D6-IF(Skills!E6=TRUE,Inputs!$B$32,0)))*(1-IF(AND(ArtifactsInput!$M$27,Inputs!$B$4="Chapter Hunt"),CHOOSE(ArtifactsInput!$N$27+1,20,24,28,32,36,40),0)/100)))))/Skills!H6,1)))/Inputs!$B$43),G1111*Q1111))*IF(Inputs!$B$38="pvp",1,(1+(Inputs!$B$21+Skills!Q6+(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2">
      <c r="A1112">
        <f>Skills!A7</f>
        <v/>
      </c>
      <c r="B1112">
        <f>Skills!B7</f>
        <v/>
      </c>
      <c r="C1112">
        <f>Inputs!$B$3&gt;=107</f>
        <v/>
      </c>
      <c r="D1112">
        <f>IF(Skills!C7=1,60+Inputs!$B$25+Inputs!$B$29,IF(Skills!C7=2,90+Inputs!$B$26+Inputs!$B$29,IF(Skills!C7=3,120+Inputs!$B$27+Inputs!$B$29,MAX(0,(Inputs!$B$3-100)*3)+Inputs!$B$28+Inputs!$B$29)))</f>
        <v/>
      </c>
      <c r="E1112">
        <f>INDEX(FactorTable!$B$2:$Y$301, MATCH(ROUND(MIN(300,MAX(1,D1112)),0), FactorTable!$A$2:$A$301,0), Skills!M7+1)</f>
        <v/>
      </c>
      <c r="F1112">
        <f>IF(Skills!N7=TRUE,(Skills!L7/10)*(E1112/1000),Skills!L7/10)+Skills!O7</f>
        <v/>
      </c>
      <c r="G1112" t="inlineStr"/>
      <c r="H1112" t="inlineStr"/>
      <c r="I1112" t="inlineStr">
        <is>
          <t>1</t>
        </is>
      </c>
      <c r="J1112" t="inlineStr"/>
      <c r="K1112" t="inlineStr"/>
      <c r="L1112" t="inlineStr"/>
      <c r="M1112" t="inlineStr"/>
      <c r="N1112" t="inlineStr"/>
      <c r="O1112" t="inlineStr"/>
      <c r="P1112" t="inlineStr"/>
      <c r="Q1112" t="inlineStr"/>
      <c r="R1112" t="inlineStr"/>
      <c r="S1112" t="inlineStr"/>
      <c r="T1112" t="inlineStr"/>
      <c r="V1112" t="inlineStr"/>
    </row>
    <row r="1113">
      <c r="A1113">
        <f>Skills!A8</f>
        <v/>
      </c>
      <c r="B1113">
        <f>Skills!B8</f>
        <v/>
      </c>
      <c r="C1113">
        <f>Inputs!$B$3&gt;=69</f>
        <v/>
      </c>
      <c r="D1113">
        <f>IF(Skills!C8=1,60+Inputs!$B$25+Inputs!$B$29,IF(Skills!C8=2,90+Inputs!$B$26+Inputs!$B$29,IF(Skills!C8=3,120+Inputs!$B$27+Inputs!$B$29,MAX(0,(Inputs!$B$3-100)*3)+Inputs!$B$28+Inputs!$B$29)))</f>
        <v/>
      </c>
      <c r="E1113">
        <f>INDEX(FactorTable!$B$2:$Y$301, MATCH(ROUND(MIN(300,MAX(1,D1113)),0), FactorTable!$A$2:$A$301,0), Skills!M8+1)</f>
        <v/>
      </c>
      <c r="F1113">
        <f>IF(Skills!N8=TRUE,(Skills!L8/10)*(E1113/1000),Skills!L8/10)+Skills!O8</f>
        <v/>
      </c>
      <c r="G1113">
        <f>Skills!G8*IF(Skills!H8&gt;0,Skills!I8/Skills!H8,1)</f>
        <v/>
      </c>
      <c r="H1113">
        <f>1-(1-Skills!J8/100)^Skills!K8</f>
        <v/>
      </c>
      <c r="I1113" t="inlineStr">
        <is>
          <t>1</t>
        </is>
      </c>
      <c r="J1113">
        <f>((Inputs!$B$6*(1+(Inputs!$B$7+1)/100))+(((Inputs!$B$12*(1+Inputs!$B$13/100))-(Inputs!$B$12*(1+Inputs!$B$13/100)))+0.25*(Inputs!$B$14-Inputs!$B$14))*(1+(Inputs!$B$7+1)/100))*(F1113/100)</f>
        <v/>
      </c>
      <c r="K1113">
        <f>J1113*(1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1116=TRUE,F1116,0)/100)*(1+(IF(Skills!A8="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1113)</f>
        <v/>
      </c>
      <c r="L1113">
        <f>K1113*(MIN(Inputs!$B$22+((C1130=TRUE)*(F1130-Calc!F25)),(Inputs!$B$23+((C1135=TRUE)*(F1135-Calc!F30))+(IF(ArtifactsInput!$M$15,CHOOSE(ArtifactsInput!$N$15+1,25,30,35,40,45,50)/100*(Inputs!$B$11-Inputs!$B$11),0))))/100+(Inputs!$B$23+((C1135=TRUE)*(F1135-Calc!F30))+(IF(ArtifactsInput!$M$15,CHOOSE(ArtifactsInput!$N$15+1,25,30,35,40,45,50)/100*(Inputs!$B$11-Inputs!$B$11),0)))/100)/2</f>
        <v/>
      </c>
      <c r="M1113">
        <f>L1113*(1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3">
        <f>L1113*(1-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1113*(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3">
        <f>(1-Summary!$B$11)*T1113+Summary!$B$11*V1113</f>
        <v/>
      </c>
      <c r="P1113">
        <f>IF(B1149=0,0,O1113/B1149)</f>
        <v/>
      </c>
      <c r="Q1113">
        <f>IFERROR(1/(IF(Inputs!$B$38="pvp",15,MAX(0.1,Skills!D8-IF(Skills!E8=TRUE,Inputs!$B$32,0)))*(1-IF(AND(ArtifactsInput!$M$27,Inputs!$B$4="Chapter Hunt"),CHOOSE(ArtifactsInput!$N$27+1,20,24,28,32,36,40),0)/100)),0)</f>
        <v/>
      </c>
      <c r="R1113">
        <f>IF(AND(Inputs!$B$38&lt;&gt;"pvp",Inputs!$B$43&gt;0),IF(MAX(0,Inputs!$B$43-B1146)&lt;=0,0,(INT(MAX(0,Inputs!$B$43-B1146)/(IF(Inputs!$B$38="pvp",15,MAX(0.1,Skills!D8-IF(Skills!E8=TRUE,Inputs!$B$32,0)))*(1-IF(AND(ArtifactsInput!$M$27,Inputs!$B$4="Chapter Hunt"),CHOOSE(ArtifactsInput!$N$27+1,20,24,28,32,36,40),0)/100)))+1)),0)</f>
        <v/>
      </c>
      <c r="S1113">
        <f>IFERROR(O1113/N1113,0)</f>
        <v/>
      </c>
      <c r="T1113">
        <f>IF(C1113,(H1113*N1113*IF(AND(Inputs!$B$38&lt;&gt;"pvp",Inputs!$B$43&gt;0),((Skills!G8*((R1113-1)*IF(Skills!H8&gt;0,Skills!I8/Skills!H8,1)+IF(Skills!H8&gt;0,MIN(Skills!I8,MAX(0,MAX(0,Inputs!$B$43-B1146)-((R1113-1)*(IF(Inputs!$B$38="pvp",15,MAX(0.1,Skills!D8-IF(Skills!E8=TRUE,Inputs!$B$32,0)))*(1-IF(AND(ArtifactsInput!$M$27,Inputs!$B$4="Chapter Hunt"),CHOOSE(ArtifactsInput!$N$27+1,20,24,28,32,36,40),0)/100)))))/Skills!H8,1)))/Inputs!$B$43),G1113*Q1113)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1113*(1-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1113*(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1113*(1-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1113*(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3">
        <f>IF(C1113,(H1113*N1113*IF(AND(Inputs!$B$38&lt;&gt;"pvp",Inputs!$B$43&gt;0),((Skills!G8*((R1113-1)*IF(Skills!H8&gt;0,Skills!I8/Skills!H8,1)+IF(Skills!H8&gt;0,MIN(Skills!I8,MAX(0,MAX(0,Inputs!$B$43-B1146)-((R1113-1)*(IF(Inputs!$B$38="pvp",15,MAX(0.1,Skills!D8-IF(Skills!E8=TRUE,Inputs!$B$32,0)))*(1-IF(AND(ArtifactsInput!$M$27,Inputs!$B$4="Chapter Hunt"),CHOOSE(ArtifactsInput!$N$27+1,20,24,28,32,36,40),0)/100)))))/Skills!H8,1)))/Inputs!$B$43),G1113*Q1113))*IF(Inputs!$B$38="pvp",1,(1+(Inputs!$B$21+Skills!Q8+(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4">
      <c r="A1114">
        <f>Skills!A9</f>
        <v/>
      </c>
      <c r="B1114">
        <f>Skills!B9</f>
        <v/>
      </c>
      <c r="C1114">
        <f>Inputs!$B$3&gt;=63</f>
        <v/>
      </c>
      <c r="D1114">
        <f>IF(Skills!C9=1,60+Inputs!$B$25+Inputs!$B$29,IF(Skills!C9=2,90+Inputs!$B$26+Inputs!$B$29,IF(Skills!C9=3,120+Inputs!$B$27+Inputs!$B$29,MAX(0,(Inputs!$B$3-100)*3)+Inputs!$B$28+Inputs!$B$29)))</f>
        <v/>
      </c>
      <c r="E1114">
        <f>INDEX(FactorTable!$B$2:$Y$301, MATCH(ROUND(MIN(300,MAX(1,D1114)),0), FactorTable!$A$2:$A$301,0), Skills!M9+1)</f>
        <v/>
      </c>
      <c r="F1114">
        <f>IF(Skills!N9=TRUE,(Skills!L9/10)*(E1114/1000),Skills!L9/10)+Skills!O9</f>
        <v/>
      </c>
      <c r="G1114">
        <f>Skills!G9*IF(Skills!H9&gt;0,Skills!I9/Skills!H9,1)</f>
        <v/>
      </c>
      <c r="H1114">
        <f>1-(1-Skills!J9/100)^Skills!K9</f>
        <v/>
      </c>
      <c r="I1114" t="inlineStr">
        <is>
          <t>1</t>
        </is>
      </c>
      <c r="J1114">
        <f>((Inputs!$B$6*(1+(Inputs!$B$7+1)/100))+(((Inputs!$B$12*(1+Inputs!$B$13/100))-(Inputs!$B$12*(1+Inputs!$B$13/100)))+0.25*(Inputs!$B$14-Inputs!$B$14))*(1+(Inputs!$B$7+1)/100))*(F1114/100)</f>
        <v/>
      </c>
      <c r="K1114">
        <f>J1114*(1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1116=TRUE,F1116,0)/100)*(1+(IF(Skills!A9="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1114)</f>
        <v/>
      </c>
      <c r="L1114">
        <f>K1114*(MIN(Inputs!$B$22+((C1130=TRUE)*(F1130-Calc!F25)),(Inputs!$B$23+((C1135=TRUE)*(F1135-Calc!F30))+(IF(ArtifactsInput!$M$15,CHOOSE(ArtifactsInput!$N$15+1,25,30,35,40,45,50)/100*(Inputs!$B$11-Inputs!$B$11),0))))/100+(Inputs!$B$23+((C1135=TRUE)*(F1135-Calc!F30))+(IF(ArtifactsInput!$M$15,CHOOSE(ArtifactsInput!$N$15+1,25,30,35,40,45,50)/100*(Inputs!$B$11-Inputs!$B$11),0)))/100)/2</f>
        <v/>
      </c>
      <c r="M1114">
        <f>L1114*(1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4">
        <f>L1114*(1-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1114*(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4">
        <f>(1-Summary!$B$11)*T1114+Summary!$B$11*V1114</f>
        <v/>
      </c>
      <c r="P1114">
        <f>IF(B1149=0,0,O1114/B1149)</f>
        <v/>
      </c>
      <c r="Q1114">
        <f>IFERROR(1/(IF(Inputs!$B$38="pvp",15,MAX(0.1,Skills!D9-IF(Skills!E9=TRUE,Inputs!$B$32,0)))*(1-IF(AND(ArtifactsInput!$M$27,Inputs!$B$4="Chapter Hunt"),CHOOSE(ArtifactsInput!$N$27+1,20,24,28,32,36,40),0)/100)),0)</f>
        <v/>
      </c>
      <c r="R1114">
        <f>IF(AND(Inputs!$B$38&lt;&gt;"pvp",Inputs!$B$43&gt;0),IF(MAX(0,Inputs!$B$43-B1146)&lt;=0,0,(INT(MAX(0,Inputs!$B$43-B1146)/(IF(Inputs!$B$38="pvp",15,MAX(0.1,Skills!D9-IF(Skills!E9=TRUE,Inputs!$B$32,0)))*(1-IF(AND(ArtifactsInput!$M$27,Inputs!$B$4="Chapter Hunt"),CHOOSE(ArtifactsInput!$N$27+1,20,24,28,32,36,40),0)/100)))+1)),0)</f>
        <v/>
      </c>
      <c r="S1114">
        <f>IFERROR(O1114/N1114,0)</f>
        <v/>
      </c>
      <c r="T1114">
        <f>IF(C1114,(H1114*N1114*IF(AND(Inputs!$B$38&lt;&gt;"pvp",Inputs!$B$43&gt;0),((Skills!G9*((R1114-1)*IF(Skills!H9&gt;0,Skills!I9/Skills!H9,1)+IF(Skills!H9&gt;0,MIN(Skills!I9,MAX(0,MAX(0,Inputs!$B$43-B1146)-((R1114-1)*(IF(Inputs!$B$38="pvp",15,MAX(0.1,Skills!D9-IF(Skills!E9=TRUE,Inputs!$B$32,0)))*(1-IF(AND(ArtifactsInput!$M$27,Inputs!$B$4="Chapter Hunt"),CHOOSE(ArtifactsInput!$N$27+1,20,24,28,32,36,40),0)/100)))))/Skills!H9,1)))/Inputs!$B$43),G1114*Q1114)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1114*(1-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1114*(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1114*(1-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1114*(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4">
        <f>IF(C1114,(H1114*N1114*IF(AND(Inputs!$B$38&lt;&gt;"pvp",Inputs!$B$43&gt;0),((Skills!G9*((R1114-1)*IF(Skills!H9&gt;0,Skills!I9/Skills!H9,1)+IF(Skills!H9&gt;0,MIN(Skills!I9,MAX(0,MAX(0,Inputs!$B$43-B1146)-((R1114-1)*(IF(Inputs!$B$38="pvp",15,MAX(0.1,Skills!D9-IF(Skills!E9=TRUE,Inputs!$B$32,0)))*(1-IF(AND(ArtifactsInput!$M$27,Inputs!$B$4="Chapter Hunt"),CHOOSE(ArtifactsInput!$N$27+1,20,24,28,32,36,40),0)/100)))))/Skills!H9,1)))/Inputs!$B$43),G1114*Q1114))*IF(Inputs!$B$38="pvp",1,(1+(Inputs!$B$21+Skills!Q9+(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5">
      <c r="A1115">
        <f>Skills!A10</f>
        <v/>
      </c>
      <c r="B1115">
        <f>Skills!B10</f>
        <v/>
      </c>
      <c r="C1115">
        <f>Inputs!$B$3&gt;=103</f>
        <v/>
      </c>
      <c r="D1115">
        <f>IF(Skills!C10=1,60+Inputs!$B$25+Inputs!$B$29,IF(Skills!C10=2,90+Inputs!$B$26+Inputs!$B$29,IF(Skills!C10=3,120+Inputs!$B$27+Inputs!$B$29,MAX(0,(Inputs!$B$3-100)*3)+Inputs!$B$28+Inputs!$B$29)))</f>
        <v/>
      </c>
      <c r="E1115">
        <f>INDEX(FactorTable!$B$2:$Y$301, MATCH(ROUND(MIN(300,MAX(1,D1115)),0), FactorTable!$A$2:$A$301,0), Skills!M10+1)</f>
        <v/>
      </c>
      <c r="F1115">
        <f>IF(Skills!N10=TRUE,(Skills!L10/10)*(E1115/1000),Skills!L10/10)+Skills!O10</f>
        <v/>
      </c>
      <c r="G1115">
        <f>Skills!G10*IF(Skills!H10&gt;0,Skills!I10/Skills!H10,1)</f>
        <v/>
      </c>
      <c r="H1115">
        <f>1-(1-Skills!J10/100)^Skills!K10</f>
        <v/>
      </c>
      <c r="I1115" t="inlineStr">
        <is>
          <t>1</t>
        </is>
      </c>
      <c r="J1115">
        <f>((Inputs!$B$6*(1+(Inputs!$B$7+1)/100))+(((Inputs!$B$12*(1+Inputs!$B$13/100))-(Inputs!$B$12*(1+Inputs!$B$13/100)))+0.25*(Inputs!$B$14-Inputs!$B$14))*(1+(Inputs!$B$7+1)/100))*(F1115/100)</f>
        <v/>
      </c>
      <c r="K1115">
        <f>J1115*(1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1115)</f>
        <v/>
      </c>
      <c r="L1115">
        <f>K1115*(MIN(Inputs!$B$22+((C1130=TRUE)*(F1130-Calc!F25)),(Inputs!$B$23+((C1135=TRUE)*(F1135-Calc!F30))+(IF(ArtifactsInput!$M$15,CHOOSE(ArtifactsInput!$N$15+1,25,30,35,40,45,50)/100*(Inputs!$B$11-Inputs!$B$11),0))))/100+(Inputs!$B$23+((C1135=TRUE)*(F1135-Calc!F30))+(IF(ArtifactsInput!$M$15,CHOOSE(ArtifactsInput!$N$15+1,25,30,35,40,45,50)/100*(Inputs!$B$11-Inputs!$B$11),0)))/100)/2</f>
        <v/>
      </c>
      <c r="M1115">
        <f>L1115*(1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5">
        <f>L1115*(1-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1115*(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5">
        <f>(1-Summary!$B$11)*T1115+Summary!$B$11*V1115</f>
        <v/>
      </c>
      <c r="P1115">
        <f>IF(B1149=0,0,O1115/B1149)</f>
        <v/>
      </c>
      <c r="Q1115">
        <f>IFERROR(1/(IF(Inputs!$B$38="pvp",15,MAX(0.1,Skills!D10-IF(Skills!E10=TRUE,Inputs!$B$32,0)))*(1-IF(AND(ArtifactsInput!$M$27,Inputs!$B$4="Chapter Hunt"),CHOOSE(ArtifactsInput!$N$27+1,20,24,28,32,36,40),0)/100)),0)</f>
        <v/>
      </c>
      <c r="R1115">
        <f>IF(AND(Inputs!$B$38&lt;&gt;"pvp",Inputs!$B$43&gt;0),IF(MAX(0,Inputs!$B$43-B1146)&lt;=0,0,(INT(MAX(0,Inputs!$B$43-B1146)/(IF(Inputs!$B$38="pvp",15,MAX(0.1,Skills!D10-IF(Skills!E10=TRUE,Inputs!$B$32,0)))*(1-IF(AND(ArtifactsInput!$M$27,Inputs!$B$4="Chapter Hunt"),CHOOSE(ArtifactsInput!$N$27+1,20,24,28,32,36,40),0)/100)))+1)),0)</f>
        <v/>
      </c>
      <c r="S1115">
        <f>IFERROR(O1115/N1115,0)</f>
        <v/>
      </c>
      <c r="T1115">
        <f>IF(C1115,(H1115*N1115*IF(AND(Inputs!$B$38&lt;&gt;"pvp",Inputs!$B$43&gt;0),((Skills!G10*((R1115-1)*IF(Skills!H10&gt;0,Skills!I10/Skills!H10,1)+IF(Skills!H10&gt;0,MIN(Skills!I10,MAX(0,MAX(0,Inputs!$B$43-B1146)-((R1115-1)*(IF(Inputs!$B$38="pvp",15,MAX(0.1,Skills!D10-IF(Skills!E10=TRUE,Inputs!$B$32,0)))*(1-IF(AND(ArtifactsInput!$M$27,Inputs!$B$4="Chapter Hunt"),CHOOSE(ArtifactsInput!$N$27+1,20,24,28,32,36,40),0)/100)))))/Skills!H10,1)))/Inputs!$B$43),G1115*Q1115)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1115*(1-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1115*(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1115*(1-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1115*(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5">
        <f>IF(C1115,(H1115*N1115*IF(AND(Inputs!$B$38&lt;&gt;"pvp",Inputs!$B$43&gt;0),((Skills!G10*((R1115-1)*IF(Skills!H10&gt;0,Skills!I10/Skills!H10,1)+IF(Skills!H10&gt;0,MIN(Skills!I10,MAX(0,MAX(0,Inputs!$B$43-B1146)-((R1115-1)*(IF(Inputs!$B$38="pvp",15,MAX(0.1,Skills!D10-IF(Skills!E10=TRUE,Inputs!$B$32,0)))*(1-IF(AND(ArtifactsInput!$M$27,Inputs!$B$4="Chapter Hunt"),CHOOSE(ArtifactsInput!$N$27+1,20,24,28,32,36,40),0)/100)))))/Skills!H10,1)))/Inputs!$B$43),G1115*Q1115))*IF(Inputs!$B$38="pvp",1,(1+(Inputs!$B$21+Skills!Q10+(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6">
      <c r="A1116">
        <f>Skills!A11</f>
        <v/>
      </c>
      <c r="B1116">
        <f>Skills!B11</f>
        <v/>
      </c>
      <c r="C1116">
        <f>Inputs!$B$3&gt;=100</f>
        <v/>
      </c>
      <c r="D1116">
        <f>IF(Skills!C11=1,60+Inputs!$B$25+Inputs!$B$29,IF(Skills!C11=2,90+Inputs!$B$26+Inputs!$B$29,IF(Skills!C11=3,120+Inputs!$B$27+Inputs!$B$29,MAX(0,(Inputs!$B$3-100)*3)+Inputs!$B$28+Inputs!$B$29)))</f>
        <v/>
      </c>
      <c r="E1116">
        <f>INDEX(FactorTable!$B$2:$Y$301, MATCH(ROUND(MIN(300,MAX(1,D1116)),0), FactorTable!$A$2:$A$301,0), Skills!M11+1)</f>
        <v/>
      </c>
      <c r="F1116">
        <f>IF(Skills!N11=TRUE,(Skills!L11/10)*(E1116/1000),Skills!L11/10)+Skills!O11</f>
        <v/>
      </c>
      <c r="G1116" t="inlineStr"/>
      <c r="H1116" t="inlineStr"/>
      <c r="I1116" t="inlineStr">
        <is>
          <t>1</t>
        </is>
      </c>
      <c r="J1116" t="inlineStr"/>
      <c r="K1116" t="inlineStr"/>
      <c r="L1116" t="inlineStr"/>
      <c r="M1116" t="inlineStr"/>
      <c r="N1116" t="inlineStr"/>
      <c r="O1116" t="inlineStr"/>
      <c r="P1116" t="inlineStr"/>
      <c r="Q1116" t="inlineStr"/>
      <c r="R1116" t="inlineStr"/>
      <c r="S1116" t="inlineStr"/>
      <c r="T1116" t="inlineStr"/>
      <c r="V1116" t="inlineStr"/>
    </row>
    <row r="1117">
      <c r="A1117">
        <f>Skills!A12</f>
        <v/>
      </c>
      <c r="B1117">
        <f>Skills!B12</f>
        <v/>
      </c>
      <c r="C1117">
        <f>Inputs!$B$3&gt;=60</f>
        <v/>
      </c>
      <c r="D1117">
        <f>IF(Skills!C12=1,60+Inputs!$B$25+Inputs!$B$29,IF(Skills!C12=2,90+Inputs!$B$26+Inputs!$B$29,IF(Skills!C12=3,120+Inputs!$B$27+Inputs!$B$29,MAX(0,(Inputs!$B$3-100)*3)+Inputs!$B$28+Inputs!$B$29)))</f>
        <v/>
      </c>
      <c r="E1117">
        <f>INDEX(FactorTable!$B$2:$Y$301, MATCH(ROUND(MIN(300,MAX(1,D1117)),0), FactorTable!$A$2:$A$301,0), Skills!M12+1)</f>
        <v/>
      </c>
      <c r="F1117">
        <f>IF(Skills!N12=TRUE,(Skills!L12/10)*(E1117/1000),Skills!L12/10)+Skills!O12</f>
        <v/>
      </c>
      <c r="G1117">
        <f>Skills!G12*IF(Skills!H12&gt;0,Skills!I12/Skills!H12,1)</f>
        <v/>
      </c>
      <c r="H1117">
        <f>1-(1-Skills!J12/100)^Skills!K12</f>
        <v/>
      </c>
      <c r="I1117" t="inlineStr">
        <is>
          <t>1</t>
        </is>
      </c>
      <c r="J1117">
        <f>((Inputs!$B$6*(1+(Inputs!$B$7+1)/100))+(((Inputs!$B$12*(1+Inputs!$B$13/100))-(Inputs!$B$12*(1+Inputs!$B$13/100)))+0.25*(Inputs!$B$14-Inputs!$B$14))*(1+(Inputs!$B$7+1)/100))*(F1117/100)</f>
        <v/>
      </c>
      <c r="K1117">
        <f>J1117*(1+((Inputs!$B$12*(1+Inputs!$B$13/100))*0.01+Inputs!$B$14*0.0025)/100)*(1+Inputs!$B$15/100)*(1+Inputs!$B$16/100)*(5000/(6000+Inputs!$B$42*(1-(100*(1-(1-(Inputs!$B$19+((C1133=TRUE)*(F1133-Calc!F28)))/100)*(1-CHOOSE(ArtifactsInput!$N$40+1,5,6,7,8,9,10)/100)^(ArtifactsInput!$M$40-ArtifactsInput!$M$40)))/100)))*(1+(Inputs!$B$24+((C1131=TRUE)*(F1131-Calc!F26))+((C1132=TRUE)*(F1132-Calc!F27))+B1145)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1118=TRUE,F1118,0)/100)*(1+(IF(Skills!A12="ARROW_STREAM",Inputs!$B$17+((C1129=TRUE)*(F1129-Calc!F24))+(((IF(AND(ArtifactsInput!$M$42,((Inputs!$B$9+((C1126=TRUE)*(F1126-Calc!F21))+B1139+(ArtifactsInput!$M$24-ArtifactsInput!$M$24)*CHOOSE(ArtifactsInput!$N$24+1,10,12,14,16,18,20)+IF(ArtifactsInput!$M$10,CHOOSE(ArtifactsInput!$N$10+1,15,18,21,24,27,30)*(IF(Inputs!$B$38="pvp",MIN(15,15)/15,IF(AND(Inputs!$B$38&lt;&gt;"pvp",Inputs!$B$43&gt;0),MIN(15,Inputs!$B$43)/(Inputs!$B$43),0))),0)))&gt;=100),MIN(100,((Inputs!$B$9+((C1126=TRUE)*(F1126-Calc!F21))+B1139+(ArtifactsInput!$M$24-ArtifactsInput!$M$24)*CHOOSE(ArtifactsInput!$N$24+1,10,12,14,16,18,20)+IF(ArtifactsInput!$M$10,CHOOSE(ArtifactsInput!$N$10+1,15,18,21,24,27,30)*(IF(Inputs!$B$38="pvp",MIN(15,15)/15,IF(AND(Inputs!$B$38&lt;&gt;"pvp",Inputs!$B$43&gt;0),MIN(15,Inputs!$B$43)/(Inputs!$B$43),0))),0)))-100),0))*CHOOSE(ArtifactsInput!$N$42+1,0.6,0.72,0.84,0.96,1.08,1.2))),Inputs!$B$18+((C1134=TRUE)*(F1134-Calc!F29))+(IF(AND(ArtifactsInput!$M$42,((Inputs!$B$9+((C1126=TRUE)*(F1126-Calc!F21))+B1139+(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1117)</f>
        <v/>
      </c>
      <c r="L1117">
        <f>K1117*(MIN(Inputs!$B$22+((C1130=TRUE)*(F1130-Calc!F25)),(Inputs!$B$23+((C1135=TRUE)*(F1135-Calc!F30))+(IF(ArtifactsInput!$M$15,CHOOSE(ArtifactsInput!$N$15+1,25,30,35,40,45,50)/100*(Inputs!$B$11-Inputs!$B$11),0))))/100+(Inputs!$B$23+((C1135=TRUE)*(F1135-Calc!F30))+(IF(ArtifactsInput!$M$15,CHOOSE(ArtifactsInput!$N$15+1,25,30,35,40,45,50)/100*(Inputs!$B$11-Inputs!$B$11),0)))/100)/2</f>
        <v/>
      </c>
      <c r="M1117">
        <f>L1117*(1+(Inputs!$B$10+0+B1144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7">
        <f>L1117*(1-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1117*(MIN((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7">
        <f>(1-Summary!$B$11)*T1117+Summary!$B$11*V1117</f>
        <v/>
      </c>
      <c r="P1117">
        <f>IF(B1149=0,0,O1117/B1149)</f>
        <v/>
      </c>
      <c r="Q1117">
        <f>IFERROR(1/(IF(Inputs!$B$38="pvp",15,MAX(0.1,Skills!D12-IF(Skills!E12=TRUE,Inputs!$B$32,0)))*(1-IF(AND(ArtifactsInput!$M$27,Inputs!$B$4="Chapter Hunt"),CHOOSE(ArtifactsInput!$N$27+1,20,24,28,32,36,40),0)/100)),0)</f>
        <v/>
      </c>
      <c r="R1117">
        <f>IF(AND(Inputs!$B$38&lt;&gt;"pvp",Inputs!$B$43&gt;0),IF(MAX(0,Inputs!$B$43-B1146)&lt;=0,0,(INT(MAX(0,Inputs!$B$43-B1146)/(IF(Inputs!$B$38="pvp",15,MAX(0.1,Skills!D12-IF(Skills!E12=TRUE,Inputs!$B$32,0)))*(1-IF(AND(ArtifactsInput!$M$27,Inputs!$B$4="Chapter Hunt"),CHOOSE(ArtifactsInput!$N$27+1,20,24,28,32,36,40),0)/100)))+1)),0)</f>
        <v/>
      </c>
      <c r="S1117">
        <f>IFERROR(O1117/N1117,0)</f>
        <v/>
      </c>
      <c r="T1117">
        <f>IF(C1117,(H1117*N1117*IF(AND(Inputs!$B$38&lt;&gt;"pvp",Inputs!$B$43&gt;0),((Skills!G12*((R1117-1)*IF(Skills!H12&gt;0,Skills!I12/Skills!H12,1)+IF(Skills!H12&gt;0,MIN(Skills!I12,MAX(0,MAX(0,Inputs!$B$43-B1146)-((R1117-1)*(IF(Inputs!$B$38="pvp",15,MAX(0.1,Skills!D12-IF(Skills!E12=TRUE,Inputs!$B$32,0)))*(1-IF(AND(ArtifactsInput!$M$27,Inputs!$B$4="Chapter Hunt"),CHOOSE(ArtifactsInput!$N$27+1,20,24,28,32,36,40),0)/100)))))/Skills!H12,1)))/Inputs!$B$43),G1117*Q1117)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(5000/(6000+Inputs!$B$42*(1-(100*(1-(1-(100*(1-(1-(Inputs!$B$19+((C1133=TRUE)*(F1133-Calc!F28)))/100)*(1-CHOOSE(ArtifactsInput!$N$40+1,5,6,7,8,9,10)/100)^(ArtifactsInput!$M$40-ArtifactsInput!$M$40)))/100)*(1-IF(ArtifactsInput!$M$40,CHOOSE(ArtifactsInput!$N$40+1,5,6,7,8,9,10),0)/100)^IF(Inputs!$B$38="pvp",1,2)))/100)))/(5000/(6000+Inputs!$B$42*(1-(100*(1-(1-(Inputs!$B$19+((C1133=TRUE)*(F1133-Calc!F28)))/100)*(1-CHOOSE(ArtifactsInput!$N$40+1,5,6,7,8,9,10)/100)^(ArtifactsInput!$M$40-ArtifactsInput!$M$40)))/100))))*((L1117*(1-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1117*(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1117*(1-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1117*(MIN(100,(Inputs!$B$9+((C1126=TRUE)*(F1126-Calc!F21))+B1139+(ArtifactsInput!$M$24-ArtifactsInput!$M$24)*CHOOSE(ArtifactsInput!$N$24+1,10,12,14,16,18,20)+(IF(AND(ArtifactsInput!$M$42,((Inputs!$B$9+((C1126=TRUE)*(F1126-Calc!F21))+B1139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7">
        <f>IF(C1117,(H1117*N1117*IF(AND(Inputs!$B$38&lt;&gt;"pvp",Inputs!$B$43&gt;0),((Skills!G12*((R1117-1)*IF(Skills!H12&gt;0,Skills!I12/Skills!H12,1)+IF(Skills!H12&gt;0,MIN(Skills!I12,MAX(0,MAX(0,Inputs!$B$43-B1146)-((R1117-1)*(IF(Inputs!$B$38="pvp",15,MAX(0.1,Skills!D12-IF(Skills!E12=TRUE,Inputs!$B$32,0)))*(1-IF(AND(ArtifactsInput!$M$27,Inputs!$B$4="Chapter Hunt"),CHOOSE(ArtifactsInput!$N$27+1,20,24,28,32,36,40),0)/100)))))/Skills!H12,1)))/Inputs!$B$43),G1117*Q1117))*IF(Inputs!$B$38="pvp",1,(1+(Inputs!$B$21+Skills!Q12+(IF(ArtifactsInput!$M$33,CHOOSE(ArtifactsInput!$N$33+1,30,36,42,48,54,60),0))+(IF(AND(ArtifactsInput!$M$35,Inputs!$B$4&lt;&gt;"Chapter Hunt"),CHOOSE(ArtifactsInput!$N$35+1,15,18,21,24,27,30)*(1-EXP(-(0.2*B1141)*5)),0)+IF(AND(ArtifactsInput!$M$22,Inputs!$B$4&lt;&gt;"Chapter Hunt"),CHOOSE(ArtifactsInput!$N$22+1,10,12,14,16,18,20)*((0*(((0.15*B1141*5))^0/1)+1*(((0.15*B1141*5))^1/1)+2*(((0.15*B1141*5))^2/2)+3*(((0.15*B1141*5))^3/6)+4*(((0.15*B1141*5))^4/24)+5*(((0.15*B1141*5))^5/120))/((((0.15*B1141*5))^0/1)+(((0.15*B1141*5))^1/1)+(((0.15*B1141*5))^2/2)+(((0.15*B1141*5))^3/6)+(((0.15*B1141*5))^4/24)+(((0.15*B1141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8">
      <c r="A1118">
        <f>Skills!A13</f>
        <v/>
      </c>
      <c r="B1118">
        <f>Skills!B13</f>
        <v/>
      </c>
      <c r="C1118">
        <f>Inputs!$B$3&gt;=110</f>
        <v/>
      </c>
      <c r="D1118">
        <f>IF(Skills!C13=1,60+Inputs!$B$25+Inputs!$B$29,IF(Skills!C13=2,90+Inputs!$B$26+Inputs!$B$29,IF(Skills!C13=3,120+Inputs!$B$27+Inputs!$B$29,MAX(0,(Inputs!$B$3-100)*3)+Inputs!$B$28+Inputs!$B$29)))</f>
        <v/>
      </c>
      <c r="E1118">
        <f>INDEX(FactorTable!$B$2:$Y$301, MATCH(ROUND(MIN(300,MAX(1,D1118)),0), FactorTable!$A$2:$A$301,0), Skills!M13+1)</f>
        <v/>
      </c>
      <c r="F1118">
        <f>IF(Skills!N13=TRUE,(Skills!L13/10)*(E1118/1000),Skills!L13/10)+Skills!O13</f>
        <v/>
      </c>
      <c r="G1118" t="inlineStr"/>
      <c r="H1118" t="inlineStr"/>
      <c r="I1118" t="inlineStr">
        <is>
          <t>1</t>
        </is>
      </c>
      <c r="J1118" t="inlineStr"/>
      <c r="K1118" t="inlineStr"/>
      <c r="L1118" t="inlineStr"/>
      <c r="M1118" t="inlineStr"/>
      <c r="N1118" t="inlineStr"/>
      <c r="O1118" t="inlineStr"/>
      <c r="P1118" t="inlineStr"/>
      <c r="Q1118" t="inlineStr"/>
      <c r="R1118" t="inlineStr"/>
      <c r="S1118" t="inlineStr"/>
      <c r="T1118" t="inlineStr"/>
      <c r="V1118" t="inlineStr"/>
    </row>
    <row r="1119">
      <c r="A1119">
        <f>Skills!A14</f>
        <v/>
      </c>
      <c r="B1119">
        <f>Skills!B14</f>
        <v/>
      </c>
      <c r="C1119">
        <f>Inputs!$B$3&gt;=74</f>
        <v/>
      </c>
      <c r="D1119">
        <f>IF(Skills!C14=1,60+Inputs!$B$25+Inputs!$B$29,IF(Skills!C14=2,90+Inputs!$B$26+Inputs!$B$29,IF(Skills!C14=3,120+Inputs!$B$27+Inputs!$B$29,MAX(0,(Inputs!$B$3-100)*3)+Inputs!$B$28+Inputs!$B$29)))</f>
        <v/>
      </c>
      <c r="E1119">
        <f>INDEX(FactorTable!$B$2:$Y$301, MATCH(ROUND(MIN(300,MAX(1,D1119)),0), FactorTable!$A$2:$A$301,0), Skills!M14+1)</f>
        <v/>
      </c>
      <c r="F1119">
        <f>IF(Skills!N14=TRUE,(Skills!L14/10)*(E1119/1000),Skills!L14/10)+Skills!O14</f>
        <v/>
      </c>
      <c r="G1119">
        <f>Skills!G14*IF(Skills!H14&gt;0,Skills!I14/Skills!H14,1)</f>
        <v/>
      </c>
      <c r="H1119">
        <f>1-(1-Skills!J14/100)^Skills!K14</f>
        <v/>
      </c>
      <c r="I1119" t="inlineStr">
        <is>
          <t>1</t>
        </is>
      </c>
      <c r="J1119" t="inlineStr"/>
      <c r="K1119" t="inlineStr"/>
      <c r="L1119" t="inlineStr"/>
      <c r="M1119" t="inlineStr"/>
      <c r="N1119" t="inlineStr"/>
      <c r="O1119">
        <f>(1-Summary!$B$11)*T1119+Summary!$B$11*V1119</f>
        <v/>
      </c>
      <c r="P1119">
        <f>IF(B1149=0,0,O1119/B1149)</f>
        <v/>
      </c>
      <c r="Q1119" t="n">
        <v>0</v>
      </c>
      <c r="R1119" t="n">
        <v>0</v>
      </c>
      <c r="S1119">
        <f>IFERROR(O1119/N1119,0)</f>
        <v/>
      </c>
      <c r="T1119" t="n">
        <v>0</v>
      </c>
      <c r="V1119" t="n">
        <v>0</v>
      </c>
    </row>
    <row r="1120">
      <c r="A1120">
        <f>Skills!A15</f>
        <v/>
      </c>
      <c r="B1120">
        <f>Skills!B15</f>
        <v/>
      </c>
      <c r="C1120">
        <f>Inputs!$B$3&gt;=74</f>
        <v/>
      </c>
      <c r="D1120">
        <f>IF(Skills!C15=1,60+Inputs!$B$25+Inputs!$B$29,IF(Skills!C15=2,90+Inputs!$B$26+Inputs!$B$29,IF(Skills!C15=3,120+Inputs!$B$27+Inputs!$B$29,MAX(0,(Inputs!$B$3-100)*3)+Inputs!$B$28+Inputs!$B$29)))</f>
        <v/>
      </c>
      <c r="E1120">
        <f>INDEX(FactorTable!$B$2:$Y$301, MATCH(ROUND(MIN(300,MAX(1,D1120)),0), FactorTable!$A$2:$A$301,0), Skills!M15+1)</f>
        <v/>
      </c>
      <c r="F1120">
        <f>IF(Skills!N15=TRUE,(Skills!L15/10)*(E1120/1000),Skills!L15/10)+Skills!O15</f>
        <v/>
      </c>
      <c r="G1120">
        <f>Skills!G15*IF(Skills!H15&gt;0,Skills!I15/Skills!H15,1)</f>
        <v/>
      </c>
      <c r="H1120">
        <f>1-(1-Skills!J15/100)^Skills!K15</f>
        <v/>
      </c>
      <c r="I1120" t="inlineStr">
        <is>
          <t>1</t>
        </is>
      </c>
      <c r="J1120" t="inlineStr"/>
      <c r="K1120" t="inlineStr"/>
      <c r="L1120" t="inlineStr"/>
      <c r="M1120" t="inlineStr"/>
      <c r="N1120" t="inlineStr"/>
      <c r="O1120">
        <f>(1-Summary!$B$11)*T1120+Summary!$B$11*V1120</f>
        <v/>
      </c>
      <c r="P1120">
        <f>IF(B1149=0,0,O1120/B1149)</f>
        <v/>
      </c>
      <c r="Q1120" t="n">
        <v>0</v>
      </c>
      <c r="R1120" t="n">
        <v>0</v>
      </c>
      <c r="S1120">
        <f>IFERROR(O1120/N1120,0)</f>
        <v/>
      </c>
      <c r="T1120" t="n">
        <v>0</v>
      </c>
      <c r="V1120" t="n">
        <v>0</v>
      </c>
    </row>
    <row r="1121">
      <c r="A1121">
        <f>Skills!A16</f>
        <v/>
      </c>
      <c r="B1121">
        <f>Skills!B16</f>
        <v/>
      </c>
      <c r="C1121">
        <f>Inputs!$B$3&gt;=117</f>
        <v/>
      </c>
      <c r="D1121">
        <f>IF(Skills!C16=1,60+Inputs!$B$25+Inputs!$B$29,IF(Skills!C16=2,90+Inputs!$B$26+Inputs!$B$29,IF(Skills!C16=3,120+Inputs!$B$27+Inputs!$B$29,MAX(0,(Inputs!$B$3-100)*3)+Inputs!$B$28+Inputs!$B$29)))</f>
        <v/>
      </c>
      <c r="E1121">
        <f>INDEX(FactorTable!$B$2:$Y$301, MATCH(ROUND(MIN(300,MAX(1,D1121)),0), FactorTable!$A$2:$A$301,0), Skills!M16+1)</f>
        <v/>
      </c>
      <c r="F1121">
        <f>IF(Skills!N16=TRUE,(Skills!L16/10)*(E1121/1000),Skills!L16/10)+Skills!O16</f>
        <v/>
      </c>
      <c r="G1121">
        <f>Skills!G16*IF(Skills!H16&gt;0,Skills!I16/Skills!H16,1)</f>
        <v/>
      </c>
      <c r="H1121">
        <f>1-(1-Skills!J16/100)^Skills!K16</f>
        <v/>
      </c>
      <c r="I1121" t="inlineStr">
        <is>
          <t>1</t>
        </is>
      </c>
      <c r="J1121" t="inlineStr"/>
      <c r="K1121" t="inlineStr"/>
      <c r="L1121" t="inlineStr"/>
      <c r="M1121" t="inlineStr"/>
      <c r="N1121" t="inlineStr"/>
      <c r="O1121">
        <f>(1-Summary!$B$11)*T1121+Summary!$B$11*V1121</f>
        <v/>
      </c>
      <c r="P1121">
        <f>IF(B1149=0,0,O1121/B1149)</f>
        <v/>
      </c>
      <c r="Q1121">
        <f>IFERROR(1/(IF(Inputs!$B$38="pvp",15,MAX(0.1,Skills!D16-IF(Skills!E16=TRUE,Inputs!$B$32,0)))*(1-IF(AND(ArtifactsInput!$M$27,Inputs!$B$4="Chapter Hunt"),CHOOSE(ArtifactsInput!$N$27+1,20,24,28,32,36,40),0)/100)),0)</f>
        <v/>
      </c>
      <c r="R1121">
        <f>IF(AND(Inputs!$B$38&lt;&gt;"pvp",Inputs!$B$43&gt;0),IF(Inputs!$B$43&lt;=0,0,(INT(Inputs!$B$43/(IF(Inputs!$B$38="pvp",15,MAX(0.1,Skills!D16-IF(Skills!E16=TRUE,Inputs!$B$32,0)))*(1-IF(AND(ArtifactsInput!$M$27,Inputs!$B$4="Chapter Hunt"),CHOOSE(ArtifactsInput!$N$27+1,20,24,28,32,36,40),0)/100)))+1)),0)</f>
        <v/>
      </c>
      <c r="S1121">
        <f>IFERROR(O1121/N1121,0)</f>
        <v/>
      </c>
      <c r="T1121" t="n">
        <v>0</v>
      </c>
      <c r="V1121" t="n">
        <v>0</v>
      </c>
    </row>
    <row r="1122">
      <c r="A1122">
        <f>Skills!A17</f>
        <v/>
      </c>
      <c r="B1122">
        <f>Skills!B17</f>
        <v/>
      </c>
      <c r="C1122">
        <f>Inputs!$B$3&gt;=115</f>
        <v/>
      </c>
      <c r="D1122">
        <f>IF(Skills!C17=1,60+Inputs!$B$25+Inputs!$B$29,IF(Skills!C17=2,90+Inputs!$B$26+Inputs!$B$29,IF(Skills!C17=3,120+Inputs!$B$27+Inputs!$B$29,MAX(0,(Inputs!$B$3-100)*3)+Inputs!$B$28+Inputs!$B$29)))</f>
        <v/>
      </c>
      <c r="E1122">
        <f>INDEX(FactorTable!$B$2:$Y$301, MATCH(ROUND(MIN(300,MAX(1,D1122)),0), FactorTable!$A$2:$A$301,0), Skills!M17+1)</f>
        <v/>
      </c>
      <c r="F1122">
        <f>IF(Skills!N17=TRUE,(Skills!L17/10)*(E1122/1000),Skills!L17/10)+Skills!O17</f>
        <v/>
      </c>
      <c r="G1122">
        <f>Skills!G17*IF(Skills!H17&gt;0,Skills!I17/Skills!H17,1)</f>
        <v/>
      </c>
      <c r="H1122">
        <f>1-(1-Skills!J17/100)^Skills!K17</f>
        <v/>
      </c>
      <c r="I1122" t="inlineStr">
        <is>
          <t>1</t>
        </is>
      </c>
      <c r="J1122" t="inlineStr"/>
      <c r="K1122" t="inlineStr"/>
      <c r="L1122" t="inlineStr"/>
      <c r="M1122" t="inlineStr"/>
      <c r="N1122" t="inlineStr"/>
      <c r="O1122">
        <f>(1-Summary!$B$11)*T1122+Summary!$B$11*V1122</f>
        <v/>
      </c>
      <c r="P1122">
        <f>IF(B1149=0,0,O1122/B1149)</f>
        <v/>
      </c>
      <c r="Q1122">
        <f>IFERROR(1/(IF(Inputs!$B$38="pvp",15,MAX(0.1,Skills!D17-IF(Skills!E17=TRUE,Inputs!$B$32,0)))*(1-IF(AND(ArtifactsInput!$M$27,Inputs!$B$4="Chapter Hunt"),CHOOSE(ArtifactsInput!$N$27+1,20,24,28,32,36,40),0)/100)),0)</f>
        <v/>
      </c>
      <c r="R1122">
        <f>IF(AND(Inputs!$B$38&lt;&gt;"pvp",Inputs!$B$43&gt;0),IF(Inputs!$B$43&lt;=0,0,(INT(Inputs!$B$43/(IF(Inputs!$B$38="pvp",15,MAX(0.1,Skills!D17-IF(Skills!E17=TRUE,Inputs!$B$32,0)))*(1-IF(AND(ArtifactsInput!$M$27,Inputs!$B$4="Chapter Hunt"),CHOOSE(ArtifactsInput!$N$27+1,20,24,28,32,36,40),0)/100)))+1)),0)</f>
        <v/>
      </c>
      <c r="S1122">
        <f>IFERROR(O1122/N1122,0)</f>
        <v/>
      </c>
      <c r="T1122" t="n">
        <v>0</v>
      </c>
      <c r="V1122" t="n">
        <v>0</v>
      </c>
    </row>
    <row r="1123">
      <c r="A1123">
        <f>Skills!A18</f>
        <v/>
      </c>
      <c r="B1123">
        <f>Skills!B18</f>
        <v/>
      </c>
      <c r="C1123">
        <f>Inputs!$B$3&gt;=66</f>
        <v/>
      </c>
      <c r="D1123">
        <f>IF(Skills!C18=1,60+Inputs!$B$25+Inputs!$B$29,IF(Skills!C18=2,90+Inputs!$B$26+Inputs!$B$29,IF(Skills!C18=3,120+Inputs!$B$27+Inputs!$B$29,MAX(0,(Inputs!$B$3-100)*3)+Inputs!$B$28+Inputs!$B$29)))</f>
        <v/>
      </c>
      <c r="E1123">
        <f>INDEX(FactorTable!$B$2:$Y$301, MATCH(ROUND(MIN(300,MAX(1,D1123)),0), FactorTable!$A$2:$A$301,0), Skills!M18+1)</f>
        <v/>
      </c>
      <c r="F1123">
        <f>IF(Skills!N18=TRUE,(Skills!L18/10)*(E1123/1000),Skills!L18/10)+Skills!O18</f>
        <v/>
      </c>
      <c r="G1123">
        <f>Skills!G18*IF(Skills!H18&gt;0,Skills!I18/Skills!H18,1)</f>
        <v/>
      </c>
      <c r="H1123">
        <f>1-(1-Skills!J18/100)^Skills!K18</f>
        <v/>
      </c>
      <c r="I1123" t="inlineStr">
        <is>
          <t>1</t>
        </is>
      </c>
      <c r="J1123" t="inlineStr"/>
      <c r="K1123" t="inlineStr"/>
      <c r="L1123" t="inlineStr"/>
      <c r="M1123" t="inlineStr"/>
      <c r="N1123" t="inlineStr"/>
      <c r="O1123">
        <f>(1-Summary!$B$11)*T1123+Summary!$B$11*V1123</f>
        <v/>
      </c>
      <c r="P1123">
        <f>IF(B1149=0,0,O1123/B1149)</f>
        <v/>
      </c>
      <c r="Q1123" t="n">
        <v>0</v>
      </c>
      <c r="R1123" t="n">
        <v>0</v>
      </c>
      <c r="S1123">
        <f>IFERROR(O1123/N1123,0)</f>
        <v/>
      </c>
      <c r="T1123" t="n">
        <v>0</v>
      </c>
      <c r="V1123" t="n">
        <v>0</v>
      </c>
    </row>
    <row r="1124">
      <c r="A1124">
        <f>Skills!A19</f>
        <v/>
      </c>
      <c r="B1124">
        <f>Skills!B19</f>
        <v/>
      </c>
      <c r="C1124">
        <f>Inputs!$B$3&gt;=72</f>
        <v/>
      </c>
      <c r="D1124">
        <f>IF(Skills!C19=1,60+Inputs!$B$25+Inputs!$B$29,IF(Skills!C19=2,90+Inputs!$B$26+Inputs!$B$29,IF(Skills!C19=3,120+Inputs!$B$27+Inputs!$B$29,MAX(0,(Inputs!$B$3-100)*3)+Inputs!$B$28+Inputs!$B$29)))</f>
        <v/>
      </c>
      <c r="E1124">
        <f>INDEX(FactorTable!$B$2:$Y$301, MATCH(ROUND(MIN(300,MAX(1,D1124)),0), FactorTable!$A$2:$A$301,0), Skills!M19+1)</f>
        <v/>
      </c>
      <c r="F1124">
        <f>IF(Skills!N19=TRUE,(Skills!L19/10)*(E1124/1000),Skills!L19/10)+Skills!O19</f>
        <v/>
      </c>
      <c r="G1124">
        <f>Skills!G19*IF(Skills!H19&gt;0,Skills!I19/Skills!H19,1)</f>
        <v/>
      </c>
      <c r="H1124">
        <f>1-(1-Skills!J19/100)^Skills!K19</f>
        <v/>
      </c>
      <c r="I1124" t="inlineStr">
        <is>
          <t>1</t>
        </is>
      </c>
      <c r="J1124" t="inlineStr"/>
      <c r="K1124" t="inlineStr"/>
      <c r="L1124" t="inlineStr"/>
      <c r="M1124" t="inlineStr"/>
      <c r="N1124" t="inlineStr"/>
      <c r="O1124">
        <f>(1-Summary!$B$11)*T1124+Summary!$B$11*V1124</f>
        <v/>
      </c>
      <c r="P1124">
        <f>IF(B1149=0,0,O1124/B1149)</f>
        <v/>
      </c>
      <c r="Q1124" t="n">
        <v>0</v>
      </c>
      <c r="R1124" t="n">
        <v>0</v>
      </c>
      <c r="S1124">
        <f>IFERROR(O1124/N1124,0)</f>
        <v/>
      </c>
      <c r="T1124" t="n">
        <v>0</v>
      </c>
      <c r="V1124" t="n">
        <v>0</v>
      </c>
    </row>
    <row r="1125">
      <c r="A1125">
        <f>Skills!A20</f>
        <v/>
      </c>
      <c r="B1125">
        <f>Skills!B20</f>
        <v/>
      </c>
      <c r="C1125">
        <f>TRUE</f>
        <v/>
      </c>
      <c r="D1125">
        <f>IF(Skills!C20=1,60+Inputs!$B$25+Inputs!$B$29,IF(Skills!C20=2,90+Inputs!$B$26+Inputs!$B$29,IF(Skills!C20=3,120+Inputs!$B$27+Inputs!$B$29,MAX(0,(Inputs!$B$3-100)*3)+Inputs!$B$28+Inputs!$B$29)))</f>
        <v/>
      </c>
      <c r="E1125">
        <f>INDEX(FactorTable!$B$2:$Y$301, MATCH(ROUND(MIN(300,MAX(1,D1125)),0), FactorTable!$A$2:$A$301,0), Skills!M20+1)</f>
        <v/>
      </c>
      <c r="F1125">
        <f>IF(Skills!N20=TRUE,(Skills!L20/10)*(E1125/1000),Skills!L20/10)+Skills!O20</f>
        <v/>
      </c>
      <c r="G1125">
        <f>Skills!G20*IF(Skills!H20&gt;0,Skills!I20/Skills!H20,1)</f>
        <v/>
      </c>
      <c r="H1125">
        <f>1-(1-Skills!J20/100)^Skills!K20</f>
        <v/>
      </c>
      <c r="I1125" t="inlineStr">
        <is>
          <t>1</t>
        </is>
      </c>
      <c r="J1125" t="inlineStr"/>
      <c r="K1125" t="inlineStr"/>
      <c r="L1125" t="inlineStr"/>
      <c r="M1125" t="inlineStr"/>
      <c r="N1125" t="inlineStr"/>
      <c r="O1125">
        <f>(1-Summary!$B$11)*T1125+Summary!$B$11*V1125</f>
        <v/>
      </c>
      <c r="P1125">
        <f>IF(B1149=0,0,O1125/B1149)</f>
        <v/>
      </c>
      <c r="Q1125">
        <f>IFERROR(1/(IF(Inputs!$B$38="pvp",15,MAX(0.1,Skills!D20-IF(Skills!E20=TRUE,Inputs!$B$32,0)))*(1-IF(AND(ArtifactsInput!$M$27,Inputs!$B$4="Chapter Hunt"),CHOOSE(ArtifactsInput!$N$27+1,20,24,28,32,36,40),0)/100)),0)</f>
        <v/>
      </c>
      <c r="R1125">
        <f>IF(AND(Inputs!$B$38&lt;&gt;"pvp",Inputs!$B$43&gt;0),IF(Inputs!$B$43&lt;=0,0,(INT(Inputs!$B$43/(IF(Inputs!$B$38="pvp",15,MAX(0.1,Skills!D20-IF(Skills!E20=TRUE,Inputs!$B$32,0)))*(1-IF(AND(ArtifactsInput!$M$27,Inputs!$B$4="Chapter Hunt"),CHOOSE(ArtifactsInput!$N$27+1,20,24,28,32,36,40),0)/100)))+1)),0)</f>
        <v/>
      </c>
      <c r="S1125">
        <f>IFERROR(O1125/N1125,0)</f>
        <v/>
      </c>
      <c r="T1125" t="n">
        <v>0</v>
      </c>
      <c r="V1125" t="n">
        <v>0</v>
      </c>
    </row>
    <row r="1126">
      <c r="A1126">
        <f>Skills!A21</f>
        <v/>
      </c>
      <c r="B1126">
        <f>Skills!B21</f>
        <v/>
      </c>
      <c r="C1126">
        <f>Inputs!$B$3&gt;=15</f>
        <v/>
      </c>
      <c r="D1126">
        <f>IF(Skills!C21=1,60+Inputs!$B$25+Inputs!$B$29,IF(Skills!C21=2,90+Inputs!$B$26+Inputs!$B$29,IF(Skills!C21=3,120+Inputs!$B$27+Inputs!$B$29,MAX(0,(Inputs!$B$3-100)*3)+Inputs!$B$28+Inputs!$B$29)))</f>
        <v/>
      </c>
      <c r="E1126">
        <f>INDEX(FactorTable!$B$2:$Y$301, MATCH(ROUND(MIN(300,MAX(1,D1126)),0), FactorTable!$A$2:$A$301,0), Skills!M21+1)</f>
        <v/>
      </c>
      <c r="F1126">
        <f>IF(Skills!N21=TRUE,(Skills!L21/10)*(E1126/1000),Skills!L21/10)+Skills!O21</f>
        <v/>
      </c>
      <c r="G1126">
        <f>Skills!G21*IF(Skills!H21&gt;0,Skills!I21/Skills!H21,1)</f>
        <v/>
      </c>
      <c r="H1126">
        <f>1-(1-Skills!J21/100)^Skills!K21</f>
        <v/>
      </c>
      <c r="I1126" t="inlineStr">
        <is>
          <t>1</t>
        </is>
      </c>
      <c r="J1126" t="inlineStr"/>
      <c r="K1126" t="inlineStr"/>
      <c r="L1126" t="inlineStr"/>
      <c r="M1126" t="inlineStr"/>
      <c r="N1126" t="inlineStr"/>
      <c r="O1126">
        <f>(1-Summary!$B$11)*T1126+Summary!$B$11*V1126</f>
        <v/>
      </c>
      <c r="P1126">
        <f>IF(B1149=0,0,O1126/B1149)</f>
        <v/>
      </c>
      <c r="Q1126" t="n">
        <v>0</v>
      </c>
      <c r="R1126" t="n">
        <v>0</v>
      </c>
      <c r="S1126">
        <f>IFERROR(O1126/N1126,0)</f>
        <v/>
      </c>
      <c r="T1126" t="n">
        <v>0</v>
      </c>
      <c r="V1126" t="n">
        <v>0</v>
      </c>
    </row>
    <row r="1127">
      <c r="A1127">
        <f>Skills!A22</f>
        <v/>
      </c>
      <c r="B1127">
        <f>Skills!B22</f>
        <v/>
      </c>
      <c r="C1127">
        <f>Inputs!$B$3&gt;=10</f>
        <v/>
      </c>
      <c r="D1127">
        <f>IF(Skills!C22=1,60+Inputs!$B$25+Inputs!$B$29,IF(Skills!C22=2,90+Inputs!$B$26+Inputs!$B$29,IF(Skills!C22=3,120+Inputs!$B$27+Inputs!$B$29,MAX(0,(Inputs!$B$3-100)*3)+Inputs!$B$28+Inputs!$B$29)))</f>
        <v/>
      </c>
      <c r="E1127">
        <f>INDEX(FactorTable!$B$2:$Y$301, MATCH(ROUND(MIN(300,MAX(1,D1127)),0), FactorTable!$A$2:$A$301,0), Skills!M22+1)</f>
        <v/>
      </c>
      <c r="F1127">
        <f>IF(Skills!N22=TRUE,(Skills!L22/10)*(E1127/1000),Skills!L22/10)+Skills!O22</f>
        <v/>
      </c>
      <c r="G1127">
        <f>Skills!G22*IF(Skills!H22&gt;0,Skills!I22/Skills!H22,1)</f>
        <v/>
      </c>
      <c r="H1127">
        <f>1-(1-Skills!J22/100)^Skills!K22</f>
        <v/>
      </c>
      <c r="I1127" t="inlineStr">
        <is>
          <t>1</t>
        </is>
      </c>
      <c r="J1127" t="inlineStr"/>
      <c r="K1127" t="inlineStr"/>
      <c r="L1127" t="inlineStr"/>
      <c r="M1127" t="inlineStr"/>
      <c r="N1127" t="inlineStr"/>
      <c r="O1127">
        <f>(1-Summary!$B$11)*T1127+Summary!$B$11*V1127</f>
        <v/>
      </c>
      <c r="P1127">
        <f>IF(B1149=0,0,O1127/B1149)</f>
        <v/>
      </c>
      <c r="Q1127" t="n">
        <v>0</v>
      </c>
      <c r="R1127" t="n">
        <v>0</v>
      </c>
      <c r="S1127">
        <f>IFERROR(O1127/N1127,0)</f>
        <v/>
      </c>
      <c r="T1127" t="n">
        <v>0</v>
      </c>
      <c r="V1127" t="n">
        <v>0</v>
      </c>
    </row>
    <row r="1128">
      <c r="A1128">
        <f>Skills!A23</f>
        <v/>
      </c>
      <c r="B1128">
        <f>Skills!B23</f>
        <v/>
      </c>
      <c r="C1128">
        <f>Inputs!$B$3&gt;=33</f>
        <v/>
      </c>
      <c r="D1128">
        <f>IF(Skills!C23=1,60+Inputs!$B$25+Inputs!$B$29,IF(Skills!C23=2,90+Inputs!$B$26+Inputs!$B$29,IF(Skills!C23=3,120+Inputs!$B$27+Inputs!$B$29,MAX(0,(Inputs!$B$3-100)*3)+Inputs!$B$28+Inputs!$B$29)))</f>
        <v/>
      </c>
      <c r="E1128">
        <f>INDEX(FactorTable!$B$2:$Y$301, MATCH(ROUND(MIN(300,MAX(1,D1128)),0), FactorTable!$A$2:$A$301,0), Skills!M23+1)</f>
        <v/>
      </c>
      <c r="F1128">
        <f>IF(Skills!N23=TRUE,(Skills!L23/10)*(E1128/1000),Skills!L23/10)+Skills!O23</f>
        <v/>
      </c>
      <c r="G1128">
        <f>Skills!G23*IF(Skills!H23&gt;0,Skills!I23/Skills!H23,1)</f>
        <v/>
      </c>
      <c r="H1128">
        <f>1-(1-Skills!J23/100)^Skills!K23</f>
        <v/>
      </c>
      <c r="I1128" t="inlineStr">
        <is>
          <t>1</t>
        </is>
      </c>
      <c r="J1128" t="inlineStr"/>
      <c r="K1128" t="inlineStr"/>
      <c r="L1128" t="inlineStr"/>
      <c r="M1128" t="inlineStr"/>
      <c r="N1128" t="inlineStr"/>
      <c r="O1128">
        <f>(1-Summary!$B$11)*T1128+Summary!$B$11*V1128</f>
        <v/>
      </c>
      <c r="P1128">
        <f>IF(B1149=0,0,O1128/B1149)</f>
        <v/>
      </c>
      <c r="Q1128" t="n">
        <v>0</v>
      </c>
      <c r="R1128" t="n">
        <v>0</v>
      </c>
      <c r="S1128">
        <f>IFERROR(O1128/N1128,0)</f>
        <v/>
      </c>
      <c r="T1128" t="n">
        <v>0</v>
      </c>
      <c r="V1128" t="n">
        <v>0</v>
      </c>
    </row>
    <row r="1129">
      <c r="A1129">
        <f>Skills!A24</f>
        <v/>
      </c>
      <c r="B1129">
        <f>Skills!B24</f>
        <v/>
      </c>
      <c r="C1129">
        <f>Inputs!$B$3&gt;=38</f>
        <v/>
      </c>
      <c r="D1129">
        <f>IF(Skills!C24=1,60+Inputs!$B$25+Inputs!$B$29,IF(Skills!C24=2,90+Inputs!$B$26+Inputs!$B$29,IF(Skills!C24=3,120+Inputs!$B$27+Inputs!$B$29,MAX(0,(Inputs!$B$3-100)*3)+Inputs!$B$28+Inputs!$B$29)))</f>
        <v/>
      </c>
      <c r="E1129">
        <f>INDEX(FactorTable!$B$2:$Y$301, MATCH(ROUND(MIN(300,MAX(1,D1129)),0), FactorTable!$A$2:$A$301,0), Skills!M24+1)</f>
        <v/>
      </c>
      <c r="F1129">
        <f>IF(Skills!N24=TRUE,(Skills!L24/10)*(E1129/1000),Skills!L24/10)+Skills!O24</f>
        <v/>
      </c>
      <c r="G1129">
        <f>Skills!G24*IF(Skills!H24&gt;0,Skills!I24/Skills!H24,1)</f>
        <v/>
      </c>
      <c r="H1129">
        <f>1-(1-Skills!J24/100)^Skills!K24</f>
        <v/>
      </c>
      <c r="I1129" t="inlineStr">
        <is>
          <t>1</t>
        </is>
      </c>
      <c r="J1129" t="inlineStr"/>
      <c r="K1129" t="inlineStr"/>
      <c r="L1129" t="inlineStr"/>
      <c r="M1129" t="inlineStr"/>
      <c r="N1129" t="inlineStr"/>
      <c r="O1129">
        <f>(1-Summary!$B$11)*T1129+Summary!$B$11*V1129</f>
        <v/>
      </c>
      <c r="P1129">
        <f>IF(B1149=0,0,O1129/B1149)</f>
        <v/>
      </c>
      <c r="Q1129" t="n">
        <v>0</v>
      </c>
      <c r="R1129" t="n">
        <v>0</v>
      </c>
      <c r="S1129">
        <f>IFERROR(O1129/N1129,0)</f>
        <v/>
      </c>
      <c r="T1129" t="n">
        <v>0</v>
      </c>
      <c r="V1129" t="n">
        <v>0</v>
      </c>
    </row>
    <row r="1130">
      <c r="A1130">
        <f>Skills!A25</f>
        <v/>
      </c>
      <c r="B1130">
        <f>Skills!B25</f>
        <v/>
      </c>
      <c r="C1130">
        <f>Inputs!$B$3&gt;=43</f>
        <v/>
      </c>
      <c r="D1130">
        <f>IF(Skills!C25=1,60+Inputs!$B$25+Inputs!$B$29,IF(Skills!C25=2,90+Inputs!$B$26+Inputs!$B$29,IF(Skills!C25=3,120+Inputs!$B$27+Inputs!$B$29,MAX(0,(Inputs!$B$3-100)*3)+Inputs!$B$28+Inputs!$B$29)))</f>
        <v/>
      </c>
      <c r="E1130">
        <f>INDEX(FactorTable!$B$2:$Y$301, MATCH(ROUND(MIN(300,MAX(1,D1130)),0), FactorTable!$A$2:$A$301,0), Skills!M25+1)</f>
        <v/>
      </c>
      <c r="F1130">
        <f>IF(Skills!N25=TRUE,(Skills!L25/10)*(E1130/1000),Skills!L25/10)+Skills!O25</f>
        <v/>
      </c>
      <c r="G1130">
        <f>Skills!G25*IF(Skills!H25&gt;0,Skills!I25/Skills!H25,1)</f>
        <v/>
      </c>
      <c r="H1130">
        <f>1-(1-Skills!J25/100)^Skills!K25</f>
        <v/>
      </c>
      <c r="I1130" t="inlineStr">
        <is>
          <t>1</t>
        </is>
      </c>
      <c r="J1130" t="inlineStr"/>
      <c r="K1130" t="inlineStr"/>
      <c r="L1130" t="inlineStr"/>
      <c r="M1130" t="inlineStr"/>
      <c r="N1130" t="inlineStr"/>
      <c r="O1130">
        <f>(1-Summary!$B$11)*T1130+Summary!$B$11*V1130</f>
        <v/>
      </c>
      <c r="P1130">
        <f>IF(B1149=0,0,O1130/B1149)</f>
        <v/>
      </c>
      <c r="Q1130" t="n">
        <v>0</v>
      </c>
      <c r="R1130" t="n">
        <v>0</v>
      </c>
      <c r="S1130">
        <f>IFERROR(O1130/N1130,0)</f>
        <v/>
      </c>
      <c r="T1130" t="n">
        <v>0</v>
      </c>
      <c r="V1130" t="n">
        <v>0</v>
      </c>
    </row>
    <row r="1131">
      <c r="A1131">
        <f>Skills!A26</f>
        <v/>
      </c>
      <c r="B1131">
        <f>Skills!B26</f>
        <v/>
      </c>
      <c r="C1131">
        <f>Inputs!$B$3&gt;=75</f>
        <v/>
      </c>
      <c r="D1131">
        <f>IF(Skills!C26=1,60+Inputs!$B$25+Inputs!$B$29,IF(Skills!C26=2,90+Inputs!$B$26+Inputs!$B$29,IF(Skills!C26=3,120+Inputs!$B$27+Inputs!$B$29,MAX(0,(Inputs!$B$3-100)*3)+Inputs!$B$28+Inputs!$B$29)))</f>
        <v/>
      </c>
      <c r="E1131">
        <f>INDEX(FactorTable!$B$2:$Y$301, MATCH(ROUND(MIN(300,MAX(1,D1131)),0), FactorTable!$A$2:$A$301,0), Skills!M26+1)</f>
        <v/>
      </c>
      <c r="F1131">
        <f>IF(Skills!N26=TRUE,(Skills!L26/10)*(E1131/1000),Skills!L26/10)+Skills!O26</f>
        <v/>
      </c>
      <c r="G1131">
        <f>Skills!G26*IF(Skills!H26&gt;0,Skills!I26/Skills!H26,1)</f>
        <v/>
      </c>
      <c r="H1131">
        <f>1-(1-Skills!J26/100)^Skills!K26</f>
        <v/>
      </c>
      <c r="I1131" t="inlineStr">
        <is>
          <t>1</t>
        </is>
      </c>
      <c r="J1131" t="inlineStr"/>
      <c r="K1131" t="inlineStr"/>
      <c r="L1131" t="inlineStr"/>
      <c r="M1131" t="inlineStr"/>
      <c r="N1131" t="inlineStr"/>
      <c r="O1131">
        <f>(1-Summary!$B$11)*T1131+Summary!$B$11*V1131</f>
        <v/>
      </c>
      <c r="P1131">
        <f>IF(B1149=0,0,O1131/B1149)</f>
        <v/>
      </c>
      <c r="Q1131" t="n">
        <v>0</v>
      </c>
      <c r="R1131" t="n">
        <v>0</v>
      </c>
      <c r="S1131">
        <f>IFERROR(O1131/N1131,0)</f>
        <v/>
      </c>
      <c r="T1131" t="n">
        <v>0</v>
      </c>
      <c r="V1131" t="n">
        <v>0</v>
      </c>
    </row>
    <row r="1132">
      <c r="A1132">
        <f>Skills!A27</f>
        <v/>
      </c>
      <c r="B1132">
        <f>Skills!B27</f>
        <v/>
      </c>
      <c r="C1132">
        <f>Inputs!$B$3&gt;=125</f>
        <v/>
      </c>
      <c r="D1132">
        <f>IF(Skills!C27=1,60+Inputs!$B$25+Inputs!$B$29,IF(Skills!C27=2,90+Inputs!$B$26+Inputs!$B$29,IF(Skills!C27=3,120+Inputs!$B$27+Inputs!$B$29,MAX(0,(Inputs!$B$3-100)*3)+Inputs!$B$28+Inputs!$B$29)))</f>
        <v/>
      </c>
      <c r="E1132">
        <f>INDEX(FactorTable!$B$2:$Y$301, MATCH(ROUND(MIN(300,MAX(1,D1132)),0), FactorTable!$A$2:$A$301,0), Skills!M27+1)</f>
        <v/>
      </c>
      <c r="F1132">
        <f>IF(Skills!N27=TRUE,(Skills!L27/10)*(E1132/1000),Skills!L27/10)+Skills!O27</f>
        <v/>
      </c>
      <c r="G1132">
        <f>Skills!G27*IF(Skills!H27&gt;0,Skills!I27/Skills!H27,1)</f>
        <v/>
      </c>
      <c r="H1132">
        <f>1-(1-Skills!J27/100)^Skills!K27</f>
        <v/>
      </c>
      <c r="I1132" t="inlineStr">
        <is>
          <t>1</t>
        </is>
      </c>
      <c r="J1132" t="inlineStr"/>
      <c r="K1132" t="inlineStr"/>
      <c r="L1132" t="inlineStr"/>
      <c r="M1132" t="inlineStr"/>
      <c r="N1132" t="inlineStr"/>
      <c r="O1132">
        <f>(1-Summary!$B$11)*T1132+Summary!$B$11*V1132</f>
        <v/>
      </c>
      <c r="P1132">
        <f>IF(B1149=0,0,O1132/B1149)</f>
        <v/>
      </c>
      <c r="Q1132" t="n">
        <v>0</v>
      </c>
      <c r="R1132" t="n">
        <v>0</v>
      </c>
      <c r="S1132">
        <f>IFERROR(O1132/N1132,0)</f>
        <v/>
      </c>
      <c r="T1132" t="n">
        <v>0</v>
      </c>
      <c r="V1132" t="n">
        <v>0</v>
      </c>
    </row>
    <row r="1133">
      <c r="A1133">
        <f>Skills!A28</f>
        <v/>
      </c>
      <c r="B1133">
        <f>Skills!B28</f>
        <v/>
      </c>
      <c r="C1133">
        <f>Inputs!$B$3&gt;=125</f>
        <v/>
      </c>
      <c r="D1133">
        <f>IF(Skills!C28=1,60+Inputs!$B$25+Inputs!$B$29,IF(Skills!C28=2,90+Inputs!$B$26+Inputs!$B$29,IF(Skills!C28=3,120+Inputs!$B$27+Inputs!$B$29,MAX(0,(Inputs!$B$3-100)*3)+Inputs!$B$28+Inputs!$B$29)))</f>
        <v/>
      </c>
      <c r="E1133">
        <f>INDEX(FactorTable!$B$2:$Y$301, MATCH(ROUND(MIN(300,MAX(1,D1133)),0), FactorTable!$A$2:$A$301,0), Skills!M28+1)</f>
        <v/>
      </c>
      <c r="F1133">
        <f>IF(Skills!N28=TRUE,(Skills!L28/10)*(E1133/1000),Skills!L28/10)+Skills!O28</f>
        <v/>
      </c>
      <c r="G1133">
        <f>Skills!G28*IF(Skills!H28&gt;0,Skills!I28/Skills!H28,1)</f>
        <v/>
      </c>
      <c r="H1133">
        <f>1-(1-Skills!J28/100)^Skills!K28</f>
        <v/>
      </c>
      <c r="I1133" t="inlineStr">
        <is>
          <t>1</t>
        </is>
      </c>
      <c r="J1133" t="inlineStr"/>
      <c r="K1133" t="inlineStr"/>
      <c r="L1133" t="inlineStr"/>
      <c r="M1133" t="inlineStr"/>
      <c r="N1133" t="inlineStr"/>
      <c r="O1133">
        <f>(1-Summary!$B$11)*T1133+Summary!$B$11*V1133</f>
        <v/>
      </c>
      <c r="P1133">
        <f>IF(B1149=0,0,O1133/B1149)</f>
        <v/>
      </c>
      <c r="Q1133" t="n">
        <v>0</v>
      </c>
      <c r="R1133" t="n">
        <v>0</v>
      </c>
      <c r="S1133">
        <f>IFERROR(O1133/N1133,0)</f>
        <v/>
      </c>
      <c r="T1133" t="n">
        <v>0</v>
      </c>
      <c r="V1133" t="n">
        <v>0</v>
      </c>
    </row>
    <row r="1134">
      <c r="A1134">
        <f>Skills!A29</f>
        <v/>
      </c>
      <c r="B1134">
        <f>Skills!B29</f>
        <v/>
      </c>
      <c r="C1134">
        <f>Inputs!$B$3&gt;=120</f>
        <v/>
      </c>
      <c r="D1134">
        <f>IF(Skills!C29=1,60+Inputs!$B$25+Inputs!$B$29,IF(Skills!C29=2,90+Inputs!$B$26+Inputs!$B$29,IF(Skills!C29=3,120+Inputs!$B$27+Inputs!$B$29,MAX(0,(Inputs!$B$3-100)*3)+Inputs!$B$28+Inputs!$B$29)))</f>
        <v/>
      </c>
      <c r="E1134">
        <f>INDEX(FactorTable!$B$2:$Y$301, MATCH(ROUND(MIN(300,MAX(1,D1134)),0), FactorTable!$A$2:$A$301,0), Skills!M29+1)</f>
        <v/>
      </c>
      <c r="F1134">
        <f>IF(Skills!N29=TRUE,(Skills!L29/10)*(E1134/1000),Skills!L29/10)+Skills!O29</f>
        <v/>
      </c>
      <c r="G1134">
        <f>Skills!G29*IF(Skills!H29&gt;0,Skills!I29/Skills!H29,1)</f>
        <v/>
      </c>
      <c r="H1134">
        <f>1-(1-Skills!J29/100)^Skills!K29</f>
        <v/>
      </c>
      <c r="I1134" t="inlineStr">
        <is>
          <t>1</t>
        </is>
      </c>
      <c r="J1134" t="inlineStr"/>
      <c r="K1134" t="inlineStr"/>
      <c r="L1134" t="inlineStr"/>
      <c r="M1134" t="inlineStr"/>
      <c r="N1134" t="inlineStr"/>
      <c r="O1134">
        <f>(1-Summary!$B$11)*T1134+Summary!$B$11*V1134</f>
        <v/>
      </c>
      <c r="P1134">
        <f>IF(B1149=0,0,O1134/B1149)</f>
        <v/>
      </c>
      <c r="Q1134" t="n">
        <v>0</v>
      </c>
      <c r="R1134" t="n">
        <v>0</v>
      </c>
      <c r="S1134">
        <f>IFERROR(O1134/N1134,0)</f>
        <v/>
      </c>
      <c r="T1134" t="n">
        <v>0</v>
      </c>
      <c r="V1134" t="n">
        <v>0</v>
      </c>
    </row>
    <row r="1135">
      <c r="A1135">
        <f>Skills!A30</f>
        <v/>
      </c>
      <c r="B1135">
        <f>Skills!B30</f>
        <v/>
      </c>
      <c r="C1135">
        <f>Inputs!$B$3&gt;=120</f>
        <v/>
      </c>
      <c r="D1135">
        <f>IF(Skills!C30=1,60+Inputs!$B$25+Inputs!$B$29,IF(Skills!C30=2,90+Inputs!$B$26+Inputs!$B$29,IF(Skills!C30=3,120+Inputs!$B$27+Inputs!$B$29,MAX(0,(Inputs!$B$3-100)*3)+Inputs!$B$28+Inputs!$B$29)))</f>
        <v/>
      </c>
      <c r="E1135">
        <f>INDEX(FactorTable!$B$2:$Y$301, MATCH(ROUND(MIN(300,MAX(1,D1135)),0), FactorTable!$A$2:$A$301,0), Skills!M30+1)</f>
        <v/>
      </c>
      <c r="F1135">
        <f>IF(Skills!N30=TRUE,(Skills!L30/10)*(E1135/1000),Skills!L30/10)+Skills!O30</f>
        <v/>
      </c>
      <c r="G1135">
        <f>Skills!G30*IF(Skills!H30&gt;0,Skills!I30/Skills!H30,1)</f>
        <v/>
      </c>
      <c r="H1135">
        <f>1-(1-Skills!J30/100)^Skills!K30</f>
        <v/>
      </c>
      <c r="I1135" t="inlineStr">
        <is>
          <t>1</t>
        </is>
      </c>
      <c r="J1135" t="inlineStr"/>
      <c r="K1135" t="inlineStr"/>
      <c r="L1135" t="inlineStr"/>
      <c r="M1135" t="inlineStr"/>
      <c r="N1135" t="inlineStr"/>
      <c r="O1135">
        <f>(1-Summary!$B$11)*T1135+Summary!$B$11*V1135</f>
        <v/>
      </c>
      <c r="P1135">
        <f>IF(B1149=0,0,O1135/B1149)</f>
        <v/>
      </c>
      <c r="Q1135" t="n">
        <v>0</v>
      </c>
      <c r="R1135" t="n">
        <v>0</v>
      </c>
      <c r="S1135">
        <f>IFERROR(O1135/N1135,0)</f>
        <v/>
      </c>
      <c r="T1135" t="n">
        <v>0</v>
      </c>
      <c r="V1135" t="n">
        <v>0</v>
      </c>
    </row>
    <row r="1136">
      <c r="A1136">
        <f>Skills!A31</f>
        <v/>
      </c>
      <c r="B1136">
        <f>Skills!B31</f>
        <v/>
      </c>
      <c r="C1136">
        <f>Inputs!$B$3&gt;=45</f>
        <v/>
      </c>
      <c r="D1136">
        <f>IF(Skills!C31=1,60+Inputs!$B$25+Inputs!$B$29,IF(Skills!C31=2,90+Inputs!$B$26+Inputs!$B$29,IF(Skills!C31=3,120+Inputs!$B$27+Inputs!$B$29,MAX(0,(Inputs!$B$3-100)*3)+Inputs!$B$28+Inputs!$B$29)))</f>
        <v/>
      </c>
      <c r="E1136">
        <f>INDEX(FactorTable!$B$2:$Y$301, MATCH(ROUND(MIN(300,MAX(1,D1136)),0), FactorTable!$A$2:$A$301,0), Skills!M31+1)</f>
        <v/>
      </c>
      <c r="F1136">
        <f>IF(Skills!N31=TRUE,(Skills!L31/10)*(E1136/1000),Skills!L31/10)+Skills!O31</f>
        <v/>
      </c>
      <c r="G1136">
        <f>Skills!G31*IF(Skills!H31&gt;0,Skills!I31/Skills!H31,1)</f>
        <v/>
      </c>
      <c r="H1136">
        <f>1-(1-Skills!J31/100)^Skills!K31</f>
        <v/>
      </c>
      <c r="I1136" t="inlineStr">
        <is>
          <t>1</t>
        </is>
      </c>
      <c r="J1136" t="inlineStr"/>
      <c r="K1136" t="inlineStr"/>
      <c r="L1136" t="inlineStr"/>
      <c r="M1136" t="inlineStr"/>
      <c r="N1136" t="inlineStr"/>
      <c r="O1136">
        <f>(1-Summary!$B$11)*T1136+Summary!$B$11*V1136</f>
        <v/>
      </c>
      <c r="P1136">
        <f>IF(B1149=0,0,O1136/B1149)</f>
        <v/>
      </c>
      <c r="Q1136" t="n">
        <v>0</v>
      </c>
      <c r="R1136" t="n">
        <v>0</v>
      </c>
      <c r="S1136">
        <f>IFERROR(O1136/N1136,0)</f>
        <v/>
      </c>
      <c r="T1136" t="n">
        <v>0</v>
      </c>
      <c r="V1136" t="n">
        <v>0</v>
      </c>
    </row>
    <row r="1138">
      <c r="A1138" t="inlineStr">
        <is>
          <t>Attack% Bucket Multiplier</t>
        </is>
      </c>
      <c r="B1138">
        <f>(1+(((C1119=TRUE)*F1119)+((C1120=TRUE)*IF(Inputs!$B$38="pvp",F1120,(1-Summary!$B$11)*(F1120)+Summary!$B$11*(0)))+((C1121=TRUE)*F1121*IF(AND(Inputs!$B$38&lt;&gt;"pvp",Inputs!$B$43&gt;0),(((R1121-1)*(Skills!T16*(1+Inputs!$B$34/100))+MIN((Skills!T16*(1+Inputs!$B$34/100)),MAX(0,Inputs!$B$43-((R1121-1)*Skills!D16))))/Inputs!$B$43),IF(Inputs!$B$38="pvp",MIN((Skills!T16*(1+Inputs!$B$34/100)),15)/15,(Skills!T16*(1+Inputs!$B$34/100))/Skills!D16)))+((C1136=TRUE)*(F1136-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39">
      <c r="A1139" t="inlineStr">
        <is>
          <t>Global Crit Rate Bonus %</t>
        </is>
      </c>
      <c r="B1139">
        <f>(C1122=TRUE)*20*IF(AND(Inputs!$B$38&lt;&gt;"pvp",Inputs!$B$43&gt;0),(((R1122-1)*(Skills!T17*(1+Inputs!$B$34/100))+MIN((Skills!T17*(1+Inputs!$B$34/100)),MAX(0,Inputs!$B$43-((R1122-1)*Skills!D17))))/Inputs!$B$43),IF(Inputs!$B$38="pvp",MIN((Skills!T17*(1+Inputs!$B$34/100)),15)/15,(Skills!T17*(1+Inputs!$B$34/100))/Skills!D17))</f>
        <v/>
      </c>
    </row>
    <row r="1140">
      <c r="A1140" t="inlineStr">
        <is>
          <t>Attack Speed Buff Bonus %</t>
        </is>
      </c>
      <c r="B1140">
        <f>((C1125=TRUE)*F1125*IF(AND(Inputs!$B$38&lt;&gt;"pvp",Inputs!$B$43&gt;0),(((R1125-1)*(Skills!T20*(1+Inputs!$B$34/100))+MIN((Skills!T20*(1+Inputs!$B$34/100)),MAX(0,Inputs!$B$43-((R1125-1)*Skills!D20))))/Inputs!$B$43),IF(Inputs!$B$38="pvp",MIN((Skills!T20*(1+Inputs!$B$34/100)),15)/15,(Skills!T20*(1+Inputs!$B$34/100))/Skills!D20)))</f>
        <v/>
      </c>
    </row>
    <row r="1141">
      <c r="A1141" t="inlineStr">
        <is>
          <t>Actions Per Second</t>
        </is>
      </c>
      <c r="B1141">
        <f>1+MIN(150,150*(1-(1-(Inputs!$B$11+((C1127=TRUE)*(F1127-Calc!F22))+((C1128=TRUE)*(F1128-Calc!F23)))/150)*(1-B1140/150)))/100</f>
        <v/>
      </c>
    </row>
    <row r="1142">
      <c r="A1142" t="inlineStr">
        <is>
          <t>Skill + Buff Cast Rate</t>
        </is>
      </c>
      <c r="B1142">
        <f>IF(AND(Inputs!$B$38&lt;&gt;"pvp",Inputs!$B$43&gt;0),SUMPRODUCT((Skills!E2:E31=TRUE)*(C1107:C1136=TRUE)*R1107:R1136*Skills!F2:F31)/Inputs!$B$43,SUMPRODUCT((Skills!E2:E31=TRUE)*(C1107:C1136=TRUE)*Q1107:Q1136*Skills!F2:F31))</f>
        <v/>
      </c>
    </row>
    <row r="1143">
      <c r="A1143" t="inlineStr">
        <is>
          <t>Arrow Stream Casts Per Second</t>
        </is>
      </c>
      <c r="B1143">
        <f>MAX(0,B1141-B1142)</f>
        <v/>
      </c>
    </row>
    <row r="1144">
      <c r="A1144" t="inlineStr">
        <is>
          <t>Global Critical Damage Bonus % (Sharp Eyes + Concentration)</t>
        </is>
      </c>
      <c r="B1144">
        <f>(C1122=TRUE)*F1122*IF(AND(Inputs!$B$38&lt;&gt;"pvp",Inputs!$B$43&gt;0),(((R1122-1)*(Skills!T17*(1+Inputs!$B$34/100))+MIN((Skills!T17*(1+Inputs!$B$34/100)),MAX(0,Inputs!$B$43-((R1122-1)*Skills!D17))))/Inputs!$B$43),IF(Inputs!$B$38="pvp",MIN((Skills!T17*(1+Inputs!$B$34/100)),15)/15,(Skills!T17*(1+Inputs!$B$34/100))/Skills!D17))+(C1123=TRUE)*30</f>
        <v/>
      </c>
    </row>
    <row r="1145">
      <c r="A1145" t="inlineStr">
        <is>
          <t>Global Final Damage Bonus % (Mortal Blow)</t>
        </is>
      </c>
      <c r="B1145">
        <f>(C1124=TRUE)*F1124</f>
        <v/>
      </c>
    </row>
    <row r="1146">
      <c r="A1146" t="inlineStr">
        <is>
          <t>Buff-Casting Startup Delay (s, fixed-duration only)</t>
        </is>
      </c>
      <c r="B1146">
        <f>IF(AND(Inputs!$B$38&lt;&gt;"pvp",Inputs!$B$43&gt;0),SUMPRODUCT((Skills!T2:T31&gt;0)*(Skills!E2:E31=TRUE)*(C1107:C1136=TRUE))/B1141,0)</f>
        <v/>
      </c>
    </row>
    <row r="1147">
      <c r="A1147" t="inlineStr">
        <is>
          <t>Boss-Only Total DPS (this block's swept value)</t>
        </is>
      </c>
      <c r="B1147">
        <f>SUM(T1107:T1136)</f>
        <v/>
      </c>
    </row>
    <row r="1148">
      <c r="A1148" t="inlineStr">
        <is>
          <t>Normal-Only Total DPS (this block's swept value)</t>
        </is>
      </c>
      <c r="B1148">
        <f>SUM(V1107:V1136)</f>
        <v/>
      </c>
    </row>
    <row r="1149">
      <c r="A1149" s="6" t="inlineStr">
        <is>
          <t>TOTAL DPS</t>
        </is>
      </c>
      <c r="B1149" s="6">
        <f>SUM(O1107:O1136)</f>
        <v/>
      </c>
    </row>
    <row r="1152">
      <c r="A1152" s="6" t="inlineStr">
        <is>
          <t>Stat: Skill Cooldown Decrease (seconds)</t>
        </is>
      </c>
    </row>
    <row r="1153">
      <c r="A1153" s="5" t="inlineStr">
        <is>
          <t>Key</t>
        </is>
      </c>
      <c r="B1153" s="5" t="inlineStr">
        <is>
          <t>Name</t>
        </is>
      </c>
      <c r="C1153" s="5" t="inlineStr">
        <is>
          <t>Unlocked</t>
        </is>
      </c>
      <c r="D1153" s="5" t="inlineStr">
        <is>
          <t>InputLevel</t>
        </is>
      </c>
      <c r="E1153" s="5" t="inlineStr">
        <is>
          <t>Factor</t>
        </is>
      </c>
      <c r="F1153" s="5" t="inlineStr">
        <is>
          <t>CoefficientPercent</t>
        </is>
      </c>
      <c r="G1153" s="5" t="inlineStr">
        <is>
          <t>EffectiveHits</t>
        </is>
      </c>
      <c r="H1153" s="5" t="inlineStr">
        <is>
          <t>ProcProbability</t>
        </is>
      </c>
      <c r="I1153" s="5" t="inlineStr">
        <is>
          <t>MapleHeroMultiplier</t>
        </is>
      </c>
      <c r="J1153" s="5" t="inlineStr">
        <is>
          <t>BaseDamage</t>
        </is>
      </c>
      <c r="K1153" s="5" t="inlineStr">
        <is>
          <t>BaseHitDamage</t>
        </is>
      </c>
      <c r="L1153" s="5" t="inlineStr">
        <is>
          <t>NonCritAvg</t>
        </is>
      </c>
      <c r="M1153" s="5" t="inlineStr">
        <is>
          <t>CritAvg</t>
        </is>
      </c>
      <c r="N1153" s="5" t="inlineStr">
        <is>
          <t>ExpectedDamage(perHit)</t>
        </is>
      </c>
      <c r="O1153" s="5" t="inlineStr">
        <is>
          <t>DPS</t>
        </is>
      </c>
      <c r="P1153" s="5" t="inlineStr">
        <is>
          <t>% of Total</t>
        </is>
      </c>
      <c r="Q1153" s="5" t="inlineStr">
        <is>
          <t>InvCooldown</t>
        </is>
      </c>
      <c r="R1153" s="5" t="inlineStr">
        <is>
          <t>CastsInFight</t>
        </is>
      </c>
      <c r="S1153" s="5" t="inlineStr">
        <is>
          <t>HitRate(perSec)</t>
        </is>
      </c>
      <c r="U1153" t="inlineStr">
        <is>
          <t>helpers</t>
        </is>
      </c>
    </row>
    <row r="1154">
      <c r="A1154">
        <f>Skills!A2</f>
        <v/>
      </c>
      <c r="B1154">
        <f>Skills!B2</f>
        <v/>
      </c>
      <c r="C1154">
        <f>Inputs!$B$3&gt;=100</f>
        <v/>
      </c>
      <c r="D1154" t="inlineStr"/>
      <c r="E1154" t="inlineStr"/>
      <c r="F1154">
        <f>U1156+Skills!O2</f>
        <v/>
      </c>
      <c r="G1154">
        <f>Skills!G2*IF(Skills!H2&gt;0,Skills!I2/Skills!H2,1)</f>
        <v/>
      </c>
      <c r="H1154">
        <f>1-(1-Skills!J2/100)^Skills!K2</f>
        <v/>
      </c>
      <c r="I1154" t="inlineStr">
        <is>
          <t>1</t>
        </is>
      </c>
      <c r="J1154">
        <f>((Inputs!$B$6*(1+Inputs!$B$7/100))+(((Inputs!$B$12*(1+Inputs!$B$13/100))-(Inputs!$B$12*(1+Inputs!$B$13/100)))+0.25*(Inputs!$B$14-Inputs!$B$14))*(1+Inputs!$B$7/100))*(F1154/100)</f>
        <v/>
      </c>
      <c r="K1154">
        <f>J1154*(1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1154)</f>
        <v/>
      </c>
      <c r="L1154">
        <f>K1154*(MIN(Inputs!$B$22+((C1177=TRUE)*(F1177-Calc!F25)),(Inputs!$B$23+((C1182=TRUE)*(F1182-Calc!F30))+(IF(ArtifactsInput!$M$15,CHOOSE(ArtifactsInput!$N$15+1,25,30,35,40,45,50)/100*(Inputs!$B$11-Inputs!$B$11),0))))/100+(Inputs!$B$23+((C1182=TRUE)*(F1182-Calc!F30))+(IF(ArtifactsInput!$M$15,CHOOSE(ArtifactsInput!$N$15+1,25,30,35,40,45,50)/100*(Inputs!$B$11-Inputs!$B$11),0)))/100)/2</f>
        <v/>
      </c>
      <c r="M1154">
        <f>L1154*(1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4">
        <f>L1154*(1-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1154*(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4">
        <f>(1-Summary!$B$11)*T1154+Summary!$B$11*V1154</f>
        <v/>
      </c>
      <c r="P1154">
        <f>IF(B1196=0,0,O1154/B1196)</f>
        <v/>
      </c>
      <c r="Q1154" t="n">
        <v>0</v>
      </c>
      <c r="R1154" t="n">
        <v>0</v>
      </c>
      <c r="S1154">
        <f>IFERROR(O1154/N1154,0)</f>
        <v/>
      </c>
      <c r="T1154">
        <f>IF(C1154,(Skills!G2*N1154*B1190)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1154*(1-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1154*(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1154*(1-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1154*(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4">
        <f>MAX(0,(Inputs!$B$3-100)*3)+Inputs!$B$28+Inputs!$B$29</f>
        <v/>
      </c>
      <c r="V1154">
        <f>IF(C1154,(Skills!G2*N1154*B1190)*IF(Inputs!$B$38="pvp",1,(1+(Inputs!$B$21+Skills!Q2+(IF(ArtifactsInput!$M$33,CHOOSE(ArtifactsInput!$N$33+1,30,36,42,48,54,60),0))+(IF(AND(ArtifactsInput!$M$35,Inputs!$B$4&lt;&gt;"Chapter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5">
      <c r="A1155">
        <f>Skills!A3</f>
        <v/>
      </c>
      <c r="B1155">
        <f>Skills!B3</f>
        <v/>
      </c>
      <c r="C1155">
        <f>Inputs!$B$3&gt;=50</f>
        <v/>
      </c>
      <c r="D1155">
        <f>IF(Skills!C3=1,60+Inputs!$B$25+Inputs!$B$29,IF(Skills!C3=2,90+Inputs!$B$26+Inputs!$B$29,IF(Skills!C3=3,120+Inputs!$B$27+Inputs!$B$29,MAX(0,(Inputs!$B$3-100)*3)+Inputs!$B$28+Inputs!$B$29)))</f>
        <v/>
      </c>
      <c r="E1155">
        <f>INDEX(FactorTable!$B$2:$Y$301, MATCH(ROUND(MIN(300,MAX(1,D1155)),0), FactorTable!$A$2:$A$301,0), Skills!M3+1)</f>
        <v/>
      </c>
      <c r="F1155">
        <f>IF(Skills!N3=TRUE,(Skills!L3/10)*(E1155/1000),Skills!L3/10)+Skills!O3</f>
        <v/>
      </c>
      <c r="G1155">
        <f>Skills!G3*IF(Skills!H3&gt;0,Skills!I3/Skills!H3,1)</f>
        <v/>
      </c>
      <c r="H1155">
        <f>1-(1-Skills!J3/100)^Skills!K3</f>
        <v/>
      </c>
      <c r="I1155" t="inlineStr">
        <is>
          <t>1</t>
        </is>
      </c>
      <c r="J1155">
        <f>((Inputs!$B$6*(1+Inputs!$B$7/100))+(((Inputs!$B$12*(1+Inputs!$B$13/100))-(Inputs!$B$12*(1+Inputs!$B$13/100)))+0.25*(Inputs!$B$14-Inputs!$B$14))*(1+Inputs!$B$7/100))*(F1155/100)</f>
        <v/>
      </c>
      <c r="K1155">
        <f>J1155*(1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1156=TRUE,F1156,0)/100)*(1+(IF(Skills!A3="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1155)</f>
        <v/>
      </c>
      <c r="L1155">
        <f>K1155*(MIN(Inputs!$B$22+((C1177=TRUE)*(F1177-Calc!F25)),(Inputs!$B$23+((C1182=TRUE)*(F1182-Calc!F30))+(IF(ArtifactsInput!$M$15,CHOOSE(ArtifactsInput!$N$15+1,25,30,35,40,45,50)/100*(Inputs!$B$11-Inputs!$B$11),0))))/100+(Inputs!$B$23+((C1182=TRUE)*(F1182-Calc!F30))+(IF(ArtifactsInput!$M$15,CHOOSE(ArtifactsInput!$N$15+1,25,30,35,40,45,50)/100*(Inputs!$B$11-Inputs!$B$11),0)))/100)/2</f>
        <v/>
      </c>
      <c r="M1155">
        <f>L1155*(1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5">
        <f>L1155*(1-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1155*(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5">
        <f>(1-Summary!$B$11)*T1155+Summary!$B$11*V1155</f>
        <v/>
      </c>
      <c r="P1155">
        <f>IF(B1196=0,0,O1155/B1196)</f>
        <v/>
      </c>
      <c r="Q1155">
        <f>IFERROR(1/(IF(Inputs!$B$38="pvp",15,MAX(0.1,Skills!D3-IF(Skills!E3=TRUE,(Inputs!$B$32+1),0)))*(1-IF(AND(ArtifactsInput!$M$27,Inputs!$B$4="Chapter Hunt"),CHOOSE(ArtifactsInput!$N$27+1,20,24,28,32,36,40),0)/100)),0)</f>
        <v/>
      </c>
      <c r="R1155">
        <f>IF(AND(Inputs!$B$38&lt;&gt;"pvp",Inputs!$B$43&gt;0),IF(MAX(0,Inputs!$B$43-B1193)&lt;=0,0,(INT(MAX(0,Inputs!$B$43-B1193)/(IF(Inputs!$B$38="pvp",15,MAX(0.1,Skills!D3-IF(Skills!E3=TRUE,(Inputs!$B$32+1),0)))*(1-IF(AND(ArtifactsInput!$M$27,Inputs!$B$4="Chapter Hunt"),CHOOSE(ArtifactsInput!$N$27+1,20,24,28,32,36,40),0)/100)))+1)),0)</f>
        <v/>
      </c>
      <c r="S1155">
        <f>IFERROR(O1155/N1155,0)</f>
        <v/>
      </c>
      <c r="T1155">
        <f>IF(C1155,(H1155*N1155*IF(AND(Inputs!$B$38&lt;&gt;"pvp",Inputs!$B$43&gt;0),((Skills!G3*((R1155-1)*IF(Skills!H3&gt;0,Skills!I3/Skills!H3,1)+IF(Skills!H3&gt;0,MIN(Skills!I3,MAX(0,MAX(0,Inputs!$B$43-B1193)-((R1155-1)*(IF(Inputs!$B$38="pvp",15,MAX(0.1,Skills!D3-IF(Skills!E3=TRUE,(Inputs!$B$32+1),0)))*(1-IF(AND(ArtifactsInput!$M$27,Inputs!$B$4="Chapter Hunt"),CHOOSE(ArtifactsInput!$N$27+1,20,24,28,32,36,40),0)/100)))))/Skills!H3,1)))/Inputs!$B$43),G1155*Q1155)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1155*(1-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1155*(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1155*(1-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1155*(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5">
        <f>INDEX(FactorTable!$B$2:$Y$301, MATCH(ROUND(MIN(300,MAX(1,U1154)),0), FactorTable!$A$2:$A$301,0), 22)</f>
        <v/>
      </c>
      <c r="V1155">
        <f>IF(C1155,(H1155*N1155*IF(AND(Inputs!$B$38&lt;&gt;"pvp",Inputs!$B$43&gt;0),((Skills!G3*((R1155-1)*IF(Skills!H3&gt;0,Skills!I3/Skills!H3,1)+IF(Skills!H3&gt;0,MIN(Skills!I3,MAX(0,MAX(0,Inputs!$B$43-B1193)-((R1155-1)*(IF(Inputs!$B$38="pvp",15,MAX(0.1,Skills!D3-IF(Skills!E3=TRUE,(Inputs!$B$32+1),0)))*(1-IF(AND(ArtifactsInput!$M$27,Inputs!$B$4="Chapter Hunt"),CHOOSE(ArtifactsInput!$N$27+1,20,24,28,32,36,40),0)/100)))))/Skills!H3,1)))/Inputs!$B$43),G1155*Q1155))*IF(Inputs!$B$38="pvp",1,(1+(Inputs!$B$21+Skills!Q3+(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6">
      <c r="A1156">
        <f>Skills!A4</f>
        <v/>
      </c>
      <c r="B1156">
        <f>Skills!B4</f>
        <v/>
      </c>
      <c r="C1156">
        <f>Inputs!$B$3&gt;=105</f>
        <v/>
      </c>
      <c r="D1156">
        <f>IF(Skills!C4=1,60+Inputs!$B$25+Inputs!$B$29,IF(Skills!C4=2,90+Inputs!$B$26+Inputs!$B$29,IF(Skills!C4=3,120+Inputs!$B$27+Inputs!$B$29,MAX(0,(Inputs!$B$3-100)*3)+Inputs!$B$28+Inputs!$B$29)))</f>
        <v/>
      </c>
      <c r="E1156">
        <f>INDEX(FactorTable!$B$2:$Y$301, MATCH(ROUND(MIN(300,MAX(1,D1156)),0), FactorTable!$A$2:$A$301,0), Skills!M4+1)</f>
        <v/>
      </c>
      <c r="F1156">
        <f>IF(Skills!N4=TRUE,(Skills!L4/10)*(E1156/1000),Skills!L4/10)+Skills!O4</f>
        <v/>
      </c>
      <c r="G1156" t="inlineStr"/>
      <c r="H1156" t="inlineStr"/>
      <c r="I1156" t="inlineStr">
        <is>
          <t>1</t>
        </is>
      </c>
      <c r="J1156" t="inlineStr"/>
      <c r="K1156" t="inlineStr"/>
      <c r="L1156" t="inlineStr"/>
      <c r="M1156" t="inlineStr"/>
      <c r="N1156" t="inlineStr"/>
      <c r="O1156" t="inlineStr"/>
      <c r="P1156" t="inlineStr"/>
      <c r="Q1156" t="inlineStr"/>
      <c r="R1156" t="inlineStr"/>
      <c r="S1156" t="inlineStr"/>
      <c r="T1156" t="inlineStr"/>
      <c r="U1156">
        <f>290*U1155/1000</f>
        <v/>
      </c>
      <c r="V1156" t="inlineStr"/>
    </row>
    <row r="1157">
      <c r="A1157">
        <f>Skills!A5</f>
        <v/>
      </c>
      <c r="B1157">
        <f>Skills!B5</f>
        <v/>
      </c>
      <c r="C1157">
        <f>Inputs!$B$3&gt;=35</f>
        <v/>
      </c>
      <c r="D1157">
        <f>IF(Skills!C5=1,60+Inputs!$B$25+Inputs!$B$29,IF(Skills!C5=2,90+Inputs!$B$26+Inputs!$B$29,IF(Skills!C5=3,120+Inputs!$B$27+Inputs!$B$29,MAX(0,(Inputs!$B$3-100)*3)+Inputs!$B$28+Inputs!$B$29)))</f>
        <v/>
      </c>
      <c r="E1157">
        <f>INDEX(FactorTable!$B$2:$Y$301, MATCH(ROUND(MIN(300,MAX(1,D1157)),0), FactorTable!$A$2:$A$301,0), Skills!M5+1)</f>
        <v/>
      </c>
      <c r="F1157">
        <f>IF(Skills!N5=TRUE,(Skills!L5/10)*(E1157/1000),Skills!L5/10)+Skills!O5</f>
        <v/>
      </c>
      <c r="G1157">
        <f>Skills!G5*IF(Skills!H5&gt;0,Skills!I5/Skills!H5,1)</f>
        <v/>
      </c>
      <c r="H1157">
        <f>1-(1-Skills!J5/100)^Skills!K5</f>
        <v/>
      </c>
      <c r="I1157" t="inlineStr">
        <is>
          <t>1</t>
        </is>
      </c>
      <c r="J1157">
        <f>((Inputs!$B$6*(1+Inputs!$B$7/100))+(((Inputs!$B$12*(1+Inputs!$B$13/100))-(Inputs!$B$12*(1+Inputs!$B$13/100)))+0.25*(Inputs!$B$14-Inputs!$B$14))*(1+Inputs!$B$7/100))*(F1157/100)</f>
        <v/>
      </c>
      <c r="K1157">
        <f>J1157*(1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1163=TRUE,F1163,0)/100)*(1+(IF(Skills!A5="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1157)</f>
        <v/>
      </c>
      <c r="L1157">
        <f>K1157*(MIN(Inputs!$B$22+((C1177=TRUE)*(F1177-Calc!F25)),(Inputs!$B$23+((C1182=TRUE)*(F1182-Calc!F30))+(IF(ArtifactsInput!$M$15,CHOOSE(ArtifactsInput!$N$15+1,25,30,35,40,45,50)/100*(Inputs!$B$11-Inputs!$B$11),0))))/100+(Inputs!$B$23+((C1182=TRUE)*(F1182-Calc!F30))+(IF(ArtifactsInput!$M$15,CHOOSE(ArtifactsInput!$N$15+1,25,30,35,40,45,50)/100*(Inputs!$B$11-Inputs!$B$11),0)))/100)/2</f>
        <v/>
      </c>
      <c r="M1157">
        <f>L1157*(1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7">
        <f>L1157*(1-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1157*(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7">
        <f>(1-Summary!$B$11)*T1157+Summary!$B$11*V1157</f>
        <v/>
      </c>
      <c r="P1157">
        <f>IF(B1196=0,0,O1157/B1196)</f>
        <v/>
      </c>
      <c r="Q1157">
        <f>IFERROR(1/(IF(Inputs!$B$38="pvp",15,MAX(0.1,Skills!D5-IF(Skills!E5=TRUE,(Inputs!$B$32+1),0)))*(1-IF(AND(ArtifactsInput!$M$27,Inputs!$B$4="Chapter Hunt"),CHOOSE(ArtifactsInput!$N$27+1,20,24,28,32,36,40),0)/100)),0)</f>
        <v/>
      </c>
      <c r="R1157">
        <f>IF(AND(Inputs!$B$38&lt;&gt;"pvp",Inputs!$B$43&gt;0),IF(MAX(0,Inputs!$B$43-B1193)&lt;=0,0,(INT(MAX(0,Inputs!$B$43-B1193)/(IF(Inputs!$B$38="pvp",15,MAX(0.1,Skills!D5-IF(Skills!E5=TRUE,(Inputs!$B$32+1),0)))*(1-IF(AND(ArtifactsInput!$M$27,Inputs!$B$4="Chapter Hunt"),CHOOSE(ArtifactsInput!$N$27+1,20,24,28,32,36,40),0)/100)))+1)),0)</f>
        <v/>
      </c>
      <c r="S1157">
        <f>IFERROR(O1157/N1157,0)</f>
        <v/>
      </c>
      <c r="T1157">
        <f>IF(C1157,(H1157*N1157*IF(AND(Inputs!$B$38&lt;&gt;"pvp",Inputs!$B$43&gt;0),((Skills!G5*((R1157-1)*IF(Skills!H5&gt;0,Skills!I5/Skills!H5,1)+IF(Skills!H5&gt;0,MIN(Skills!I5,MAX(0,MAX(0,Inputs!$B$43-B1193)-((R1157-1)*(IF(Inputs!$B$38="pvp",15,MAX(0.1,Skills!D5-IF(Skills!E5=TRUE,(Inputs!$B$32+1),0)))*(1-IF(AND(ArtifactsInput!$M$27,Inputs!$B$4="Chapter Hunt"),CHOOSE(ArtifactsInput!$N$27+1,20,24,28,32,36,40),0)/100)))))/Skills!H5,1)))/Inputs!$B$43),G1157*Q1157)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1157*(1-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1157*(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1157*(1-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1157*(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7">
        <f>IF(C1157,(H1157*N1157*IF(AND(Inputs!$B$38&lt;&gt;"pvp",Inputs!$B$43&gt;0),((Skills!G5*((R1157-1)*IF(Skills!H5&gt;0,Skills!I5/Skills!H5,1)+IF(Skills!H5&gt;0,MIN(Skills!I5,MAX(0,MAX(0,Inputs!$B$43-B1193)-((R1157-1)*(IF(Inputs!$B$38="pvp",15,MAX(0.1,Skills!D5-IF(Skills!E5=TRUE,(Inputs!$B$32+1),0)))*(1-IF(AND(ArtifactsInput!$M$27,Inputs!$B$4="Chapter Hunt"),CHOOSE(ArtifactsInput!$N$27+1,20,24,28,32,36,40),0)/100)))))/Skills!H5,1)))/Inputs!$B$43),G1157*Q1157))*IF(Inputs!$B$38="pvp",1,(1+(Inputs!$B$21+Skills!Q5+(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8">
      <c r="A1158">
        <f>Skills!A6</f>
        <v/>
      </c>
      <c r="B1158">
        <f>Skills!B6</f>
        <v/>
      </c>
      <c r="C1158">
        <f>Inputs!$B$3&gt;=40</f>
        <v/>
      </c>
      <c r="D1158">
        <f>IF(Skills!C6=1,60+Inputs!$B$25+Inputs!$B$29,IF(Skills!C6=2,90+Inputs!$B$26+Inputs!$B$29,IF(Skills!C6=3,120+Inputs!$B$27+Inputs!$B$29,MAX(0,(Inputs!$B$3-100)*3)+Inputs!$B$28+Inputs!$B$29)))</f>
        <v/>
      </c>
      <c r="E1158">
        <f>INDEX(FactorTable!$B$2:$Y$301, MATCH(ROUND(MIN(300,MAX(1,D1158)),0), FactorTable!$A$2:$A$301,0), Skills!M6+1)</f>
        <v/>
      </c>
      <c r="F1158">
        <f>IF(Skills!N6=TRUE,(Skills!L6/10)*(E1158/1000),Skills!L6/10)+Skills!O6</f>
        <v/>
      </c>
      <c r="G1158">
        <f>Skills!G6*IF(Skills!H6&gt;0,Skills!I6/Skills!H6,1)</f>
        <v/>
      </c>
      <c r="H1158">
        <f>1-(1-Skills!J6/100)^Skills!K6</f>
        <v/>
      </c>
      <c r="I1158" t="inlineStr">
        <is>
          <t>1</t>
        </is>
      </c>
      <c r="J1158">
        <f>((Inputs!$B$6*(1+Inputs!$B$7/100))+(((Inputs!$B$12*(1+Inputs!$B$13/100))-(Inputs!$B$12*(1+Inputs!$B$13/100)))+0.25*(Inputs!$B$14-Inputs!$B$14))*(1+Inputs!$B$7/100))*(F1158/100)</f>
        <v/>
      </c>
      <c r="K1158">
        <f>J1158*(1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1159=TRUE,F1159,0)/100)*(1+(IF(Skills!A6="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1158)</f>
        <v/>
      </c>
      <c r="L1158">
        <f>K1158*(MIN(Inputs!$B$22+((C1177=TRUE)*(F1177-Calc!F25)),(Inputs!$B$23+((C1182=TRUE)*(F1182-Calc!F30))+(IF(ArtifactsInput!$M$15,CHOOSE(ArtifactsInput!$N$15+1,25,30,35,40,45,50)/100*(Inputs!$B$11-Inputs!$B$11),0))))/100+(Inputs!$B$23+((C1182=TRUE)*(F1182-Calc!F30))+(IF(ArtifactsInput!$M$15,CHOOSE(ArtifactsInput!$N$15+1,25,30,35,40,45,50)/100*(Inputs!$B$11-Inputs!$B$11),0)))/100)/2</f>
        <v/>
      </c>
      <c r="M1158">
        <f>L1158*(1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8">
        <f>L1158*(1-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1158*(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8">
        <f>(1-Summary!$B$11)*T1158+Summary!$B$11*V1158</f>
        <v/>
      </c>
      <c r="P1158">
        <f>IF(B1196=0,0,O1158/B1196)</f>
        <v/>
      </c>
      <c r="Q1158">
        <f>IFERROR(1/(IF(Inputs!$B$38="pvp",15,MAX(0.1,Skills!D6-IF(Skills!E6=TRUE,(Inputs!$B$32+1),0)))*(1-IF(AND(ArtifactsInput!$M$27,Inputs!$B$4="Chapter Hunt"),CHOOSE(ArtifactsInput!$N$27+1,20,24,28,32,36,40),0)/100)),0)</f>
        <v/>
      </c>
      <c r="R1158">
        <f>IF(AND(Inputs!$B$38&lt;&gt;"pvp",Inputs!$B$43&gt;0),IF(MAX(0,Inputs!$B$43-B1193)&lt;=0,0,(INT(MAX(0,Inputs!$B$43-B1193)/(IF(Inputs!$B$38="pvp",15,MAX(0.1,Skills!D6-IF(Skills!E6=TRUE,(Inputs!$B$32+1),0)))*(1-IF(AND(ArtifactsInput!$M$27,Inputs!$B$4="Chapter Hunt"),CHOOSE(ArtifactsInput!$N$27+1,20,24,28,32,36,40),0)/100)))+1)),0)</f>
        <v/>
      </c>
      <c r="S1158">
        <f>IFERROR(O1158/N1158,0)</f>
        <v/>
      </c>
      <c r="T1158">
        <f>IF(C1158,(H1158*N1158*IF(AND(Inputs!$B$38&lt;&gt;"pvp",Inputs!$B$43&gt;0),((Skills!G6*((R1158-1)*IF(Skills!H6&gt;0,Skills!I6/Skills!H6,1)+IF(Skills!H6&gt;0,MIN(Skills!I6,MAX(0,MAX(0,Inputs!$B$43-B1193)-((R1158-1)*(IF(Inputs!$B$38="pvp",15,MAX(0.1,Skills!D6-IF(Skills!E6=TRUE,(Inputs!$B$32+1),0)))*(1-IF(AND(ArtifactsInput!$M$27,Inputs!$B$4="Chapter Hunt"),CHOOSE(ArtifactsInput!$N$27+1,20,24,28,32,36,40),0)/100)))))/Skills!H6,1)))/Inputs!$B$43),G1158*Q1158)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1158*(1-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1158*(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1158*(1-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1158*(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8">
        <f>IF(C1158,(H1158*N1158*IF(AND(Inputs!$B$38&lt;&gt;"pvp",Inputs!$B$43&gt;0),((Skills!G6*((R1158-1)*IF(Skills!H6&gt;0,Skills!I6/Skills!H6,1)+IF(Skills!H6&gt;0,MIN(Skills!I6,MAX(0,MAX(0,Inputs!$B$43-B1193)-((R1158-1)*(IF(Inputs!$B$38="pvp",15,MAX(0.1,Skills!D6-IF(Skills!E6=TRUE,(Inputs!$B$32+1),0)))*(1-IF(AND(ArtifactsInput!$M$27,Inputs!$B$4="Chapter Hunt"),CHOOSE(ArtifactsInput!$N$27+1,20,24,28,32,36,40),0)/100)))))/Skills!H6,1)))/Inputs!$B$43),G1158*Q1158))*IF(Inputs!$B$38="pvp",1,(1+(Inputs!$B$21+Skills!Q6+(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9">
      <c r="A1159">
        <f>Skills!A7</f>
        <v/>
      </c>
      <c r="B1159">
        <f>Skills!B7</f>
        <v/>
      </c>
      <c r="C1159">
        <f>Inputs!$B$3&gt;=107</f>
        <v/>
      </c>
      <c r="D1159">
        <f>IF(Skills!C7=1,60+Inputs!$B$25+Inputs!$B$29,IF(Skills!C7=2,90+Inputs!$B$26+Inputs!$B$29,IF(Skills!C7=3,120+Inputs!$B$27+Inputs!$B$29,MAX(0,(Inputs!$B$3-100)*3)+Inputs!$B$28+Inputs!$B$29)))</f>
        <v/>
      </c>
      <c r="E1159">
        <f>INDEX(FactorTable!$B$2:$Y$301, MATCH(ROUND(MIN(300,MAX(1,D1159)),0), FactorTable!$A$2:$A$301,0), Skills!M7+1)</f>
        <v/>
      </c>
      <c r="F1159">
        <f>IF(Skills!N7=TRUE,(Skills!L7/10)*(E1159/1000),Skills!L7/10)+Skills!O7</f>
        <v/>
      </c>
      <c r="G1159" t="inlineStr"/>
      <c r="H1159" t="inlineStr"/>
      <c r="I1159" t="inlineStr">
        <is>
          <t>1</t>
        </is>
      </c>
      <c r="J1159" t="inlineStr"/>
      <c r="K1159" t="inlineStr"/>
      <c r="L1159" t="inlineStr"/>
      <c r="M1159" t="inlineStr"/>
      <c r="N1159" t="inlineStr"/>
      <c r="O1159" t="inlineStr"/>
      <c r="P1159" t="inlineStr"/>
      <c r="Q1159" t="inlineStr"/>
      <c r="R1159" t="inlineStr"/>
      <c r="S1159" t="inlineStr"/>
      <c r="T1159" t="inlineStr"/>
      <c r="V1159" t="inlineStr"/>
    </row>
    <row r="1160">
      <c r="A1160">
        <f>Skills!A8</f>
        <v/>
      </c>
      <c r="B1160">
        <f>Skills!B8</f>
        <v/>
      </c>
      <c r="C1160">
        <f>Inputs!$B$3&gt;=69</f>
        <v/>
      </c>
      <c r="D1160">
        <f>IF(Skills!C8=1,60+Inputs!$B$25+Inputs!$B$29,IF(Skills!C8=2,90+Inputs!$B$26+Inputs!$B$29,IF(Skills!C8=3,120+Inputs!$B$27+Inputs!$B$29,MAX(0,(Inputs!$B$3-100)*3)+Inputs!$B$28+Inputs!$B$29)))</f>
        <v/>
      </c>
      <c r="E1160">
        <f>INDEX(FactorTable!$B$2:$Y$301, MATCH(ROUND(MIN(300,MAX(1,D1160)),0), FactorTable!$A$2:$A$301,0), Skills!M8+1)</f>
        <v/>
      </c>
      <c r="F1160">
        <f>IF(Skills!N8=TRUE,(Skills!L8/10)*(E1160/1000),Skills!L8/10)+Skills!O8</f>
        <v/>
      </c>
      <c r="G1160">
        <f>Skills!G8*IF(Skills!H8&gt;0,Skills!I8/Skills!H8,1)</f>
        <v/>
      </c>
      <c r="H1160">
        <f>1-(1-Skills!J8/100)^Skills!K8</f>
        <v/>
      </c>
      <c r="I1160" t="inlineStr">
        <is>
          <t>1</t>
        </is>
      </c>
      <c r="J1160">
        <f>((Inputs!$B$6*(1+Inputs!$B$7/100))+(((Inputs!$B$12*(1+Inputs!$B$13/100))-(Inputs!$B$12*(1+Inputs!$B$13/100)))+0.25*(Inputs!$B$14-Inputs!$B$14))*(1+Inputs!$B$7/100))*(F1160/100)</f>
        <v/>
      </c>
      <c r="K1160">
        <f>J1160*(1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1163=TRUE,F1163,0)/100)*(1+(IF(Skills!A8="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1160)</f>
        <v/>
      </c>
      <c r="L1160">
        <f>K1160*(MIN(Inputs!$B$22+((C1177=TRUE)*(F1177-Calc!F25)),(Inputs!$B$23+((C1182=TRUE)*(F1182-Calc!F30))+(IF(ArtifactsInput!$M$15,CHOOSE(ArtifactsInput!$N$15+1,25,30,35,40,45,50)/100*(Inputs!$B$11-Inputs!$B$11),0))))/100+(Inputs!$B$23+((C1182=TRUE)*(F1182-Calc!F30))+(IF(ArtifactsInput!$M$15,CHOOSE(ArtifactsInput!$N$15+1,25,30,35,40,45,50)/100*(Inputs!$B$11-Inputs!$B$11),0)))/100)/2</f>
        <v/>
      </c>
      <c r="M1160">
        <f>L1160*(1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0">
        <f>L1160*(1-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1160*(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0">
        <f>(1-Summary!$B$11)*T1160+Summary!$B$11*V1160</f>
        <v/>
      </c>
      <c r="P1160">
        <f>IF(B1196=0,0,O1160/B1196)</f>
        <v/>
      </c>
      <c r="Q1160">
        <f>IFERROR(1/(IF(Inputs!$B$38="pvp",15,MAX(0.1,Skills!D8-IF(Skills!E8=TRUE,(Inputs!$B$32+1),0)))*(1-IF(AND(ArtifactsInput!$M$27,Inputs!$B$4="Chapter Hunt"),CHOOSE(ArtifactsInput!$N$27+1,20,24,28,32,36,40),0)/100)),0)</f>
        <v/>
      </c>
      <c r="R1160">
        <f>IF(AND(Inputs!$B$38&lt;&gt;"pvp",Inputs!$B$43&gt;0),IF(MAX(0,Inputs!$B$43-B1193)&lt;=0,0,(INT(MAX(0,Inputs!$B$43-B1193)/(IF(Inputs!$B$38="pvp",15,MAX(0.1,Skills!D8-IF(Skills!E8=TRUE,(Inputs!$B$32+1),0)))*(1-IF(AND(ArtifactsInput!$M$27,Inputs!$B$4="Chapter Hunt"),CHOOSE(ArtifactsInput!$N$27+1,20,24,28,32,36,40),0)/100)))+1)),0)</f>
        <v/>
      </c>
      <c r="S1160">
        <f>IFERROR(O1160/N1160,0)</f>
        <v/>
      </c>
      <c r="T1160">
        <f>IF(C1160,(H1160*N1160*IF(AND(Inputs!$B$38&lt;&gt;"pvp",Inputs!$B$43&gt;0),((Skills!G8*((R1160-1)*IF(Skills!H8&gt;0,Skills!I8/Skills!H8,1)+IF(Skills!H8&gt;0,MIN(Skills!I8,MAX(0,MAX(0,Inputs!$B$43-B1193)-((R1160-1)*(IF(Inputs!$B$38="pvp",15,MAX(0.1,Skills!D8-IF(Skills!E8=TRUE,(Inputs!$B$32+1),0)))*(1-IF(AND(ArtifactsInput!$M$27,Inputs!$B$4="Chapter Hunt"),CHOOSE(ArtifactsInput!$N$27+1,20,24,28,32,36,40),0)/100)))))/Skills!H8,1)))/Inputs!$B$43),G1160*Q1160)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1160*(1-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1160*(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1160*(1-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1160*(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0">
        <f>IF(C1160,(H1160*N1160*IF(AND(Inputs!$B$38&lt;&gt;"pvp",Inputs!$B$43&gt;0),((Skills!G8*((R1160-1)*IF(Skills!H8&gt;0,Skills!I8/Skills!H8,1)+IF(Skills!H8&gt;0,MIN(Skills!I8,MAX(0,MAX(0,Inputs!$B$43-B1193)-((R1160-1)*(IF(Inputs!$B$38="pvp",15,MAX(0.1,Skills!D8-IF(Skills!E8=TRUE,(Inputs!$B$32+1),0)))*(1-IF(AND(ArtifactsInput!$M$27,Inputs!$B$4="Chapter Hunt"),CHOOSE(ArtifactsInput!$N$27+1,20,24,28,32,36,40),0)/100)))))/Skills!H8,1)))/Inputs!$B$43),G1160*Q1160))*IF(Inputs!$B$38="pvp",1,(1+(Inputs!$B$21+Skills!Q8+(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1">
      <c r="A1161">
        <f>Skills!A9</f>
        <v/>
      </c>
      <c r="B1161">
        <f>Skills!B9</f>
        <v/>
      </c>
      <c r="C1161">
        <f>Inputs!$B$3&gt;=63</f>
        <v/>
      </c>
      <c r="D1161">
        <f>IF(Skills!C9=1,60+Inputs!$B$25+Inputs!$B$29,IF(Skills!C9=2,90+Inputs!$B$26+Inputs!$B$29,IF(Skills!C9=3,120+Inputs!$B$27+Inputs!$B$29,MAX(0,(Inputs!$B$3-100)*3)+Inputs!$B$28+Inputs!$B$29)))</f>
        <v/>
      </c>
      <c r="E1161">
        <f>INDEX(FactorTable!$B$2:$Y$301, MATCH(ROUND(MIN(300,MAX(1,D1161)),0), FactorTable!$A$2:$A$301,0), Skills!M9+1)</f>
        <v/>
      </c>
      <c r="F1161">
        <f>IF(Skills!N9=TRUE,(Skills!L9/10)*(E1161/1000),Skills!L9/10)+Skills!O9</f>
        <v/>
      </c>
      <c r="G1161">
        <f>Skills!G9*IF(Skills!H9&gt;0,Skills!I9/Skills!H9,1)</f>
        <v/>
      </c>
      <c r="H1161">
        <f>1-(1-Skills!J9/100)^Skills!K9</f>
        <v/>
      </c>
      <c r="I1161" t="inlineStr">
        <is>
          <t>1</t>
        </is>
      </c>
      <c r="J1161">
        <f>((Inputs!$B$6*(1+Inputs!$B$7/100))+(((Inputs!$B$12*(1+Inputs!$B$13/100))-(Inputs!$B$12*(1+Inputs!$B$13/100)))+0.25*(Inputs!$B$14-Inputs!$B$14))*(1+Inputs!$B$7/100))*(F1161/100)</f>
        <v/>
      </c>
      <c r="K1161">
        <f>J1161*(1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1163=TRUE,F1163,0)/100)*(1+(IF(Skills!A9="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1161)</f>
        <v/>
      </c>
      <c r="L1161">
        <f>K1161*(MIN(Inputs!$B$22+((C1177=TRUE)*(F1177-Calc!F25)),(Inputs!$B$23+((C1182=TRUE)*(F1182-Calc!F30))+(IF(ArtifactsInput!$M$15,CHOOSE(ArtifactsInput!$N$15+1,25,30,35,40,45,50)/100*(Inputs!$B$11-Inputs!$B$11),0))))/100+(Inputs!$B$23+((C1182=TRUE)*(F1182-Calc!F30))+(IF(ArtifactsInput!$M$15,CHOOSE(ArtifactsInput!$N$15+1,25,30,35,40,45,50)/100*(Inputs!$B$11-Inputs!$B$11),0)))/100)/2</f>
        <v/>
      </c>
      <c r="M1161">
        <f>L1161*(1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1">
        <f>L1161*(1-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1">
        <f>(1-Summary!$B$11)*T1161+Summary!$B$11*V1161</f>
        <v/>
      </c>
      <c r="P1161">
        <f>IF(B1196=0,0,O1161/B1196)</f>
        <v/>
      </c>
      <c r="Q1161">
        <f>IFERROR(1/(IF(Inputs!$B$38="pvp",15,MAX(0.1,Skills!D9-IF(Skills!E9=TRUE,(Inputs!$B$32+1),0)))*(1-IF(AND(ArtifactsInput!$M$27,Inputs!$B$4="Chapter Hunt"),CHOOSE(ArtifactsInput!$N$27+1,20,24,28,32,36,40),0)/100)),0)</f>
        <v/>
      </c>
      <c r="R1161">
        <f>IF(AND(Inputs!$B$38&lt;&gt;"pvp",Inputs!$B$43&gt;0),IF(MAX(0,Inputs!$B$43-B1193)&lt;=0,0,(INT(MAX(0,Inputs!$B$43-B1193)/(IF(Inputs!$B$38="pvp",15,MAX(0.1,Skills!D9-IF(Skills!E9=TRUE,(Inputs!$B$32+1),0)))*(1-IF(AND(ArtifactsInput!$M$27,Inputs!$B$4="Chapter Hunt"),CHOOSE(ArtifactsInput!$N$27+1,20,24,28,32,36,40),0)/100)))+1)),0)</f>
        <v/>
      </c>
      <c r="S1161">
        <f>IFERROR(O1161/N1161,0)</f>
        <v/>
      </c>
      <c r="T1161">
        <f>IF(C1161,(H1161*N1161*IF(AND(Inputs!$B$38&lt;&gt;"pvp",Inputs!$B$43&gt;0),((Skills!G9*((R1161-1)*IF(Skills!H9&gt;0,Skills!I9/Skills!H9,1)+IF(Skills!H9&gt;0,MIN(Skills!I9,MAX(0,MAX(0,Inputs!$B$43-B1193)-((R1161-1)*(IF(Inputs!$B$38="pvp",15,MAX(0.1,Skills!D9-IF(Skills!E9=TRUE,(Inputs!$B$32+1),0)))*(1-IF(AND(ArtifactsInput!$M$27,Inputs!$B$4="Chapter Hunt"),CHOOSE(ArtifactsInput!$N$27+1,20,24,28,32,36,40),0)/100)))))/Skills!H9,1)))/Inputs!$B$43),G1161*Q1161)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1161*(1-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1">
        <f>IF(C1161,(H1161*N1161*IF(AND(Inputs!$B$38&lt;&gt;"pvp",Inputs!$B$43&gt;0),((Skills!G9*((R1161-1)*IF(Skills!H9&gt;0,Skills!I9/Skills!H9,1)+IF(Skills!H9&gt;0,MIN(Skills!I9,MAX(0,MAX(0,Inputs!$B$43-B1193)-((R1161-1)*(IF(Inputs!$B$38="pvp",15,MAX(0.1,Skills!D9-IF(Skills!E9=TRUE,(Inputs!$B$32+1),0)))*(1-IF(AND(ArtifactsInput!$M$27,Inputs!$B$4="Chapter Hunt"),CHOOSE(ArtifactsInput!$N$27+1,20,24,28,32,36,40),0)/100)))))/Skills!H9,1)))/Inputs!$B$43),G1161*Q1161))*IF(Inputs!$B$38="pvp",1,(1+(Inputs!$B$21+Skills!Q9+(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2">
      <c r="A1162">
        <f>Skills!A10</f>
        <v/>
      </c>
      <c r="B1162">
        <f>Skills!B10</f>
        <v/>
      </c>
      <c r="C1162">
        <f>Inputs!$B$3&gt;=103</f>
        <v/>
      </c>
      <c r="D1162">
        <f>IF(Skills!C10=1,60+Inputs!$B$25+Inputs!$B$29,IF(Skills!C10=2,90+Inputs!$B$26+Inputs!$B$29,IF(Skills!C10=3,120+Inputs!$B$27+Inputs!$B$29,MAX(0,(Inputs!$B$3-100)*3)+Inputs!$B$28+Inputs!$B$29)))</f>
        <v/>
      </c>
      <c r="E1162">
        <f>INDEX(FactorTable!$B$2:$Y$301, MATCH(ROUND(MIN(300,MAX(1,D1162)),0), FactorTable!$A$2:$A$301,0), Skills!M10+1)</f>
        <v/>
      </c>
      <c r="F1162">
        <f>IF(Skills!N10=TRUE,(Skills!L10/10)*(E1162/1000),Skills!L10/10)+Skills!O10</f>
        <v/>
      </c>
      <c r="G1162">
        <f>Skills!G10*IF(Skills!H10&gt;0,Skills!I10/Skills!H10,1)</f>
        <v/>
      </c>
      <c r="H1162">
        <f>1-(1-Skills!J10/100)^Skills!K10</f>
        <v/>
      </c>
      <c r="I1162" t="inlineStr">
        <is>
          <t>1</t>
        </is>
      </c>
      <c r="J1162">
        <f>((Inputs!$B$6*(1+Inputs!$B$7/100))+(((Inputs!$B$12*(1+Inputs!$B$13/100))-(Inputs!$B$12*(1+Inputs!$B$13/100)))+0.25*(Inputs!$B$14-Inputs!$B$14))*(1+Inputs!$B$7/100))*(F1162/100)</f>
        <v/>
      </c>
      <c r="K1162">
        <f>J1162*(1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1162)</f>
        <v/>
      </c>
      <c r="L1162">
        <f>K1162*(MIN(Inputs!$B$22+((C1177=TRUE)*(F1177-Calc!F25)),(Inputs!$B$23+((C1182=TRUE)*(F1182-Calc!F30))+(IF(ArtifactsInput!$M$15,CHOOSE(ArtifactsInput!$N$15+1,25,30,35,40,45,50)/100*(Inputs!$B$11-Inputs!$B$11),0))))/100+(Inputs!$B$23+((C1182=TRUE)*(F1182-Calc!F30))+(IF(ArtifactsInput!$M$15,CHOOSE(ArtifactsInput!$N$15+1,25,30,35,40,45,50)/100*(Inputs!$B$11-Inputs!$B$11),0)))/100)/2</f>
        <v/>
      </c>
      <c r="M1162">
        <f>L1162*(1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2">
        <f>L1162*(1-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1162*(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2">
        <f>(1-Summary!$B$11)*T1162+Summary!$B$11*V1162</f>
        <v/>
      </c>
      <c r="P1162">
        <f>IF(B1196=0,0,O1162/B1196)</f>
        <v/>
      </c>
      <c r="Q1162">
        <f>IFERROR(1/(IF(Inputs!$B$38="pvp",15,MAX(0.1,Skills!D10-IF(Skills!E10=TRUE,(Inputs!$B$32+1),0)))*(1-IF(AND(ArtifactsInput!$M$27,Inputs!$B$4="Chapter Hunt"),CHOOSE(ArtifactsInput!$N$27+1,20,24,28,32,36,40),0)/100)),0)</f>
        <v/>
      </c>
      <c r="R1162">
        <f>IF(AND(Inputs!$B$38&lt;&gt;"pvp",Inputs!$B$43&gt;0),IF(MAX(0,Inputs!$B$43-B1193)&lt;=0,0,(INT(MAX(0,Inputs!$B$43-B1193)/(IF(Inputs!$B$38="pvp",15,MAX(0.1,Skills!D10-IF(Skills!E10=TRUE,(Inputs!$B$32+1),0)))*(1-IF(AND(ArtifactsInput!$M$27,Inputs!$B$4="Chapter Hunt"),CHOOSE(ArtifactsInput!$N$27+1,20,24,28,32,36,40),0)/100)))+1)),0)</f>
        <v/>
      </c>
      <c r="S1162">
        <f>IFERROR(O1162/N1162,0)</f>
        <v/>
      </c>
      <c r="T1162">
        <f>IF(C1162,(H1162*N1162*IF(AND(Inputs!$B$38&lt;&gt;"pvp",Inputs!$B$43&gt;0),((Skills!G10*((R1162-1)*IF(Skills!H10&gt;0,Skills!I10/Skills!H10,1)+IF(Skills!H10&gt;0,MIN(Skills!I10,MAX(0,MAX(0,Inputs!$B$43-B1193)-((R1162-1)*(IF(Inputs!$B$38="pvp",15,MAX(0.1,Skills!D10-IF(Skills!E10=TRUE,(Inputs!$B$32+1),0)))*(1-IF(AND(ArtifactsInput!$M$27,Inputs!$B$4="Chapter Hunt"),CHOOSE(ArtifactsInput!$N$27+1,20,24,28,32,36,40),0)/100)))))/Skills!H10,1)))/Inputs!$B$43),G1162*Q1162)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1162*(1-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1162*(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1162*(1-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1162*(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2">
        <f>IF(C1162,(H1162*N1162*IF(AND(Inputs!$B$38&lt;&gt;"pvp",Inputs!$B$43&gt;0),((Skills!G10*((R1162-1)*IF(Skills!H10&gt;0,Skills!I10/Skills!H10,1)+IF(Skills!H10&gt;0,MIN(Skills!I10,MAX(0,MAX(0,Inputs!$B$43-B1193)-((R1162-1)*(IF(Inputs!$B$38="pvp",15,MAX(0.1,Skills!D10-IF(Skills!E10=TRUE,(Inputs!$B$32+1),0)))*(1-IF(AND(ArtifactsInput!$M$27,Inputs!$B$4="Chapter Hunt"),CHOOSE(ArtifactsInput!$N$27+1,20,24,28,32,36,40),0)/100)))))/Skills!H10,1)))/Inputs!$B$43),G1162*Q1162))*IF(Inputs!$B$38="pvp",1,(1+(Inputs!$B$21+Skills!Q10+(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3">
      <c r="A1163">
        <f>Skills!A11</f>
        <v/>
      </c>
      <c r="B1163">
        <f>Skills!B11</f>
        <v/>
      </c>
      <c r="C1163">
        <f>Inputs!$B$3&gt;=100</f>
        <v/>
      </c>
      <c r="D1163">
        <f>IF(Skills!C11=1,60+Inputs!$B$25+Inputs!$B$29,IF(Skills!C11=2,90+Inputs!$B$26+Inputs!$B$29,IF(Skills!C11=3,120+Inputs!$B$27+Inputs!$B$29,MAX(0,(Inputs!$B$3-100)*3)+Inputs!$B$28+Inputs!$B$29)))</f>
        <v/>
      </c>
      <c r="E1163">
        <f>INDEX(FactorTable!$B$2:$Y$301, MATCH(ROUND(MIN(300,MAX(1,D1163)),0), FactorTable!$A$2:$A$301,0), Skills!M11+1)</f>
        <v/>
      </c>
      <c r="F1163">
        <f>IF(Skills!N11=TRUE,(Skills!L11/10)*(E1163/1000),Skills!L11/10)+Skills!O11</f>
        <v/>
      </c>
      <c r="G1163" t="inlineStr"/>
      <c r="H1163" t="inlineStr"/>
      <c r="I1163" t="inlineStr">
        <is>
          <t>1</t>
        </is>
      </c>
      <c r="J1163" t="inlineStr"/>
      <c r="K1163" t="inlineStr"/>
      <c r="L1163" t="inlineStr"/>
      <c r="M1163" t="inlineStr"/>
      <c r="N1163" t="inlineStr"/>
      <c r="O1163" t="inlineStr"/>
      <c r="P1163" t="inlineStr"/>
      <c r="Q1163" t="inlineStr"/>
      <c r="R1163" t="inlineStr"/>
      <c r="S1163" t="inlineStr"/>
      <c r="T1163" t="inlineStr"/>
      <c r="V1163" t="inlineStr"/>
    </row>
    <row r="1164">
      <c r="A1164">
        <f>Skills!A12</f>
        <v/>
      </c>
      <c r="B1164">
        <f>Skills!B12</f>
        <v/>
      </c>
      <c r="C1164">
        <f>Inputs!$B$3&gt;=60</f>
        <v/>
      </c>
      <c r="D1164">
        <f>IF(Skills!C12=1,60+Inputs!$B$25+Inputs!$B$29,IF(Skills!C12=2,90+Inputs!$B$26+Inputs!$B$29,IF(Skills!C12=3,120+Inputs!$B$27+Inputs!$B$29,MAX(0,(Inputs!$B$3-100)*3)+Inputs!$B$28+Inputs!$B$29)))</f>
        <v/>
      </c>
      <c r="E1164">
        <f>INDEX(FactorTable!$B$2:$Y$301, MATCH(ROUND(MIN(300,MAX(1,D1164)),0), FactorTable!$A$2:$A$301,0), Skills!M12+1)</f>
        <v/>
      </c>
      <c r="F1164">
        <f>IF(Skills!N12=TRUE,(Skills!L12/10)*(E1164/1000),Skills!L12/10)+Skills!O12</f>
        <v/>
      </c>
      <c r="G1164">
        <f>Skills!G12*IF(Skills!H12&gt;0,Skills!I12/Skills!H12,1)</f>
        <v/>
      </c>
      <c r="H1164">
        <f>1-(1-Skills!J12/100)^Skills!K12</f>
        <v/>
      </c>
      <c r="I1164" t="inlineStr">
        <is>
          <t>1</t>
        </is>
      </c>
      <c r="J1164">
        <f>((Inputs!$B$6*(1+Inputs!$B$7/100))+(((Inputs!$B$12*(1+Inputs!$B$13/100))-(Inputs!$B$12*(1+Inputs!$B$13/100)))+0.25*(Inputs!$B$14-Inputs!$B$14))*(1+Inputs!$B$7/100))*(F1164/100)</f>
        <v/>
      </c>
      <c r="K1164">
        <f>J1164*(1+((Inputs!$B$12*(1+Inputs!$B$13/100))*0.01+Inputs!$B$14*0.0025)/100)*(1+Inputs!$B$15/100)*(1+Inputs!$B$16/100)*(5000/(6000+Inputs!$B$42*(1-(100*(1-(1-(Inputs!$B$19+((C1180=TRUE)*(F1180-Calc!F28)))/100)*(1-CHOOSE(ArtifactsInput!$N$40+1,5,6,7,8,9,10)/100)^(ArtifactsInput!$M$40-ArtifactsInput!$M$40)))/100)))*(1+(Inputs!$B$24+((C1178=TRUE)*(F1178-Calc!F26))+((C1179=TRUE)*(F1179-Calc!F27))+B1192)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1165=TRUE,F1165,0)/100)*(1+(IF(Skills!A12="ARROW_STREAM",Inputs!$B$17+((C1176=TRUE)*(F1176-Calc!F24))+(((IF(AND(ArtifactsInput!$M$42,((Inputs!$B$9+((C1173=TRUE)*(F1173-Calc!F21))+B1186+(ArtifactsInput!$M$24-ArtifactsInput!$M$24)*CHOOSE(ArtifactsInput!$N$24+1,10,12,14,16,18,20)+IF(ArtifactsInput!$M$10,CHOOSE(ArtifactsInput!$N$10+1,15,18,21,24,27,30)*(IF(Inputs!$B$38="pvp",MIN(15,15)/15,IF(AND(Inputs!$B$38&lt;&gt;"pvp",Inputs!$B$43&gt;0),MIN(15,Inputs!$B$43)/(Inputs!$B$43),0))),0)))&gt;=100),MIN(100,((Inputs!$B$9+((C1173=TRUE)*(F1173-Calc!F21))+B1186+(ArtifactsInput!$M$24-ArtifactsInput!$M$24)*CHOOSE(ArtifactsInput!$N$24+1,10,12,14,16,18,20)+IF(ArtifactsInput!$M$10,CHOOSE(ArtifactsInput!$N$10+1,15,18,21,24,27,30)*(IF(Inputs!$B$38="pvp",MIN(15,15)/15,IF(AND(Inputs!$B$38&lt;&gt;"pvp",Inputs!$B$43&gt;0),MIN(15,Inputs!$B$43)/(Inputs!$B$43),0))),0)))-100),0))*CHOOSE(ArtifactsInput!$N$42+1,0.6,0.72,0.84,0.96,1.08,1.2))),Inputs!$B$18+((C1181=TRUE)*(F1181-Calc!F29))+(IF(AND(ArtifactsInput!$M$42,((Inputs!$B$9+((C1173=TRUE)*(F1173-Calc!F21))+B1186+(ArtifactsInput!$M$24-ArtifactsInput!$M$24)*CHOOSE(ArtifactsInput!$N$24+1,10,12,14,16,18,20)+IF(ArtifactsInput!$M$10,CHOOSE(ArtifactsInput!$N$10+1,15,18,21,24,27,30)*(IF(Inputs!$B$38="pvp",MIN(15,15)/15,IF(AND(Inputs!$B$38&lt;&gt;"pvp",Inputs!$B$43&gt;0),MIN(15,Inputs!$B$43)/(Inputs!$B$43),0))),0)))&gt;=100),CHOOSE(ArtifactsInput!$N$42+1,40,48,56,64,72,80),0))))/100)*((1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1164)</f>
        <v/>
      </c>
      <c r="L1164">
        <f>K1164*(MIN(Inputs!$B$22+((C1177=TRUE)*(F1177-Calc!F25)),(Inputs!$B$23+((C1182=TRUE)*(F1182-Calc!F30))+(IF(ArtifactsInput!$M$15,CHOOSE(ArtifactsInput!$N$15+1,25,30,35,40,45,50)/100*(Inputs!$B$11-Inputs!$B$11),0))))/100+(Inputs!$B$23+((C1182=TRUE)*(F1182-Calc!F30))+(IF(ArtifactsInput!$M$15,CHOOSE(ArtifactsInput!$N$15+1,25,30,35,40,45,50)/100*(Inputs!$B$11-Inputs!$B$11),0)))/100)/2</f>
        <v/>
      </c>
      <c r="M1164">
        <f>L1164*(1+(Inputs!$B$10+0+B1191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4">
        <f>L1164*(1-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1164*(MIN((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4">
        <f>(1-Summary!$B$11)*T1164+Summary!$B$11*V1164</f>
        <v/>
      </c>
      <c r="P1164">
        <f>IF(B1196=0,0,O1164/B1196)</f>
        <v/>
      </c>
      <c r="Q1164">
        <f>IFERROR(1/(IF(Inputs!$B$38="pvp",15,MAX(0.1,Skills!D12-IF(Skills!E12=TRUE,(Inputs!$B$32+1),0)))*(1-IF(AND(ArtifactsInput!$M$27,Inputs!$B$4="Chapter Hunt"),CHOOSE(ArtifactsInput!$N$27+1,20,24,28,32,36,40),0)/100)),0)</f>
        <v/>
      </c>
      <c r="R1164">
        <f>IF(AND(Inputs!$B$38&lt;&gt;"pvp",Inputs!$B$43&gt;0),IF(MAX(0,Inputs!$B$43-B1193)&lt;=0,0,(INT(MAX(0,Inputs!$B$43-B1193)/(IF(Inputs!$B$38="pvp",15,MAX(0.1,Skills!D12-IF(Skills!E12=TRUE,(Inputs!$B$32+1),0)))*(1-IF(AND(ArtifactsInput!$M$27,Inputs!$B$4="Chapter Hunt"),CHOOSE(ArtifactsInput!$N$27+1,20,24,28,32,36,40),0)/100)))+1)),0)</f>
        <v/>
      </c>
      <c r="S1164">
        <f>IFERROR(O1164/N1164,0)</f>
        <v/>
      </c>
      <c r="T1164">
        <f>IF(C1164,(H1164*N1164*IF(AND(Inputs!$B$38&lt;&gt;"pvp",Inputs!$B$43&gt;0),((Skills!G12*((R1164-1)*IF(Skills!H12&gt;0,Skills!I12/Skills!H12,1)+IF(Skills!H12&gt;0,MIN(Skills!I12,MAX(0,MAX(0,Inputs!$B$43-B1193)-((R1164-1)*(IF(Inputs!$B$38="pvp",15,MAX(0.1,Skills!D12-IF(Skills!E12=TRUE,(Inputs!$B$32+1),0)))*(1-IF(AND(ArtifactsInput!$M$27,Inputs!$B$4="Chapter Hunt"),CHOOSE(ArtifactsInput!$N$27+1,20,24,28,32,36,40),0)/100)))))/Skills!H12,1)))/Inputs!$B$43),G1164*Q1164)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(5000/(6000+Inputs!$B$42*(1-(100*(1-(1-(100*(1-(1-(Inputs!$B$19+((C1180=TRUE)*(F1180-Calc!F28)))/100)*(1-CHOOSE(ArtifactsInput!$N$40+1,5,6,7,8,9,10)/100)^(ArtifactsInput!$M$40-ArtifactsInput!$M$40)))/100)*(1-IF(ArtifactsInput!$M$40,CHOOSE(ArtifactsInput!$N$40+1,5,6,7,8,9,10),0)/100)^IF(Inputs!$B$38="pvp",1,2)))/100)))/(5000/(6000+Inputs!$B$42*(1-(100*(1-(1-(Inputs!$B$19+((C1180=TRUE)*(F1180-Calc!F28)))/100)*(1-CHOOSE(ArtifactsInput!$N$40+1,5,6,7,8,9,10)/100)^(ArtifactsInput!$M$40-ArtifactsInput!$M$40)))/100))))*((L1164*(1-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1164*(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1164*(1-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1164*(MIN(100,(Inputs!$B$9+((C1173=TRUE)*(F1173-Calc!F21))+B1186+(ArtifactsInput!$M$24-ArtifactsInput!$M$24)*CHOOSE(ArtifactsInput!$N$24+1,10,12,14,16,18,20)+(IF(AND(ArtifactsInput!$M$42,((Inputs!$B$9+((C1173=TRUE)*(F1173-Calc!F21))+B1186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4">
        <f>IF(C1164,(H1164*N1164*IF(AND(Inputs!$B$38&lt;&gt;"pvp",Inputs!$B$43&gt;0),((Skills!G12*((R1164-1)*IF(Skills!H12&gt;0,Skills!I12/Skills!H12,1)+IF(Skills!H12&gt;0,MIN(Skills!I12,MAX(0,MAX(0,Inputs!$B$43-B1193)-((R1164-1)*(IF(Inputs!$B$38="pvp",15,MAX(0.1,Skills!D12-IF(Skills!E12=TRUE,(Inputs!$B$32+1),0)))*(1-IF(AND(ArtifactsInput!$M$27,Inputs!$B$4="Chapter Hunt"),CHOOSE(ArtifactsInput!$N$27+1,20,24,28,32,36,40),0)/100)))))/Skills!H12,1)))/Inputs!$B$43),G1164*Q1164))*IF(Inputs!$B$38="pvp",1,(1+(Inputs!$B$21+Skills!Q12+(IF(ArtifactsInput!$M$33,CHOOSE(ArtifactsInput!$N$33+1,30,36,42,48,54,60),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5">
      <c r="A1165">
        <f>Skills!A13</f>
        <v/>
      </c>
      <c r="B1165">
        <f>Skills!B13</f>
        <v/>
      </c>
      <c r="C1165">
        <f>Inputs!$B$3&gt;=110</f>
        <v/>
      </c>
      <c r="D1165">
        <f>IF(Skills!C13=1,60+Inputs!$B$25+Inputs!$B$29,IF(Skills!C13=2,90+Inputs!$B$26+Inputs!$B$29,IF(Skills!C13=3,120+Inputs!$B$27+Inputs!$B$29,MAX(0,(Inputs!$B$3-100)*3)+Inputs!$B$28+Inputs!$B$29)))</f>
        <v/>
      </c>
      <c r="E1165">
        <f>INDEX(FactorTable!$B$2:$Y$301, MATCH(ROUND(MIN(300,MAX(1,D1165)),0), FactorTable!$A$2:$A$301,0), Skills!M13+1)</f>
        <v/>
      </c>
      <c r="F1165">
        <f>IF(Skills!N13=TRUE,(Skills!L13/10)*(E1165/1000),Skills!L13/10)+Skills!O13</f>
        <v/>
      </c>
      <c r="G1165" t="inlineStr"/>
      <c r="H1165" t="inlineStr"/>
      <c r="I1165" t="inlineStr">
        <is>
          <t>1</t>
        </is>
      </c>
      <c r="J1165" t="inlineStr"/>
      <c r="K1165" t="inlineStr"/>
      <c r="L1165" t="inlineStr"/>
      <c r="M1165" t="inlineStr"/>
      <c r="N1165" t="inlineStr"/>
      <c r="O1165" t="inlineStr"/>
      <c r="P1165" t="inlineStr"/>
      <c r="Q1165" t="inlineStr"/>
      <c r="R1165" t="inlineStr"/>
      <c r="S1165" t="inlineStr"/>
      <c r="T1165" t="inlineStr"/>
      <c r="V1165" t="inlineStr"/>
    </row>
    <row r="1166">
      <c r="A1166">
        <f>Skills!A14</f>
        <v/>
      </c>
      <c r="B1166">
        <f>Skills!B14</f>
        <v/>
      </c>
      <c r="C1166">
        <f>Inputs!$B$3&gt;=74</f>
        <v/>
      </c>
      <c r="D1166">
        <f>IF(Skills!C14=1,60+Inputs!$B$25+Inputs!$B$29,IF(Skills!C14=2,90+Inputs!$B$26+Inputs!$B$29,IF(Skills!C14=3,120+Inputs!$B$27+Inputs!$B$29,MAX(0,(Inputs!$B$3-100)*3)+Inputs!$B$28+Inputs!$B$29)))</f>
        <v/>
      </c>
      <c r="E1166">
        <f>INDEX(FactorTable!$B$2:$Y$301, MATCH(ROUND(MIN(300,MAX(1,D1166)),0), FactorTable!$A$2:$A$301,0), Skills!M14+1)</f>
        <v/>
      </c>
      <c r="F1166">
        <f>IF(Skills!N14=TRUE,(Skills!L14/10)*(E1166/1000),Skills!L14/10)+Skills!O14</f>
        <v/>
      </c>
      <c r="G1166">
        <f>Skills!G14*IF(Skills!H14&gt;0,Skills!I14/Skills!H14,1)</f>
        <v/>
      </c>
      <c r="H1166">
        <f>1-(1-Skills!J14/100)^Skills!K14</f>
        <v/>
      </c>
      <c r="I1166" t="inlineStr">
        <is>
          <t>1</t>
        </is>
      </c>
      <c r="J1166" t="inlineStr"/>
      <c r="K1166" t="inlineStr"/>
      <c r="L1166" t="inlineStr"/>
      <c r="M1166" t="inlineStr"/>
      <c r="N1166" t="inlineStr"/>
      <c r="O1166">
        <f>(1-Summary!$B$11)*T1166+Summary!$B$11*V1166</f>
        <v/>
      </c>
      <c r="P1166">
        <f>IF(B1196=0,0,O1166/B1196)</f>
        <v/>
      </c>
      <c r="Q1166" t="n">
        <v>0</v>
      </c>
      <c r="R1166" t="n">
        <v>0</v>
      </c>
      <c r="S1166">
        <f>IFERROR(O1166/N1166,0)</f>
        <v/>
      </c>
      <c r="T1166" t="n">
        <v>0</v>
      </c>
      <c r="V1166" t="n">
        <v>0</v>
      </c>
    </row>
    <row r="1167">
      <c r="A1167">
        <f>Skills!A15</f>
        <v/>
      </c>
      <c r="B1167">
        <f>Skills!B15</f>
        <v/>
      </c>
      <c r="C1167">
        <f>Inputs!$B$3&gt;=74</f>
        <v/>
      </c>
      <c r="D1167">
        <f>IF(Skills!C15=1,60+Inputs!$B$25+Inputs!$B$29,IF(Skills!C15=2,90+Inputs!$B$26+Inputs!$B$29,IF(Skills!C15=3,120+Inputs!$B$27+Inputs!$B$29,MAX(0,(Inputs!$B$3-100)*3)+Inputs!$B$28+Inputs!$B$29)))</f>
        <v/>
      </c>
      <c r="E1167">
        <f>INDEX(FactorTable!$B$2:$Y$301, MATCH(ROUND(MIN(300,MAX(1,D1167)),0), FactorTable!$A$2:$A$301,0), Skills!M15+1)</f>
        <v/>
      </c>
      <c r="F1167">
        <f>IF(Skills!N15=TRUE,(Skills!L15/10)*(E1167/1000),Skills!L15/10)+Skills!O15</f>
        <v/>
      </c>
      <c r="G1167">
        <f>Skills!G15*IF(Skills!H15&gt;0,Skills!I15/Skills!H15,1)</f>
        <v/>
      </c>
      <c r="H1167">
        <f>1-(1-Skills!J15/100)^Skills!K15</f>
        <v/>
      </c>
      <c r="I1167" t="inlineStr">
        <is>
          <t>1</t>
        </is>
      </c>
      <c r="J1167" t="inlineStr"/>
      <c r="K1167" t="inlineStr"/>
      <c r="L1167" t="inlineStr"/>
      <c r="M1167" t="inlineStr"/>
      <c r="N1167" t="inlineStr"/>
      <c r="O1167">
        <f>(1-Summary!$B$11)*T1167+Summary!$B$11*V1167</f>
        <v/>
      </c>
      <c r="P1167">
        <f>IF(B1196=0,0,O1167/B1196)</f>
        <v/>
      </c>
      <c r="Q1167" t="n">
        <v>0</v>
      </c>
      <c r="R1167" t="n">
        <v>0</v>
      </c>
      <c r="S1167">
        <f>IFERROR(O1167/N1167,0)</f>
        <v/>
      </c>
      <c r="T1167" t="n">
        <v>0</v>
      </c>
      <c r="V1167" t="n">
        <v>0</v>
      </c>
    </row>
    <row r="1168">
      <c r="A1168">
        <f>Skills!A16</f>
        <v/>
      </c>
      <c r="B1168">
        <f>Skills!B16</f>
        <v/>
      </c>
      <c r="C1168">
        <f>Inputs!$B$3&gt;=117</f>
        <v/>
      </c>
      <c r="D1168">
        <f>IF(Skills!C16=1,60+Inputs!$B$25+Inputs!$B$29,IF(Skills!C16=2,90+Inputs!$B$26+Inputs!$B$29,IF(Skills!C16=3,120+Inputs!$B$27+Inputs!$B$29,MAX(0,(Inputs!$B$3-100)*3)+Inputs!$B$28+Inputs!$B$29)))</f>
        <v/>
      </c>
      <c r="E1168">
        <f>INDEX(FactorTable!$B$2:$Y$301, MATCH(ROUND(MIN(300,MAX(1,D1168)),0), FactorTable!$A$2:$A$301,0), Skills!M16+1)</f>
        <v/>
      </c>
      <c r="F1168">
        <f>IF(Skills!N16=TRUE,(Skills!L16/10)*(E1168/1000),Skills!L16/10)+Skills!O16</f>
        <v/>
      </c>
      <c r="G1168">
        <f>Skills!G16*IF(Skills!H16&gt;0,Skills!I16/Skills!H16,1)</f>
        <v/>
      </c>
      <c r="H1168">
        <f>1-(1-Skills!J16/100)^Skills!K16</f>
        <v/>
      </c>
      <c r="I1168" t="inlineStr">
        <is>
          <t>1</t>
        </is>
      </c>
      <c r="J1168" t="inlineStr"/>
      <c r="K1168" t="inlineStr"/>
      <c r="L1168" t="inlineStr"/>
      <c r="M1168" t="inlineStr"/>
      <c r="N1168" t="inlineStr"/>
      <c r="O1168">
        <f>(1-Summary!$B$11)*T1168+Summary!$B$11*V1168</f>
        <v/>
      </c>
      <c r="P1168">
        <f>IF(B1196=0,0,O1168/B1196)</f>
        <v/>
      </c>
      <c r="Q1168">
        <f>IFERROR(1/(IF(Inputs!$B$38="pvp",15,MAX(0.1,Skills!D16-IF(Skills!E16=TRUE,(Inputs!$B$32+1),0)))*(1-IF(AND(ArtifactsInput!$M$27,Inputs!$B$4="Chapter Hunt"),CHOOSE(ArtifactsInput!$N$27+1,20,24,28,32,36,40),0)/100)),0)</f>
        <v/>
      </c>
      <c r="R1168">
        <f>IF(AND(Inputs!$B$38&lt;&gt;"pvp",Inputs!$B$43&gt;0),IF(Inputs!$B$43&lt;=0,0,(INT(Inputs!$B$43/(IF(Inputs!$B$38="pvp",15,MAX(0.1,Skills!D16-IF(Skills!E16=TRUE,(Inputs!$B$32+1),0)))*(1-IF(AND(ArtifactsInput!$M$27,Inputs!$B$4="Chapter Hunt"),CHOOSE(ArtifactsInput!$N$27+1,20,24,28,32,36,40),0)/100)))+1)),0)</f>
        <v/>
      </c>
      <c r="S1168">
        <f>IFERROR(O1168/N1168,0)</f>
        <v/>
      </c>
      <c r="T1168" t="n">
        <v>0</v>
      </c>
      <c r="V1168" t="n">
        <v>0</v>
      </c>
    </row>
    <row r="1169">
      <c r="A1169">
        <f>Skills!A17</f>
        <v/>
      </c>
      <c r="B1169">
        <f>Skills!B17</f>
        <v/>
      </c>
      <c r="C1169">
        <f>Inputs!$B$3&gt;=115</f>
        <v/>
      </c>
      <c r="D1169">
        <f>IF(Skills!C17=1,60+Inputs!$B$25+Inputs!$B$29,IF(Skills!C17=2,90+Inputs!$B$26+Inputs!$B$29,IF(Skills!C17=3,120+Inputs!$B$27+Inputs!$B$29,MAX(0,(Inputs!$B$3-100)*3)+Inputs!$B$28+Inputs!$B$29)))</f>
        <v/>
      </c>
      <c r="E1169">
        <f>INDEX(FactorTable!$B$2:$Y$301, MATCH(ROUND(MIN(300,MAX(1,D1169)),0), FactorTable!$A$2:$A$301,0), Skills!M17+1)</f>
        <v/>
      </c>
      <c r="F1169">
        <f>IF(Skills!N17=TRUE,(Skills!L17/10)*(E1169/1000),Skills!L17/10)+Skills!O17</f>
        <v/>
      </c>
      <c r="G1169">
        <f>Skills!G17*IF(Skills!H17&gt;0,Skills!I17/Skills!H17,1)</f>
        <v/>
      </c>
      <c r="H1169">
        <f>1-(1-Skills!J17/100)^Skills!K17</f>
        <v/>
      </c>
      <c r="I1169" t="inlineStr">
        <is>
          <t>1</t>
        </is>
      </c>
      <c r="J1169" t="inlineStr"/>
      <c r="K1169" t="inlineStr"/>
      <c r="L1169" t="inlineStr"/>
      <c r="M1169" t="inlineStr"/>
      <c r="N1169" t="inlineStr"/>
      <c r="O1169">
        <f>(1-Summary!$B$11)*T1169+Summary!$B$11*V1169</f>
        <v/>
      </c>
      <c r="P1169">
        <f>IF(B1196=0,0,O1169/B1196)</f>
        <v/>
      </c>
      <c r="Q1169">
        <f>IFERROR(1/(IF(Inputs!$B$38="pvp",15,MAX(0.1,Skills!D17-IF(Skills!E17=TRUE,(Inputs!$B$32+1),0)))*(1-IF(AND(ArtifactsInput!$M$27,Inputs!$B$4="Chapter Hunt"),CHOOSE(ArtifactsInput!$N$27+1,20,24,28,32,36,40),0)/100)),0)</f>
        <v/>
      </c>
      <c r="R1169">
        <f>IF(AND(Inputs!$B$38&lt;&gt;"pvp",Inputs!$B$43&gt;0),IF(Inputs!$B$43&lt;=0,0,(INT(Inputs!$B$43/(IF(Inputs!$B$38="pvp",15,MAX(0.1,Skills!D17-IF(Skills!E17=TRUE,(Inputs!$B$32+1),0)))*(1-IF(AND(ArtifactsInput!$M$27,Inputs!$B$4="Chapter Hunt"),CHOOSE(ArtifactsInput!$N$27+1,20,24,28,32,36,40),0)/100)))+1)),0)</f>
        <v/>
      </c>
      <c r="S1169">
        <f>IFERROR(O1169/N1169,0)</f>
        <v/>
      </c>
      <c r="T1169" t="n">
        <v>0</v>
      </c>
      <c r="V1169" t="n">
        <v>0</v>
      </c>
    </row>
    <row r="1170">
      <c r="A1170">
        <f>Skills!A18</f>
        <v/>
      </c>
      <c r="B1170">
        <f>Skills!B18</f>
        <v/>
      </c>
      <c r="C1170">
        <f>Inputs!$B$3&gt;=66</f>
        <v/>
      </c>
      <c r="D1170">
        <f>IF(Skills!C18=1,60+Inputs!$B$25+Inputs!$B$29,IF(Skills!C18=2,90+Inputs!$B$26+Inputs!$B$29,IF(Skills!C18=3,120+Inputs!$B$27+Inputs!$B$29,MAX(0,(Inputs!$B$3-100)*3)+Inputs!$B$28+Inputs!$B$29)))</f>
        <v/>
      </c>
      <c r="E1170">
        <f>INDEX(FactorTable!$B$2:$Y$301, MATCH(ROUND(MIN(300,MAX(1,D1170)),0), FactorTable!$A$2:$A$301,0), Skills!M18+1)</f>
        <v/>
      </c>
      <c r="F1170">
        <f>IF(Skills!N18=TRUE,(Skills!L18/10)*(E1170/1000),Skills!L18/10)+Skills!O18</f>
        <v/>
      </c>
      <c r="G1170">
        <f>Skills!G18*IF(Skills!H18&gt;0,Skills!I18/Skills!H18,1)</f>
        <v/>
      </c>
      <c r="H1170">
        <f>1-(1-Skills!J18/100)^Skills!K18</f>
        <v/>
      </c>
      <c r="I1170" t="inlineStr">
        <is>
          <t>1</t>
        </is>
      </c>
      <c r="J1170" t="inlineStr"/>
      <c r="K1170" t="inlineStr"/>
      <c r="L1170" t="inlineStr"/>
      <c r="M1170" t="inlineStr"/>
      <c r="N1170" t="inlineStr"/>
      <c r="O1170">
        <f>(1-Summary!$B$11)*T1170+Summary!$B$11*V1170</f>
        <v/>
      </c>
      <c r="P1170">
        <f>IF(B1196=0,0,O1170/B1196)</f>
        <v/>
      </c>
      <c r="Q1170" t="n">
        <v>0</v>
      </c>
      <c r="R1170" t="n">
        <v>0</v>
      </c>
      <c r="S1170">
        <f>IFERROR(O1170/N1170,0)</f>
        <v/>
      </c>
      <c r="T1170" t="n">
        <v>0</v>
      </c>
      <c r="V1170" t="n">
        <v>0</v>
      </c>
    </row>
    <row r="1171">
      <c r="A1171">
        <f>Skills!A19</f>
        <v/>
      </c>
      <c r="B1171">
        <f>Skills!B19</f>
        <v/>
      </c>
      <c r="C1171">
        <f>Inputs!$B$3&gt;=72</f>
        <v/>
      </c>
      <c r="D1171">
        <f>IF(Skills!C19=1,60+Inputs!$B$25+Inputs!$B$29,IF(Skills!C19=2,90+Inputs!$B$26+Inputs!$B$29,IF(Skills!C19=3,120+Inputs!$B$27+Inputs!$B$29,MAX(0,(Inputs!$B$3-100)*3)+Inputs!$B$28+Inputs!$B$29)))</f>
        <v/>
      </c>
      <c r="E1171">
        <f>INDEX(FactorTable!$B$2:$Y$301, MATCH(ROUND(MIN(300,MAX(1,D1171)),0), FactorTable!$A$2:$A$301,0), Skills!M19+1)</f>
        <v/>
      </c>
      <c r="F1171">
        <f>IF(Skills!N19=TRUE,(Skills!L19/10)*(E1171/1000),Skills!L19/10)+Skills!O19</f>
        <v/>
      </c>
      <c r="G1171">
        <f>Skills!G19*IF(Skills!H19&gt;0,Skills!I19/Skills!H19,1)</f>
        <v/>
      </c>
      <c r="H1171">
        <f>1-(1-Skills!J19/100)^Skills!K19</f>
        <v/>
      </c>
      <c r="I1171" t="inlineStr">
        <is>
          <t>1</t>
        </is>
      </c>
      <c r="J1171" t="inlineStr"/>
      <c r="K1171" t="inlineStr"/>
      <c r="L1171" t="inlineStr"/>
      <c r="M1171" t="inlineStr"/>
      <c r="N1171" t="inlineStr"/>
      <c r="O1171">
        <f>(1-Summary!$B$11)*T1171+Summary!$B$11*V1171</f>
        <v/>
      </c>
      <c r="P1171">
        <f>IF(B1196=0,0,O1171/B1196)</f>
        <v/>
      </c>
      <c r="Q1171" t="n">
        <v>0</v>
      </c>
      <c r="R1171" t="n">
        <v>0</v>
      </c>
      <c r="S1171">
        <f>IFERROR(O1171/N1171,0)</f>
        <v/>
      </c>
      <c r="T1171" t="n">
        <v>0</v>
      </c>
      <c r="V1171" t="n">
        <v>0</v>
      </c>
    </row>
    <row r="1172">
      <c r="A1172">
        <f>Skills!A20</f>
        <v/>
      </c>
      <c r="B1172">
        <f>Skills!B20</f>
        <v/>
      </c>
      <c r="C1172">
        <f>TRUE</f>
        <v/>
      </c>
      <c r="D1172">
        <f>IF(Skills!C20=1,60+Inputs!$B$25+Inputs!$B$29,IF(Skills!C20=2,90+Inputs!$B$26+Inputs!$B$29,IF(Skills!C20=3,120+Inputs!$B$27+Inputs!$B$29,MAX(0,(Inputs!$B$3-100)*3)+Inputs!$B$28+Inputs!$B$29)))</f>
        <v/>
      </c>
      <c r="E1172">
        <f>INDEX(FactorTable!$B$2:$Y$301, MATCH(ROUND(MIN(300,MAX(1,D1172)),0), FactorTable!$A$2:$A$301,0), Skills!M20+1)</f>
        <v/>
      </c>
      <c r="F1172">
        <f>IF(Skills!N20=TRUE,(Skills!L20/10)*(E1172/1000),Skills!L20/10)+Skills!O20</f>
        <v/>
      </c>
      <c r="G1172">
        <f>Skills!G20*IF(Skills!H20&gt;0,Skills!I20/Skills!H20,1)</f>
        <v/>
      </c>
      <c r="H1172">
        <f>1-(1-Skills!J20/100)^Skills!K20</f>
        <v/>
      </c>
      <c r="I1172" t="inlineStr">
        <is>
          <t>1</t>
        </is>
      </c>
      <c r="J1172" t="inlineStr"/>
      <c r="K1172" t="inlineStr"/>
      <c r="L1172" t="inlineStr"/>
      <c r="M1172" t="inlineStr"/>
      <c r="N1172" t="inlineStr"/>
      <c r="O1172">
        <f>(1-Summary!$B$11)*T1172+Summary!$B$11*V1172</f>
        <v/>
      </c>
      <c r="P1172">
        <f>IF(B1196=0,0,O1172/B1196)</f>
        <v/>
      </c>
      <c r="Q1172">
        <f>IFERROR(1/(IF(Inputs!$B$38="pvp",15,MAX(0.1,Skills!D20-IF(Skills!E20=TRUE,(Inputs!$B$32+1),0)))*(1-IF(AND(ArtifactsInput!$M$27,Inputs!$B$4="Chapter Hunt"),CHOOSE(ArtifactsInput!$N$27+1,20,24,28,32,36,40),0)/100)),0)</f>
        <v/>
      </c>
      <c r="R1172">
        <f>IF(AND(Inputs!$B$38&lt;&gt;"pvp",Inputs!$B$43&gt;0),IF(Inputs!$B$43&lt;=0,0,(INT(Inputs!$B$43/(IF(Inputs!$B$38="pvp",15,MAX(0.1,Skills!D20-IF(Skills!E20=TRUE,(Inputs!$B$32+1),0)))*(1-IF(AND(ArtifactsInput!$M$27,Inputs!$B$4="Chapter Hunt"),CHOOSE(ArtifactsInput!$N$27+1,20,24,28,32,36,40),0)/100)))+1)),0)</f>
        <v/>
      </c>
      <c r="S1172">
        <f>IFERROR(O1172/N1172,0)</f>
        <v/>
      </c>
      <c r="T1172" t="n">
        <v>0</v>
      </c>
      <c r="V1172" t="n">
        <v>0</v>
      </c>
    </row>
    <row r="1173">
      <c r="A1173">
        <f>Skills!A21</f>
        <v/>
      </c>
      <c r="B1173">
        <f>Skills!B21</f>
        <v/>
      </c>
      <c r="C1173">
        <f>Inputs!$B$3&gt;=15</f>
        <v/>
      </c>
      <c r="D1173">
        <f>IF(Skills!C21=1,60+Inputs!$B$25+Inputs!$B$29,IF(Skills!C21=2,90+Inputs!$B$26+Inputs!$B$29,IF(Skills!C21=3,120+Inputs!$B$27+Inputs!$B$29,MAX(0,(Inputs!$B$3-100)*3)+Inputs!$B$28+Inputs!$B$29)))</f>
        <v/>
      </c>
      <c r="E1173">
        <f>INDEX(FactorTable!$B$2:$Y$301, MATCH(ROUND(MIN(300,MAX(1,D1173)),0), FactorTable!$A$2:$A$301,0), Skills!M21+1)</f>
        <v/>
      </c>
      <c r="F1173">
        <f>IF(Skills!N21=TRUE,(Skills!L21/10)*(E1173/1000),Skills!L21/10)+Skills!O21</f>
        <v/>
      </c>
      <c r="G1173">
        <f>Skills!G21*IF(Skills!H21&gt;0,Skills!I21/Skills!H21,1)</f>
        <v/>
      </c>
      <c r="H1173">
        <f>1-(1-Skills!J21/100)^Skills!K21</f>
        <v/>
      </c>
      <c r="I1173" t="inlineStr">
        <is>
          <t>1</t>
        </is>
      </c>
      <c r="J1173" t="inlineStr"/>
      <c r="K1173" t="inlineStr"/>
      <c r="L1173" t="inlineStr"/>
      <c r="M1173" t="inlineStr"/>
      <c r="N1173" t="inlineStr"/>
      <c r="O1173">
        <f>(1-Summary!$B$11)*T1173+Summary!$B$11*V1173</f>
        <v/>
      </c>
      <c r="P1173">
        <f>IF(B1196=0,0,O1173/B1196)</f>
        <v/>
      </c>
      <c r="Q1173" t="n">
        <v>0</v>
      </c>
      <c r="R1173" t="n">
        <v>0</v>
      </c>
      <c r="S1173">
        <f>IFERROR(O1173/N1173,0)</f>
        <v/>
      </c>
      <c r="T1173" t="n">
        <v>0</v>
      </c>
      <c r="V1173" t="n">
        <v>0</v>
      </c>
    </row>
    <row r="1174">
      <c r="A1174">
        <f>Skills!A22</f>
        <v/>
      </c>
      <c r="B1174">
        <f>Skills!B22</f>
        <v/>
      </c>
      <c r="C1174">
        <f>Inputs!$B$3&gt;=10</f>
        <v/>
      </c>
      <c r="D1174">
        <f>IF(Skills!C22=1,60+Inputs!$B$25+Inputs!$B$29,IF(Skills!C22=2,90+Inputs!$B$26+Inputs!$B$29,IF(Skills!C22=3,120+Inputs!$B$27+Inputs!$B$29,MAX(0,(Inputs!$B$3-100)*3)+Inputs!$B$28+Inputs!$B$29)))</f>
        <v/>
      </c>
      <c r="E1174">
        <f>INDEX(FactorTable!$B$2:$Y$301, MATCH(ROUND(MIN(300,MAX(1,D1174)),0), FactorTable!$A$2:$A$301,0), Skills!M22+1)</f>
        <v/>
      </c>
      <c r="F1174">
        <f>IF(Skills!N22=TRUE,(Skills!L22/10)*(E1174/1000),Skills!L22/10)+Skills!O22</f>
        <v/>
      </c>
      <c r="G1174">
        <f>Skills!G22*IF(Skills!H22&gt;0,Skills!I22/Skills!H22,1)</f>
        <v/>
      </c>
      <c r="H1174">
        <f>1-(1-Skills!J22/100)^Skills!K22</f>
        <v/>
      </c>
      <c r="I1174" t="inlineStr">
        <is>
          <t>1</t>
        </is>
      </c>
      <c r="J1174" t="inlineStr"/>
      <c r="K1174" t="inlineStr"/>
      <c r="L1174" t="inlineStr"/>
      <c r="M1174" t="inlineStr"/>
      <c r="N1174" t="inlineStr"/>
      <c r="O1174">
        <f>(1-Summary!$B$11)*T1174+Summary!$B$11*V1174</f>
        <v/>
      </c>
      <c r="P1174">
        <f>IF(B1196=0,0,O1174/B1196)</f>
        <v/>
      </c>
      <c r="Q1174" t="n">
        <v>0</v>
      </c>
      <c r="R1174" t="n">
        <v>0</v>
      </c>
      <c r="S1174">
        <f>IFERROR(O1174/N1174,0)</f>
        <v/>
      </c>
      <c r="T1174" t="n">
        <v>0</v>
      </c>
      <c r="V1174" t="n">
        <v>0</v>
      </c>
    </row>
    <row r="1175">
      <c r="A1175">
        <f>Skills!A23</f>
        <v/>
      </c>
      <c r="B1175">
        <f>Skills!B23</f>
        <v/>
      </c>
      <c r="C1175">
        <f>Inputs!$B$3&gt;=33</f>
        <v/>
      </c>
      <c r="D1175">
        <f>IF(Skills!C23=1,60+Inputs!$B$25+Inputs!$B$29,IF(Skills!C23=2,90+Inputs!$B$26+Inputs!$B$29,IF(Skills!C23=3,120+Inputs!$B$27+Inputs!$B$29,MAX(0,(Inputs!$B$3-100)*3)+Inputs!$B$28+Inputs!$B$29)))</f>
        <v/>
      </c>
      <c r="E1175">
        <f>INDEX(FactorTable!$B$2:$Y$301, MATCH(ROUND(MIN(300,MAX(1,D1175)),0), FactorTable!$A$2:$A$301,0), Skills!M23+1)</f>
        <v/>
      </c>
      <c r="F1175">
        <f>IF(Skills!N23=TRUE,(Skills!L23/10)*(E1175/1000),Skills!L23/10)+Skills!O23</f>
        <v/>
      </c>
      <c r="G1175">
        <f>Skills!G23*IF(Skills!H23&gt;0,Skills!I23/Skills!H23,1)</f>
        <v/>
      </c>
      <c r="H1175">
        <f>1-(1-Skills!J23/100)^Skills!K23</f>
        <v/>
      </c>
      <c r="I1175" t="inlineStr">
        <is>
          <t>1</t>
        </is>
      </c>
      <c r="J1175" t="inlineStr"/>
      <c r="K1175" t="inlineStr"/>
      <c r="L1175" t="inlineStr"/>
      <c r="M1175" t="inlineStr"/>
      <c r="N1175" t="inlineStr"/>
      <c r="O1175">
        <f>(1-Summary!$B$11)*T1175+Summary!$B$11*V1175</f>
        <v/>
      </c>
      <c r="P1175">
        <f>IF(B1196=0,0,O1175/B1196)</f>
        <v/>
      </c>
      <c r="Q1175" t="n">
        <v>0</v>
      </c>
      <c r="R1175" t="n">
        <v>0</v>
      </c>
      <c r="S1175">
        <f>IFERROR(O1175/N1175,0)</f>
        <v/>
      </c>
      <c r="T1175" t="n">
        <v>0</v>
      </c>
      <c r="V1175" t="n">
        <v>0</v>
      </c>
    </row>
    <row r="1176">
      <c r="A1176">
        <f>Skills!A24</f>
        <v/>
      </c>
      <c r="B1176">
        <f>Skills!B24</f>
        <v/>
      </c>
      <c r="C1176">
        <f>Inputs!$B$3&gt;=38</f>
        <v/>
      </c>
      <c r="D1176">
        <f>IF(Skills!C24=1,60+Inputs!$B$25+Inputs!$B$29,IF(Skills!C24=2,90+Inputs!$B$26+Inputs!$B$29,IF(Skills!C24=3,120+Inputs!$B$27+Inputs!$B$29,MAX(0,(Inputs!$B$3-100)*3)+Inputs!$B$28+Inputs!$B$29)))</f>
        <v/>
      </c>
      <c r="E1176">
        <f>INDEX(FactorTable!$B$2:$Y$301, MATCH(ROUND(MIN(300,MAX(1,D1176)),0), FactorTable!$A$2:$A$301,0), Skills!M24+1)</f>
        <v/>
      </c>
      <c r="F1176">
        <f>IF(Skills!N24=TRUE,(Skills!L24/10)*(E1176/1000),Skills!L24/10)+Skills!O24</f>
        <v/>
      </c>
      <c r="G1176">
        <f>Skills!G24*IF(Skills!H24&gt;0,Skills!I24/Skills!H24,1)</f>
        <v/>
      </c>
      <c r="H1176">
        <f>1-(1-Skills!J24/100)^Skills!K24</f>
        <v/>
      </c>
      <c r="I1176" t="inlineStr">
        <is>
          <t>1</t>
        </is>
      </c>
      <c r="J1176" t="inlineStr"/>
      <c r="K1176" t="inlineStr"/>
      <c r="L1176" t="inlineStr"/>
      <c r="M1176" t="inlineStr"/>
      <c r="N1176" t="inlineStr"/>
      <c r="O1176">
        <f>(1-Summary!$B$11)*T1176+Summary!$B$11*V1176</f>
        <v/>
      </c>
      <c r="P1176">
        <f>IF(B1196=0,0,O1176/B1196)</f>
        <v/>
      </c>
      <c r="Q1176" t="n">
        <v>0</v>
      </c>
      <c r="R1176" t="n">
        <v>0</v>
      </c>
      <c r="S1176">
        <f>IFERROR(O1176/N1176,0)</f>
        <v/>
      </c>
      <c r="T1176" t="n">
        <v>0</v>
      </c>
      <c r="V1176" t="n">
        <v>0</v>
      </c>
    </row>
    <row r="1177">
      <c r="A1177">
        <f>Skills!A25</f>
        <v/>
      </c>
      <c r="B1177">
        <f>Skills!B25</f>
        <v/>
      </c>
      <c r="C1177">
        <f>Inputs!$B$3&gt;=43</f>
        <v/>
      </c>
      <c r="D1177">
        <f>IF(Skills!C25=1,60+Inputs!$B$25+Inputs!$B$29,IF(Skills!C25=2,90+Inputs!$B$26+Inputs!$B$29,IF(Skills!C25=3,120+Inputs!$B$27+Inputs!$B$29,MAX(0,(Inputs!$B$3-100)*3)+Inputs!$B$28+Inputs!$B$29)))</f>
        <v/>
      </c>
      <c r="E1177">
        <f>INDEX(FactorTable!$B$2:$Y$301, MATCH(ROUND(MIN(300,MAX(1,D1177)),0), FactorTable!$A$2:$A$301,0), Skills!M25+1)</f>
        <v/>
      </c>
      <c r="F1177">
        <f>IF(Skills!N25=TRUE,(Skills!L25/10)*(E1177/1000),Skills!L25/10)+Skills!O25</f>
        <v/>
      </c>
      <c r="G1177">
        <f>Skills!G25*IF(Skills!H25&gt;0,Skills!I25/Skills!H25,1)</f>
        <v/>
      </c>
      <c r="H1177">
        <f>1-(1-Skills!J25/100)^Skills!K25</f>
        <v/>
      </c>
      <c r="I1177" t="inlineStr">
        <is>
          <t>1</t>
        </is>
      </c>
      <c r="J1177" t="inlineStr"/>
      <c r="K1177" t="inlineStr"/>
      <c r="L1177" t="inlineStr"/>
      <c r="M1177" t="inlineStr"/>
      <c r="N1177" t="inlineStr"/>
      <c r="O1177">
        <f>(1-Summary!$B$11)*T1177+Summary!$B$11*V1177</f>
        <v/>
      </c>
      <c r="P1177">
        <f>IF(B1196=0,0,O1177/B1196)</f>
        <v/>
      </c>
      <c r="Q1177" t="n">
        <v>0</v>
      </c>
      <c r="R1177" t="n">
        <v>0</v>
      </c>
      <c r="S1177">
        <f>IFERROR(O1177/N1177,0)</f>
        <v/>
      </c>
      <c r="T1177" t="n">
        <v>0</v>
      </c>
      <c r="V1177" t="n">
        <v>0</v>
      </c>
    </row>
    <row r="1178">
      <c r="A1178">
        <f>Skills!A26</f>
        <v/>
      </c>
      <c r="B1178">
        <f>Skills!B26</f>
        <v/>
      </c>
      <c r="C1178">
        <f>Inputs!$B$3&gt;=75</f>
        <v/>
      </c>
      <c r="D1178">
        <f>IF(Skills!C26=1,60+Inputs!$B$25+Inputs!$B$29,IF(Skills!C26=2,90+Inputs!$B$26+Inputs!$B$29,IF(Skills!C26=3,120+Inputs!$B$27+Inputs!$B$29,MAX(0,(Inputs!$B$3-100)*3)+Inputs!$B$28+Inputs!$B$29)))</f>
        <v/>
      </c>
      <c r="E1178">
        <f>INDEX(FactorTable!$B$2:$Y$301, MATCH(ROUND(MIN(300,MAX(1,D1178)),0), FactorTable!$A$2:$A$301,0), Skills!M26+1)</f>
        <v/>
      </c>
      <c r="F1178">
        <f>IF(Skills!N26=TRUE,(Skills!L26/10)*(E1178/1000),Skills!L26/10)+Skills!O26</f>
        <v/>
      </c>
      <c r="G1178">
        <f>Skills!G26*IF(Skills!H26&gt;0,Skills!I26/Skills!H26,1)</f>
        <v/>
      </c>
      <c r="H1178">
        <f>1-(1-Skills!J26/100)^Skills!K26</f>
        <v/>
      </c>
      <c r="I1178" t="inlineStr">
        <is>
          <t>1</t>
        </is>
      </c>
      <c r="J1178" t="inlineStr"/>
      <c r="K1178" t="inlineStr"/>
      <c r="L1178" t="inlineStr"/>
      <c r="M1178" t="inlineStr"/>
      <c r="N1178" t="inlineStr"/>
      <c r="O1178">
        <f>(1-Summary!$B$11)*T1178+Summary!$B$11*V1178</f>
        <v/>
      </c>
      <c r="P1178">
        <f>IF(B1196=0,0,O1178/B1196)</f>
        <v/>
      </c>
      <c r="Q1178" t="n">
        <v>0</v>
      </c>
      <c r="R1178" t="n">
        <v>0</v>
      </c>
      <c r="S1178">
        <f>IFERROR(O1178/N1178,0)</f>
        <v/>
      </c>
      <c r="T1178" t="n">
        <v>0</v>
      </c>
      <c r="V1178" t="n">
        <v>0</v>
      </c>
    </row>
    <row r="1179">
      <c r="A1179">
        <f>Skills!A27</f>
        <v/>
      </c>
      <c r="B1179">
        <f>Skills!B27</f>
        <v/>
      </c>
      <c r="C1179">
        <f>Inputs!$B$3&gt;=125</f>
        <v/>
      </c>
      <c r="D1179">
        <f>IF(Skills!C27=1,60+Inputs!$B$25+Inputs!$B$29,IF(Skills!C27=2,90+Inputs!$B$26+Inputs!$B$29,IF(Skills!C27=3,120+Inputs!$B$27+Inputs!$B$29,MAX(0,(Inputs!$B$3-100)*3)+Inputs!$B$28+Inputs!$B$29)))</f>
        <v/>
      </c>
      <c r="E1179">
        <f>INDEX(FactorTable!$B$2:$Y$301, MATCH(ROUND(MIN(300,MAX(1,D1179)),0), FactorTable!$A$2:$A$301,0), Skills!M27+1)</f>
        <v/>
      </c>
      <c r="F1179">
        <f>IF(Skills!N27=TRUE,(Skills!L27/10)*(E1179/1000),Skills!L27/10)+Skills!O27</f>
        <v/>
      </c>
      <c r="G1179">
        <f>Skills!G27*IF(Skills!H27&gt;0,Skills!I27/Skills!H27,1)</f>
        <v/>
      </c>
      <c r="H1179">
        <f>1-(1-Skills!J27/100)^Skills!K27</f>
        <v/>
      </c>
      <c r="I1179" t="inlineStr">
        <is>
          <t>1</t>
        </is>
      </c>
      <c r="J1179" t="inlineStr"/>
      <c r="K1179" t="inlineStr"/>
      <c r="L1179" t="inlineStr"/>
      <c r="M1179" t="inlineStr"/>
      <c r="N1179" t="inlineStr"/>
      <c r="O1179">
        <f>(1-Summary!$B$11)*T1179+Summary!$B$11*V1179</f>
        <v/>
      </c>
      <c r="P1179">
        <f>IF(B1196=0,0,O1179/B1196)</f>
        <v/>
      </c>
      <c r="Q1179" t="n">
        <v>0</v>
      </c>
      <c r="R1179" t="n">
        <v>0</v>
      </c>
      <c r="S1179">
        <f>IFERROR(O1179/N1179,0)</f>
        <v/>
      </c>
      <c r="T1179" t="n">
        <v>0</v>
      </c>
      <c r="V1179" t="n">
        <v>0</v>
      </c>
    </row>
    <row r="1180">
      <c r="A1180">
        <f>Skills!A28</f>
        <v/>
      </c>
      <c r="B1180">
        <f>Skills!B28</f>
        <v/>
      </c>
      <c r="C1180">
        <f>Inputs!$B$3&gt;=125</f>
        <v/>
      </c>
      <c r="D1180">
        <f>IF(Skills!C28=1,60+Inputs!$B$25+Inputs!$B$29,IF(Skills!C28=2,90+Inputs!$B$26+Inputs!$B$29,IF(Skills!C28=3,120+Inputs!$B$27+Inputs!$B$29,MAX(0,(Inputs!$B$3-100)*3)+Inputs!$B$28+Inputs!$B$29)))</f>
        <v/>
      </c>
      <c r="E1180">
        <f>INDEX(FactorTable!$B$2:$Y$301, MATCH(ROUND(MIN(300,MAX(1,D1180)),0), FactorTable!$A$2:$A$301,0), Skills!M28+1)</f>
        <v/>
      </c>
      <c r="F1180">
        <f>IF(Skills!N28=TRUE,(Skills!L28/10)*(E1180/1000),Skills!L28/10)+Skills!O28</f>
        <v/>
      </c>
      <c r="G1180">
        <f>Skills!G28*IF(Skills!H28&gt;0,Skills!I28/Skills!H28,1)</f>
        <v/>
      </c>
      <c r="H1180">
        <f>1-(1-Skills!J28/100)^Skills!K28</f>
        <v/>
      </c>
      <c r="I1180" t="inlineStr">
        <is>
          <t>1</t>
        </is>
      </c>
      <c r="J1180" t="inlineStr"/>
      <c r="K1180" t="inlineStr"/>
      <c r="L1180" t="inlineStr"/>
      <c r="M1180" t="inlineStr"/>
      <c r="N1180" t="inlineStr"/>
      <c r="O1180">
        <f>(1-Summary!$B$11)*T1180+Summary!$B$11*V1180</f>
        <v/>
      </c>
      <c r="P1180">
        <f>IF(B1196=0,0,O1180/B1196)</f>
        <v/>
      </c>
      <c r="Q1180" t="n">
        <v>0</v>
      </c>
      <c r="R1180" t="n">
        <v>0</v>
      </c>
      <c r="S1180">
        <f>IFERROR(O1180/N1180,0)</f>
        <v/>
      </c>
      <c r="T1180" t="n">
        <v>0</v>
      </c>
      <c r="V1180" t="n">
        <v>0</v>
      </c>
    </row>
    <row r="1181">
      <c r="A1181">
        <f>Skills!A29</f>
        <v/>
      </c>
      <c r="B1181">
        <f>Skills!B29</f>
        <v/>
      </c>
      <c r="C1181">
        <f>Inputs!$B$3&gt;=120</f>
        <v/>
      </c>
      <c r="D1181">
        <f>IF(Skills!C29=1,60+Inputs!$B$25+Inputs!$B$29,IF(Skills!C29=2,90+Inputs!$B$26+Inputs!$B$29,IF(Skills!C29=3,120+Inputs!$B$27+Inputs!$B$29,MAX(0,(Inputs!$B$3-100)*3)+Inputs!$B$28+Inputs!$B$29)))</f>
        <v/>
      </c>
      <c r="E1181">
        <f>INDEX(FactorTable!$B$2:$Y$301, MATCH(ROUND(MIN(300,MAX(1,D1181)),0), FactorTable!$A$2:$A$301,0), Skills!M29+1)</f>
        <v/>
      </c>
      <c r="F1181">
        <f>IF(Skills!N29=TRUE,(Skills!L29/10)*(E1181/1000),Skills!L29/10)+Skills!O29</f>
        <v/>
      </c>
      <c r="G1181">
        <f>Skills!G29*IF(Skills!H29&gt;0,Skills!I29/Skills!H29,1)</f>
        <v/>
      </c>
      <c r="H1181">
        <f>1-(1-Skills!J29/100)^Skills!K29</f>
        <v/>
      </c>
      <c r="I1181" t="inlineStr">
        <is>
          <t>1</t>
        </is>
      </c>
      <c r="J1181" t="inlineStr"/>
      <c r="K1181" t="inlineStr"/>
      <c r="L1181" t="inlineStr"/>
      <c r="M1181" t="inlineStr"/>
      <c r="N1181" t="inlineStr"/>
      <c r="O1181">
        <f>(1-Summary!$B$11)*T1181+Summary!$B$11*V1181</f>
        <v/>
      </c>
      <c r="P1181">
        <f>IF(B1196=0,0,O1181/B1196)</f>
        <v/>
      </c>
      <c r="Q1181" t="n">
        <v>0</v>
      </c>
      <c r="R1181" t="n">
        <v>0</v>
      </c>
      <c r="S1181">
        <f>IFERROR(O1181/N1181,0)</f>
        <v/>
      </c>
      <c r="T1181" t="n">
        <v>0</v>
      </c>
      <c r="V1181" t="n">
        <v>0</v>
      </c>
    </row>
    <row r="1182">
      <c r="A1182">
        <f>Skills!A30</f>
        <v/>
      </c>
      <c r="B1182">
        <f>Skills!B30</f>
        <v/>
      </c>
      <c r="C1182">
        <f>Inputs!$B$3&gt;=120</f>
        <v/>
      </c>
      <c r="D1182">
        <f>IF(Skills!C30=1,60+Inputs!$B$25+Inputs!$B$29,IF(Skills!C30=2,90+Inputs!$B$26+Inputs!$B$29,IF(Skills!C30=3,120+Inputs!$B$27+Inputs!$B$29,MAX(0,(Inputs!$B$3-100)*3)+Inputs!$B$28+Inputs!$B$29)))</f>
        <v/>
      </c>
      <c r="E1182">
        <f>INDEX(FactorTable!$B$2:$Y$301, MATCH(ROUND(MIN(300,MAX(1,D1182)),0), FactorTable!$A$2:$A$301,0), Skills!M30+1)</f>
        <v/>
      </c>
      <c r="F1182">
        <f>IF(Skills!N30=TRUE,(Skills!L30/10)*(E1182/1000),Skills!L30/10)+Skills!O30</f>
        <v/>
      </c>
      <c r="G1182">
        <f>Skills!G30*IF(Skills!H30&gt;0,Skills!I30/Skills!H30,1)</f>
        <v/>
      </c>
      <c r="H1182">
        <f>1-(1-Skills!J30/100)^Skills!K30</f>
        <v/>
      </c>
      <c r="I1182" t="inlineStr">
        <is>
          <t>1</t>
        </is>
      </c>
      <c r="J1182" t="inlineStr"/>
      <c r="K1182" t="inlineStr"/>
      <c r="L1182" t="inlineStr"/>
      <c r="M1182" t="inlineStr"/>
      <c r="N1182" t="inlineStr"/>
      <c r="O1182">
        <f>(1-Summary!$B$11)*T1182+Summary!$B$11*V1182</f>
        <v/>
      </c>
      <c r="P1182">
        <f>IF(B1196=0,0,O1182/B1196)</f>
        <v/>
      </c>
      <c r="Q1182" t="n">
        <v>0</v>
      </c>
      <c r="R1182" t="n">
        <v>0</v>
      </c>
      <c r="S1182">
        <f>IFERROR(O1182/N1182,0)</f>
        <v/>
      </c>
      <c r="T1182" t="n">
        <v>0</v>
      </c>
      <c r="V1182" t="n">
        <v>0</v>
      </c>
    </row>
    <row r="1183">
      <c r="A1183">
        <f>Skills!A31</f>
        <v/>
      </c>
      <c r="B1183">
        <f>Skills!B31</f>
        <v/>
      </c>
      <c r="C1183">
        <f>Inputs!$B$3&gt;=45</f>
        <v/>
      </c>
      <c r="D1183">
        <f>IF(Skills!C31=1,60+Inputs!$B$25+Inputs!$B$29,IF(Skills!C31=2,90+Inputs!$B$26+Inputs!$B$29,IF(Skills!C31=3,120+Inputs!$B$27+Inputs!$B$29,MAX(0,(Inputs!$B$3-100)*3)+Inputs!$B$28+Inputs!$B$29)))</f>
        <v/>
      </c>
      <c r="E1183">
        <f>INDEX(FactorTable!$B$2:$Y$301, MATCH(ROUND(MIN(300,MAX(1,D1183)),0), FactorTable!$A$2:$A$301,0), Skills!M31+1)</f>
        <v/>
      </c>
      <c r="F1183">
        <f>IF(Skills!N31=TRUE,(Skills!L31/10)*(E1183/1000),Skills!L31/10)+Skills!O31</f>
        <v/>
      </c>
      <c r="G1183">
        <f>Skills!G31*IF(Skills!H31&gt;0,Skills!I31/Skills!H31,1)</f>
        <v/>
      </c>
      <c r="H1183">
        <f>1-(1-Skills!J31/100)^Skills!K31</f>
        <v/>
      </c>
      <c r="I1183" t="inlineStr">
        <is>
          <t>1</t>
        </is>
      </c>
      <c r="J1183" t="inlineStr"/>
      <c r="K1183" t="inlineStr"/>
      <c r="L1183" t="inlineStr"/>
      <c r="M1183" t="inlineStr"/>
      <c r="N1183" t="inlineStr"/>
      <c r="O1183">
        <f>(1-Summary!$B$11)*T1183+Summary!$B$11*V1183</f>
        <v/>
      </c>
      <c r="P1183">
        <f>IF(B1196=0,0,O1183/B1196)</f>
        <v/>
      </c>
      <c r="Q1183" t="n">
        <v>0</v>
      </c>
      <c r="R1183" t="n">
        <v>0</v>
      </c>
      <c r="S1183">
        <f>IFERROR(O1183/N1183,0)</f>
        <v/>
      </c>
      <c r="T1183" t="n">
        <v>0</v>
      </c>
      <c r="V1183" t="n">
        <v>0</v>
      </c>
    </row>
    <row r="1185">
      <c r="A1185" t="inlineStr">
        <is>
          <t>Attack% Bucket Multiplier</t>
        </is>
      </c>
      <c r="B1185">
        <f>(1+(((C1166=TRUE)*F1166)+((C1167=TRUE)*IF(Inputs!$B$38="pvp",F1167,(1-Summary!$B$11)*(F1167)+Summary!$B$11*(0)))+((C1168=TRUE)*F1168*IF(AND(Inputs!$B$38&lt;&gt;"pvp",Inputs!$B$43&gt;0),(((R1168-1)*(Skills!T16*(1+Inputs!$B$34/100))+MIN((Skills!T16*(1+Inputs!$B$34/100)),MAX(0,Inputs!$B$43-((R1168-1)*Skills!D16))))/Inputs!$B$43),IF(Inputs!$B$38="pvp",MIN((Skills!T16*(1+Inputs!$B$34/100)),15)/15,(Skills!T16*(1+Inputs!$B$34/100))/Skills!D16)))+((C1183=TRUE)*(F1183-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86">
      <c r="A1186" t="inlineStr">
        <is>
          <t>Global Crit Rate Bonus %</t>
        </is>
      </c>
      <c r="B1186">
        <f>(C1169=TRUE)*20*IF(AND(Inputs!$B$38&lt;&gt;"pvp",Inputs!$B$43&gt;0),(((R1169-1)*(Skills!T17*(1+Inputs!$B$34/100))+MIN((Skills!T17*(1+Inputs!$B$34/100)),MAX(0,Inputs!$B$43-((R1169-1)*Skills!D17))))/Inputs!$B$43),IF(Inputs!$B$38="pvp",MIN((Skills!T17*(1+Inputs!$B$34/100)),15)/15,(Skills!T17*(1+Inputs!$B$34/100))/Skills!D17))</f>
        <v/>
      </c>
    </row>
    <row r="1187">
      <c r="A1187" t="inlineStr">
        <is>
          <t>Attack Speed Buff Bonus %</t>
        </is>
      </c>
      <c r="B1187">
        <f>((C1172=TRUE)*F1172*IF(AND(Inputs!$B$38&lt;&gt;"pvp",Inputs!$B$43&gt;0),(((R1172-1)*(Skills!T20*(1+Inputs!$B$34/100))+MIN((Skills!T20*(1+Inputs!$B$34/100)),MAX(0,Inputs!$B$43-((R1172-1)*Skills!D20))))/Inputs!$B$43),IF(Inputs!$B$38="pvp",MIN((Skills!T20*(1+Inputs!$B$34/100)),15)/15,(Skills!T20*(1+Inputs!$B$34/100))/Skills!D20)))</f>
        <v/>
      </c>
    </row>
    <row r="1188">
      <c r="A1188" t="inlineStr">
        <is>
          <t>Actions Per Second</t>
        </is>
      </c>
      <c r="B1188">
        <f>1+MIN(150,150*(1-(1-(Inputs!$B$11+((C1174=TRUE)*(F1174-Calc!F22))+((C1175=TRUE)*(F1175-Calc!F23)))/150)*(1-B1187/150)))/100</f>
        <v/>
      </c>
    </row>
    <row r="1189">
      <c r="A1189" t="inlineStr">
        <is>
          <t>Skill + Buff Cast Rate</t>
        </is>
      </c>
      <c r="B1189">
        <f>IF(AND(Inputs!$B$38&lt;&gt;"pvp",Inputs!$B$43&gt;0),SUMPRODUCT((Skills!E2:E31=TRUE)*(C1154:C1183=TRUE)*R1154:R1183*Skills!F2:F31)/Inputs!$B$43,SUMPRODUCT((Skills!E2:E31=TRUE)*(C1154:C1183=TRUE)*Q1154:Q1183*Skills!F2:F31))</f>
        <v/>
      </c>
    </row>
    <row r="1190">
      <c r="A1190" t="inlineStr">
        <is>
          <t>Arrow Stream Casts Per Second</t>
        </is>
      </c>
      <c r="B1190">
        <f>MAX(0,B1188-B1189)</f>
        <v/>
      </c>
    </row>
    <row r="1191">
      <c r="A1191" t="inlineStr">
        <is>
          <t>Global Critical Damage Bonus % (Sharp Eyes + Concentration)</t>
        </is>
      </c>
      <c r="B1191">
        <f>(C1169=TRUE)*F1169*IF(AND(Inputs!$B$38&lt;&gt;"pvp",Inputs!$B$43&gt;0),(((R1169-1)*(Skills!T17*(1+Inputs!$B$34/100))+MIN((Skills!T17*(1+Inputs!$B$34/100)),MAX(0,Inputs!$B$43-((R1169-1)*Skills!D17))))/Inputs!$B$43),IF(Inputs!$B$38="pvp",MIN((Skills!T17*(1+Inputs!$B$34/100)),15)/15,(Skills!T17*(1+Inputs!$B$34/100))/Skills!D17))+(C1170=TRUE)*30</f>
        <v/>
      </c>
    </row>
    <row r="1192">
      <c r="A1192" t="inlineStr">
        <is>
          <t>Global Final Damage Bonus % (Mortal Blow)</t>
        </is>
      </c>
      <c r="B1192">
        <f>(C1171=TRUE)*F1171</f>
        <v/>
      </c>
    </row>
    <row r="1193">
      <c r="A1193" t="inlineStr">
        <is>
          <t>Buff-Casting Startup Delay (s, fixed-duration only)</t>
        </is>
      </c>
      <c r="B1193">
        <f>IF(AND(Inputs!$B$38&lt;&gt;"pvp",Inputs!$B$43&gt;0),SUMPRODUCT((Skills!T2:T31&gt;0)*(Skills!E2:E31=TRUE)*(C1154:C1183=TRUE))/B1188,0)</f>
        <v/>
      </c>
    </row>
    <row r="1194">
      <c r="A1194" t="inlineStr">
        <is>
          <t>Boss-Only Total DPS (this block's swept value)</t>
        </is>
      </c>
      <c r="B1194">
        <f>SUM(T1154:T1183)</f>
        <v/>
      </c>
    </row>
    <row r="1195">
      <c r="A1195" t="inlineStr">
        <is>
          <t>Normal-Only Total DPS (this block's swept value)</t>
        </is>
      </c>
      <c r="B1195">
        <f>SUM(V1154:V1183)</f>
        <v/>
      </c>
    </row>
    <row r="1196">
      <c r="A1196" s="6" t="inlineStr">
        <is>
          <t>TOTAL DPS</t>
        </is>
      </c>
      <c r="B1196" s="6">
        <f>SUM(O1154:O1183)</f>
        <v/>
      </c>
    </row>
    <row r="1199">
      <c r="A1199" s="6" t="inlineStr">
        <is>
          <t>Stat: Basic Attack Target Increase (flat)</t>
        </is>
      </c>
    </row>
    <row r="1200">
      <c r="A1200" s="5" t="inlineStr">
        <is>
          <t>Key</t>
        </is>
      </c>
      <c r="B1200" s="5" t="inlineStr">
        <is>
          <t>Name</t>
        </is>
      </c>
      <c r="C1200" s="5" t="inlineStr">
        <is>
          <t>Unlocked</t>
        </is>
      </c>
      <c r="D1200" s="5" t="inlineStr">
        <is>
          <t>InputLevel</t>
        </is>
      </c>
      <c r="E1200" s="5" t="inlineStr">
        <is>
          <t>Factor</t>
        </is>
      </c>
      <c r="F1200" s="5" t="inlineStr">
        <is>
          <t>CoefficientPercent</t>
        </is>
      </c>
      <c r="G1200" s="5" t="inlineStr">
        <is>
          <t>EffectiveHits</t>
        </is>
      </c>
      <c r="H1200" s="5" t="inlineStr">
        <is>
          <t>ProcProbability</t>
        </is>
      </c>
      <c r="I1200" s="5" t="inlineStr">
        <is>
          <t>MapleHeroMultiplier</t>
        </is>
      </c>
      <c r="J1200" s="5" t="inlineStr">
        <is>
          <t>BaseDamage</t>
        </is>
      </c>
      <c r="K1200" s="5" t="inlineStr">
        <is>
          <t>BaseHitDamage</t>
        </is>
      </c>
      <c r="L1200" s="5" t="inlineStr">
        <is>
          <t>NonCritAvg</t>
        </is>
      </c>
      <c r="M1200" s="5" t="inlineStr">
        <is>
          <t>CritAvg</t>
        </is>
      </c>
      <c r="N1200" s="5" t="inlineStr">
        <is>
          <t>ExpectedDamage(perHit)</t>
        </is>
      </c>
      <c r="O1200" s="5" t="inlineStr">
        <is>
          <t>DPS</t>
        </is>
      </c>
      <c r="P1200" s="5" t="inlineStr">
        <is>
          <t>% of Total</t>
        </is>
      </c>
      <c r="Q1200" s="5" t="inlineStr">
        <is>
          <t>InvCooldown</t>
        </is>
      </c>
      <c r="R1200" s="5" t="inlineStr">
        <is>
          <t>CastsInFight</t>
        </is>
      </c>
      <c r="S1200" s="5" t="inlineStr">
        <is>
          <t>HitRate(perSec)</t>
        </is>
      </c>
      <c r="U1200" t="inlineStr">
        <is>
          <t>helpers</t>
        </is>
      </c>
    </row>
    <row r="1201">
      <c r="A1201">
        <f>Skills!A2</f>
        <v/>
      </c>
      <c r="B1201">
        <f>Skills!B2</f>
        <v/>
      </c>
      <c r="C1201">
        <f>Inputs!$B$3&gt;=100</f>
        <v/>
      </c>
      <c r="D1201" t="inlineStr"/>
      <c r="E1201" t="inlineStr"/>
      <c r="F1201">
        <f>U1203+Skills!O2</f>
        <v/>
      </c>
      <c r="G1201">
        <f>Skills!G2*IF(Skills!H2&gt;0,Skills!I2/Skills!H2,1)</f>
        <v/>
      </c>
      <c r="H1201">
        <f>1-(1-Skills!J2/100)^Skills!K2</f>
        <v/>
      </c>
      <c r="I1201" t="inlineStr">
        <is>
          <t>1</t>
        </is>
      </c>
      <c r="J1201">
        <f>((Inputs!$B$6*(1+Inputs!$B$7/100))+(((Inputs!$B$12*(1+Inputs!$B$13/100))-(Inputs!$B$12*(1+Inputs!$B$13/100)))+0.25*(Inputs!$B$14-Inputs!$B$14))*(1+Inputs!$B$7/100))*(F1201/100)</f>
        <v/>
      </c>
      <c r="K1201">
        <f>J1201*(1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1201)</f>
        <v/>
      </c>
      <c r="L1201">
        <f>K1201*(MIN(Inputs!$B$22+((C1224=TRUE)*(F1224-Calc!F25)),(Inputs!$B$23+((C1229=TRUE)*(F1229-Calc!F30))+(IF(ArtifactsInput!$M$15,CHOOSE(ArtifactsInput!$N$15+1,25,30,35,40,45,50)/100*(Inputs!$B$11-Inputs!$B$11),0))))/100+(Inputs!$B$23+((C1229=TRUE)*(F1229-Calc!F30))+(IF(ArtifactsInput!$M$15,CHOOSE(ArtifactsInput!$N$15+1,25,30,35,40,45,50)/100*(Inputs!$B$11-Inputs!$B$11),0)))/100)/2</f>
        <v/>
      </c>
      <c r="M1201">
        <f>L1201*(1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1">
        <f>L1201*(1-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1">
        <f>(1-Summary!$B$11)*T1201+Summary!$B$11*V1201</f>
        <v/>
      </c>
      <c r="P1201">
        <f>IF(B1243=0,0,O1201/B1243)</f>
        <v/>
      </c>
      <c r="Q1201" t="n">
        <v>0</v>
      </c>
      <c r="R1201" t="n">
        <v>0</v>
      </c>
      <c r="S1201">
        <f>IFERROR(O1201/N1201,0)</f>
        <v/>
      </c>
      <c r="T1201">
        <f>IF(C1201,(Skills!G2*N1201*B1237)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1">
        <f>MAX(0,(Inputs!$B$3-100)*3)+Inputs!$B$28+Inputs!$B$29</f>
        <v/>
      </c>
      <c r="V1201">
        <f>IF(C1201,(Skills!G2*N1201*B1237)*IF(Inputs!$B$38="pvp",1,(1+(Inputs!$B$21+Skills!Q2+(IF(ArtifactsInput!$M$33,CHOOSE(ArtifactsInput!$N$33+1,30,36,42,48,54,60),0))+(IF(AND(ArtifactsInput!$M$35,Inputs!$B$4&lt;&gt;"Chapter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2">
      <c r="A1202">
        <f>Skills!A3</f>
        <v/>
      </c>
      <c r="B1202">
        <f>Skills!B3</f>
        <v/>
      </c>
      <c r="C1202">
        <f>Inputs!$B$3&gt;=50</f>
        <v/>
      </c>
      <c r="D1202">
        <f>IF(Skills!C3=1,60+Inputs!$B$25+Inputs!$B$29,IF(Skills!C3=2,90+Inputs!$B$26+Inputs!$B$29,IF(Skills!C3=3,120+Inputs!$B$27+Inputs!$B$29,MAX(0,(Inputs!$B$3-100)*3)+Inputs!$B$28+Inputs!$B$29)))</f>
        <v/>
      </c>
      <c r="E1202">
        <f>INDEX(FactorTable!$B$2:$Y$301, MATCH(ROUND(MIN(300,MAX(1,D1202)),0), FactorTable!$A$2:$A$301,0), Skills!M3+1)</f>
        <v/>
      </c>
      <c r="F1202">
        <f>IF(Skills!N3=TRUE,(Skills!L3/10)*(E1202/1000),Skills!L3/10)+Skills!O3</f>
        <v/>
      </c>
      <c r="G1202">
        <f>Skills!G3*IF(Skills!H3&gt;0,Skills!I3/Skills!H3,1)</f>
        <v/>
      </c>
      <c r="H1202">
        <f>1-(1-Skills!J3/100)^Skills!K3</f>
        <v/>
      </c>
      <c r="I1202" t="inlineStr">
        <is>
          <t>1</t>
        </is>
      </c>
      <c r="J1202">
        <f>((Inputs!$B$6*(1+Inputs!$B$7/100))+(((Inputs!$B$12*(1+Inputs!$B$13/100))-(Inputs!$B$12*(1+Inputs!$B$13/100)))+0.25*(Inputs!$B$14-Inputs!$B$14))*(1+Inputs!$B$7/100))*(F1202/100)</f>
        <v/>
      </c>
      <c r="K1202">
        <f>J1202*(1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1203=TRUE,F1203,0)/100)*(1+(IF(Skills!A3="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1202)</f>
        <v/>
      </c>
      <c r="L1202">
        <f>K1202*(MIN(Inputs!$B$22+((C1224=TRUE)*(F1224-Calc!F25)),(Inputs!$B$23+((C1229=TRUE)*(F1229-Calc!F30))+(IF(ArtifactsInput!$M$15,CHOOSE(ArtifactsInput!$N$15+1,25,30,35,40,45,50)/100*(Inputs!$B$11-Inputs!$B$11),0))))/100+(Inputs!$B$23+((C1229=TRUE)*(F1229-Calc!F30))+(IF(ArtifactsInput!$M$15,CHOOSE(ArtifactsInput!$N$15+1,25,30,35,40,45,50)/100*(Inputs!$B$11-Inputs!$B$11),0)))/100)/2</f>
        <v/>
      </c>
      <c r="M1202">
        <f>L1202*(1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2">
        <f>L1202*(1-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1202*(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2">
        <f>(1-Summary!$B$11)*T1202+Summary!$B$11*V1202</f>
        <v/>
      </c>
      <c r="P1202">
        <f>IF(B1243=0,0,O1202/B1243)</f>
        <v/>
      </c>
      <c r="Q1202">
        <f>IFERROR(1/(IF(Inputs!$B$38="pvp",15,MAX(0.1,Skills!D3-IF(Skills!E3=TRUE,Inputs!$B$32,0)))*(1-IF(AND(ArtifactsInput!$M$27,Inputs!$B$4="Chapter Hunt"),CHOOSE(ArtifactsInput!$N$27+1,20,24,28,32,36,40),0)/100)),0)</f>
        <v/>
      </c>
      <c r="R1202">
        <f>IF(AND(Inputs!$B$38&lt;&gt;"pvp",Inputs!$B$43&gt;0),IF(MAX(0,Inputs!$B$43-B1240)&lt;=0,0,(INT(MAX(0,Inputs!$B$43-B1240)/(IF(Inputs!$B$38="pvp",15,MAX(0.1,Skills!D3-IF(Skills!E3=TRUE,Inputs!$B$32,0)))*(1-IF(AND(ArtifactsInput!$M$27,Inputs!$B$4="Chapter Hunt"),CHOOSE(ArtifactsInput!$N$27+1,20,24,28,32,36,40),0)/100)))+1)),0)</f>
        <v/>
      </c>
      <c r="S1202">
        <f>IFERROR(O1202/N1202,0)</f>
        <v/>
      </c>
      <c r="T1202">
        <f>IF(C1202,(H1202*N1202*IF(AND(Inputs!$B$38&lt;&gt;"pvp",Inputs!$B$43&gt;0),((Skills!G3*((R1202-1)*IF(Skills!H3&gt;0,Skills!I3/Skills!H3,1)+IF(Skills!H3&gt;0,MIN(Skills!I3,MAX(0,MAX(0,Inputs!$B$43-B1240)-((R1202-1)*(IF(Inputs!$B$38="pvp",15,MAX(0.1,Skills!D3-IF(Skills!E3=TRUE,Inputs!$B$32,0)))*(1-IF(AND(ArtifactsInput!$M$27,Inputs!$B$4="Chapter Hunt"),CHOOSE(ArtifactsInput!$N$27+1,20,24,28,32,36,40),0)/100)))))/Skills!H3,1)))/Inputs!$B$43),G1202*Q1202)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1202*(1-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1202*(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1202*(1-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1202*(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2">
        <f>INDEX(FactorTable!$B$2:$Y$301, MATCH(ROUND(MIN(300,MAX(1,U1201)),0), FactorTable!$A$2:$A$301,0), 22)</f>
        <v/>
      </c>
      <c r="V1202">
        <f>IF(C1202,(H1202*N1202*IF(AND(Inputs!$B$38&lt;&gt;"pvp",Inputs!$B$43&gt;0),((Skills!G3*((R1202-1)*IF(Skills!H3&gt;0,Skills!I3/Skills!H3,1)+IF(Skills!H3&gt;0,MIN(Skills!I3,MAX(0,MAX(0,Inputs!$B$43-B1240)-((R1202-1)*(IF(Inputs!$B$38="pvp",15,MAX(0.1,Skills!D3-IF(Skills!E3=TRUE,Inputs!$B$32,0)))*(1-IF(AND(ArtifactsInput!$M$27,Inputs!$B$4="Chapter Hunt"),CHOOSE(ArtifactsInput!$N$27+1,20,24,28,32,36,40),0)/100)))))/Skills!H3,1)))/Inputs!$B$43),G1202*Q1202))*IF(Inputs!$B$38="pvp",1,(1+(Inputs!$B$21+Skills!Q3+(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3">
      <c r="A1203">
        <f>Skills!A4</f>
        <v/>
      </c>
      <c r="B1203">
        <f>Skills!B4</f>
        <v/>
      </c>
      <c r="C1203">
        <f>Inputs!$B$3&gt;=105</f>
        <v/>
      </c>
      <c r="D1203">
        <f>IF(Skills!C4=1,60+Inputs!$B$25+Inputs!$B$29,IF(Skills!C4=2,90+Inputs!$B$26+Inputs!$B$29,IF(Skills!C4=3,120+Inputs!$B$27+Inputs!$B$29,MAX(0,(Inputs!$B$3-100)*3)+Inputs!$B$28+Inputs!$B$29)))</f>
        <v/>
      </c>
      <c r="E1203">
        <f>INDEX(FactorTable!$B$2:$Y$301, MATCH(ROUND(MIN(300,MAX(1,D1203)),0), FactorTable!$A$2:$A$301,0), Skills!M4+1)</f>
        <v/>
      </c>
      <c r="F1203">
        <f>IF(Skills!N4=TRUE,(Skills!L4/10)*(E1203/1000),Skills!L4/10)+Skills!O4</f>
        <v/>
      </c>
      <c r="G1203" t="inlineStr"/>
      <c r="H1203" t="inlineStr"/>
      <c r="I1203" t="inlineStr">
        <is>
          <t>1</t>
        </is>
      </c>
      <c r="J1203" t="inlineStr"/>
      <c r="K1203" t="inlineStr"/>
      <c r="L1203" t="inlineStr"/>
      <c r="M1203" t="inlineStr"/>
      <c r="N1203" t="inlineStr"/>
      <c r="O1203" t="inlineStr"/>
      <c r="P1203" t="inlineStr"/>
      <c r="Q1203" t="inlineStr"/>
      <c r="R1203" t="inlineStr"/>
      <c r="S1203" t="inlineStr"/>
      <c r="T1203" t="inlineStr"/>
      <c r="U1203">
        <f>290*U1202/1000</f>
        <v/>
      </c>
      <c r="V1203" t="inlineStr"/>
    </row>
    <row r="1204">
      <c r="A1204">
        <f>Skills!A5</f>
        <v/>
      </c>
      <c r="B1204">
        <f>Skills!B5</f>
        <v/>
      </c>
      <c r="C1204">
        <f>Inputs!$B$3&gt;=35</f>
        <v/>
      </c>
      <c r="D1204">
        <f>IF(Skills!C5=1,60+Inputs!$B$25+Inputs!$B$29,IF(Skills!C5=2,90+Inputs!$B$26+Inputs!$B$29,IF(Skills!C5=3,120+Inputs!$B$27+Inputs!$B$29,MAX(0,(Inputs!$B$3-100)*3)+Inputs!$B$28+Inputs!$B$29)))</f>
        <v/>
      </c>
      <c r="E1204">
        <f>INDEX(FactorTable!$B$2:$Y$301, MATCH(ROUND(MIN(300,MAX(1,D1204)),0), FactorTable!$A$2:$A$301,0), Skills!M5+1)</f>
        <v/>
      </c>
      <c r="F1204">
        <f>IF(Skills!N5=TRUE,(Skills!L5/10)*(E1204/1000),Skills!L5/10)+Skills!O5</f>
        <v/>
      </c>
      <c r="G1204">
        <f>Skills!G5*IF(Skills!H5&gt;0,Skills!I5/Skills!H5,1)</f>
        <v/>
      </c>
      <c r="H1204">
        <f>1-(1-Skills!J5/100)^Skills!K5</f>
        <v/>
      </c>
      <c r="I1204" t="inlineStr">
        <is>
          <t>1</t>
        </is>
      </c>
      <c r="J1204">
        <f>((Inputs!$B$6*(1+Inputs!$B$7/100))+(((Inputs!$B$12*(1+Inputs!$B$13/100))-(Inputs!$B$12*(1+Inputs!$B$13/100)))+0.25*(Inputs!$B$14-Inputs!$B$14))*(1+Inputs!$B$7/100))*(F1204/100)</f>
        <v/>
      </c>
      <c r="K1204">
        <f>J1204*(1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1210=TRUE,F1210,0)/100)*(1+(IF(Skills!A5="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1204)</f>
        <v/>
      </c>
      <c r="L1204">
        <f>K1204*(MIN(Inputs!$B$22+((C1224=TRUE)*(F1224-Calc!F25)),(Inputs!$B$23+((C1229=TRUE)*(F1229-Calc!F30))+(IF(ArtifactsInput!$M$15,CHOOSE(ArtifactsInput!$N$15+1,25,30,35,40,45,50)/100*(Inputs!$B$11-Inputs!$B$11),0))))/100+(Inputs!$B$23+((C1229=TRUE)*(F1229-Calc!F30))+(IF(ArtifactsInput!$M$15,CHOOSE(ArtifactsInput!$N$15+1,25,30,35,40,45,50)/100*(Inputs!$B$11-Inputs!$B$11),0)))/100)/2</f>
        <v/>
      </c>
      <c r="M1204">
        <f>L1204*(1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4">
        <f>L1204*(1-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1204*(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4">
        <f>(1-Summary!$B$11)*T1204+Summary!$B$11*V1204</f>
        <v/>
      </c>
      <c r="P1204">
        <f>IF(B1243=0,0,O1204/B1243)</f>
        <v/>
      </c>
      <c r="Q1204">
        <f>IFERROR(1/(IF(Inputs!$B$38="pvp",15,MAX(0.1,Skills!D5-IF(Skills!E5=TRUE,Inputs!$B$32,0)))*(1-IF(AND(ArtifactsInput!$M$27,Inputs!$B$4="Chapter Hunt"),CHOOSE(ArtifactsInput!$N$27+1,20,24,28,32,36,40),0)/100)),0)</f>
        <v/>
      </c>
      <c r="R1204">
        <f>IF(AND(Inputs!$B$38&lt;&gt;"pvp",Inputs!$B$43&gt;0),IF(MAX(0,Inputs!$B$43-B1240)&lt;=0,0,(INT(MAX(0,Inputs!$B$43-B1240)/(IF(Inputs!$B$38="pvp",15,MAX(0.1,Skills!D5-IF(Skills!E5=TRUE,Inputs!$B$32,0)))*(1-IF(AND(ArtifactsInput!$M$27,Inputs!$B$4="Chapter Hunt"),CHOOSE(ArtifactsInput!$N$27+1,20,24,28,32,36,40),0)/100)))+1)),0)</f>
        <v/>
      </c>
      <c r="S1204">
        <f>IFERROR(O1204/N1204,0)</f>
        <v/>
      </c>
      <c r="T1204">
        <f>IF(C1204,(H1204*N1204*IF(AND(Inputs!$B$38&lt;&gt;"pvp",Inputs!$B$43&gt;0),((Skills!G5*((R1204-1)*IF(Skills!H5&gt;0,Skills!I5/Skills!H5,1)+IF(Skills!H5&gt;0,MIN(Skills!I5,MAX(0,MAX(0,Inputs!$B$43-B1240)-((R1204-1)*(IF(Inputs!$B$38="pvp",15,MAX(0.1,Skills!D5-IF(Skills!E5=TRUE,Inputs!$B$32,0)))*(1-IF(AND(ArtifactsInput!$M$27,Inputs!$B$4="Chapter Hunt"),CHOOSE(ArtifactsInput!$N$27+1,20,24,28,32,36,40),0)/100)))))/Skills!H5,1)))/Inputs!$B$43),G1204*Q1204)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1204*(1-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1204*(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1204*(1-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1204*(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4">
        <f>IF(C1204,(H1204*N1204*IF(AND(Inputs!$B$38&lt;&gt;"pvp",Inputs!$B$43&gt;0),((Skills!G5*((R1204-1)*IF(Skills!H5&gt;0,Skills!I5/Skills!H5,1)+IF(Skills!H5&gt;0,MIN(Skills!I5,MAX(0,MAX(0,Inputs!$B$43-B1240)-((R1204-1)*(IF(Inputs!$B$38="pvp",15,MAX(0.1,Skills!D5-IF(Skills!E5=TRUE,Inputs!$B$32,0)))*(1-IF(AND(ArtifactsInput!$M$27,Inputs!$B$4="Chapter Hunt"),CHOOSE(ArtifactsInput!$N$27+1,20,24,28,32,36,40),0)/100)))))/Skills!H5,1)))/Inputs!$B$43),G1204*Q1204))*IF(Inputs!$B$38="pvp",1,(1+(Inputs!$B$21+Skills!Q5+(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5">
      <c r="A1205">
        <f>Skills!A6</f>
        <v/>
      </c>
      <c r="B1205">
        <f>Skills!B6</f>
        <v/>
      </c>
      <c r="C1205">
        <f>Inputs!$B$3&gt;=40</f>
        <v/>
      </c>
      <c r="D1205">
        <f>IF(Skills!C6=1,60+Inputs!$B$25+Inputs!$B$29,IF(Skills!C6=2,90+Inputs!$B$26+Inputs!$B$29,IF(Skills!C6=3,120+Inputs!$B$27+Inputs!$B$29,MAX(0,(Inputs!$B$3-100)*3)+Inputs!$B$28+Inputs!$B$29)))</f>
        <v/>
      </c>
      <c r="E1205">
        <f>INDEX(FactorTable!$B$2:$Y$301, MATCH(ROUND(MIN(300,MAX(1,D1205)),0), FactorTable!$A$2:$A$301,0), Skills!M6+1)</f>
        <v/>
      </c>
      <c r="F1205">
        <f>IF(Skills!N6=TRUE,(Skills!L6/10)*(E1205/1000),Skills!L6/10)+Skills!O6</f>
        <v/>
      </c>
      <c r="G1205">
        <f>Skills!G6*IF(Skills!H6&gt;0,Skills!I6/Skills!H6,1)</f>
        <v/>
      </c>
      <c r="H1205">
        <f>1-(1-Skills!J6/100)^Skills!K6</f>
        <v/>
      </c>
      <c r="I1205" t="inlineStr">
        <is>
          <t>1</t>
        </is>
      </c>
      <c r="J1205">
        <f>((Inputs!$B$6*(1+Inputs!$B$7/100))+(((Inputs!$B$12*(1+Inputs!$B$13/100))-(Inputs!$B$12*(1+Inputs!$B$13/100)))+0.25*(Inputs!$B$14-Inputs!$B$14))*(1+Inputs!$B$7/100))*(F1205/100)</f>
        <v/>
      </c>
      <c r="K1205">
        <f>J1205*(1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1206=TRUE,F1206,0)/100)*(1+(IF(Skills!A6="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1205)</f>
        <v/>
      </c>
      <c r="L1205">
        <f>K1205*(MIN(Inputs!$B$22+((C1224=TRUE)*(F1224-Calc!F25)),(Inputs!$B$23+((C1229=TRUE)*(F1229-Calc!F30))+(IF(ArtifactsInput!$M$15,CHOOSE(ArtifactsInput!$N$15+1,25,30,35,40,45,50)/100*(Inputs!$B$11-Inputs!$B$11),0))))/100+(Inputs!$B$23+((C1229=TRUE)*(F1229-Calc!F30))+(IF(ArtifactsInput!$M$15,CHOOSE(ArtifactsInput!$N$15+1,25,30,35,40,45,50)/100*(Inputs!$B$11-Inputs!$B$11),0)))/100)/2</f>
        <v/>
      </c>
      <c r="M1205">
        <f>L1205*(1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5">
        <f>L1205*(1-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1205*(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5">
        <f>(1-Summary!$B$11)*T1205+Summary!$B$11*V1205</f>
        <v/>
      </c>
      <c r="P1205">
        <f>IF(B1243=0,0,O1205/B1243)</f>
        <v/>
      </c>
      <c r="Q1205">
        <f>IFERROR(1/(IF(Inputs!$B$38="pvp",15,MAX(0.1,Skills!D6-IF(Skills!E6=TRUE,Inputs!$B$32,0)))*(1-IF(AND(ArtifactsInput!$M$27,Inputs!$B$4="Chapter Hunt"),CHOOSE(ArtifactsInput!$N$27+1,20,24,28,32,36,40),0)/100)),0)</f>
        <v/>
      </c>
      <c r="R1205">
        <f>IF(AND(Inputs!$B$38&lt;&gt;"pvp",Inputs!$B$43&gt;0),IF(MAX(0,Inputs!$B$43-B1240)&lt;=0,0,(INT(MAX(0,Inputs!$B$43-B1240)/(IF(Inputs!$B$38="pvp",15,MAX(0.1,Skills!D6-IF(Skills!E6=TRUE,Inputs!$B$32,0)))*(1-IF(AND(ArtifactsInput!$M$27,Inputs!$B$4="Chapter Hunt"),CHOOSE(ArtifactsInput!$N$27+1,20,24,28,32,36,40),0)/100)))+1)),0)</f>
        <v/>
      </c>
      <c r="S1205">
        <f>IFERROR(O1205/N1205,0)</f>
        <v/>
      </c>
      <c r="T1205">
        <f>IF(C1205,(H1205*N1205*IF(AND(Inputs!$B$38&lt;&gt;"pvp",Inputs!$B$43&gt;0),((Skills!G6*((R1205-1)*IF(Skills!H6&gt;0,Skills!I6/Skills!H6,1)+IF(Skills!H6&gt;0,MIN(Skills!I6,MAX(0,MAX(0,Inputs!$B$43-B1240)-((R1205-1)*(IF(Inputs!$B$38="pvp",15,MAX(0.1,Skills!D6-IF(Skills!E6=TRUE,Inputs!$B$32,0)))*(1-IF(AND(ArtifactsInput!$M$27,Inputs!$B$4="Chapter Hunt"),CHOOSE(ArtifactsInput!$N$27+1,20,24,28,32,36,40),0)/100)))))/Skills!H6,1)))/Inputs!$B$43),G1205*Q1205)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1205*(1-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1205*(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1205*(1-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1205*(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5">
        <f>IF(C1205,(H1205*N1205*IF(AND(Inputs!$B$38&lt;&gt;"pvp",Inputs!$B$43&gt;0),((Skills!G6*((R1205-1)*IF(Skills!H6&gt;0,Skills!I6/Skills!H6,1)+IF(Skills!H6&gt;0,MIN(Skills!I6,MAX(0,MAX(0,Inputs!$B$43-B1240)-((R1205-1)*(IF(Inputs!$B$38="pvp",15,MAX(0.1,Skills!D6-IF(Skills!E6=TRUE,Inputs!$B$32,0)))*(1-IF(AND(ArtifactsInput!$M$27,Inputs!$B$4="Chapter Hunt"),CHOOSE(ArtifactsInput!$N$27+1,20,24,28,32,36,40),0)/100)))))/Skills!H6,1)))/Inputs!$B$43),G1205*Q1205))*IF(Inputs!$B$38="pvp",1,(1+(Inputs!$B$21+Skills!Q6+(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6">
      <c r="A1206">
        <f>Skills!A7</f>
        <v/>
      </c>
      <c r="B1206">
        <f>Skills!B7</f>
        <v/>
      </c>
      <c r="C1206">
        <f>Inputs!$B$3&gt;=107</f>
        <v/>
      </c>
      <c r="D1206">
        <f>IF(Skills!C7=1,60+Inputs!$B$25+Inputs!$B$29,IF(Skills!C7=2,90+Inputs!$B$26+Inputs!$B$29,IF(Skills!C7=3,120+Inputs!$B$27+Inputs!$B$29,MAX(0,(Inputs!$B$3-100)*3)+Inputs!$B$28+Inputs!$B$29)))</f>
        <v/>
      </c>
      <c r="E1206">
        <f>INDEX(FactorTable!$B$2:$Y$301, MATCH(ROUND(MIN(300,MAX(1,D1206)),0), FactorTable!$A$2:$A$301,0), Skills!M7+1)</f>
        <v/>
      </c>
      <c r="F1206">
        <f>IF(Skills!N7=TRUE,(Skills!L7/10)*(E1206/1000),Skills!L7/10)+Skills!O7</f>
        <v/>
      </c>
      <c r="G1206" t="inlineStr"/>
      <c r="H1206" t="inlineStr"/>
      <c r="I1206" t="inlineStr">
        <is>
          <t>1</t>
        </is>
      </c>
      <c r="J1206" t="inlineStr"/>
      <c r="K1206" t="inlineStr"/>
      <c r="L1206" t="inlineStr"/>
      <c r="M1206" t="inlineStr"/>
      <c r="N1206" t="inlineStr"/>
      <c r="O1206" t="inlineStr"/>
      <c r="P1206" t="inlineStr"/>
      <c r="Q1206" t="inlineStr"/>
      <c r="R1206" t="inlineStr"/>
      <c r="S1206" t="inlineStr"/>
      <c r="T1206" t="inlineStr"/>
      <c r="V1206" t="inlineStr"/>
    </row>
    <row r="1207">
      <c r="A1207">
        <f>Skills!A8</f>
        <v/>
      </c>
      <c r="B1207">
        <f>Skills!B8</f>
        <v/>
      </c>
      <c r="C1207">
        <f>Inputs!$B$3&gt;=69</f>
        <v/>
      </c>
      <c r="D1207">
        <f>IF(Skills!C8=1,60+Inputs!$B$25+Inputs!$B$29,IF(Skills!C8=2,90+Inputs!$B$26+Inputs!$B$29,IF(Skills!C8=3,120+Inputs!$B$27+Inputs!$B$29,MAX(0,(Inputs!$B$3-100)*3)+Inputs!$B$28+Inputs!$B$29)))</f>
        <v/>
      </c>
      <c r="E1207">
        <f>INDEX(FactorTable!$B$2:$Y$301, MATCH(ROUND(MIN(300,MAX(1,D1207)),0), FactorTable!$A$2:$A$301,0), Skills!M8+1)</f>
        <v/>
      </c>
      <c r="F1207">
        <f>IF(Skills!N8=TRUE,(Skills!L8/10)*(E1207/1000),Skills!L8/10)+Skills!O8</f>
        <v/>
      </c>
      <c r="G1207">
        <f>Skills!G8*IF(Skills!H8&gt;0,Skills!I8/Skills!H8,1)</f>
        <v/>
      </c>
      <c r="H1207">
        <f>1-(1-Skills!J8/100)^Skills!K8</f>
        <v/>
      </c>
      <c r="I1207" t="inlineStr">
        <is>
          <t>1</t>
        </is>
      </c>
      <c r="J1207">
        <f>((Inputs!$B$6*(1+Inputs!$B$7/100))+(((Inputs!$B$12*(1+Inputs!$B$13/100))-(Inputs!$B$12*(1+Inputs!$B$13/100)))+0.25*(Inputs!$B$14-Inputs!$B$14))*(1+Inputs!$B$7/100))*(F1207/100)</f>
        <v/>
      </c>
      <c r="K1207">
        <f>J1207*(1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1210=TRUE,F1210,0)/100)*(1+(IF(Skills!A8="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1207)</f>
        <v/>
      </c>
      <c r="L1207">
        <f>K1207*(MIN(Inputs!$B$22+((C1224=TRUE)*(F1224-Calc!F25)),(Inputs!$B$23+((C1229=TRUE)*(F1229-Calc!F30))+(IF(ArtifactsInput!$M$15,CHOOSE(ArtifactsInput!$N$15+1,25,30,35,40,45,50)/100*(Inputs!$B$11-Inputs!$B$11),0))))/100+(Inputs!$B$23+((C1229=TRUE)*(F1229-Calc!F30))+(IF(ArtifactsInput!$M$15,CHOOSE(ArtifactsInput!$N$15+1,25,30,35,40,45,50)/100*(Inputs!$B$11-Inputs!$B$11),0)))/100)/2</f>
        <v/>
      </c>
      <c r="M1207">
        <f>L1207*(1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7">
        <f>L1207*(1-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1207*(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7">
        <f>(1-Summary!$B$11)*T1207+Summary!$B$11*V1207</f>
        <v/>
      </c>
      <c r="P1207">
        <f>IF(B1243=0,0,O1207/B1243)</f>
        <v/>
      </c>
      <c r="Q1207">
        <f>IFERROR(1/(IF(Inputs!$B$38="pvp",15,MAX(0.1,Skills!D8-IF(Skills!E8=TRUE,Inputs!$B$32,0)))*(1-IF(AND(ArtifactsInput!$M$27,Inputs!$B$4="Chapter Hunt"),CHOOSE(ArtifactsInput!$N$27+1,20,24,28,32,36,40),0)/100)),0)</f>
        <v/>
      </c>
      <c r="R1207">
        <f>IF(AND(Inputs!$B$38&lt;&gt;"pvp",Inputs!$B$43&gt;0),IF(MAX(0,Inputs!$B$43-B1240)&lt;=0,0,(INT(MAX(0,Inputs!$B$43-B1240)/(IF(Inputs!$B$38="pvp",15,MAX(0.1,Skills!D8-IF(Skills!E8=TRUE,Inputs!$B$32,0)))*(1-IF(AND(ArtifactsInput!$M$27,Inputs!$B$4="Chapter Hunt"),CHOOSE(ArtifactsInput!$N$27+1,20,24,28,32,36,40),0)/100)))+1)),0)</f>
        <v/>
      </c>
      <c r="S1207">
        <f>IFERROR(O1207/N1207,0)</f>
        <v/>
      </c>
      <c r="T1207">
        <f>IF(C1207,(H1207*N1207*IF(AND(Inputs!$B$38&lt;&gt;"pvp",Inputs!$B$43&gt;0),((Skills!G8*((R1207-1)*IF(Skills!H8&gt;0,Skills!I8/Skills!H8,1)+IF(Skills!H8&gt;0,MIN(Skills!I8,MAX(0,MAX(0,Inputs!$B$43-B1240)-((R1207-1)*(IF(Inputs!$B$38="pvp",15,MAX(0.1,Skills!D8-IF(Skills!E8=TRUE,Inputs!$B$32,0)))*(1-IF(AND(ArtifactsInput!$M$27,Inputs!$B$4="Chapter Hunt"),CHOOSE(ArtifactsInput!$N$27+1,20,24,28,32,36,40),0)/100)))))/Skills!H8,1)))/Inputs!$B$43),G1207*Q1207)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1207*(1-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1207*(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1207*(1-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1207*(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7">
        <f>IF(C1207,(H1207*N1207*IF(AND(Inputs!$B$38&lt;&gt;"pvp",Inputs!$B$43&gt;0),((Skills!G8*((R1207-1)*IF(Skills!H8&gt;0,Skills!I8/Skills!H8,1)+IF(Skills!H8&gt;0,MIN(Skills!I8,MAX(0,MAX(0,Inputs!$B$43-B1240)-((R1207-1)*(IF(Inputs!$B$38="pvp",15,MAX(0.1,Skills!D8-IF(Skills!E8=TRUE,Inputs!$B$32,0)))*(1-IF(AND(ArtifactsInput!$M$27,Inputs!$B$4="Chapter Hunt"),CHOOSE(ArtifactsInput!$N$27+1,20,24,28,32,36,40),0)/100)))))/Skills!H8,1)))/Inputs!$B$43),G1207*Q1207))*IF(Inputs!$B$38="pvp",1,(1+(Inputs!$B$21+Skills!Q8+(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8">
      <c r="A1208">
        <f>Skills!A9</f>
        <v/>
      </c>
      <c r="B1208">
        <f>Skills!B9</f>
        <v/>
      </c>
      <c r="C1208">
        <f>Inputs!$B$3&gt;=63</f>
        <v/>
      </c>
      <c r="D1208">
        <f>IF(Skills!C9=1,60+Inputs!$B$25+Inputs!$B$29,IF(Skills!C9=2,90+Inputs!$B$26+Inputs!$B$29,IF(Skills!C9=3,120+Inputs!$B$27+Inputs!$B$29,MAX(0,(Inputs!$B$3-100)*3)+Inputs!$B$28+Inputs!$B$29)))</f>
        <v/>
      </c>
      <c r="E1208">
        <f>INDEX(FactorTable!$B$2:$Y$301, MATCH(ROUND(MIN(300,MAX(1,D1208)),0), FactorTable!$A$2:$A$301,0), Skills!M9+1)</f>
        <v/>
      </c>
      <c r="F1208">
        <f>IF(Skills!N9=TRUE,(Skills!L9/10)*(E1208/1000),Skills!L9/10)+Skills!O9</f>
        <v/>
      </c>
      <c r="G1208">
        <f>Skills!G9*IF(Skills!H9&gt;0,Skills!I9/Skills!H9,1)</f>
        <v/>
      </c>
      <c r="H1208">
        <f>1-(1-Skills!J9/100)^Skills!K9</f>
        <v/>
      </c>
      <c r="I1208" t="inlineStr">
        <is>
          <t>1</t>
        </is>
      </c>
      <c r="J1208">
        <f>((Inputs!$B$6*(1+Inputs!$B$7/100))+(((Inputs!$B$12*(1+Inputs!$B$13/100))-(Inputs!$B$12*(1+Inputs!$B$13/100)))+0.25*(Inputs!$B$14-Inputs!$B$14))*(1+Inputs!$B$7/100))*(F1208/100)</f>
        <v/>
      </c>
      <c r="K1208">
        <f>J1208*(1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1210=TRUE,F1210,0)/100)*(1+(IF(Skills!A9="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1208)</f>
        <v/>
      </c>
      <c r="L1208">
        <f>K1208*(MIN(Inputs!$B$22+((C1224=TRUE)*(F1224-Calc!F25)),(Inputs!$B$23+((C1229=TRUE)*(F1229-Calc!F30))+(IF(ArtifactsInput!$M$15,CHOOSE(ArtifactsInput!$N$15+1,25,30,35,40,45,50)/100*(Inputs!$B$11-Inputs!$B$11),0))))/100+(Inputs!$B$23+((C1229=TRUE)*(F1229-Calc!F30))+(IF(ArtifactsInput!$M$15,CHOOSE(ArtifactsInput!$N$15+1,25,30,35,40,45,50)/100*(Inputs!$B$11-Inputs!$B$11),0)))/100)/2</f>
        <v/>
      </c>
      <c r="M1208">
        <f>L1208*(1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8">
        <f>L1208*(1-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1208*(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8">
        <f>(1-Summary!$B$11)*T1208+Summary!$B$11*V1208</f>
        <v/>
      </c>
      <c r="P1208">
        <f>IF(B1243=0,0,O1208/B1243)</f>
        <v/>
      </c>
      <c r="Q1208">
        <f>IFERROR(1/(IF(Inputs!$B$38="pvp",15,MAX(0.1,Skills!D9-IF(Skills!E9=TRUE,Inputs!$B$32,0)))*(1-IF(AND(ArtifactsInput!$M$27,Inputs!$B$4="Chapter Hunt"),CHOOSE(ArtifactsInput!$N$27+1,20,24,28,32,36,40),0)/100)),0)</f>
        <v/>
      </c>
      <c r="R1208">
        <f>IF(AND(Inputs!$B$38&lt;&gt;"pvp",Inputs!$B$43&gt;0),IF(MAX(0,Inputs!$B$43-B1240)&lt;=0,0,(INT(MAX(0,Inputs!$B$43-B1240)/(IF(Inputs!$B$38="pvp",15,MAX(0.1,Skills!D9-IF(Skills!E9=TRUE,Inputs!$B$32,0)))*(1-IF(AND(ArtifactsInput!$M$27,Inputs!$B$4="Chapter Hunt"),CHOOSE(ArtifactsInput!$N$27+1,20,24,28,32,36,40),0)/100)))+1)),0)</f>
        <v/>
      </c>
      <c r="S1208">
        <f>IFERROR(O1208/N1208,0)</f>
        <v/>
      </c>
      <c r="T1208">
        <f>IF(C1208,(H1208*N1208*IF(AND(Inputs!$B$38&lt;&gt;"pvp",Inputs!$B$43&gt;0),((Skills!G9*((R1208-1)*IF(Skills!H9&gt;0,Skills!I9/Skills!H9,1)+IF(Skills!H9&gt;0,MIN(Skills!I9,MAX(0,MAX(0,Inputs!$B$43-B1240)-((R1208-1)*(IF(Inputs!$B$38="pvp",15,MAX(0.1,Skills!D9-IF(Skills!E9=TRUE,Inputs!$B$32,0)))*(1-IF(AND(ArtifactsInput!$M$27,Inputs!$B$4="Chapter Hunt"),CHOOSE(ArtifactsInput!$N$27+1,20,24,28,32,36,40),0)/100)))))/Skills!H9,1)))/Inputs!$B$43),G1208*Q1208)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1208*(1-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1208*(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1208*(1-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1208*(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8">
        <f>IF(C1208,(H1208*N1208*IF(AND(Inputs!$B$38&lt;&gt;"pvp",Inputs!$B$43&gt;0),((Skills!G9*((R1208-1)*IF(Skills!H9&gt;0,Skills!I9/Skills!H9,1)+IF(Skills!H9&gt;0,MIN(Skills!I9,MAX(0,MAX(0,Inputs!$B$43-B1240)-((R1208-1)*(IF(Inputs!$B$38="pvp",15,MAX(0.1,Skills!D9-IF(Skills!E9=TRUE,Inputs!$B$32,0)))*(1-IF(AND(ArtifactsInput!$M$27,Inputs!$B$4="Chapter Hunt"),CHOOSE(ArtifactsInput!$N$27+1,20,24,28,32,36,40),0)/100)))))/Skills!H9,1)))/Inputs!$B$43),G1208*Q1208))*IF(Inputs!$B$38="pvp",1,(1+(Inputs!$B$21+Skills!Q9+(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9">
      <c r="A1209">
        <f>Skills!A10</f>
        <v/>
      </c>
      <c r="B1209">
        <f>Skills!B10</f>
        <v/>
      </c>
      <c r="C1209">
        <f>Inputs!$B$3&gt;=103</f>
        <v/>
      </c>
      <c r="D1209">
        <f>IF(Skills!C10=1,60+Inputs!$B$25+Inputs!$B$29,IF(Skills!C10=2,90+Inputs!$B$26+Inputs!$B$29,IF(Skills!C10=3,120+Inputs!$B$27+Inputs!$B$29,MAX(0,(Inputs!$B$3-100)*3)+Inputs!$B$28+Inputs!$B$29)))</f>
        <v/>
      </c>
      <c r="E1209">
        <f>INDEX(FactorTable!$B$2:$Y$301, MATCH(ROUND(MIN(300,MAX(1,D1209)),0), FactorTable!$A$2:$A$301,0), Skills!M10+1)</f>
        <v/>
      </c>
      <c r="F1209">
        <f>IF(Skills!N10=TRUE,(Skills!L10/10)*(E1209/1000),Skills!L10/10)+Skills!O10</f>
        <v/>
      </c>
      <c r="G1209">
        <f>Skills!G10*IF(Skills!H10&gt;0,Skills!I10/Skills!H10,1)</f>
        <v/>
      </c>
      <c r="H1209">
        <f>1-(1-Skills!J10/100)^Skills!K10</f>
        <v/>
      </c>
      <c r="I1209" t="inlineStr">
        <is>
          <t>1</t>
        </is>
      </c>
      <c r="J1209">
        <f>((Inputs!$B$6*(1+Inputs!$B$7/100))+(((Inputs!$B$12*(1+Inputs!$B$13/100))-(Inputs!$B$12*(1+Inputs!$B$13/100)))+0.25*(Inputs!$B$14-Inputs!$B$14))*(1+Inputs!$B$7/100))*(F1209/100)</f>
        <v/>
      </c>
      <c r="K1209">
        <f>J1209*(1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1209)</f>
        <v/>
      </c>
      <c r="L1209">
        <f>K1209*(MIN(Inputs!$B$22+((C1224=TRUE)*(F1224-Calc!F25)),(Inputs!$B$23+((C1229=TRUE)*(F1229-Calc!F30))+(IF(ArtifactsInput!$M$15,CHOOSE(ArtifactsInput!$N$15+1,25,30,35,40,45,50)/100*(Inputs!$B$11-Inputs!$B$11),0))))/100+(Inputs!$B$23+((C1229=TRUE)*(F1229-Calc!F30))+(IF(ArtifactsInput!$M$15,CHOOSE(ArtifactsInput!$N$15+1,25,30,35,40,45,50)/100*(Inputs!$B$11-Inputs!$B$11),0)))/100)/2</f>
        <v/>
      </c>
      <c r="M1209">
        <f>L1209*(1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9">
        <f>L1209*(1-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1209*(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9">
        <f>(1-Summary!$B$11)*T1209+Summary!$B$11*V1209</f>
        <v/>
      </c>
      <c r="P1209">
        <f>IF(B1243=0,0,O1209/B1243)</f>
        <v/>
      </c>
      <c r="Q1209">
        <f>IFERROR(1/(IF(Inputs!$B$38="pvp",15,MAX(0.1,Skills!D10-IF(Skills!E10=TRUE,Inputs!$B$32,0)))*(1-IF(AND(ArtifactsInput!$M$27,Inputs!$B$4="Chapter Hunt"),CHOOSE(ArtifactsInput!$N$27+1,20,24,28,32,36,40),0)/100)),0)</f>
        <v/>
      </c>
      <c r="R1209">
        <f>IF(AND(Inputs!$B$38&lt;&gt;"pvp",Inputs!$B$43&gt;0),IF(MAX(0,Inputs!$B$43-B1240)&lt;=0,0,(INT(MAX(0,Inputs!$B$43-B1240)/(IF(Inputs!$B$38="pvp",15,MAX(0.1,Skills!D10-IF(Skills!E10=TRUE,Inputs!$B$32,0)))*(1-IF(AND(ArtifactsInput!$M$27,Inputs!$B$4="Chapter Hunt"),CHOOSE(ArtifactsInput!$N$27+1,20,24,28,32,36,40),0)/100)))+1)),0)</f>
        <v/>
      </c>
      <c r="S1209">
        <f>IFERROR(O1209/N1209,0)</f>
        <v/>
      </c>
      <c r="T1209">
        <f>IF(C1209,(H1209*N1209*IF(AND(Inputs!$B$38&lt;&gt;"pvp",Inputs!$B$43&gt;0),((Skills!G10*((R1209-1)*IF(Skills!H10&gt;0,Skills!I10/Skills!H10,1)+IF(Skills!H10&gt;0,MIN(Skills!I10,MAX(0,MAX(0,Inputs!$B$43-B1240)-((R1209-1)*(IF(Inputs!$B$38="pvp",15,MAX(0.1,Skills!D10-IF(Skills!E10=TRUE,Inputs!$B$32,0)))*(1-IF(AND(ArtifactsInput!$M$27,Inputs!$B$4="Chapter Hunt"),CHOOSE(ArtifactsInput!$N$27+1,20,24,28,32,36,40),0)/100)))))/Skills!H10,1)))/Inputs!$B$43),G1209*Q1209)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1209*(1-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1209*(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1209*(1-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1209*(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9">
        <f>IF(C1209,(H1209*N1209*IF(AND(Inputs!$B$38&lt;&gt;"pvp",Inputs!$B$43&gt;0),((Skills!G10*((R1209-1)*IF(Skills!H10&gt;0,Skills!I10/Skills!H10,1)+IF(Skills!H10&gt;0,MIN(Skills!I10,MAX(0,MAX(0,Inputs!$B$43-B1240)-((R1209-1)*(IF(Inputs!$B$38="pvp",15,MAX(0.1,Skills!D10-IF(Skills!E10=TRUE,Inputs!$B$32,0)))*(1-IF(AND(ArtifactsInput!$M$27,Inputs!$B$4="Chapter Hunt"),CHOOSE(ArtifactsInput!$N$27+1,20,24,28,32,36,40),0)/100)))))/Skills!H10,1)))/Inputs!$B$43),G1209*Q1209))*IF(Inputs!$B$38="pvp",1,(1+(Inputs!$B$21+Skills!Q10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0">
      <c r="A1210">
        <f>Skills!A11</f>
        <v/>
      </c>
      <c r="B1210">
        <f>Skills!B11</f>
        <v/>
      </c>
      <c r="C1210">
        <f>Inputs!$B$3&gt;=100</f>
        <v/>
      </c>
      <c r="D1210">
        <f>IF(Skills!C11=1,60+Inputs!$B$25+Inputs!$B$29,IF(Skills!C11=2,90+Inputs!$B$26+Inputs!$B$29,IF(Skills!C11=3,120+Inputs!$B$27+Inputs!$B$29,MAX(0,(Inputs!$B$3-100)*3)+Inputs!$B$28+Inputs!$B$29)))</f>
        <v/>
      </c>
      <c r="E1210">
        <f>INDEX(FactorTable!$B$2:$Y$301, MATCH(ROUND(MIN(300,MAX(1,D1210)),0), FactorTable!$A$2:$A$301,0), Skills!M11+1)</f>
        <v/>
      </c>
      <c r="F1210">
        <f>IF(Skills!N11=TRUE,(Skills!L11/10)*(E1210/1000),Skills!L11/10)+Skills!O11</f>
        <v/>
      </c>
      <c r="G1210" t="inlineStr"/>
      <c r="H1210" t="inlineStr"/>
      <c r="I1210" t="inlineStr">
        <is>
          <t>1</t>
        </is>
      </c>
      <c r="J1210" t="inlineStr"/>
      <c r="K1210" t="inlineStr"/>
      <c r="L1210" t="inlineStr"/>
      <c r="M1210" t="inlineStr"/>
      <c r="N1210" t="inlineStr"/>
      <c r="O1210" t="inlineStr"/>
      <c r="P1210" t="inlineStr"/>
      <c r="Q1210" t="inlineStr"/>
      <c r="R1210" t="inlineStr"/>
      <c r="S1210" t="inlineStr"/>
      <c r="T1210" t="inlineStr"/>
      <c r="V1210" t="inlineStr"/>
    </row>
    <row r="1211">
      <c r="A1211">
        <f>Skills!A12</f>
        <v/>
      </c>
      <c r="B1211">
        <f>Skills!B12</f>
        <v/>
      </c>
      <c r="C1211">
        <f>Inputs!$B$3&gt;=60</f>
        <v/>
      </c>
      <c r="D1211">
        <f>IF(Skills!C12=1,60+Inputs!$B$25+Inputs!$B$29,IF(Skills!C12=2,90+Inputs!$B$26+Inputs!$B$29,IF(Skills!C12=3,120+Inputs!$B$27+Inputs!$B$29,MAX(0,(Inputs!$B$3-100)*3)+Inputs!$B$28+Inputs!$B$29)))</f>
        <v/>
      </c>
      <c r="E1211">
        <f>INDEX(FactorTable!$B$2:$Y$301, MATCH(ROUND(MIN(300,MAX(1,D1211)),0), FactorTable!$A$2:$A$301,0), Skills!M12+1)</f>
        <v/>
      </c>
      <c r="F1211">
        <f>IF(Skills!N12=TRUE,(Skills!L12/10)*(E1211/1000),Skills!L12/10)+Skills!O12</f>
        <v/>
      </c>
      <c r="G1211">
        <f>Skills!G12*IF(Skills!H12&gt;0,Skills!I12/Skills!H12,1)</f>
        <v/>
      </c>
      <c r="H1211">
        <f>1-(1-Skills!J12/100)^Skills!K12</f>
        <v/>
      </c>
      <c r="I1211" t="inlineStr">
        <is>
          <t>1</t>
        </is>
      </c>
      <c r="J1211">
        <f>((Inputs!$B$6*(1+Inputs!$B$7/100))+(((Inputs!$B$12*(1+Inputs!$B$13/100))-(Inputs!$B$12*(1+Inputs!$B$13/100)))+0.25*(Inputs!$B$14-Inputs!$B$14))*(1+Inputs!$B$7/100))*(F1211/100)</f>
        <v/>
      </c>
      <c r="K1211">
        <f>J1211*(1+((Inputs!$B$12*(1+Inputs!$B$13/100))*0.01+Inputs!$B$14*0.0025)/100)*(1+Inputs!$B$15/100)*(1+Inputs!$B$16/100)*(5000/(6000+Inputs!$B$42*(1-(100*(1-(1-(Inputs!$B$19+((C1227=TRUE)*(F1227-Calc!F28)))/100)*(1-CHOOSE(ArtifactsInput!$N$40+1,5,6,7,8,9,10)/100)^(ArtifactsInput!$M$40-ArtifactsInput!$M$40)))/100)))*(1+(Inputs!$B$24+((C1225=TRUE)*(F1225-Calc!F26))+((C1226=TRUE)*(F1226-Calc!F27))+B1239)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1212=TRUE,F1212,0)/100)*(1+(IF(Skills!A12="ARROW_STREAM",Inputs!$B$17+((C1223=TRUE)*(F1223-Calc!F24))+(((IF(AND(ArtifactsInput!$M$42,((Inputs!$B$9+((C1220=TRUE)*(F1220-Calc!F21))+B1233+(ArtifactsInput!$M$24-ArtifactsInput!$M$24)*CHOOSE(ArtifactsInput!$N$24+1,10,12,14,16,18,20)+IF(ArtifactsInput!$M$10,CHOOSE(ArtifactsInput!$N$10+1,15,18,21,24,27,30)*(IF(Inputs!$B$38="pvp",MIN(15,15)/15,IF(AND(Inputs!$B$38&lt;&gt;"pvp",Inputs!$B$43&gt;0),MIN(15,Inputs!$B$43)/(Inputs!$B$43),0))),0)))&gt;=100),MIN(100,((Inputs!$B$9+((C1220=TRUE)*(F1220-Calc!F21))+B1233+(ArtifactsInput!$M$24-ArtifactsInput!$M$24)*CHOOSE(ArtifactsInput!$N$24+1,10,12,14,16,18,20)+IF(ArtifactsInput!$M$10,CHOOSE(ArtifactsInput!$N$10+1,15,18,21,24,27,30)*(IF(Inputs!$B$38="pvp",MIN(15,15)/15,IF(AND(Inputs!$B$38&lt;&gt;"pvp",Inputs!$B$43&gt;0),MIN(15,Inputs!$B$43)/(Inputs!$B$43),0))),0)))-100),0))*CHOOSE(ArtifactsInput!$N$42+1,0.6,0.72,0.84,0.96,1.08,1.2))),Inputs!$B$18+((C1228=TRUE)*(F1228-Calc!F29))+(IF(AND(ArtifactsInput!$M$42,((Inputs!$B$9+((C1220=TRUE)*(F1220-Calc!F21))+B1233+(ArtifactsInput!$M$24-ArtifactsInput!$M$24)*CHOOSE(ArtifactsInput!$N$24+1,10,12,14,16,18,20)+IF(ArtifactsInput!$M$10,CHOOSE(ArtifactsInput!$N$10+1,15,18,21,24,27,30)*(IF(Inputs!$B$38="pvp",MIN(15,15)/15,IF(AND(Inputs!$B$38&lt;&gt;"pvp",Inputs!$B$43&gt;0),MIN(15,Inputs!$B$43)/(Inputs!$B$43),0))),0)))&gt;=100),CHOOSE(ArtifactsInput!$N$42+1,40,48,56,64,72,80),0))))/100)*((1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1211)</f>
        <v/>
      </c>
      <c r="L1211">
        <f>K1211*(MIN(Inputs!$B$22+((C1224=TRUE)*(F1224-Calc!F25)),(Inputs!$B$23+((C1229=TRUE)*(F1229-Calc!F30))+(IF(ArtifactsInput!$M$15,CHOOSE(ArtifactsInput!$N$15+1,25,30,35,40,45,50)/100*(Inputs!$B$11-Inputs!$B$11),0))))/100+(Inputs!$B$23+((C1229=TRUE)*(F1229-Calc!F30))+(IF(ArtifactsInput!$M$15,CHOOSE(ArtifactsInput!$N$15+1,25,30,35,40,45,50)/100*(Inputs!$B$11-Inputs!$B$11),0)))/100)/2</f>
        <v/>
      </c>
      <c r="M1211">
        <f>L1211*(1+(Inputs!$B$10+0+B1238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1">
        <f>L1211*(1-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1211*(MIN((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1">
        <f>(1-Summary!$B$11)*T1211+Summary!$B$11*V1211</f>
        <v/>
      </c>
      <c r="P1211">
        <f>IF(B1243=0,0,O1211/B1243)</f>
        <v/>
      </c>
      <c r="Q1211">
        <f>IFERROR(1/(IF(Inputs!$B$38="pvp",15,MAX(0.1,Skills!D12-IF(Skills!E12=TRUE,Inputs!$B$32,0)))*(1-IF(AND(ArtifactsInput!$M$27,Inputs!$B$4="Chapter Hunt"),CHOOSE(ArtifactsInput!$N$27+1,20,24,28,32,36,40),0)/100)),0)</f>
        <v/>
      </c>
      <c r="R1211">
        <f>IF(AND(Inputs!$B$38&lt;&gt;"pvp",Inputs!$B$43&gt;0),IF(MAX(0,Inputs!$B$43-B1240)&lt;=0,0,(INT(MAX(0,Inputs!$B$43-B1240)/(IF(Inputs!$B$38="pvp",15,MAX(0.1,Skills!D12-IF(Skills!E12=TRUE,Inputs!$B$32,0)))*(1-IF(AND(ArtifactsInput!$M$27,Inputs!$B$4="Chapter Hunt"),CHOOSE(ArtifactsInput!$N$27+1,20,24,28,32,36,40),0)/100)))+1)),0)</f>
        <v/>
      </c>
      <c r="S1211">
        <f>IFERROR(O1211/N1211,0)</f>
        <v/>
      </c>
      <c r="T1211">
        <f>IF(C1211,(H1211*N1211*IF(AND(Inputs!$B$38&lt;&gt;"pvp",Inputs!$B$43&gt;0),((Skills!G12*((R1211-1)*IF(Skills!H12&gt;0,Skills!I12/Skills!H12,1)+IF(Skills!H12&gt;0,MIN(Skills!I12,MAX(0,MAX(0,Inputs!$B$43-B1240)-((R1211-1)*(IF(Inputs!$B$38="pvp",15,MAX(0.1,Skills!D12-IF(Skills!E12=TRUE,Inputs!$B$32,0)))*(1-IF(AND(ArtifactsInput!$M$27,Inputs!$B$4="Chapter Hunt"),CHOOSE(ArtifactsInput!$N$27+1,20,24,28,32,36,40),0)/100)))))/Skills!H12,1)))/Inputs!$B$43),G1211*Q1211)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$42*(1-(100*(1-(1-(100*(1-(1-(Inputs!$B$19+((C1227=TRUE)*(F1227-Calc!F28)))/100)*(1-CHOOSE(ArtifactsInput!$N$40+1,5,6,7,8,9,10)/100)^(ArtifactsInput!$M$40-ArtifactsInput!$M$40)))/100)*(1-IF(ArtifactsInput!$M$40,CHOOSE(ArtifactsInput!$N$40+1,5,6,7,8,9,10),0)/100)^IF(Inputs!$B$38="pvp",1,2)))/100)))/(5000/(6000+Inputs!$B$42*(1-(100*(1-(1-(Inputs!$B$19+((C1227=TRUE)*(F1227-Calc!F28)))/100)*(1-CHOOSE(ArtifactsInput!$N$40+1,5,6,7,8,9,10)/100)^(ArtifactsInput!$M$40-ArtifactsInput!$M$40)))/100))))*((L1211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1211*(MIN(100,(Inputs!$B$9+((C1220=TRUE)*(F1220-Calc!F21))+B1233+(ArtifactsInput!$M$24-ArtifactsInput!$M$24)*CHOOSE(ArtifactsInput!$N$24+1,10,12,14,16,18,20)+(IF(AND(ArtifactsInput!$M$42,((Inputs!$B$9+((C1220=TRUE)*(F1220-Calc!F21))+B1233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1">
        <f>IF(C1211,(H1211*N1211*IF(AND(Inputs!$B$38&lt;&gt;"pvp",Inputs!$B$43&gt;0),((Skills!G12*((R1211-1)*IF(Skills!H12&gt;0,Skills!I12/Skills!H12,1)+IF(Skills!H12&gt;0,MIN(Skills!I12,MAX(0,MAX(0,Inputs!$B$43-B1240)-((R1211-1)*(IF(Inputs!$B$38="pvp",15,MAX(0.1,Skills!D12-IF(Skills!E12=TRUE,Inputs!$B$32,0)))*(1-IF(AND(ArtifactsInput!$M$27,Inputs!$B$4="Chapter Hunt"),CHOOSE(ArtifactsInput!$N$27+1,20,24,28,32,36,40),0)/100)))))/Skills!H12,1)))/Inputs!$B$43),G1211*Q1211))*IF(Inputs!$B$38="pvp",1,(1+(Inputs!$B$21+Skills!Q12+(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2">
      <c r="A1212">
        <f>Skills!A13</f>
        <v/>
      </c>
      <c r="B1212">
        <f>Skills!B13</f>
        <v/>
      </c>
      <c r="C1212">
        <f>Inputs!$B$3&gt;=110</f>
        <v/>
      </c>
      <c r="D1212">
        <f>IF(Skills!C13=1,60+Inputs!$B$25+Inputs!$B$29,IF(Skills!C13=2,90+Inputs!$B$26+Inputs!$B$29,IF(Skills!C13=3,120+Inputs!$B$27+Inputs!$B$29,MAX(0,(Inputs!$B$3-100)*3)+Inputs!$B$28+Inputs!$B$29)))</f>
        <v/>
      </c>
      <c r="E1212">
        <f>INDEX(FactorTable!$B$2:$Y$301, MATCH(ROUND(MIN(300,MAX(1,D1212)),0), FactorTable!$A$2:$A$301,0), Skills!M13+1)</f>
        <v/>
      </c>
      <c r="F1212">
        <f>IF(Skills!N13=TRUE,(Skills!L13/10)*(E1212/1000),Skills!L13/10)+Skills!O13</f>
        <v/>
      </c>
      <c r="G1212" t="inlineStr"/>
      <c r="H1212" t="inlineStr"/>
      <c r="I1212" t="inlineStr">
        <is>
          <t>1</t>
        </is>
      </c>
      <c r="J1212" t="inlineStr"/>
      <c r="K1212" t="inlineStr"/>
      <c r="L1212" t="inlineStr"/>
      <c r="M1212" t="inlineStr"/>
      <c r="N1212" t="inlineStr"/>
      <c r="O1212" t="inlineStr"/>
      <c r="P1212" t="inlineStr"/>
      <c r="Q1212" t="inlineStr"/>
      <c r="R1212" t="inlineStr"/>
      <c r="S1212" t="inlineStr"/>
      <c r="T1212" t="inlineStr"/>
      <c r="V1212" t="inlineStr"/>
    </row>
    <row r="1213">
      <c r="A1213">
        <f>Skills!A14</f>
        <v/>
      </c>
      <c r="B1213">
        <f>Skills!B14</f>
        <v/>
      </c>
      <c r="C1213">
        <f>Inputs!$B$3&gt;=74</f>
        <v/>
      </c>
      <c r="D1213">
        <f>IF(Skills!C14=1,60+Inputs!$B$25+Inputs!$B$29,IF(Skills!C14=2,90+Inputs!$B$26+Inputs!$B$29,IF(Skills!C14=3,120+Inputs!$B$27+Inputs!$B$29,MAX(0,(Inputs!$B$3-100)*3)+Inputs!$B$28+Inputs!$B$29)))</f>
        <v/>
      </c>
      <c r="E1213">
        <f>INDEX(FactorTable!$B$2:$Y$301, MATCH(ROUND(MIN(300,MAX(1,D1213)),0), FactorTable!$A$2:$A$301,0), Skills!M14+1)</f>
        <v/>
      </c>
      <c r="F1213">
        <f>IF(Skills!N14=TRUE,(Skills!L14/10)*(E1213/1000),Skills!L14/10)+Skills!O14</f>
        <v/>
      </c>
      <c r="G1213">
        <f>Skills!G14*IF(Skills!H14&gt;0,Skills!I14/Skills!H14,1)</f>
        <v/>
      </c>
      <c r="H1213">
        <f>1-(1-Skills!J14/100)^Skills!K14</f>
        <v/>
      </c>
      <c r="I1213" t="inlineStr">
        <is>
          <t>1</t>
        </is>
      </c>
      <c r="J1213" t="inlineStr"/>
      <c r="K1213" t="inlineStr"/>
      <c r="L1213" t="inlineStr"/>
      <c r="M1213" t="inlineStr"/>
      <c r="N1213" t="inlineStr"/>
      <c r="O1213">
        <f>(1-Summary!$B$11)*T1213+Summary!$B$11*V1213</f>
        <v/>
      </c>
      <c r="P1213">
        <f>IF(B1243=0,0,O1213/B1243)</f>
        <v/>
      </c>
      <c r="Q1213" t="n">
        <v>0</v>
      </c>
      <c r="R1213" t="n">
        <v>0</v>
      </c>
      <c r="S1213">
        <f>IFERROR(O1213/N1213,0)</f>
        <v/>
      </c>
      <c r="T1213" t="n">
        <v>0</v>
      </c>
      <c r="V1213" t="n">
        <v>0</v>
      </c>
    </row>
    <row r="1214">
      <c r="A1214">
        <f>Skills!A15</f>
        <v/>
      </c>
      <c r="B1214">
        <f>Skills!B15</f>
        <v/>
      </c>
      <c r="C1214">
        <f>Inputs!$B$3&gt;=74</f>
        <v/>
      </c>
      <c r="D1214">
        <f>IF(Skills!C15=1,60+Inputs!$B$25+Inputs!$B$29,IF(Skills!C15=2,90+Inputs!$B$26+Inputs!$B$29,IF(Skills!C15=3,120+Inputs!$B$27+Inputs!$B$29,MAX(0,(Inputs!$B$3-100)*3)+Inputs!$B$28+Inputs!$B$29)))</f>
        <v/>
      </c>
      <c r="E1214">
        <f>INDEX(FactorTable!$B$2:$Y$301, MATCH(ROUND(MIN(300,MAX(1,D1214)),0), FactorTable!$A$2:$A$301,0), Skills!M15+1)</f>
        <v/>
      </c>
      <c r="F1214">
        <f>IF(Skills!N15=TRUE,(Skills!L15/10)*(E1214/1000),Skills!L15/10)+Skills!O15</f>
        <v/>
      </c>
      <c r="G1214">
        <f>Skills!G15*IF(Skills!H15&gt;0,Skills!I15/Skills!H15,1)</f>
        <v/>
      </c>
      <c r="H1214">
        <f>1-(1-Skills!J15/100)^Skills!K15</f>
        <v/>
      </c>
      <c r="I1214" t="inlineStr">
        <is>
          <t>1</t>
        </is>
      </c>
      <c r="J1214" t="inlineStr"/>
      <c r="K1214" t="inlineStr"/>
      <c r="L1214" t="inlineStr"/>
      <c r="M1214" t="inlineStr"/>
      <c r="N1214" t="inlineStr"/>
      <c r="O1214">
        <f>(1-Summary!$B$11)*T1214+Summary!$B$11*V1214</f>
        <v/>
      </c>
      <c r="P1214">
        <f>IF(B1243=0,0,O1214/B1243)</f>
        <v/>
      </c>
      <c r="Q1214" t="n">
        <v>0</v>
      </c>
      <c r="R1214" t="n">
        <v>0</v>
      </c>
      <c r="S1214">
        <f>IFERROR(O1214/N1214,0)</f>
        <v/>
      </c>
      <c r="T1214" t="n">
        <v>0</v>
      </c>
      <c r="V1214" t="n">
        <v>0</v>
      </c>
    </row>
    <row r="1215">
      <c r="A1215">
        <f>Skills!A16</f>
        <v/>
      </c>
      <c r="B1215">
        <f>Skills!B16</f>
        <v/>
      </c>
      <c r="C1215">
        <f>Inputs!$B$3&gt;=117</f>
        <v/>
      </c>
      <c r="D1215">
        <f>IF(Skills!C16=1,60+Inputs!$B$25+Inputs!$B$29,IF(Skills!C16=2,90+Inputs!$B$26+Inputs!$B$29,IF(Skills!C16=3,120+Inputs!$B$27+Inputs!$B$29,MAX(0,(Inputs!$B$3-100)*3)+Inputs!$B$28+Inputs!$B$29)))</f>
        <v/>
      </c>
      <c r="E1215">
        <f>INDEX(FactorTable!$B$2:$Y$301, MATCH(ROUND(MIN(300,MAX(1,D1215)),0), FactorTable!$A$2:$A$301,0), Skills!M16+1)</f>
        <v/>
      </c>
      <c r="F1215">
        <f>IF(Skills!N16=TRUE,(Skills!L16/10)*(E1215/1000),Skills!L16/10)+Skills!O16</f>
        <v/>
      </c>
      <c r="G1215">
        <f>Skills!G16*IF(Skills!H16&gt;0,Skills!I16/Skills!H16,1)</f>
        <v/>
      </c>
      <c r="H1215">
        <f>1-(1-Skills!J16/100)^Skills!K16</f>
        <v/>
      </c>
      <c r="I1215" t="inlineStr">
        <is>
          <t>1</t>
        </is>
      </c>
      <c r="J1215" t="inlineStr"/>
      <c r="K1215" t="inlineStr"/>
      <c r="L1215" t="inlineStr"/>
      <c r="M1215" t="inlineStr"/>
      <c r="N1215" t="inlineStr"/>
      <c r="O1215">
        <f>(1-Summary!$B$11)*T1215+Summary!$B$11*V1215</f>
        <v/>
      </c>
      <c r="P1215">
        <f>IF(B1243=0,0,O1215/B1243)</f>
        <v/>
      </c>
      <c r="Q1215">
        <f>IFERROR(1/(IF(Inputs!$B$38="pvp",15,MAX(0.1,Skills!D16-IF(Skills!E16=TRUE,Inputs!$B$32,0)))*(1-IF(AND(ArtifactsInput!$M$27,Inputs!$B$4="Chapter Hunt"),CHOOSE(ArtifactsInput!$N$27+1,20,24,28,32,36,40),0)/100)),0)</f>
        <v/>
      </c>
      <c r="R1215">
        <f>IF(AND(Inputs!$B$38&lt;&gt;"pvp",Inputs!$B$43&gt;0),IF(Inputs!$B$43&lt;=0,0,(INT(Inputs!$B$43/(IF(Inputs!$B$38="pvp",15,MAX(0.1,Skills!D16-IF(Skills!E16=TRUE,Inputs!$B$32,0)))*(1-IF(AND(ArtifactsInput!$M$27,Inputs!$B$4="Chapter Hunt"),CHOOSE(ArtifactsInput!$N$27+1,20,24,28,32,36,40),0)/100)))+1)),0)</f>
        <v/>
      </c>
      <c r="S1215">
        <f>IFERROR(O1215/N1215,0)</f>
        <v/>
      </c>
      <c r="T1215" t="n">
        <v>0</v>
      </c>
      <c r="V1215" t="n">
        <v>0</v>
      </c>
    </row>
    <row r="1216">
      <c r="A1216">
        <f>Skills!A17</f>
        <v/>
      </c>
      <c r="B1216">
        <f>Skills!B17</f>
        <v/>
      </c>
      <c r="C1216">
        <f>Inputs!$B$3&gt;=115</f>
        <v/>
      </c>
      <c r="D1216">
        <f>IF(Skills!C17=1,60+Inputs!$B$25+Inputs!$B$29,IF(Skills!C17=2,90+Inputs!$B$26+Inputs!$B$29,IF(Skills!C17=3,120+Inputs!$B$27+Inputs!$B$29,MAX(0,(Inputs!$B$3-100)*3)+Inputs!$B$28+Inputs!$B$29)))</f>
        <v/>
      </c>
      <c r="E1216">
        <f>INDEX(FactorTable!$B$2:$Y$301, MATCH(ROUND(MIN(300,MAX(1,D1216)),0), FactorTable!$A$2:$A$301,0), Skills!M17+1)</f>
        <v/>
      </c>
      <c r="F1216">
        <f>IF(Skills!N17=TRUE,(Skills!L17/10)*(E1216/1000),Skills!L17/10)+Skills!O17</f>
        <v/>
      </c>
      <c r="G1216">
        <f>Skills!G17*IF(Skills!H17&gt;0,Skills!I17/Skills!H17,1)</f>
        <v/>
      </c>
      <c r="H1216">
        <f>1-(1-Skills!J17/100)^Skills!K17</f>
        <v/>
      </c>
      <c r="I1216" t="inlineStr">
        <is>
          <t>1</t>
        </is>
      </c>
      <c r="J1216" t="inlineStr"/>
      <c r="K1216" t="inlineStr"/>
      <c r="L1216" t="inlineStr"/>
      <c r="M1216" t="inlineStr"/>
      <c r="N1216" t="inlineStr"/>
      <c r="O1216">
        <f>(1-Summary!$B$11)*T1216+Summary!$B$11*V1216</f>
        <v/>
      </c>
      <c r="P1216">
        <f>IF(B1243=0,0,O1216/B1243)</f>
        <v/>
      </c>
      <c r="Q1216">
        <f>IFERROR(1/(IF(Inputs!$B$38="pvp",15,MAX(0.1,Skills!D17-IF(Skills!E17=TRUE,Inputs!$B$32,0)))*(1-IF(AND(ArtifactsInput!$M$27,Inputs!$B$4="Chapter Hunt"),CHOOSE(ArtifactsInput!$N$27+1,20,24,28,32,36,40),0)/100)),0)</f>
        <v/>
      </c>
      <c r="R1216">
        <f>IF(AND(Inputs!$B$38&lt;&gt;"pvp",Inputs!$B$43&gt;0),IF(Inputs!$B$43&lt;=0,0,(INT(Inputs!$B$43/(IF(Inputs!$B$38="pvp",15,MAX(0.1,Skills!D17-IF(Skills!E17=TRUE,Inputs!$B$32,0)))*(1-IF(AND(ArtifactsInput!$M$27,Inputs!$B$4="Chapter Hunt"),CHOOSE(ArtifactsInput!$N$27+1,20,24,28,32,36,40),0)/100)))+1)),0)</f>
        <v/>
      </c>
      <c r="S1216">
        <f>IFERROR(O1216/N1216,0)</f>
        <v/>
      </c>
      <c r="T1216" t="n">
        <v>0</v>
      </c>
      <c r="V1216" t="n">
        <v>0</v>
      </c>
    </row>
    <row r="1217">
      <c r="A1217">
        <f>Skills!A18</f>
        <v/>
      </c>
      <c r="B1217">
        <f>Skills!B18</f>
        <v/>
      </c>
      <c r="C1217">
        <f>Inputs!$B$3&gt;=66</f>
        <v/>
      </c>
      <c r="D1217">
        <f>IF(Skills!C18=1,60+Inputs!$B$25+Inputs!$B$29,IF(Skills!C18=2,90+Inputs!$B$26+Inputs!$B$29,IF(Skills!C18=3,120+Inputs!$B$27+Inputs!$B$29,MAX(0,(Inputs!$B$3-100)*3)+Inputs!$B$28+Inputs!$B$29)))</f>
        <v/>
      </c>
      <c r="E1217">
        <f>INDEX(FactorTable!$B$2:$Y$301, MATCH(ROUND(MIN(300,MAX(1,D1217)),0), FactorTable!$A$2:$A$301,0), Skills!M18+1)</f>
        <v/>
      </c>
      <c r="F1217">
        <f>IF(Skills!N18=TRUE,(Skills!L18/10)*(E1217/1000),Skills!L18/10)+Skills!O18</f>
        <v/>
      </c>
      <c r="G1217">
        <f>Skills!G18*IF(Skills!H18&gt;0,Skills!I18/Skills!H18,1)</f>
        <v/>
      </c>
      <c r="H1217">
        <f>1-(1-Skills!J18/100)^Skills!K18</f>
        <v/>
      </c>
      <c r="I1217" t="inlineStr">
        <is>
          <t>1</t>
        </is>
      </c>
      <c r="J1217" t="inlineStr"/>
      <c r="K1217" t="inlineStr"/>
      <c r="L1217" t="inlineStr"/>
      <c r="M1217" t="inlineStr"/>
      <c r="N1217" t="inlineStr"/>
      <c r="O1217">
        <f>(1-Summary!$B$11)*T1217+Summary!$B$11*V1217</f>
        <v/>
      </c>
      <c r="P1217">
        <f>IF(B1243=0,0,O1217/B1243)</f>
        <v/>
      </c>
      <c r="Q1217" t="n">
        <v>0</v>
      </c>
      <c r="R1217" t="n">
        <v>0</v>
      </c>
      <c r="S1217">
        <f>IFERROR(O1217/N1217,0)</f>
        <v/>
      </c>
      <c r="T1217" t="n">
        <v>0</v>
      </c>
      <c r="V1217" t="n">
        <v>0</v>
      </c>
    </row>
    <row r="1218">
      <c r="A1218">
        <f>Skills!A19</f>
        <v/>
      </c>
      <c r="B1218">
        <f>Skills!B19</f>
        <v/>
      </c>
      <c r="C1218">
        <f>Inputs!$B$3&gt;=72</f>
        <v/>
      </c>
      <c r="D1218">
        <f>IF(Skills!C19=1,60+Inputs!$B$25+Inputs!$B$29,IF(Skills!C19=2,90+Inputs!$B$26+Inputs!$B$29,IF(Skills!C19=3,120+Inputs!$B$27+Inputs!$B$29,MAX(0,(Inputs!$B$3-100)*3)+Inputs!$B$28+Inputs!$B$29)))</f>
        <v/>
      </c>
      <c r="E1218">
        <f>INDEX(FactorTable!$B$2:$Y$301, MATCH(ROUND(MIN(300,MAX(1,D1218)),0), FactorTable!$A$2:$A$301,0), Skills!M19+1)</f>
        <v/>
      </c>
      <c r="F1218">
        <f>IF(Skills!N19=TRUE,(Skills!L19/10)*(E1218/1000),Skills!L19/10)+Skills!O19</f>
        <v/>
      </c>
      <c r="G1218">
        <f>Skills!G19*IF(Skills!H19&gt;0,Skills!I19/Skills!H19,1)</f>
        <v/>
      </c>
      <c r="H1218">
        <f>1-(1-Skills!J19/100)^Skills!K19</f>
        <v/>
      </c>
      <c r="I1218" t="inlineStr">
        <is>
          <t>1</t>
        </is>
      </c>
      <c r="J1218" t="inlineStr"/>
      <c r="K1218" t="inlineStr"/>
      <c r="L1218" t="inlineStr"/>
      <c r="M1218" t="inlineStr"/>
      <c r="N1218" t="inlineStr"/>
      <c r="O1218">
        <f>(1-Summary!$B$11)*T1218+Summary!$B$11*V1218</f>
        <v/>
      </c>
      <c r="P1218">
        <f>IF(B1243=0,0,O1218/B1243)</f>
        <v/>
      </c>
      <c r="Q1218" t="n">
        <v>0</v>
      </c>
      <c r="R1218" t="n">
        <v>0</v>
      </c>
      <c r="S1218">
        <f>IFERROR(O1218/N1218,0)</f>
        <v/>
      </c>
      <c r="T1218" t="n">
        <v>0</v>
      </c>
      <c r="V1218" t="n">
        <v>0</v>
      </c>
    </row>
    <row r="1219">
      <c r="A1219">
        <f>Skills!A20</f>
        <v/>
      </c>
      <c r="B1219">
        <f>Skills!B20</f>
        <v/>
      </c>
      <c r="C1219">
        <f>TRUE</f>
        <v/>
      </c>
      <c r="D1219">
        <f>IF(Skills!C20=1,60+Inputs!$B$25+Inputs!$B$29,IF(Skills!C20=2,90+Inputs!$B$26+Inputs!$B$29,IF(Skills!C20=3,120+Inputs!$B$27+Inputs!$B$29,MAX(0,(Inputs!$B$3-100)*3)+Inputs!$B$28+Inputs!$B$29)))</f>
        <v/>
      </c>
      <c r="E1219">
        <f>INDEX(FactorTable!$B$2:$Y$301, MATCH(ROUND(MIN(300,MAX(1,D1219)),0), FactorTable!$A$2:$A$301,0), Skills!M20+1)</f>
        <v/>
      </c>
      <c r="F1219">
        <f>IF(Skills!N20=TRUE,(Skills!L20/10)*(E1219/1000),Skills!L20/10)+Skills!O20</f>
        <v/>
      </c>
      <c r="G1219">
        <f>Skills!G20*IF(Skills!H20&gt;0,Skills!I20/Skills!H20,1)</f>
        <v/>
      </c>
      <c r="H1219">
        <f>1-(1-Skills!J20/100)^Skills!K20</f>
        <v/>
      </c>
      <c r="I1219" t="inlineStr">
        <is>
          <t>1</t>
        </is>
      </c>
      <c r="J1219" t="inlineStr"/>
      <c r="K1219" t="inlineStr"/>
      <c r="L1219" t="inlineStr"/>
      <c r="M1219" t="inlineStr"/>
      <c r="N1219" t="inlineStr"/>
      <c r="O1219">
        <f>(1-Summary!$B$11)*T1219+Summary!$B$11*V1219</f>
        <v/>
      </c>
      <c r="P1219">
        <f>IF(B1243=0,0,O1219/B1243)</f>
        <v/>
      </c>
      <c r="Q1219">
        <f>IFERROR(1/(IF(Inputs!$B$38="pvp",15,MAX(0.1,Skills!D20-IF(Skills!E20=TRUE,Inputs!$B$32,0)))*(1-IF(AND(ArtifactsInput!$M$27,Inputs!$B$4="Chapter Hunt"),CHOOSE(ArtifactsInput!$N$27+1,20,24,28,32,36,40),0)/100)),0)</f>
        <v/>
      </c>
      <c r="R1219">
        <f>IF(AND(Inputs!$B$38&lt;&gt;"pvp",Inputs!$B$43&gt;0),IF(Inputs!$B$43&lt;=0,0,(INT(Inputs!$B$43/(IF(Inputs!$B$38="pvp",15,MAX(0.1,Skills!D20-IF(Skills!E20=TRUE,Inputs!$B$32,0)))*(1-IF(AND(ArtifactsInput!$M$27,Inputs!$B$4="Chapter Hunt"),CHOOSE(ArtifactsInput!$N$27+1,20,24,28,32,36,40),0)/100)))+1)),0)</f>
        <v/>
      </c>
      <c r="S1219">
        <f>IFERROR(O1219/N1219,0)</f>
        <v/>
      </c>
      <c r="T1219" t="n">
        <v>0</v>
      </c>
      <c r="V1219" t="n">
        <v>0</v>
      </c>
    </row>
    <row r="1220">
      <c r="A1220">
        <f>Skills!A21</f>
        <v/>
      </c>
      <c r="B1220">
        <f>Skills!B21</f>
        <v/>
      </c>
      <c r="C1220">
        <f>Inputs!$B$3&gt;=15</f>
        <v/>
      </c>
      <c r="D1220">
        <f>IF(Skills!C21=1,60+Inputs!$B$25+Inputs!$B$29,IF(Skills!C21=2,90+Inputs!$B$26+Inputs!$B$29,IF(Skills!C21=3,120+Inputs!$B$27+Inputs!$B$29,MAX(0,(Inputs!$B$3-100)*3)+Inputs!$B$28+Inputs!$B$29)))</f>
        <v/>
      </c>
      <c r="E1220">
        <f>INDEX(FactorTable!$B$2:$Y$301, MATCH(ROUND(MIN(300,MAX(1,D1220)),0), FactorTable!$A$2:$A$301,0), Skills!M21+1)</f>
        <v/>
      </c>
      <c r="F1220">
        <f>IF(Skills!N21=TRUE,(Skills!L21/10)*(E1220/1000),Skills!L21/10)+Skills!O21</f>
        <v/>
      </c>
      <c r="G1220">
        <f>Skills!G21*IF(Skills!H21&gt;0,Skills!I21/Skills!H21,1)</f>
        <v/>
      </c>
      <c r="H1220">
        <f>1-(1-Skills!J21/100)^Skills!K21</f>
        <v/>
      </c>
      <c r="I1220" t="inlineStr">
        <is>
          <t>1</t>
        </is>
      </c>
      <c r="J1220" t="inlineStr"/>
      <c r="K1220" t="inlineStr"/>
      <c r="L1220" t="inlineStr"/>
      <c r="M1220" t="inlineStr"/>
      <c r="N1220" t="inlineStr"/>
      <c r="O1220">
        <f>(1-Summary!$B$11)*T1220+Summary!$B$11*V1220</f>
        <v/>
      </c>
      <c r="P1220">
        <f>IF(B1243=0,0,O1220/B1243)</f>
        <v/>
      </c>
      <c r="Q1220" t="n">
        <v>0</v>
      </c>
      <c r="R1220" t="n">
        <v>0</v>
      </c>
      <c r="S1220">
        <f>IFERROR(O1220/N1220,0)</f>
        <v/>
      </c>
      <c r="T1220" t="n">
        <v>0</v>
      </c>
      <c r="V1220" t="n">
        <v>0</v>
      </c>
    </row>
    <row r="1221">
      <c r="A1221">
        <f>Skills!A22</f>
        <v/>
      </c>
      <c r="B1221">
        <f>Skills!B22</f>
        <v/>
      </c>
      <c r="C1221">
        <f>Inputs!$B$3&gt;=10</f>
        <v/>
      </c>
      <c r="D1221">
        <f>IF(Skills!C22=1,60+Inputs!$B$25+Inputs!$B$29,IF(Skills!C22=2,90+Inputs!$B$26+Inputs!$B$29,IF(Skills!C22=3,120+Inputs!$B$27+Inputs!$B$29,MAX(0,(Inputs!$B$3-100)*3)+Inputs!$B$28+Inputs!$B$29)))</f>
        <v/>
      </c>
      <c r="E1221">
        <f>INDEX(FactorTable!$B$2:$Y$301, MATCH(ROUND(MIN(300,MAX(1,D1221)),0), FactorTable!$A$2:$A$301,0), Skills!M22+1)</f>
        <v/>
      </c>
      <c r="F1221">
        <f>IF(Skills!N22=TRUE,(Skills!L22/10)*(E1221/1000),Skills!L22/10)+Skills!O22</f>
        <v/>
      </c>
      <c r="G1221">
        <f>Skills!G22*IF(Skills!H22&gt;0,Skills!I22/Skills!H22,1)</f>
        <v/>
      </c>
      <c r="H1221">
        <f>1-(1-Skills!J22/100)^Skills!K22</f>
        <v/>
      </c>
      <c r="I1221" t="inlineStr">
        <is>
          <t>1</t>
        </is>
      </c>
      <c r="J1221" t="inlineStr"/>
      <c r="K1221" t="inlineStr"/>
      <c r="L1221" t="inlineStr"/>
      <c r="M1221" t="inlineStr"/>
      <c r="N1221" t="inlineStr"/>
      <c r="O1221">
        <f>(1-Summary!$B$11)*T1221+Summary!$B$11*V1221</f>
        <v/>
      </c>
      <c r="P1221">
        <f>IF(B1243=0,0,O1221/B1243)</f>
        <v/>
      </c>
      <c r="Q1221" t="n">
        <v>0</v>
      </c>
      <c r="R1221" t="n">
        <v>0</v>
      </c>
      <c r="S1221">
        <f>IFERROR(O1221/N1221,0)</f>
        <v/>
      </c>
      <c r="T1221" t="n">
        <v>0</v>
      </c>
      <c r="V1221" t="n">
        <v>0</v>
      </c>
    </row>
    <row r="1222">
      <c r="A1222">
        <f>Skills!A23</f>
        <v/>
      </c>
      <c r="B1222">
        <f>Skills!B23</f>
        <v/>
      </c>
      <c r="C1222">
        <f>Inputs!$B$3&gt;=33</f>
        <v/>
      </c>
      <c r="D1222">
        <f>IF(Skills!C23=1,60+Inputs!$B$25+Inputs!$B$29,IF(Skills!C23=2,90+Inputs!$B$26+Inputs!$B$29,IF(Skills!C23=3,120+Inputs!$B$27+Inputs!$B$29,MAX(0,(Inputs!$B$3-100)*3)+Inputs!$B$28+Inputs!$B$29)))</f>
        <v/>
      </c>
      <c r="E1222">
        <f>INDEX(FactorTable!$B$2:$Y$301, MATCH(ROUND(MIN(300,MAX(1,D1222)),0), FactorTable!$A$2:$A$301,0), Skills!M23+1)</f>
        <v/>
      </c>
      <c r="F1222">
        <f>IF(Skills!N23=TRUE,(Skills!L23/10)*(E1222/1000),Skills!L23/10)+Skills!O23</f>
        <v/>
      </c>
      <c r="G1222">
        <f>Skills!G23*IF(Skills!H23&gt;0,Skills!I23/Skills!H23,1)</f>
        <v/>
      </c>
      <c r="H1222">
        <f>1-(1-Skills!J23/100)^Skills!K23</f>
        <v/>
      </c>
      <c r="I1222" t="inlineStr">
        <is>
          <t>1</t>
        </is>
      </c>
      <c r="J1222" t="inlineStr"/>
      <c r="K1222" t="inlineStr"/>
      <c r="L1222" t="inlineStr"/>
      <c r="M1222" t="inlineStr"/>
      <c r="N1222" t="inlineStr"/>
      <c r="O1222">
        <f>(1-Summary!$B$11)*T1222+Summary!$B$11*V1222</f>
        <v/>
      </c>
      <c r="P1222">
        <f>IF(B1243=0,0,O1222/B1243)</f>
        <v/>
      </c>
      <c r="Q1222" t="n">
        <v>0</v>
      </c>
      <c r="R1222" t="n">
        <v>0</v>
      </c>
      <c r="S1222">
        <f>IFERROR(O1222/N1222,0)</f>
        <v/>
      </c>
      <c r="T1222" t="n">
        <v>0</v>
      </c>
      <c r="V1222" t="n">
        <v>0</v>
      </c>
    </row>
    <row r="1223">
      <c r="A1223">
        <f>Skills!A24</f>
        <v/>
      </c>
      <c r="B1223">
        <f>Skills!B24</f>
        <v/>
      </c>
      <c r="C1223">
        <f>Inputs!$B$3&gt;=38</f>
        <v/>
      </c>
      <c r="D1223">
        <f>IF(Skills!C24=1,60+Inputs!$B$25+Inputs!$B$29,IF(Skills!C24=2,90+Inputs!$B$26+Inputs!$B$29,IF(Skills!C24=3,120+Inputs!$B$27+Inputs!$B$29,MAX(0,(Inputs!$B$3-100)*3)+Inputs!$B$28+Inputs!$B$29)))</f>
        <v/>
      </c>
      <c r="E1223">
        <f>INDEX(FactorTable!$B$2:$Y$301, MATCH(ROUND(MIN(300,MAX(1,D1223)),0), FactorTable!$A$2:$A$301,0), Skills!M24+1)</f>
        <v/>
      </c>
      <c r="F1223">
        <f>IF(Skills!N24=TRUE,(Skills!L24/10)*(E1223/1000),Skills!L24/10)+Skills!O24</f>
        <v/>
      </c>
      <c r="G1223">
        <f>Skills!G24*IF(Skills!H24&gt;0,Skills!I24/Skills!H24,1)</f>
        <v/>
      </c>
      <c r="H1223">
        <f>1-(1-Skills!J24/100)^Skills!K24</f>
        <v/>
      </c>
      <c r="I1223" t="inlineStr">
        <is>
          <t>1</t>
        </is>
      </c>
      <c r="J1223" t="inlineStr"/>
      <c r="K1223" t="inlineStr"/>
      <c r="L1223" t="inlineStr"/>
      <c r="M1223" t="inlineStr"/>
      <c r="N1223" t="inlineStr"/>
      <c r="O1223">
        <f>(1-Summary!$B$11)*T1223+Summary!$B$11*V1223</f>
        <v/>
      </c>
      <c r="P1223">
        <f>IF(B1243=0,0,O1223/B1243)</f>
        <v/>
      </c>
      <c r="Q1223" t="n">
        <v>0</v>
      </c>
      <c r="R1223" t="n">
        <v>0</v>
      </c>
      <c r="S1223">
        <f>IFERROR(O1223/N1223,0)</f>
        <v/>
      </c>
      <c r="T1223" t="n">
        <v>0</v>
      </c>
      <c r="V1223" t="n">
        <v>0</v>
      </c>
    </row>
    <row r="1224">
      <c r="A1224">
        <f>Skills!A25</f>
        <v/>
      </c>
      <c r="B1224">
        <f>Skills!B25</f>
        <v/>
      </c>
      <c r="C1224">
        <f>Inputs!$B$3&gt;=43</f>
        <v/>
      </c>
      <c r="D1224">
        <f>IF(Skills!C25=1,60+Inputs!$B$25+Inputs!$B$29,IF(Skills!C25=2,90+Inputs!$B$26+Inputs!$B$29,IF(Skills!C25=3,120+Inputs!$B$27+Inputs!$B$29,MAX(0,(Inputs!$B$3-100)*3)+Inputs!$B$28+Inputs!$B$29)))</f>
        <v/>
      </c>
      <c r="E1224">
        <f>INDEX(FactorTable!$B$2:$Y$301, MATCH(ROUND(MIN(300,MAX(1,D1224)),0), FactorTable!$A$2:$A$301,0), Skills!M25+1)</f>
        <v/>
      </c>
      <c r="F1224">
        <f>IF(Skills!N25=TRUE,(Skills!L25/10)*(E1224/1000),Skills!L25/10)+Skills!O25</f>
        <v/>
      </c>
      <c r="G1224">
        <f>Skills!G25*IF(Skills!H25&gt;0,Skills!I25/Skills!H25,1)</f>
        <v/>
      </c>
      <c r="H1224">
        <f>1-(1-Skills!J25/100)^Skills!K25</f>
        <v/>
      </c>
      <c r="I1224" t="inlineStr">
        <is>
          <t>1</t>
        </is>
      </c>
      <c r="J1224" t="inlineStr"/>
      <c r="K1224" t="inlineStr"/>
      <c r="L1224" t="inlineStr"/>
      <c r="M1224" t="inlineStr"/>
      <c r="N1224" t="inlineStr"/>
      <c r="O1224">
        <f>(1-Summary!$B$11)*T1224+Summary!$B$11*V1224</f>
        <v/>
      </c>
      <c r="P1224">
        <f>IF(B1243=0,0,O1224/B1243)</f>
        <v/>
      </c>
      <c r="Q1224" t="n">
        <v>0</v>
      </c>
      <c r="R1224" t="n">
        <v>0</v>
      </c>
      <c r="S1224">
        <f>IFERROR(O1224/N1224,0)</f>
        <v/>
      </c>
      <c r="T1224" t="n">
        <v>0</v>
      </c>
      <c r="V1224" t="n">
        <v>0</v>
      </c>
    </row>
    <row r="1225">
      <c r="A1225">
        <f>Skills!A26</f>
        <v/>
      </c>
      <c r="B1225">
        <f>Skills!B26</f>
        <v/>
      </c>
      <c r="C1225">
        <f>Inputs!$B$3&gt;=75</f>
        <v/>
      </c>
      <c r="D1225">
        <f>IF(Skills!C26=1,60+Inputs!$B$25+Inputs!$B$29,IF(Skills!C26=2,90+Inputs!$B$26+Inputs!$B$29,IF(Skills!C26=3,120+Inputs!$B$27+Inputs!$B$29,MAX(0,(Inputs!$B$3-100)*3)+Inputs!$B$28+Inputs!$B$29)))</f>
        <v/>
      </c>
      <c r="E1225">
        <f>INDEX(FactorTable!$B$2:$Y$301, MATCH(ROUND(MIN(300,MAX(1,D1225)),0), FactorTable!$A$2:$A$301,0), Skills!M26+1)</f>
        <v/>
      </c>
      <c r="F1225">
        <f>IF(Skills!N26=TRUE,(Skills!L26/10)*(E1225/1000),Skills!L26/10)+Skills!O26</f>
        <v/>
      </c>
      <c r="G1225">
        <f>Skills!G26*IF(Skills!H26&gt;0,Skills!I26/Skills!H26,1)</f>
        <v/>
      </c>
      <c r="H1225">
        <f>1-(1-Skills!J26/100)^Skills!K26</f>
        <v/>
      </c>
      <c r="I1225" t="inlineStr">
        <is>
          <t>1</t>
        </is>
      </c>
      <c r="J1225" t="inlineStr"/>
      <c r="K1225" t="inlineStr"/>
      <c r="L1225" t="inlineStr"/>
      <c r="M1225" t="inlineStr"/>
      <c r="N1225" t="inlineStr"/>
      <c r="O1225">
        <f>(1-Summary!$B$11)*T1225+Summary!$B$11*V1225</f>
        <v/>
      </c>
      <c r="P1225">
        <f>IF(B1243=0,0,O1225/B1243)</f>
        <v/>
      </c>
      <c r="Q1225" t="n">
        <v>0</v>
      </c>
      <c r="R1225" t="n">
        <v>0</v>
      </c>
      <c r="S1225">
        <f>IFERROR(O1225/N1225,0)</f>
        <v/>
      </c>
      <c r="T1225" t="n">
        <v>0</v>
      </c>
      <c r="V1225" t="n">
        <v>0</v>
      </c>
    </row>
    <row r="1226">
      <c r="A1226">
        <f>Skills!A27</f>
        <v/>
      </c>
      <c r="B1226">
        <f>Skills!B27</f>
        <v/>
      </c>
      <c r="C1226">
        <f>Inputs!$B$3&gt;=125</f>
        <v/>
      </c>
      <c r="D1226">
        <f>IF(Skills!C27=1,60+Inputs!$B$25+Inputs!$B$29,IF(Skills!C27=2,90+Inputs!$B$26+Inputs!$B$29,IF(Skills!C27=3,120+Inputs!$B$27+Inputs!$B$29,MAX(0,(Inputs!$B$3-100)*3)+Inputs!$B$28+Inputs!$B$29)))</f>
        <v/>
      </c>
      <c r="E1226">
        <f>INDEX(FactorTable!$B$2:$Y$301, MATCH(ROUND(MIN(300,MAX(1,D1226)),0), FactorTable!$A$2:$A$301,0), Skills!M27+1)</f>
        <v/>
      </c>
      <c r="F1226">
        <f>IF(Skills!N27=TRUE,(Skills!L27/10)*(E1226/1000),Skills!L27/10)+Skills!O27</f>
        <v/>
      </c>
      <c r="G1226">
        <f>Skills!G27*IF(Skills!H27&gt;0,Skills!I27/Skills!H27,1)</f>
        <v/>
      </c>
      <c r="H1226">
        <f>1-(1-Skills!J27/100)^Skills!K27</f>
        <v/>
      </c>
      <c r="I1226" t="inlineStr">
        <is>
          <t>1</t>
        </is>
      </c>
      <c r="J1226" t="inlineStr"/>
      <c r="K1226" t="inlineStr"/>
      <c r="L1226" t="inlineStr"/>
      <c r="M1226" t="inlineStr"/>
      <c r="N1226" t="inlineStr"/>
      <c r="O1226">
        <f>(1-Summary!$B$11)*T1226+Summary!$B$11*V1226</f>
        <v/>
      </c>
      <c r="P1226">
        <f>IF(B1243=0,0,O1226/B1243)</f>
        <v/>
      </c>
      <c r="Q1226" t="n">
        <v>0</v>
      </c>
      <c r="R1226" t="n">
        <v>0</v>
      </c>
      <c r="S1226">
        <f>IFERROR(O1226/N1226,0)</f>
        <v/>
      </c>
      <c r="T1226" t="n">
        <v>0</v>
      </c>
      <c r="V1226" t="n">
        <v>0</v>
      </c>
    </row>
    <row r="1227">
      <c r="A1227">
        <f>Skills!A28</f>
        <v/>
      </c>
      <c r="B1227">
        <f>Skills!B28</f>
        <v/>
      </c>
      <c r="C1227">
        <f>Inputs!$B$3&gt;=125</f>
        <v/>
      </c>
      <c r="D1227">
        <f>IF(Skills!C28=1,60+Inputs!$B$25+Inputs!$B$29,IF(Skills!C28=2,90+Inputs!$B$26+Inputs!$B$29,IF(Skills!C28=3,120+Inputs!$B$27+Inputs!$B$29,MAX(0,(Inputs!$B$3-100)*3)+Inputs!$B$28+Inputs!$B$29)))</f>
        <v/>
      </c>
      <c r="E1227">
        <f>INDEX(FactorTable!$B$2:$Y$301, MATCH(ROUND(MIN(300,MAX(1,D1227)),0), FactorTable!$A$2:$A$301,0), Skills!M28+1)</f>
        <v/>
      </c>
      <c r="F1227">
        <f>IF(Skills!N28=TRUE,(Skills!L28/10)*(E1227/1000),Skills!L28/10)+Skills!O28</f>
        <v/>
      </c>
      <c r="G1227">
        <f>Skills!G28*IF(Skills!H28&gt;0,Skills!I28/Skills!H28,1)</f>
        <v/>
      </c>
      <c r="H1227">
        <f>1-(1-Skills!J28/100)^Skills!K28</f>
        <v/>
      </c>
      <c r="I1227" t="inlineStr">
        <is>
          <t>1</t>
        </is>
      </c>
      <c r="J1227" t="inlineStr"/>
      <c r="K1227" t="inlineStr"/>
      <c r="L1227" t="inlineStr"/>
      <c r="M1227" t="inlineStr"/>
      <c r="N1227" t="inlineStr"/>
      <c r="O1227">
        <f>(1-Summary!$B$11)*T1227+Summary!$B$11*V1227</f>
        <v/>
      </c>
      <c r="P1227">
        <f>IF(B1243=0,0,O1227/B1243)</f>
        <v/>
      </c>
      <c r="Q1227" t="n">
        <v>0</v>
      </c>
      <c r="R1227" t="n">
        <v>0</v>
      </c>
      <c r="S1227">
        <f>IFERROR(O1227/N1227,0)</f>
        <v/>
      </c>
      <c r="T1227" t="n">
        <v>0</v>
      </c>
      <c r="V1227" t="n">
        <v>0</v>
      </c>
    </row>
    <row r="1228">
      <c r="A1228">
        <f>Skills!A29</f>
        <v/>
      </c>
      <c r="B1228">
        <f>Skills!B29</f>
        <v/>
      </c>
      <c r="C1228">
        <f>Inputs!$B$3&gt;=120</f>
        <v/>
      </c>
      <c r="D1228">
        <f>IF(Skills!C29=1,60+Inputs!$B$25+Inputs!$B$29,IF(Skills!C29=2,90+Inputs!$B$26+Inputs!$B$29,IF(Skills!C29=3,120+Inputs!$B$27+Inputs!$B$29,MAX(0,(Inputs!$B$3-100)*3)+Inputs!$B$28+Inputs!$B$29)))</f>
        <v/>
      </c>
      <c r="E1228">
        <f>INDEX(FactorTable!$B$2:$Y$301, MATCH(ROUND(MIN(300,MAX(1,D1228)),0), FactorTable!$A$2:$A$301,0), Skills!M29+1)</f>
        <v/>
      </c>
      <c r="F1228">
        <f>IF(Skills!N29=TRUE,(Skills!L29/10)*(E1228/1000),Skills!L29/10)+Skills!O29</f>
        <v/>
      </c>
      <c r="G1228">
        <f>Skills!G29*IF(Skills!H29&gt;0,Skills!I29/Skills!H29,1)</f>
        <v/>
      </c>
      <c r="H1228">
        <f>1-(1-Skills!J29/100)^Skills!K29</f>
        <v/>
      </c>
      <c r="I1228" t="inlineStr">
        <is>
          <t>1</t>
        </is>
      </c>
      <c r="J1228" t="inlineStr"/>
      <c r="K1228" t="inlineStr"/>
      <c r="L1228" t="inlineStr"/>
      <c r="M1228" t="inlineStr"/>
      <c r="N1228" t="inlineStr"/>
      <c r="O1228">
        <f>(1-Summary!$B$11)*T1228+Summary!$B$11*V1228</f>
        <v/>
      </c>
      <c r="P1228">
        <f>IF(B1243=0,0,O1228/B1243)</f>
        <v/>
      </c>
      <c r="Q1228" t="n">
        <v>0</v>
      </c>
      <c r="R1228" t="n">
        <v>0</v>
      </c>
      <c r="S1228">
        <f>IFERROR(O1228/N1228,0)</f>
        <v/>
      </c>
      <c r="T1228" t="n">
        <v>0</v>
      </c>
      <c r="V1228" t="n">
        <v>0</v>
      </c>
    </row>
    <row r="1229">
      <c r="A1229">
        <f>Skills!A30</f>
        <v/>
      </c>
      <c r="B1229">
        <f>Skills!B30</f>
        <v/>
      </c>
      <c r="C1229">
        <f>Inputs!$B$3&gt;=120</f>
        <v/>
      </c>
      <c r="D1229">
        <f>IF(Skills!C30=1,60+Inputs!$B$25+Inputs!$B$29,IF(Skills!C30=2,90+Inputs!$B$26+Inputs!$B$29,IF(Skills!C30=3,120+Inputs!$B$27+Inputs!$B$29,MAX(0,(Inputs!$B$3-100)*3)+Inputs!$B$28+Inputs!$B$29)))</f>
        <v/>
      </c>
      <c r="E1229">
        <f>INDEX(FactorTable!$B$2:$Y$301, MATCH(ROUND(MIN(300,MAX(1,D1229)),0), FactorTable!$A$2:$A$301,0), Skills!M30+1)</f>
        <v/>
      </c>
      <c r="F1229">
        <f>IF(Skills!N30=TRUE,(Skills!L30/10)*(E1229/1000),Skills!L30/10)+Skills!O30</f>
        <v/>
      </c>
      <c r="G1229">
        <f>Skills!G30*IF(Skills!H30&gt;0,Skills!I30/Skills!H30,1)</f>
        <v/>
      </c>
      <c r="H1229">
        <f>1-(1-Skills!J30/100)^Skills!K30</f>
        <v/>
      </c>
      <c r="I1229" t="inlineStr">
        <is>
          <t>1</t>
        </is>
      </c>
      <c r="J1229" t="inlineStr"/>
      <c r="K1229" t="inlineStr"/>
      <c r="L1229" t="inlineStr"/>
      <c r="M1229" t="inlineStr"/>
      <c r="N1229" t="inlineStr"/>
      <c r="O1229">
        <f>(1-Summary!$B$11)*T1229+Summary!$B$11*V1229</f>
        <v/>
      </c>
      <c r="P1229">
        <f>IF(B1243=0,0,O1229/B1243)</f>
        <v/>
      </c>
      <c r="Q1229" t="n">
        <v>0</v>
      </c>
      <c r="R1229" t="n">
        <v>0</v>
      </c>
      <c r="S1229">
        <f>IFERROR(O1229/N1229,0)</f>
        <v/>
      </c>
      <c r="T1229" t="n">
        <v>0</v>
      </c>
      <c r="V1229" t="n">
        <v>0</v>
      </c>
    </row>
    <row r="1230">
      <c r="A1230">
        <f>Skills!A31</f>
        <v/>
      </c>
      <c r="B1230">
        <f>Skills!B31</f>
        <v/>
      </c>
      <c r="C1230">
        <f>Inputs!$B$3&gt;=45</f>
        <v/>
      </c>
      <c r="D1230">
        <f>IF(Skills!C31=1,60+Inputs!$B$25+Inputs!$B$29,IF(Skills!C31=2,90+Inputs!$B$26+Inputs!$B$29,IF(Skills!C31=3,120+Inputs!$B$27+Inputs!$B$29,MAX(0,(Inputs!$B$3-100)*3)+Inputs!$B$28+Inputs!$B$29)))</f>
        <v/>
      </c>
      <c r="E1230">
        <f>INDEX(FactorTable!$B$2:$Y$301, MATCH(ROUND(MIN(300,MAX(1,D1230)),0), FactorTable!$A$2:$A$301,0), Skills!M31+1)</f>
        <v/>
      </c>
      <c r="F1230">
        <f>IF(Skills!N31=TRUE,(Skills!L31/10)*(E1230/1000),Skills!L31/10)+Skills!O31</f>
        <v/>
      </c>
      <c r="G1230">
        <f>Skills!G31*IF(Skills!H31&gt;0,Skills!I31/Skills!H31,1)</f>
        <v/>
      </c>
      <c r="H1230">
        <f>1-(1-Skills!J31/100)^Skills!K31</f>
        <v/>
      </c>
      <c r="I1230" t="inlineStr">
        <is>
          <t>1</t>
        </is>
      </c>
      <c r="J1230" t="inlineStr"/>
      <c r="K1230" t="inlineStr"/>
      <c r="L1230" t="inlineStr"/>
      <c r="M1230" t="inlineStr"/>
      <c r="N1230" t="inlineStr"/>
      <c r="O1230">
        <f>(1-Summary!$B$11)*T1230+Summary!$B$11*V1230</f>
        <v/>
      </c>
      <c r="P1230">
        <f>IF(B1243=0,0,O1230/B1243)</f>
        <v/>
      </c>
      <c r="Q1230" t="n">
        <v>0</v>
      </c>
      <c r="R1230" t="n">
        <v>0</v>
      </c>
      <c r="S1230">
        <f>IFERROR(O1230/N1230,0)</f>
        <v/>
      </c>
      <c r="T1230" t="n">
        <v>0</v>
      </c>
      <c r="V1230" t="n">
        <v>0</v>
      </c>
    </row>
    <row r="1232">
      <c r="A1232" t="inlineStr">
        <is>
          <t>Attack% Bucket Multiplier</t>
        </is>
      </c>
      <c r="B1232">
        <f>(1+(((C1213=TRUE)*F1213)+((C1214=TRUE)*IF(Inputs!$B$38="pvp",F1214,(1-Summary!$B$11)*(F1214)+Summary!$B$11*(0)))+((C1215=TRUE)*F1215*IF(AND(Inputs!$B$38&lt;&gt;"pvp",Inputs!$B$43&gt;0),(((R1215-1)*(Skills!T16*(1+Inputs!$B$34/100))+MIN((Skills!T16*(1+Inputs!$B$34/100)),MAX(0,Inputs!$B$43-((R1215-1)*Skills!D16))))/Inputs!$B$43),IF(Inputs!$B$38="pvp",MIN((Skills!T16*(1+Inputs!$B$34/100)),15)/15,(Skills!T16*(1+Inputs!$B$34/100))/Skills!D16)))+((C1230=TRUE)*(F1230-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33">
      <c r="A1233" t="inlineStr">
        <is>
          <t>Global Crit Rate Bonus %</t>
        </is>
      </c>
      <c r="B1233">
        <f>(C1216=TRUE)*20*IF(AND(Inputs!$B$38&lt;&gt;"pvp",Inputs!$B$43&gt;0),(((R1216-1)*(Skills!T17*(1+Inputs!$B$34/100))+MIN((Skills!T17*(1+Inputs!$B$34/100)),MAX(0,Inputs!$B$43-((R1216-1)*Skills!D17))))/Inputs!$B$43),IF(Inputs!$B$38="pvp",MIN((Skills!T17*(1+Inputs!$B$34/100)),15)/15,(Skills!T17*(1+Inputs!$B$34/100))/Skills!D17))</f>
        <v/>
      </c>
    </row>
    <row r="1234">
      <c r="A1234" t="inlineStr">
        <is>
          <t>Attack Speed Buff Bonus %</t>
        </is>
      </c>
      <c r="B1234">
        <f>((C1219=TRUE)*F1219*IF(AND(Inputs!$B$38&lt;&gt;"pvp",Inputs!$B$43&gt;0),(((R1219-1)*(Skills!T20*(1+Inputs!$B$34/100))+MIN((Skills!T20*(1+Inputs!$B$34/100)),MAX(0,Inputs!$B$43-((R1219-1)*Skills!D20))))/Inputs!$B$43),IF(Inputs!$B$38="pvp",MIN((Skills!T20*(1+Inputs!$B$34/100)),15)/15,(Skills!T20*(1+Inputs!$B$34/100))/Skills!D20)))</f>
        <v/>
      </c>
    </row>
    <row r="1235">
      <c r="A1235" t="inlineStr">
        <is>
          <t>Actions Per Second</t>
        </is>
      </c>
      <c r="B1235">
        <f>1+MIN(150,150*(1-(1-(Inputs!$B$11+((C1221=TRUE)*(F1221-Calc!F22))+((C1222=TRUE)*(F1222-Calc!F23)))/150)*(1-B1234/150)))/100</f>
        <v/>
      </c>
    </row>
    <row r="1236">
      <c r="A1236" t="inlineStr">
        <is>
          <t>Skill + Buff Cast Rate</t>
        </is>
      </c>
      <c r="B1236">
        <f>IF(AND(Inputs!$B$38&lt;&gt;"pvp",Inputs!$B$43&gt;0),SUMPRODUCT((Skills!E2:E31=TRUE)*(C1201:C1230=TRUE)*R1201:R1230*Skills!F2:F31)/Inputs!$B$43,SUMPRODUCT((Skills!E2:E31=TRUE)*(C1201:C1230=TRUE)*Q1201:Q1230*Skills!F2:F31))</f>
        <v/>
      </c>
    </row>
    <row r="1237">
      <c r="A1237" t="inlineStr">
        <is>
          <t>Arrow Stream Casts Per Second</t>
        </is>
      </c>
      <c r="B1237">
        <f>MAX(0,B1235-B1236)</f>
        <v/>
      </c>
    </row>
    <row r="1238">
      <c r="A1238" t="inlineStr">
        <is>
          <t>Global Critical Damage Bonus % (Sharp Eyes + Concentration)</t>
        </is>
      </c>
      <c r="B1238">
        <f>(C1216=TRUE)*F1216*IF(AND(Inputs!$B$38&lt;&gt;"pvp",Inputs!$B$43&gt;0),(((R1216-1)*(Skills!T17*(1+Inputs!$B$34/100))+MIN((Skills!T17*(1+Inputs!$B$34/100)),MAX(0,Inputs!$B$43-((R1216-1)*Skills!D17))))/Inputs!$B$43),IF(Inputs!$B$38="pvp",MIN((Skills!T17*(1+Inputs!$B$34/100)),15)/15,(Skills!T17*(1+Inputs!$B$34/100))/Skills!D17))+(C1217=TRUE)*30</f>
        <v/>
      </c>
    </row>
    <row r="1239">
      <c r="A1239" t="inlineStr">
        <is>
          <t>Global Final Damage Bonus % (Mortal Blow)</t>
        </is>
      </c>
      <c r="B1239">
        <f>(C1218=TRUE)*F1218</f>
        <v/>
      </c>
    </row>
    <row r="1240">
      <c r="A1240" t="inlineStr">
        <is>
          <t>Buff-Casting Startup Delay (s, fixed-duration only)</t>
        </is>
      </c>
      <c r="B1240">
        <f>IF(AND(Inputs!$B$38&lt;&gt;"pvp",Inputs!$B$43&gt;0),SUMPRODUCT((Skills!T2:T31&gt;0)*(Skills!E2:E31=TRUE)*(C1201:C1230=TRUE))/B1235,0)</f>
        <v/>
      </c>
    </row>
    <row r="1241">
      <c r="A1241" t="inlineStr">
        <is>
          <t>Boss-Only Total DPS (this block's swept value)</t>
        </is>
      </c>
      <c r="B1241">
        <f>SUM(T1201:T1230)</f>
        <v/>
      </c>
    </row>
    <row r="1242">
      <c r="A1242" t="inlineStr">
        <is>
          <t>Normal-Only Total DPS (this block's swept value)</t>
        </is>
      </c>
      <c r="B1242">
        <f>SUM(V1201:V1230)</f>
        <v/>
      </c>
    </row>
    <row r="1243">
      <c r="A1243" s="6" t="inlineStr">
        <is>
          <t>TOTAL DPS</t>
        </is>
      </c>
      <c r="B1243" s="6">
        <f>SUM(O1201:O1230)</f>
        <v/>
      </c>
    </row>
    <row r="1246">
      <c r="A1246" s="6" t="inlineStr">
        <is>
          <t>Stat: Buff Duration Increase %</t>
        </is>
      </c>
    </row>
    <row r="1247">
      <c r="A1247" s="5" t="inlineStr">
        <is>
          <t>Key</t>
        </is>
      </c>
      <c r="B1247" s="5" t="inlineStr">
        <is>
          <t>Name</t>
        </is>
      </c>
      <c r="C1247" s="5" t="inlineStr">
        <is>
          <t>Unlocked</t>
        </is>
      </c>
      <c r="D1247" s="5" t="inlineStr">
        <is>
          <t>InputLevel</t>
        </is>
      </c>
      <c r="E1247" s="5" t="inlineStr">
        <is>
          <t>Factor</t>
        </is>
      </c>
      <c r="F1247" s="5" t="inlineStr">
        <is>
          <t>CoefficientPercent</t>
        </is>
      </c>
      <c r="G1247" s="5" t="inlineStr">
        <is>
          <t>EffectiveHits</t>
        </is>
      </c>
      <c r="H1247" s="5" t="inlineStr">
        <is>
          <t>ProcProbability</t>
        </is>
      </c>
      <c r="I1247" s="5" t="inlineStr">
        <is>
          <t>MapleHeroMultiplier</t>
        </is>
      </c>
      <c r="J1247" s="5" t="inlineStr">
        <is>
          <t>BaseDamage</t>
        </is>
      </c>
      <c r="K1247" s="5" t="inlineStr">
        <is>
          <t>BaseHitDamage</t>
        </is>
      </c>
      <c r="L1247" s="5" t="inlineStr">
        <is>
          <t>NonCritAvg</t>
        </is>
      </c>
      <c r="M1247" s="5" t="inlineStr">
        <is>
          <t>CritAvg</t>
        </is>
      </c>
      <c r="N1247" s="5" t="inlineStr">
        <is>
          <t>ExpectedDamage(perHit)</t>
        </is>
      </c>
      <c r="O1247" s="5" t="inlineStr">
        <is>
          <t>DPS</t>
        </is>
      </c>
      <c r="P1247" s="5" t="inlineStr">
        <is>
          <t>% of Total</t>
        </is>
      </c>
      <c r="Q1247" s="5" t="inlineStr">
        <is>
          <t>InvCooldown</t>
        </is>
      </c>
      <c r="R1247" s="5" t="inlineStr">
        <is>
          <t>CastsInFight</t>
        </is>
      </c>
      <c r="S1247" s="5" t="inlineStr">
        <is>
          <t>HitRate(perSec)</t>
        </is>
      </c>
      <c r="U1247" t="inlineStr">
        <is>
          <t>helpers</t>
        </is>
      </c>
    </row>
    <row r="1248">
      <c r="A1248">
        <f>Skills!A2</f>
        <v/>
      </c>
      <c r="B1248">
        <f>Skills!B2</f>
        <v/>
      </c>
      <c r="C1248">
        <f>Inputs!$B$3&gt;=100</f>
        <v/>
      </c>
      <c r="D1248" t="inlineStr"/>
      <c r="E1248" t="inlineStr"/>
      <c r="F1248">
        <f>U1250+Skills!O2</f>
        <v/>
      </c>
      <c r="G1248">
        <f>Skills!G2*IF(Skills!H2&gt;0,Skills!I2/Skills!H2,1)</f>
        <v/>
      </c>
      <c r="H1248">
        <f>1-(1-Skills!J2/100)^Skills!K2</f>
        <v/>
      </c>
      <c r="I1248" t="inlineStr">
        <is>
          <t>1</t>
        </is>
      </c>
      <c r="J1248">
        <f>((Inputs!$B$6*(1+Inputs!$B$7/100))+(((Inputs!$B$12*(1+Inputs!$B$13/100))-(Inputs!$B$12*(1+Inputs!$B$13/100)))+0.25*(Inputs!$B$14-Inputs!$B$14))*(1+Inputs!$B$7/100))*(F1248/100)</f>
        <v/>
      </c>
      <c r="K1248">
        <f>J1248*(1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1248)</f>
        <v/>
      </c>
      <c r="L1248">
        <f>K1248*(MIN(Inputs!$B$22+((C1271=TRUE)*(F1271-Calc!F25)),(Inputs!$B$23+((C1276=TRUE)*(F1276-Calc!F30))+(IF(ArtifactsInput!$M$15,CHOOSE(ArtifactsInput!$N$15+1,25,30,35,40,45,50)/100*(Inputs!$B$11-Inputs!$B$11),0))))/100+(Inputs!$B$23+((C1276=TRUE)*(F1276-Calc!F30))+(IF(ArtifactsInput!$M$15,CHOOSE(ArtifactsInput!$N$15+1,25,30,35,40,45,50)/100*(Inputs!$B$11-Inputs!$B$11),0)))/100)/2</f>
        <v/>
      </c>
      <c r="M1248">
        <f>L1248*(1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8">
        <f>L1248*(1-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1248*(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8">
        <f>(1-Summary!$B$11)*T1248+Summary!$B$11*V1248</f>
        <v/>
      </c>
      <c r="P1248">
        <f>IF(B1290=0,0,O1248/B1290)</f>
        <v/>
      </c>
      <c r="Q1248" t="n">
        <v>0</v>
      </c>
      <c r="R1248" t="n">
        <v>0</v>
      </c>
      <c r="S1248">
        <f>IFERROR(O1248/N1248,0)</f>
        <v/>
      </c>
      <c r="T1248">
        <f>IF(C1248,(Skills!G2*N1248*B1284)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1248*(1-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1248*(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1248*(1-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1248*(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8">
        <f>MAX(0,(Inputs!$B$3-100)*3)+Inputs!$B$28+Inputs!$B$29</f>
        <v/>
      </c>
      <c r="V1248">
        <f>IF(C1248,(Skills!G2*N1248*B1284)*IF(Inputs!$B$38="pvp",1,(1+(Inputs!$B$21+Skills!Q2+(IF(ArtifactsInput!$M$33,CHOOSE(ArtifactsInput!$N$33+1,30,36,42,48,54,60),0))+(IF(AND(ArtifactsInput!$M$35,Inputs!$B$4&lt;&gt;"Chapter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9">
      <c r="A1249">
        <f>Skills!A3</f>
        <v/>
      </c>
      <c r="B1249">
        <f>Skills!B3</f>
        <v/>
      </c>
      <c r="C1249">
        <f>Inputs!$B$3&gt;=50</f>
        <v/>
      </c>
      <c r="D1249">
        <f>IF(Skills!C3=1,60+Inputs!$B$25+Inputs!$B$29,IF(Skills!C3=2,90+Inputs!$B$26+Inputs!$B$29,IF(Skills!C3=3,120+Inputs!$B$27+Inputs!$B$29,MAX(0,(Inputs!$B$3-100)*3)+Inputs!$B$28+Inputs!$B$29)))</f>
        <v/>
      </c>
      <c r="E1249">
        <f>INDEX(FactorTable!$B$2:$Y$301, MATCH(ROUND(MIN(300,MAX(1,D1249)),0), FactorTable!$A$2:$A$301,0), Skills!M3+1)</f>
        <v/>
      </c>
      <c r="F1249">
        <f>IF(Skills!N3=TRUE,(Skills!L3/10)*(E1249/1000),Skills!L3/10)+Skills!O3</f>
        <v/>
      </c>
      <c r="G1249">
        <f>Skills!G3*IF(Skills!H3&gt;0,Skills!I3/Skills!H3,1)</f>
        <v/>
      </c>
      <c r="H1249">
        <f>1-(1-Skills!J3/100)^Skills!K3</f>
        <v/>
      </c>
      <c r="I1249" t="inlineStr">
        <is>
          <t>1</t>
        </is>
      </c>
      <c r="J1249">
        <f>((Inputs!$B$6*(1+Inputs!$B$7/100))+(((Inputs!$B$12*(1+Inputs!$B$13/100))-(Inputs!$B$12*(1+Inputs!$B$13/100)))+0.25*(Inputs!$B$14-Inputs!$B$14))*(1+Inputs!$B$7/100))*(F1249/100)</f>
        <v/>
      </c>
      <c r="K1249">
        <f>J1249*(1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1250=TRUE,F1250,0)/100)*(1+(IF(Skills!A3="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1249)</f>
        <v/>
      </c>
      <c r="L1249">
        <f>K1249*(MIN(Inputs!$B$22+((C1271=TRUE)*(F1271-Calc!F25)),(Inputs!$B$23+((C1276=TRUE)*(F1276-Calc!F30))+(IF(ArtifactsInput!$M$15,CHOOSE(ArtifactsInput!$N$15+1,25,30,35,40,45,50)/100*(Inputs!$B$11-Inputs!$B$11),0))))/100+(Inputs!$B$23+((C1276=TRUE)*(F1276-Calc!F30))+(IF(ArtifactsInput!$M$15,CHOOSE(ArtifactsInput!$N$15+1,25,30,35,40,45,50)/100*(Inputs!$B$11-Inputs!$B$11),0)))/100)/2</f>
        <v/>
      </c>
      <c r="M1249">
        <f>L1249*(1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9">
        <f>L1249*(1-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1249*(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9">
        <f>(1-Summary!$B$11)*T1249+Summary!$B$11*V1249</f>
        <v/>
      </c>
      <c r="P1249">
        <f>IF(B1290=0,0,O1249/B1290)</f>
        <v/>
      </c>
      <c r="Q1249">
        <f>IFERROR(1/(IF(Inputs!$B$38="pvp",15,MAX(0.1,Skills!D3-IF(Skills!E3=TRUE,Inputs!$B$32,0)))*(1-IF(AND(ArtifactsInput!$M$27,Inputs!$B$4="Chapter Hunt"),CHOOSE(ArtifactsInput!$N$27+1,20,24,28,32,36,40),0)/100)),0)</f>
        <v/>
      </c>
      <c r="R1249">
        <f>IF(AND(Inputs!$B$38&lt;&gt;"pvp",Inputs!$B$43&gt;0),IF(MAX(0,Inputs!$B$43-B1287)&lt;=0,0,(INT(MAX(0,Inputs!$B$43-B1287)/(IF(Inputs!$B$38="pvp",15,MAX(0.1,Skills!D3-IF(Skills!E3=TRUE,Inputs!$B$32,0)))*(1-IF(AND(ArtifactsInput!$M$27,Inputs!$B$4="Chapter Hunt"),CHOOSE(ArtifactsInput!$N$27+1,20,24,28,32,36,40),0)/100)))+1)),0)</f>
        <v/>
      </c>
      <c r="S1249">
        <f>IFERROR(O1249/N1249,0)</f>
        <v/>
      </c>
      <c r="T1249">
        <f>IF(C1249,(H1249*N1249*IF(AND(Inputs!$B$38&lt;&gt;"pvp",Inputs!$B$43&gt;0),((Skills!G3*((R1249-1)*IF(Skills!H3&gt;0,Skills!I3/Skills!H3,1)+IF(Skills!H3&gt;0,MIN(Skills!I3,MAX(0,MAX(0,Inputs!$B$43-B1287)-((R1249-1)*(IF(Inputs!$B$38="pvp",15,MAX(0.1,Skills!D3-IF(Skills!E3=TRUE,Inputs!$B$32,0)))*(1-IF(AND(ArtifactsInput!$M$27,Inputs!$B$4="Chapter Hunt"),CHOOSE(ArtifactsInput!$N$27+1,20,24,28,32,36,40),0)/100)))))/Skills!H3,1)))/Inputs!$B$43),G1249*Q1249))*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1249*(1-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1249*(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1249*(1-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1249*(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9">
        <f>INDEX(FactorTable!$B$2:$Y$301, MATCH(ROUND(MIN(300,MAX(1,U1248)),0), FactorTable!$A$2:$A$301,0), 22)</f>
        <v/>
      </c>
      <c r="V1249">
        <f>IF(C1249,(H1249*N1249*IF(AND(Inputs!$B$38&lt;&gt;"pvp",Inputs!$B$43&gt;0),((Skills!G3*((R1249-1)*IF(Skills!H3&gt;0,Skills!I3/Skills!H3,1)+IF(Skills!H3&gt;0,MIN(Skills!I3,MAX(0,MAX(0,Inputs!$B$43-B1287)-((R1249-1)*(IF(Inputs!$B$38="pvp",15,MAX(0.1,Skills!D3-IF(Skills!E3=TRUE,Inputs!$B$32,0)))*(1-IF(AND(ArtifactsInput!$M$27,Inputs!$B$4="Chapter Hunt"),CHOOSE(ArtifactsInput!$N$27+1,20,24,28,32,36,40),0)/100)))))/Skills!H3,1)))/Inputs!$B$43),G1249*Q1249))*IF(Inputs!$B$38="pvp",1,(1+(Inputs!$B$21+Skills!Q3+(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0">
      <c r="A1250">
        <f>Skills!A4</f>
        <v/>
      </c>
      <c r="B1250">
        <f>Skills!B4</f>
        <v/>
      </c>
      <c r="C1250">
        <f>Inputs!$B$3&gt;=105</f>
        <v/>
      </c>
      <c r="D1250">
        <f>IF(Skills!C4=1,60+Inputs!$B$25+Inputs!$B$29,IF(Skills!C4=2,90+Inputs!$B$26+Inputs!$B$29,IF(Skills!C4=3,120+Inputs!$B$27+Inputs!$B$29,MAX(0,(Inputs!$B$3-100)*3)+Inputs!$B$28+Inputs!$B$29)))</f>
        <v/>
      </c>
      <c r="E1250">
        <f>INDEX(FactorTable!$B$2:$Y$301, MATCH(ROUND(MIN(300,MAX(1,D1250)),0), FactorTable!$A$2:$A$301,0), Skills!M4+1)</f>
        <v/>
      </c>
      <c r="F1250">
        <f>IF(Skills!N4=TRUE,(Skills!L4/10)*(E1250/1000),Skills!L4/10)+Skills!O4</f>
        <v/>
      </c>
      <c r="G1250" t="inlineStr"/>
      <c r="H1250" t="inlineStr"/>
      <c r="I1250" t="inlineStr">
        <is>
          <t>1</t>
        </is>
      </c>
      <c r="J1250" t="inlineStr"/>
      <c r="K1250" t="inlineStr"/>
      <c r="L1250" t="inlineStr"/>
      <c r="M1250" t="inlineStr"/>
      <c r="N1250" t="inlineStr"/>
      <c r="O1250" t="inlineStr"/>
      <c r="P1250" t="inlineStr"/>
      <c r="Q1250" t="inlineStr"/>
      <c r="R1250" t="inlineStr"/>
      <c r="S1250" t="inlineStr"/>
      <c r="T1250" t="inlineStr"/>
      <c r="U1250">
        <f>290*U1249/1000</f>
        <v/>
      </c>
      <c r="V1250" t="inlineStr"/>
    </row>
    <row r="1251">
      <c r="A1251">
        <f>Skills!A5</f>
        <v/>
      </c>
      <c r="B1251">
        <f>Skills!B5</f>
        <v/>
      </c>
      <c r="C1251">
        <f>Inputs!$B$3&gt;=35</f>
        <v/>
      </c>
      <c r="D1251">
        <f>IF(Skills!C5=1,60+Inputs!$B$25+Inputs!$B$29,IF(Skills!C5=2,90+Inputs!$B$26+Inputs!$B$29,IF(Skills!C5=3,120+Inputs!$B$27+Inputs!$B$29,MAX(0,(Inputs!$B$3-100)*3)+Inputs!$B$28+Inputs!$B$29)))</f>
        <v/>
      </c>
      <c r="E1251">
        <f>INDEX(FactorTable!$B$2:$Y$301, MATCH(ROUND(MIN(300,MAX(1,D1251)),0), FactorTable!$A$2:$A$301,0), Skills!M5+1)</f>
        <v/>
      </c>
      <c r="F1251">
        <f>IF(Skills!N5=TRUE,(Skills!L5/10)*(E1251/1000),Skills!L5/10)+Skills!O5</f>
        <v/>
      </c>
      <c r="G1251">
        <f>Skills!G5*IF(Skills!H5&gt;0,Skills!I5/Skills!H5,1)</f>
        <v/>
      </c>
      <c r="H1251">
        <f>1-(1-Skills!J5/100)^Skills!K5</f>
        <v/>
      </c>
      <c r="I1251" t="inlineStr">
        <is>
          <t>1</t>
        </is>
      </c>
      <c r="J1251">
        <f>((Inputs!$B$6*(1+Inputs!$B$7/100))+(((Inputs!$B$12*(1+Inputs!$B$13/100))-(Inputs!$B$12*(1+Inputs!$B$13/100)))+0.25*(Inputs!$B$14-Inputs!$B$14))*(1+Inputs!$B$7/100))*(F1251/100)</f>
        <v/>
      </c>
      <c r="K1251">
        <f>J1251*(1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1257=TRUE,F1257,0)/100)*(1+(IF(Skills!A5="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1251)</f>
        <v/>
      </c>
      <c r="L1251">
        <f>K1251*(MIN(Inputs!$B$22+((C1271=TRUE)*(F1271-Calc!F25)),(Inputs!$B$23+((C1276=TRUE)*(F1276-Calc!F30))+(IF(ArtifactsInput!$M$15,CHOOSE(ArtifactsInput!$N$15+1,25,30,35,40,45,50)/100*(Inputs!$B$11-Inputs!$B$11),0))))/100+(Inputs!$B$23+((C1276=TRUE)*(F1276-Calc!F30))+(IF(ArtifactsInput!$M$15,CHOOSE(ArtifactsInput!$N$15+1,25,30,35,40,45,50)/100*(Inputs!$B$11-Inputs!$B$11),0)))/100)/2</f>
        <v/>
      </c>
      <c r="M1251">
        <f>L1251*(1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1">
        <f>L1251*(1-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1">
        <f>(1-Summary!$B$11)*T1251+Summary!$B$11*V1251</f>
        <v/>
      </c>
      <c r="P1251">
        <f>IF(B1290=0,0,O1251/B1290)</f>
        <v/>
      </c>
      <c r="Q1251">
        <f>IFERROR(1/(IF(Inputs!$B$38="pvp",15,MAX(0.1,Skills!D5-IF(Skills!E5=TRUE,Inputs!$B$32,0)))*(1-IF(AND(ArtifactsInput!$M$27,Inputs!$B$4="Chapter Hunt"),CHOOSE(ArtifactsInput!$N$27+1,20,24,28,32,36,40),0)/100)),0)</f>
        <v/>
      </c>
      <c r="R1251">
        <f>IF(AND(Inputs!$B$38&lt;&gt;"pvp",Inputs!$B$43&gt;0),IF(MAX(0,Inputs!$B$43-B1287)&lt;=0,0,(INT(MAX(0,Inputs!$B$43-B1287)/(IF(Inputs!$B$38="pvp",15,MAX(0.1,Skills!D5-IF(Skills!E5=TRUE,Inputs!$B$32,0)))*(1-IF(AND(ArtifactsInput!$M$27,Inputs!$B$4="Chapter Hunt"),CHOOSE(ArtifactsInput!$N$27+1,20,24,28,32,36,40),0)/100)))+1)),0)</f>
        <v/>
      </c>
      <c r="S1251">
        <f>IFERROR(O1251/N1251,0)</f>
        <v/>
      </c>
      <c r="T1251">
        <f>IF(C1251,(H1251*N1251*IF(AND(Inputs!$B$38&lt;&gt;"pvp",Inputs!$B$43&gt;0),((Skills!G5*((R1251-1)*IF(Skills!H5&gt;0,Skills!I5/Skills!H5,1)+IF(Skills!H5&gt;0,MIN(Skills!I5,MAX(0,MAX(0,Inputs!$B$43-B1287)-((R1251-1)*(IF(Inputs!$B$38="pvp",15,MAX(0.1,Skills!D5-IF(Skills!E5=TRUE,Inputs!$B$32,0)))*(1-IF(AND(ArtifactsInput!$M$27,Inputs!$B$4="Chapter Hunt"),CHOOSE(ArtifactsInput!$N$27+1,20,24,28,32,36,40),0)/100)))))/Skills!H5,1)))/Inputs!$B$43),G1251*Q1251)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1251*(1-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1">
        <f>IF(C1251,(H1251*N1251*IF(AND(Inputs!$B$38&lt;&gt;"pvp",Inputs!$B$43&gt;0),((Skills!G5*((R1251-1)*IF(Skills!H5&gt;0,Skills!I5/Skills!H5,1)+IF(Skills!H5&gt;0,MIN(Skills!I5,MAX(0,MAX(0,Inputs!$B$43-B1287)-((R1251-1)*(IF(Inputs!$B$38="pvp",15,MAX(0.1,Skills!D5-IF(Skills!E5=TRUE,Inputs!$B$32,0)))*(1-IF(AND(ArtifactsInput!$M$27,Inputs!$B$4="Chapter Hunt"),CHOOSE(ArtifactsInput!$N$27+1,20,24,28,32,36,40),0)/100)))))/Skills!H5,1)))/Inputs!$B$43),G1251*Q1251))*IF(Inputs!$B$38="pvp",1,(1+(Inputs!$B$21+Skills!Q5+(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2">
      <c r="A1252">
        <f>Skills!A6</f>
        <v/>
      </c>
      <c r="B1252">
        <f>Skills!B6</f>
        <v/>
      </c>
      <c r="C1252">
        <f>Inputs!$B$3&gt;=40</f>
        <v/>
      </c>
      <c r="D1252">
        <f>IF(Skills!C6=1,60+Inputs!$B$25+Inputs!$B$29,IF(Skills!C6=2,90+Inputs!$B$26+Inputs!$B$29,IF(Skills!C6=3,120+Inputs!$B$27+Inputs!$B$29,MAX(0,(Inputs!$B$3-100)*3)+Inputs!$B$28+Inputs!$B$29)))</f>
        <v/>
      </c>
      <c r="E1252">
        <f>INDEX(FactorTable!$B$2:$Y$301, MATCH(ROUND(MIN(300,MAX(1,D1252)),0), FactorTable!$A$2:$A$301,0), Skills!M6+1)</f>
        <v/>
      </c>
      <c r="F1252">
        <f>IF(Skills!N6=TRUE,(Skills!L6/10)*(E1252/1000),Skills!L6/10)+Skills!O6</f>
        <v/>
      </c>
      <c r="G1252">
        <f>Skills!G6*IF(Skills!H6&gt;0,Skills!I6/Skills!H6,1)</f>
        <v/>
      </c>
      <c r="H1252">
        <f>1-(1-Skills!J6/100)^Skills!K6</f>
        <v/>
      </c>
      <c r="I1252" t="inlineStr">
        <is>
          <t>1</t>
        </is>
      </c>
      <c r="J1252">
        <f>((Inputs!$B$6*(1+Inputs!$B$7/100))+(((Inputs!$B$12*(1+Inputs!$B$13/100))-(Inputs!$B$12*(1+Inputs!$B$13/100)))+0.25*(Inputs!$B$14-Inputs!$B$14))*(1+Inputs!$B$7/100))*(F1252/100)</f>
        <v/>
      </c>
      <c r="K1252">
        <f>J1252*(1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1253=TRUE,F1253,0)/100)*(1+(IF(Skills!A6="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1252)</f>
        <v/>
      </c>
      <c r="L1252">
        <f>K1252*(MIN(Inputs!$B$22+((C1271=TRUE)*(F1271-Calc!F25)),(Inputs!$B$23+((C1276=TRUE)*(F1276-Calc!F30))+(IF(ArtifactsInput!$M$15,CHOOSE(ArtifactsInput!$N$15+1,25,30,35,40,45,50)/100*(Inputs!$B$11-Inputs!$B$11),0))))/100+(Inputs!$B$23+((C1276=TRUE)*(F1276-Calc!F30))+(IF(ArtifactsInput!$M$15,CHOOSE(ArtifactsInput!$N$15+1,25,30,35,40,45,50)/100*(Inputs!$B$11-Inputs!$B$11),0)))/100)/2</f>
        <v/>
      </c>
      <c r="M1252">
        <f>L1252*(1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2">
        <f>L1252*(1-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1252*(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2">
        <f>(1-Summary!$B$11)*T1252+Summary!$B$11*V1252</f>
        <v/>
      </c>
      <c r="P1252">
        <f>IF(B1290=0,0,O1252/B1290)</f>
        <v/>
      </c>
      <c r="Q1252">
        <f>IFERROR(1/(IF(Inputs!$B$38="pvp",15,MAX(0.1,Skills!D6-IF(Skills!E6=TRUE,Inputs!$B$32,0)))*(1-IF(AND(ArtifactsInput!$M$27,Inputs!$B$4="Chapter Hunt"),CHOOSE(ArtifactsInput!$N$27+1,20,24,28,32,36,40),0)/100)),0)</f>
        <v/>
      </c>
      <c r="R1252">
        <f>IF(AND(Inputs!$B$38&lt;&gt;"pvp",Inputs!$B$43&gt;0),IF(MAX(0,Inputs!$B$43-B1287)&lt;=0,0,(INT(MAX(0,Inputs!$B$43-B1287)/(IF(Inputs!$B$38="pvp",15,MAX(0.1,Skills!D6-IF(Skills!E6=TRUE,Inputs!$B$32,0)))*(1-IF(AND(ArtifactsInput!$M$27,Inputs!$B$4="Chapter Hunt"),CHOOSE(ArtifactsInput!$N$27+1,20,24,28,32,36,40),0)/100)))+1)),0)</f>
        <v/>
      </c>
      <c r="S1252">
        <f>IFERROR(O1252/N1252,0)</f>
        <v/>
      </c>
      <c r="T1252">
        <f>IF(C1252,(H1252*N1252*IF(AND(Inputs!$B$38&lt;&gt;"pvp",Inputs!$B$43&gt;0),((Skills!G6*((R1252-1)*IF(Skills!H6&gt;0,Skills!I6/Skills!H6,1)+IF(Skills!H6&gt;0,MIN(Skills!I6,MAX(0,MAX(0,Inputs!$B$43-B1287)-((R1252-1)*(IF(Inputs!$B$38="pvp",15,MAX(0.1,Skills!D6-IF(Skills!E6=TRUE,Inputs!$B$32,0)))*(1-IF(AND(ArtifactsInput!$M$27,Inputs!$B$4="Chapter Hunt"),CHOOSE(ArtifactsInput!$N$27+1,20,24,28,32,36,40),0)/100)))))/Skills!H6,1)))/Inputs!$B$43),G1252*Q1252)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1252*(1-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1252*(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1252*(1-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1252*(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2">
        <f>IF(C1252,(H1252*N1252*IF(AND(Inputs!$B$38&lt;&gt;"pvp",Inputs!$B$43&gt;0),((Skills!G6*((R1252-1)*IF(Skills!H6&gt;0,Skills!I6/Skills!H6,1)+IF(Skills!H6&gt;0,MIN(Skills!I6,MAX(0,MAX(0,Inputs!$B$43-B1287)-((R1252-1)*(IF(Inputs!$B$38="pvp",15,MAX(0.1,Skills!D6-IF(Skills!E6=TRUE,Inputs!$B$32,0)))*(1-IF(AND(ArtifactsInput!$M$27,Inputs!$B$4="Chapter Hunt"),CHOOSE(ArtifactsInput!$N$27+1,20,24,28,32,36,40),0)/100)))))/Skills!H6,1)))/Inputs!$B$43),G1252*Q1252))*IF(Inputs!$B$38="pvp",1,(1+(Inputs!$B$21+Skills!Q6+(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3">
      <c r="A1253">
        <f>Skills!A7</f>
        <v/>
      </c>
      <c r="B1253">
        <f>Skills!B7</f>
        <v/>
      </c>
      <c r="C1253">
        <f>Inputs!$B$3&gt;=107</f>
        <v/>
      </c>
      <c r="D1253">
        <f>IF(Skills!C7=1,60+Inputs!$B$25+Inputs!$B$29,IF(Skills!C7=2,90+Inputs!$B$26+Inputs!$B$29,IF(Skills!C7=3,120+Inputs!$B$27+Inputs!$B$29,MAX(0,(Inputs!$B$3-100)*3)+Inputs!$B$28+Inputs!$B$29)))</f>
        <v/>
      </c>
      <c r="E1253">
        <f>INDEX(FactorTable!$B$2:$Y$301, MATCH(ROUND(MIN(300,MAX(1,D1253)),0), FactorTable!$A$2:$A$301,0), Skills!M7+1)</f>
        <v/>
      </c>
      <c r="F1253">
        <f>IF(Skills!N7=TRUE,(Skills!L7/10)*(E1253/1000),Skills!L7/10)+Skills!O7</f>
        <v/>
      </c>
      <c r="G1253" t="inlineStr"/>
      <c r="H1253" t="inlineStr"/>
      <c r="I1253" t="inlineStr">
        <is>
          <t>1</t>
        </is>
      </c>
      <c r="J1253" t="inlineStr"/>
      <c r="K1253" t="inlineStr"/>
      <c r="L1253" t="inlineStr"/>
      <c r="M1253" t="inlineStr"/>
      <c r="N1253" t="inlineStr"/>
      <c r="O1253" t="inlineStr"/>
      <c r="P1253" t="inlineStr"/>
      <c r="Q1253" t="inlineStr"/>
      <c r="R1253" t="inlineStr"/>
      <c r="S1253" t="inlineStr"/>
      <c r="T1253" t="inlineStr"/>
      <c r="V1253" t="inlineStr"/>
    </row>
    <row r="1254">
      <c r="A1254">
        <f>Skills!A8</f>
        <v/>
      </c>
      <c r="B1254">
        <f>Skills!B8</f>
        <v/>
      </c>
      <c r="C1254">
        <f>Inputs!$B$3&gt;=69</f>
        <v/>
      </c>
      <c r="D1254">
        <f>IF(Skills!C8=1,60+Inputs!$B$25+Inputs!$B$29,IF(Skills!C8=2,90+Inputs!$B$26+Inputs!$B$29,IF(Skills!C8=3,120+Inputs!$B$27+Inputs!$B$29,MAX(0,(Inputs!$B$3-100)*3)+Inputs!$B$28+Inputs!$B$29)))</f>
        <v/>
      </c>
      <c r="E1254">
        <f>INDEX(FactorTable!$B$2:$Y$301, MATCH(ROUND(MIN(300,MAX(1,D1254)),0), FactorTable!$A$2:$A$301,0), Skills!M8+1)</f>
        <v/>
      </c>
      <c r="F1254">
        <f>IF(Skills!N8=TRUE,(Skills!L8/10)*(E1254/1000),Skills!L8/10)+Skills!O8</f>
        <v/>
      </c>
      <c r="G1254">
        <f>Skills!G8*IF(Skills!H8&gt;0,Skills!I8/Skills!H8,1)</f>
        <v/>
      </c>
      <c r="H1254">
        <f>1-(1-Skills!J8/100)^Skills!K8</f>
        <v/>
      </c>
      <c r="I1254" t="inlineStr">
        <is>
          <t>1</t>
        </is>
      </c>
      <c r="J1254">
        <f>((Inputs!$B$6*(1+Inputs!$B$7/100))+(((Inputs!$B$12*(1+Inputs!$B$13/100))-(Inputs!$B$12*(1+Inputs!$B$13/100)))+0.25*(Inputs!$B$14-Inputs!$B$14))*(1+Inputs!$B$7/100))*(F1254/100)</f>
        <v/>
      </c>
      <c r="K1254">
        <f>J1254*(1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1257=TRUE,F1257,0)/100)*(1+(IF(Skills!A8="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1254)</f>
        <v/>
      </c>
      <c r="L1254">
        <f>K1254*(MIN(Inputs!$B$22+((C1271=TRUE)*(F1271-Calc!F25)),(Inputs!$B$23+((C1276=TRUE)*(F1276-Calc!F30))+(IF(ArtifactsInput!$M$15,CHOOSE(ArtifactsInput!$N$15+1,25,30,35,40,45,50)/100*(Inputs!$B$11-Inputs!$B$11),0))))/100+(Inputs!$B$23+((C1276=TRUE)*(F1276-Calc!F30))+(IF(ArtifactsInput!$M$15,CHOOSE(ArtifactsInput!$N$15+1,25,30,35,40,45,50)/100*(Inputs!$B$11-Inputs!$B$11),0)))/100)/2</f>
        <v/>
      </c>
      <c r="M1254">
        <f>L1254*(1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4">
        <f>L1254*(1-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1254*(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4">
        <f>(1-Summary!$B$11)*T1254+Summary!$B$11*V1254</f>
        <v/>
      </c>
      <c r="P1254">
        <f>IF(B1290=0,0,O1254/B1290)</f>
        <v/>
      </c>
      <c r="Q1254">
        <f>IFERROR(1/(IF(Inputs!$B$38="pvp",15,MAX(0.1,Skills!D8-IF(Skills!E8=TRUE,Inputs!$B$32,0)))*(1-IF(AND(ArtifactsInput!$M$27,Inputs!$B$4="Chapter Hunt"),CHOOSE(ArtifactsInput!$N$27+1,20,24,28,32,36,40),0)/100)),0)</f>
        <v/>
      </c>
      <c r="R1254">
        <f>IF(AND(Inputs!$B$38&lt;&gt;"pvp",Inputs!$B$43&gt;0),IF(MAX(0,Inputs!$B$43-B1287)&lt;=0,0,(INT(MAX(0,Inputs!$B$43-B1287)/(IF(Inputs!$B$38="pvp",15,MAX(0.1,Skills!D8-IF(Skills!E8=TRUE,Inputs!$B$32,0)))*(1-IF(AND(ArtifactsInput!$M$27,Inputs!$B$4="Chapter Hunt"),CHOOSE(ArtifactsInput!$N$27+1,20,24,28,32,36,40),0)/100)))+1)),0)</f>
        <v/>
      </c>
      <c r="S1254">
        <f>IFERROR(O1254/N1254,0)</f>
        <v/>
      </c>
      <c r="T1254">
        <f>IF(C1254,(H1254*N1254*IF(AND(Inputs!$B$38&lt;&gt;"pvp",Inputs!$B$43&gt;0),((Skills!G8*((R1254-1)*IF(Skills!H8&gt;0,Skills!I8/Skills!H8,1)+IF(Skills!H8&gt;0,MIN(Skills!I8,MAX(0,MAX(0,Inputs!$B$43-B1287)-((R1254-1)*(IF(Inputs!$B$38="pvp",15,MAX(0.1,Skills!D8-IF(Skills!E8=TRUE,Inputs!$B$32,0)))*(1-IF(AND(ArtifactsInput!$M$27,Inputs!$B$4="Chapter Hunt"),CHOOSE(ArtifactsInput!$N$27+1,20,24,28,32,36,40),0)/100)))))/Skills!H8,1)))/Inputs!$B$43),G1254*Q1254)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1254*(1-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1254*(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1254*(1-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1254*(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4">
        <f>IF(C1254,(H1254*N1254*IF(AND(Inputs!$B$38&lt;&gt;"pvp",Inputs!$B$43&gt;0),((Skills!G8*((R1254-1)*IF(Skills!H8&gt;0,Skills!I8/Skills!H8,1)+IF(Skills!H8&gt;0,MIN(Skills!I8,MAX(0,MAX(0,Inputs!$B$43-B1287)-((R1254-1)*(IF(Inputs!$B$38="pvp",15,MAX(0.1,Skills!D8-IF(Skills!E8=TRUE,Inputs!$B$32,0)))*(1-IF(AND(ArtifactsInput!$M$27,Inputs!$B$4="Chapter Hunt"),CHOOSE(ArtifactsInput!$N$27+1,20,24,28,32,36,40),0)/100)))))/Skills!H8,1)))/Inputs!$B$43),G1254*Q1254))*IF(Inputs!$B$38="pvp",1,(1+(Inputs!$B$21+Skills!Q8+(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5">
      <c r="A1255">
        <f>Skills!A9</f>
        <v/>
      </c>
      <c r="B1255">
        <f>Skills!B9</f>
        <v/>
      </c>
      <c r="C1255">
        <f>Inputs!$B$3&gt;=63</f>
        <v/>
      </c>
      <c r="D1255">
        <f>IF(Skills!C9=1,60+Inputs!$B$25+Inputs!$B$29,IF(Skills!C9=2,90+Inputs!$B$26+Inputs!$B$29,IF(Skills!C9=3,120+Inputs!$B$27+Inputs!$B$29,MAX(0,(Inputs!$B$3-100)*3)+Inputs!$B$28+Inputs!$B$29)))</f>
        <v/>
      </c>
      <c r="E1255">
        <f>INDEX(FactorTable!$B$2:$Y$301, MATCH(ROUND(MIN(300,MAX(1,D1255)),0), FactorTable!$A$2:$A$301,0), Skills!M9+1)</f>
        <v/>
      </c>
      <c r="F1255">
        <f>IF(Skills!N9=TRUE,(Skills!L9/10)*(E1255/1000),Skills!L9/10)+Skills!O9</f>
        <v/>
      </c>
      <c r="G1255">
        <f>Skills!G9*IF(Skills!H9&gt;0,Skills!I9/Skills!H9,1)</f>
        <v/>
      </c>
      <c r="H1255">
        <f>1-(1-Skills!J9/100)^Skills!K9</f>
        <v/>
      </c>
      <c r="I1255" t="inlineStr">
        <is>
          <t>1</t>
        </is>
      </c>
      <c r="J1255">
        <f>((Inputs!$B$6*(1+Inputs!$B$7/100))+(((Inputs!$B$12*(1+Inputs!$B$13/100))-(Inputs!$B$12*(1+Inputs!$B$13/100)))+0.25*(Inputs!$B$14-Inputs!$B$14))*(1+Inputs!$B$7/100))*(F1255/100)</f>
        <v/>
      </c>
      <c r="K1255">
        <f>J1255*(1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1257=TRUE,F1257,0)/100)*(1+(IF(Skills!A9="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1255)</f>
        <v/>
      </c>
      <c r="L1255">
        <f>K1255*(MIN(Inputs!$B$22+((C1271=TRUE)*(F1271-Calc!F25)),(Inputs!$B$23+((C1276=TRUE)*(F1276-Calc!F30))+(IF(ArtifactsInput!$M$15,CHOOSE(ArtifactsInput!$N$15+1,25,30,35,40,45,50)/100*(Inputs!$B$11-Inputs!$B$11),0))))/100+(Inputs!$B$23+((C1276=TRUE)*(F1276-Calc!F30))+(IF(ArtifactsInput!$M$15,CHOOSE(ArtifactsInput!$N$15+1,25,30,35,40,45,50)/100*(Inputs!$B$11-Inputs!$B$11),0)))/100)/2</f>
        <v/>
      </c>
      <c r="M1255">
        <f>L1255*(1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5">
        <f>L1255*(1-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1255*(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5">
        <f>(1-Summary!$B$11)*T1255+Summary!$B$11*V1255</f>
        <v/>
      </c>
      <c r="P1255">
        <f>IF(B1290=0,0,O1255/B1290)</f>
        <v/>
      </c>
      <c r="Q1255">
        <f>IFERROR(1/(IF(Inputs!$B$38="pvp",15,MAX(0.1,Skills!D9-IF(Skills!E9=TRUE,Inputs!$B$32,0)))*(1-IF(AND(ArtifactsInput!$M$27,Inputs!$B$4="Chapter Hunt"),CHOOSE(ArtifactsInput!$N$27+1,20,24,28,32,36,40),0)/100)),0)</f>
        <v/>
      </c>
      <c r="R1255">
        <f>IF(AND(Inputs!$B$38&lt;&gt;"pvp",Inputs!$B$43&gt;0),IF(MAX(0,Inputs!$B$43-B1287)&lt;=0,0,(INT(MAX(0,Inputs!$B$43-B1287)/(IF(Inputs!$B$38="pvp",15,MAX(0.1,Skills!D9-IF(Skills!E9=TRUE,Inputs!$B$32,0)))*(1-IF(AND(ArtifactsInput!$M$27,Inputs!$B$4="Chapter Hunt"),CHOOSE(ArtifactsInput!$N$27+1,20,24,28,32,36,40),0)/100)))+1)),0)</f>
        <v/>
      </c>
      <c r="S1255">
        <f>IFERROR(O1255/N1255,0)</f>
        <v/>
      </c>
      <c r="T1255">
        <f>IF(C1255,(H1255*N1255*IF(AND(Inputs!$B$38&lt;&gt;"pvp",Inputs!$B$43&gt;0),((Skills!G9*((R1255-1)*IF(Skills!H9&gt;0,Skills!I9/Skills!H9,1)+IF(Skills!H9&gt;0,MIN(Skills!I9,MAX(0,MAX(0,Inputs!$B$43-B1287)-((R1255-1)*(IF(Inputs!$B$38="pvp",15,MAX(0.1,Skills!D9-IF(Skills!E9=TRUE,Inputs!$B$32,0)))*(1-IF(AND(ArtifactsInput!$M$27,Inputs!$B$4="Chapter Hunt"),CHOOSE(ArtifactsInput!$N$27+1,20,24,28,32,36,40),0)/100)))))/Skills!H9,1)))/Inputs!$B$43),G1255*Q1255)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1255*(1-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1255*(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1255*(1-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1255*(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5">
        <f>IF(C1255,(H1255*N1255*IF(AND(Inputs!$B$38&lt;&gt;"pvp",Inputs!$B$43&gt;0),((Skills!G9*((R1255-1)*IF(Skills!H9&gt;0,Skills!I9/Skills!H9,1)+IF(Skills!H9&gt;0,MIN(Skills!I9,MAX(0,MAX(0,Inputs!$B$43-B1287)-((R1255-1)*(IF(Inputs!$B$38="pvp",15,MAX(0.1,Skills!D9-IF(Skills!E9=TRUE,Inputs!$B$32,0)))*(1-IF(AND(ArtifactsInput!$M$27,Inputs!$B$4="Chapter Hunt"),CHOOSE(ArtifactsInput!$N$27+1,20,24,28,32,36,40),0)/100)))))/Skills!H9,1)))/Inputs!$B$43),G1255*Q1255))*IF(Inputs!$B$38="pvp",1,(1+(Inputs!$B$21+Skills!Q9+(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6">
      <c r="A1256">
        <f>Skills!A10</f>
        <v/>
      </c>
      <c r="B1256">
        <f>Skills!B10</f>
        <v/>
      </c>
      <c r="C1256">
        <f>Inputs!$B$3&gt;=103</f>
        <v/>
      </c>
      <c r="D1256">
        <f>IF(Skills!C10=1,60+Inputs!$B$25+Inputs!$B$29,IF(Skills!C10=2,90+Inputs!$B$26+Inputs!$B$29,IF(Skills!C10=3,120+Inputs!$B$27+Inputs!$B$29,MAX(0,(Inputs!$B$3-100)*3)+Inputs!$B$28+Inputs!$B$29)))</f>
        <v/>
      </c>
      <c r="E1256">
        <f>INDEX(FactorTable!$B$2:$Y$301, MATCH(ROUND(MIN(300,MAX(1,D1256)),0), FactorTable!$A$2:$A$301,0), Skills!M10+1)</f>
        <v/>
      </c>
      <c r="F1256">
        <f>IF(Skills!N10=TRUE,(Skills!L10/10)*(E1256/1000),Skills!L10/10)+Skills!O10</f>
        <v/>
      </c>
      <c r="G1256">
        <f>Skills!G10*IF(Skills!H10&gt;0,Skills!I10/Skills!H10,1)</f>
        <v/>
      </c>
      <c r="H1256">
        <f>1-(1-Skills!J10/100)^Skills!K10</f>
        <v/>
      </c>
      <c r="I1256" t="inlineStr">
        <is>
          <t>1</t>
        </is>
      </c>
      <c r="J1256">
        <f>((Inputs!$B$6*(1+Inputs!$B$7/100))+(((Inputs!$B$12*(1+Inputs!$B$13/100))-(Inputs!$B$12*(1+Inputs!$B$13/100)))+0.25*(Inputs!$B$14-Inputs!$B$14))*(1+Inputs!$B$7/100))*(F1256/100)</f>
        <v/>
      </c>
      <c r="K1256">
        <f>J1256*(1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1256)</f>
        <v/>
      </c>
      <c r="L1256">
        <f>K1256*(MIN(Inputs!$B$22+((C1271=TRUE)*(F1271-Calc!F25)),(Inputs!$B$23+((C1276=TRUE)*(F1276-Calc!F30))+(IF(ArtifactsInput!$M$15,CHOOSE(ArtifactsInput!$N$15+1,25,30,35,40,45,50)/100*(Inputs!$B$11-Inputs!$B$11),0))))/100+(Inputs!$B$23+((C1276=TRUE)*(F1276-Calc!F30))+(IF(ArtifactsInput!$M$15,CHOOSE(ArtifactsInput!$N$15+1,25,30,35,40,45,50)/100*(Inputs!$B$11-Inputs!$B$11),0)))/100)/2</f>
        <v/>
      </c>
      <c r="M1256">
        <f>L1256*(1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6">
        <f>L1256*(1-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1256*(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6">
        <f>(1-Summary!$B$11)*T1256+Summary!$B$11*V1256</f>
        <v/>
      </c>
      <c r="P1256">
        <f>IF(B1290=0,0,O1256/B1290)</f>
        <v/>
      </c>
      <c r="Q1256">
        <f>IFERROR(1/(IF(Inputs!$B$38="pvp",15,MAX(0.1,Skills!D10-IF(Skills!E10=TRUE,Inputs!$B$32,0)))*(1-IF(AND(ArtifactsInput!$M$27,Inputs!$B$4="Chapter Hunt"),CHOOSE(ArtifactsInput!$N$27+1,20,24,28,32,36,40),0)/100)),0)</f>
        <v/>
      </c>
      <c r="R1256">
        <f>IF(AND(Inputs!$B$38&lt;&gt;"pvp",Inputs!$B$43&gt;0),IF(MAX(0,Inputs!$B$43-B1287)&lt;=0,0,(INT(MAX(0,Inputs!$B$43-B1287)/(IF(Inputs!$B$38="pvp",15,MAX(0.1,Skills!D10-IF(Skills!E10=TRUE,Inputs!$B$32,0)))*(1-IF(AND(ArtifactsInput!$M$27,Inputs!$B$4="Chapter Hunt"),CHOOSE(ArtifactsInput!$N$27+1,20,24,28,32,36,40),0)/100)))+1)),0)</f>
        <v/>
      </c>
      <c r="S1256">
        <f>IFERROR(O1256/N1256,0)</f>
        <v/>
      </c>
      <c r="T1256">
        <f>IF(C1256,(H1256*N1256*IF(AND(Inputs!$B$38&lt;&gt;"pvp",Inputs!$B$43&gt;0),((Skills!G10*((R1256-1)*IF(Skills!H10&gt;0,Skills!I10/Skills!H10,1)+IF(Skills!H10&gt;0,MIN(Skills!I10,MAX(0,MAX(0,Inputs!$B$43-B1287)-((R1256-1)*(IF(Inputs!$B$38="pvp",15,MAX(0.1,Skills!D10-IF(Skills!E10=TRUE,Inputs!$B$32,0)))*(1-IF(AND(ArtifactsInput!$M$27,Inputs!$B$4="Chapter Hunt"),CHOOSE(ArtifactsInput!$N$27+1,20,24,28,32,36,40),0)/100)))))/Skills!H10,1)))/Inputs!$B$43),G1256*Q1256)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1256*(1-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1256*(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1256*(1-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1256*(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6">
        <f>IF(C1256,(H1256*N1256*IF(AND(Inputs!$B$38&lt;&gt;"pvp",Inputs!$B$43&gt;0),((Skills!G10*((R1256-1)*IF(Skills!H10&gt;0,Skills!I10/Skills!H10,1)+IF(Skills!H10&gt;0,MIN(Skills!I10,MAX(0,MAX(0,Inputs!$B$43-B1287)-((R1256-1)*(IF(Inputs!$B$38="pvp",15,MAX(0.1,Skills!D10-IF(Skills!E10=TRUE,Inputs!$B$32,0)))*(1-IF(AND(ArtifactsInput!$M$27,Inputs!$B$4="Chapter Hunt"),CHOOSE(ArtifactsInput!$N$27+1,20,24,28,32,36,40),0)/100)))))/Skills!H10,1)))/Inputs!$B$43),G1256*Q1256))*IF(Inputs!$B$38="pvp",1,(1+(Inputs!$B$21+Skills!Q10+(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7">
      <c r="A1257">
        <f>Skills!A11</f>
        <v/>
      </c>
      <c r="B1257">
        <f>Skills!B11</f>
        <v/>
      </c>
      <c r="C1257">
        <f>Inputs!$B$3&gt;=100</f>
        <v/>
      </c>
      <c r="D1257">
        <f>IF(Skills!C11=1,60+Inputs!$B$25+Inputs!$B$29,IF(Skills!C11=2,90+Inputs!$B$26+Inputs!$B$29,IF(Skills!C11=3,120+Inputs!$B$27+Inputs!$B$29,MAX(0,(Inputs!$B$3-100)*3)+Inputs!$B$28+Inputs!$B$29)))</f>
        <v/>
      </c>
      <c r="E1257">
        <f>INDEX(FactorTable!$B$2:$Y$301, MATCH(ROUND(MIN(300,MAX(1,D1257)),0), FactorTable!$A$2:$A$301,0), Skills!M11+1)</f>
        <v/>
      </c>
      <c r="F1257">
        <f>IF(Skills!N11=TRUE,(Skills!L11/10)*(E1257/1000),Skills!L11/10)+Skills!O11</f>
        <v/>
      </c>
      <c r="G1257" t="inlineStr"/>
      <c r="H1257" t="inlineStr"/>
      <c r="I1257" t="inlineStr">
        <is>
          <t>1</t>
        </is>
      </c>
      <c r="J1257" t="inlineStr"/>
      <c r="K1257" t="inlineStr"/>
      <c r="L1257" t="inlineStr"/>
      <c r="M1257" t="inlineStr"/>
      <c r="N1257" t="inlineStr"/>
      <c r="O1257" t="inlineStr"/>
      <c r="P1257" t="inlineStr"/>
      <c r="Q1257" t="inlineStr"/>
      <c r="R1257" t="inlineStr"/>
      <c r="S1257" t="inlineStr"/>
      <c r="T1257" t="inlineStr"/>
      <c r="V1257" t="inlineStr"/>
    </row>
    <row r="1258">
      <c r="A1258">
        <f>Skills!A12</f>
        <v/>
      </c>
      <c r="B1258">
        <f>Skills!B12</f>
        <v/>
      </c>
      <c r="C1258">
        <f>Inputs!$B$3&gt;=60</f>
        <v/>
      </c>
      <c r="D1258">
        <f>IF(Skills!C12=1,60+Inputs!$B$25+Inputs!$B$29,IF(Skills!C12=2,90+Inputs!$B$26+Inputs!$B$29,IF(Skills!C12=3,120+Inputs!$B$27+Inputs!$B$29,MAX(0,(Inputs!$B$3-100)*3)+Inputs!$B$28+Inputs!$B$29)))</f>
        <v/>
      </c>
      <c r="E1258">
        <f>INDEX(FactorTable!$B$2:$Y$301, MATCH(ROUND(MIN(300,MAX(1,D1258)),0), FactorTable!$A$2:$A$301,0), Skills!M12+1)</f>
        <v/>
      </c>
      <c r="F1258">
        <f>IF(Skills!N12=TRUE,(Skills!L12/10)*(E1258/1000),Skills!L12/10)+Skills!O12</f>
        <v/>
      </c>
      <c r="G1258">
        <f>Skills!G12*IF(Skills!H12&gt;0,Skills!I12/Skills!H12,1)</f>
        <v/>
      </c>
      <c r="H1258">
        <f>1-(1-Skills!J12/100)^Skills!K12</f>
        <v/>
      </c>
      <c r="I1258" t="inlineStr">
        <is>
          <t>1</t>
        </is>
      </c>
      <c r="J1258">
        <f>((Inputs!$B$6*(1+Inputs!$B$7/100))+(((Inputs!$B$12*(1+Inputs!$B$13/100))-(Inputs!$B$12*(1+Inputs!$B$13/100)))+0.25*(Inputs!$B$14-Inputs!$B$14))*(1+Inputs!$B$7/100))*(F1258/100)</f>
        <v/>
      </c>
      <c r="K1258">
        <f>J1258*(1+((Inputs!$B$12*(1+Inputs!$B$13/100))*0.01+Inputs!$B$14*0.0025)/100)*(1+Inputs!$B$15/100)*(1+Inputs!$B$16/100)*(5000/(6000+Inputs!$B$42*(1-(100*(1-(1-(Inputs!$B$19+((C1274=TRUE)*(F1274-Calc!F28)))/100)*(1-CHOOSE(ArtifactsInput!$N$40+1,5,6,7,8,9,10)/100)^(ArtifactsInput!$M$40-ArtifactsInput!$M$40)))/100)))*(1+(Inputs!$B$24+((C1272=TRUE)*(F1272-Calc!F26))+((C1273=TRUE)*(F1273-Calc!F27))+B1286)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1259=TRUE,F1259,0)/100)*(1+(IF(Skills!A12="ARROW_STREAM",Inputs!$B$17+((C1270=TRUE)*(F1270-Calc!F24))+(((IF(AND(ArtifactsInput!$M$42,((Inputs!$B$9+((C1267=TRUE)*(F1267-Calc!F21))+B1280+(ArtifactsInput!$M$24-ArtifactsInput!$M$24)*CHOOSE(ArtifactsInput!$N$24+1,10,12,14,16,18,20)+IF(ArtifactsInput!$M$10,CHOOSE(ArtifactsInput!$N$10+1,15,18,21,24,27,30)*(IF(Inputs!$B$38="pvp",MIN(15,15)/15,IF(AND(Inputs!$B$38&lt;&gt;"pvp",Inputs!$B$43&gt;0),MIN(15,Inputs!$B$43)/(Inputs!$B$43),0))),0)))&gt;=100),MIN(100,((Inputs!$B$9+((C1267=TRUE)*(F1267-Calc!F21))+B1280+(ArtifactsInput!$M$24-ArtifactsInput!$M$24)*CHOOSE(ArtifactsInput!$N$24+1,10,12,14,16,18,20)+IF(ArtifactsInput!$M$10,CHOOSE(ArtifactsInput!$N$10+1,15,18,21,24,27,30)*(IF(Inputs!$B$38="pvp",MIN(15,15)/15,IF(AND(Inputs!$B$38&lt;&gt;"pvp",Inputs!$B$43&gt;0),MIN(15,Inputs!$B$43)/(Inputs!$B$43),0))),0)))-100),0))*CHOOSE(ArtifactsInput!$N$42+1,0.6,0.72,0.84,0.96,1.08,1.2))),Inputs!$B$18+((C1275=TRUE)*(F1275-Calc!F29))+(IF(AND(ArtifactsInput!$M$42,((Inputs!$B$9+((C1267=TRUE)*(F1267-Calc!F21))+B1280+(ArtifactsInput!$M$24-ArtifactsInput!$M$24)*CHOOSE(ArtifactsInput!$N$24+1,10,12,14,16,18,20)+IF(ArtifactsInput!$M$10,CHOOSE(ArtifactsInput!$N$10+1,15,18,21,24,27,30)*(IF(Inputs!$B$38="pvp",MIN(15,15)/15,IF(AND(Inputs!$B$38&lt;&gt;"pvp",Inputs!$B$43&gt;0),MIN(15,Inputs!$B$43)/(Inputs!$B$43),0))),0)))&gt;=100),CHOOSE(ArtifactsInput!$N$42+1,40,48,56,64,72,80),0))))/100)*((1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1258)</f>
        <v/>
      </c>
      <c r="L1258">
        <f>K1258*(MIN(Inputs!$B$22+((C1271=TRUE)*(F1271-Calc!F25)),(Inputs!$B$23+((C1276=TRUE)*(F1276-Calc!F30))+(IF(ArtifactsInput!$M$15,CHOOSE(ArtifactsInput!$N$15+1,25,30,35,40,45,50)/100*(Inputs!$B$11-Inputs!$B$11),0))))/100+(Inputs!$B$23+((C1276=TRUE)*(F1276-Calc!F30))+(IF(ArtifactsInput!$M$15,CHOOSE(ArtifactsInput!$N$15+1,25,30,35,40,45,50)/100*(Inputs!$B$11-Inputs!$B$11),0)))/100)/2</f>
        <v/>
      </c>
      <c r="M1258">
        <f>L1258*(1+(Inputs!$B$10+0+B1285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8">
        <f>L1258*(1-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1258*(MIN((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8">
        <f>(1-Summary!$B$11)*T1258+Summary!$B$11*V1258</f>
        <v/>
      </c>
      <c r="P1258">
        <f>IF(B1290=0,0,O1258/B1290)</f>
        <v/>
      </c>
      <c r="Q1258">
        <f>IFERROR(1/(IF(Inputs!$B$38="pvp",15,MAX(0.1,Skills!D12-IF(Skills!E12=TRUE,Inputs!$B$32,0)))*(1-IF(AND(ArtifactsInput!$M$27,Inputs!$B$4="Chapter Hunt"),CHOOSE(ArtifactsInput!$N$27+1,20,24,28,32,36,40),0)/100)),0)</f>
        <v/>
      </c>
      <c r="R1258">
        <f>IF(AND(Inputs!$B$38&lt;&gt;"pvp",Inputs!$B$43&gt;0),IF(MAX(0,Inputs!$B$43-B1287)&lt;=0,0,(INT(MAX(0,Inputs!$B$43-B1287)/(IF(Inputs!$B$38="pvp",15,MAX(0.1,Skills!D12-IF(Skills!E12=TRUE,Inputs!$B$32,0)))*(1-IF(AND(ArtifactsInput!$M$27,Inputs!$B$4="Chapter Hunt"),CHOOSE(ArtifactsInput!$N$27+1,20,24,28,32,36,40),0)/100)))+1)),0)</f>
        <v/>
      </c>
      <c r="S1258">
        <f>IFERROR(O1258/N1258,0)</f>
        <v/>
      </c>
      <c r="T1258">
        <f>IF(C1258,(H1258*N1258*IF(AND(Inputs!$B$38&lt;&gt;"pvp",Inputs!$B$43&gt;0),((Skills!G12*((R1258-1)*IF(Skills!H12&gt;0,Skills!I12/Skills!H12,1)+IF(Skills!H12&gt;0,MIN(Skills!I12,MAX(0,MAX(0,Inputs!$B$43-B1287)-((R1258-1)*(IF(Inputs!$B$38="pvp",15,MAX(0.1,Skills!D12-IF(Skills!E12=TRUE,Inputs!$B$32,0)))*(1-IF(AND(ArtifactsInput!$M$27,Inputs!$B$4="Chapter Hunt"),CHOOSE(ArtifactsInput!$N$27+1,20,24,28,32,36,40),0)/100)))))/Skills!H12,1)))/Inputs!$B$43),G1258*Q1258))*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(5000/(6000+Inputs!$B$42*(1-(100*(1-(1-(100*(1-(1-(Inputs!$B$19+((C1274=TRUE)*(F1274-Calc!F28)))/100)*(1-CHOOSE(ArtifactsInput!$N$40+1,5,6,7,8,9,10)/100)^(ArtifactsInput!$M$40-ArtifactsInput!$M$40)))/100)*(1-IF(ArtifactsInput!$M$40,CHOOSE(ArtifactsInput!$N$40+1,5,6,7,8,9,10),0)/100)^IF(Inputs!$B$38="pvp",1,2)))/100)))/(5000/(6000+Inputs!$B$42*(1-(100*(1-(1-(Inputs!$B$19+((C1274=TRUE)*(F1274-Calc!F28)))/100)*(1-CHOOSE(ArtifactsInput!$N$40+1,5,6,7,8,9,10)/100)^(ArtifactsInput!$M$40-ArtifactsInput!$M$40)))/100))))*((L1258*(1-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1258*(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1258*(1-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1258*(MIN(100,(Inputs!$B$9+((C1267=TRUE)*(F1267-Calc!F21))+B1280+(ArtifactsInput!$M$24-ArtifactsInput!$M$24)*CHOOSE(ArtifactsInput!$N$24+1,10,12,14,16,18,20)+(IF(AND(ArtifactsInput!$M$42,((Inputs!$B$9+((C1267=TRUE)*(F1267-Calc!F21))+B1280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8">
        <f>IF(C1258,(H1258*N1258*IF(AND(Inputs!$B$38&lt;&gt;"pvp",Inputs!$B$43&gt;0),((Skills!G12*((R1258-1)*IF(Skills!H12&gt;0,Skills!I12/Skills!H12,1)+IF(Skills!H12&gt;0,MIN(Skills!I12,MAX(0,MAX(0,Inputs!$B$43-B1287)-((R1258-1)*(IF(Inputs!$B$38="pvp",15,MAX(0.1,Skills!D12-IF(Skills!E12=TRUE,Inputs!$B$32,0)))*(1-IF(AND(ArtifactsInput!$M$27,Inputs!$B$4="Chapter Hunt"),CHOOSE(ArtifactsInput!$N$27+1,20,24,28,32,36,40),0)/100)))))/Skills!H12,1)))/Inputs!$B$43),G1258*Q1258))*IF(Inputs!$B$38="pvp",1,(1+(Inputs!$B$21+Skills!Q12+(IF(ArtifactsInput!$M$33,CHOOSE(ArtifactsInput!$N$33+1,30,36,42,48,54,60),0))+(IF(AND(ArtifactsInput!$M$35,Inputs!$B$4&lt;&gt;"Chapter Hunt"),CHOOSE(ArtifactsInput!$N$35+1,15,18,21,24,27,30)*(1-EXP(-(0.2*B1282)*5)),0)+IF(AND(ArtifactsInput!$M$22,Inputs!$B$4&lt;&gt;"Chapter Hunt"),CHOOSE(ArtifactsInput!$N$22+1,10,12,14,16,18,20)*((0*(((0.15*B1282*5))^0/1)+1*(((0.15*B1282*5))^1/1)+2*(((0.15*B1282*5))^2/2)+3*(((0.15*B1282*5))^3/6)+4*(((0.15*B1282*5))^4/24)+5*(((0.15*B1282*5))^5/120))/((((0.15*B1282*5))^0/1)+(((0.15*B1282*5))^1/1)+(((0.15*B1282*5))^2/2)+(((0.15*B1282*5))^3/6)+(((0.15*B1282*5))^4/24)+(((0.15*B1282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9">
      <c r="A1259">
        <f>Skills!A13</f>
        <v/>
      </c>
      <c r="B1259">
        <f>Skills!B13</f>
        <v/>
      </c>
      <c r="C1259">
        <f>Inputs!$B$3&gt;=110</f>
        <v/>
      </c>
      <c r="D1259">
        <f>IF(Skills!C13=1,60+Inputs!$B$25+Inputs!$B$29,IF(Skills!C13=2,90+Inputs!$B$26+Inputs!$B$29,IF(Skills!C13=3,120+Inputs!$B$27+Inputs!$B$29,MAX(0,(Inputs!$B$3-100)*3)+Inputs!$B$28+Inputs!$B$29)))</f>
        <v/>
      </c>
      <c r="E1259">
        <f>INDEX(FactorTable!$B$2:$Y$301, MATCH(ROUND(MIN(300,MAX(1,D1259)),0), FactorTable!$A$2:$A$301,0), Skills!M13+1)</f>
        <v/>
      </c>
      <c r="F1259">
        <f>IF(Skills!N13=TRUE,(Skills!L13/10)*(E1259/1000),Skills!L13/10)+Skills!O13</f>
        <v/>
      </c>
      <c r="G1259" t="inlineStr"/>
      <c r="H1259" t="inlineStr"/>
      <c r="I1259" t="inlineStr">
        <is>
          <t>1</t>
        </is>
      </c>
      <c r="J1259" t="inlineStr"/>
      <c r="K1259" t="inlineStr"/>
      <c r="L1259" t="inlineStr"/>
      <c r="M1259" t="inlineStr"/>
      <c r="N1259" t="inlineStr"/>
      <c r="O1259" t="inlineStr"/>
      <c r="P1259" t="inlineStr"/>
      <c r="Q1259" t="inlineStr"/>
      <c r="R1259" t="inlineStr"/>
      <c r="S1259" t="inlineStr"/>
      <c r="T1259" t="inlineStr"/>
      <c r="V1259" t="inlineStr"/>
    </row>
    <row r="1260">
      <c r="A1260">
        <f>Skills!A14</f>
        <v/>
      </c>
      <c r="B1260">
        <f>Skills!B14</f>
        <v/>
      </c>
      <c r="C1260">
        <f>Inputs!$B$3&gt;=74</f>
        <v/>
      </c>
      <c r="D1260">
        <f>IF(Skills!C14=1,60+Inputs!$B$25+Inputs!$B$29,IF(Skills!C14=2,90+Inputs!$B$26+Inputs!$B$29,IF(Skills!C14=3,120+Inputs!$B$27+Inputs!$B$29,MAX(0,(Inputs!$B$3-100)*3)+Inputs!$B$28+Inputs!$B$29)))</f>
        <v/>
      </c>
      <c r="E1260">
        <f>INDEX(FactorTable!$B$2:$Y$301, MATCH(ROUND(MIN(300,MAX(1,D1260)),0), FactorTable!$A$2:$A$301,0), Skills!M14+1)</f>
        <v/>
      </c>
      <c r="F1260">
        <f>IF(Skills!N14=TRUE,(Skills!L14/10)*(E1260/1000),Skills!L14/10)+Skills!O14</f>
        <v/>
      </c>
      <c r="G1260">
        <f>Skills!G14*IF(Skills!H14&gt;0,Skills!I14/Skills!H14,1)</f>
        <v/>
      </c>
      <c r="H1260">
        <f>1-(1-Skills!J14/100)^Skills!K14</f>
        <v/>
      </c>
      <c r="I1260" t="inlineStr">
        <is>
          <t>1</t>
        </is>
      </c>
      <c r="J1260" t="inlineStr"/>
      <c r="K1260" t="inlineStr"/>
      <c r="L1260" t="inlineStr"/>
      <c r="M1260" t="inlineStr"/>
      <c r="N1260" t="inlineStr"/>
      <c r="O1260">
        <f>(1-Summary!$B$11)*T1260+Summary!$B$11*V1260</f>
        <v/>
      </c>
      <c r="P1260">
        <f>IF(B1290=0,0,O1260/B1290)</f>
        <v/>
      </c>
      <c r="Q1260" t="n">
        <v>0</v>
      </c>
      <c r="R1260" t="n">
        <v>0</v>
      </c>
      <c r="S1260">
        <f>IFERROR(O1260/N1260,0)</f>
        <v/>
      </c>
      <c r="T1260" t="n">
        <v>0</v>
      </c>
      <c r="V1260" t="n">
        <v>0</v>
      </c>
    </row>
    <row r="1261">
      <c r="A1261">
        <f>Skills!A15</f>
        <v/>
      </c>
      <c r="B1261">
        <f>Skills!B15</f>
        <v/>
      </c>
      <c r="C1261">
        <f>Inputs!$B$3&gt;=74</f>
        <v/>
      </c>
      <c r="D1261">
        <f>IF(Skills!C15=1,60+Inputs!$B$25+Inputs!$B$29,IF(Skills!C15=2,90+Inputs!$B$26+Inputs!$B$29,IF(Skills!C15=3,120+Inputs!$B$27+Inputs!$B$29,MAX(0,(Inputs!$B$3-100)*3)+Inputs!$B$28+Inputs!$B$29)))</f>
        <v/>
      </c>
      <c r="E1261">
        <f>INDEX(FactorTable!$B$2:$Y$301, MATCH(ROUND(MIN(300,MAX(1,D1261)),0), FactorTable!$A$2:$A$301,0), Skills!M15+1)</f>
        <v/>
      </c>
      <c r="F1261">
        <f>IF(Skills!N15=TRUE,(Skills!L15/10)*(E1261/1000),Skills!L15/10)+Skills!O15</f>
        <v/>
      </c>
      <c r="G1261">
        <f>Skills!G15*IF(Skills!H15&gt;0,Skills!I15/Skills!H15,1)</f>
        <v/>
      </c>
      <c r="H1261">
        <f>1-(1-Skills!J15/100)^Skills!K15</f>
        <v/>
      </c>
      <c r="I1261" t="inlineStr">
        <is>
          <t>1</t>
        </is>
      </c>
      <c r="J1261" t="inlineStr"/>
      <c r="K1261" t="inlineStr"/>
      <c r="L1261" t="inlineStr"/>
      <c r="M1261" t="inlineStr"/>
      <c r="N1261" t="inlineStr"/>
      <c r="O1261">
        <f>(1-Summary!$B$11)*T1261+Summary!$B$11*V1261</f>
        <v/>
      </c>
      <c r="P1261">
        <f>IF(B1290=0,0,O1261/B1290)</f>
        <v/>
      </c>
      <c r="Q1261" t="n">
        <v>0</v>
      </c>
      <c r="R1261" t="n">
        <v>0</v>
      </c>
      <c r="S1261">
        <f>IFERROR(O1261/N1261,0)</f>
        <v/>
      </c>
      <c r="T1261" t="n">
        <v>0</v>
      </c>
      <c r="V1261" t="n">
        <v>0</v>
      </c>
    </row>
    <row r="1262">
      <c r="A1262">
        <f>Skills!A16</f>
        <v/>
      </c>
      <c r="B1262">
        <f>Skills!B16</f>
        <v/>
      </c>
      <c r="C1262">
        <f>Inputs!$B$3&gt;=117</f>
        <v/>
      </c>
      <c r="D1262">
        <f>IF(Skills!C16=1,60+Inputs!$B$25+Inputs!$B$29,IF(Skills!C16=2,90+Inputs!$B$26+Inputs!$B$29,IF(Skills!C16=3,120+Inputs!$B$27+Inputs!$B$29,MAX(0,(Inputs!$B$3-100)*3)+Inputs!$B$28+Inputs!$B$29)))</f>
        <v/>
      </c>
      <c r="E1262">
        <f>INDEX(FactorTable!$B$2:$Y$301, MATCH(ROUND(MIN(300,MAX(1,D1262)),0), FactorTable!$A$2:$A$301,0), Skills!M16+1)</f>
        <v/>
      </c>
      <c r="F1262">
        <f>IF(Skills!N16=TRUE,(Skills!L16/10)*(E1262/1000),Skills!L16/10)+Skills!O16</f>
        <v/>
      </c>
      <c r="G1262">
        <f>Skills!G16*IF(Skills!H16&gt;0,Skills!I16/Skills!H16,1)</f>
        <v/>
      </c>
      <c r="H1262">
        <f>1-(1-Skills!J16/100)^Skills!K16</f>
        <v/>
      </c>
      <c r="I1262" t="inlineStr">
        <is>
          <t>1</t>
        </is>
      </c>
      <c r="J1262" t="inlineStr"/>
      <c r="K1262" t="inlineStr"/>
      <c r="L1262" t="inlineStr"/>
      <c r="M1262" t="inlineStr"/>
      <c r="N1262" t="inlineStr"/>
      <c r="O1262">
        <f>(1-Summary!$B$11)*T1262+Summary!$B$11*V1262</f>
        <v/>
      </c>
      <c r="P1262">
        <f>IF(B1290=0,0,O1262/B1290)</f>
        <v/>
      </c>
      <c r="Q1262">
        <f>IFERROR(1/(IF(Inputs!$B$38="pvp",15,MAX(0.1,Skills!D16-IF(Skills!E16=TRUE,Inputs!$B$32,0)))*(1-IF(AND(ArtifactsInput!$M$27,Inputs!$B$4="Chapter Hunt"),CHOOSE(ArtifactsInput!$N$27+1,20,24,28,32,36,40),0)/100)),0)</f>
        <v/>
      </c>
      <c r="R1262">
        <f>IF(AND(Inputs!$B$38&lt;&gt;"pvp",Inputs!$B$43&gt;0),IF(Inputs!$B$43&lt;=0,0,(INT(Inputs!$B$43/(IF(Inputs!$B$38="pvp",15,MAX(0.1,Skills!D16-IF(Skills!E16=TRUE,Inputs!$B$32,0)))*(1-IF(AND(ArtifactsInput!$M$27,Inputs!$B$4="Chapter Hunt"),CHOOSE(ArtifactsInput!$N$27+1,20,24,28,32,36,40),0)/100)))+1)),0)</f>
        <v/>
      </c>
      <c r="S1262">
        <f>IFERROR(O1262/N1262,0)</f>
        <v/>
      </c>
      <c r="T1262" t="n">
        <v>0</v>
      </c>
      <c r="V1262" t="n">
        <v>0</v>
      </c>
    </row>
    <row r="1263">
      <c r="A1263">
        <f>Skills!A17</f>
        <v/>
      </c>
      <c r="B1263">
        <f>Skills!B17</f>
        <v/>
      </c>
      <c r="C1263">
        <f>Inputs!$B$3&gt;=115</f>
        <v/>
      </c>
      <c r="D1263">
        <f>IF(Skills!C17=1,60+Inputs!$B$25+Inputs!$B$29,IF(Skills!C17=2,90+Inputs!$B$26+Inputs!$B$29,IF(Skills!C17=3,120+Inputs!$B$27+Inputs!$B$29,MAX(0,(Inputs!$B$3-100)*3)+Inputs!$B$28+Inputs!$B$29)))</f>
        <v/>
      </c>
      <c r="E1263">
        <f>INDEX(FactorTable!$B$2:$Y$301, MATCH(ROUND(MIN(300,MAX(1,D1263)),0), FactorTable!$A$2:$A$301,0), Skills!M17+1)</f>
        <v/>
      </c>
      <c r="F1263">
        <f>IF(Skills!N17=TRUE,(Skills!L17/10)*(E1263/1000),Skills!L17/10)+Skills!O17</f>
        <v/>
      </c>
      <c r="G1263">
        <f>Skills!G17*IF(Skills!H17&gt;0,Skills!I17/Skills!H17,1)</f>
        <v/>
      </c>
      <c r="H1263">
        <f>1-(1-Skills!J17/100)^Skills!K17</f>
        <v/>
      </c>
      <c r="I1263" t="inlineStr">
        <is>
          <t>1</t>
        </is>
      </c>
      <c r="J1263" t="inlineStr"/>
      <c r="K1263" t="inlineStr"/>
      <c r="L1263" t="inlineStr"/>
      <c r="M1263" t="inlineStr"/>
      <c r="N1263" t="inlineStr"/>
      <c r="O1263">
        <f>(1-Summary!$B$11)*T1263+Summary!$B$11*V1263</f>
        <v/>
      </c>
      <c r="P1263">
        <f>IF(B1290=0,0,O1263/B1290)</f>
        <v/>
      </c>
      <c r="Q1263">
        <f>IFERROR(1/(IF(Inputs!$B$38="pvp",15,MAX(0.1,Skills!D17-IF(Skills!E17=TRUE,Inputs!$B$32,0)))*(1-IF(AND(ArtifactsInput!$M$27,Inputs!$B$4="Chapter Hunt"),CHOOSE(ArtifactsInput!$N$27+1,20,24,28,32,36,40),0)/100)),0)</f>
        <v/>
      </c>
      <c r="R1263">
        <f>IF(AND(Inputs!$B$38&lt;&gt;"pvp",Inputs!$B$43&gt;0),IF(Inputs!$B$43&lt;=0,0,(INT(Inputs!$B$43/(IF(Inputs!$B$38="pvp",15,MAX(0.1,Skills!D17-IF(Skills!E17=TRUE,Inputs!$B$32,0)))*(1-IF(AND(ArtifactsInput!$M$27,Inputs!$B$4="Chapter Hunt"),CHOOSE(ArtifactsInput!$N$27+1,20,24,28,32,36,40),0)/100)))+1)),0)</f>
        <v/>
      </c>
      <c r="S1263">
        <f>IFERROR(O1263/N1263,0)</f>
        <v/>
      </c>
      <c r="T1263" t="n">
        <v>0</v>
      </c>
      <c r="V1263" t="n">
        <v>0</v>
      </c>
    </row>
    <row r="1264">
      <c r="A1264">
        <f>Skills!A18</f>
        <v/>
      </c>
      <c r="B1264">
        <f>Skills!B18</f>
        <v/>
      </c>
      <c r="C1264">
        <f>Inputs!$B$3&gt;=66</f>
        <v/>
      </c>
      <c r="D1264">
        <f>IF(Skills!C18=1,60+Inputs!$B$25+Inputs!$B$29,IF(Skills!C18=2,90+Inputs!$B$26+Inputs!$B$29,IF(Skills!C18=3,120+Inputs!$B$27+Inputs!$B$29,MAX(0,(Inputs!$B$3-100)*3)+Inputs!$B$28+Inputs!$B$29)))</f>
        <v/>
      </c>
      <c r="E1264">
        <f>INDEX(FactorTable!$B$2:$Y$301, MATCH(ROUND(MIN(300,MAX(1,D1264)),0), FactorTable!$A$2:$A$301,0), Skills!M18+1)</f>
        <v/>
      </c>
      <c r="F1264">
        <f>IF(Skills!N18=TRUE,(Skills!L18/10)*(E1264/1000),Skills!L18/10)+Skills!O18</f>
        <v/>
      </c>
      <c r="G1264">
        <f>Skills!G18*IF(Skills!H18&gt;0,Skills!I18/Skills!H18,1)</f>
        <v/>
      </c>
      <c r="H1264">
        <f>1-(1-Skills!J18/100)^Skills!K18</f>
        <v/>
      </c>
      <c r="I1264" t="inlineStr">
        <is>
          <t>1</t>
        </is>
      </c>
      <c r="J1264" t="inlineStr"/>
      <c r="K1264" t="inlineStr"/>
      <c r="L1264" t="inlineStr"/>
      <c r="M1264" t="inlineStr"/>
      <c r="N1264" t="inlineStr"/>
      <c r="O1264">
        <f>(1-Summary!$B$11)*T1264+Summary!$B$11*V1264</f>
        <v/>
      </c>
      <c r="P1264">
        <f>IF(B1290=0,0,O1264/B1290)</f>
        <v/>
      </c>
      <c r="Q1264" t="n">
        <v>0</v>
      </c>
      <c r="R1264" t="n">
        <v>0</v>
      </c>
      <c r="S1264">
        <f>IFERROR(O1264/N1264,0)</f>
        <v/>
      </c>
      <c r="T1264" t="n">
        <v>0</v>
      </c>
      <c r="V1264" t="n">
        <v>0</v>
      </c>
    </row>
    <row r="1265">
      <c r="A1265">
        <f>Skills!A19</f>
        <v/>
      </c>
      <c r="B1265">
        <f>Skills!B19</f>
        <v/>
      </c>
      <c r="C1265">
        <f>Inputs!$B$3&gt;=72</f>
        <v/>
      </c>
      <c r="D1265">
        <f>IF(Skills!C19=1,60+Inputs!$B$25+Inputs!$B$29,IF(Skills!C19=2,90+Inputs!$B$26+Inputs!$B$29,IF(Skills!C19=3,120+Inputs!$B$27+Inputs!$B$29,MAX(0,(Inputs!$B$3-100)*3)+Inputs!$B$28+Inputs!$B$29)))</f>
        <v/>
      </c>
      <c r="E1265">
        <f>INDEX(FactorTable!$B$2:$Y$301, MATCH(ROUND(MIN(300,MAX(1,D1265)),0), FactorTable!$A$2:$A$301,0), Skills!M19+1)</f>
        <v/>
      </c>
      <c r="F1265">
        <f>IF(Skills!N19=TRUE,(Skills!L19/10)*(E1265/1000),Skills!L19/10)+Skills!O19</f>
        <v/>
      </c>
      <c r="G1265">
        <f>Skills!G19*IF(Skills!H19&gt;0,Skills!I19/Skills!H19,1)</f>
        <v/>
      </c>
      <c r="H1265">
        <f>1-(1-Skills!J19/100)^Skills!K19</f>
        <v/>
      </c>
      <c r="I1265" t="inlineStr">
        <is>
          <t>1</t>
        </is>
      </c>
      <c r="J1265" t="inlineStr"/>
      <c r="K1265" t="inlineStr"/>
      <c r="L1265" t="inlineStr"/>
      <c r="M1265" t="inlineStr"/>
      <c r="N1265" t="inlineStr"/>
      <c r="O1265">
        <f>(1-Summary!$B$11)*T1265+Summary!$B$11*V1265</f>
        <v/>
      </c>
      <c r="P1265">
        <f>IF(B1290=0,0,O1265/B1290)</f>
        <v/>
      </c>
      <c r="Q1265" t="n">
        <v>0</v>
      </c>
      <c r="R1265" t="n">
        <v>0</v>
      </c>
      <c r="S1265">
        <f>IFERROR(O1265/N1265,0)</f>
        <v/>
      </c>
      <c r="T1265" t="n">
        <v>0</v>
      </c>
      <c r="V1265" t="n">
        <v>0</v>
      </c>
    </row>
    <row r="1266">
      <c r="A1266">
        <f>Skills!A20</f>
        <v/>
      </c>
      <c r="B1266">
        <f>Skills!B20</f>
        <v/>
      </c>
      <c r="C1266">
        <f>TRUE</f>
        <v/>
      </c>
      <c r="D1266">
        <f>IF(Skills!C20=1,60+Inputs!$B$25+Inputs!$B$29,IF(Skills!C20=2,90+Inputs!$B$26+Inputs!$B$29,IF(Skills!C20=3,120+Inputs!$B$27+Inputs!$B$29,MAX(0,(Inputs!$B$3-100)*3)+Inputs!$B$28+Inputs!$B$29)))</f>
        <v/>
      </c>
      <c r="E1266">
        <f>INDEX(FactorTable!$B$2:$Y$301, MATCH(ROUND(MIN(300,MAX(1,D1266)),0), FactorTable!$A$2:$A$301,0), Skills!M20+1)</f>
        <v/>
      </c>
      <c r="F1266">
        <f>IF(Skills!N20=TRUE,(Skills!L20/10)*(E1266/1000),Skills!L20/10)+Skills!O20</f>
        <v/>
      </c>
      <c r="G1266">
        <f>Skills!G20*IF(Skills!H20&gt;0,Skills!I20/Skills!H20,1)</f>
        <v/>
      </c>
      <c r="H1266">
        <f>1-(1-Skills!J20/100)^Skills!K20</f>
        <v/>
      </c>
      <c r="I1266" t="inlineStr">
        <is>
          <t>1</t>
        </is>
      </c>
      <c r="J1266" t="inlineStr"/>
      <c r="K1266" t="inlineStr"/>
      <c r="L1266" t="inlineStr"/>
      <c r="M1266" t="inlineStr"/>
      <c r="N1266" t="inlineStr"/>
      <c r="O1266">
        <f>(1-Summary!$B$11)*T1266+Summary!$B$11*V1266</f>
        <v/>
      </c>
      <c r="P1266">
        <f>IF(B1290=0,0,O1266/B1290)</f>
        <v/>
      </c>
      <c r="Q1266">
        <f>IFERROR(1/(IF(Inputs!$B$38="pvp",15,MAX(0.1,Skills!D20-IF(Skills!E20=TRUE,Inputs!$B$32,0)))*(1-IF(AND(ArtifactsInput!$M$27,Inputs!$B$4="Chapter Hunt"),CHOOSE(ArtifactsInput!$N$27+1,20,24,28,32,36,40),0)/100)),0)</f>
        <v/>
      </c>
      <c r="R1266">
        <f>IF(AND(Inputs!$B$38&lt;&gt;"pvp",Inputs!$B$43&gt;0),IF(Inputs!$B$43&lt;=0,0,(INT(Inputs!$B$43/(IF(Inputs!$B$38="pvp",15,MAX(0.1,Skills!D20-IF(Skills!E20=TRUE,Inputs!$B$32,0)))*(1-IF(AND(ArtifactsInput!$M$27,Inputs!$B$4="Chapter Hunt"),CHOOSE(ArtifactsInput!$N$27+1,20,24,28,32,36,40),0)/100)))+1)),0)</f>
        <v/>
      </c>
      <c r="S1266">
        <f>IFERROR(O1266/N1266,0)</f>
        <v/>
      </c>
      <c r="T1266" t="n">
        <v>0</v>
      </c>
      <c r="V1266" t="n">
        <v>0</v>
      </c>
    </row>
    <row r="1267">
      <c r="A1267">
        <f>Skills!A21</f>
        <v/>
      </c>
      <c r="B1267">
        <f>Skills!B21</f>
        <v/>
      </c>
      <c r="C1267">
        <f>Inputs!$B$3&gt;=15</f>
        <v/>
      </c>
      <c r="D1267">
        <f>IF(Skills!C21=1,60+Inputs!$B$25+Inputs!$B$29,IF(Skills!C21=2,90+Inputs!$B$26+Inputs!$B$29,IF(Skills!C21=3,120+Inputs!$B$27+Inputs!$B$29,MAX(0,(Inputs!$B$3-100)*3)+Inputs!$B$28+Inputs!$B$29)))</f>
        <v/>
      </c>
      <c r="E1267">
        <f>INDEX(FactorTable!$B$2:$Y$301, MATCH(ROUND(MIN(300,MAX(1,D1267)),0), FactorTable!$A$2:$A$301,0), Skills!M21+1)</f>
        <v/>
      </c>
      <c r="F1267">
        <f>IF(Skills!N21=TRUE,(Skills!L21/10)*(E1267/1000),Skills!L21/10)+Skills!O21</f>
        <v/>
      </c>
      <c r="G1267">
        <f>Skills!G21*IF(Skills!H21&gt;0,Skills!I21/Skills!H21,1)</f>
        <v/>
      </c>
      <c r="H1267">
        <f>1-(1-Skills!J21/100)^Skills!K21</f>
        <v/>
      </c>
      <c r="I1267" t="inlineStr">
        <is>
          <t>1</t>
        </is>
      </c>
      <c r="J1267" t="inlineStr"/>
      <c r="K1267" t="inlineStr"/>
      <c r="L1267" t="inlineStr"/>
      <c r="M1267" t="inlineStr"/>
      <c r="N1267" t="inlineStr"/>
      <c r="O1267">
        <f>(1-Summary!$B$11)*T1267+Summary!$B$11*V1267</f>
        <v/>
      </c>
      <c r="P1267">
        <f>IF(B1290=0,0,O1267/B1290)</f>
        <v/>
      </c>
      <c r="Q1267" t="n">
        <v>0</v>
      </c>
      <c r="R1267" t="n">
        <v>0</v>
      </c>
      <c r="S1267">
        <f>IFERROR(O1267/N1267,0)</f>
        <v/>
      </c>
      <c r="T1267" t="n">
        <v>0</v>
      </c>
      <c r="V1267" t="n">
        <v>0</v>
      </c>
    </row>
    <row r="1268">
      <c r="A1268">
        <f>Skills!A22</f>
        <v/>
      </c>
      <c r="B1268">
        <f>Skills!B22</f>
        <v/>
      </c>
      <c r="C1268">
        <f>Inputs!$B$3&gt;=10</f>
        <v/>
      </c>
      <c r="D1268">
        <f>IF(Skills!C22=1,60+Inputs!$B$25+Inputs!$B$29,IF(Skills!C22=2,90+Inputs!$B$26+Inputs!$B$29,IF(Skills!C22=3,120+Inputs!$B$27+Inputs!$B$29,MAX(0,(Inputs!$B$3-100)*3)+Inputs!$B$28+Inputs!$B$29)))</f>
        <v/>
      </c>
      <c r="E1268">
        <f>INDEX(FactorTable!$B$2:$Y$301, MATCH(ROUND(MIN(300,MAX(1,D1268)),0), FactorTable!$A$2:$A$301,0), Skills!M22+1)</f>
        <v/>
      </c>
      <c r="F1268">
        <f>IF(Skills!N22=TRUE,(Skills!L22/10)*(E1268/1000),Skills!L22/10)+Skills!O22</f>
        <v/>
      </c>
      <c r="G1268">
        <f>Skills!G22*IF(Skills!H22&gt;0,Skills!I22/Skills!H22,1)</f>
        <v/>
      </c>
      <c r="H1268">
        <f>1-(1-Skills!J22/100)^Skills!K22</f>
        <v/>
      </c>
      <c r="I1268" t="inlineStr">
        <is>
          <t>1</t>
        </is>
      </c>
      <c r="J1268" t="inlineStr"/>
      <c r="K1268" t="inlineStr"/>
      <c r="L1268" t="inlineStr"/>
      <c r="M1268" t="inlineStr"/>
      <c r="N1268" t="inlineStr"/>
      <c r="O1268">
        <f>(1-Summary!$B$11)*T1268+Summary!$B$11*V1268</f>
        <v/>
      </c>
      <c r="P1268">
        <f>IF(B1290=0,0,O1268/B1290)</f>
        <v/>
      </c>
      <c r="Q1268" t="n">
        <v>0</v>
      </c>
      <c r="R1268" t="n">
        <v>0</v>
      </c>
      <c r="S1268">
        <f>IFERROR(O1268/N1268,0)</f>
        <v/>
      </c>
      <c r="T1268" t="n">
        <v>0</v>
      </c>
      <c r="V1268" t="n">
        <v>0</v>
      </c>
    </row>
    <row r="1269">
      <c r="A1269">
        <f>Skills!A23</f>
        <v/>
      </c>
      <c r="B1269">
        <f>Skills!B23</f>
        <v/>
      </c>
      <c r="C1269">
        <f>Inputs!$B$3&gt;=33</f>
        <v/>
      </c>
      <c r="D1269">
        <f>IF(Skills!C23=1,60+Inputs!$B$25+Inputs!$B$29,IF(Skills!C23=2,90+Inputs!$B$26+Inputs!$B$29,IF(Skills!C23=3,120+Inputs!$B$27+Inputs!$B$29,MAX(0,(Inputs!$B$3-100)*3)+Inputs!$B$28+Inputs!$B$29)))</f>
        <v/>
      </c>
      <c r="E1269">
        <f>INDEX(FactorTable!$B$2:$Y$301, MATCH(ROUND(MIN(300,MAX(1,D1269)),0), FactorTable!$A$2:$A$301,0), Skills!M23+1)</f>
        <v/>
      </c>
      <c r="F1269">
        <f>IF(Skills!N23=TRUE,(Skills!L23/10)*(E1269/1000),Skills!L23/10)+Skills!O23</f>
        <v/>
      </c>
      <c r="G1269">
        <f>Skills!G23*IF(Skills!H23&gt;0,Skills!I23/Skills!H23,1)</f>
        <v/>
      </c>
      <c r="H1269">
        <f>1-(1-Skills!J23/100)^Skills!K23</f>
        <v/>
      </c>
      <c r="I1269" t="inlineStr">
        <is>
          <t>1</t>
        </is>
      </c>
      <c r="J1269" t="inlineStr"/>
      <c r="K1269" t="inlineStr"/>
      <c r="L1269" t="inlineStr"/>
      <c r="M1269" t="inlineStr"/>
      <c r="N1269" t="inlineStr"/>
      <c r="O1269">
        <f>(1-Summary!$B$11)*T1269+Summary!$B$11*V1269</f>
        <v/>
      </c>
      <c r="P1269">
        <f>IF(B1290=0,0,O1269/B1290)</f>
        <v/>
      </c>
      <c r="Q1269" t="n">
        <v>0</v>
      </c>
      <c r="R1269" t="n">
        <v>0</v>
      </c>
      <c r="S1269">
        <f>IFERROR(O1269/N1269,0)</f>
        <v/>
      </c>
      <c r="T1269" t="n">
        <v>0</v>
      </c>
      <c r="V1269" t="n">
        <v>0</v>
      </c>
    </row>
    <row r="1270">
      <c r="A1270">
        <f>Skills!A24</f>
        <v/>
      </c>
      <c r="B1270">
        <f>Skills!B24</f>
        <v/>
      </c>
      <c r="C1270">
        <f>Inputs!$B$3&gt;=38</f>
        <v/>
      </c>
      <c r="D1270">
        <f>IF(Skills!C24=1,60+Inputs!$B$25+Inputs!$B$29,IF(Skills!C24=2,90+Inputs!$B$26+Inputs!$B$29,IF(Skills!C24=3,120+Inputs!$B$27+Inputs!$B$29,MAX(0,(Inputs!$B$3-100)*3)+Inputs!$B$28+Inputs!$B$29)))</f>
        <v/>
      </c>
      <c r="E1270">
        <f>INDEX(FactorTable!$B$2:$Y$301, MATCH(ROUND(MIN(300,MAX(1,D1270)),0), FactorTable!$A$2:$A$301,0), Skills!M24+1)</f>
        <v/>
      </c>
      <c r="F1270">
        <f>IF(Skills!N24=TRUE,(Skills!L24/10)*(E1270/1000),Skills!L24/10)+Skills!O24</f>
        <v/>
      </c>
      <c r="G1270">
        <f>Skills!G24*IF(Skills!H24&gt;0,Skills!I24/Skills!H24,1)</f>
        <v/>
      </c>
      <c r="H1270">
        <f>1-(1-Skills!J24/100)^Skills!K24</f>
        <v/>
      </c>
      <c r="I1270" t="inlineStr">
        <is>
          <t>1</t>
        </is>
      </c>
      <c r="J1270" t="inlineStr"/>
      <c r="K1270" t="inlineStr"/>
      <c r="L1270" t="inlineStr"/>
      <c r="M1270" t="inlineStr"/>
      <c r="N1270" t="inlineStr"/>
      <c r="O1270">
        <f>(1-Summary!$B$11)*T1270+Summary!$B$11*V1270</f>
        <v/>
      </c>
      <c r="P1270">
        <f>IF(B1290=0,0,O1270/B1290)</f>
        <v/>
      </c>
      <c r="Q1270" t="n">
        <v>0</v>
      </c>
      <c r="R1270" t="n">
        <v>0</v>
      </c>
      <c r="S1270">
        <f>IFERROR(O1270/N1270,0)</f>
        <v/>
      </c>
      <c r="T1270" t="n">
        <v>0</v>
      </c>
      <c r="V1270" t="n">
        <v>0</v>
      </c>
    </row>
    <row r="1271">
      <c r="A1271">
        <f>Skills!A25</f>
        <v/>
      </c>
      <c r="B1271">
        <f>Skills!B25</f>
        <v/>
      </c>
      <c r="C1271">
        <f>Inputs!$B$3&gt;=43</f>
        <v/>
      </c>
      <c r="D1271">
        <f>IF(Skills!C25=1,60+Inputs!$B$25+Inputs!$B$29,IF(Skills!C25=2,90+Inputs!$B$26+Inputs!$B$29,IF(Skills!C25=3,120+Inputs!$B$27+Inputs!$B$29,MAX(0,(Inputs!$B$3-100)*3)+Inputs!$B$28+Inputs!$B$29)))</f>
        <v/>
      </c>
      <c r="E1271">
        <f>INDEX(FactorTable!$B$2:$Y$301, MATCH(ROUND(MIN(300,MAX(1,D1271)),0), FactorTable!$A$2:$A$301,0), Skills!M25+1)</f>
        <v/>
      </c>
      <c r="F1271">
        <f>IF(Skills!N25=TRUE,(Skills!L25/10)*(E1271/1000),Skills!L25/10)+Skills!O25</f>
        <v/>
      </c>
      <c r="G1271">
        <f>Skills!G25*IF(Skills!H25&gt;0,Skills!I25/Skills!H25,1)</f>
        <v/>
      </c>
      <c r="H1271">
        <f>1-(1-Skills!J25/100)^Skills!K25</f>
        <v/>
      </c>
      <c r="I1271" t="inlineStr">
        <is>
          <t>1</t>
        </is>
      </c>
      <c r="J1271" t="inlineStr"/>
      <c r="K1271" t="inlineStr"/>
      <c r="L1271" t="inlineStr"/>
      <c r="M1271" t="inlineStr"/>
      <c r="N1271" t="inlineStr"/>
      <c r="O1271">
        <f>(1-Summary!$B$11)*T1271+Summary!$B$11*V1271</f>
        <v/>
      </c>
      <c r="P1271">
        <f>IF(B1290=0,0,O1271/B1290)</f>
        <v/>
      </c>
      <c r="Q1271" t="n">
        <v>0</v>
      </c>
      <c r="R1271" t="n">
        <v>0</v>
      </c>
      <c r="S1271">
        <f>IFERROR(O1271/N1271,0)</f>
        <v/>
      </c>
      <c r="T1271" t="n">
        <v>0</v>
      </c>
      <c r="V1271" t="n">
        <v>0</v>
      </c>
    </row>
    <row r="1272">
      <c r="A1272">
        <f>Skills!A26</f>
        <v/>
      </c>
      <c r="B1272">
        <f>Skills!B26</f>
        <v/>
      </c>
      <c r="C1272">
        <f>Inputs!$B$3&gt;=75</f>
        <v/>
      </c>
      <c r="D1272">
        <f>IF(Skills!C26=1,60+Inputs!$B$25+Inputs!$B$29,IF(Skills!C26=2,90+Inputs!$B$26+Inputs!$B$29,IF(Skills!C26=3,120+Inputs!$B$27+Inputs!$B$29,MAX(0,(Inputs!$B$3-100)*3)+Inputs!$B$28+Inputs!$B$29)))</f>
        <v/>
      </c>
      <c r="E1272">
        <f>INDEX(FactorTable!$B$2:$Y$301, MATCH(ROUND(MIN(300,MAX(1,D1272)),0), FactorTable!$A$2:$A$301,0), Skills!M26+1)</f>
        <v/>
      </c>
      <c r="F1272">
        <f>IF(Skills!N26=TRUE,(Skills!L26/10)*(E1272/1000),Skills!L26/10)+Skills!O26</f>
        <v/>
      </c>
      <c r="G1272">
        <f>Skills!G26*IF(Skills!H26&gt;0,Skills!I26/Skills!H26,1)</f>
        <v/>
      </c>
      <c r="H1272">
        <f>1-(1-Skills!J26/100)^Skills!K26</f>
        <v/>
      </c>
      <c r="I1272" t="inlineStr">
        <is>
          <t>1</t>
        </is>
      </c>
      <c r="J1272" t="inlineStr"/>
      <c r="K1272" t="inlineStr"/>
      <c r="L1272" t="inlineStr"/>
      <c r="M1272" t="inlineStr"/>
      <c r="N1272" t="inlineStr"/>
      <c r="O1272">
        <f>(1-Summary!$B$11)*T1272+Summary!$B$11*V1272</f>
        <v/>
      </c>
      <c r="P1272">
        <f>IF(B1290=0,0,O1272/B1290)</f>
        <v/>
      </c>
      <c r="Q1272" t="n">
        <v>0</v>
      </c>
      <c r="R1272" t="n">
        <v>0</v>
      </c>
      <c r="S1272">
        <f>IFERROR(O1272/N1272,0)</f>
        <v/>
      </c>
      <c r="T1272" t="n">
        <v>0</v>
      </c>
      <c r="V1272" t="n">
        <v>0</v>
      </c>
    </row>
    <row r="1273">
      <c r="A1273">
        <f>Skills!A27</f>
        <v/>
      </c>
      <c r="B1273">
        <f>Skills!B27</f>
        <v/>
      </c>
      <c r="C1273">
        <f>Inputs!$B$3&gt;=125</f>
        <v/>
      </c>
      <c r="D1273">
        <f>IF(Skills!C27=1,60+Inputs!$B$25+Inputs!$B$29,IF(Skills!C27=2,90+Inputs!$B$26+Inputs!$B$29,IF(Skills!C27=3,120+Inputs!$B$27+Inputs!$B$29,MAX(0,(Inputs!$B$3-100)*3)+Inputs!$B$28+Inputs!$B$29)))</f>
        <v/>
      </c>
      <c r="E1273">
        <f>INDEX(FactorTable!$B$2:$Y$301, MATCH(ROUND(MIN(300,MAX(1,D1273)),0), FactorTable!$A$2:$A$301,0), Skills!M27+1)</f>
        <v/>
      </c>
      <c r="F1273">
        <f>IF(Skills!N27=TRUE,(Skills!L27/10)*(E1273/1000),Skills!L27/10)+Skills!O27</f>
        <v/>
      </c>
      <c r="G1273">
        <f>Skills!G27*IF(Skills!H27&gt;0,Skills!I27/Skills!H27,1)</f>
        <v/>
      </c>
      <c r="H1273">
        <f>1-(1-Skills!J27/100)^Skills!K27</f>
        <v/>
      </c>
      <c r="I1273" t="inlineStr">
        <is>
          <t>1</t>
        </is>
      </c>
      <c r="J1273" t="inlineStr"/>
      <c r="K1273" t="inlineStr"/>
      <c r="L1273" t="inlineStr"/>
      <c r="M1273" t="inlineStr"/>
      <c r="N1273" t="inlineStr"/>
      <c r="O1273">
        <f>(1-Summary!$B$11)*T1273+Summary!$B$11*V1273</f>
        <v/>
      </c>
      <c r="P1273">
        <f>IF(B1290=0,0,O1273/B1290)</f>
        <v/>
      </c>
      <c r="Q1273" t="n">
        <v>0</v>
      </c>
      <c r="R1273" t="n">
        <v>0</v>
      </c>
      <c r="S1273">
        <f>IFERROR(O1273/N1273,0)</f>
        <v/>
      </c>
      <c r="T1273" t="n">
        <v>0</v>
      </c>
      <c r="V1273" t="n">
        <v>0</v>
      </c>
    </row>
    <row r="1274">
      <c r="A1274">
        <f>Skills!A28</f>
        <v/>
      </c>
      <c r="B1274">
        <f>Skills!B28</f>
        <v/>
      </c>
      <c r="C1274">
        <f>Inputs!$B$3&gt;=125</f>
        <v/>
      </c>
      <c r="D1274">
        <f>IF(Skills!C28=1,60+Inputs!$B$25+Inputs!$B$29,IF(Skills!C28=2,90+Inputs!$B$26+Inputs!$B$29,IF(Skills!C28=3,120+Inputs!$B$27+Inputs!$B$29,MAX(0,(Inputs!$B$3-100)*3)+Inputs!$B$28+Inputs!$B$29)))</f>
        <v/>
      </c>
      <c r="E1274">
        <f>INDEX(FactorTable!$B$2:$Y$301, MATCH(ROUND(MIN(300,MAX(1,D1274)),0), FactorTable!$A$2:$A$301,0), Skills!M28+1)</f>
        <v/>
      </c>
      <c r="F1274">
        <f>IF(Skills!N28=TRUE,(Skills!L28/10)*(E1274/1000),Skills!L28/10)+Skills!O28</f>
        <v/>
      </c>
      <c r="G1274">
        <f>Skills!G28*IF(Skills!H28&gt;0,Skills!I28/Skills!H28,1)</f>
        <v/>
      </c>
      <c r="H1274">
        <f>1-(1-Skills!J28/100)^Skills!K28</f>
        <v/>
      </c>
      <c r="I1274" t="inlineStr">
        <is>
          <t>1</t>
        </is>
      </c>
      <c r="J1274" t="inlineStr"/>
      <c r="K1274" t="inlineStr"/>
      <c r="L1274" t="inlineStr"/>
      <c r="M1274" t="inlineStr"/>
      <c r="N1274" t="inlineStr"/>
      <c r="O1274">
        <f>(1-Summary!$B$11)*T1274+Summary!$B$11*V1274</f>
        <v/>
      </c>
      <c r="P1274">
        <f>IF(B1290=0,0,O1274/B1290)</f>
        <v/>
      </c>
      <c r="Q1274" t="n">
        <v>0</v>
      </c>
      <c r="R1274" t="n">
        <v>0</v>
      </c>
      <c r="S1274">
        <f>IFERROR(O1274/N1274,0)</f>
        <v/>
      </c>
      <c r="T1274" t="n">
        <v>0</v>
      </c>
      <c r="V1274" t="n">
        <v>0</v>
      </c>
    </row>
    <row r="1275">
      <c r="A1275">
        <f>Skills!A29</f>
        <v/>
      </c>
      <c r="B1275">
        <f>Skills!B29</f>
        <v/>
      </c>
      <c r="C1275">
        <f>Inputs!$B$3&gt;=120</f>
        <v/>
      </c>
      <c r="D1275">
        <f>IF(Skills!C29=1,60+Inputs!$B$25+Inputs!$B$29,IF(Skills!C29=2,90+Inputs!$B$26+Inputs!$B$29,IF(Skills!C29=3,120+Inputs!$B$27+Inputs!$B$29,MAX(0,(Inputs!$B$3-100)*3)+Inputs!$B$28+Inputs!$B$29)))</f>
        <v/>
      </c>
      <c r="E1275">
        <f>INDEX(FactorTable!$B$2:$Y$301, MATCH(ROUND(MIN(300,MAX(1,D1275)),0), FactorTable!$A$2:$A$301,0), Skills!M29+1)</f>
        <v/>
      </c>
      <c r="F1275">
        <f>IF(Skills!N29=TRUE,(Skills!L29/10)*(E1275/1000),Skills!L29/10)+Skills!O29</f>
        <v/>
      </c>
      <c r="G1275">
        <f>Skills!G29*IF(Skills!H29&gt;0,Skills!I29/Skills!H29,1)</f>
        <v/>
      </c>
      <c r="H1275">
        <f>1-(1-Skills!J29/100)^Skills!K29</f>
        <v/>
      </c>
      <c r="I1275" t="inlineStr">
        <is>
          <t>1</t>
        </is>
      </c>
      <c r="J1275" t="inlineStr"/>
      <c r="K1275" t="inlineStr"/>
      <c r="L1275" t="inlineStr"/>
      <c r="M1275" t="inlineStr"/>
      <c r="N1275" t="inlineStr"/>
      <c r="O1275">
        <f>(1-Summary!$B$11)*T1275+Summary!$B$11*V1275</f>
        <v/>
      </c>
      <c r="P1275">
        <f>IF(B1290=0,0,O1275/B1290)</f>
        <v/>
      </c>
      <c r="Q1275" t="n">
        <v>0</v>
      </c>
      <c r="R1275" t="n">
        <v>0</v>
      </c>
      <c r="S1275">
        <f>IFERROR(O1275/N1275,0)</f>
        <v/>
      </c>
      <c r="T1275" t="n">
        <v>0</v>
      </c>
      <c r="V1275" t="n">
        <v>0</v>
      </c>
    </row>
    <row r="1276">
      <c r="A1276">
        <f>Skills!A30</f>
        <v/>
      </c>
      <c r="B1276">
        <f>Skills!B30</f>
        <v/>
      </c>
      <c r="C1276">
        <f>Inputs!$B$3&gt;=120</f>
        <v/>
      </c>
      <c r="D1276">
        <f>IF(Skills!C30=1,60+Inputs!$B$25+Inputs!$B$29,IF(Skills!C30=2,90+Inputs!$B$26+Inputs!$B$29,IF(Skills!C30=3,120+Inputs!$B$27+Inputs!$B$29,MAX(0,(Inputs!$B$3-100)*3)+Inputs!$B$28+Inputs!$B$29)))</f>
        <v/>
      </c>
      <c r="E1276">
        <f>INDEX(FactorTable!$B$2:$Y$301, MATCH(ROUND(MIN(300,MAX(1,D1276)),0), FactorTable!$A$2:$A$301,0), Skills!M30+1)</f>
        <v/>
      </c>
      <c r="F1276">
        <f>IF(Skills!N30=TRUE,(Skills!L30/10)*(E1276/1000),Skills!L30/10)+Skills!O30</f>
        <v/>
      </c>
      <c r="G1276">
        <f>Skills!G30*IF(Skills!H30&gt;0,Skills!I30/Skills!H30,1)</f>
        <v/>
      </c>
      <c r="H1276">
        <f>1-(1-Skills!J30/100)^Skills!K30</f>
        <v/>
      </c>
      <c r="I1276" t="inlineStr">
        <is>
          <t>1</t>
        </is>
      </c>
      <c r="J1276" t="inlineStr"/>
      <c r="K1276" t="inlineStr"/>
      <c r="L1276" t="inlineStr"/>
      <c r="M1276" t="inlineStr"/>
      <c r="N1276" t="inlineStr"/>
      <c r="O1276">
        <f>(1-Summary!$B$11)*T1276+Summary!$B$11*V1276</f>
        <v/>
      </c>
      <c r="P1276">
        <f>IF(B1290=0,0,O1276/B1290)</f>
        <v/>
      </c>
      <c r="Q1276" t="n">
        <v>0</v>
      </c>
      <c r="R1276" t="n">
        <v>0</v>
      </c>
      <c r="S1276">
        <f>IFERROR(O1276/N1276,0)</f>
        <v/>
      </c>
      <c r="T1276" t="n">
        <v>0</v>
      </c>
      <c r="V1276" t="n">
        <v>0</v>
      </c>
    </row>
    <row r="1277">
      <c r="A1277">
        <f>Skills!A31</f>
        <v/>
      </c>
      <c r="B1277">
        <f>Skills!B31</f>
        <v/>
      </c>
      <c r="C1277">
        <f>Inputs!$B$3&gt;=45</f>
        <v/>
      </c>
      <c r="D1277">
        <f>IF(Skills!C31=1,60+Inputs!$B$25+Inputs!$B$29,IF(Skills!C31=2,90+Inputs!$B$26+Inputs!$B$29,IF(Skills!C31=3,120+Inputs!$B$27+Inputs!$B$29,MAX(0,(Inputs!$B$3-100)*3)+Inputs!$B$28+Inputs!$B$29)))</f>
        <v/>
      </c>
      <c r="E1277">
        <f>INDEX(FactorTable!$B$2:$Y$301, MATCH(ROUND(MIN(300,MAX(1,D1277)),0), FactorTable!$A$2:$A$301,0), Skills!M31+1)</f>
        <v/>
      </c>
      <c r="F1277">
        <f>IF(Skills!N31=TRUE,(Skills!L31/10)*(E1277/1000),Skills!L31/10)+Skills!O31</f>
        <v/>
      </c>
      <c r="G1277">
        <f>Skills!G31*IF(Skills!H31&gt;0,Skills!I31/Skills!H31,1)</f>
        <v/>
      </c>
      <c r="H1277">
        <f>1-(1-Skills!J31/100)^Skills!K31</f>
        <v/>
      </c>
      <c r="I1277" t="inlineStr">
        <is>
          <t>1</t>
        </is>
      </c>
      <c r="J1277" t="inlineStr"/>
      <c r="K1277" t="inlineStr"/>
      <c r="L1277" t="inlineStr"/>
      <c r="M1277" t="inlineStr"/>
      <c r="N1277" t="inlineStr"/>
      <c r="O1277">
        <f>(1-Summary!$B$11)*T1277+Summary!$B$11*V1277</f>
        <v/>
      </c>
      <c r="P1277">
        <f>IF(B1290=0,0,O1277/B1290)</f>
        <v/>
      </c>
      <c r="Q1277" t="n">
        <v>0</v>
      </c>
      <c r="R1277" t="n">
        <v>0</v>
      </c>
      <c r="S1277">
        <f>IFERROR(O1277/N1277,0)</f>
        <v/>
      </c>
      <c r="T1277" t="n">
        <v>0</v>
      </c>
      <c r="V1277" t="n">
        <v>0</v>
      </c>
    </row>
    <row r="1279">
      <c r="A1279" t="inlineStr">
        <is>
          <t>Attack% Bucket Multiplier</t>
        </is>
      </c>
      <c r="B1279">
        <f>(1+(((C1260=TRUE)*F1260)+((C1261=TRUE)*IF(Inputs!$B$38="pvp",F1261,(1-Summary!$B$11)*(F1261)+Summary!$B$11*(0)))+((C1262=TRUE)*F1262*IF(AND(Inputs!$B$38&lt;&gt;"pvp",Inputs!$B$43&gt;0),(((R1262-1)*(Skills!T16*(1+(Inputs!$B$34+1)/100))+MIN((Skills!T16*(1+(Inputs!$B$34+1)/100)),MAX(0,Inputs!$B$43-((R1262-1)*Skills!D16))))/Inputs!$B$43),IF(Inputs!$B$38="pvp",MIN((Skills!T16*(1+(Inputs!$B$34+1)/100)),15)/15,(Skills!T16*(1+(Inputs!$B$34+1)/100))/Skills!D16)))+((C1277=TRUE)*(F1277-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80">
      <c r="A1280" t="inlineStr">
        <is>
          <t>Global Crit Rate Bonus %</t>
        </is>
      </c>
      <c r="B1280">
        <f>(C1263=TRUE)*20*IF(AND(Inputs!$B$38&lt;&gt;"pvp",Inputs!$B$43&gt;0),(((R1263-1)*(Skills!T17*(1+(Inputs!$B$34+1)/100))+MIN((Skills!T17*(1+(Inputs!$B$34+1)/100)),MAX(0,Inputs!$B$43-((R1263-1)*Skills!D17))))/Inputs!$B$43),IF(Inputs!$B$38="pvp",MIN((Skills!T17*(1+(Inputs!$B$34+1)/100)),15)/15,(Skills!T17*(1+(Inputs!$B$34+1)/100))/Skills!D17))</f>
        <v/>
      </c>
    </row>
    <row r="1281">
      <c r="A1281" t="inlineStr">
        <is>
          <t>Attack Speed Buff Bonus %</t>
        </is>
      </c>
      <c r="B1281">
        <f>((C1266=TRUE)*F1266*IF(AND(Inputs!$B$38&lt;&gt;"pvp",Inputs!$B$43&gt;0),(((R1266-1)*(Skills!T20*(1+(Inputs!$B$34+1)/100))+MIN((Skills!T20*(1+(Inputs!$B$34+1)/100)),MAX(0,Inputs!$B$43-((R1266-1)*Skills!D20))))/Inputs!$B$43),IF(Inputs!$B$38="pvp",MIN((Skills!T20*(1+(Inputs!$B$34+1)/100)),15)/15,(Skills!T20*(1+(Inputs!$B$34+1)/100))/Skills!D20)))</f>
        <v/>
      </c>
    </row>
    <row r="1282">
      <c r="A1282" t="inlineStr">
        <is>
          <t>Actions Per Second</t>
        </is>
      </c>
      <c r="B1282">
        <f>1+MIN(150,150*(1-(1-(Inputs!$B$11+((C1268=TRUE)*(F1268-Calc!F22))+((C1269=TRUE)*(F1269-Calc!F23)))/150)*(1-B1281/150)))/100</f>
        <v/>
      </c>
    </row>
    <row r="1283">
      <c r="A1283" t="inlineStr">
        <is>
          <t>Skill + Buff Cast Rate</t>
        </is>
      </c>
      <c r="B1283">
        <f>IF(AND(Inputs!$B$38&lt;&gt;"pvp",Inputs!$B$43&gt;0),SUMPRODUCT((Skills!E2:E31=TRUE)*(C1248:C1277=TRUE)*R1248:R1277*Skills!F2:F31)/Inputs!$B$43,SUMPRODUCT((Skills!E2:E31=TRUE)*(C1248:C1277=TRUE)*Q1248:Q1277*Skills!F2:F31))</f>
        <v/>
      </c>
    </row>
    <row r="1284">
      <c r="A1284" t="inlineStr">
        <is>
          <t>Arrow Stream Casts Per Second</t>
        </is>
      </c>
      <c r="B1284">
        <f>MAX(0,B1282-B1283)</f>
        <v/>
      </c>
    </row>
    <row r="1285">
      <c r="A1285" t="inlineStr">
        <is>
          <t>Global Critical Damage Bonus % (Sharp Eyes + Concentration)</t>
        </is>
      </c>
      <c r="B1285">
        <f>(C1263=TRUE)*F1263*IF(AND(Inputs!$B$38&lt;&gt;"pvp",Inputs!$B$43&gt;0),(((R1263-1)*(Skills!T17*(1+(Inputs!$B$34+1)/100))+MIN((Skills!T17*(1+(Inputs!$B$34+1)/100)),MAX(0,Inputs!$B$43-((R1263-1)*Skills!D17))))/Inputs!$B$43),IF(Inputs!$B$38="pvp",MIN((Skills!T17*(1+(Inputs!$B$34+1)/100)),15)/15,(Skills!T17*(1+(Inputs!$B$34+1)/100))/Skills!D17))+(C1264=TRUE)*30</f>
        <v/>
      </c>
    </row>
    <row r="1286">
      <c r="A1286" t="inlineStr">
        <is>
          <t>Global Final Damage Bonus % (Mortal Blow)</t>
        </is>
      </c>
      <c r="B1286">
        <f>(C1265=TRUE)*F1265</f>
        <v/>
      </c>
    </row>
    <row r="1287">
      <c r="A1287" t="inlineStr">
        <is>
          <t>Buff-Casting Startup Delay (s, fixed-duration only)</t>
        </is>
      </c>
      <c r="B1287">
        <f>IF(AND(Inputs!$B$38&lt;&gt;"pvp",Inputs!$B$43&gt;0),SUMPRODUCT((Skills!T2:T31&gt;0)*(Skills!E2:E31=TRUE)*(C1248:C1277=TRUE))/B1282,0)</f>
        <v/>
      </c>
    </row>
    <row r="1288">
      <c r="A1288" t="inlineStr">
        <is>
          <t>Boss-Only Total DPS (this block's swept value)</t>
        </is>
      </c>
      <c r="B1288">
        <f>SUM(T1248:T1277)</f>
        <v/>
      </c>
    </row>
    <row r="1289">
      <c r="A1289" t="inlineStr">
        <is>
          <t>Normal-Only Total DPS (this block's swept value)</t>
        </is>
      </c>
      <c r="B1289">
        <f>SUM(V1248:V1277)</f>
        <v/>
      </c>
    </row>
    <row r="1290">
      <c r="A1290" s="6" t="inlineStr">
        <is>
          <t>TOTAL DPS</t>
        </is>
      </c>
      <c r="B1290" s="6">
        <f>SUM(O1248:O1277)</f>
        <v/>
      </c>
    </row>
    <row r="1293">
      <c r="A1293" s="6" t="inlineStr">
        <is>
          <t>Stat: Charm of the Undead (Equip)</t>
        </is>
      </c>
    </row>
    <row r="1294">
      <c r="A1294" s="5" t="inlineStr">
        <is>
          <t>Key</t>
        </is>
      </c>
      <c r="B1294" s="5" t="inlineStr">
        <is>
          <t>Name</t>
        </is>
      </c>
      <c r="C1294" s="5" t="inlineStr">
        <is>
          <t>Unlocked</t>
        </is>
      </c>
      <c r="D1294" s="5" t="inlineStr">
        <is>
          <t>InputLevel</t>
        </is>
      </c>
      <c r="E1294" s="5" t="inlineStr">
        <is>
          <t>Factor</t>
        </is>
      </c>
      <c r="F1294" s="5" t="inlineStr">
        <is>
          <t>CoefficientPercent</t>
        </is>
      </c>
      <c r="G1294" s="5" t="inlineStr">
        <is>
          <t>EffectiveHits</t>
        </is>
      </c>
      <c r="H1294" s="5" t="inlineStr">
        <is>
          <t>ProcProbability</t>
        </is>
      </c>
      <c r="I1294" s="5" t="inlineStr">
        <is>
          <t>MapleHeroMultiplier</t>
        </is>
      </c>
      <c r="J1294" s="5" t="inlineStr">
        <is>
          <t>BaseDamage</t>
        </is>
      </c>
      <c r="K1294" s="5" t="inlineStr">
        <is>
          <t>BaseHitDamage</t>
        </is>
      </c>
      <c r="L1294" s="5" t="inlineStr">
        <is>
          <t>NonCritAvg</t>
        </is>
      </c>
      <c r="M1294" s="5" t="inlineStr">
        <is>
          <t>CritAvg</t>
        </is>
      </c>
      <c r="N1294" s="5" t="inlineStr">
        <is>
          <t>ExpectedDamage(perHit)</t>
        </is>
      </c>
      <c r="O1294" s="5" t="inlineStr">
        <is>
          <t>DPS</t>
        </is>
      </c>
      <c r="P1294" s="5" t="inlineStr">
        <is>
          <t>% of Total</t>
        </is>
      </c>
      <c r="Q1294" s="5" t="inlineStr">
        <is>
          <t>InvCooldown</t>
        </is>
      </c>
      <c r="R1294" s="5" t="inlineStr">
        <is>
          <t>CastsInFight</t>
        </is>
      </c>
      <c r="S1294" s="5" t="inlineStr">
        <is>
          <t>HitRate(perSec)</t>
        </is>
      </c>
      <c r="U1294" t="inlineStr">
        <is>
          <t>helpers</t>
        </is>
      </c>
    </row>
    <row r="1295">
      <c r="A1295">
        <f>Skills!A2</f>
        <v/>
      </c>
      <c r="B1295">
        <f>Skills!B2</f>
        <v/>
      </c>
      <c r="C1295">
        <f>Inputs!$B$3&gt;=100</f>
        <v/>
      </c>
      <c r="D1295" t="inlineStr"/>
      <c r="E1295" t="inlineStr"/>
      <c r="F1295">
        <f>U1297+Skills!O2</f>
        <v/>
      </c>
      <c r="G1295">
        <f>Skills!G2*IF(Skills!H2&gt;0,Skills!I2/Skills!H2,1)</f>
        <v/>
      </c>
      <c r="H1295">
        <f>1-(1-Skills!J2/100)^Skills!K2</f>
        <v/>
      </c>
      <c r="I1295" t="inlineStr">
        <is>
          <t>1</t>
        </is>
      </c>
      <c r="J1295">
        <f>((Inputs!$B$6*(1+Inputs!$B$7/100))+(((Inputs!$B$12*(1+Inputs!$B$13/100))-(Inputs!$B$12*(1+Inputs!$B$13/100)))+0.25*(Inputs!$B$14-Inputs!$B$14))*(1+Inputs!$B$7/100))*(F1295/100)</f>
        <v/>
      </c>
      <c r="K1295">
        <f>J1295*(1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1295)</f>
        <v/>
      </c>
      <c r="L1295">
        <f>K1295*(MIN(Inputs!$B$22+((C1318=TRUE)*(F1318-Calc!F25)),(Inputs!$B$23+((C1323=TRUE)*(F1323-Calc!F30))+(IF(ArtifactsInput!$M$15,CHOOSE(ArtifactsInput!$N$15+1,25,30,35,40,45,50)/100*(Inputs!$B$11-Inputs!$B$11),0))))/100+(Inputs!$B$23+((C1323=TRUE)*(F1323-Calc!F30))+(IF(ArtifactsInput!$M$15,CHOOSE(ArtifactsInput!$N$15+1,25,30,35,40,45,50)/100*(Inputs!$B$11-Inputs!$B$11),0)))/100)/2</f>
        <v/>
      </c>
      <c r="M1295">
        <f>L1295*(1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5">
        <f>L1295*(1-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1295*(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5">
        <f>(1-Summary!$B$11)*T1295+Summary!$B$11*V1295</f>
        <v/>
      </c>
      <c r="P1295">
        <f>IF(B1337=0,0,O1295/B1337)</f>
        <v/>
      </c>
      <c r="Q1295" t="n">
        <v>0</v>
      </c>
      <c r="R1295" t="n">
        <v>0</v>
      </c>
      <c r="S1295">
        <f>IFERROR(O1295/N1295,0)</f>
        <v/>
      </c>
      <c r="T1295">
        <f>IF(C1295,(Skills!G2*N1295*B1331)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1295*(1-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1295*(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1295*(1-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1295*(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95">
        <f>MAX(0,(Inputs!$B$3-100)*3)+Inputs!$B$28+Inputs!$B$29</f>
        <v/>
      </c>
      <c r="V1295">
        <f>IF(C1295,(Skills!G2*N1295*B1331)*IF(Inputs!$B$38="pvp",1,(1+(Inputs!$B$21+Skills!Q2+(IF(ArtifactsInput!$M$33,CHOOSE(ArtifactsInput!$N$33+1,30,36,42,48,54,60),0))+(IF(AND(ArtifactsInput!$M$35,Inputs!$B$4&lt;&gt;"Chapter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6">
      <c r="A1296">
        <f>Skills!A3</f>
        <v/>
      </c>
      <c r="B1296">
        <f>Skills!B3</f>
        <v/>
      </c>
      <c r="C1296">
        <f>Inputs!$B$3&gt;=50</f>
        <v/>
      </c>
      <c r="D1296">
        <f>IF(Skills!C3=1,60+Inputs!$B$25+Inputs!$B$29,IF(Skills!C3=2,90+Inputs!$B$26+Inputs!$B$29,IF(Skills!C3=3,120+Inputs!$B$27+Inputs!$B$29,MAX(0,(Inputs!$B$3-100)*3)+Inputs!$B$28+Inputs!$B$29)))</f>
        <v/>
      </c>
      <c r="E1296">
        <f>INDEX(FactorTable!$B$2:$Y$301, MATCH(ROUND(MIN(300,MAX(1,D1296)),0), FactorTable!$A$2:$A$301,0), Skills!M3+1)</f>
        <v/>
      </c>
      <c r="F1296">
        <f>IF(Skills!N3=TRUE,(Skills!L3/10)*(E1296/1000),Skills!L3/10)+Skills!O3</f>
        <v/>
      </c>
      <c r="G1296">
        <f>Skills!G3*IF(Skills!H3&gt;0,Skills!I3/Skills!H3,1)</f>
        <v/>
      </c>
      <c r="H1296">
        <f>1-(1-Skills!J3/100)^Skills!K3</f>
        <v/>
      </c>
      <c r="I1296" t="inlineStr">
        <is>
          <t>1</t>
        </is>
      </c>
      <c r="J1296">
        <f>((Inputs!$B$6*(1+Inputs!$B$7/100))+(((Inputs!$B$12*(1+Inputs!$B$13/100))-(Inputs!$B$12*(1+Inputs!$B$13/100)))+0.25*(Inputs!$B$14-Inputs!$B$14))*(1+Inputs!$B$7/100))*(F1296/100)</f>
        <v/>
      </c>
      <c r="K1296">
        <f>J1296*(1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1297=TRUE,F1297,0)/100)*(1+(IF(Skills!A3="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1296)</f>
        <v/>
      </c>
      <c r="L1296">
        <f>K1296*(MIN(Inputs!$B$22+((C1318=TRUE)*(F1318-Calc!F25)),(Inputs!$B$23+((C1323=TRUE)*(F1323-Calc!F30))+(IF(ArtifactsInput!$M$15,CHOOSE(ArtifactsInput!$N$15+1,25,30,35,40,45,50)/100*(Inputs!$B$11-Inputs!$B$11),0))))/100+(Inputs!$B$23+((C1323=TRUE)*(F1323-Calc!F30))+(IF(ArtifactsInput!$M$15,CHOOSE(ArtifactsInput!$N$15+1,25,30,35,40,45,50)/100*(Inputs!$B$11-Inputs!$B$11),0)))/100)/2</f>
        <v/>
      </c>
      <c r="M1296">
        <f>L1296*(1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6">
        <f>L1296*(1-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1296*(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6">
        <f>(1-Summary!$B$11)*T1296+Summary!$B$11*V1296</f>
        <v/>
      </c>
      <c r="P1296">
        <f>IF(B1337=0,0,O1296/B1337)</f>
        <v/>
      </c>
      <c r="Q1296">
        <f>IFERROR(1/(IF(Inputs!$B$38="pvp",15,MAX(0.1,Skills!D3-IF(Skills!E3=TRUE,Inputs!$B$32,0)))*(1-IF(AND(ArtifactsInput!$M$27,Inputs!$B$4="Chapter Hunt"),CHOOSE(ArtifactsInput!$N$27+1,20,24,28,32,36,40),0)/100)),0)</f>
        <v/>
      </c>
      <c r="R1296">
        <f>IF(AND(Inputs!$B$38&lt;&gt;"pvp",Inputs!$B$43&gt;0),IF(MAX(0,Inputs!$B$43-B1334)&lt;=0,0,(INT(MAX(0,Inputs!$B$43-B1334)/(IF(Inputs!$B$38="pvp",15,MAX(0.1,Skills!D3-IF(Skills!E3=TRUE,Inputs!$B$32,0)))*(1-IF(AND(ArtifactsInput!$M$27,Inputs!$B$4="Chapter Hunt"),CHOOSE(ArtifactsInput!$N$27+1,20,24,28,32,36,40),0)/100)))+1)),0)</f>
        <v/>
      </c>
      <c r="S1296">
        <f>IFERROR(O1296/N1296,0)</f>
        <v/>
      </c>
      <c r="T1296">
        <f>IF(C1296,(H1296*N1296*IF(AND(Inputs!$B$38&lt;&gt;"pvp",Inputs!$B$43&gt;0),((Skills!G3*((R1296-1)*IF(Skills!H3&gt;0,Skills!I3/Skills!H3,1)+IF(Skills!H3&gt;0,MIN(Skills!I3,MAX(0,MAX(0,Inputs!$B$43-B1334)-((R1296-1)*(IF(Inputs!$B$38="pvp",15,MAX(0.1,Skills!D3-IF(Skills!E3=TRUE,Inputs!$B$32,0)))*(1-IF(AND(ArtifactsInput!$M$27,Inputs!$B$4="Chapter Hunt"),CHOOSE(ArtifactsInput!$N$27+1,20,24,28,32,36,40),0)/100)))))/Skills!H3,1)))/Inputs!$B$43),G1296*Q1296)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1296*(1-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1296*(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1296*(1-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1296*(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96">
        <f>INDEX(FactorTable!$B$2:$Y$301, MATCH(ROUND(MIN(300,MAX(1,U1295)),0), FactorTable!$A$2:$A$301,0), 22)</f>
        <v/>
      </c>
      <c r="V1296">
        <f>IF(C1296,(H1296*N1296*IF(AND(Inputs!$B$38&lt;&gt;"pvp",Inputs!$B$43&gt;0),((Skills!G3*((R1296-1)*IF(Skills!H3&gt;0,Skills!I3/Skills!H3,1)+IF(Skills!H3&gt;0,MIN(Skills!I3,MAX(0,MAX(0,Inputs!$B$43-B1334)-((R1296-1)*(IF(Inputs!$B$38="pvp",15,MAX(0.1,Skills!D3-IF(Skills!E3=TRUE,Inputs!$B$32,0)))*(1-IF(AND(ArtifactsInput!$M$27,Inputs!$B$4="Chapter Hunt"),CHOOSE(ArtifactsInput!$N$27+1,20,24,28,32,36,40),0)/100)))))/Skills!H3,1)))/Inputs!$B$43),G1296*Q1296))*IF(Inputs!$B$38="pvp",1,(1+(Inputs!$B$21+Skills!Q3+(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7">
      <c r="A1297">
        <f>Skills!A4</f>
        <v/>
      </c>
      <c r="B1297">
        <f>Skills!B4</f>
        <v/>
      </c>
      <c r="C1297">
        <f>Inputs!$B$3&gt;=105</f>
        <v/>
      </c>
      <c r="D1297">
        <f>IF(Skills!C4=1,60+Inputs!$B$25+Inputs!$B$29,IF(Skills!C4=2,90+Inputs!$B$26+Inputs!$B$29,IF(Skills!C4=3,120+Inputs!$B$27+Inputs!$B$29,MAX(0,(Inputs!$B$3-100)*3)+Inputs!$B$28+Inputs!$B$29)))</f>
        <v/>
      </c>
      <c r="E1297">
        <f>INDEX(FactorTable!$B$2:$Y$301, MATCH(ROUND(MIN(300,MAX(1,D1297)),0), FactorTable!$A$2:$A$301,0), Skills!M4+1)</f>
        <v/>
      </c>
      <c r="F1297">
        <f>IF(Skills!N4=TRUE,(Skills!L4/10)*(E1297/1000),Skills!L4/10)+Skills!O4</f>
        <v/>
      </c>
      <c r="G1297" t="inlineStr"/>
      <c r="H1297" t="inlineStr"/>
      <c r="I1297" t="inlineStr">
        <is>
          <t>1</t>
        </is>
      </c>
      <c r="J1297" t="inlineStr"/>
      <c r="K1297" t="inlineStr"/>
      <c r="L1297" t="inlineStr"/>
      <c r="M1297" t="inlineStr"/>
      <c r="N1297" t="inlineStr"/>
      <c r="O1297" t="inlineStr"/>
      <c r="P1297" t="inlineStr"/>
      <c r="Q1297" t="inlineStr"/>
      <c r="R1297" t="inlineStr"/>
      <c r="S1297" t="inlineStr"/>
      <c r="T1297" t="inlineStr"/>
      <c r="U1297">
        <f>290*U1296/1000</f>
        <v/>
      </c>
      <c r="V1297" t="inlineStr"/>
    </row>
    <row r="1298">
      <c r="A1298">
        <f>Skills!A5</f>
        <v/>
      </c>
      <c r="B1298">
        <f>Skills!B5</f>
        <v/>
      </c>
      <c r="C1298">
        <f>Inputs!$B$3&gt;=35</f>
        <v/>
      </c>
      <c r="D1298">
        <f>IF(Skills!C5=1,60+Inputs!$B$25+Inputs!$B$29,IF(Skills!C5=2,90+Inputs!$B$26+Inputs!$B$29,IF(Skills!C5=3,120+Inputs!$B$27+Inputs!$B$29,MAX(0,(Inputs!$B$3-100)*3)+Inputs!$B$28+Inputs!$B$29)))</f>
        <v/>
      </c>
      <c r="E1298">
        <f>INDEX(FactorTable!$B$2:$Y$301, MATCH(ROUND(MIN(300,MAX(1,D1298)),0), FactorTable!$A$2:$A$301,0), Skills!M5+1)</f>
        <v/>
      </c>
      <c r="F1298">
        <f>IF(Skills!N5=TRUE,(Skills!L5/10)*(E1298/1000),Skills!L5/10)+Skills!O5</f>
        <v/>
      </c>
      <c r="G1298">
        <f>Skills!G5*IF(Skills!H5&gt;0,Skills!I5/Skills!H5,1)</f>
        <v/>
      </c>
      <c r="H1298">
        <f>1-(1-Skills!J5/100)^Skills!K5</f>
        <v/>
      </c>
      <c r="I1298" t="inlineStr">
        <is>
          <t>1</t>
        </is>
      </c>
      <c r="J1298">
        <f>((Inputs!$B$6*(1+Inputs!$B$7/100))+(((Inputs!$B$12*(1+Inputs!$B$13/100))-(Inputs!$B$12*(1+Inputs!$B$13/100)))+0.25*(Inputs!$B$14-Inputs!$B$14))*(1+Inputs!$B$7/100))*(F1298/100)</f>
        <v/>
      </c>
      <c r="K1298">
        <f>J1298*(1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1304=TRUE,F1304,0)/100)*(1+(IF(Skills!A5="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1298)</f>
        <v/>
      </c>
      <c r="L1298">
        <f>K1298*(MIN(Inputs!$B$22+((C1318=TRUE)*(F1318-Calc!F25)),(Inputs!$B$23+((C1323=TRUE)*(F1323-Calc!F30))+(IF(ArtifactsInput!$M$15,CHOOSE(ArtifactsInput!$N$15+1,25,30,35,40,45,50)/100*(Inputs!$B$11-Inputs!$B$11),0))))/100+(Inputs!$B$23+((C1323=TRUE)*(F1323-Calc!F30))+(IF(ArtifactsInput!$M$15,CHOOSE(ArtifactsInput!$N$15+1,25,30,35,40,45,50)/100*(Inputs!$B$11-Inputs!$B$11),0)))/100)/2</f>
        <v/>
      </c>
      <c r="M1298">
        <f>L1298*(1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8">
        <f>L1298*(1-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1298*(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8">
        <f>(1-Summary!$B$11)*T1298+Summary!$B$11*V1298</f>
        <v/>
      </c>
      <c r="P1298">
        <f>IF(B1337=0,0,O1298/B1337)</f>
        <v/>
      </c>
      <c r="Q1298">
        <f>IFERROR(1/(IF(Inputs!$B$38="pvp",15,MAX(0.1,Skills!D5-IF(Skills!E5=TRUE,Inputs!$B$32,0)))*(1-IF(AND(ArtifactsInput!$M$27,Inputs!$B$4="Chapter Hunt"),CHOOSE(ArtifactsInput!$N$27+1,20,24,28,32,36,40),0)/100)),0)</f>
        <v/>
      </c>
      <c r="R1298">
        <f>IF(AND(Inputs!$B$38&lt;&gt;"pvp",Inputs!$B$43&gt;0),IF(MAX(0,Inputs!$B$43-B1334)&lt;=0,0,(INT(MAX(0,Inputs!$B$43-B1334)/(IF(Inputs!$B$38="pvp",15,MAX(0.1,Skills!D5-IF(Skills!E5=TRUE,Inputs!$B$32,0)))*(1-IF(AND(ArtifactsInput!$M$27,Inputs!$B$4="Chapter Hunt"),CHOOSE(ArtifactsInput!$N$27+1,20,24,28,32,36,40),0)/100)))+1)),0)</f>
        <v/>
      </c>
      <c r="S1298">
        <f>IFERROR(O1298/N1298,0)</f>
        <v/>
      </c>
      <c r="T1298">
        <f>IF(C1298,(H1298*N1298*IF(AND(Inputs!$B$38&lt;&gt;"pvp",Inputs!$B$43&gt;0),((Skills!G5*((R1298-1)*IF(Skills!H5&gt;0,Skills!I5/Skills!H5,1)+IF(Skills!H5&gt;0,MIN(Skills!I5,MAX(0,MAX(0,Inputs!$B$43-B1334)-((R1298-1)*(IF(Inputs!$B$38="pvp",15,MAX(0.1,Skills!D5-IF(Skills!E5=TRUE,Inputs!$B$32,0)))*(1-IF(AND(ArtifactsInput!$M$27,Inputs!$B$4="Chapter Hunt"),CHOOSE(ArtifactsInput!$N$27+1,20,24,28,32,36,40),0)/100)))))/Skills!H5,1)))/Inputs!$B$43),G1298*Q1298)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1298*(1-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1298*(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1298*(1-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1298*(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8">
        <f>IF(C1298,(H1298*N1298*IF(AND(Inputs!$B$38&lt;&gt;"pvp",Inputs!$B$43&gt;0),((Skills!G5*((R1298-1)*IF(Skills!H5&gt;0,Skills!I5/Skills!H5,1)+IF(Skills!H5&gt;0,MIN(Skills!I5,MAX(0,MAX(0,Inputs!$B$43-B1334)-((R1298-1)*(IF(Inputs!$B$38="pvp",15,MAX(0.1,Skills!D5-IF(Skills!E5=TRUE,Inputs!$B$32,0)))*(1-IF(AND(ArtifactsInput!$M$27,Inputs!$B$4="Chapter Hunt"),CHOOSE(ArtifactsInput!$N$27+1,20,24,28,32,36,40),0)/100)))))/Skills!H5,1)))/Inputs!$B$43),G1298*Q1298))*IF(Inputs!$B$38="pvp",1,(1+(Inputs!$B$21+Skills!Q5+(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9">
      <c r="A1299">
        <f>Skills!A6</f>
        <v/>
      </c>
      <c r="B1299">
        <f>Skills!B6</f>
        <v/>
      </c>
      <c r="C1299">
        <f>Inputs!$B$3&gt;=40</f>
        <v/>
      </c>
      <c r="D1299">
        <f>IF(Skills!C6=1,60+Inputs!$B$25+Inputs!$B$29,IF(Skills!C6=2,90+Inputs!$B$26+Inputs!$B$29,IF(Skills!C6=3,120+Inputs!$B$27+Inputs!$B$29,MAX(0,(Inputs!$B$3-100)*3)+Inputs!$B$28+Inputs!$B$29)))</f>
        <v/>
      </c>
      <c r="E1299">
        <f>INDEX(FactorTable!$B$2:$Y$301, MATCH(ROUND(MIN(300,MAX(1,D1299)),0), FactorTable!$A$2:$A$301,0), Skills!M6+1)</f>
        <v/>
      </c>
      <c r="F1299">
        <f>IF(Skills!N6=TRUE,(Skills!L6/10)*(E1299/1000),Skills!L6/10)+Skills!O6</f>
        <v/>
      </c>
      <c r="G1299">
        <f>Skills!G6*IF(Skills!H6&gt;0,Skills!I6/Skills!H6,1)</f>
        <v/>
      </c>
      <c r="H1299">
        <f>1-(1-Skills!J6/100)^Skills!K6</f>
        <v/>
      </c>
      <c r="I1299" t="inlineStr">
        <is>
          <t>1</t>
        </is>
      </c>
      <c r="J1299">
        <f>((Inputs!$B$6*(1+Inputs!$B$7/100))+(((Inputs!$B$12*(1+Inputs!$B$13/100))-(Inputs!$B$12*(1+Inputs!$B$13/100)))+0.25*(Inputs!$B$14-Inputs!$B$14))*(1+Inputs!$B$7/100))*(F1299/100)</f>
        <v/>
      </c>
      <c r="K1299">
        <f>J1299*(1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1300=TRUE,F1300,0)/100)*(1+(IF(Skills!A6="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1299)</f>
        <v/>
      </c>
      <c r="L1299">
        <f>K1299*(MIN(Inputs!$B$22+((C1318=TRUE)*(F1318-Calc!F25)),(Inputs!$B$23+((C1323=TRUE)*(F1323-Calc!F30))+(IF(ArtifactsInput!$M$15,CHOOSE(ArtifactsInput!$N$15+1,25,30,35,40,45,50)/100*(Inputs!$B$11-Inputs!$B$11),0))))/100+(Inputs!$B$23+((C1323=TRUE)*(F1323-Calc!F30))+(IF(ArtifactsInput!$M$15,CHOOSE(ArtifactsInput!$N$15+1,25,30,35,40,45,50)/100*(Inputs!$B$11-Inputs!$B$11),0)))/100)/2</f>
        <v/>
      </c>
      <c r="M1299">
        <f>L1299*(1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9">
        <f>L1299*(1-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1299*(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9">
        <f>(1-Summary!$B$11)*T1299+Summary!$B$11*V1299</f>
        <v/>
      </c>
      <c r="P1299">
        <f>IF(B1337=0,0,O1299/B1337)</f>
        <v/>
      </c>
      <c r="Q1299">
        <f>IFERROR(1/(IF(Inputs!$B$38="pvp",15,MAX(0.1,Skills!D6-IF(Skills!E6=TRUE,Inputs!$B$32,0)))*(1-IF(AND(ArtifactsInput!$M$27,Inputs!$B$4="Chapter Hunt"),CHOOSE(ArtifactsInput!$N$27+1,20,24,28,32,36,40),0)/100)),0)</f>
        <v/>
      </c>
      <c r="R1299">
        <f>IF(AND(Inputs!$B$38&lt;&gt;"pvp",Inputs!$B$43&gt;0),IF(MAX(0,Inputs!$B$43-B1334)&lt;=0,0,(INT(MAX(0,Inputs!$B$43-B1334)/(IF(Inputs!$B$38="pvp",15,MAX(0.1,Skills!D6-IF(Skills!E6=TRUE,Inputs!$B$32,0)))*(1-IF(AND(ArtifactsInput!$M$27,Inputs!$B$4="Chapter Hunt"),CHOOSE(ArtifactsInput!$N$27+1,20,24,28,32,36,40),0)/100)))+1)),0)</f>
        <v/>
      </c>
      <c r="S1299">
        <f>IFERROR(O1299/N1299,0)</f>
        <v/>
      </c>
      <c r="T1299">
        <f>IF(C1299,(H1299*N1299*IF(AND(Inputs!$B$38&lt;&gt;"pvp",Inputs!$B$43&gt;0),((Skills!G6*((R1299-1)*IF(Skills!H6&gt;0,Skills!I6/Skills!H6,1)+IF(Skills!H6&gt;0,MIN(Skills!I6,MAX(0,MAX(0,Inputs!$B$43-B1334)-((R1299-1)*(IF(Inputs!$B$38="pvp",15,MAX(0.1,Skills!D6-IF(Skills!E6=TRUE,Inputs!$B$32,0)))*(1-IF(AND(ArtifactsInput!$M$27,Inputs!$B$4="Chapter Hunt"),CHOOSE(ArtifactsInput!$N$27+1,20,24,28,32,36,40),0)/100)))))/Skills!H6,1)))/Inputs!$B$43),G1299*Q1299)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1299*(1-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1299*(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1299*(1-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1299*(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9">
        <f>IF(C1299,(H1299*N1299*IF(AND(Inputs!$B$38&lt;&gt;"pvp",Inputs!$B$43&gt;0),((Skills!G6*((R1299-1)*IF(Skills!H6&gt;0,Skills!I6/Skills!H6,1)+IF(Skills!H6&gt;0,MIN(Skills!I6,MAX(0,MAX(0,Inputs!$B$43-B1334)-((R1299-1)*(IF(Inputs!$B$38="pvp",15,MAX(0.1,Skills!D6-IF(Skills!E6=TRUE,Inputs!$B$32,0)))*(1-IF(AND(ArtifactsInput!$M$27,Inputs!$B$4="Chapter Hunt"),CHOOSE(ArtifactsInput!$N$27+1,20,24,28,32,36,40),0)/100)))))/Skills!H6,1)))/Inputs!$B$43),G1299*Q1299))*IF(Inputs!$B$38="pvp",1,(1+(Inputs!$B$21+Skills!Q6+(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0">
      <c r="A1300">
        <f>Skills!A7</f>
        <v/>
      </c>
      <c r="B1300">
        <f>Skills!B7</f>
        <v/>
      </c>
      <c r="C1300">
        <f>Inputs!$B$3&gt;=107</f>
        <v/>
      </c>
      <c r="D1300">
        <f>IF(Skills!C7=1,60+Inputs!$B$25+Inputs!$B$29,IF(Skills!C7=2,90+Inputs!$B$26+Inputs!$B$29,IF(Skills!C7=3,120+Inputs!$B$27+Inputs!$B$29,MAX(0,(Inputs!$B$3-100)*3)+Inputs!$B$28+Inputs!$B$29)))</f>
        <v/>
      </c>
      <c r="E1300">
        <f>INDEX(FactorTable!$B$2:$Y$301, MATCH(ROUND(MIN(300,MAX(1,D1300)),0), FactorTable!$A$2:$A$301,0), Skills!M7+1)</f>
        <v/>
      </c>
      <c r="F1300">
        <f>IF(Skills!N7=TRUE,(Skills!L7/10)*(E1300/1000),Skills!L7/10)+Skills!O7</f>
        <v/>
      </c>
      <c r="G1300" t="inlineStr"/>
      <c r="H1300" t="inlineStr"/>
      <c r="I1300" t="inlineStr">
        <is>
          <t>1</t>
        </is>
      </c>
      <c r="J1300" t="inlineStr"/>
      <c r="K1300" t="inlineStr"/>
      <c r="L1300" t="inlineStr"/>
      <c r="M1300" t="inlineStr"/>
      <c r="N1300" t="inlineStr"/>
      <c r="O1300" t="inlineStr"/>
      <c r="P1300" t="inlineStr"/>
      <c r="Q1300" t="inlineStr"/>
      <c r="R1300" t="inlineStr"/>
      <c r="S1300" t="inlineStr"/>
      <c r="T1300" t="inlineStr"/>
      <c r="V1300" t="inlineStr"/>
    </row>
    <row r="1301">
      <c r="A1301">
        <f>Skills!A8</f>
        <v/>
      </c>
      <c r="B1301">
        <f>Skills!B8</f>
        <v/>
      </c>
      <c r="C1301">
        <f>Inputs!$B$3&gt;=69</f>
        <v/>
      </c>
      <c r="D1301">
        <f>IF(Skills!C8=1,60+Inputs!$B$25+Inputs!$B$29,IF(Skills!C8=2,90+Inputs!$B$26+Inputs!$B$29,IF(Skills!C8=3,120+Inputs!$B$27+Inputs!$B$29,MAX(0,(Inputs!$B$3-100)*3)+Inputs!$B$28+Inputs!$B$29)))</f>
        <v/>
      </c>
      <c r="E1301">
        <f>INDEX(FactorTable!$B$2:$Y$301, MATCH(ROUND(MIN(300,MAX(1,D1301)),0), FactorTable!$A$2:$A$301,0), Skills!M8+1)</f>
        <v/>
      </c>
      <c r="F1301">
        <f>IF(Skills!N8=TRUE,(Skills!L8/10)*(E1301/1000),Skills!L8/10)+Skills!O8</f>
        <v/>
      </c>
      <c r="G1301">
        <f>Skills!G8*IF(Skills!H8&gt;0,Skills!I8/Skills!H8,1)</f>
        <v/>
      </c>
      <c r="H1301">
        <f>1-(1-Skills!J8/100)^Skills!K8</f>
        <v/>
      </c>
      <c r="I1301" t="inlineStr">
        <is>
          <t>1</t>
        </is>
      </c>
      <c r="J1301">
        <f>((Inputs!$B$6*(1+Inputs!$B$7/100))+(((Inputs!$B$12*(1+Inputs!$B$13/100))-(Inputs!$B$12*(1+Inputs!$B$13/100)))+0.25*(Inputs!$B$14-Inputs!$B$14))*(1+Inputs!$B$7/100))*(F1301/100)</f>
        <v/>
      </c>
      <c r="K1301">
        <f>J1301*(1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1304=TRUE,F1304,0)/100)*(1+(IF(Skills!A8="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1301)</f>
        <v/>
      </c>
      <c r="L1301">
        <f>K1301*(MIN(Inputs!$B$22+((C1318=TRUE)*(F1318-Calc!F25)),(Inputs!$B$23+((C1323=TRUE)*(F1323-Calc!F30))+(IF(ArtifactsInput!$M$15,CHOOSE(ArtifactsInput!$N$15+1,25,30,35,40,45,50)/100*(Inputs!$B$11-Inputs!$B$11),0))))/100+(Inputs!$B$23+((C1323=TRUE)*(F1323-Calc!F30))+(IF(ArtifactsInput!$M$15,CHOOSE(ArtifactsInput!$N$15+1,25,30,35,40,45,50)/100*(Inputs!$B$11-Inputs!$B$11),0)))/100)/2</f>
        <v/>
      </c>
      <c r="M1301">
        <f>L1301*(1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1">
        <f>L1301*(1-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1">
        <f>(1-Summary!$B$11)*T1301+Summary!$B$11*V1301</f>
        <v/>
      </c>
      <c r="P1301">
        <f>IF(B1337=0,0,O1301/B1337)</f>
        <v/>
      </c>
      <c r="Q1301">
        <f>IFERROR(1/(IF(Inputs!$B$38="pvp",15,MAX(0.1,Skills!D8-IF(Skills!E8=TRUE,Inputs!$B$32,0)))*(1-IF(AND(ArtifactsInput!$M$27,Inputs!$B$4="Chapter Hunt"),CHOOSE(ArtifactsInput!$N$27+1,20,24,28,32,36,40),0)/100)),0)</f>
        <v/>
      </c>
      <c r="R1301">
        <f>IF(AND(Inputs!$B$38&lt;&gt;"pvp",Inputs!$B$43&gt;0),IF(MAX(0,Inputs!$B$43-B1334)&lt;=0,0,(INT(MAX(0,Inputs!$B$43-B1334)/(IF(Inputs!$B$38="pvp",15,MAX(0.1,Skills!D8-IF(Skills!E8=TRUE,Inputs!$B$32,0)))*(1-IF(AND(ArtifactsInput!$M$27,Inputs!$B$4="Chapter Hunt"),CHOOSE(ArtifactsInput!$N$27+1,20,24,28,32,36,40),0)/100)))+1)),0)</f>
        <v/>
      </c>
      <c r="S1301">
        <f>IFERROR(O1301/N1301,0)</f>
        <v/>
      </c>
      <c r="T1301">
        <f>IF(C1301,(H1301*N1301*IF(AND(Inputs!$B$38&lt;&gt;"pvp",Inputs!$B$43&gt;0),((Skills!G8*((R1301-1)*IF(Skills!H8&gt;0,Skills!I8/Skills!H8,1)+IF(Skills!H8&gt;0,MIN(Skills!I8,MAX(0,MAX(0,Inputs!$B$43-B1334)-((R1301-1)*(IF(Inputs!$B$38="pvp",15,MAX(0.1,Skills!D8-IF(Skills!E8=TRUE,Inputs!$B$32,0)))*(1-IF(AND(ArtifactsInput!$M$27,Inputs!$B$4="Chapter Hunt"),CHOOSE(ArtifactsInput!$N$27+1,20,24,28,32,36,40),0)/100)))))/Skills!H8,1)))/Inputs!$B$43),G1301*Q1301)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1301*(1-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1301*(1-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1">
        <f>IF(C1301,(H1301*N1301*IF(AND(Inputs!$B$38&lt;&gt;"pvp",Inputs!$B$43&gt;0),((Skills!G8*((R1301-1)*IF(Skills!H8&gt;0,Skills!I8/Skills!H8,1)+IF(Skills!H8&gt;0,MIN(Skills!I8,MAX(0,MAX(0,Inputs!$B$43-B1334)-((R1301-1)*(IF(Inputs!$B$38="pvp",15,MAX(0.1,Skills!D8-IF(Skills!E8=TRUE,Inputs!$B$32,0)))*(1-IF(AND(ArtifactsInput!$M$27,Inputs!$B$4="Chapter Hunt"),CHOOSE(ArtifactsInput!$N$27+1,20,24,28,32,36,40),0)/100)))))/Skills!H8,1)))/Inputs!$B$43),G1301*Q1301))*IF(Inputs!$B$38="pvp",1,(1+(Inputs!$B$21+Skills!Q8+(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2">
      <c r="A1302">
        <f>Skills!A9</f>
        <v/>
      </c>
      <c r="B1302">
        <f>Skills!B9</f>
        <v/>
      </c>
      <c r="C1302">
        <f>Inputs!$B$3&gt;=63</f>
        <v/>
      </c>
      <c r="D1302">
        <f>IF(Skills!C9=1,60+Inputs!$B$25+Inputs!$B$29,IF(Skills!C9=2,90+Inputs!$B$26+Inputs!$B$29,IF(Skills!C9=3,120+Inputs!$B$27+Inputs!$B$29,MAX(0,(Inputs!$B$3-100)*3)+Inputs!$B$28+Inputs!$B$29)))</f>
        <v/>
      </c>
      <c r="E1302">
        <f>INDEX(FactorTable!$B$2:$Y$301, MATCH(ROUND(MIN(300,MAX(1,D1302)),0), FactorTable!$A$2:$A$301,0), Skills!M9+1)</f>
        <v/>
      </c>
      <c r="F1302">
        <f>IF(Skills!N9=TRUE,(Skills!L9/10)*(E1302/1000),Skills!L9/10)+Skills!O9</f>
        <v/>
      </c>
      <c r="G1302">
        <f>Skills!G9*IF(Skills!H9&gt;0,Skills!I9/Skills!H9,1)</f>
        <v/>
      </c>
      <c r="H1302">
        <f>1-(1-Skills!J9/100)^Skills!K9</f>
        <v/>
      </c>
      <c r="I1302" t="inlineStr">
        <is>
          <t>1</t>
        </is>
      </c>
      <c r="J1302">
        <f>((Inputs!$B$6*(1+Inputs!$B$7/100))+(((Inputs!$B$12*(1+Inputs!$B$13/100))-(Inputs!$B$12*(1+Inputs!$B$13/100)))+0.25*(Inputs!$B$14-Inputs!$B$14))*(1+Inputs!$B$7/100))*(F1302/100)</f>
        <v/>
      </c>
      <c r="K1302">
        <f>J1302*(1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1304=TRUE,F1304,0)/100)*(1+(IF(Skills!A9="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1302)</f>
        <v/>
      </c>
      <c r="L1302">
        <f>K1302*(MIN(Inputs!$B$22+((C1318=TRUE)*(F1318-Calc!F25)),(Inputs!$B$23+((C1323=TRUE)*(F1323-Calc!F30))+(IF(ArtifactsInput!$M$15,CHOOSE(ArtifactsInput!$N$15+1,25,30,35,40,45,50)/100*(Inputs!$B$11-Inputs!$B$11),0))))/100+(Inputs!$B$23+((C1323=TRUE)*(F1323-Calc!F30))+(IF(ArtifactsInput!$M$15,CHOOSE(ArtifactsInput!$N$15+1,25,30,35,40,45,50)/100*(Inputs!$B$11-Inputs!$B$11),0)))/100)/2</f>
        <v/>
      </c>
      <c r="M1302">
        <f>L1302*(1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2">
        <f>L1302*(1-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1302*(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2">
        <f>(1-Summary!$B$11)*T1302+Summary!$B$11*V1302</f>
        <v/>
      </c>
      <c r="P1302">
        <f>IF(B1337=0,0,O1302/B1337)</f>
        <v/>
      </c>
      <c r="Q1302">
        <f>IFERROR(1/(IF(Inputs!$B$38="pvp",15,MAX(0.1,Skills!D9-IF(Skills!E9=TRUE,Inputs!$B$32,0)))*(1-IF(AND(ArtifactsInput!$M$27,Inputs!$B$4="Chapter Hunt"),CHOOSE(ArtifactsInput!$N$27+1,20,24,28,32,36,40),0)/100)),0)</f>
        <v/>
      </c>
      <c r="R1302">
        <f>IF(AND(Inputs!$B$38&lt;&gt;"pvp",Inputs!$B$43&gt;0),IF(MAX(0,Inputs!$B$43-B1334)&lt;=0,0,(INT(MAX(0,Inputs!$B$43-B1334)/(IF(Inputs!$B$38="pvp",15,MAX(0.1,Skills!D9-IF(Skills!E9=TRUE,Inputs!$B$32,0)))*(1-IF(AND(ArtifactsInput!$M$27,Inputs!$B$4="Chapter Hunt"),CHOOSE(ArtifactsInput!$N$27+1,20,24,28,32,36,40),0)/100)))+1)),0)</f>
        <v/>
      </c>
      <c r="S1302">
        <f>IFERROR(O1302/N1302,0)</f>
        <v/>
      </c>
      <c r="T1302">
        <f>IF(C1302,(H1302*N1302*IF(AND(Inputs!$B$38&lt;&gt;"pvp",Inputs!$B$43&gt;0),((Skills!G9*((R1302-1)*IF(Skills!H9&gt;0,Skills!I9/Skills!H9,1)+IF(Skills!H9&gt;0,MIN(Skills!I9,MAX(0,MAX(0,Inputs!$B$43-B1334)-((R1302-1)*(IF(Inputs!$B$38="pvp",15,MAX(0.1,Skills!D9-IF(Skills!E9=TRUE,Inputs!$B$32,0)))*(1-IF(AND(ArtifactsInput!$M$27,Inputs!$B$4="Chapter Hunt"),CHOOSE(ArtifactsInput!$N$27+1,20,24,28,32,36,40),0)/100)))))/Skills!H9,1)))/Inputs!$B$43),G1302*Q1302)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1302*(1-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1302*(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1302*(1-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1302*(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2">
        <f>IF(C1302,(H1302*N1302*IF(AND(Inputs!$B$38&lt;&gt;"pvp",Inputs!$B$43&gt;0),((Skills!G9*((R1302-1)*IF(Skills!H9&gt;0,Skills!I9/Skills!H9,1)+IF(Skills!H9&gt;0,MIN(Skills!I9,MAX(0,MAX(0,Inputs!$B$43-B1334)-((R1302-1)*(IF(Inputs!$B$38="pvp",15,MAX(0.1,Skills!D9-IF(Skills!E9=TRUE,Inputs!$B$32,0)))*(1-IF(AND(ArtifactsInput!$M$27,Inputs!$B$4="Chapter Hunt"),CHOOSE(ArtifactsInput!$N$27+1,20,24,28,32,36,40),0)/100)))))/Skills!H9,1)))/Inputs!$B$43),G1302*Q1302))*IF(Inputs!$B$38="pvp",1,(1+(Inputs!$B$21+Skills!Q9+(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3">
      <c r="A1303">
        <f>Skills!A10</f>
        <v/>
      </c>
      <c r="B1303">
        <f>Skills!B10</f>
        <v/>
      </c>
      <c r="C1303">
        <f>Inputs!$B$3&gt;=103</f>
        <v/>
      </c>
      <c r="D1303">
        <f>IF(Skills!C10=1,60+Inputs!$B$25+Inputs!$B$29,IF(Skills!C10=2,90+Inputs!$B$26+Inputs!$B$29,IF(Skills!C10=3,120+Inputs!$B$27+Inputs!$B$29,MAX(0,(Inputs!$B$3-100)*3)+Inputs!$B$28+Inputs!$B$29)))</f>
        <v/>
      </c>
      <c r="E1303">
        <f>INDEX(FactorTable!$B$2:$Y$301, MATCH(ROUND(MIN(300,MAX(1,D1303)),0), FactorTable!$A$2:$A$301,0), Skills!M10+1)</f>
        <v/>
      </c>
      <c r="F1303">
        <f>IF(Skills!N10=TRUE,(Skills!L10/10)*(E1303/1000),Skills!L10/10)+Skills!O10</f>
        <v/>
      </c>
      <c r="G1303">
        <f>Skills!G10*IF(Skills!H10&gt;0,Skills!I10/Skills!H10,1)</f>
        <v/>
      </c>
      <c r="H1303">
        <f>1-(1-Skills!J10/100)^Skills!K10</f>
        <v/>
      </c>
      <c r="I1303" t="inlineStr">
        <is>
          <t>1</t>
        </is>
      </c>
      <c r="J1303">
        <f>((Inputs!$B$6*(1+Inputs!$B$7/100))+(((Inputs!$B$12*(1+Inputs!$B$13/100))-(Inputs!$B$12*(1+Inputs!$B$13/100)))+0.25*(Inputs!$B$14-Inputs!$B$14))*(1+Inputs!$B$7/100))*(F1303/100)</f>
        <v/>
      </c>
      <c r="K1303">
        <f>J1303*(1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1303)</f>
        <v/>
      </c>
      <c r="L1303">
        <f>K1303*(MIN(Inputs!$B$22+((C1318=TRUE)*(F1318-Calc!F25)),(Inputs!$B$23+((C1323=TRUE)*(F1323-Calc!F30))+(IF(ArtifactsInput!$M$15,CHOOSE(ArtifactsInput!$N$15+1,25,30,35,40,45,50)/100*(Inputs!$B$11-Inputs!$B$11),0))))/100+(Inputs!$B$23+((C1323=TRUE)*(F1323-Calc!F30))+(IF(ArtifactsInput!$M$15,CHOOSE(ArtifactsInput!$N$15+1,25,30,35,40,45,50)/100*(Inputs!$B$11-Inputs!$B$11),0)))/100)/2</f>
        <v/>
      </c>
      <c r="M1303">
        <f>L1303*(1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3">
        <f>L1303*(1-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1303*(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3">
        <f>(1-Summary!$B$11)*T1303+Summary!$B$11*V1303</f>
        <v/>
      </c>
      <c r="P1303">
        <f>IF(B1337=0,0,O1303/B1337)</f>
        <v/>
      </c>
      <c r="Q1303">
        <f>IFERROR(1/(IF(Inputs!$B$38="pvp",15,MAX(0.1,Skills!D10-IF(Skills!E10=TRUE,Inputs!$B$32,0)))*(1-IF(AND(ArtifactsInput!$M$27,Inputs!$B$4="Chapter Hunt"),CHOOSE(ArtifactsInput!$N$27+1,20,24,28,32,36,40),0)/100)),0)</f>
        <v/>
      </c>
      <c r="R1303">
        <f>IF(AND(Inputs!$B$38&lt;&gt;"pvp",Inputs!$B$43&gt;0),IF(MAX(0,Inputs!$B$43-B1334)&lt;=0,0,(INT(MAX(0,Inputs!$B$43-B1334)/(IF(Inputs!$B$38="pvp",15,MAX(0.1,Skills!D10-IF(Skills!E10=TRUE,Inputs!$B$32,0)))*(1-IF(AND(ArtifactsInput!$M$27,Inputs!$B$4="Chapter Hunt"),CHOOSE(ArtifactsInput!$N$27+1,20,24,28,32,36,40),0)/100)))+1)),0)</f>
        <v/>
      </c>
      <c r="S1303">
        <f>IFERROR(O1303/N1303,0)</f>
        <v/>
      </c>
      <c r="T1303">
        <f>IF(C1303,(H1303*N1303*IF(AND(Inputs!$B$38&lt;&gt;"pvp",Inputs!$B$43&gt;0),((Skills!G10*((R1303-1)*IF(Skills!H10&gt;0,Skills!I10/Skills!H10,1)+IF(Skills!H10&gt;0,MIN(Skills!I10,MAX(0,MAX(0,Inputs!$B$43-B1334)-((R1303-1)*(IF(Inputs!$B$38="pvp",15,MAX(0.1,Skills!D10-IF(Skills!E10=TRUE,Inputs!$B$32,0)))*(1-IF(AND(ArtifactsInput!$M$27,Inputs!$B$4="Chapter Hunt"),CHOOSE(ArtifactsInput!$N$27+1,20,24,28,32,36,40),0)/100)))))/Skills!H10,1)))/Inputs!$B$43),G1303*Q1303)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1303*(1-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1303*(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1303*(1-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1303*(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3">
        <f>IF(C1303,(H1303*N1303*IF(AND(Inputs!$B$38&lt;&gt;"pvp",Inputs!$B$43&gt;0),((Skills!G10*((R1303-1)*IF(Skills!H10&gt;0,Skills!I10/Skills!H10,1)+IF(Skills!H10&gt;0,MIN(Skills!I10,MAX(0,MAX(0,Inputs!$B$43-B1334)-((R1303-1)*(IF(Inputs!$B$38="pvp",15,MAX(0.1,Skills!D10-IF(Skills!E10=TRUE,Inputs!$B$32,0)))*(1-IF(AND(ArtifactsInput!$M$27,Inputs!$B$4="Chapter Hunt"),CHOOSE(ArtifactsInput!$N$27+1,20,24,28,32,36,40),0)/100)))))/Skills!H10,1)))/Inputs!$B$43),G1303*Q1303))*IF(Inputs!$B$38="pvp",1,(1+(Inputs!$B$21+Skills!Q10+(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4">
      <c r="A1304">
        <f>Skills!A11</f>
        <v/>
      </c>
      <c r="B1304">
        <f>Skills!B11</f>
        <v/>
      </c>
      <c r="C1304">
        <f>Inputs!$B$3&gt;=100</f>
        <v/>
      </c>
      <c r="D1304">
        <f>IF(Skills!C11=1,60+Inputs!$B$25+Inputs!$B$29,IF(Skills!C11=2,90+Inputs!$B$26+Inputs!$B$29,IF(Skills!C11=3,120+Inputs!$B$27+Inputs!$B$29,MAX(0,(Inputs!$B$3-100)*3)+Inputs!$B$28+Inputs!$B$29)))</f>
        <v/>
      </c>
      <c r="E1304">
        <f>INDEX(FactorTable!$B$2:$Y$301, MATCH(ROUND(MIN(300,MAX(1,D1304)),0), FactorTable!$A$2:$A$301,0), Skills!M11+1)</f>
        <v/>
      </c>
      <c r="F1304">
        <f>IF(Skills!N11=TRUE,(Skills!L11/10)*(E1304/1000),Skills!L11/10)+Skills!O11</f>
        <v/>
      </c>
      <c r="G1304" t="inlineStr"/>
      <c r="H1304" t="inlineStr"/>
      <c r="I1304" t="inlineStr">
        <is>
          <t>1</t>
        </is>
      </c>
      <c r="J1304" t="inlineStr"/>
      <c r="K1304" t="inlineStr"/>
      <c r="L1304" t="inlineStr"/>
      <c r="M1304" t="inlineStr"/>
      <c r="N1304" t="inlineStr"/>
      <c r="O1304" t="inlineStr"/>
      <c r="P1304" t="inlineStr"/>
      <c r="Q1304" t="inlineStr"/>
      <c r="R1304" t="inlineStr"/>
      <c r="S1304" t="inlineStr"/>
      <c r="T1304" t="inlineStr"/>
      <c r="V1304" t="inlineStr"/>
    </row>
    <row r="1305">
      <c r="A1305">
        <f>Skills!A12</f>
        <v/>
      </c>
      <c r="B1305">
        <f>Skills!B12</f>
        <v/>
      </c>
      <c r="C1305">
        <f>Inputs!$B$3&gt;=60</f>
        <v/>
      </c>
      <c r="D1305">
        <f>IF(Skills!C12=1,60+Inputs!$B$25+Inputs!$B$29,IF(Skills!C12=2,90+Inputs!$B$26+Inputs!$B$29,IF(Skills!C12=3,120+Inputs!$B$27+Inputs!$B$29,MAX(0,(Inputs!$B$3-100)*3)+Inputs!$B$28+Inputs!$B$29)))</f>
        <v/>
      </c>
      <c r="E1305">
        <f>INDEX(FactorTable!$B$2:$Y$301, MATCH(ROUND(MIN(300,MAX(1,D1305)),0), FactorTable!$A$2:$A$301,0), Skills!M12+1)</f>
        <v/>
      </c>
      <c r="F1305">
        <f>IF(Skills!N12=TRUE,(Skills!L12/10)*(E1305/1000),Skills!L12/10)+Skills!O12</f>
        <v/>
      </c>
      <c r="G1305">
        <f>Skills!G12*IF(Skills!H12&gt;0,Skills!I12/Skills!H12,1)</f>
        <v/>
      </c>
      <c r="H1305">
        <f>1-(1-Skills!J12/100)^Skills!K12</f>
        <v/>
      </c>
      <c r="I1305" t="inlineStr">
        <is>
          <t>1</t>
        </is>
      </c>
      <c r="J1305">
        <f>((Inputs!$B$6*(1+Inputs!$B$7/100))+(((Inputs!$B$12*(1+Inputs!$B$13/100))-(Inputs!$B$12*(1+Inputs!$B$13/100)))+0.25*(Inputs!$B$14-Inputs!$B$14))*(1+Inputs!$B$7/100))*(F1305/100)</f>
        <v/>
      </c>
      <c r="K1305">
        <f>J1305*(1+((Inputs!$B$12*(1+Inputs!$B$13/100))*0.01+Inputs!$B$14*0.0025)/100)*(1+Inputs!$B$15/100)*(1+Inputs!$B$16/100)*(5000/(6000+Inputs!$B$42*(1-(100*(1-(1-(Inputs!$B$19+((C1321=TRUE)*(F1321-Calc!F28)))/100)*(1-CHOOSE(ArtifactsInput!$N$40+1,5,6,7,8,9,10)/100)^(ArtifactsInput!$M$40-ArtifactsInput!$M$40)))/100)))*(1+(Inputs!$B$24+((C1319=TRUE)*(F1319-Calc!F26))+((C1320=TRUE)*(F1320-Calc!F27))+B1333)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1306=TRUE,F1306,0)/100)*(1+(IF(Skills!A12="ARROW_STREAM",Inputs!$B$17+((C1317=TRUE)*(F1317-Calc!F24))+(((IF(AND(ArtifactsInput!$M$42,((Inputs!$B$9+((C1314=TRUE)*(F1314-Calc!F21))+B1327+(ArtifactsInput!$M$24-ArtifactsInput!$M$24)*CHOOSE(ArtifactsInput!$N$24+1,10,12,14,16,18,20)+IF(ArtifactsInput!$M$10,CHOOSE(ArtifactsInput!$N$10+1,15,18,21,24,27,30)*(IF(Inputs!$B$38="pvp",MIN(15,15)/15,IF(AND(Inputs!$B$38&lt;&gt;"pvp",Inputs!$B$43&gt;0),MIN(15,Inputs!$B$43)/(Inputs!$B$43),0))),0)))&gt;=100),MIN(100,((Inputs!$B$9+((C1314=TRUE)*(F1314-Calc!F21))+B1327+(ArtifactsInput!$M$24-ArtifactsInput!$M$24)*CHOOSE(ArtifactsInput!$N$24+1,10,12,14,16,18,20)+IF(ArtifactsInput!$M$10,CHOOSE(ArtifactsInput!$N$10+1,15,18,21,24,27,30)*(IF(Inputs!$B$38="pvp",MIN(15,15)/15,IF(AND(Inputs!$B$38&lt;&gt;"pvp",Inputs!$B$43&gt;0),MIN(15,Inputs!$B$43)/(Inputs!$B$43),0))),0)))-100),0))*CHOOSE(ArtifactsInput!$N$42+1,0.6,0.72,0.84,0.96,1.08,1.2))),Inputs!$B$18+((C1322=TRUE)*(F1322-Calc!F29))+(IF(AND(ArtifactsInput!$M$42,((Inputs!$B$9+((C1314=TRUE)*(F1314-Calc!F21))+B1327+(ArtifactsInput!$M$24-ArtifactsInput!$M$24)*CHOOSE(ArtifactsInput!$N$24+1,10,12,14,16,18,20)+IF(ArtifactsInput!$M$10,CHOOSE(ArtifactsInput!$N$10+1,15,18,21,24,27,30)*(IF(Inputs!$B$38="pvp",MIN(15,15)/15,IF(AND(Inputs!$B$38&lt;&gt;"pvp",Inputs!$B$43&gt;0),MIN(15,Inputs!$B$43)/(Inputs!$B$43),0))),0)))&gt;=100),CHOOSE(ArtifactsInput!$N$42+1,40,48,56,64,72,80),0))))/100)*((1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1305)</f>
        <v/>
      </c>
      <c r="L1305">
        <f>K1305*(MIN(Inputs!$B$22+((C1318=TRUE)*(F1318-Calc!F25)),(Inputs!$B$23+((C1323=TRUE)*(F1323-Calc!F30))+(IF(ArtifactsInput!$M$15,CHOOSE(ArtifactsInput!$N$15+1,25,30,35,40,45,50)/100*(Inputs!$B$11-Inputs!$B$11),0))))/100+(Inputs!$B$23+((C1323=TRUE)*(F1323-Calc!F30))+(IF(ArtifactsInput!$M$15,CHOOSE(ArtifactsInput!$N$15+1,25,30,35,40,45,50)/100*(Inputs!$B$11-Inputs!$B$11),0)))/100)/2</f>
        <v/>
      </c>
      <c r="M1305">
        <f>L1305*(1+(Inputs!$B$10+0+B1332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5">
        <f>L1305*(1-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1305*(MIN((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5">
        <f>(1-Summary!$B$11)*T1305+Summary!$B$11*V1305</f>
        <v/>
      </c>
      <c r="P1305">
        <f>IF(B1337=0,0,O1305/B1337)</f>
        <v/>
      </c>
      <c r="Q1305">
        <f>IFERROR(1/(IF(Inputs!$B$38="pvp",15,MAX(0.1,Skills!D12-IF(Skills!E12=TRUE,Inputs!$B$32,0)))*(1-IF(AND(ArtifactsInput!$M$27,Inputs!$B$4="Chapter Hunt"),CHOOSE(ArtifactsInput!$N$27+1,20,24,28,32,36,40),0)/100)),0)</f>
        <v/>
      </c>
      <c r="R1305">
        <f>IF(AND(Inputs!$B$38&lt;&gt;"pvp",Inputs!$B$43&gt;0),IF(MAX(0,Inputs!$B$43-B1334)&lt;=0,0,(INT(MAX(0,Inputs!$B$43-B1334)/(IF(Inputs!$B$38="pvp",15,MAX(0.1,Skills!D12-IF(Skills!E12=TRUE,Inputs!$B$32,0)))*(1-IF(AND(ArtifactsInput!$M$27,Inputs!$B$4="Chapter Hunt"),CHOOSE(ArtifactsInput!$N$27+1,20,24,28,32,36,40),0)/100)))+1)),0)</f>
        <v/>
      </c>
      <c r="S1305">
        <f>IFERROR(O1305/N1305,0)</f>
        <v/>
      </c>
      <c r="T1305">
        <f>IF(C1305,(H1305*N1305*IF(AND(Inputs!$B$38&lt;&gt;"pvp",Inputs!$B$43&gt;0),((Skills!G12*((R1305-1)*IF(Skills!H12&gt;0,Skills!I12/Skills!H12,1)+IF(Skills!H12&gt;0,MIN(Skills!I12,MAX(0,MAX(0,Inputs!$B$43-B1334)-((R1305-1)*(IF(Inputs!$B$38="pvp",15,MAX(0.1,Skills!D12-IF(Skills!E12=TRUE,Inputs!$B$32,0)))*(1-IF(AND(ArtifactsInput!$M$27,Inputs!$B$4="Chapter Hunt"),CHOOSE(ArtifactsInput!$N$27+1,20,24,28,32,36,40),0)/100)))))/Skills!H12,1)))/Inputs!$B$43),G1305*Q1305)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(5000/(6000+Inputs!$B$42*(1-(100*(1-(1-(100*(1-(1-(Inputs!$B$19+((C1321=TRUE)*(F1321-Calc!F28)))/100)*(1-CHOOSE(ArtifactsInput!$N$40+1,5,6,7,8,9,10)/100)^(ArtifactsInput!$M$40-ArtifactsInput!$M$40)))/100)*(1-IF(ArtifactsInput!$M$40,CHOOSE(ArtifactsInput!$N$40+1,5,6,7,8,9,10),0)/100)^IF(Inputs!$B$38="pvp",1,2)))/100)))/(5000/(6000+Inputs!$B$42*(1-(100*(1-(1-(Inputs!$B$19+((C1321=TRUE)*(F1321-Calc!F28)))/100)*(1-CHOOSE(ArtifactsInput!$N$40+1,5,6,7,8,9,10)/100)^(ArtifactsInput!$M$40-ArtifactsInput!$M$40)))/100))))*((L1305*(1-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1305*(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1305*(1-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1305*(MIN(100,(Inputs!$B$9+((C1314=TRUE)*(F1314-Calc!F21))+B1327+(ArtifactsInput!$M$24-ArtifactsInput!$M$24)*CHOOSE(ArtifactsInput!$N$24+1,10,12,14,16,18,20)+(IF(AND(ArtifactsInput!$M$42,((Inputs!$B$9+((C1314=TRUE)*(F1314-Calc!F21))+B1327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5">
        <f>IF(C1305,(H1305*N1305*IF(AND(Inputs!$B$38&lt;&gt;"pvp",Inputs!$B$43&gt;0),((Skills!G12*((R1305-1)*IF(Skills!H12&gt;0,Skills!I12/Skills!H12,1)+IF(Skills!H12&gt;0,MIN(Skills!I12,MAX(0,MAX(0,Inputs!$B$43-B1334)-((R1305-1)*(IF(Inputs!$B$38="pvp",15,MAX(0.1,Skills!D12-IF(Skills!E12=TRUE,Inputs!$B$32,0)))*(1-IF(AND(ArtifactsInput!$M$27,Inputs!$B$4="Chapter Hunt"),CHOOSE(ArtifactsInput!$N$27+1,20,24,28,32,36,40),0)/100)))))/Skills!H12,1)))/Inputs!$B$43),G1305*Q1305))*IF(Inputs!$B$38="pvp",1,(1+(Inputs!$B$21+Skills!Q12+(IF(ArtifactsInput!$M$33,CHOOSE(ArtifactsInput!$N$33+1,30,36,42,48,54,60),0))+(IF(AND(ArtifactsInput!$M$35,Inputs!$B$4&lt;&gt;"Chapter Hunt"),CHOOSE(ArtifactsInput!$N$35+1,15,18,21,24,27,30)*(1-EXP(-(0.2*B1329)*5)),0)+IF(AND(ArtifactsInput!$M$22,Inputs!$B$4&lt;&gt;"Chapter Hunt"),CHOOSE(ArtifactsInput!$N$22+1,10,12,14,16,18,20)*((0*(((0.15*B1329*5))^0/1)+1*(((0.15*B1329*5))^1/1)+2*(((0.15*B1329*5))^2/2)+3*(((0.15*B1329*5))^3/6)+4*(((0.15*B1329*5))^4/24)+5*(((0.15*B1329*5))^5/120))/((((0.15*B1329*5))^0/1)+(((0.15*B1329*5))^1/1)+(((0.15*B1329*5))^2/2)+(((0.15*B1329*5))^3/6)+(((0.15*B1329*5))^4/24)+(((0.15*B1329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6">
      <c r="A1306">
        <f>Skills!A13</f>
        <v/>
      </c>
      <c r="B1306">
        <f>Skills!B13</f>
        <v/>
      </c>
      <c r="C1306">
        <f>Inputs!$B$3&gt;=110</f>
        <v/>
      </c>
      <c r="D1306">
        <f>IF(Skills!C13=1,60+Inputs!$B$25+Inputs!$B$29,IF(Skills!C13=2,90+Inputs!$B$26+Inputs!$B$29,IF(Skills!C13=3,120+Inputs!$B$27+Inputs!$B$29,MAX(0,(Inputs!$B$3-100)*3)+Inputs!$B$28+Inputs!$B$29)))</f>
        <v/>
      </c>
      <c r="E1306">
        <f>INDEX(FactorTable!$B$2:$Y$301, MATCH(ROUND(MIN(300,MAX(1,D1306)),0), FactorTable!$A$2:$A$301,0), Skills!M13+1)</f>
        <v/>
      </c>
      <c r="F1306">
        <f>IF(Skills!N13=TRUE,(Skills!L13/10)*(E1306/1000),Skills!L13/10)+Skills!O13</f>
        <v/>
      </c>
      <c r="G1306" t="inlineStr"/>
      <c r="H1306" t="inlineStr"/>
      <c r="I1306" t="inlineStr">
        <is>
          <t>1</t>
        </is>
      </c>
      <c r="J1306" t="inlineStr"/>
      <c r="K1306" t="inlineStr"/>
      <c r="L1306" t="inlineStr"/>
      <c r="M1306" t="inlineStr"/>
      <c r="N1306" t="inlineStr"/>
      <c r="O1306" t="inlineStr"/>
      <c r="P1306" t="inlineStr"/>
      <c r="Q1306" t="inlineStr"/>
      <c r="R1306" t="inlineStr"/>
      <c r="S1306" t="inlineStr"/>
      <c r="T1306" t="inlineStr"/>
      <c r="V1306" t="inlineStr"/>
    </row>
    <row r="1307">
      <c r="A1307">
        <f>Skills!A14</f>
        <v/>
      </c>
      <c r="B1307">
        <f>Skills!B14</f>
        <v/>
      </c>
      <c r="C1307">
        <f>Inputs!$B$3&gt;=74</f>
        <v/>
      </c>
      <c r="D1307">
        <f>IF(Skills!C14=1,60+Inputs!$B$25+Inputs!$B$29,IF(Skills!C14=2,90+Inputs!$B$26+Inputs!$B$29,IF(Skills!C14=3,120+Inputs!$B$27+Inputs!$B$29,MAX(0,(Inputs!$B$3-100)*3)+Inputs!$B$28+Inputs!$B$29)))</f>
        <v/>
      </c>
      <c r="E1307">
        <f>INDEX(FactorTable!$B$2:$Y$301, MATCH(ROUND(MIN(300,MAX(1,D1307)),0), FactorTable!$A$2:$A$301,0), Skills!M14+1)</f>
        <v/>
      </c>
      <c r="F1307">
        <f>IF(Skills!N14=TRUE,(Skills!L14/10)*(E1307/1000),Skills!L14/10)+Skills!O14</f>
        <v/>
      </c>
      <c r="G1307">
        <f>Skills!G14*IF(Skills!H14&gt;0,Skills!I14/Skills!H14,1)</f>
        <v/>
      </c>
      <c r="H1307">
        <f>1-(1-Skills!J14/100)^Skills!K14</f>
        <v/>
      </c>
      <c r="I1307" t="inlineStr">
        <is>
          <t>1</t>
        </is>
      </c>
      <c r="J1307" t="inlineStr"/>
      <c r="K1307" t="inlineStr"/>
      <c r="L1307" t="inlineStr"/>
      <c r="M1307" t="inlineStr"/>
      <c r="N1307" t="inlineStr"/>
      <c r="O1307">
        <f>(1-Summary!$B$11)*T1307+Summary!$B$11*V1307</f>
        <v/>
      </c>
      <c r="P1307">
        <f>IF(B1337=0,0,O1307/B1337)</f>
        <v/>
      </c>
      <c r="Q1307" t="n">
        <v>0</v>
      </c>
      <c r="R1307" t="n">
        <v>0</v>
      </c>
      <c r="S1307">
        <f>IFERROR(O1307/N1307,0)</f>
        <v/>
      </c>
      <c r="T1307" t="n">
        <v>0</v>
      </c>
      <c r="V1307" t="n">
        <v>0</v>
      </c>
    </row>
    <row r="1308">
      <c r="A1308">
        <f>Skills!A15</f>
        <v/>
      </c>
      <c r="B1308">
        <f>Skills!B15</f>
        <v/>
      </c>
      <c r="C1308">
        <f>Inputs!$B$3&gt;=74</f>
        <v/>
      </c>
      <c r="D1308">
        <f>IF(Skills!C15=1,60+Inputs!$B$25+Inputs!$B$29,IF(Skills!C15=2,90+Inputs!$B$26+Inputs!$B$29,IF(Skills!C15=3,120+Inputs!$B$27+Inputs!$B$29,MAX(0,(Inputs!$B$3-100)*3)+Inputs!$B$28+Inputs!$B$29)))</f>
        <v/>
      </c>
      <c r="E1308">
        <f>INDEX(FactorTable!$B$2:$Y$301, MATCH(ROUND(MIN(300,MAX(1,D1308)),0), FactorTable!$A$2:$A$301,0), Skills!M15+1)</f>
        <v/>
      </c>
      <c r="F1308">
        <f>IF(Skills!N15=TRUE,(Skills!L15/10)*(E1308/1000),Skills!L15/10)+Skills!O15</f>
        <v/>
      </c>
      <c r="G1308">
        <f>Skills!G15*IF(Skills!H15&gt;0,Skills!I15/Skills!H15,1)</f>
        <v/>
      </c>
      <c r="H1308">
        <f>1-(1-Skills!J15/100)^Skills!K15</f>
        <v/>
      </c>
      <c r="I1308" t="inlineStr">
        <is>
          <t>1</t>
        </is>
      </c>
      <c r="J1308" t="inlineStr"/>
      <c r="K1308" t="inlineStr"/>
      <c r="L1308" t="inlineStr"/>
      <c r="M1308" t="inlineStr"/>
      <c r="N1308" t="inlineStr"/>
      <c r="O1308">
        <f>(1-Summary!$B$11)*T1308+Summary!$B$11*V1308</f>
        <v/>
      </c>
      <c r="P1308">
        <f>IF(B1337=0,0,O1308/B1337)</f>
        <v/>
      </c>
      <c r="Q1308" t="n">
        <v>0</v>
      </c>
      <c r="R1308" t="n">
        <v>0</v>
      </c>
      <c r="S1308">
        <f>IFERROR(O1308/N1308,0)</f>
        <v/>
      </c>
      <c r="T1308" t="n">
        <v>0</v>
      </c>
      <c r="V1308" t="n">
        <v>0</v>
      </c>
    </row>
    <row r="1309">
      <c r="A1309">
        <f>Skills!A16</f>
        <v/>
      </c>
      <c r="B1309">
        <f>Skills!B16</f>
        <v/>
      </c>
      <c r="C1309">
        <f>Inputs!$B$3&gt;=117</f>
        <v/>
      </c>
      <c r="D1309">
        <f>IF(Skills!C16=1,60+Inputs!$B$25+Inputs!$B$29,IF(Skills!C16=2,90+Inputs!$B$26+Inputs!$B$29,IF(Skills!C16=3,120+Inputs!$B$27+Inputs!$B$29,MAX(0,(Inputs!$B$3-100)*3)+Inputs!$B$28+Inputs!$B$29)))</f>
        <v/>
      </c>
      <c r="E1309">
        <f>INDEX(FactorTable!$B$2:$Y$301, MATCH(ROUND(MIN(300,MAX(1,D1309)),0), FactorTable!$A$2:$A$301,0), Skills!M16+1)</f>
        <v/>
      </c>
      <c r="F1309">
        <f>IF(Skills!N16=TRUE,(Skills!L16/10)*(E1309/1000),Skills!L16/10)+Skills!O16</f>
        <v/>
      </c>
      <c r="G1309">
        <f>Skills!G16*IF(Skills!H16&gt;0,Skills!I16/Skills!H16,1)</f>
        <v/>
      </c>
      <c r="H1309">
        <f>1-(1-Skills!J16/100)^Skills!K16</f>
        <v/>
      </c>
      <c r="I1309" t="inlineStr">
        <is>
          <t>1</t>
        </is>
      </c>
      <c r="J1309" t="inlineStr"/>
      <c r="K1309" t="inlineStr"/>
      <c r="L1309" t="inlineStr"/>
      <c r="M1309" t="inlineStr"/>
      <c r="N1309" t="inlineStr"/>
      <c r="O1309">
        <f>(1-Summary!$B$11)*T1309+Summary!$B$11*V1309</f>
        <v/>
      </c>
      <c r="P1309">
        <f>IF(B1337=0,0,O1309/B1337)</f>
        <v/>
      </c>
      <c r="Q1309">
        <f>IFERROR(1/(IF(Inputs!$B$38="pvp",15,MAX(0.1,Skills!D16-IF(Skills!E16=TRUE,Inputs!$B$32,0)))*(1-IF(AND(ArtifactsInput!$M$27,Inputs!$B$4="Chapter Hunt"),CHOOSE(ArtifactsInput!$N$27+1,20,24,28,32,36,40),0)/100)),0)</f>
        <v/>
      </c>
      <c r="R1309">
        <f>IF(AND(Inputs!$B$38&lt;&gt;"pvp",Inputs!$B$43&gt;0),IF(Inputs!$B$43&lt;=0,0,(INT(Inputs!$B$43/(IF(Inputs!$B$38="pvp",15,MAX(0.1,Skills!D16-IF(Skills!E16=TRUE,Inputs!$B$32,0)))*(1-IF(AND(ArtifactsInput!$M$27,Inputs!$B$4="Chapter Hunt"),CHOOSE(ArtifactsInput!$N$27+1,20,24,28,32,36,40),0)/100)))+1)),0)</f>
        <v/>
      </c>
      <c r="S1309">
        <f>IFERROR(O1309/N1309,0)</f>
        <v/>
      </c>
      <c r="T1309" t="n">
        <v>0</v>
      </c>
      <c r="V1309" t="n">
        <v>0</v>
      </c>
    </row>
    <row r="1310">
      <c r="A1310">
        <f>Skills!A17</f>
        <v/>
      </c>
      <c r="B1310">
        <f>Skills!B17</f>
        <v/>
      </c>
      <c r="C1310">
        <f>Inputs!$B$3&gt;=115</f>
        <v/>
      </c>
      <c r="D1310">
        <f>IF(Skills!C17=1,60+Inputs!$B$25+Inputs!$B$29,IF(Skills!C17=2,90+Inputs!$B$26+Inputs!$B$29,IF(Skills!C17=3,120+Inputs!$B$27+Inputs!$B$29,MAX(0,(Inputs!$B$3-100)*3)+Inputs!$B$28+Inputs!$B$29)))</f>
        <v/>
      </c>
      <c r="E1310">
        <f>INDEX(FactorTable!$B$2:$Y$301, MATCH(ROUND(MIN(300,MAX(1,D1310)),0), FactorTable!$A$2:$A$301,0), Skills!M17+1)</f>
        <v/>
      </c>
      <c r="F1310">
        <f>IF(Skills!N17=TRUE,(Skills!L17/10)*(E1310/1000),Skills!L17/10)+Skills!O17</f>
        <v/>
      </c>
      <c r="G1310">
        <f>Skills!G17*IF(Skills!H17&gt;0,Skills!I17/Skills!H17,1)</f>
        <v/>
      </c>
      <c r="H1310">
        <f>1-(1-Skills!J17/100)^Skills!K17</f>
        <v/>
      </c>
      <c r="I1310" t="inlineStr">
        <is>
          <t>1</t>
        </is>
      </c>
      <c r="J1310" t="inlineStr"/>
      <c r="K1310" t="inlineStr"/>
      <c r="L1310" t="inlineStr"/>
      <c r="M1310" t="inlineStr"/>
      <c r="N1310" t="inlineStr"/>
      <c r="O1310">
        <f>(1-Summary!$B$11)*T1310+Summary!$B$11*V1310</f>
        <v/>
      </c>
      <c r="P1310">
        <f>IF(B1337=0,0,O1310/B1337)</f>
        <v/>
      </c>
      <c r="Q1310">
        <f>IFERROR(1/(IF(Inputs!$B$38="pvp",15,MAX(0.1,Skills!D17-IF(Skills!E17=TRUE,Inputs!$B$32,0)))*(1-IF(AND(ArtifactsInput!$M$27,Inputs!$B$4="Chapter Hunt"),CHOOSE(ArtifactsInput!$N$27+1,20,24,28,32,36,40),0)/100)),0)</f>
        <v/>
      </c>
      <c r="R1310">
        <f>IF(AND(Inputs!$B$38&lt;&gt;"pvp",Inputs!$B$43&gt;0),IF(Inputs!$B$43&lt;=0,0,(INT(Inputs!$B$43/(IF(Inputs!$B$38="pvp",15,MAX(0.1,Skills!D17-IF(Skills!E17=TRUE,Inputs!$B$32,0)))*(1-IF(AND(ArtifactsInput!$M$27,Inputs!$B$4="Chapter Hunt"),CHOOSE(ArtifactsInput!$N$27+1,20,24,28,32,36,40),0)/100)))+1)),0)</f>
        <v/>
      </c>
      <c r="S1310">
        <f>IFERROR(O1310/N1310,0)</f>
        <v/>
      </c>
      <c r="T1310" t="n">
        <v>0</v>
      </c>
      <c r="V1310" t="n">
        <v>0</v>
      </c>
    </row>
    <row r="1311">
      <c r="A1311">
        <f>Skills!A18</f>
        <v/>
      </c>
      <c r="B1311">
        <f>Skills!B18</f>
        <v/>
      </c>
      <c r="C1311">
        <f>Inputs!$B$3&gt;=66</f>
        <v/>
      </c>
      <c r="D1311">
        <f>IF(Skills!C18=1,60+Inputs!$B$25+Inputs!$B$29,IF(Skills!C18=2,90+Inputs!$B$26+Inputs!$B$29,IF(Skills!C18=3,120+Inputs!$B$27+Inputs!$B$29,MAX(0,(Inputs!$B$3-100)*3)+Inputs!$B$28+Inputs!$B$29)))</f>
        <v/>
      </c>
      <c r="E1311">
        <f>INDEX(FactorTable!$B$2:$Y$301, MATCH(ROUND(MIN(300,MAX(1,D1311)),0), FactorTable!$A$2:$A$301,0), Skills!M18+1)</f>
        <v/>
      </c>
      <c r="F1311">
        <f>IF(Skills!N18=TRUE,(Skills!L18/10)*(E1311/1000),Skills!L18/10)+Skills!O18</f>
        <v/>
      </c>
      <c r="G1311">
        <f>Skills!G18*IF(Skills!H18&gt;0,Skills!I18/Skills!H18,1)</f>
        <v/>
      </c>
      <c r="H1311">
        <f>1-(1-Skills!J18/100)^Skills!K18</f>
        <v/>
      </c>
      <c r="I1311" t="inlineStr">
        <is>
          <t>1</t>
        </is>
      </c>
      <c r="J1311" t="inlineStr"/>
      <c r="K1311" t="inlineStr"/>
      <c r="L1311" t="inlineStr"/>
      <c r="M1311" t="inlineStr"/>
      <c r="N1311" t="inlineStr"/>
      <c r="O1311">
        <f>(1-Summary!$B$11)*T1311+Summary!$B$11*V1311</f>
        <v/>
      </c>
      <c r="P1311">
        <f>IF(B1337=0,0,O1311/B1337)</f>
        <v/>
      </c>
      <c r="Q1311" t="n">
        <v>0</v>
      </c>
      <c r="R1311" t="n">
        <v>0</v>
      </c>
      <c r="S1311">
        <f>IFERROR(O1311/N1311,0)</f>
        <v/>
      </c>
      <c r="T1311" t="n">
        <v>0</v>
      </c>
      <c r="V1311" t="n">
        <v>0</v>
      </c>
    </row>
    <row r="1312">
      <c r="A1312">
        <f>Skills!A19</f>
        <v/>
      </c>
      <c r="B1312">
        <f>Skills!B19</f>
        <v/>
      </c>
      <c r="C1312">
        <f>Inputs!$B$3&gt;=72</f>
        <v/>
      </c>
      <c r="D1312">
        <f>IF(Skills!C19=1,60+Inputs!$B$25+Inputs!$B$29,IF(Skills!C19=2,90+Inputs!$B$26+Inputs!$B$29,IF(Skills!C19=3,120+Inputs!$B$27+Inputs!$B$29,MAX(0,(Inputs!$B$3-100)*3)+Inputs!$B$28+Inputs!$B$29)))</f>
        <v/>
      </c>
      <c r="E1312">
        <f>INDEX(FactorTable!$B$2:$Y$301, MATCH(ROUND(MIN(300,MAX(1,D1312)),0), FactorTable!$A$2:$A$301,0), Skills!M19+1)</f>
        <v/>
      </c>
      <c r="F1312">
        <f>IF(Skills!N19=TRUE,(Skills!L19/10)*(E1312/1000),Skills!L19/10)+Skills!O19</f>
        <v/>
      </c>
      <c r="G1312">
        <f>Skills!G19*IF(Skills!H19&gt;0,Skills!I19/Skills!H19,1)</f>
        <v/>
      </c>
      <c r="H1312">
        <f>1-(1-Skills!J19/100)^Skills!K19</f>
        <v/>
      </c>
      <c r="I1312" t="inlineStr">
        <is>
          <t>1</t>
        </is>
      </c>
      <c r="J1312" t="inlineStr"/>
      <c r="K1312" t="inlineStr"/>
      <c r="L1312" t="inlineStr"/>
      <c r="M1312" t="inlineStr"/>
      <c r="N1312" t="inlineStr"/>
      <c r="O1312">
        <f>(1-Summary!$B$11)*T1312+Summary!$B$11*V1312</f>
        <v/>
      </c>
      <c r="P1312">
        <f>IF(B1337=0,0,O1312/B1337)</f>
        <v/>
      </c>
      <c r="Q1312" t="n">
        <v>0</v>
      </c>
      <c r="R1312" t="n">
        <v>0</v>
      </c>
      <c r="S1312">
        <f>IFERROR(O1312/N1312,0)</f>
        <v/>
      </c>
      <c r="T1312" t="n">
        <v>0</v>
      </c>
      <c r="V1312" t="n">
        <v>0</v>
      </c>
    </row>
    <row r="1313">
      <c r="A1313">
        <f>Skills!A20</f>
        <v/>
      </c>
      <c r="B1313">
        <f>Skills!B20</f>
        <v/>
      </c>
      <c r="C1313">
        <f>TRUE</f>
        <v/>
      </c>
      <c r="D1313">
        <f>IF(Skills!C20=1,60+Inputs!$B$25+Inputs!$B$29,IF(Skills!C20=2,90+Inputs!$B$26+Inputs!$B$29,IF(Skills!C20=3,120+Inputs!$B$27+Inputs!$B$29,MAX(0,(Inputs!$B$3-100)*3)+Inputs!$B$28+Inputs!$B$29)))</f>
        <v/>
      </c>
      <c r="E1313">
        <f>INDEX(FactorTable!$B$2:$Y$301, MATCH(ROUND(MIN(300,MAX(1,D1313)),0), FactorTable!$A$2:$A$301,0), Skills!M20+1)</f>
        <v/>
      </c>
      <c r="F1313">
        <f>IF(Skills!N20=TRUE,(Skills!L20/10)*(E1313/1000),Skills!L20/10)+Skills!O20</f>
        <v/>
      </c>
      <c r="G1313">
        <f>Skills!G20*IF(Skills!H20&gt;0,Skills!I20/Skills!H20,1)</f>
        <v/>
      </c>
      <c r="H1313">
        <f>1-(1-Skills!J20/100)^Skills!K20</f>
        <v/>
      </c>
      <c r="I1313" t="inlineStr">
        <is>
          <t>1</t>
        </is>
      </c>
      <c r="J1313" t="inlineStr"/>
      <c r="K1313" t="inlineStr"/>
      <c r="L1313" t="inlineStr"/>
      <c r="M1313" t="inlineStr"/>
      <c r="N1313" t="inlineStr"/>
      <c r="O1313">
        <f>(1-Summary!$B$11)*T1313+Summary!$B$11*V1313</f>
        <v/>
      </c>
      <c r="P1313">
        <f>IF(B1337=0,0,O1313/B1337)</f>
        <v/>
      </c>
      <c r="Q1313">
        <f>IFERROR(1/(IF(Inputs!$B$38="pvp",15,MAX(0.1,Skills!D20-IF(Skills!E20=TRUE,Inputs!$B$32,0)))*(1-IF(AND(ArtifactsInput!$M$27,Inputs!$B$4="Chapter Hunt"),CHOOSE(ArtifactsInput!$N$27+1,20,24,28,32,36,40),0)/100)),0)</f>
        <v/>
      </c>
      <c r="R1313">
        <f>IF(AND(Inputs!$B$38&lt;&gt;"pvp",Inputs!$B$43&gt;0),IF(Inputs!$B$43&lt;=0,0,(INT(Inputs!$B$43/(IF(Inputs!$B$38="pvp",15,MAX(0.1,Skills!D20-IF(Skills!E20=TRUE,Inputs!$B$32,0)))*(1-IF(AND(ArtifactsInput!$M$27,Inputs!$B$4="Chapter Hunt"),CHOOSE(ArtifactsInput!$N$27+1,20,24,28,32,36,40),0)/100)))+1)),0)</f>
        <v/>
      </c>
      <c r="S1313">
        <f>IFERROR(O1313/N1313,0)</f>
        <v/>
      </c>
      <c r="T1313" t="n">
        <v>0</v>
      </c>
      <c r="V1313" t="n">
        <v>0</v>
      </c>
    </row>
    <row r="1314">
      <c r="A1314">
        <f>Skills!A21</f>
        <v/>
      </c>
      <c r="B1314">
        <f>Skills!B21</f>
        <v/>
      </c>
      <c r="C1314">
        <f>Inputs!$B$3&gt;=15</f>
        <v/>
      </c>
      <c r="D1314">
        <f>IF(Skills!C21=1,60+Inputs!$B$25+Inputs!$B$29,IF(Skills!C21=2,90+Inputs!$B$26+Inputs!$B$29,IF(Skills!C21=3,120+Inputs!$B$27+Inputs!$B$29,MAX(0,(Inputs!$B$3-100)*3)+Inputs!$B$28+Inputs!$B$29)))</f>
        <v/>
      </c>
      <c r="E1314">
        <f>INDEX(FactorTable!$B$2:$Y$301, MATCH(ROUND(MIN(300,MAX(1,D1314)),0), FactorTable!$A$2:$A$301,0), Skills!M21+1)</f>
        <v/>
      </c>
      <c r="F1314">
        <f>IF(Skills!N21=TRUE,(Skills!L21/10)*(E1314/1000),Skills!L21/10)+Skills!O21</f>
        <v/>
      </c>
      <c r="G1314">
        <f>Skills!G21*IF(Skills!H21&gt;0,Skills!I21/Skills!H21,1)</f>
        <v/>
      </c>
      <c r="H1314">
        <f>1-(1-Skills!J21/100)^Skills!K21</f>
        <v/>
      </c>
      <c r="I1314" t="inlineStr">
        <is>
          <t>1</t>
        </is>
      </c>
      <c r="J1314" t="inlineStr"/>
      <c r="K1314" t="inlineStr"/>
      <c r="L1314" t="inlineStr"/>
      <c r="M1314" t="inlineStr"/>
      <c r="N1314" t="inlineStr"/>
      <c r="O1314">
        <f>(1-Summary!$B$11)*T1314+Summary!$B$11*V1314</f>
        <v/>
      </c>
      <c r="P1314">
        <f>IF(B1337=0,0,O1314/B1337)</f>
        <v/>
      </c>
      <c r="Q1314" t="n">
        <v>0</v>
      </c>
      <c r="R1314" t="n">
        <v>0</v>
      </c>
      <c r="S1314">
        <f>IFERROR(O1314/N1314,0)</f>
        <v/>
      </c>
      <c r="T1314" t="n">
        <v>0</v>
      </c>
      <c r="V1314" t="n">
        <v>0</v>
      </c>
    </row>
    <row r="1315">
      <c r="A1315">
        <f>Skills!A22</f>
        <v/>
      </c>
      <c r="B1315">
        <f>Skills!B22</f>
        <v/>
      </c>
      <c r="C1315">
        <f>Inputs!$B$3&gt;=10</f>
        <v/>
      </c>
      <c r="D1315">
        <f>IF(Skills!C22=1,60+Inputs!$B$25+Inputs!$B$29,IF(Skills!C22=2,90+Inputs!$B$26+Inputs!$B$29,IF(Skills!C22=3,120+Inputs!$B$27+Inputs!$B$29,MAX(0,(Inputs!$B$3-100)*3)+Inputs!$B$28+Inputs!$B$29)))</f>
        <v/>
      </c>
      <c r="E1315">
        <f>INDEX(FactorTable!$B$2:$Y$301, MATCH(ROUND(MIN(300,MAX(1,D1315)),0), FactorTable!$A$2:$A$301,0), Skills!M22+1)</f>
        <v/>
      </c>
      <c r="F1315">
        <f>IF(Skills!N22=TRUE,(Skills!L22/10)*(E1315/1000),Skills!L22/10)+Skills!O22</f>
        <v/>
      </c>
      <c r="G1315">
        <f>Skills!G22*IF(Skills!H22&gt;0,Skills!I22/Skills!H22,1)</f>
        <v/>
      </c>
      <c r="H1315">
        <f>1-(1-Skills!J22/100)^Skills!K22</f>
        <v/>
      </c>
      <c r="I1315" t="inlineStr">
        <is>
          <t>1</t>
        </is>
      </c>
      <c r="J1315" t="inlineStr"/>
      <c r="K1315" t="inlineStr"/>
      <c r="L1315" t="inlineStr"/>
      <c r="M1315" t="inlineStr"/>
      <c r="N1315" t="inlineStr"/>
      <c r="O1315">
        <f>(1-Summary!$B$11)*T1315+Summary!$B$11*V1315</f>
        <v/>
      </c>
      <c r="P1315">
        <f>IF(B1337=0,0,O1315/B1337)</f>
        <v/>
      </c>
      <c r="Q1315" t="n">
        <v>0</v>
      </c>
      <c r="R1315" t="n">
        <v>0</v>
      </c>
      <c r="S1315">
        <f>IFERROR(O1315/N1315,0)</f>
        <v/>
      </c>
      <c r="T1315" t="n">
        <v>0</v>
      </c>
      <c r="V1315" t="n">
        <v>0</v>
      </c>
    </row>
    <row r="1316">
      <c r="A1316">
        <f>Skills!A23</f>
        <v/>
      </c>
      <c r="B1316">
        <f>Skills!B23</f>
        <v/>
      </c>
      <c r="C1316">
        <f>Inputs!$B$3&gt;=33</f>
        <v/>
      </c>
      <c r="D1316">
        <f>IF(Skills!C23=1,60+Inputs!$B$25+Inputs!$B$29,IF(Skills!C23=2,90+Inputs!$B$26+Inputs!$B$29,IF(Skills!C23=3,120+Inputs!$B$27+Inputs!$B$29,MAX(0,(Inputs!$B$3-100)*3)+Inputs!$B$28+Inputs!$B$29)))</f>
        <v/>
      </c>
      <c r="E1316">
        <f>INDEX(FactorTable!$B$2:$Y$301, MATCH(ROUND(MIN(300,MAX(1,D1316)),0), FactorTable!$A$2:$A$301,0), Skills!M23+1)</f>
        <v/>
      </c>
      <c r="F1316">
        <f>IF(Skills!N23=TRUE,(Skills!L23/10)*(E1316/1000),Skills!L23/10)+Skills!O23</f>
        <v/>
      </c>
      <c r="G1316">
        <f>Skills!G23*IF(Skills!H23&gt;0,Skills!I23/Skills!H23,1)</f>
        <v/>
      </c>
      <c r="H1316">
        <f>1-(1-Skills!J23/100)^Skills!K23</f>
        <v/>
      </c>
      <c r="I1316" t="inlineStr">
        <is>
          <t>1</t>
        </is>
      </c>
      <c r="J1316" t="inlineStr"/>
      <c r="K1316" t="inlineStr"/>
      <c r="L1316" t="inlineStr"/>
      <c r="M1316" t="inlineStr"/>
      <c r="N1316" t="inlineStr"/>
      <c r="O1316">
        <f>(1-Summary!$B$11)*T1316+Summary!$B$11*V1316</f>
        <v/>
      </c>
      <c r="P1316">
        <f>IF(B1337=0,0,O1316/B1337)</f>
        <v/>
      </c>
      <c r="Q1316" t="n">
        <v>0</v>
      </c>
      <c r="R1316" t="n">
        <v>0</v>
      </c>
      <c r="S1316">
        <f>IFERROR(O1316/N1316,0)</f>
        <v/>
      </c>
      <c r="T1316" t="n">
        <v>0</v>
      </c>
      <c r="V1316" t="n">
        <v>0</v>
      </c>
    </row>
    <row r="1317">
      <c r="A1317">
        <f>Skills!A24</f>
        <v/>
      </c>
      <c r="B1317">
        <f>Skills!B24</f>
        <v/>
      </c>
      <c r="C1317">
        <f>Inputs!$B$3&gt;=38</f>
        <v/>
      </c>
      <c r="D1317">
        <f>IF(Skills!C24=1,60+Inputs!$B$25+Inputs!$B$29,IF(Skills!C24=2,90+Inputs!$B$26+Inputs!$B$29,IF(Skills!C24=3,120+Inputs!$B$27+Inputs!$B$29,MAX(0,(Inputs!$B$3-100)*3)+Inputs!$B$28+Inputs!$B$29)))</f>
        <v/>
      </c>
      <c r="E1317">
        <f>INDEX(FactorTable!$B$2:$Y$301, MATCH(ROUND(MIN(300,MAX(1,D1317)),0), FactorTable!$A$2:$A$301,0), Skills!M24+1)</f>
        <v/>
      </c>
      <c r="F1317">
        <f>IF(Skills!N24=TRUE,(Skills!L24/10)*(E1317/1000),Skills!L24/10)+Skills!O24</f>
        <v/>
      </c>
      <c r="G1317">
        <f>Skills!G24*IF(Skills!H24&gt;0,Skills!I24/Skills!H24,1)</f>
        <v/>
      </c>
      <c r="H1317">
        <f>1-(1-Skills!J24/100)^Skills!K24</f>
        <v/>
      </c>
      <c r="I1317" t="inlineStr">
        <is>
          <t>1</t>
        </is>
      </c>
      <c r="J1317" t="inlineStr"/>
      <c r="K1317" t="inlineStr"/>
      <c r="L1317" t="inlineStr"/>
      <c r="M1317" t="inlineStr"/>
      <c r="N1317" t="inlineStr"/>
      <c r="O1317">
        <f>(1-Summary!$B$11)*T1317+Summary!$B$11*V1317</f>
        <v/>
      </c>
      <c r="P1317">
        <f>IF(B1337=0,0,O1317/B1337)</f>
        <v/>
      </c>
      <c r="Q1317" t="n">
        <v>0</v>
      </c>
      <c r="R1317" t="n">
        <v>0</v>
      </c>
      <c r="S1317">
        <f>IFERROR(O1317/N1317,0)</f>
        <v/>
      </c>
      <c r="T1317" t="n">
        <v>0</v>
      </c>
      <c r="V1317" t="n">
        <v>0</v>
      </c>
    </row>
    <row r="1318">
      <c r="A1318">
        <f>Skills!A25</f>
        <v/>
      </c>
      <c r="B1318">
        <f>Skills!B25</f>
        <v/>
      </c>
      <c r="C1318">
        <f>Inputs!$B$3&gt;=43</f>
        <v/>
      </c>
      <c r="D1318">
        <f>IF(Skills!C25=1,60+Inputs!$B$25+Inputs!$B$29,IF(Skills!C25=2,90+Inputs!$B$26+Inputs!$B$29,IF(Skills!C25=3,120+Inputs!$B$27+Inputs!$B$29,MAX(0,(Inputs!$B$3-100)*3)+Inputs!$B$28+Inputs!$B$29)))</f>
        <v/>
      </c>
      <c r="E1318">
        <f>INDEX(FactorTable!$B$2:$Y$301, MATCH(ROUND(MIN(300,MAX(1,D1318)),0), FactorTable!$A$2:$A$301,0), Skills!M25+1)</f>
        <v/>
      </c>
      <c r="F1318">
        <f>IF(Skills!N25=TRUE,(Skills!L25/10)*(E1318/1000),Skills!L25/10)+Skills!O25</f>
        <v/>
      </c>
      <c r="G1318">
        <f>Skills!G25*IF(Skills!H25&gt;0,Skills!I25/Skills!H25,1)</f>
        <v/>
      </c>
      <c r="H1318">
        <f>1-(1-Skills!J25/100)^Skills!K25</f>
        <v/>
      </c>
      <c r="I1318" t="inlineStr">
        <is>
          <t>1</t>
        </is>
      </c>
      <c r="J1318" t="inlineStr"/>
      <c r="K1318" t="inlineStr"/>
      <c r="L1318" t="inlineStr"/>
      <c r="M1318" t="inlineStr"/>
      <c r="N1318" t="inlineStr"/>
      <c r="O1318">
        <f>(1-Summary!$B$11)*T1318+Summary!$B$11*V1318</f>
        <v/>
      </c>
      <c r="P1318">
        <f>IF(B1337=0,0,O1318/B1337)</f>
        <v/>
      </c>
      <c r="Q1318" t="n">
        <v>0</v>
      </c>
      <c r="R1318" t="n">
        <v>0</v>
      </c>
      <c r="S1318">
        <f>IFERROR(O1318/N1318,0)</f>
        <v/>
      </c>
      <c r="T1318" t="n">
        <v>0</v>
      </c>
      <c r="V1318" t="n">
        <v>0</v>
      </c>
    </row>
    <row r="1319">
      <c r="A1319">
        <f>Skills!A26</f>
        <v/>
      </c>
      <c r="B1319">
        <f>Skills!B26</f>
        <v/>
      </c>
      <c r="C1319">
        <f>Inputs!$B$3&gt;=75</f>
        <v/>
      </c>
      <c r="D1319">
        <f>IF(Skills!C26=1,60+Inputs!$B$25+Inputs!$B$29,IF(Skills!C26=2,90+Inputs!$B$26+Inputs!$B$29,IF(Skills!C26=3,120+Inputs!$B$27+Inputs!$B$29,MAX(0,(Inputs!$B$3-100)*3)+Inputs!$B$28+Inputs!$B$29)))</f>
        <v/>
      </c>
      <c r="E1319">
        <f>INDEX(FactorTable!$B$2:$Y$301, MATCH(ROUND(MIN(300,MAX(1,D1319)),0), FactorTable!$A$2:$A$301,0), Skills!M26+1)</f>
        <v/>
      </c>
      <c r="F1319">
        <f>IF(Skills!N26=TRUE,(Skills!L26/10)*(E1319/1000),Skills!L26/10)+Skills!O26</f>
        <v/>
      </c>
      <c r="G1319">
        <f>Skills!G26*IF(Skills!H26&gt;0,Skills!I26/Skills!H26,1)</f>
        <v/>
      </c>
      <c r="H1319">
        <f>1-(1-Skills!J26/100)^Skills!K26</f>
        <v/>
      </c>
      <c r="I1319" t="inlineStr">
        <is>
          <t>1</t>
        </is>
      </c>
      <c r="J1319" t="inlineStr"/>
      <c r="K1319" t="inlineStr"/>
      <c r="L1319" t="inlineStr"/>
      <c r="M1319" t="inlineStr"/>
      <c r="N1319" t="inlineStr"/>
      <c r="O1319">
        <f>(1-Summary!$B$11)*T1319+Summary!$B$11*V1319</f>
        <v/>
      </c>
      <c r="P1319">
        <f>IF(B1337=0,0,O1319/B1337)</f>
        <v/>
      </c>
      <c r="Q1319" t="n">
        <v>0</v>
      </c>
      <c r="R1319" t="n">
        <v>0</v>
      </c>
      <c r="S1319">
        <f>IFERROR(O1319/N1319,0)</f>
        <v/>
      </c>
      <c r="T1319" t="n">
        <v>0</v>
      </c>
      <c r="V1319" t="n">
        <v>0</v>
      </c>
    </row>
    <row r="1320">
      <c r="A1320">
        <f>Skills!A27</f>
        <v/>
      </c>
      <c r="B1320">
        <f>Skills!B27</f>
        <v/>
      </c>
      <c r="C1320">
        <f>Inputs!$B$3&gt;=125</f>
        <v/>
      </c>
      <c r="D1320">
        <f>IF(Skills!C27=1,60+Inputs!$B$25+Inputs!$B$29,IF(Skills!C27=2,90+Inputs!$B$26+Inputs!$B$29,IF(Skills!C27=3,120+Inputs!$B$27+Inputs!$B$29,MAX(0,(Inputs!$B$3-100)*3)+Inputs!$B$28+Inputs!$B$29)))</f>
        <v/>
      </c>
      <c r="E1320">
        <f>INDEX(FactorTable!$B$2:$Y$301, MATCH(ROUND(MIN(300,MAX(1,D1320)),0), FactorTable!$A$2:$A$301,0), Skills!M27+1)</f>
        <v/>
      </c>
      <c r="F1320">
        <f>IF(Skills!N27=TRUE,(Skills!L27/10)*(E1320/1000),Skills!L27/10)+Skills!O27</f>
        <v/>
      </c>
      <c r="G1320">
        <f>Skills!G27*IF(Skills!H27&gt;0,Skills!I27/Skills!H27,1)</f>
        <v/>
      </c>
      <c r="H1320">
        <f>1-(1-Skills!J27/100)^Skills!K27</f>
        <v/>
      </c>
      <c r="I1320" t="inlineStr">
        <is>
          <t>1</t>
        </is>
      </c>
      <c r="J1320" t="inlineStr"/>
      <c r="K1320" t="inlineStr"/>
      <c r="L1320" t="inlineStr"/>
      <c r="M1320" t="inlineStr"/>
      <c r="N1320" t="inlineStr"/>
      <c r="O1320">
        <f>(1-Summary!$B$11)*T1320+Summary!$B$11*V1320</f>
        <v/>
      </c>
      <c r="P1320">
        <f>IF(B1337=0,0,O1320/B1337)</f>
        <v/>
      </c>
      <c r="Q1320" t="n">
        <v>0</v>
      </c>
      <c r="R1320" t="n">
        <v>0</v>
      </c>
      <c r="S1320">
        <f>IFERROR(O1320/N1320,0)</f>
        <v/>
      </c>
      <c r="T1320" t="n">
        <v>0</v>
      </c>
      <c r="V1320" t="n">
        <v>0</v>
      </c>
    </row>
    <row r="1321">
      <c r="A1321">
        <f>Skills!A28</f>
        <v/>
      </c>
      <c r="B1321">
        <f>Skills!B28</f>
        <v/>
      </c>
      <c r="C1321">
        <f>Inputs!$B$3&gt;=125</f>
        <v/>
      </c>
      <c r="D1321">
        <f>IF(Skills!C28=1,60+Inputs!$B$25+Inputs!$B$29,IF(Skills!C28=2,90+Inputs!$B$26+Inputs!$B$29,IF(Skills!C28=3,120+Inputs!$B$27+Inputs!$B$29,MAX(0,(Inputs!$B$3-100)*3)+Inputs!$B$28+Inputs!$B$29)))</f>
        <v/>
      </c>
      <c r="E1321">
        <f>INDEX(FactorTable!$B$2:$Y$301, MATCH(ROUND(MIN(300,MAX(1,D1321)),0), FactorTable!$A$2:$A$301,0), Skills!M28+1)</f>
        <v/>
      </c>
      <c r="F1321">
        <f>IF(Skills!N28=TRUE,(Skills!L28/10)*(E1321/1000),Skills!L28/10)+Skills!O28</f>
        <v/>
      </c>
      <c r="G1321">
        <f>Skills!G28*IF(Skills!H28&gt;0,Skills!I28/Skills!H28,1)</f>
        <v/>
      </c>
      <c r="H1321">
        <f>1-(1-Skills!J28/100)^Skills!K28</f>
        <v/>
      </c>
      <c r="I1321" t="inlineStr">
        <is>
          <t>1</t>
        </is>
      </c>
      <c r="J1321" t="inlineStr"/>
      <c r="K1321" t="inlineStr"/>
      <c r="L1321" t="inlineStr"/>
      <c r="M1321" t="inlineStr"/>
      <c r="N1321" t="inlineStr"/>
      <c r="O1321">
        <f>(1-Summary!$B$11)*T1321+Summary!$B$11*V1321</f>
        <v/>
      </c>
      <c r="P1321">
        <f>IF(B1337=0,0,O1321/B1337)</f>
        <v/>
      </c>
      <c r="Q1321" t="n">
        <v>0</v>
      </c>
      <c r="R1321" t="n">
        <v>0</v>
      </c>
      <c r="S1321">
        <f>IFERROR(O1321/N1321,0)</f>
        <v/>
      </c>
      <c r="T1321" t="n">
        <v>0</v>
      </c>
      <c r="V1321" t="n">
        <v>0</v>
      </c>
    </row>
    <row r="1322">
      <c r="A1322">
        <f>Skills!A29</f>
        <v/>
      </c>
      <c r="B1322">
        <f>Skills!B29</f>
        <v/>
      </c>
      <c r="C1322">
        <f>Inputs!$B$3&gt;=120</f>
        <v/>
      </c>
      <c r="D1322">
        <f>IF(Skills!C29=1,60+Inputs!$B$25+Inputs!$B$29,IF(Skills!C29=2,90+Inputs!$B$26+Inputs!$B$29,IF(Skills!C29=3,120+Inputs!$B$27+Inputs!$B$29,MAX(0,(Inputs!$B$3-100)*3)+Inputs!$B$28+Inputs!$B$29)))</f>
        <v/>
      </c>
      <c r="E1322">
        <f>INDEX(FactorTable!$B$2:$Y$301, MATCH(ROUND(MIN(300,MAX(1,D1322)),0), FactorTable!$A$2:$A$301,0), Skills!M29+1)</f>
        <v/>
      </c>
      <c r="F1322">
        <f>IF(Skills!N29=TRUE,(Skills!L29/10)*(E1322/1000),Skills!L29/10)+Skills!O29</f>
        <v/>
      </c>
      <c r="G1322">
        <f>Skills!G29*IF(Skills!H29&gt;0,Skills!I29/Skills!H29,1)</f>
        <v/>
      </c>
      <c r="H1322">
        <f>1-(1-Skills!J29/100)^Skills!K29</f>
        <v/>
      </c>
      <c r="I1322" t="inlineStr">
        <is>
          <t>1</t>
        </is>
      </c>
      <c r="J1322" t="inlineStr"/>
      <c r="K1322" t="inlineStr"/>
      <c r="L1322" t="inlineStr"/>
      <c r="M1322" t="inlineStr"/>
      <c r="N1322" t="inlineStr"/>
      <c r="O1322">
        <f>(1-Summary!$B$11)*T1322+Summary!$B$11*V1322</f>
        <v/>
      </c>
      <c r="P1322">
        <f>IF(B1337=0,0,O1322/B1337)</f>
        <v/>
      </c>
      <c r="Q1322" t="n">
        <v>0</v>
      </c>
      <c r="R1322" t="n">
        <v>0</v>
      </c>
      <c r="S1322">
        <f>IFERROR(O1322/N1322,0)</f>
        <v/>
      </c>
      <c r="T1322" t="n">
        <v>0</v>
      </c>
      <c r="V1322" t="n">
        <v>0</v>
      </c>
    </row>
    <row r="1323">
      <c r="A1323">
        <f>Skills!A30</f>
        <v/>
      </c>
      <c r="B1323">
        <f>Skills!B30</f>
        <v/>
      </c>
      <c r="C1323">
        <f>Inputs!$B$3&gt;=120</f>
        <v/>
      </c>
      <c r="D1323">
        <f>IF(Skills!C30=1,60+Inputs!$B$25+Inputs!$B$29,IF(Skills!C30=2,90+Inputs!$B$26+Inputs!$B$29,IF(Skills!C30=3,120+Inputs!$B$27+Inputs!$B$29,MAX(0,(Inputs!$B$3-100)*3)+Inputs!$B$28+Inputs!$B$29)))</f>
        <v/>
      </c>
      <c r="E1323">
        <f>INDEX(FactorTable!$B$2:$Y$301, MATCH(ROUND(MIN(300,MAX(1,D1323)),0), FactorTable!$A$2:$A$301,0), Skills!M30+1)</f>
        <v/>
      </c>
      <c r="F1323">
        <f>IF(Skills!N30=TRUE,(Skills!L30/10)*(E1323/1000),Skills!L30/10)+Skills!O30</f>
        <v/>
      </c>
      <c r="G1323">
        <f>Skills!G30*IF(Skills!H30&gt;0,Skills!I30/Skills!H30,1)</f>
        <v/>
      </c>
      <c r="H1323">
        <f>1-(1-Skills!J30/100)^Skills!K30</f>
        <v/>
      </c>
      <c r="I1323" t="inlineStr">
        <is>
          <t>1</t>
        </is>
      </c>
      <c r="J1323" t="inlineStr"/>
      <c r="K1323" t="inlineStr"/>
      <c r="L1323" t="inlineStr"/>
      <c r="M1323" t="inlineStr"/>
      <c r="N1323" t="inlineStr"/>
      <c r="O1323">
        <f>(1-Summary!$B$11)*T1323+Summary!$B$11*V1323</f>
        <v/>
      </c>
      <c r="P1323">
        <f>IF(B1337=0,0,O1323/B1337)</f>
        <v/>
      </c>
      <c r="Q1323" t="n">
        <v>0</v>
      </c>
      <c r="R1323" t="n">
        <v>0</v>
      </c>
      <c r="S1323">
        <f>IFERROR(O1323/N1323,0)</f>
        <v/>
      </c>
      <c r="T1323" t="n">
        <v>0</v>
      </c>
      <c r="V1323" t="n">
        <v>0</v>
      </c>
    </row>
    <row r="1324">
      <c r="A1324">
        <f>Skills!A31</f>
        <v/>
      </c>
      <c r="B1324">
        <f>Skills!B31</f>
        <v/>
      </c>
      <c r="C1324">
        <f>Inputs!$B$3&gt;=45</f>
        <v/>
      </c>
      <c r="D1324">
        <f>IF(Skills!C31=1,60+Inputs!$B$25+Inputs!$B$29,IF(Skills!C31=2,90+Inputs!$B$26+Inputs!$B$29,IF(Skills!C31=3,120+Inputs!$B$27+Inputs!$B$29,MAX(0,(Inputs!$B$3-100)*3)+Inputs!$B$28+Inputs!$B$29)))</f>
        <v/>
      </c>
      <c r="E1324">
        <f>INDEX(FactorTable!$B$2:$Y$301, MATCH(ROUND(MIN(300,MAX(1,D1324)),0), FactorTable!$A$2:$A$301,0), Skills!M31+1)</f>
        <v/>
      </c>
      <c r="F1324">
        <f>IF(Skills!N31=TRUE,(Skills!L31/10)*(E1324/1000),Skills!L31/10)+Skills!O31</f>
        <v/>
      </c>
      <c r="G1324">
        <f>Skills!G31*IF(Skills!H31&gt;0,Skills!I31/Skills!H31,1)</f>
        <v/>
      </c>
      <c r="H1324">
        <f>1-(1-Skills!J31/100)^Skills!K31</f>
        <v/>
      </c>
      <c r="I1324" t="inlineStr">
        <is>
          <t>1</t>
        </is>
      </c>
      <c r="J1324" t="inlineStr"/>
      <c r="K1324" t="inlineStr"/>
      <c r="L1324" t="inlineStr"/>
      <c r="M1324" t="inlineStr"/>
      <c r="N1324" t="inlineStr"/>
      <c r="O1324">
        <f>(1-Summary!$B$11)*T1324+Summary!$B$11*V1324</f>
        <v/>
      </c>
      <c r="P1324">
        <f>IF(B1337=0,0,O1324/B1337)</f>
        <v/>
      </c>
      <c r="Q1324" t="n">
        <v>0</v>
      </c>
      <c r="R1324" t="n">
        <v>0</v>
      </c>
      <c r="S1324">
        <f>IFERROR(O1324/N1324,0)</f>
        <v/>
      </c>
      <c r="T1324" t="n">
        <v>0</v>
      </c>
      <c r="V1324" t="n">
        <v>0</v>
      </c>
    </row>
    <row r="1326">
      <c r="A1326" t="inlineStr">
        <is>
          <t>Attack% Bucket Multiplier</t>
        </is>
      </c>
      <c r="B1326">
        <f>(1+(((C1307=TRUE)*F1307)+((C1308=TRUE)*IF(Inputs!$B$38="pvp",F1308,(1-Summary!$B$11)*(F1308)+Summary!$B$11*(0)))+((C1309=TRUE)*F1309*IF(AND(Inputs!$B$38&lt;&gt;"pvp",Inputs!$B$43&gt;0),(((R1309-1)*(Skills!T16*(1+Inputs!$B$34/100))+MIN((Skills!T16*(1+Inputs!$B$34/100)),MAX(0,Inputs!$B$43-((R1309-1)*Skills!D16))))/Inputs!$B$43),IF(Inputs!$B$38="pvp",MIN((Skills!T16*(1+Inputs!$B$34/100)),15)/15,(Skills!T16*(1+Inputs!$B$34/100))/Skills!D16)))+((C1324=TRUE)*(F1324-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327">
      <c r="A1327" t="inlineStr">
        <is>
          <t>Global Crit Rate Bonus %</t>
        </is>
      </c>
      <c r="B1327">
        <f>(C1310=TRUE)*20*IF(AND(Inputs!$B$38&lt;&gt;"pvp",Inputs!$B$43&gt;0),(((R1310-1)*(Skills!T17*(1+Inputs!$B$34/100))+MIN((Skills!T17*(1+Inputs!$B$34/100)),MAX(0,Inputs!$B$43-((R1310-1)*Skills!D17))))/Inputs!$B$43),IF(Inputs!$B$38="pvp",MIN((Skills!T17*(1+Inputs!$B$34/100)),15)/15,(Skills!T17*(1+Inputs!$B$34/100))/Skills!D17))</f>
        <v/>
      </c>
    </row>
    <row r="1328">
      <c r="A1328" t="inlineStr">
        <is>
          <t>Attack Speed Buff Bonus %</t>
        </is>
      </c>
      <c r="B1328">
        <f>((C1313=TRUE)*F1313*IF(AND(Inputs!$B$38&lt;&gt;"pvp",Inputs!$B$43&gt;0),(((R1313-1)*(Skills!T20*(1+Inputs!$B$34/100))+MIN((Skills!T20*(1+Inputs!$B$34/100)),MAX(0,Inputs!$B$43-((R1313-1)*Skills!D20))))/Inputs!$B$43),IF(Inputs!$B$38="pvp",MIN((Skills!T20*(1+Inputs!$B$34/100)),15)/15,(Skills!T20*(1+Inputs!$B$34/100))/Skills!D20)))</f>
        <v/>
      </c>
    </row>
    <row r="1329">
      <c r="A1329" t="inlineStr">
        <is>
          <t>Actions Per Second</t>
        </is>
      </c>
      <c r="B1329">
        <f>1+MIN(150,150*(1-(1-(Inputs!$B$11+((C1315=TRUE)*(F1315-Calc!F22))+((C1316=TRUE)*(F1316-Calc!F23)))/150)*(1-B1328/150)))/100</f>
        <v/>
      </c>
    </row>
    <row r="1330">
      <c r="A1330" t="inlineStr">
        <is>
          <t>Skill + Buff Cast Rate</t>
        </is>
      </c>
      <c r="B1330">
        <f>IF(AND(Inputs!$B$38&lt;&gt;"pvp",Inputs!$B$43&gt;0),SUMPRODUCT((Skills!E2:E31=TRUE)*(C1295:C1324=TRUE)*R1295:R1324*Skills!F2:F31)/Inputs!$B$43,SUMPRODUCT((Skills!E2:E31=TRUE)*(C1295:C1324=TRUE)*Q1295:Q1324*Skills!F2:F31))</f>
        <v/>
      </c>
    </row>
    <row r="1331">
      <c r="A1331" t="inlineStr">
        <is>
          <t>Arrow Stream Casts Per Second</t>
        </is>
      </c>
      <c r="B1331">
        <f>MAX(0,B1329-B1330)</f>
        <v/>
      </c>
    </row>
    <row r="1332">
      <c r="A1332" t="inlineStr">
        <is>
          <t>Global Critical Damage Bonus % (Sharp Eyes + Concentration)</t>
        </is>
      </c>
      <c r="B1332">
        <f>(C1310=TRUE)*F1310*IF(AND(Inputs!$B$38&lt;&gt;"pvp",Inputs!$B$43&gt;0),(((R1310-1)*(Skills!T17*(1+Inputs!$B$34/100))+MIN((Skills!T17*(1+Inputs!$B$34/100)),MAX(0,Inputs!$B$43-((R1310-1)*Skills!D17))))/Inputs!$B$43),IF(Inputs!$B$38="pvp",MIN((Skills!T17*(1+Inputs!$B$34/100)),15)/15,(Skills!T17*(1+Inputs!$B$34/100))/Skills!D17))+(C1311=TRUE)*30</f>
        <v/>
      </c>
    </row>
    <row r="1333">
      <c r="A1333" t="inlineStr">
        <is>
          <t>Global Final Damage Bonus % (Mortal Blow)</t>
        </is>
      </c>
      <c r="B1333">
        <f>(C1312=TRUE)*F1312</f>
        <v/>
      </c>
    </row>
    <row r="1334">
      <c r="A1334" t="inlineStr">
        <is>
          <t>Buff-Casting Startup Delay (s, fixed-duration only)</t>
        </is>
      </c>
      <c r="B1334">
        <f>IF(AND(Inputs!$B$38&lt;&gt;"pvp",Inputs!$B$43&gt;0),SUMPRODUCT((Skills!T2:T31&gt;0)*(Skills!E2:E31=TRUE)*(C1295:C1324=TRUE))/B1329,0)</f>
        <v/>
      </c>
    </row>
    <row r="1335">
      <c r="A1335" t="inlineStr">
        <is>
          <t>Boss-Only Total DPS (this block's swept value)</t>
        </is>
      </c>
      <c r="B1335">
        <f>SUM(T1295:T1324)</f>
        <v/>
      </c>
    </row>
    <row r="1336">
      <c r="A1336" t="inlineStr">
        <is>
          <t>Normal-Only Total DPS (this block's swept value)</t>
        </is>
      </c>
      <c r="B1336">
        <f>SUM(V1295:V1324)</f>
        <v/>
      </c>
    </row>
    <row r="1337">
      <c r="A1337" s="6" t="inlineStr">
        <is>
          <t>TOTAL DPS</t>
        </is>
      </c>
      <c r="B1337" s="6">
        <f>SUM(O1295:O1324)</f>
        <v/>
      </c>
    </row>
    <row r="1340">
      <c r="A1340" s="6" t="inlineStr">
        <is>
          <t>Stat: Pig's Ribbon (Equip)</t>
        </is>
      </c>
    </row>
    <row r="1341">
      <c r="A1341" s="5" t="inlineStr">
        <is>
          <t>Key</t>
        </is>
      </c>
      <c r="B1341" s="5" t="inlineStr">
        <is>
          <t>Name</t>
        </is>
      </c>
      <c r="C1341" s="5" t="inlineStr">
        <is>
          <t>Unlocked</t>
        </is>
      </c>
      <c r="D1341" s="5" t="inlineStr">
        <is>
          <t>InputLevel</t>
        </is>
      </c>
      <c r="E1341" s="5" t="inlineStr">
        <is>
          <t>Factor</t>
        </is>
      </c>
      <c r="F1341" s="5" t="inlineStr">
        <is>
          <t>CoefficientPercent</t>
        </is>
      </c>
      <c r="G1341" s="5" t="inlineStr">
        <is>
          <t>EffectiveHits</t>
        </is>
      </c>
      <c r="H1341" s="5" t="inlineStr">
        <is>
          <t>ProcProbability</t>
        </is>
      </c>
      <c r="I1341" s="5" t="inlineStr">
        <is>
          <t>MapleHeroMultiplier</t>
        </is>
      </c>
      <c r="J1341" s="5" t="inlineStr">
        <is>
          <t>BaseDamage</t>
        </is>
      </c>
      <c r="K1341" s="5" t="inlineStr">
        <is>
          <t>BaseHitDamage</t>
        </is>
      </c>
      <c r="L1341" s="5" t="inlineStr">
        <is>
          <t>NonCritAvg</t>
        </is>
      </c>
      <c r="M1341" s="5" t="inlineStr">
        <is>
          <t>CritAvg</t>
        </is>
      </c>
      <c r="N1341" s="5" t="inlineStr">
        <is>
          <t>ExpectedDamage(perHit)</t>
        </is>
      </c>
      <c r="O1341" s="5" t="inlineStr">
        <is>
          <t>DPS</t>
        </is>
      </c>
      <c r="P1341" s="5" t="inlineStr">
        <is>
          <t>% of Total</t>
        </is>
      </c>
      <c r="Q1341" s="5" t="inlineStr">
        <is>
          <t>InvCooldown</t>
        </is>
      </c>
      <c r="R1341" s="5" t="inlineStr">
        <is>
          <t>CastsInFight</t>
        </is>
      </c>
      <c r="S1341" s="5" t="inlineStr">
        <is>
          <t>HitRate(perSec)</t>
        </is>
      </c>
      <c r="U1341" t="inlineStr">
        <is>
          <t>helpers</t>
        </is>
      </c>
    </row>
    <row r="1342">
      <c r="A1342">
        <f>Skills!A2</f>
        <v/>
      </c>
      <c r="B1342">
        <f>Skills!B2</f>
        <v/>
      </c>
      <c r="C1342">
        <f>Inputs!$B$3&gt;=100</f>
        <v/>
      </c>
      <c r="D1342" t="inlineStr"/>
      <c r="E1342" t="inlineStr"/>
      <c r="F1342">
        <f>U1344+Skills!O2</f>
        <v/>
      </c>
      <c r="G1342">
        <f>Skills!G2*IF(Skills!H2&gt;0,Skills!I2/Skills!H2,1)</f>
        <v/>
      </c>
      <c r="H1342">
        <f>1-(1-Skills!J2/100)^Skills!K2</f>
        <v/>
      </c>
      <c r="I1342" t="inlineStr">
        <is>
          <t>1</t>
        </is>
      </c>
      <c r="J1342">
        <f>((Inputs!$B$6*(1+Inputs!$B$7/100))+(((Inputs!$B$12*(1+Inputs!$B$13/100))-(Inputs!$B$12*(1+Inputs!$B$13/100)))+0.25*(Inputs!$B$14-Inputs!$B$14))*(1+Inputs!$B$7/100))*(F1342/100)</f>
        <v/>
      </c>
      <c r="K1342">
        <f>J1342*(1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1342)</f>
        <v/>
      </c>
      <c r="L1342">
        <f>K1342*(MIN(Inputs!$B$22+((C1365=TRUE)*(F1365-Calc!F25)),(Inputs!$B$23+((C1370=TRUE)*(F1370-Calc!F30))+(IF(ArtifactsInput!$M$15,CHOOSE(ArtifactsInput!$N$15+1,25,30,35,40,45,50)/100*(Inputs!$B$11-Inputs!$B$11),0))))/100+(Inputs!$B$23+((C1370=TRUE)*(F1370-Calc!F30))+(IF(ArtifactsInput!$M$15,CHOOSE(ArtifactsInput!$N$15+1,25,30,35,40,45,50)/100*(Inputs!$B$11-Inputs!$B$11),0)))/100)/2</f>
        <v/>
      </c>
      <c r="M1342">
        <f>L1342*(1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2">
        <f>L1342*(1-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1342*(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2">
        <f>(1-Summary!$B$11)*T1342+Summary!$B$11*V1342</f>
        <v/>
      </c>
      <c r="P1342">
        <f>IF(B1384=0,0,O1342/B1384)</f>
        <v/>
      </c>
      <c r="Q1342" t="n">
        <v>0</v>
      </c>
      <c r="R1342" t="n">
        <v>0</v>
      </c>
      <c r="S1342">
        <f>IFERROR(O1342/N1342,0)</f>
        <v/>
      </c>
      <c r="T1342">
        <f>IF(C1342,(Skills!G2*N1342*B1378)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1342*(1-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1342*(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1342*(1-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1342*(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2">
        <f>MAX(0,(Inputs!$B$3-100)*3)+Inputs!$B$28+Inputs!$B$29</f>
        <v/>
      </c>
      <c r="V1342">
        <f>IF(C1342,(Skills!G2*N1342*B1378)*IF(Inputs!$B$38="pvp",1,(1+(Inputs!$B$21+Skills!Q2+(IF(ArtifactsInput!$M$33,CHOOSE(ArtifactsInput!$N$33+1,30,36,42,48,54,60),0))+(IF(AND(ArtifactsInput!$M$35,Inputs!$B$4&lt;&gt;"Chapter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3">
      <c r="A1343">
        <f>Skills!A3</f>
        <v/>
      </c>
      <c r="B1343">
        <f>Skills!B3</f>
        <v/>
      </c>
      <c r="C1343">
        <f>Inputs!$B$3&gt;=50</f>
        <v/>
      </c>
      <c r="D1343">
        <f>IF(Skills!C3=1,60+Inputs!$B$25+Inputs!$B$29,IF(Skills!C3=2,90+Inputs!$B$26+Inputs!$B$29,IF(Skills!C3=3,120+Inputs!$B$27+Inputs!$B$29,MAX(0,(Inputs!$B$3-100)*3)+Inputs!$B$28+Inputs!$B$29)))</f>
        <v/>
      </c>
      <c r="E1343">
        <f>INDEX(FactorTable!$B$2:$Y$301, MATCH(ROUND(MIN(300,MAX(1,D1343)),0), FactorTable!$A$2:$A$301,0), Skills!M3+1)</f>
        <v/>
      </c>
      <c r="F1343">
        <f>IF(Skills!N3=TRUE,(Skills!L3/10)*(E1343/1000),Skills!L3/10)+Skills!O3</f>
        <v/>
      </c>
      <c r="G1343">
        <f>Skills!G3*IF(Skills!H3&gt;0,Skills!I3/Skills!H3,1)</f>
        <v/>
      </c>
      <c r="H1343">
        <f>1-(1-Skills!J3/100)^Skills!K3</f>
        <v/>
      </c>
      <c r="I1343" t="inlineStr">
        <is>
          <t>1</t>
        </is>
      </c>
      <c r="J1343">
        <f>((Inputs!$B$6*(1+Inputs!$B$7/100))+(((Inputs!$B$12*(1+Inputs!$B$13/100))-(Inputs!$B$12*(1+Inputs!$B$13/100)))+0.25*(Inputs!$B$14-Inputs!$B$14))*(1+Inputs!$B$7/100))*(F1343/100)</f>
        <v/>
      </c>
      <c r="K1343">
        <f>J1343*(1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1344=TRUE,F1344,0)/100)*(1+(IF(Skills!A3="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1343)</f>
        <v/>
      </c>
      <c r="L1343">
        <f>K1343*(MIN(Inputs!$B$22+((C1365=TRUE)*(F1365-Calc!F25)),(Inputs!$B$23+((C1370=TRUE)*(F1370-Calc!F30))+(IF(ArtifactsInput!$M$15,CHOOSE(ArtifactsInput!$N$15+1,25,30,35,40,45,50)/100*(Inputs!$B$11-Inputs!$B$11),0))))/100+(Inputs!$B$23+((C1370=TRUE)*(F1370-Calc!F30))+(IF(ArtifactsInput!$M$15,CHOOSE(ArtifactsInput!$N$15+1,25,30,35,40,45,50)/100*(Inputs!$B$11-Inputs!$B$11),0)))/100)/2</f>
        <v/>
      </c>
      <c r="M1343">
        <f>L1343*(1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3">
        <f>L1343*(1-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1343*(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3">
        <f>(1-Summary!$B$11)*T1343+Summary!$B$11*V1343</f>
        <v/>
      </c>
      <c r="P1343">
        <f>IF(B1384=0,0,O1343/B1384)</f>
        <v/>
      </c>
      <c r="Q1343">
        <f>IFERROR(1/(IF(Inputs!$B$38="pvp",15,MAX(0.1,Skills!D3-IF(Skills!E3=TRUE,Inputs!$B$32,0)))*(1-IF(AND(ArtifactsInput!$M$27,Inputs!$B$4="Chapter Hunt"),CHOOSE(ArtifactsInput!$N$27+1,20,24,28,32,36,40),0)/100)),0)</f>
        <v/>
      </c>
      <c r="R1343">
        <f>IF(AND(Inputs!$B$38&lt;&gt;"pvp",Inputs!$B$43&gt;0),IF(MAX(0,Inputs!$B$43-B1381)&lt;=0,0,(INT(MAX(0,Inputs!$B$43-B1381)/(IF(Inputs!$B$38="pvp",15,MAX(0.1,Skills!D3-IF(Skills!E3=TRUE,Inputs!$B$32,0)))*(1-IF(AND(ArtifactsInput!$M$27,Inputs!$B$4="Chapter Hunt"),CHOOSE(ArtifactsInput!$N$27+1,20,24,28,32,36,40),0)/100)))+1)),0)</f>
        <v/>
      </c>
      <c r="S1343">
        <f>IFERROR(O1343/N1343,0)</f>
        <v/>
      </c>
      <c r="T1343">
        <f>IF(C1343,(H1343*N1343*IF(AND(Inputs!$B$38&lt;&gt;"pvp",Inputs!$B$43&gt;0),((Skills!G3*((R1343-1)*IF(Skills!H3&gt;0,Skills!I3/Skills!H3,1)+IF(Skills!H3&gt;0,MIN(Skills!I3,MAX(0,MAX(0,Inputs!$B$43-B1381)-((R1343-1)*(IF(Inputs!$B$38="pvp",15,MAX(0.1,Skills!D3-IF(Skills!E3=TRUE,Inputs!$B$32,0)))*(1-IF(AND(ArtifactsInput!$M$27,Inputs!$B$4="Chapter Hunt"),CHOOSE(ArtifactsInput!$N$27+1,20,24,28,32,36,40),0)/100)))))/Skills!H3,1)))/Inputs!$B$43),G1343*Q1343)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1343*(1-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1343*(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1343*(1-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1343*(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3">
        <f>INDEX(FactorTable!$B$2:$Y$301, MATCH(ROUND(MIN(300,MAX(1,U1342)),0), FactorTable!$A$2:$A$301,0), 22)</f>
        <v/>
      </c>
      <c r="V1343">
        <f>IF(C1343,(H1343*N1343*IF(AND(Inputs!$B$38&lt;&gt;"pvp",Inputs!$B$43&gt;0),((Skills!G3*((R1343-1)*IF(Skills!H3&gt;0,Skills!I3/Skills!H3,1)+IF(Skills!H3&gt;0,MIN(Skills!I3,MAX(0,MAX(0,Inputs!$B$43-B1381)-((R1343-1)*(IF(Inputs!$B$38="pvp",15,MAX(0.1,Skills!D3-IF(Skills!E3=TRUE,Inputs!$B$32,0)))*(1-IF(AND(ArtifactsInput!$M$27,Inputs!$B$4="Chapter Hunt"),CHOOSE(ArtifactsInput!$N$27+1,20,24,28,32,36,40),0)/100)))))/Skills!H3,1)))/Inputs!$B$43),G1343*Q1343))*IF(Inputs!$B$38="pvp",1,(1+(Inputs!$B$21+Skills!Q3+(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4">
      <c r="A1344">
        <f>Skills!A4</f>
        <v/>
      </c>
      <c r="B1344">
        <f>Skills!B4</f>
        <v/>
      </c>
      <c r="C1344">
        <f>Inputs!$B$3&gt;=105</f>
        <v/>
      </c>
      <c r="D1344">
        <f>IF(Skills!C4=1,60+Inputs!$B$25+Inputs!$B$29,IF(Skills!C4=2,90+Inputs!$B$26+Inputs!$B$29,IF(Skills!C4=3,120+Inputs!$B$27+Inputs!$B$29,MAX(0,(Inputs!$B$3-100)*3)+Inputs!$B$28+Inputs!$B$29)))</f>
        <v/>
      </c>
      <c r="E1344">
        <f>INDEX(FactorTable!$B$2:$Y$301, MATCH(ROUND(MIN(300,MAX(1,D1344)),0), FactorTable!$A$2:$A$301,0), Skills!M4+1)</f>
        <v/>
      </c>
      <c r="F1344">
        <f>IF(Skills!N4=TRUE,(Skills!L4/10)*(E1344/1000),Skills!L4/10)+Skills!O4</f>
        <v/>
      </c>
      <c r="G1344" t="inlineStr"/>
      <c r="H1344" t="inlineStr"/>
      <c r="I1344" t="inlineStr">
        <is>
          <t>1</t>
        </is>
      </c>
      <c r="J1344" t="inlineStr"/>
      <c r="K1344" t="inlineStr"/>
      <c r="L1344" t="inlineStr"/>
      <c r="M1344" t="inlineStr"/>
      <c r="N1344" t="inlineStr"/>
      <c r="O1344" t="inlineStr"/>
      <c r="P1344" t="inlineStr"/>
      <c r="Q1344" t="inlineStr"/>
      <c r="R1344" t="inlineStr"/>
      <c r="S1344" t="inlineStr"/>
      <c r="T1344" t="inlineStr"/>
      <c r="U1344">
        <f>290*U1343/1000</f>
        <v/>
      </c>
      <c r="V1344" t="inlineStr"/>
    </row>
    <row r="1345">
      <c r="A1345">
        <f>Skills!A5</f>
        <v/>
      </c>
      <c r="B1345">
        <f>Skills!B5</f>
        <v/>
      </c>
      <c r="C1345">
        <f>Inputs!$B$3&gt;=35</f>
        <v/>
      </c>
      <c r="D1345">
        <f>IF(Skills!C5=1,60+Inputs!$B$25+Inputs!$B$29,IF(Skills!C5=2,90+Inputs!$B$26+Inputs!$B$29,IF(Skills!C5=3,120+Inputs!$B$27+Inputs!$B$29,MAX(0,(Inputs!$B$3-100)*3)+Inputs!$B$28+Inputs!$B$29)))</f>
        <v/>
      </c>
      <c r="E1345">
        <f>INDEX(FactorTable!$B$2:$Y$301, MATCH(ROUND(MIN(300,MAX(1,D1345)),0), FactorTable!$A$2:$A$301,0), Skills!M5+1)</f>
        <v/>
      </c>
      <c r="F1345">
        <f>IF(Skills!N5=TRUE,(Skills!L5/10)*(E1345/1000),Skills!L5/10)+Skills!O5</f>
        <v/>
      </c>
      <c r="G1345">
        <f>Skills!G5*IF(Skills!H5&gt;0,Skills!I5/Skills!H5,1)</f>
        <v/>
      </c>
      <c r="H1345">
        <f>1-(1-Skills!J5/100)^Skills!K5</f>
        <v/>
      </c>
      <c r="I1345" t="inlineStr">
        <is>
          <t>1</t>
        </is>
      </c>
      <c r="J1345">
        <f>((Inputs!$B$6*(1+Inputs!$B$7/100))+(((Inputs!$B$12*(1+Inputs!$B$13/100))-(Inputs!$B$12*(1+Inputs!$B$13/100)))+0.25*(Inputs!$B$14-Inputs!$B$14))*(1+Inputs!$B$7/100))*(F1345/100)</f>
        <v/>
      </c>
      <c r="K1345">
        <f>J1345*(1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1351=TRUE,F1351,0)/100)*(1+(IF(Skills!A5="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1345)</f>
        <v/>
      </c>
      <c r="L1345">
        <f>K1345*(MIN(Inputs!$B$22+((C1365=TRUE)*(F1365-Calc!F25)),(Inputs!$B$23+((C1370=TRUE)*(F1370-Calc!F30))+(IF(ArtifactsInput!$M$15,CHOOSE(ArtifactsInput!$N$15+1,25,30,35,40,45,50)/100*(Inputs!$B$11-Inputs!$B$11),0))))/100+(Inputs!$B$23+((C1370=TRUE)*(F1370-Calc!F30))+(IF(ArtifactsInput!$M$15,CHOOSE(ArtifactsInput!$N$15+1,25,30,35,40,45,50)/100*(Inputs!$B$11-Inputs!$B$11),0)))/100)/2</f>
        <v/>
      </c>
      <c r="M1345">
        <f>L1345*(1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5">
        <f>L1345*(1-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1345*(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5">
        <f>(1-Summary!$B$11)*T1345+Summary!$B$11*V1345</f>
        <v/>
      </c>
      <c r="P1345">
        <f>IF(B1384=0,0,O1345/B1384)</f>
        <v/>
      </c>
      <c r="Q1345">
        <f>IFERROR(1/(IF(Inputs!$B$38="pvp",15,MAX(0.1,Skills!D5-IF(Skills!E5=TRUE,Inputs!$B$32,0)))*(1-IF(AND(ArtifactsInput!$M$27,Inputs!$B$4="Chapter Hunt"),CHOOSE(ArtifactsInput!$N$27+1,20,24,28,32,36,40),0)/100)),0)</f>
        <v/>
      </c>
      <c r="R1345">
        <f>IF(AND(Inputs!$B$38&lt;&gt;"pvp",Inputs!$B$43&gt;0),IF(MAX(0,Inputs!$B$43-B1381)&lt;=0,0,(INT(MAX(0,Inputs!$B$43-B1381)/(IF(Inputs!$B$38="pvp",15,MAX(0.1,Skills!D5-IF(Skills!E5=TRUE,Inputs!$B$32,0)))*(1-IF(AND(ArtifactsInput!$M$27,Inputs!$B$4="Chapter Hunt"),CHOOSE(ArtifactsInput!$N$27+1,20,24,28,32,36,40),0)/100)))+1)),0)</f>
        <v/>
      </c>
      <c r="S1345">
        <f>IFERROR(O1345/N1345,0)</f>
        <v/>
      </c>
      <c r="T1345">
        <f>IF(C1345,(H1345*N1345*IF(AND(Inputs!$B$38&lt;&gt;"pvp",Inputs!$B$43&gt;0),((Skills!G5*((R1345-1)*IF(Skills!H5&gt;0,Skills!I5/Skills!H5,1)+IF(Skills!H5&gt;0,MIN(Skills!I5,MAX(0,MAX(0,Inputs!$B$43-B1381)-((R1345-1)*(IF(Inputs!$B$38="pvp",15,MAX(0.1,Skills!D5-IF(Skills!E5=TRUE,Inputs!$B$32,0)))*(1-IF(AND(ArtifactsInput!$M$27,Inputs!$B$4="Chapter Hunt"),CHOOSE(ArtifactsInput!$N$27+1,20,24,28,32,36,40),0)/100)))))/Skills!H5,1)))/Inputs!$B$43),G1345*Q1345)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1345*(1-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1345*(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1345*(1-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1345*(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5">
        <f>IF(C1345,(H1345*N1345*IF(AND(Inputs!$B$38&lt;&gt;"pvp",Inputs!$B$43&gt;0),((Skills!G5*((R1345-1)*IF(Skills!H5&gt;0,Skills!I5/Skills!H5,1)+IF(Skills!H5&gt;0,MIN(Skills!I5,MAX(0,MAX(0,Inputs!$B$43-B1381)-((R1345-1)*(IF(Inputs!$B$38="pvp",15,MAX(0.1,Skills!D5-IF(Skills!E5=TRUE,Inputs!$B$32,0)))*(1-IF(AND(ArtifactsInput!$M$27,Inputs!$B$4="Chapter Hunt"),CHOOSE(ArtifactsInput!$N$27+1,20,24,28,32,36,40),0)/100)))))/Skills!H5,1)))/Inputs!$B$43),G1345*Q1345))*IF(Inputs!$B$38="pvp",1,(1+(Inputs!$B$21+Skills!Q5+(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6">
      <c r="A1346">
        <f>Skills!A6</f>
        <v/>
      </c>
      <c r="B1346">
        <f>Skills!B6</f>
        <v/>
      </c>
      <c r="C1346">
        <f>Inputs!$B$3&gt;=40</f>
        <v/>
      </c>
      <c r="D1346">
        <f>IF(Skills!C6=1,60+Inputs!$B$25+Inputs!$B$29,IF(Skills!C6=2,90+Inputs!$B$26+Inputs!$B$29,IF(Skills!C6=3,120+Inputs!$B$27+Inputs!$B$29,MAX(0,(Inputs!$B$3-100)*3)+Inputs!$B$28+Inputs!$B$29)))</f>
        <v/>
      </c>
      <c r="E1346">
        <f>INDEX(FactorTable!$B$2:$Y$301, MATCH(ROUND(MIN(300,MAX(1,D1346)),0), FactorTable!$A$2:$A$301,0), Skills!M6+1)</f>
        <v/>
      </c>
      <c r="F1346">
        <f>IF(Skills!N6=TRUE,(Skills!L6/10)*(E1346/1000),Skills!L6/10)+Skills!O6</f>
        <v/>
      </c>
      <c r="G1346">
        <f>Skills!G6*IF(Skills!H6&gt;0,Skills!I6/Skills!H6,1)</f>
        <v/>
      </c>
      <c r="H1346">
        <f>1-(1-Skills!J6/100)^Skills!K6</f>
        <v/>
      </c>
      <c r="I1346" t="inlineStr">
        <is>
          <t>1</t>
        </is>
      </c>
      <c r="J1346">
        <f>((Inputs!$B$6*(1+Inputs!$B$7/100))+(((Inputs!$B$12*(1+Inputs!$B$13/100))-(Inputs!$B$12*(1+Inputs!$B$13/100)))+0.25*(Inputs!$B$14-Inputs!$B$14))*(1+Inputs!$B$7/100))*(F1346/100)</f>
        <v/>
      </c>
      <c r="K1346">
        <f>J1346*(1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1347=TRUE,F1347,0)/100)*(1+(IF(Skills!A6="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1346)</f>
        <v/>
      </c>
      <c r="L1346">
        <f>K1346*(MIN(Inputs!$B$22+((C1365=TRUE)*(F1365-Calc!F25)),(Inputs!$B$23+((C1370=TRUE)*(F1370-Calc!F30))+(IF(ArtifactsInput!$M$15,CHOOSE(ArtifactsInput!$N$15+1,25,30,35,40,45,50)/100*(Inputs!$B$11-Inputs!$B$11),0))))/100+(Inputs!$B$23+((C1370=TRUE)*(F1370-Calc!F30))+(IF(ArtifactsInput!$M$15,CHOOSE(ArtifactsInput!$N$15+1,25,30,35,40,45,50)/100*(Inputs!$B$11-Inputs!$B$11),0)))/100)/2</f>
        <v/>
      </c>
      <c r="M1346">
        <f>L1346*(1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6">
        <f>L1346*(1-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1346*(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6">
        <f>(1-Summary!$B$11)*T1346+Summary!$B$11*V1346</f>
        <v/>
      </c>
      <c r="P1346">
        <f>IF(B1384=0,0,O1346/B1384)</f>
        <v/>
      </c>
      <c r="Q1346">
        <f>IFERROR(1/(IF(Inputs!$B$38="pvp",15,MAX(0.1,Skills!D6-IF(Skills!E6=TRUE,Inputs!$B$32,0)))*(1-IF(AND(ArtifactsInput!$M$27,Inputs!$B$4="Chapter Hunt"),CHOOSE(ArtifactsInput!$N$27+1,20,24,28,32,36,40),0)/100)),0)</f>
        <v/>
      </c>
      <c r="R1346">
        <f>IF(AND(Inputs!$B$38&lt;&gt;"pvp",Inputs!$B$43&gt;0),IF(MAX(0,Inputs!$B$43-B1381)&lt;=0,0,(INT(MAX(0,Inputs!$B$43-B1381)/(IF(Inputs!$B$38="pvp",15,MAX(0.1,Skills!D6-IF(Skills!E6=TRUE,Inputs!$B$32,0)))*(1-IF(AND(ArtifactsInput!$M$27,Inputs!$B$4="Chapter Hunt"),CHOOSE(ArtifactsInput!$N$27+1,20,24,28,32,36,40),0)/100)))+1)),0)</f>
        <v/>
      </c>
      <c r="S1346">
        <f>IFERROR(O1346/N1346,0)</f>
        <v/>
      </c>
      <c r="T1346">
        <f>IF(C1346,(H1346*N1346*IF(AND(Inputs!$B$38&lt;&gt;"pvp",Inputs!$B$43&gt;0),((Skills!G6*((R1346-1)*IF(Skills!H6&gt;0,Skills!I6/Skills!H6,1)+IF(Skills!H6&gt;0,MIN(Skills!I6,MAX(0,MAX(0,Inputs!$B$43-B1381)-((R1346-1)*(IF(Inputs!$B$38="pvp",15,MAX(0.1,Skills!D6-IF(Skills!E6=TRUE,Inputs!$B$32,0)))*(1-IF(AND(ArtifactsInput!$M$27,Inputs!$B$4="Chapter Hunt"),CHOOSE(ArtifactsInput!$N$27+1,20,24,28,32,36,40),0)/100)))))/Skills!H6,1)))/Inputs!$B$43),G1346*Q1346)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1346*(1-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1346*(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1346*(1-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1346*(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6">
        <f>IF(C1346,(H1346*N1346*IF(AND(Inputs!$B$38&lt;&gt;"pvp",Inputs!$B$43&gt;0),((Skills!G6*((R1346-1)*IF(Skills!H6&gt;0,Skills!I6/Skills!H6,1)+IF(Skills!H6&gt;0,MIN(Skills!I6,MAX(0,MAX(0,Inputs!$B$43-B1381)-((R1346-1)*(IF(Inputs!$B$38="pvp",15,MAX(0.1,Skills!D6-IF(Skills!E6=TRUE,Inputs!$B$32,0)))*(1-IF(AND(ArtifactsInput!$M$27,Inputs!$B$4="Chapter Hunt"),CHOOSE(ArtifactsInput!$N$27+1,20,24,28,32,36,40),0)/100)))))/Skills!H6,1)))/Inputs!$B$43),G1346*Q1346))*IF(Inputs!$B$38="pvp",1,(1+(Inputs!$B$21+Skills!Q6+(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7">
      <c r="A1347">
        <f>Skills!A7</f>
        <v/>
      </c>
      <c r="B1347">
        <f>Skills!B7</f>
        <v/>
      </c>
      <c r="C1347">
        <f>Inputs!$B$3&gt;=107</f>
        <v/>
      </c>
      <c r="D1347">
        <f>IF(Skills!C7=1,60+Inputs!$B$25+Inputs!$B$29,IF(Skills!C7=2,90+Inputs!$B$26+Inputs!$B$29,IF(Skills!C7=3,120+Inputs!$B$27+Inputs!$B$29,MAX(0,(Inputs!$B$3-100)*3)+Inputs!$B$28+Inputs!$B$29)))</f>
        <v/>
      </c>
      <c r="E1347">
        <f>INDEX(FactorTable!$B$2:$Y$301, MATCH(ROUND(MIN(300,MAX(1,D1347)),0), FactorTable!$A$2:$A$301,0), Skills!M7+1)</f>
        <v/>
      </c>
      <c r="F1347">
        <f>IF(Skills!N7=TRUE,(Skills!L7/10)*(E1347/1000),Skills!L7/10)+Skills!O7</f>
        <v/>
      </c>
      <c r="G1347" t="inlineStr"/>
      <c r="H1347" t="inlineStr"/>
      <c r="I1347" t="inlineStr">
        <is>
          <t>1</t>
        </is>
      </c>
      <c r="J1347" t="inlineStr"/>
      <c r="K1347" t="inlineStr"/>
      <c r="L1347" t="inlineStr"/>
      <c r="M1347" t="inlineStr"/>
      <c r="N1347" t="inlineStr"/>
      <c r="O1347" t="inlineStr"/>
      <c r="P1347" t="inlineStr"/>
      <c r="Q1347" t="inlineStr"/>
      <c r="R1347" t="inlineStr"/>
      <c r="S1347" t="inlineStr"/>
      <c r="T1347" t="inlineStr"/>
      <c r="V1347" t="inlineStr"/>
    </row>
    <row r="1348">
      <c r="A1348">
        <f>Skills!A8</f>
        <v/>
      </c>
      <c r="B1348">
        <f>Skills!B8</f>
        <v/>
      </c>
      <c r="C1348">
        <f>Inputs!$B$3&gt;=69</f>
        <v/>
      </c>
      <c r="D1348">
        <f>IF(Skills!C8=1,60+Inputs!$B$25+Inputs!$B$29,IF(Skills!C8=2,90+Inputs!$B$26+Inputs!$B$29,IF(Skills!C8=3,120+Inputs!$B$27+Inputs!$B$29,MAX(0,(Inputs!$B$3-100)*3)+Inputs!$B$28+Inputs!$B$29)))</f>
        <v/>
      </c>
      <c r="E1348">
        <f>INDEX(FactorTable!$B$2:$Y$301, MATCH(ROUND(MIN(300,MAX(1,D1348)),0), FactorTable!$A$2:$A$301,0), Skills!M8+1)</f>
        <v/>
      </c>
      <c r="F1348">
        <f>IF(Skills!N8=TRUE,(Skills!L8/10)*(E1348/1000),Skills!L8/10)+Skills!O8</f>
        <v/>
      </c>
      <c r="G1348">
        <f>Skills!G8*IF(Skills!H8&gt;0,Skills!I8/Skills!H8,1)</f>
        <v/>
      </c>
      <c r="H1348">
        <f>1-(1-Skills!J8/100)^Skills!K8</f>
        <v/>
      </c>
      <c r="I1348" t="inlineStr">
        <is>
          <t>1</t>
        </is>
      </c>
      <c r="J1348">
        <f>((Inputs!$B$6*(1+Inputs!$B$7/100))+(((Inputs!$B$12*(1+Inputs!$B$13/100))-(Inputs!$B$12*(1+Inputs!$B$13/100)))+0.25*(Inputs!$B$14-Inputs!$B$14))*(1+Inputs!$B$7/100))*(F1348/100)</f>
        <v/>
      </c>
      <c r="K1348">
        <f>J1348*(1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1351=TRUE,F1351,0)/100)*(1+(IF(Skills!A8="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1348)</f>
        <v/>
      </c>
      <c r="L1348">
        <f>K1348*(MIN(Inputs!$B$22+((C1365=TRUE)*(F1365-Calc!F25)),(Inputs!$B$23+((C1370=TRUE)*(F1370-Calc!F30))+(IF(ArtifactsInput!$M$15,CHOOSE(ArtifactsInput!$N$15+1,25,30,35,40,45,50)/100*(Inputs!$B$11-Inputs!$B$11),0))))/100+(Inputs!$B$23+((C1370=TRUE)*(F1370-Calc!F30))+(IF(ArtifactsInput!$M$15,CHOOSE(ArtifactsInput!$N$15+1,25,30,35,40,45,50)/100*(Inputs!$B$11-Inputs!$B$11),0)))/100)/2</f>
        <v/>
      </c>
      <c r="M1348">
        <f>L1348*(1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8">
        <f>L1348*(1-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1348*(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8">
        <f>(1-Summary!$B$11)*T1348+Summary!$B$11*V1348</f>
        <v/>
      </c>
      <c r="P1348">
        <f>IF(B1384=0,0,O1348/B1384)</f>
        <v/>
      </c>
      <c r="Q1348">
        <f>IFERROR(1/(IF(Inputs!$B$38="pvp",15,MAX(0.1,Skills!D8-IF(Skills!E8=TRUE,Inputs!$B$32,0)))*(1-IF(AND(ArtifactsInput!$M$27,Inputs!$B$4="Chapter Hunt"),CHOOSE(ArtifactsInput!$N$27+1,20,24,28,32,36,40),0)/100)),0)</f>
        <v/>
      </c>
      <c r="R1348">
        <f>IF(AND(Inputs!$B$38&lt;&gt;"pvp",Inputs!$B$43&gt;0),IF(MAX(0,Inputs!$B$43-B1381)&lt;=0,0,(INT(MAX(0,Inputs!$B$43-B1381)/(IF(Inputs!$B$38="pvp",15,MAX(0.1,Skills!D8-IF(Skills!E8=TRUE,Inputs!$B$32,0)))*(1-IF(AND(ArtifactsInput!$M$27,Inputs!$B$4="Chapter Hunt"),CHOOSE(ArtifactsInput!$N$27+1,20,24,28,32,36,40),0)/100)))+1)),0)</f>
        <v/>
      </c>
      <c r="S1348">
        <f>IFERROR(O1348/N1348,0)</f>
        <v/>
      </c>
      <c r="T1348">
        <f>IF(C1348,(H1348*N1348*IF(AND(Inputs!$B$38&lt;&gt;"pvp",Inputs!$B$43&gt;0),((Skills!G8*((R1348-1)*IF(Skills!H8&gt;0,Skills!I8/Skills!H8,1)+IF(Skills!H8&gt;0,MIN(Skills!I8,MAX(0,MAX(0,Inputs!$B$43-B1381)-((R1348-1)*(IF(Inputs!$B$38="pvp",15,MAX(0.1,Skills!D8-IF(Skills!E8=TRUE,Inputs!$B$32,0)))*(1-IF(AND(ArtifactsInput!$M$27,Inputs!$B$4="Chapter Hunt"),CHOOSE(ArtifactsInput!$N$27+1,20,24,28,32,36,40),0)/100)))))/Skills!H8,1)))/Inputs!$B$43),G1348*Q1348)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1348*(1-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1348*(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1348*(1-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1348*(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8">
        <f>IF(C1348,(H1348*N1348*IF(AND(Inputs!$B$38&lt;&gt;"pvp",Inputs!$B$43&gt;0),((Skills!G8*((R1348-1)*IF(Skills!H8&gt;0,Skills!I8/Skills!H8,1)+IF(Skills!H8&gt;0,MIN(Skills!I8,MAX(0,MAX(0,Inputs!$B$43-B1381)-((R1348-1)*(IF(Inputs!$B$38="pvp",15,MAX(0.1,Skills!D8-IF(Skills!E8=TRUE,Inputs!$B$32,0)))*(1-IF(AND(ArtifactsInput!$M$27,Inputs!$B$4="Chapter Hunt"),CHOOSE(ArtifactsInput!$N$27+1,20,24,28,32,36,40),0)/100)))))/Skills!H8,1)))/Inputs!$B$43),G1348*Q1348))*IF(Inputs!$B$38="pvp",1,(1+(Inputs!$B$21+Skills!Q8+(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9">
      <c r="A1349">
        <f>Skills!A9</f>
        <v/>
      </c>
      <c r="B1349">
        <f>Skills!B9</f>
        <v/>
      </c>
      <c r="C1349">
        <f>Inputs!$B$3&gt;=63</f>
        <v/>
      </c>
      <c r="D1349">
        <f>IF(Skills!C9=1,60+Inputs!$B$25+Inputs!$B$29,IF(Skills!C9=2,90+Inputs!$B$26+Inputs!$B$29,IF(Skills!C9=3,120+Inputs!$B$27+Inputs!$B$29,MAX(0,(Inputs!$B$3-100)*3)+Inputs!$B$28+Inputs!$B$29)))</f>
        <v/>
      </c>
      <c r="E1349">
        <f>INDEX(FactorTable!$B$2:$Y$301, MATCH(ROUND(MIN(300,MAX(1,D1349)),0), FactorTable!$A$2:$A$301,0), Skills!M9+1)</f>
        <v/>
      </c>
      <c r="F1349">
        <f>IF(Skills!N9=TRUE,(Skills!L9/10)*(E1349/1000),Skills!L9/10)+Skills!O9</f>
        <v/>
      </c>
      <c r="G1349">
        <f>Skills!G9*IF(Skills!H9&gt;0,Skills!I9/Skills!H9,1)</f>
        <v/>
      </c>
      <c r="H1349">
        <f>1-(1-Skills!J9/100)^Skills!K9</f>
        <v/>
      </c>
      <c r="I1349" t="inlineStr">
        <is>
          <t>1</t>
        </is>
      </c>
      <c r="J1349">
        <f>((Inputs!$B$6*(1+Inputs!$B$7/100))+(((Inputs!$B$12*(1+Inputs!$B$13/100))-(Inputs!$B$12*(1+Inputs!$B$13/100)))+0.25*(Inputs!$B$14-Inputs!$B$14))*(1+Inputs!$B$7/100))*(F1349/100)</f>
        <v/>
      </c>
      <c r="K1349">
        <f>J1349*(1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1351=TRUE,F1351,0)/100)*(1+(IF(Skills!A9="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1349)</f>
        <v/>
      </c>
      <c r="L1349">
        <f>K1349*(MIN(Inputs!$B$22+((C1365=TRUE)*(F1365-Calc!F25)),(Inputs!$B$23+((C1370=TRUE)*(F1370-Calc!F30))+(IF(ArtifactsInput!$M$15,CHOOSE(ArtifactsInput!$N$15+1,25,30,35,40,45,50)/100*(Inputs!$B$11-Inputs!$B$11),0))))/100+(Inputs!$B$23+((C1370=TRUE)*(F1370-Calc!F30))+(IF(ArtifactsInput!$M$15,CHOOSE(ArtifactsInput!$N$15+1,25,30,35,40,45,50)/100*(Inputs!$B$11-Inputs!$B$11),0)))/100)/2</f>
        <v/>
      </c>
      <c r="M1349">
        <f>L1349*(1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9">
        <f>L1349*(1-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1349*(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9">
        <f>(1-Summary!$B$11)*T1349+Summary!$B$11*V1349</f>
        <v/>
      </c>
      <c r="P1349">
        <f>IF(B1384=0,0,O1349/B1384)</f>
        <v/>
      </c>
      <c r="Q1349">
        <f>IFERROR(1/(IF(Inputs!$B$38="pvp",15,MAX(0.1,Skills!D9-IF(Skills!E9=TRUE,Inputs!$B$32,0)))*(1-IF(AND(ArtifactsInput!$M$27,Inputs!$B$4="Chapter Hunt"),CHOOSE(ArtifactsInput!$N$27+1,20,24,28,32,36,40),0)/100)),0)</f>
        <v/>
      </c>
      <c r="R1349">
        <f>IF(AND(Inputs!$B$38&lt;&gt;"pvp",Inputs!$B$43&gt;0),IF(MAX(0,Inputs!$B$43-B1381)&lt;=0,0,(INT(MAX(0,Inputs!$B$43-B1381)/(IF(Inputs!$B$38="pvp",15,MAX(0.1,Skills!D9-IF(Skills!E9=TRUE,Inputs!$B$32,0)))*(1-IF(AND(ArtifactsInput!$M$27,Inputs!$B$4="Chapter Hunt"),CHOOSE(ArtifactsInput!$N$27+1,20,24,28,32,36,40),0)/100)))+1)),0)</f>
        <v/>
      </c>
      <c r="S1349">
        <f>IFERROR(O1349/N1349,0)</f>
        <v/>
      </c>
      <c r="T1349">
        <f>IF(C1349,(H1349*N1349*IF(AND(Inputs!$B$38&lt;&gt;"pvp",Inputs!$B$43&gt;0),((Skills!G9*((R1349-1)*IF(Skills!H9&gt;0,Skills!I9/Skills!H9,1)+IF(Skills!H9&gt;0,MIN(Skills!I9,MAX(0,MAX(0,Inputs!$B$43-B1381)-((R1349-1)*(IF(Inputs!$B$38="pvp",15,MAX(0.1,Skills!D9-IF(Skills!E9=TRUE,Inputs!$B$32,0)))*(1-IF(AND(ArtifactsInput!$M$27,Inputs!$B$4="Chapter Hunt"),CHOOSE(ArtifactsInput!$N$27+1,20,24,28,32,36,40),0)/100)))))/Skills!H9,1)))/Inputs!$B$43),G1349*Q1349)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1349*(1-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1349*(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1349*(1-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1349*(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9">
        <f>IF(C1349,(H1349*N1349*IF(AND(Inputs!$B$38&lt;&gt;"pvp",Inputs!$B$43&gt;0),((Skills!G9*((R1349-1)*IF(Skills!H9&gt;0,Skills!I9/Skills!H9,1)+IF(Skills!H9&gt;0,MIN(Skills!I9,MAX(0,MAX(0,Inputs!$B$43-B1381)-((R1349-1)*(IF(Inputs!$B$38="pvp",15,MAX(0.1,Skills!D9-IF(Skills!E9=TRUE,Inputs!$B$32,0)))*(1-IF(AND(ArtifactsInput!$M$27,Inputs!$B$4="Chapter Hunt"),CHOOSE(ArtifactsInput!$N$27+1,20,24,28,32,36,40),0)/100)))))/Skills!H9,1)))/Inputs!$B$43),G1349*Q1349))*IF(Inputs!$B$38="pvp",1,(1+(Inputs!$B$21+Skills!Q9+(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0">
      <c r="A1350">
        <f>Skills!A10</f>
        <v/>
      </c>
      <c r="B1350">
        <f>Skills!B10</f>
        <v/>
      </c>
      <c r="C1350">
        <f>Inputs!$B$3&gt;=103</f>
        <v/>
      </c>
      <c r="D1350">
        <f>IF(Skills!C10=1,60+Inputs!$B$25+Inputs!$B$29,IF(Skills!C10=2,90+Inputs!$B$26+Inputs!$B$29,IF(Skills!C10=3,120+Inputs!$B$27+Inputs!$B$29,MAX(0,(Inputs!$B$3-100)*3)+Inputs!$B$28+Inputs!$B$29)))</f>
        <v/>
      </c>
      <c r="E1350">
        <f>INDEX(FactorTable!$B$2:$Y$301, MATCH(ROUND(MIN(300,MAX(1,D1350)),0), FactorTable!$A$2:$A$301,0), Skills!M10+1)</f>
        <v/>
      </c>
      <c r="F1350">
        <f>IF(Skills!N10=TRUE,(Skills!L10/10)*(E1350/1000),Skills!L10/10)+Skills!O10</f>
        <v/>
      </c>
      <c r="G1350">
        <f>Skills!G10*IF(Skills!H10&gt;0,Skills!I10/Skills!H10,1)</f>
        <v/>
      </c>
      <c r="H1350">
        <f>1-(1-Skills!J10/100)^Skills!K10</f>
        <v/>
      </c>
      <c r="I1350" t="inlineStr">
        <is>
          <t>1</t>
        </is>
      </c>
      <c r="J1350">
        <f>((Inputs!$B$6*(1+Inputs!$B$7/100))+(((Inputs!$B$12*(1+Inputs!$B$13/100))-(Inputs!$B$12*(1+Inputs!$B$13/100)))+0.25*(Inputs!$B$14-Inputs!$B$14))*(1+Inputs!$B$7/100))*(F1350/100)</f>
        <v/>
      </c>
      <c r="K1350">
        <f>J1350*(1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1350)</f>
        <v/>
      </c>
      <c r="L1350">
        <f>K1350*(MIN(Inputs!$B$22+((C1365=TRUE)*(F1365-Calc!F25)),(Inputs!$B$23+((C1370=TRUE)*(F1370-Calc!F30))+(IF(ArtifactsInput!$M$15,CHOOSE(ArtifactsInput!$N$15+1,25,30,35,40,45,50)/100*(Inputs!$B$11-Inputs!$B$11),0))))/100+(Inputs!$B$23+((C1370=TRUE)*(F1370-Calc!F30))+(IF(ArtifactsInput!$M$15,CHOOSE(ArtifactsInput!$N$15+1,25,30,35,40,45,50)/100*(Inputs!$B$11-Inputs!$B$11),0)))/100)/2</f>
        <v/>
      </c>
      <c r="M1350">
        <f>L1350*(1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0">
        <f>L1350*(1-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1350*(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0">
        <f>(1-Summary!$B$11)*T1350+Summary!$B$11*V1350</f>
        <v/>
      </c>
      <c r="P1350">
        <f>IF(B1384=0,0,O1350/B1384)</f>
        <v/>
      </c>
      <c r="Q1350">
        <f>IFERROR(1/(IF(Inputs!$B$38="pvp",15,MAX(0.1,Skills!D10-IF(Skills!E10=TRUE,Inputs!$B$32,0)))*(1-IF(AND(ArtifactsInput!$M$27,Inputs!$B$4="Chapter Hunt"),CHOOSE(ArtifactsInput!$N$27+1,20,24,28,32,36,40),0)/100)),0)</f>
        <v/>
      </c>
      <c r="R1350">
        <f>IF(AND(Inputs!$B$38&lt;&gt;"pvp",Inputs!$B$43&gt;0),IF(MAX(0,Inputs!$B$43-B1381)&lt;=0,0,(INT(MAX(0,Inputs!$B$43-B1381)/(IF(Inputs!$B$38="pvp",15,MAX(0.1,Skills!D10-IF(Skills!E10=TRUE,Inputs!$B$32,0)))*(1-IF(AND(ArtifactsInput!$M$27,Inputs!$B$4="Chapter Hunt"),CHOOSE(ArtifactsInput!$N$27+1,20,24,28,32,36,40),0)/100)))+1)),0)</f>
        <v/>
      </c>
      <c r="S1350">
        <f>IFERROR(O1350/N1350,0)</f>
        <v/>
      </c>
      <c r="T1350">
        <f>IF(C1350,(H1350*N1350*IF(AND(Inputs!$B$38&lt;&gt;"pvp",Inputs!$B$43&gt;0),((Skills!G10*((R1350-1)*IF(Skills!H10&gt;0,Skills!I10/Skills!H10,1)+IF(Skills!H10&gt;0,MIN(Skills!I10,MAX(0,MAX(0,Inputs!$B$43-B1381)-((R1350-1)*(IF(Inputs!$B$38="pvp",15,MAX(0.1,Skills!D10-IF(Skills!E10=TRUE,Inputs!$B$32,0)))*(1-IF(AND(ArtifactsInput!$M$27,Inputs!$B$4="Chapter Hunt"),CHOOSE(ArtifactsInput!$N$27+1,20,24,28,32,36,40),0)/100)))))/Skills!H10,1)))/Inputs!$B$43),G1350*Q1350)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1350*(1-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1350*(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1350*(1-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1350*(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0">
        <f>IF(C1350,(H1350*N1350*IF(AND(Inputs!$B$38&lt;&gt;"pvp",Inputs!$B$43&gt;0),((Skills!G10*((R1350-1)*IF(Skills!H10&gt;0,Skills!I10/Skills!H10,1)+IF(Skills!H10&gt;0,MIN(Skills!I10,MAX(0,MAX(0,Inputs!$B$43-B1381)-((R1350-1)*(IF(Inputs!$B$38="pvp",15,MAX(0.1,Skills!D10-IF(Skills!E10=TRUE,Inputs!$B$32,0)))*(1-IF(AND(ArtifactsInput!$M$27,Inputs!$B$4="Chapter Hunt"),CHOOSE(ArtifactsInput!$N$27+1,20,24,28,32,36,40),0)/100)))))/Skills!H10,1)))/Inputs!$B$43),G1350*Q1350))*IF(Inputs!$B$38="pvp",1,(1+(Inputs!$B$21+Skills!Q10+(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1">
      <c r="A1351">
        <f>Skills!A11</f>
        <v/>
      </c>
      <c r="B1351">
        <f>Skills!B11</f>
        <v/>
      </c>
      <c r="C1351">
        <f>Inputs!$B$3&gt;=100</f>
        <v/>
      </c>
      <c r="D1351">
        <f>IF(Skills!C11=1,60+Inputs!$B$25+Inputs!$B$29,IF(Skills!C11=2,90+Inputs!$B$26+Inputs!$B$29,IF(Skills!C11=3,120+Inputs!$B$27+Inputs!$B$29,MAX(0,(Inputs!$B$3-100)*3)+Inputs!$B$28+Inputs!$B$29)))</f>
        <v/>
      </c>
      <c r="E1351">
        <f>INDEX(FactorTable!$B$2:$Y$301, MATCH(ROUND(MIN(300,MAX(1,D1351)),0), FactorTable!$A$2:$A$301,0), Skills!M11+1)</f>
        <v/>
      </c>
      <c r="F1351">
        <f>IF(Skills!N11=TRUE,(Skills!L11/10)*(E1351/1000),Skills!L11/10)+Skills!O11</f>
        <v/>
      </c>
      <c r="G1351" t="inlineStr"/>
      <c r="H1351" t="inlineStr"/>
      <c r="I1351" t="inlineStr">
        <is>
          <t>1</t>
        </is>
      </c>
      <c r="J1351" t="inlineStr"/>
      <c r="K1351" t="inlineStr"/>
      <c r="L1351" t="inlineStr"/>
      <c r="M1351" t="inlineStr"/>
      <c r="N1351" t="inlineStr"/>
      <c r="O1351" t="inlineStr"/>
      <c r="P1351" t="inlineStr"/>
      <c r="Q1351" t="inlineStr"/>
      <c r="R1351" t="inlineStr"/>
      <c r="S1351" t="inlineStr"/>
      <c r="T1351" t="inlineStr"/>
      <c r="V1351" t="inlineStr"/>
    </row>
    <row r="1352">
      <c r="A1352">
        <f>Skills!A12</f>
        <v/>
      </c>
      <c r="B1352">
        <f>Skills!B12</f>
        <v/>
      </c>
      <c r="C1352">
        <f>Inputs!$B$3&gt;=60</f>
        <v/>
      </c>
      <c r="D1352">
        <f>IF(Skills!C12=1,60+Inputs!$B$25+Inputs!$B$29,IF(Skills!C12=2,90+Inputs!$B$26+Inputs!$B$29,IF(Skills!C12=3,120+Inputs!$B$27+Inputs!$B$29,MAX(0,(Inputs!$B$3-100)*3)+Inputs!$B$28+Inputs!$B$29)))</f>
        <v/>
      </c>
      <c r="E1352">
        <f>INDEX(FactorTable!$B$2:$Y$301, MATCH(ROUND(MIN(300,MAX(1,D1352)),0), FactorTable!$A$2:$A$301,0), Skills!M12+1)</f>
        <v/>
      </c>
      <c r="F1352">
        <f>IF(Skills!N12=TRUE,(Skills!L12/10)*(E1352/1000),Skills!L12/10)+Skills!O12</f>
        <v/>
      </c>
      <c r="G1352">
        <f>Skills!G12*IF(Skills!H12&gt;0,Skills!I12/Skills!H12,1)</f>
        <v/>
      </c>
      <c r="H1352">
        <f>1-(1-Skills!J12/100)^Skills!K12</f>
        <v/>
      </c>
      <c r="I1352" t="inlineStr">
        <is>
          <t>1</t>
        </is>
      </c>
      <c r="J1352">
        <f>((Inputs!$B$6*(1+Inputs!$B$7/100))+(((Inputs!$B$12*(1+Inputs!$B$13/100))-(Inputs!$B$12*(1+Inputs!$B$13/100)))+0.25*(Inputs!$B$14-Inputs!$B$14))*(1+Inputs!$B$7/100))*(F1352/100)</f>
        <v/>
      </c>
      <c r="K1352">
        <f>J1352*(1+((Inputs!$B$12*(1+Inputs!$B$13/100))*0.01+Inputs!$B$14*0.0025)/100)*(1+Inputs!$B$15/100)*(1+Inputs!$B$16/100)*(5000/(6000+Inputs!$B$42*(1-(100*(1-(1-(Inputs!$B$19+((C1368=TRUE)*(F1368-Calc!F28)))/100)*(1-CHOOSE(ArtifactsInput!$N$40+1,5,6,7,8,9,10)/100)^(ArtifactsInput!$M$40-ArtifactsInput!$M$40)))/100)))*(1+(Inputs!$B$24+((C1366=TRUE)*(F1366-Calc!F26))+((C1367=TRUE)*(F1367-Calc!F27))+B1380)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1353=TRUE,F1353,0)/100)*(1+(IF(Skills!A12="ARROW_STREAM",Inputs!$B$17+((C1364=TRUE)*(F1364-Calc!F24))+(((IF(AND(ArtifactsInput!$M$42,((Inputs!$B$9+((C1361=TRUE)*(F1361-Calc!F21))+B1374+(ArtifactsInput!$M$24-ArtifactsInput!$M$24)*CHOOSE(ArtifactsInput!$N$24+1,10,12,14,16,18,20)+IF(ArtifactsInput!$M$10,CHOOSE(ArtifactsInput!$N$10+1,15,18,21,24,27,30)*(IF(Inputs!$B$38="pvp",MIN(15,15)/15,IF(AND(Inputs!$B$38&lt;&gt;"pvp",Inputs!$B$43&gt;0),MIN(15,Inputs!$B$43)/(Inputs!$B$43),0))),0)))&gt;=100),MIN(100,((Inputs!$B$9+((C1361=TRUE)*(F1361-Calc!F21))+B1374+(ArtifactsInput!$M$24-ArtifactsInput!$M$24)*CHOOSE(ArtifactsInput!$N$24+1,10,12,14,16,18,20)+IF(ArtifactsInput!$M$10,CHOOSE(ArtifactsInput!$N$10+1,15,18,21,24,27,30)*(IF(Inputs!$B$38="pvp",MIN(15,15)/15,IF(AND(Inputs!$B$38&lt;&gt;"pvp",Inputs!$B$43&gt;0),MIN(15,Inputs!$B$43)/(Inputs!$B$43),0))),0)))-100),0))*CHOOSE(ArtifactsInput!$N$42+1,0.6,0.72,0.84,0.96,1.08,1.2))),Inputs!$B$18+((C1369=TRUE)*(F1369-Calc!F29))+(IF(AND(ArtifactsInput!$M$42,((Inputs!$B$9+((C1361=TRUE)*(F1361-Calc!F21))+B1374+(ArtifactsInput!$M$24-ArtifactsInput!$M$24)*CHOOSE(ArtifactsInput!$N$24+1,10,12,14,16,18,20)+IF(ArtifactsInput!$M$10,CHOOSE(ArtifactsInput!$N$10+1,15,18,21,24,27,30)*(IF(Inputs!$B$38="pvp",MIN(15,15)/15,IF(AND(Inputs!$B$38&lt;&gt;"pvp",Inputs!$B$43&gt;0),MIN(15,Inputs!$B$43)/(Inputs!$B$43),0))),0)))&gt;=100),CHOOSE(ArtifactsInput!$N$42+1,40,48,56,64,72,80),0))))/100)*((1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1352)</f>
        <v/>
      </c>
      <c r="L1352">
        <f>K1352*(MIN(Inputs!$B$22+((C1365=TRUE)*(F1365-Calc!F25)),(Inputs!$B$23+((C1370=TRUE)*(F1370-Calc!F30))+(IF(ArtifactsInput!$M$15,CHOOSE(ArtifactsInput!$N$15+1,25,30,35,40,45,50)/100*(Inputs!$B$11-Inputs!$B$11),0))))/100+(Inputs!$B$23+((C1370=TRUE)*(F1370-Calc!F30))+(IF(ArtifactsInput!$M$15,CHOOSE(ArtifactsInput!$N$15+1,25,30,35,40,45,50)/100*(Inputs!$B$11-Inputs!$B$11),0)))/100)/2</f>
        <v/>
      </c>
      <c r="M1352">
        <f>L1352*(1+(Inputs!$B$10+0+B1379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2">
        <f>L1352*(1-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1352*(MIN((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2">
        <f>(1-Summary!$B$11)*T1352+Summary!$B$11*V1352</f>
        <v/>
      </c>
      <c r="P1352">
        <f>IF(B1384=0,0,O1352/B1384)</f>
        <v/>
      </c>
      <c r="Q1352">
        <f>IFERROR(1/(IF(Inputs!$B$38="pvp",15,MAX(0.1,Skills!D12-IF(Skills!E12=TRUE,Inputs!$B$32,0)))*(1-IF(AND(ArtifactsInput!$M$27,Inputs!$B$4="Chapter Hunt"),CHOOSE(ArtifactsInput!$N$27+1,20,24,28,32,36,40),0)/100)),0)</f>
        <v/>
      </c>
      <c r="R1352">
        <f>IF(AND(Inputs!$B$38&lt;&gt;"pvp",Inputs!$B$43&gt;0),IF(MAX(0,Inputs!$B$43-B1381)&lt;=0,0,(INT(MAX(0,Inputs!$B$43-B1381)/(IF(Inputs!$B$38="pvp",15,MAX(0.1,Skills!D12-IF(Skills!E12=TRUE,Inputs!$B$32,0)))*(1-IF(AND(ArtifactsInput!$M$27,Inputs!$B$4="Chapter Hunt"),CHOOSE(ArtifactsInput!$N$27+1,20,24,28,32,36,40),0)/100)))+1)),0)</f>
        <v/>
      </c>
      <c r="S1352">
        <f>IFERROR(O1352/N1352,0)</f>
        <v/>
      </c>
      <c r="T1352">
        <f>IF(C1352,(H1352*N1352*IF(AND(Inputs!$B$38&lt;&gt;"pvp",Inputs!$B$43&gt;0),((Skills!G12*((R1352-1)*IF(Skills!H12&gt;0,Skills!I12/Skills!H12,1)+IF(Skills!H12&gt;0,MIN(Skills!I12,MAX(0,MAX(0,Inputs!$B$43-B1381)-((R1352-1)*(IF(Inputs!$B$38="pvp",15,MAX(0.1,Skills!D12-IF(Skills!E12=TRUE,Inputs!$B$32,0)))*(1-IF(AND(ArtifactsInput!$M$27,Inputs!$B$4="Chapter Hunt"),CHOOSE(ArtifactsInput!$N$27+1,20,24,28,32,36,40),0)/100)))))/Skills!H12,1)))/Inputs!$B$43),G1352*Q1352)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(5000/(6000+Inputs!$B$42*(1-(100*(1-(1-(100*(1-(1-(Inputs!$B$19+((C1368=TRUE)*(F1368-Calc!F28)))/100)*(1-CHOOSE(ArtifactsInput!$N$40+1,5,6,7,8,9,10)/100)^(ArtifactsInput!$M$40-ArtifactsInput!$M$40)))/100)*(1-IF(ArtifactsInput!$M$40,CHOOSE(ArtifactsInput!$N$40+1,5,6,7,8,9,10),0)/100)^IF(Inputs!$B$38="pvp",1,2)))/100)))/(5000/(6000+Inputs!$B$42*(1-(100*(1-(1-(Inputs!$B$19+((C1368=TRUE)*(F1368-Calc!F28)))/100)*(1-CHOOSE(ArtifactsInput!$N$40+1,5,6,7,8,9,10)/100)^(ArtifactsInput!$M$40-ArtifactsInput!$M$40)))/100))))*((L1352*(1-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1352*(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1352*(1-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1352*(MIN(100,(Inputs!$B$9+((C1361=TRUE)*(F1361-Calc!F21))+B1374+(ArtifactsInput!$M$24-ArtifactsInput!$M$24)*CHOOSE(ArtifactsInput!$N$24+1,10,12,14,16,18,20)+(IF(AND(ArtifactsInput!$M$42,((Inputs!$B$9+((C1361=TRUE)*(F1361-Calc!F21))+B1374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2">
        <f>IF(C1352,(H1352*N1352*IF(AND(Inputs!$B$38&lt;&gt;"pvp",Inputs!$B$43&gt;0),((Skills!G12*((R1352-1)*IF(Skills!H12&gt;0,Skills!I12/Skills!H12,1)+IF(Skills!H12&gt;0,MIN(Skills!I12,MAX(0,MAX(0,Inputs!$B$43-B1381)-((R1352-1)*(IF(Inputs!$B$38="pvp",15,MAX(0.1,Skills!D12-IF(Skills!E12=TRUE,Inputs!$B$32,0)))*(1-IF(AND(ArtifactsInput!$M$27,Inputs!$B$4="Chapter Hunt"),CHOOSE(ArtifactsInput!$N$27+1,20,24,28,32,36,40),0)/100)))))/Skills!H12,1)))/Inputs!$B$43),G1352*Q1352))*IF(Inputs!$B$38="pvp",1,(1+(Inputs!$B$21+Skills!Q12+(IF(ArtifactsInput!$M$33,CHOOSE(ArtifactsInput!$N$33+1,30,36,42,48,54,60),0))+(IF(AND(ArtifactsInput!$M$35,Inputs!$B$4&lt;&gt;"Chapter Hunt"),CHOOSE(ArtifactsInput!$N$35+1,15,18,21,24,27,30)*(1-EXP(-(0.2*B1376)*5)),0)+IF(AND(ArtifactsInput!$M$22,Inputs!$B$4&lt;&gt;"Chapter Hunt"),CHOOSE(ArtifactsInput!$N$22+1,10,12,14,16,18,20)*((0*(((0.15*B1376*5))^0/1)+1*(((0.15*B1376*5))^1/1)+2*(((0.15*B1376*5))^2/2)+3*(((0.15*B1376*5))^3/6)+4*(((0.15*B1376*5))^4/24)+5*(((0.15*B1376*5))^5/120))/((((0.15*B1376*5))^0/1)+(((0.15*B1376*5))^1/1)+(((0.15*B1376*5))^2/2)+(((0.15*B1376*5))^3/6)+(((0.15*B1376*5))^4/24)+(((0.15*B1376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3">
      <c r="A1353">
        <f>Skills!A13</f>
        <v/>
      </c>
      <c r="B1353">
        <f>Skills!B13</f>
        <v/>
      </c>
      <c r="C1353">
        <f>Inputs!$B$3&gt;=110</f>
        <v/>
      </c>
      <c r="D1353">
        <f>IF(Skills!C13=1,60+Inputs!$B$25+Inputs!$B$29,IF(Skills!C13=2,90+Inputs!$B$26+Inputs!$B$29,IF(Skills!C13=3,120+Inputs!$B$27+Inputs!$B$29,MAX(0,(Inputs!$B$3-100)*3)+Inputs!$B$28+Inputs!$B$29)))</f>
        <v/>
      </c>
      <c r="E1353">
        <f>INDEX(FactorTable!$B$2:$Y$301, MATCH(ROUND(MIN(300,MAX(1,D1353)),0), FactorTable!$A$2:$A$301,0), Skills!M13+1)</f>
        <v/>
      </c>
      <c r="F1353">
        <f>IF(Skills!N13=TRUE,(Skills!L13/10)*(E1353/1000),Skills!L13/10)+Skills!O13</f>
        <v/>
      </c>
      <c r="G1353" t="inlineStr"/>
      <c r="H1353" t="inlineStr"/>
      <c r="I1353" t="inlineStr">
        <is>
          <t>1</t>
        </is>
      </c>
      <c r="J1353" t="inlineStr"/>
      <c r="K1353" t="inlineStr"/>
      <c r="L1353" t="inlineStr"/>
      <c r="M1353" t="inlineStr"/>
      <c r="N1353" t="inlineStr"/>
      <c r="O1353" t="inlineStr"/>
      <c r="P1353" t="inlineStr"/>
      <c r="Q1353" t="inlineStr"/>
      <c r="R1353" t="inlineStr"/>
      <c r="S1353" t="inlineStr"/>
      <c r="T1353" t="inlineStr"/>
      <c r="V1353" t="inlineStr"/>
    </row>
    <row r="1354">
      <c r="A1354">
        <f>Skills!A14</f>
        <v/>
      </c>
      <c r="B1354">
        <f>Skills!B14</f>
        <v/>
      </c>
      <c r="C1354">
        <f>Inputs!$B$3&gt;=74</f>
        <v/>
      </c>
      <c r="D1354">
        <f>IF(Skills!C14=1,60+Inputs!$B$25+Inputs!$B$29,IF(Skills!C14=2,90+Inputs!$B$26+Inputs!$B$29,IF(Skills!C14=3,120+Inputs!$B$27+Inputs!$B$29,MAX(0,(Inputs!$B$3-100)*3)+Inputs!$B$28+Inputs!$B$29)))</f>
        <v/>
      </c>
      <c r="E1354">
        <f>INDEX(FactorTable!$B$2:$Y$301, MATCH(ROUND(MIN(300,MAX(1,D1354)),0), FactorTable!$A$2:$A$301,0), Skills!M14+1)</f>
        <v/>
      </c>
      <c r="F1354">
        <f>IF(Skills!N14=TRUE,(Skills!L14/10)*(E1354/1000),Skills!L14/10)+Skills!O14</f>
        <v/>
      </c>
      <c r="G1354">
        <f>Skills!G14*IF(Skills!H14&gt;0,Skills!I14/Skills!H14,1)</f>
        <v/>
      </c>
      <c r="H1354">
        <f>1-(1-Skills!J14/100)^Skills!K14</f>
        <v/>
      </c>
      <c r="I1354" t="inlineStr">
        <is>
          <t>1</t>
        </is>
      </c>
      <c r="J1354" t="inlineStr"/>
      <c r="K1354" t="inlineStr"/>
      <c r="L1354" t="inlineStr"/>
      <c r="M1354" t="inlineStr"/>
      <c r="N1354" t="inlineStr"/>
      <c r="O1354">
        <f>(1-Summary!$B$11)*T1354+Summary!$B$11*V1354</f>
        <v/>
      </c>
      <c r="P1354">
        <f>IF(B1384=0,0,O1354/B1384)</f>
        <v/>
      </c>
      <c r="Q1354" t="n">
        <v>0</v>
      </c>
      <c r="R1354" t="n">
        <v>0</v>
      </c>
      <c r="S1354">
        <f>IFERROR(O1354/N1354,0)</f>
        <v/>
      </c>
      <c r="T1354" t="n">
        <v>0</v>
      </c>
      <c r="V1354" t="n">
        <v>0</v>
      </c>
    </row>
    <row r="1355">
      <c r="A1355">
        <f>Skills!A15</f>
        <v/>
      </c>
      <c r="B1355">
        <f>Skills!B15</f>
        <v/>
      </c>
      <c r="C1355">
        <f>Inputs!$B$3&gt;=74</f>
        <v/>
      </c>
      <c r="D1355">
        <f>IF(Skills!C15=1,60+Inputs!$B$25+Inputs!$B$29,IF(Skills!C15=2,90+Inputs!$B$26+Inputs!$B$29,IF(Skills!C15=3,120+Inputs!$B$27+Inputs!$B$29,MAX(0,(Inputs!$B$3-100)*3)+Inputs!$B$28+Inputs!$B$29)))</f>
        <v/>
      </c>
      <c r="E1355">
        <f>INDEX(FactorTable!$B$2:$Y$301, MATCH(ROUND(MIN(300,MAX(1,D1355)),0), FactorTable!$A$2:$A$301,0), Skills!M15+1)</f>
        <v/>
      </c>
      <c r="F1355">
        <f>IF(Skills!N15=TRUE,(Skills!L15/10)*(E1355/1000),Skills!L15/10)+Skills!O15</f>
        <v/>
      </c>
      <c r="G1355">
        <f>Skills!G15*IF(Skills!H15&gt;0,Skills!I15/Skills!H15,1)</f>
        <v/>
      </c>
      <c r="H1355">
        <f>1-(1-Skills!J15/100)^Skills!K15</f>
        <v/>
      </c>
      <c r="I1355" t="inlineStr">
        <is>
          <t>1</t>
        </is>
      </c>
      <c r="J1355" t="inlineStr"/>
      <c r="K1355" t="inlineStr"/>
      <c r="L1355" t="inlineStr"/>
      <c r="M1355" t="inlineStr"/>
      <c r="N1355" t="inlineStr"/>
      <c r="O1355">
        <f>(1-Summary!$B$11)*T1355+Summary!$B$11*V1355</f>
        <v/>
      </c>
      <c r="P1355">
        <f>IF(B1384=0,0,O1355/B1384)</f>
        <v/>
      </c>
      <c r="Q1355" t="n">
        <v>0</v>
      </c>
      <c r="R1355" t="n">
        <v>0</v>
      </c>
      <c r="S1355">
        <f>IFERROR(O1355/N1355,0)</f>
        <v/>
      </c>
      <c r="T1355" t="n">
        <v>0</v>
      </c>
      <c r="V1355" t="n">
        <v>0</v>
      </c>
    </row>
    <row r="1356">
      <c r="A1356">
        <f>Skills!A16</f>
        <v/>
      </c>
      <c r="B1356">
        <f>Skills!B16</f>
        <v/>
      </c>
      <c r="C1356">
        <f>Inputs!$B$3&gt;=117</f>
        <v/>
      </c>
      <c r="D1356">
        <f>IF(Skills!C16=1,60+Inputs!$B$25+Inputs!$B$29,IF(Skills!C16=2,90+Inputs!$B$26+Inputs!$B$29,IF(Skills!C16=3,120+Inputs!$B$27+Inputs!$B$29,MAX(0,(Inputs!$B$3-100)*3)+Inputs!$B$28+Inputs!$B$29)))</f>
        <v/>
      </c>
      <c r="E1356">
        <f>INDEX(FactorTable!$B$2:$Y$301, MATCH(ROUND(MIN(300,MAX(1,D1356)),0), FactorTable!$A$2:$A$301,0), Skills!M16+1)</f>
        <v/>
      </c>
      <c r="F1356">
        <f>IF(Skills!N16=TRUE,(Skills!L16/10)*(E1356/1000),Skills!L16/10)+Skills!O16</f>
        <v/>
      </c>
      <c r="G1356">
        <f>Skills!G16*IF(Skills!H16&gt;0,Skills!I16/Skills!H16,1)</f>
        <v/>
      </c>
      <c r="H1356">
        <f>1-(1-Skills!J16/100)^Skills!K16</f>
        <v/>
      </c>
      <c r="I1356" t="inlineStr">
        <is>
          <t>1</t>
        </is>
      </c>
      <c r="J1356" t="inlineStr"/>
      <c r="K1356" t="inlineStr"/>
      <c r="L1356" t="inlineStr"/>
      <c r="M1356" t="inlineStr"/>
      <c r="N1356" t="inlineStr"/>
      <c r="O1356">
        <f>(1-Summary!$B$11)*T1356+Summary!$B$11*V1356</f>
        <v/>
      </c>
      <c r="P1356">
        <f>IF(B1384=0,0,O1356/B1384)</f>
        <v/>
      </c>
      <c r="Q1356">
        <f>IFERROR(1/(IF(Inputs!$B$38="pvp",15,MAX(0.1,Skills!D16-IF(Skills!E16=TRUE,Inputs!$B$32,0)))*(1-IF(AND(ArtifactsInput!$M$27,Inputs!$B$4="Chapter Hunt"),CHOOSE(ArtifactsInput!$N$27+1,20,24,28,32,36,40),0)/100)),0)</f>
        <v/>
      </c>
      <c r="R1356">
        <f>IF(AND(Inputs!$B$38&lt;&gt;"pvp",Inputs!$B$43&gt;0),IF(Inputs!$B$43&lt;=0,0,(INT(Inputs!$B$43/(IF(Inputs!$B$38="pvp",15,MAX(0.1,Skills!D16-IF(Skills!E16=TRUE,Inputs!$B$32,0)))*(1-IF(AND(ArtifactsInput!$M$27,Inputs!$B$4="Chapter Hunt"),CHOOSE(ArtifactsInput!$N$27+1,20,24,28,32,36,40),0)/100)))+1)),0)</f>
        <v/>
      </c>
      <c r="S1356">
        <f>IFERROR(O1356/N1356,0)</f>
        <v/>
      </c>
      <c r="T1356" t="n">
        <v>0</v>
      </c>
      <c r="V1356" t="n">
        <v>0</v>
      </c>
    </row>
    <row r="1357">
      <c r="A1357">
        <f>Skills!A17</f>
        <v/>
      </c>
      <c r="B1357">
        <f>Skills!B17</f>
        <v/>
      </c>
      <c r="C1357">
        <f>Inputs!$B$3&gt;=115</f>
        <v/>
      </c>
      <c r="D1357">
        <f>IF(Skills!C17=1,60+Inputs!$B$25+Inputs!$B$29,IF(Skills!C17=2,90+Inputs!$B$26+Inputs!$B$29,IF(Skills!C17=3,120+Inputs!$B$27+Inputs!$B$29,MAX(0,(Inputs!$B$3-100)*3)+Inputs!$B$28+Inputs!$B$29)))</f>
        <v/>
      </c>
      <c r="E1357">
        <f>INDEX(FactorTable!$B$2:$Y$301, MATCH(ROUND(MIN(300,MAX(1,D1357)),0), FactorTable!$A$2:$A$301,0), Skills!M17+1)</f>
        <v/>
      </c>
      <c r="F1357">
        <f>IF(Skills!N17=TRUE,(Skills!L17/10)*(E1357/1000),Skills!L17/10)+Skills!O17</f>
        <v/>
      </c>
      <c r="G1357">
        <f>Skills!G17*IF(Skills!H17&gt;0,Skills!I17/Skills!H17,1)</f>
        <v/>
      </c>
      <c r="H1357">
        <f>1-(1-Skills!J17/100)^Skills!K17</f>
        <v/>
      </c>
      <c r="I1357" t="inlineStr">
        <is>
          <t>1</t>
        </is>
      </c>
      <c r="J1357" t="inlineStr"/>
      <c r="K1357" t="inlineStr"/>
      <c r="L1357" t="inlineStr"/>
      <c r="M1357" t="inlineStr"/>
      <c r="N1357" t="inlineStr"/>
      <c r="O1357">
        <f>(1-Summary!$B$11)*T1357+Summary!$B$11*V1357</f>
        <v/>
      </c>
      <c r="P1357">
        <f>IF(B1384=0,0,O1357/B1384)</f>
        <v/>
      </c>
      <c r="Q1357">
        <f>IFERROR(1/(IF(Inputs!$B$38="pvp",15,MAX(0.1,Skills!D17-IF(Skills!E17=TRUE,Inputs!$B$32,0)))*(1-IF(AND(ArtifactsInput!$M$27,Inputs!$B$4="Chapter Hunt"),CHOOSE(ArtifactsInput!$N$27+1,20,24,28,32,36,40),0)/100)),0)</f>
        <v/>
      </c>
      <c r="R1357">
        <f>IF(AND(Inputs!$B$38&lt;&gt;"pvp",Inputs!$B$43&gt;0),IF(Inputs!$B$43&lt;=0,0,(INT(Inputs!$B$43/(IF(Inputs!$B$38="pvp",15,MAX(0.1,Skills!D17-IF(Skills!E17=TRUE,Inputs!$B$32,0)))*(1-IF(AND(ArtifactsInput!$M$27,Inputs!$B$4="Chapter Hunt"),CHOOSE(ArtifactsInput!$N$27+1,20,24,28,32,36,40),0)/100)))+1)),0)</f>
        <v/>
      </c>
      <c r="S1357">
        <f>IFERROR(O1357/N1357,0)</f>
        <v/>
      </c>
      <c r="T1357" t="n">
        <v>0</v>
      </c>
      <c r="V1357" t="n">
        <v>0</v>
      </c>
    </row>
    <row r="1358">
      <c r="A1358">
        <f>Skills!A18</f>
        <v/>
      </c>
      <c r="B1358">
        <f>Skills!B18</f>
        <v/>
      </c>
      <c r="C1358">
        <f>Inputs!$B$3&gt;=66</f>
        <v/>
      </c>
      <c r="D1358">
        <f>IF(Skills!C18=1,60+Inputs!$B$25+Inputs!$B$29,IF(Skills!C18=2,90+Inputs!$B$26+Inputs!$B$29,IF(Skills!C18=3,120+Inputs!$B$27+Inputs!$B$29,MAX(0,(Inputs!$B$3-100)*3)+Inputs!$B$28+Inputs!$B$29)))</f>
        <v/>
      </c>
      <c r="E1358">
        <f>INDEX(FactorTable!$B$2:$Y$301, MATCH(ROUND(MIN(300,MAX(1,D1358)),0), FactorTable!$A$2:$A$301,0), Skills!M18+1)</f>
        <v/>
      </c>
      <c r="F1358">
        <f>IF(Skills!N18=TRUE,(Skills!L18/10)*(E1358/1000),Skills!L18/10)+Skills!O18</f>
        <v/>
      </c>
      <c r="G1358">
        <f>Skills!G18*IF(Skills!H18&gt;0,Skills!I18/Skills!H18,1)</f>
        <v/>
      </c>
      <c r="H1358">
        <f>1-(1-Skills!J18/100)^Skills!K18</f>
        <v/>
      </c>
      <c r="I1358" t="inlineStr">
        <is>
          <t>1</t>
        </is>
      </c>
      <c r="J1358" t="inlineStr"/>
      <c r="K1358" t="inlineStr"/>
      <c r="L1358" t="inlineStr"/>
      <c r="M1358" t="inlineStr"/>
      <c r="N1358" t="inlineStr"/>
      <c r="O1358">
        <f>(1-Summary!$B$11)*T1358+Summary!$B$11*V1358</f>
        <v/>
      </c>
      <c r="P1358">
        <f>IF(B1384=0,0,O1358/B1384)</f>
        <v/>
      </c>
      <c r="Q1358" t="n">
        <v>0</v>
      </c>
      <c r="R1358" t="n">
        <v>0</v>
      </c>
      <c r="S1358">
        <f>IFERROR(O1358/N1358,0)</f>
        <v/>
      </c>
      <c r="T1358" t="n">
        <v>0</v>
      </c>
      <c r="V1358" t="n">
        <v>0</v>
      </c>
    </row>
    <row r="1359">
      <c r="A1359">
        <f>Skills!A19</f>
        <v/>
      </c>
      <c r="B1359">
        <f>Skills!B19</f>
        <v/>
      </c>
      <c r="C1359">
        <f>Inputs!$B$3&gt;=72</f>
        <v/>
      </c>
      <c r="D1359">
        <f>IF(Skills!C19=1,60+Inputs!$B$25+Inputs!$B$29,IF(Skills!C19=2,90+Inputs!$B$26+Inputs!$B$29,IF(Skills!C19=3,120+Inputs!$B$27+Inputs!$B$29,MAX(0,(Inputs!$B$3-100)*3)+Inputs!$B$28+Inputs!$B$29)))</f>
        <v/>
      </c>
      <c r="E1359">
        <f>INDEX(FactorTable!$B$2:$Y$301, MATCH(ROUND(MIN(300,MAX(1,D1359)),0), FactorTable!$A$2:$A$301,0), Skills!M19+1)</f>
        <v/>
      </c>
      <c r="F1359">
        <f>IF(Skills!N19=TRUE,(Skills!L19/10)*(E1359/1000),Skills!L19/10)+Skills!O19</f>
        <v/>
      </c>
      <c r="G1359">
        <f>Skills!G19*IF(Skills!H19&gt;0,Skills!I19/Skills!H19,1)</f>
        <v/>
      </c>
      <c r="H1359">
        <f>1-(1-Skills!J19/100)^Skills!K19</f>
        <v/>
      </c>
      <c r="I1359" t="inlineStr">
        <is>
          <t>1</t>
        </is>
      </c>
      <c r="J1359" t="inlineStr"/>
      <c r="K1359" t="inlineStr"/>
      <c r="L1359" t="inlineStr"/>
      <c r="M1359" t="inlineStr"/>
      <c r="N1359" t="inlineStr"/>
      <c r="O1359">
        <f>(1-Summary!$B$11)*T1359+Summary!$B$11*V1359</f>
        <v/>
      </c>
      <c r="P1359">
        <f>IF(B1384=0,0,O1359/B1384)</f>
        <v/>
      </c>
      <c r="Q1359" t="n">
        <v>0</v>
      </c>
      <c r="R1359" t="n">
        <v>0</v>
      </c>
      <c r="S1359">
        <f>IFERROR(O1359/N1359,0)</f>
        <v/>
      </c>
      <c r="T1359" t="n">
        <v>0</v>
      </c>
      <c r="V1359" t="n">
        <v>0</v>
      </c>
    </row>
    <row r="1360">
      <c r="A1360">
        <f>Skills!A20</f>
        <v/>
      </c>
      <c r="B1360">
        <f>Skills!B20</f>
        <v/>
      </c>
      <c r="C1360">
        <f>TRUE</f>
        <v/>
      </c>
      <c r="D1360">
        <f>IF(Skills!C20=1,60+Inputs!$B$25+Inputs!$B$29,IF(Skills!C20=2,90+Inputs!$B$26+Inputs!$B$29,IF(Skills!C20=3,120+Inputs!$B$27+Inputs!$B$29,MAX(0,(Inputs!$B$3-100)*3)+Inputs!$B$28+Inputs!$B$29)))</f>
        <v/>
      </c>
      <c r="E1360">
        <f>INDEX(FactorTable!$B$2:$Y$301, MATCH(ROUND(MIN(300,MAX(1,D1360)),0), FactorTable!$A$2:$A$301,0), Skills!M20+1)</f>
        <v/>
      </c>
      <c r="F1360">
        <f>IF(Skills!N20=TRUE,(Skills!L20/10)*(E1360/1000),Skills!L20/10)+Skills!O20</f>
        <v/>
      </c>
      <c r="G1360">
        <f>Skills!G20*IF(Skills!H20&gt;0,Skills!I20/Skills!H20,1)</f>
        <v/>
      </c>
      <c r="H1360">
        <f>1-(1-Skills!J20/100)^Skills!K20</f>
        <v/>
      </c>
      <c r="I1360" t="inlineStr">
        <is>
          <t>1</t>
        </is>
      </c>
      <c r="J1360" t="inlineStr"/>
      <c r="K1360" t="inlineStr"/>
      <c r="L1360" t="inlineStr"/>
      <c r="M1360" t="inlineStr"/>
      <c r="N1360" t="inlineStr"/>
      <c r="O1360">
        <f>(1-Summary!$B$11)*T1360+Summary!$B$11*V1360</f>
        <v/>
      </c>
      <c r="P1360">
        <f>IF(B1384=0,0,O1360/B1384)</f>
        <v/>
      </c>
      <c r="Q1360">
        <f>IFERROR(1/(IF(Inputs!$B$38="pvp",15,MAX(0.1,Skills!D20-IF(Skills!E20=TRUE,Inputs!$B$32,0)))*(1-IF(AND(ArtifactsInput!$M$27,Inputs!$B$4="Chapter Hunt"),CHOOSE(ArtifactsInput!$N$27+1,20,24,28,32,36,40),0)/100)),0)</f>
        <v/>
      </c>
      <c r="R1360">
        <f>IF(AND(Inputs!$B$38&lt;&gt;"pvp",Inputs!$B$43&gt;0),IF(Inputs!$B$43&lt;=0,0,(INT(Inputs!$B$43/(IF(Inputs!$B$38="pvp",15,MAX(0.1,Skills!D20-IF(Skills!E20=TRUE,Inputs!$B$32,0)))*(1-IF(AND(ArtifactsInput!$M$27,Inputs!$B$4="Chapter Hunt"),CHOOSE(ArtifactsInput!$N$27+1,20,24,28,32,36,40),0)/100)))+1)),0)</f>
        <v/>
      </c>
      <c r="S1360">
        <f>IFERROR(O1360/N1360,0)</f>
        <v/>
      </c>
      <c r="T1360" t="n">
        <v>0</v>
      </c>
      <c r="V1360" t="n">
        <v>0</v>
      </c>
    </row>
    <row r="1361">
      <c r="A1361">
        <f>Skills!A21</f>
        <v/>
      </c>
      <c r="B1361">
        <f>Skills!B21</f>
        <v/>
      </c>
      <c r="C1361">
        <f>Inputs!$B$3&gt;=15</f>
        <v/>
      </c>
      <c r="D1361">
        <f>IF(Skills!C21=1,60+Inputs!$B$25+Inputs!$B$29,IF(Skills!C21=2,90+Inputs!$B$26+Inputs!$B$29,IF(Skills!C21=3,120+Inputs!$B$27+Inputs!$B$29,MAX(0,(Inputs!$B$3-100)*3)+Inputs!$B$28+Inputs!$B$29)))</f>
        <v/>
      </c>
      <c r="E1361">
        <f>INDEX(FactorTable!$B$2:$Y$301, MATCH(ROUND(MIN(300,MAX(1,D1361)),0), FactorTable!$A$2:$A$301,0), Skills!M21+1)</f>
        <v/>
      </c>
      <c r="F1361">
        <f>IF(Skills!N21=TRUE,(Skills!L21/10)*(E1361/1000),Skills!L21/10)+Skills!O21</f>
        <v/>
      </c>
      <c r="G1361">
        <f>Skills!G21*IF(Skills!H21&gt;0,Skills!I21/Skills!H21,1)</f>
        <v/>
      </c>
      <c r="H1361">
        <f>1-(1-Skills!J21/100)^Skills!K21</f>
        <v/>
      </c>
      <c r="I1361" t="inlineStr">
        <is>
          <t>1</t>
        </is>
      </c>
      <c r="J1361" t="inlineStr"/>
      <c r="K1361" t="inlineStr"/>
      <c r="L1361" t="inlineStr"/>
      <c r="M1361" t="inlineStr"/>
      <c r="N1361" t="inlineStr"/>
      <c r="O1361">
        <f>(1-Summary!$B$11)*T1361+Summary!$B$11*V1361</f>
        <v/>
      </c>
      <c r="P1361">
        <f>IF(B1384=0,0,O1361/B1384)</f>
        <v/>
      </c>
      <c r="Q1361" t="n">
        <v>0</v>
      </c>
      <c r="R1361" t="n">
        <v>0</v>
      </c>
      <c r="S1361">
        <f>IFERROR(O1361/N1361,0)</f>
        <v/>
      </c>
      <c r="T1361" t="n">
        <v>0</v>
      </c>
      <c r="V1361" t="n">
        <v>0</v>
      </c>
    </row>
    <row r="1362">
      <c r="A1362">
        <f>Skills!A22</f>
        <v/>
      </c>
      <c r="B1362">
        <f>Skills!B22</f>
        <v/>
      </c>
      <c r="C1362">
        <f>Inputs!$B$3&gt;=10</f>
        <v/>
      </c>
      <c r="D1362">
        <f>IF(Skills!C22=1,60+Inputs!$B$25+Inputs!$B$29,IF(Skills!C22=2,90+Inputs!$B$26+Inputs!$B$29,IF(Skills!C22=3,120+Inputs!$B$27+Inputs!$B$29,MAX(0,(Inputs!$B$3-100)*3)+Inputs!$B$28+Inputs!$B$29)))</f>
        <v/>
      </c>
      <c r="E1362">
        <f>INDEX(FactorTable!$B$2:$Y$301, MATCH(ROUND(MIN(300,MAX(1,D1362)),0), FactorTable!$A$2:$A$301,0), Skills!M22+1)</f>
        <v/>
      </c>
      <c r="F1362">
        <f>IF(Skills!N22=TRUE,(Skills!L22/10)*(E1362/1000),Skills!L22/10)+Skills!O22</f>
        <v/>
      </c>
      <c r="G1362">
        <f>Skills!G22*IF(Skills!H22&gt;0,Skills!I22/Skills!H22,1)</f>
        <v/>
      </c>
      <c r="H1362">
        <f>1-(1-Skills!J22/100)^Skills!K22</f>
        <v/>
      </c>
      <c r="I1362" t="inlineStr">
        <is>
          <t>1</t>
        </is>
      </c>
      <c r="J1362" t="inlineStr"/>
      <c r="K1362" t="inlineStr"/>
      <c r="L1362" t="inlineStr"/>
      <c r="M1362" t="inlineStr"/>
      <c r="N1362" t="inlineStr"/>
      <c r="O1362">
        <f>(1-Summary!$B$11)*T1362+Summary!$B$11*V1362</f>
        <v/>
      </c>
      <c r="P1362">
        <f>IF(B1384=0,0,O1362/B1384)</f>
        <v/>
      </c>
      <c r="Q1362" t="n">
        <v>0</v>
      </c>
      <c r="R1362" t="n">
        <v>0</v>
      </c>
      <c r="S1362">
        <f>IFERROR(O1362/N1362,0)</f>
        <v/>
      </c>
      <c r="T1362" t="n">
        <v>0</v>
      </c>
      <c r="V1362" t="n">
        <v>0</v>
      </c>
    </row>
    <row r="1363">
      <c r="A1363">
        <f>Skills!A23</f>
        <v/>
      </c>
      <c r="B1363">
        <f>Skills!B23</f>
        <v/>
      </c>
      <c r="C1363">
        <f>Inputs!$B$3&gt;=33</f>
        <v/>
      </c>
      <c r="D1363">
        <f>IF(Skills!C23=1,60+Inputs!$B$25+Inputs!$B$29,IF(Skills!C23=2,90+Inputs!$B$26+Inputs!$B$29,IF(Skills!C23=3,120+Inputs!$B$27+Inputs!$B$29,MAX(0,(Inputs!$B$3-100)*3)+Inputs!$B$28+Inputs!$B$29)))</f>
        <v/>
      </c>
      <c r="E1363">
        <f>INDEX(FactorTable!$B$2:$Y$301, MATCH(ROUND(MIN(300,MAX(1,D1363)),0), FactorTable!$A$2:$A$301,0), Skills!M23+1)</f>
        <v/>
      </c>
      <c r="F1363">
        <f>IF(Skills!N23=TRUE,(Skills!L23/10)*(E1363/1000),Skills!L23/10)+Skills!O23</f>
        <v/>
      </c>
      <c r="G1363">
        <f>Skills!G23*IF(Skills!H23&gt;0,Skills!I23/Skills!H23,1)</f>
        <v/>
      </c>
      <c r="H1363">
        <f>1-(1-Skills!J23/100)^Skills!K23</f>
        <v/>
      </c>
      <c r="I1363" t="inlineStr">
        <is>
          <t>1</t>
        </is>
      </c>
      <c r="J1363" t="inlineStr"/>
      <c r="K1363" t="inlineStr"/>
      <c r="L1363" t="inlineStr"/>
      <c r="M1363" t="inlineStr"/>
      <c r="N1363" t="inlineStr"/>
      <c r="O1363">
        <f>(1-Summary!$B$11)*T1363+Summary!$B$11*V1363</f>
        <v/>
      </c>
      <c r="P1363">
        <f>IF(B1384=0,0,O1363/B1384)</f>
        <v/>
      </c>
      <c r="Q1363" t="n">
        <v>0</v>
      </c>
      <c r="R1363" t="n">
        <v>0</v>
      </c>
      <c r="S1363">
        <f>IFERROR(O1363/N1363,0)</f>
        <v/>
      </c>
      <c r="T1363" t="n">
        <v>0</v>
      </c>
      <c r="V1363" t="n">
        <v>0</v>
      </c>
    </row>
    <row r="1364">
      <c r="A1364">
        <f>Skills!A24</f>
        <v/>
      </c>
      <c r="B1364">
        <f>Skills!B24</f>
        <v/>
      </c>
      <c r="C1364">
        <f>Inputs!$B$3&gt;=38</f>
        <v/>
      </c>
      <c r="D1364">
        <f>IF(Skills!C24=1,60+Inputs!$B$25+Inputs!$B$29,IF(Skills!C24=2,90+Inputs!$B$26+Inputs!$B$29,IF(Skills!C24=3,120+Inputs!$B$27+Inputs!$B$29,MAX(0,(Inputs!$B$3-100)*3)+Inputs!$B$28+Inputs!$B$29)))</f>
        <v/>
      </c>
      <c r="E1364">
        <f>INDEX(FactorTable!$B$2:$Y$301, MATCH(ROUND(MIN(300,MAX(1,D1364)),0), FactorTable!$A$2:$A$301,0), Skills!M24+1)</f>
        <v/>
      </c>
      <c r="F1364">
        <f>IF(Skills!N24=TRUE,(Skills!L24/10)*(E1364/1000),Skills!L24/10)+Skills!O24</f>
        <v/>
      </c>
      <c r="G1364">
        <f>Skills!G24*IF(Skills!H24&gt;0,Skills!I24/Skills!H24,1)</f>
        <v/>
      </c>
      <c r="H1364">
        <f>1-(1-Skills!J24/100)^Skills!K24</f>
        <v/>
      </c>
      <c r="I1364" t="inlineStr">
        <is>
          <t>1</t>
        </is>
      </c>
      <c r="J1364" t="inlineStr"/>
      <c r="K1364" t="inlineStr"/>
      <c r="L1364" t="inlineStr"/>
      <c r="M1364" t="inlineStr"/>
      <c r="N1364" t="inlineStr"/>
      <c r="O1364">
        <f>(1-Summary!$B$11)*T1364+Summary!$B$11*V1364</f>
        <v/>
      </c>
      <c r="P1364">
        <f>IF(B1384=0,0,O1364/B1384)</f>
        <v/>
      </c>
      <c r="Q1364" t="n">
        <v>0</v>
      </c>
      <c r="R1364" t="n">
        <v>0</v>
      </c>
      <c r="S1364">
        <f>IFERROR(O1364/N1364,0)</f>
        <v/>
      </c>
      <c r="T1364" t="n">
        <v>0</v>
      </c>
      <c r="V1364" t="n">
        <v>0</v>
      </c>
    </row>
    <row r="1365">
      <c r="A1365">
        <f>Skills!A25</f>
        <v/>
      </c>
      <c r="B1365">
        <f>Skills!B25</f>
        <v/>
      </c>
      <c r="C1365">
        <f>Inputs!$B$3&gt;=43</f>
        <v/>
      </c>
      <c r="D1365">
        <f>IF(Skills!C25=1,60+Inputs!$B$25+Inputs!$B$29,IF(Skills!C25=2,90+Inputs!$B$26+Inputs!$B$29,IF(Skills!C25=3,120+Inputs!$B$27+Inputs!$B$29,MAX(0,(Inputs!$B$3-100)*3)+Inputs!$B$28+Inputs!$B$29)))</f>
        <v/>
      </c>
      <c r="E1365">
        <f>INDEX(FactorTable!$B$2:$Y$301, MATCH(ROUND(MIN(300,MAX(1,D1365)),0), FactorTable!$A$2:$A$301,0), Skills!M25+1)</f>
        <v/>
      </c>
      <c r="F1365">
        <f>IF(Skills!N25=TRUE,(Skills!L25/10)*(E1365/1000),Skills!L25/10)+Skills!O25</f>
        <v/>
      </c>
      <c r="G1365">
        <f>Skills!G25*IF(Skills!H25&gt;0,Skills!I25/Skills!H25,1)</f>
        <v/>
      </c>
      <c r="H1365">
        <f>1-(1-Skills!J25/100)^Skills!K25</f>
        <v/>
      </c>
      <c r="I1365" t="inlineStr">
        <is>
          <t>1</t>
        </is>
      </c>
      <c r="J1365" t="inlineStr"/>
      <c r="K1365" t="inlineStr"/>
      <c r="L1365" t="inlineStr"/>
      <c r="M1365" t="inlineStr"/>
      <c r="N1365" t="inlineStr"/>
      <c r="O1365">
        <f>(1-Summary!$B$11)*T1365+Summary!$B$11*V1365</f>
        <v/>
      </c>
      <c r="P1365">
        <f>IF(B1384=0,0,O1365/B1384)</f>
        <v/>
      </c>
      <c r="Q1365" t="n">
        <v>0</v>
      </c>
      <c r="R1365" t="n">
        <v>0</v>
      </c>
      <c r="S1365">
        <f>IFERROR(O1365/N1365,0)</f>
        <v/>
      </c>
      <c r="T1365" t="n">
        <v>0</v>
      </c>
      <c r="V1365" t="n">
        <v>0</v>
      </c>
    </row>
    <row r="1366">
      <c r="A1366">
        <f>Skills!A26</f>
        <v/>
      </c>
      <c r="B1366">
        <f>Skills!B26</f>
        <v/>
      </c>
      <c r="C1366">
        <f>Inputs!$B$3&gt;=75</f>
        <v/>
      </c>
      <c r="D1366">
        <f>IF(Skills!C26=1,60+Inputs!$B$25+Inputs!$B$29,IF(Skills!C26=2,90+Inputs!$B$26+Inputs!$B$29,IF(Skills!C26=3,120+Inputs!$B$27+Inputs!$B$29,MAX(0,(Inputs!$B$3-100)*3)+Inputs!$B$28+Inputs!$B$29)))</f>
        <v/>
      </c>
      <c r="E1366">
        <f>INDEX(FactorTable!$B$2:$Y$301, MATCH(ROUND(MIN(300,MAX(1,D1366)),0), FactorTable!$A$2:$A$301,0), Skills!M26+1)</f>
        <v/>
      </c>
      <c r="F1366">
        <f>IF(Skills!N26=TRUE,(Skills!L26/10)*(E1366/1000),Skills!L26/10)+Skills!O26</f>
        <v/>
      </c>
      <c r="G1366">
        <f>Skills!G26*IF(Skills!H26&gt;0,Skills!I26/Skills!H26,1)</f>
        <v/>
      </c>
      <c r="H1366">
        <f>1-(1-Skills!J26/100)^Skills!K26</f>
        <v/>
      </c>
      <c r="I1366" t="inlineStr">
        <is>
          <t>1</t>
        </is>
      </c>
      <c r="J1366" t="inlineStr"/>
      <c r="K1366" t="inlineStr"/>
      <c r="L1366" t="inlineStr"/>
      <c r="M1366" t="inlineStr"/>
      <c r="N1366" t="inlineStr"/>
      <c r="O1366">
        <f>(1-Summary!$B$11)*T1366+Summary!$B$11*V1366</f>
        <v/>
      </c>
      <c r="P1366">
        <f>IF(B1384=0,0,O1366/B1384)</f>
        <v/>
      </c>
      <c r="Q1366" t="n">
        <v>0</v>
      </c>
      <c r="R1366" t="n">
        <v>0</v>
      </c>
      <c r="S1366">
        <f>IFERROR(O1366/N1366,0)</f>
        <v/>
      </c>
      <c r="T1366" t="n">
        <v>0</v>
      </c>
      <c r="V1366" t="n">
        <v>0</v>
      </c>
    </row>
    <row r="1367">
      <c r="A1367">
        <f>Skills!A27</f>
        <v/>
      </c>
      <c r="B1367">
        <f>Skills!B27</f>
        <v/>
      </c>
      <c r="C1367">
        <f>Inputs!$B$3&gt;=125</f>
        <v/>
      </c>
      <c r="D1367">
        <f>IF(Skills!C27=1,60+Inputs!$B$25+Inputs!$B$29,IF(Skills!C27=2,90+Inputs!$B$26+Inputs!$B$29,IF(Skills!C27=3,120+Inputs!$B$27+Inputs!$B$29,MAX(0,(Inputs!$B$3-100)*3)+Inputs!$B$28+Inputs!$B$29)))</f>
        <v/>
      </c>
      <c r="E1367">
        <f>INDEX(FactorTable!$B$2:$Y$301, MATCH(ROUND(MIN(300,MAX(1,D1367)),0), FactorTable!$A$2:$A$301,0), Skills!M27+1)</f>
        <v/>
      </c>
      <c r="F1367">
        <f>IF(Skills!N27=TRUE,(Skills!L27/10)*(E1367/1000),Skills!L27/10)+Skills!O27</f>
        <v/>
      </c>
      <c r="G1367">
        <f>Skills!G27*IF(Skills!H27&gt;0,Skills!I27/Skills!H27,1)</f>
        <v/>
      </c>
      <c r="H1367">
        <f>1-(1-Skills!J27/100)^Skills!K27</f>
        <v/>
      </c>
      <c r="I1367" t="inlineStr">
        <is>
          <t>1</t>
        </is>
      </c>
      <c r="J1367" t="inlineStr"/>
      <c r="K1367" t="inlineStr"/>
      <c r="L1367" t="inlineStr"/>
      <c r="M1367" t="inlineStr"/>
      <c r="N1367" t="inlineStr"/>
      <c r="O1367">
        <f>(1-Summary!$B$11)*T1367+Summary!$B$11*V1367</f>
        <v/>
      </c>
      <c r="P1367">
        <f>IF(B1384=0,0,O1367/B1384)</f>
        <v/>
      </c>
      <c r="Q1367" t="n">
        <v>0</v>
      </c>
      <c r="R1367" t="n">
        <v>0</v>
      </c>
      <c r="S1367">
        <f>IFERROR(O1367/N1367,0)</f>
        <v/>
      </c>
      <c r="T1367" t="n">
        <v>0</v>
      </c>
      <c r="V1367" t="n">
        <v>0</v>
      </c>
    </row>
    <row r="1368">
      <c r="A1368">
        <f>Skills!A28</f>
        <v/>
      </c>
      <c r="B1368">
        <f>Skills!B28</f>
        <v/>
      </c>
      <c r="C1368">
        <f>Inputs!$B$3&gt;=125</f>
        <v/>
      </c>
      <c r="D1368">
        <f>IF(Skills!C28=1,60+Inputs!$B$25+Inputs!$B$29,IF(Skills!C28=2,90+Inputs!$B$26+Inputs!$B$29,IF(Skills!C28=3,120+Inputs!$B$27+Inputs!$B$29,MAX(0,(Inputs!$B$3-100)*3)+Inputs!$B$28+Inputs!$B$29)))</f>
        <v/>
      </c>
      <c r="E1368">
        <f>INDEX(FactorTable!$B$2:$Y$301, MATCH(ROUND(MIN(300,MAX(1,D1368)),0), FactorTable!$A$2:$A$301,0), Skills!M28+1)</f>
        <v/>
      </c>
      <c r="F1368">
        <f>IF(Skills!N28=TRUE,(Skills!L28/10)*(E1368/1000),Skills!L28/10)+Skills!O28</f>
        <v/>
      </c>
      <c r="G1368">
        <f>Skills!G28*IF(Skills!H28&gt;0,Skills!I28/Skills!H28,1)</f>
        <v/>
      </c>
      <c r="H1368">
        <f>1-(1-Skills!J28/100)^Skills!K28</f>
        <v/>
      </c>
      <c r="I1368" t="inlineStr">
        <is>
          <t>1</t>
        </is>
      </c>
      <c r="J1368" t="inlineStr"/>
      <c r="K1368" t="inlineStr"/>
      <c r="L1368" t="inlineStr"/>
      <c r="M1368" t="inlineStr"/>
      <c r="N1368" t="inlineStr"/>
      <c r="O1368">
        <f>(1-Summary!$B$11)*T1368+Summary!$B$11*V1368</f>
        <v/>
      </c>
      <c r="P1368">
        <f>IF(B1384=0,0,O1368/B1384)</f>
        <v/>
      </c>
      <c r="Q1368" t="n">
        <v>0</v>
      </c>
      <c r="R1368" t="n">
        <v>0</v>
      </c>
      <c r="S1368">
        <f>IFERROR(O1368/N1368,0)</f>
        <v/>
      </c>
      <c r="T1368" t="n">
        <v>0</v>
      </c>
      <c r="V1368" t="n">
        <v>0</v>
      </c>
    </row>
    <row r="1369">
      <c r="A1369">
        <f>Skills!A29</f>
        <v/>
      </c>
      <c r="B1369">
        <f>Skills!B29</f>
        <v/>
      </c>
      <c r="C1369">
        <f>Inputs!$B$3&gt;=120</f>
        <v/>
      </c>
      <c r="D1369">
        <f>IF(Skills!C29=1,60+Inputs!$B$25+Inputs!$B$29,IF(Skills!C29=2,90+Inputs!$B$26+Inputs!$B$29,IF(Skills!C29=3,120+Inputs!$B$27+Inputs!$B$29,MAX(0,(Inputs!$B$3-100)*3)+Inputs!$B$28+Inputs!$B$29)))</f>
        <v/>
      </c>
      <c r="E1369">
        <f>INDEX(FactorTable!$B$2:$Y$301, MATCH(ROUND(MIN(300,MAX(1,D1369)),0), FactorTable!$A$2:$A$301,0), Skills!M29+1)</f>
        <v/>
      </c>
      <c r="F1369">
        <f>IF(Skills!N29=TRUE,(Skills!L29/10)*(E1369/1000),Skills!L29/10)+Skills!O29</f>
        <v/>
      </c>
      <c r="G1369">
        <f>Skills!G29*IF(Skills!H29&gt;0,Skills!I29/Skills!H29,1)</f>
        <v/>
      </c>
      <c r="H1369">
        <f>1-(1-Skills!J29/100)^Skills!K29</f>
        <v/>
      </c>
      <c r="I1369" t="inlineStr">
        <is>
          <t>1</t>
        </is>
      </c>
      <c r="J1369" t="inlineStr"/>
      <c r="K1369" t="inlineStr"/>
      <c r="L1369" t="inlineStr"/>
      <c r="M1369" t="inlineStr"/>
      <c r="N1369" t="inlineStr"/>
      <c r="O1369">
        <f>(1-Summary!$B$11)*T1369+Summary!$B$11*V1369</f>
        <v/>
      </c>
      <c r="P1369">
        <f>IF(B1384=0,0,O1369/B1384)</f>
        <v/>
      </c>
      <c r="Q1369" t="n">
        <v>0</v>
      </c>
      <c r="R1369" t="n">
        <v>0</v>
      </c>
      <c r="S1369">
        <f>IFERROR(O1369/N1369,0)</f>
        <v/>
      </c>
      <c r="T1369" t="n">
        <v>0</v>
      </c>
      <c r="V1369" t="n">
        <v>0</v>
      </c>
    </row>
    <row r="1370">
      <c r="A1370">
        <f>Skills!A30</f>
        <v/>
      </c>
      <c r="B1370">
        <f>Skills!B30</f>
        <v/>
      </c>
      <c r="C1370">
        <f>Inputs!$B$3&gt;=120</f>
        <v/>
      </c>
      <c r="D1370">
        <f>IF(Skills!C30=1,60+Inputs!$B$25+Inputs!$B$29,IF(Skills!C30=2,90+Inputs!$B$26+Inputs!$B$29,IF(Skills!C30=3,120+Inputs!$B$27+Inputs!$B$29,MAX(0,(Inputs!$B$3-100)*3)+Inputs!$B$28+Inputs!$B$29)))</f>
        <v/>
      </c>
      <c r="E1370">
        <f>INDEX(FactorTable!$B$2:$Y$301, MATCH(ROUND(MIN(300,MAX(1,D1370)),0), FactorTable!$A$2:$A$301,0), Skills!M30+1)</f>
        <v/>
      </c>
      <c r="F1370">
        <f>IF(Skills!N30=TRUE,(Skills!L30/10)*(E1370/1000),Skills!L30/10)+Skills!O30</f>
        <v/>
      </c>
      <c r="G1370">
        <f>Skills!G30*IF(Skills!H30&gt;0,Skills!I30/Skills!H30,1)</f>
        <v/>
      </c>
      <c r="H1370">
        <f>1-(1-Skills!J30/100)^Skills!K30</f>
        <v/>
      </c>
      <c r="I1370" t="inlineStr">
        <is>
          <t>1</t>
        </is>
      </c>
      <c r="J1370" t="inlineStr"/>
      <c r="K1370" t="inlineStr"/>
      <c r="L1370" t="inlineStr"/>
      <c r="M1370" t="inlineStr"/>
      <c r="N1370" t="inlineStr"/>
      <c r="O1370">
        <f>(1-Summary!$B$11)*T1370+Summary!$B$11*V1370</f>
        <v/>
      </c>
      <c r="P1370">
        <f>IF(B1384=0,0,O1370/B1384)</f>
        <v/>
      </c>
      <c r="Q1370" t="n">
        <v>0</v>
      </c>
      <c r="R1370" t="n">
        <v>0</v>
      </c>
      <c r="S1370">
        <f>IFERROR(O1370/N1370,0)</f>
        <v/>
      </c>
      <c r="T1370" t="n">
        <v>0</v>
      </c>
      <c r="V1370" t="n">
        <v>0</v>
      </c>
    </row>
    <row r="1371">
      <c r="A1371">
        <f>Skills!A31</f>
        <v/>
      </c>
      <c r="B1371">
        <f>Skills!B31</f>
        <v/>
      </c>
      <c r="C1371">
        <f>Inputs!$B$3&gt;=45</f>
        <v/>
      </c>
      <c r="D1371">
        <f>IF(Skills!C31=1,60+Inputs!$B$25+Inputs!$B$29,IF(Skills!C31=2,90+Inputs!$B$26+Inputs!$B$29,IF(Skills!C31=3,120+Inputs!$B$27+Inputs!$B$29,MAX(0,(Inputs!$B$3-100)*3)+Inputs!$B$28+Inputs!$B$29)))</f>
        <v/>
      </c>
      <c r="E1371">
        <f>INDEX(FactorTable!$B$2:$Y$301, MATCH(ROUND(MIN(300,MAX(1,D1371)),0), FactorTable!$A$2:$A$301,0), Skills!M31+1)</f>
        <v/>
      </c>
      <c r="F1371">
        <f>IF(Skills!N31=TRUE,(Skills!L31/10)*(E1371/1000),Skills!L31/10)+Skills!O31</f>
        <v/>
      </c>
      <c r="G1371">
        <f>Skills!G31*IF(Skills!H31&gt;0,Skills!I31/Skills!H31,1)</f>
        <v/>
      </c>
      <c r="H1371">
        <f>1-(1-Skills!J31/100)^Skills!K31</f>
        <v/>
      </c>
      <c r="I1371" t="inlineStr">
        <is>
          <t>1</t>
        </is>
      </c>
      <c r="J1371" t="inlineStr"/>
      <c r="K1371" t="inlineStr"/>
      <c r="L1371" t="inlineStr"/>
      <c r="M1371" t="inlineStr"/>
      <c r="N1371" t="inlineStr"/>
      <c r="O1371">
        <f>(1-Summary!$B$11)*T1371+Summary!$B$11*V1371</f>
        <v/>
      </c>
      <c r="P1371">
        <f>IF(B1384=0,0,O1371/B1384)</f>
        <v/>
      </c>
      <c r="Q1371" t="n">
        <v>0</v>
      </c>
      <c r="R1371" t="n">
        <v>0</v>
      </c>
      <c r="S1371">
        <f>IFERROR(O1371/N1371,0)</f>
        <v/>
      </c>
      <c r="T1371" t="n">
        <v>0</v>
      </c>
      <c r="V1371" t="n">
        <v>0</v>
      </c>
    </row>
    <row r="1373">
      <c r="A1373" t="inlineStr">
        <is>
          <t>Attack% Bucket Multiplier</t>
        </is>
      </c>
      <c r="B1373">
        <f>(1+(((C1354=TRUE)*F1354)+((C1355=TRUE)*IF(Inputs!$B$38="pvp",F1355,(1-Summary!$B$11)*(F1355)+Summary!$B$11*(0)))+((C1356=TRUE)*F1356*IF(AND(Inputs!$B$38&lt;&gt;"pvp",Inputs!$B$43&gt;0),(((R1356-1)*(Skills!T16*(1+Inputs!$B$34/100))+MIN((Skills!T16*(1+Inputs!$B$34/100)),MAX(0,Inputs!$B$43-((R1356-1)*Skills!D16))))/Inputs!$B$43),IF(Inputs!$B$38="pvp",MIN((Skills!T16*(1+Inputs!$B$34/100)),15)/15,(Skills!T16*(1+Inputs!$B$34/100))/Skills!D16)))+((C1371=TRUE)*(F1371-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74">
      <c r="A1374" t="inlineStr">
        <is>
          <t>Global Crit Rate Bonus %</t>
        </is>
      </c>
      <c r="B1374">
        <f>(C1357=TRUE)*20*IF(AND(Inputs!$B$38&lt;&gt;"pvp",Inputs!$B$43&gt;0),(((R1357-1)*(Skills!T17*(1+Inputs!$B$34/100))+MIN((Skills!T17*(1+Inputs!$B$34/100)),MAX(0,Inputs!$B$43-((R1357-1)*Skills!D17))))/Inputs!$B$43),IF(Inputs!$B$38="pvp",MIN((Skills!T17*(1+Inputs!$B$34/100)),15)/15,(Skills!T17*(1+Inputs!$B$34/100))/Skills!D17))</f>
        <v/>
      </c>
    </row>
    <row r="1375">
      <c r="A1375" t="inlineStr">
        <is>
          <t>Attack Speed Buff Bonus %</t>
        </is>
      </c>
      <c r="B1375">
        <f>((C1360=TRUE)*F1360*IF(AND(Inputs!$B$38&lt;&gt;"pvp",Inputs!$B$43&gt;0),(((R1360-1)*(Skills!T20*(1+Inputs!$B$34/100))+MIN((Skills!T20*(1+Inputs!$B$34/100)),MAX(0,Inputs!$B$43-((R1360-1)*Skills!D20))))/Inputs!$B$43),IF(Inputs!$B$38="pvp",MIN((Skills!T20*(1+Inputs!$B$34/100)),15)/15,(Skills!T20*(1+Inputs!$B$34/100))/Skills!D20)))</f>
        <v/>
      </c>
    </row>
    <row r="1376">
      <c r="A1376" t="inlineStr">
        <is>
          <t>Actions Per Second</t>
        </is>
      </c>
      <c r="B1376">
        <f>1+MIN(150,150*(1-(1-(Inputs!$B$11+((C1362=TRUE)*(F1362-Calc!F22))+((C1363=TRUE)*(F1363-Calc!F23)))/150)*(1-B1375/150)))/100</f>
        <v/>
      </c>
    </row>
    <row r="1377">
      <c r="A1377" t="inlineStr">
        <is>
          <t>Skill + Buff Cast Rate</t>
        </is>
      </c>
      <c r="B1377">
        <f>IF(AND(Inputs!$B$38&lt;&gt;"pvp",Inputs!$B$43&gt;0),SUMPRODUCT((Skills!E2:E31=TRUE)*(C1342:C1371=TRUE)*R1342:R1371*Skills!F2:F31)/Inputs!$B$43,SUMPRODUCT((Skills!E2:E31=TRUE)*(C1342:C1371=TRUE)*Q1342:Q1371*Skills!F2:F31))</f>
        <v/>
      </c>
    </row>
    <row r="1378">
      <c r="A1378" t="inlineStr">
        <is>
          <t>Arrow Stream Casts Per Second</t>
        </is>
      </c>
      <c r="B1378">
        <f>MAX(0,B1376-B1377)</f>
        <v/>
      </c>
    </row>
    <row r="1379">
      <c r="A1379" t="inlineStr">
        <is>
          <t>Global Critical Damage Bonus % (Sharp Eyes + Concentration)</t>
        </is>
      </c>
      <c r="B1379">
        <f>(C1357=TRUE)*F1357*IF(AND(Inputs!$B$38&lt;&gt;"pvp",Inputs!$B$43&gt;0),(((R1357-1)*(Skills!T17*(1+Inputs!$B$34/100))+MIN((Skills!T17*(1+Inputs!$B$34/100)),MAX(0,Inputs!$B$43-((R1357-1)*Skills!D17))))/Inputs!$B$43),IF(Inputs!$B$38="pvp",MIN((Skills!T17*(1+Inputs!$B$34/100)),15)/15,(Skills!T17*(1+Inputs!$B$34/100))/Skills!D17))+(C1358=TRUE)*30</f>
        <v/>
      </c>
    </row>
    <row r="1380">
      <c r="A1380" t="inlineStr">
        <is>
          <t>Global Final Damage Bonus % (Mortal Blow)</t>
        </is>
      </c>
      <c r="B1380">
        <f>(C1359=TRUE)*F1359</f>
        <v/>
      </c>
    </row>
    <row r="1381">
      <c r="A1381" t="inlineStr">
        <is>
          <t>Buff-Casting Startup Delay (s, fixed-duration only)</t>
        </is>
      </c>
      <c r="B1381">
        <f>IF(AND(Inputs!$B$38&lt;&gt;"pvp",Inputs!$B$43&gt;0),SUMPRODUCT((Skills!T2:T31&gt;0)*(Skills!E2:E31=TRUE)*(C1342:C1371=TRUE))/B1376,0)</f>
        <v/>
      </c>
    </row>
    <row r="1382">
      <c r="A1382" t="inlineStr">
        <is>
          <t>Boss-Only Total DPS (this block's swept value)</t>
        </is>
      </c>
      <c r="B1382">
        <f>SUM(T1342:T1371)</f>
        <v/>
      </c>
    </row>
    <row r="1383">
      <c r="A1383" t="inlineStr">
        <is>
          <t>Normal-Only Total DPS (this block's swept value)</t>
        </is>
      </c>
      <c r="B1383">
        <f>SUM(V1342:V1371)</f>
        <v/>
      </c>
    </row>
    <row r="1384">
      <c r="A1384" s="6" t="inlineStr">
        <is>
          <t>TOTAL DPS</t>
        </is>
      </c>
      <c r="B1384" s="6">
        <f>SUM(O1342:O1371)</f>
        <v/>
      </c>
    </row>
    <row r="1387">
      <c r="A1387" s="6" t="inlineStr">
        <is>
          <t>Stat: Shamaness Marble (Equip)</t>
        </is>
      </c>
    </row>
    <row r="1388">
      <c r="A1388" s="5" t="inlineStr">
        <is>
          <t>Key</t>
        </is>
      </c>
      <c r="B1388" s="5" t="inlineStr">
        <is>
          <t>Name</t>
        </is>
      </c>
      <c r="C1388" s="5" t="inlineStr">
        <is>
          <t>Unlocked</t>
        </is>
      </c>
      <c r="D1388" s="5" t="inlineStr">
        <is>
          <t>InputLevel</t>
        </is>
      </c>
      <c r="E1388" s="5" t="inlineStr">
        <is>
          <t>Factor</t>
        </is>
      </c>
      <c r="F1388" s="5" t="inlineStr">
        <is>
          <t>CoefficientPercent</t>
        </is>
      </c>
      <c r="G1388" s="5" t="inlineStr">
        <is>
          <t>EffectiveHits</t>
        </is>
      </c>
      <c r="H1388" s="5" t="inlineStr">
        <is>
          <t>ProcProbability</t>
        </is>
      </c>
      <c r="I1388" s="5" t="inlineStr">
        <is>
          <t>MapleHeroMultiplier</t>
        </is>
      </c>
      <c r="J1388" s="5" t="inlineStr">
        <is>
          <t>BaseDamage</t>
        </is>
      </c>
      <c r="K1388" s="5" t="inlineStr">
        <is>
          <t>BaseHitDamage</t>
        </is>
      </c>
      <c r="L1388" s="5" t="inlineStr">
        <is>
          <t>NonCritAvg</t>
        </is>
      </c>
      <c r="M1388" s="5" t="inlineStr">
        <is>
          <t>CritAvg</t>
        </is>
      </c>
      <c r="N1388" s="5" t="inlineStr">
        <is>
          <t>ExpectedDamage(perHit)</t>
        </is>
      </c>
      <c r="O1388" s="5" t="inlineStr">
        <is>
          <t>DPS</t>
        </is>
      </c>
      <c r="P1388" s="5" t="inlineStr">
        <is>
          <t>% of Total</t>
        </is>
      </c>
      <c r="Q1388" s="5" t="inlineStr">
        <is>
          <t>InvCooldown</t>
        </is>
      </c>
      <c r="R1388" s="5" t="inlineStr">
        <is>
          <t>CastsInFight</t>
        </is>
      </c>
      <c r="S1388" s="5" t="inlineStr">
        <is>
          <t>HitRate(perSec)</t>
        </is>
      </c>
      <c r="U1388" t="inlineStr">
        <is>
          <t>helpers</t>
        </is>
      </c>
    </row>
    <row r="1389">
      <c r="A1389">
        <f>Skills!A2</f>
        <v/>
      </c>
      <c r="B1389">
        <f>Skills!B2</f>
        <v/>
      </c>
      <c r="C1389">
        <f>Inputs!$B$3&gt;=100</f>
        <v/>
      </c>
      <c r="D1389" t="inlineStr"/>
      <c r="E1389" t="inlineStr"/>
      <c r="F1389">
        <f>U1391+Skills!O2</f>
        <v/>
      </c>
      <c r="G1389">
        <f>Skills!G2*IF(Skills!H2&gt;0,Skills!I2/Skills!H2,1)</f>
        <v/>
      </c>
      <c r="H1389">
        <f>1-(1-Skills!J2/100)^Skills!K2</f>
        <v/>
      </c>
      <c r="I1389" t="inlineStr">
        <is>
          <t>1</t>
        </is>
      </c>
      <c r="J1389">
        <f>((Inputs!$B$6*(1+Inputs!$B$7/100))+(((Inputs!$B$12*(1+Inputs!$B$13/100))-(Inputs!$B$12*(1+Inputs!$B$13/100)))+0.25*(Inputs!$B$14-Inputs!$B$14))*(1+Inputs!$B$7/100))*(F1389/100)</f>
        <v/>
      </c>
      <c r="K1389">
        <f>J1389*(1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1389)</f>
        <v/>
      </c>
      <c r="L1389">
        <f>K1389*(MIN(Inputs!$B$22+((C1412=TRUE)*(F1412-Calc!F25)),(Inputs!$B$23+((C1417=TRUE)*(F1417-Calc!F30))+(IF(ArtifactsInput!$M$15,CHOOSE(ArtifactsInput!$N$15+1,25,30,35,40,45,50)/100*(Inputs!$B$11-Inputs!$B$11),0))))/100+(Inputs!$B$23+((C1417=TRUE)*(F1417-Calc!F30))+(IF(ArtifactsInput!$M$15,CHOOSE(ArtifactsInput!$N$15+1,25,30,35,40,45,50)/100*(Inputs!$B$11-Inputs!$B$11),0)))/100)/2</f>
        <v/>
      </c>
      <c r="M1389">
        <f>L1389*(1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9">
        <f>L1389*(1-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1389*(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9">
        <f>(1-Summary!$B$11)*T1389+Summary!$B$11*V1389</f>
        <v/>
      </c>
      <c r="P1389">
        <f>IF(B1431=0,0,O1389/B1431)</f>
        <v/>
      </c>
      <c r="Q1389" t="n">
        <v>0</v>
      </c>
      <c r="R1389" t="n">
        <v>0</v>
      </c>
      <c r="S1389">
        <f>IFERROR(O1389/N1389,0)</f>
        <v/>
      </c>
      <c r="T1389">
        <f>IF(C1389,(Skills!G2*N1389*B1425)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1389*(1-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1389*(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1389*(1-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1389*(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9">
        <f>MAX(0,(Inputs!$B$3-100)*3)+Inputs!$B$28+Inputs!$B$29</f>
        <v/>
      </c>
      <c r="V1389">
        <f>IF(C1389,(Skills!G2*N1389*B1425)*IF(Inputs!$B$38="pvp",1,(1+(Inputs!$B$21+Skills!Q2+(IF(ArtifactsInput!$M$33,CHOOSE(ArtifactsInput!$N$33+1,30,36,42,48,54,60),0))+(IF(AND(ArtifactsInput!$M$35,Inputs!$B$4&lt;&gt;"Chapter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0">
      <c r="A1390">
        <f>Skills!A3</f>
        <v/>
      </c>
      <c r="B1390">
        <f>Skills!B3</f>
        <v/>
      </c>
      <c r="C1390">
        <f>Inputs!$B$3&gt;=50</f>
        <v/>
      </c>
      <c r="D1390">
        <f>IF(Skills!C3=1,60+Inputs!$B$25+Inputs!$B$29,IF(Skills!C3=2,90+Inputs!$B$26+Inputs!$B$29,IF(Skills!C3=3,120+Inputs!$B$27+Inputs!$B$29,MAX(0,(Inputs!$B$3-100)*3)+Inputs!$B$28+Inputs!$B$29)))</f>
        <v/>
      </c>
      <c r="E1390">
        <f>INDEX(FactorTable!$B$2:$Y$301, MATCH(ROUND(MIN(300,MAX(1,D1390)),0), FactorTable!$A$2:$A$301,0), Skills!M3+1)</f>
        <v/>
      </c>
      <c r="F1390">
        <f>IF(Skills!N3=TRUE,(Skills!L3/10)*(E1390/1000),Skills!L3/10)+Skills!O3</f>
        <v/>
      </c>
      <c r="G1390">
        <f>Skills!G3*IF(Skills!H3&gt;0,Skills!I3/Skills!H3,1)</f>
        <v/>
      </c>
      <c r="H1390">
        <f>1-(1-Skills!J3/100)^Skills!K3</f>
        <v/>
      </c>
      <c r="I1390" t="inlineStr">
        <is>
          <t>1</t>
        </is>
      </c>
      <c r="J1390">
        <f>((Inputs!$B$6*(1+Inputs!$B$7/100))+(((Inputs!$B$12*(1+Inputs!$B$13/100))-(Inputs!$B$12*(1+Inputs!$B$13/100)))+0.25*(Inputs!$B$14-Inputs!$B$14))*(1+Inputs!$B$7/100))*(F1390/100)</f>
        <v/>
      </c>
      <c r="K1390">
        <f>J1390*(1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1391=TRUE,F1391,0)/100)*(1+(IF(Skills!A3="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1390)</f>
        <v/>
      </c>
      <c r="L1390">
        <f>K1390*(MIN(Inputs!$B$22+((C1412=TRUE)*(F1412-Calc!F25)),(Inputs!$B$23+((C1417=TRUE)*(F1417-Calc!F30))+(IF(ArtifactsInput!$M$15,CHOOSE(ArtifactsInput!$N$15+1,25,30,35,40,45,50)/100*(Inputs!$B$11-Inputs!$B$11),0))))/100+(Inputs!$B$23+((C1417=TRUE)*(F1417-Calc!F30))+(IF(ArtifactsInput!$M$15,CHOOSE(ArtifactsInput!$N$15+1,25,30,35,40,45,50)/100*(Inputs!$B$11-Inputs!$B$11),0)))/100)/2</f>
        <v/>
      </c>
      <c r="M1390">
        <f>L1390*(1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0">
        <f>L1390*(1-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1390*(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0">
        <f>(1-Summary!$B$11)*T1390+Summary!$B$11*V1390</f>
        <v/>
      </c>
      <c r="P1390">
        <f>IF(B1431=0,0,O1390/B1431)</f>
        <v/>
      </c>
      <c r="Q1390">
        <f>IFERROR(1/(IF(Inputs!$B$38="pvp",15,MAX(0.1,Skills!D3-IF(Skills!E3=TRUE,Inputs!$B$32,0)))*(1-IF(AND(ArtifactsInput!$M$27,Inputs!$B$4="Chapter Hunt"),CHOOSE(ArtifactsInput!$N$27+1,20,24,28,32,36,40),0)/100)),0)</f>
        <v/>
      </c>
      <c r="R1390">
        <f>IF(AND(Inputs!$B$38&lt;&gt;"pvp",Inputs!$B$43&gt;0),IF(MAX(0,Inputs!$B$43-B1428)&lt;=0,0,(INT(MAX(0,Inputs!$B$43-B1428)/(IF(Inputs!$B$38="pvp",15,MAX(0.1,Skills!D3-IF(Skills!E3=TRUE,Inputs!$B$32,0)))*(1-IF(AND(ArtifactsInput!$M$27,Inputs!$B$4="Chapter Hunt"),CHOOSE(ArtifactsInput!$N$27+1,20,24,28,32,36,40),0)/100)))+1)),0)</f>
        <v/>
      </c>
      <c r="S1390">
        <f>IFERROR(O1390/N1390,0)</f>
        <v/>
      </c>
      <c r="T1390">
        <f>IF(C1390,(H1390*N1390*IF(AND(Inputs!$B$38&lt;&gt;"pvp",Inputs!$B$43&gt;0),((Skills!G3*((R1390-1)*IF(Skills!H3&gt;0,Skills!I3/Skills!H3,1)+IF(Skills!H3&gt;0,MIN(Skills!I3,MAX(0,MAX(0,Inputs!$B$43-B1428)-((R1390-1)*(IF(Inputs!$B$38="pvp",15,MAX(0.1,Skills!D3-IF(Skills!E3=TRUE,Inputs!$B$32,0)))*(1-IF(AND(ArtifactsInput!$M$27,Inputs!$B$4="Chapter Hunt"),CHOOSE(ArtifactsInput!$N$27+1,20,24,28,32,36,40),0)/100)))))/Skills!H3,1)))/Inputs!$B$43),G1390*Q1390)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1390*(1-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1390*(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1390*(1-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1390*(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0">
        <f>INDEX(FactorTable!$B$2:$Y$301, MATCH(ROUND(MIN(300,MAX(1,U1389)),0), FactorTable!$A$2:$A$301,0), 22)</f>
        <v/>
      </c>
      <c r="V1390">
        <f>IF(C1390,(H1390*N1390*IF(AND(Inputs!$B$38&lt;&gt;"pvp",Inputs!$B$43&gt;0),((Skills!G3*((R1390-1)*IF(Skills!H3&gt;0,Skills!I3/Skills!H3,1)+IF(Skills!H3&gt;0,MIN(Skills!I3,MAX(0,MAX(0,Inputs!$B$43-B1428)-((R1390-1)*(IF(Inputs!$B$38="pvp",15,MAX(0.1,Skills!D3-IF(Skills!E3=TRUE,Inputs!$B$32,0)))*(1-IF(AND(ArtifactsInput!$M$27,Inputs!$B$4="Chapter Hunt"),CHOOSE(ArtifactsInput!$N$27+1,20,24,28,32,36,40),0)/100)))))/Skills!H3,1)))/Inputs!$B$43),G1390*Q1390))*IF(Inputs!$B$38="pvp",1,(1+(Inputs!$B$21+Skills!Q3+(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1">
      <c r="A1391">
        <f>Skills!A4</f>
        <v/>
      </c>
      <c r="B1391">
        <f>Skills!B4</f>
        <v/>
      </c>
      <c r="C1391">
        <f>Inputs!$B$3&gt;=105</f>
        <v/>
      </c>
      <c r="D1391">
        <f>IF(Skills!C4=1,60+Inputs!$B$25+Inputs!$B$29,IF(Skills!C4=2,90+Inputs!$B$26+Inputs!$B$29,IF(Skills!C4=3,120+Inputs!$B$27+Inputs!$B$29,MAX(0,(Inputs!$B$3-100)*3)+Inputs!$B$28+Inputs!$B$29)))</f>
        <v/>
      </c>
      <c r="E1391">
        <f>INDEX(FactorTable!$B$2:$Y$301, MATCH(ROUND(MIN(300,MAX(1,D1391)),0), FactorTable!$A$2:$A$301,0), Skills!M4+1)</f>
        <v/>
      </c>
      <c r="F1391">
        <f>IF(Skills!N4=TRUE,(Skills!L4/10)*(E1391/1000),Skills!L4/10)+Skills!O4</f>
        <v/>
      </c>
      <c r="G1391" t="inlineStr"/>
      <c r="H1391" t="inlineStr"/>
      <c r="I1391" t="inlineStr">
        <is>
          <t>1</t>
        </is>
      </c>
      <c r="J1391" t="inlineStr"/>
      <c r="K1391" t="inlineStr"/>
      <c r="L1391" t="inlineStr"/>
      <c r="M1391" t="inlineStr"/>
      <c r="N1391" t="inlineStr"/>
      <c r="O1391" t="inlineStr"/>
      <c r="P1391" t="inlineStr"/>
      <c r="Q1391" t="inlineStr"/>
      <c r="R1391" t="inlineStr"/>
      <c r="S1391" t="inlineStr"/>
      <c r="T1391" t="inlineStr"/>
      <c r="U1391">
        <f>290*U1390/1000</f>
        <v/>
      </c>
      <c r="V1391" t="inlineStr"/>
    </row>
    <row r="1392">
      <c r="A1392">
        <f>Skills!A5</f>
        <v/>
      </c>
      <c r="B1392">
        <f>Skills!B5</f>
        <v/>
      </c>
      <c r="C1392">
        <f>Inputs!$B$3&gt;=35</f>
        <v/>
      </c>
      <c r="D1392">
        <f>IF(Skills!C5=1,60+Inputs!$B$25+Inputs!$B$29,IF(Skills!C5=2,90+Inputs!$B$26+Inputs!$B$29,IF(Skills!C5=3,120+Inputs!$B$27+Inputs!$B$29,MAX(0,(Inputs!$B$3-100)*3)+Inputs!$B$28+Inputs!$B$29)))</f>
        <v/>
      </c>
      <c r="E1392">
        <f>INDEX(FactorTable!$B$2:$Y$301, MATCH(ROUND(MIN(300,MAX(1,D1392)),0), FactorTable!$A$2:$A$301,0), Skills!M5+1)</f>
        <v/>
      </c>
      <c r="F1392">
        <f>IF(Skills!N5=TRUE,(Skills!L5/10)*(E1392/1000),Skills!L5/10)+Skills!O5</f>
        <v/>
      </c>
      <c r="G1392">
        <f>Skills!G5*IF(Skills!H5&gt;0,Skills!I5/Skills!H5,1)</f>
        <v/>
      </c>
      <c r="H1392">
        <f>1-(1-Skills!J5/100)^Skills!K5</f>
        <v/>
      </c>
      <c r="I1392" t="inlineStr">
        <is>
          <t>1</t>
        </is>
      </c>
      <c r="J1392">
        <f>((Inputs!$B$6*(1+Inputs!$B$7/100))+(((Inputs!$B$12*(1+Inputs!$B$13/100))-(Inputs!$B$12*(1+Inputs!$B$13/100)))+0.25*(Inputs!$B$14-Inputs!$B$14))*(1+Inputs!$B$7/100))*(F1392/100)</f>
        <v/>
      </c>
      <c r="K1392">
        <f>J1392*(1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1398=TRUE,F1398,0)/100)*(1+(IF(Skills!A5="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1392)</f>
        <v/>
      </c>
      <c r="L1392">
        <f>K1392*(MIN(Inputs!$B$22+((C1412=TRUE)*(F1412-Calc!F25)),(Inputs!$B$23+((C1417=TRUE)*(F1417-Calc!F30))+(IF(ArtifactsInput!$M$15,CHOOSE(ArtifactsInput!$N$15+1,25,30,35,40,45,50)/100*(Inputs!$B$11-Inputs!$B$11),0))))/100+(Inputs!$B$23+((C1417=TRUE)*(F1417-Calc!F30))+(IF(ArtifactsInput!$M$15,CHOOSE(ArtifactsInput!$N$15+1,25,30,35,40,45,50)/100*(Inputs!$B$11-Inputs!$B$11),0)))/100)/2</f>
        <v/>
      </c>
      <c r="M1392">
        <f>L1392*(1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2">
        <f>L1392*(1-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1392*(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2">
        <f>(1-Summary!$B$11)*T1392+Summary!$B$11*V1392</f>
        <v/>
      </c>
      <c r="P1392">
        <f>IF(B1431=0,0,O1392/B1431)</f>
        <v/>
      </c>
      <c r="Q1392">
        <f>IFERROR(1/(IF(Inputs!$B$38="pvp",15,MAX(0.1,Skills!D5-IF(Skills!E5=TRUE,Inputs!$B$32,0)))*(1-IF(AND(ArtifactsInput!$M$27,Inputs!$B$4="Chapter Hunt"),CHOOSE(ArtifactsInput!$N$27+1,20,24,28,32,36,40),0)/100)),0)</f>
        <v/>
      </c>
      <c r="R1392">
        <f>IF(AND(Inputs!$B$38&lt;&gt;"pvp",Inputs!$B$43&gt;0),IF(MAX(0,Inputs!$B$43-B1428)&lt;=0,0,(INT(MAX(0,Inputs!$B$43-B1428)/(IF(Inputs!$B$38="pvp",15,MAX(0.1,Skills!D5-IF(Skills!E5=TRUE,Inputs!$B$32,0)))*(1-IF(AND(ArtifactsInput!$M$27,Inputs!$B$4="Chapter Hunt"),CHOOSE(ArtifactsInput!$N$27+1,20,24,28,32,36,40),0)/100)))+1)),0)</f>
        <v/>
      </c>
      <c r="S1392">
        <f>IFERROR(O1392/N1392,0)</f>
        <v/>
      </c>
      <c r="T1392">
        <f>IF(C1392,(H1392*N1392*IF(AND(Inputs!$B$38&lt;&gt;"pvp",Inputs!$B$43&gt;0),((Skills!G5*((R1392-1)*IF(Skills!H5&gt;0,Skills!I5/Skills!H5,1)+IF(Skills!H5&gt;0,MIN(Skills!I5,MAX(0,MAX(0,Inputs!$B$43-B1428)-((R1392-1)*(IF(Inputs!$B$38="pvp",15,MAX(0.1,Skills!D5-IF(Skills!E5=TRUE,Inputs!$B$32,0)))*(1-IF(AND(ArtifactsInput!$M$27,Inputs!$B$4="Chapter Hunt"),CHOOSE(ArtifactsInput!$N$27+1,20,24,28,32,36,40),0)/100)))))/Skills!H5,1)))/Inputs!$B$43),G1392*Q1392)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1392*(1-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1392*(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1392*(1-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1392*(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2">
        <f>IF(C1392,(H1392*N1392*IF(AND(Inputs!$B$38&lt;&gt;"pvp",Inputs!$B$43&gt;0),((Skills!G5*((R1392-1)*IF(Skills!H5&gt;0,Skills!I5/Skills!H5,1)+IF(Skills!H5&gt;0,MIN(Skills!I5,MAX(0,MAX(0,Inputs!$B$43-B1428)-((R1392-1)*(IF(Inputs!$B$38="pvp",15,MAX(0.1,Skills!D5-IF(Skills!E5=TRUE,Inputs!$B$32,0)))*(1-IF(AND(ArtifactsInput!$M$27,Inputs!$B$4="Chapter Hunt"),CHOOSE(ArtifactsInput!$N$27+1,20,24,28,32,36,40),0)/100)))))/Skills!H5,1)))/Inputs!$B$43),G1392*Q1392))*IF(Inputs!$B$38="pvp",1,(1+(Inputs!$B$21+Skills!Q5+(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3">
      <c r="A1393">
        <f>Skills!A6</f>
        <v/>
      </c>
      <c r="B1393">
        <f>Skills!B6</f>
        <v/>
      </c>
      <c r="C1393">
        <f>Inputs!$B$3&gt;=40</f>
        <v/>
      </c>
      <c r="D1393">
        <f>IF(Skills!C6=1,60+Inputs!$B$25+Inputs!$B$29,IF(Skills!C6=2,90+Inputs!$B$26+Inputs!$B$29,IF(Skills!C6=3,120+Inputs!$B$27+Inputs!$B$29,MAX(0,(Inputs!$B$3-100)*3)+Inputs!$B$28+Inputs!$B$29)))</f>
        <v/>
      </c>
      <c r="E1393">
        <f>INDEX(FactorTable!$B$2:$Y$301, MATCH(ROUND(MIN(300,MAX(1,D1393)),0), FactorTable!$A$2:$A$301,0), Skills!M6+1)</f>
        <v/>
      </c>
      <c r="F1393">
        <f>IF(Skills!N6=TRUE,(Skills!L6/10)*(E1393/1000),Skills!L6/10)+Skills!O6</f>
        <v/>
      </c>
      <c r="G1393">
        <f>Skills!G6*IF(Skills!H6&gt;0,Skills!I6/Skills!H6,1)</f>
        <v/>
      </c>
      <c r="H1393">
        <f>1-(1-Skills!J6/100)^Skills!K6</f>
        <v/>
      </c>
      <c r="I1393" t="inlineStr">
        <is>
          <t>1</t>
        </is>
      </c>
      <c r="J1393">
        <f>((Inputs!$B$6*(1+Inputs!$B$7/100))+(((Inputs!$B$12*(1+Inputs!$B$13/100))-(Inputs!$B$12*(1+Inputs!$B$13/100)))+0.25*(Inputs!$B$14-Inputs!$B$14))*(1+Inputs!$B$7/100))*(F1393/100)</f>
        <v/>
      </c>
      <c r="K1393">
        <f>J1393*(1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1394=TRUE,F1394,0)/100)*(1+(IF(Skills!A6="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1393)</f>
        <v/>
      </c>
      <c r="L1393">
        <f>K1393*(MIN(Inputs!$B$22+((C1412=TRUE)*(F1412-Calc!F25)),(Inputs!$B$23+((C1417=TRUE)*(F1417-Calc!F30))+(IF(ArtifactsInput!$M$15,CHOOSE(ArtifactsInput!$N$15+1,25,30,35,40,45,50)/100*(Inputs!$B$11-Inputs!$B$11),0))))/100+(Inputs!$B$23+((C1417=TRUE)*(F1417-Calc!F30))+(IF(ArtifactsInput!$M$15,CHOOSE(ArtifactsInput!$N$15+1,25,30,35,40,45,50)/100*(Inputs!$B$11-Inputs!$B$11),0)))/100)/2</f>
        <v/>
      </c>
      <c r="M1393">
        <f>L1393*(1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3">
        <f>L1393*(1-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1393*(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3">
        <f>(1-Summary!$B$11)*T1393+Summary!$B$11*V1393</f>
        <v/>
      </c>
      <c r="P1393">
        <f>IF(B1431=0,0,O1393/B1431)</f>
        <v/>
      </c>
      <c r="Q1393">
        <f>IFERROR(1/(IF(Inputs!$B$38="pvp",15,MAX(0.1,Skills!D6-IF(Skills!E6=TRUE,Inputs!$B$32,0)))*(1-IF(AND(ArtifactsInput!$M$27,Inputs!$B$4="Chapter Hunt"),CHOOSE(ArtifactsInput!$N$27+1,20,24,28,32,36,40),0)/100)),0)</f>
        <v/>
      </c>
      <c r="R1393">
        <f>IF(AND(Inputs!$B$38&lt;&gt;"pvp",Inputs!$B$43&gt;0),IF(MAX(0,Inputs!$B$43-B1428)&lt;=0,0,(INT(MAX(0,Inputs!$B$43-B1428)/(IF(Inputs!$B$38="pvp",15,MAX(0.1,Skills!D6-IF(Skills!E6=TRUE,Inputs!$B$32,0)))*(1-IF(AND(ArtifactsInput!$M$27,Inputs!$B$4="Chapter Hunt"),CHOOSE(ArtifactsInput!$N$27+1,20,24,28,32,36,40),0)/100)))+1)),0)</f>
        <v/>
      </c>
      <c r="S1393">
        <f>IFERROR(O1393/N1393,0)</f>
        <v/>
      </c>
      <c r="T1393">
        <f>IF(C1393,(H1393*N1393*IF(AND(Inputs!$B$38&lt;&gt;"pvp",Inputs!$B$43&gt;0),((Skills!G6*((R1393-1)*IF(Skills!H6&gt;0,Skills!I6/Skills!H6,1)+IF(Skills!H6&gt;0,MIN(Skills!I6,MAX(0,MAX(0,Inputs!$B$43-B1428)-((R1393-1)*(IF(Inputs!$B$38="pvp",15,MAX(0.1,Skills!D6-IF(Skills!E6=TRUE,Inputs!$B$32,0)))*(1-IF(AND(ArtifactsInput!$M$27,Inputs!$B$4="Chapter Hunt"),CHOOSE(ArtifactsInput!$N$27+1,20,24,28,32,36,40),0)/100)))))/Skills!H6,1)))/Inputs!$B$43),G1393*Q1393)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1393*(1-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1393*(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1393*(1-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1393*(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3">
        <f>IF(C1393,(H1393*N1393*IF(AND(Inputs!$B$38&lt;&gt;"pvp",Inputs!$B$43&gt;0),((Skills!G6*((R1393-1)*IF(Skills!H6&gt;0,Skills!I6/Skills!H6,1)+IF(Skills!H6&gt;0,MIN(Skills!I6,MAX(0,MAX(0,Inputs!$B$43-B1428)-((R1393-1)*(IF(Inputs!$B$38="pvp",15,MAX(0.1,Skills!D6-IF(Skills!E6=TRUE,Inputs!$B$32,0)))*(1-IF(AND(ArtifactsInput!$M$27,Inputs!$B$4="Chapter Hunt"),CHOOSE(ArtifactsInput!$N$27+1,20,24,28,32,36,40),0)/100)))))/Skills!H6,1)))/Inputs!$B$43),G1393*Q1393))*IF(Inputs!$B$38="pvp",1,(1+(Inputs!$B$21+Skills!Q6+(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4">
      <c r="A1394">
        <f>Skills!A7</f>
        <v/>
      </c>
      <c r="B1394">
        <f>Skills!B7</f>
        <v/>
      </c>
      <c r="C1394">
        <f>Inputs!$B$3&gt;=107</f>
        <v/>
      </c>
      <c r="D1394">
        <f>IF(Skills!C7=1,60+Inputs!$B$25+Inputs!$B$29,IF(Skills!C7=2,90+Inputs!$B$26+Inputs!$B$29,IF(Skills!C7=3,120+Inputs!$B$27+Inputs!$B$29,MAX(0,(Inputs!$B$3-100)*3)+Inputs!$B$28+Inputs!$B$29)))</f>
        <v/>
      </c>
      <c r="E1394">
        <f>INDEX(FactorTable!$B$2:$Y$301, MATCH(ROUND(MIN(300,MAX(1,D1394)),0), FactorTable!$A$2:$A$301,0), Skills!M7+1)</f>
        <v/>
      </c>
      <c r="F1394">
        <f>IF(Skills!N7=TRUE,(Skills!L7/10)*(E1394/1000),Skills!L7/10)+Skills!O7</f>
        <v/>
      </c>
      <c r="G1394" t="inlineStr"/>
      <c r="H1394" t="inlineStr"/>
      <c r="I1394" t="inlineStr">
        <is>
          <t>1</t>
        </is>
      </c>
      <c r="J1394" t="inlineStr"/>
      <c r="K1394" t="inlineStr"/>
      <c r="L1394" t="inlineStr"/>
      <c r="M1394" t="inlineStr"/>
      <c r="N1394" t="inlineStr"/>
      <c r="O1394" t="inlineStr"/>
      <c r="P1394" t="inlineStr"/>
      <c r="Q1394" t="inlineStr"/>
      <c r="R1394" t="inlineStr"/>
      <c r="S1394" t="inlineStr"/>
      <c r="T1394" t="inlineStr"/>
      <c r="V1394" t="inlineStr"/>
    </row>
    <row r="1395">
      <c r="A1395">
        <f>Skills!A8</f>
        <v/>
      </c>
      <c r="B1395">
        <f>Skills!B8</f>
        <v/>
      </c>
      <c r="C1395">
        <f>Inputs!$B$3&gt;=69</f>
        <v/>
      </c>
      <c r="D1395">
        <f>IF(Skills!C8=1,60+Inputs!$B$25+Inputs!$B$29,IF(Skills!C8=2,90+Inputs!$B$26+Inputs!$B$29,IF(Skills!C8=3,120+Inputs!$B$27+Inputs!$B$29,MAX(0,(Inputs!$B$3-100)*3)+Inputs!$B$28+Inputs!$B$29)))</f>
        <v/>
      </c>
      <c r="E1395">
        <f>INDEX(FactorTable!$B$2:$Y$301, MATCH(ROUND(MIN(300,MAX(1,D1395)),0), FactorTable!$A$2:$A$301,0), Skills!M8+1)</f>
        <v/>
      </c>
      <c r="F1395">
        <f>IF(Skills!N8=TRUE,(Skills!L8/10)*(E1395/1000),Skills!L8/10)+Skills!O8</f>
        <v/>
      </c>
      <c r="G1395">
        <f>Skills!G8*IF(Skills!H8&gt;0,Skills!I8/Skills!H8,1)</f>
        <v/>
      </c>
      <c r="H1395">
        <f>1-(1-Skills!J8/100)^Skills!K8</f>
        <v/>
      </c>
      <c r="I1395" t="inlineStr">
        <is>
          <t>1</t>
        </is>
      </c>
      <c r="J1395">
        <f>((Inputs!$B$6*(1+Inputs!$B$7/100))+(((Inputs!$B$12*(1+Inputs!$B$13/100))-(Inputs!$B$12*(1+Inputs!$B$13/100)))+0.25*(Inputs!$B$14-Inputs!$B$14))*(1+Inputs!$B$7/100))*(F1395/100)</f>
        <v/>
      </c>
      <c r="K1395">
        <f>J1395*(1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1398=TRUE,F1398,0)/100)*(1+(IF(Skills!A8="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1395)</f>
        <v/>
      </c>
      <c r="L1395">
        <f>K1395*(MIN(Inputs!$B$22+((C1412=TRUE)*(F1412-Calc!F25)),(Inputs!$B$23+((C1417=TRUE)*(F1417-Calc!F30))+(IF(ArtifactsInput!$M$15,CHOOSE(ArtifactsInput!$N$15+1,25,30,35,40,45,50)/100*(Inputs!$B$11-Inputs!$B$11),0))))/100+(Inputs!$B$23+((C1417=TRUE)*(F1417-Calc!F30))+(IF(ArtifactsInput!$M$15,CHOOSE(ArtifactsInput!$N$15+1,25,30,35,40,45,50)/100*(Inputs!$B$11-Inputs!$B$11),0)))/100)/2</f>
        <v/>
      </c>
      <c r="M1395">
        <f>L1395*(1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5">
        <f>L1395*(1-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1395*(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5">
        <f>(1-Summary!$B$11)*T1395+Summary!$B$11*V1395</f>
        <v/>
      </c>
      <c r="P1395">
        <f>IF(B1431=0,0,O1395/B1431)</f>
        <v/>
      </c>
      <c r="Q1395">
        <f>IFERROR(1/(IF(Inputs!$B$38="pvp",15,MAX(0.1,Skills!D8-IF(Skills!E8=TRUE,Inputs!$B$32,0)))*(1-IF(AND(ArtifactsInput!$M$27,Inputs!$B$4="Chapter Hunt"),CHOOSE(ArtifactsInput!$N$27+1,20,24,28,32,36,40),0)/100)),0)</f>
        <v/>
      </c>
      <c r="R1395">
        <f>IF(AND(Inputs!$B$38&lt;&gt;"pvp",Inputs!$B$43&gt;0),IF(MAX(0,Inputs!$B$43-B1428)&lt;=0,0,(INT(MAX(0,Inputs!$B$43-B1428)/(IF(Inputs!$B$38="pvp",15,MAX(0.1,Skills!D8-IF(Skills!E8=TRUE,Inputs!$B$32,0)))*(1-IF(AND(ArtifactsInput!$M$27,Inputs!$B$4="Chapter Hunt"),CHOOSE(ArtifactsInput!$N$27+1,20,24,28,32,36,40),0)/100)))+1)),0)</f>
        <v/>
      </c>
      <c r="S1395">
        <f>IFERROR(O1395/N1395,0)</f>
        <v/>
      </c>
      <c r="T1395">
        <f>IF(C1395,(H1395*N1395*IF(AND(Inputs!$B$38&lt;&gt;"pvp",Inputs!$B$43&gt;0),((Skills!G8*((R1395-1)*IF(Skills!H8&gt;0,Skills!I8/Skills!H8,1)+IF(Skills!H8&gt;0,MIN(Skills!I8,MAX(0,MAX(0,Inputs!$B$43-B1428)-((R1395-1)*(IF(Inputs!$B$38="pvp",15,MAX(0.1,Skills!D8-IF(Skills!E8=TRUE,Inputs!$B$32,0)))*(1-IF(AND(ArtifactsInput!$M$27,Inputs!$B$4="Chapter Hunt"),CHOOSE(ArtifactsInput!$N$27+1,20,24,28,32,36,40),0)/100)))))/Skills!H8,1)))/Inputs!$B$43),G1395*Q1395)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1395*(1-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1395*(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1395*(1-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1395*(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5">
        <f>IF(C1395,(H1395*N1395*IF(AND(Inputs!$B$38&lt;&gt;"pvp",Inputs!$B$43&gt;0),((Skills!G8*((R1395-1)*IF(Skills!H8&gt;0,Skills!I8/Skills!H8,1)+IF(Skills!H8&gt;0,MIN(Skills!I8,MAX(0,MAX(0,Inputs!$B$43-B1428)-((R1395-1)*(IF(Inputs!$B$38="pvp",15,MAX(0.1,Skills!D8-IF(Skills!E8=TRUE,Inputs!$B$32,0)))*(1-IF(AND(ArtifactsInput!$M$27,Inputs!$B$4="Chapter Hunt"),CHOOSE(ArtifactsInput!$N$27+1,20,24,28,32,36,40),0)/100)))))/Skills!H8,1)))/Inputs!$B$43),G1395*Q1395))*IF(Inputs!$B$38="pvp",1,(1+(Inputs!$B$21+Skills!Q8+(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6">
      <c r="A1396">
        <f>Skills!A9</f>
        <v/>
      </c>
      <c r="B1396">
        <f>Skills!B9</f>
        <v/>
      </c>
      <c r="C1396">
        <f>Inputs!$B$3&gt;=63</f>
        <v/>
      </c>
      <c r="D1396">
        <f>IF(Skills!C9=1,60+Inputs!$B$25+Inputs!$B$29,IF(Skills!C9=2,90+Inputs!$B$26+Inputs!$B$29,IF(Skills!C9=3,120+Inputs!$B$27+Inputs!$B$29,MAX(0,(Inputs!$B$3-100)*3)+Inputs!$B$28+Inputs!$B$29)))</f>
        <v/>
      </c>
      <c r="E1396">
        <f>INDEX(FactorTable!$B$2:$Y$301, MATCH(ROUND(MIN(300,MAX(1,D1396)),0), FactorTable!$A$2:$A$301,0), Skills!M9+1)</f>
        <v/>
      </c>
      <c r="F1396">
        <f>IF(Skills!N9=TRUE,(Skills!L9/10)*(E1396/1000),Skills!L9/10)+Skills!O9</f>
        <v/>
      </c>
      <c r="G1396">
        <f>Skills!G9*IF(Skills!H9&gt;0,Skills!I9/Skills!H9,1)</f>
        <v/>
      </c>
      <c r="H1396">
        <f>1-(1-Skills!J9/100)^Skills!K9</f>
        <v/>
      </c>
      <c r="I1396" t="inlineStr">
        <is>
          <t>1</t>
        </is>
      </c>
      <c r="J1396">
        <f>((Inputs!$B$6*(1+Inputs!$B$7/100))+(((Inputs!$B$12*(1+Inputs!$B$13/100))-(Inputs!$B$12*(1+Inputs!$B$13/100)))+0.25*(Inputs!$B$14-Inputs!$B$14))*(1+Inputs!$B$7/100))*(F1396/100)</f>
        <v/>
      </c>
      <c r="K1396">
        <f>J1396*(1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1398=TRUE,F1398,0)/100)*(1+(IF(Skills!A9="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1396)</f>
        <v/>
      </c>
      <c r="L1396">
        <f>K1396*(MIN(Inputs!$B$22+((C1412=TRUE)*(F1412-Calc!F25)),(Inputs!$B$23+((C1417=TRUE)*(F1417-Calc!F30))+(IF(ArtifactsInput!$M$15,CHOOSE(ArtifactsInput!$N$15+1,25,30,35,40,45,50)/100*(Inputs!$B$11-Inputs!$B$11),0))))/100+(Inputs!$B$23+((C1417=TRUE)*(F1417-Calc!F30))+(IF(ArtifactsInput!$M$15,CHOOSE(ArtifactsInput!$N$15+1,25,30,35,40,45,50)/100*(Inputs!$B$11-Inputs!$B$11),0)))/100)/2</f>
        <v/>
      </c>
      <c r="M1396">
        <f>L1396*(1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6">
        <f>L1396*(1-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1396*(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6">
        <f>(1-Summary!$B$11)*T1396+Summary!$B$11*V1396</f>
        <v/>
      </c>
      <c r="P1396">
        <f>IF(B1431=0,0,O1396/B1431)</f>
        <v/>
      </c>
      <c r="Q1396">
        <f>IFERROR(1/(IF(Inputs!$B$38="pvp",15,MAX(0.1,Skills!D9-IF(Skills!E9=TRUE,Inputs!$B$32,0)))*(1-IF(AND(ArtifactsInput!$M$27,Inputs!$B$4="Chapter Hunt"),CHOOSE(ArtifactsInput!$N$27+1,20,24,28,32,36,40),0)/100)),0)</f>
        <v/>
      </c>
      <c r="R1396">
        <f>IF(AND(Inputs!$B$38&lt;&gt;"pvp",Inputs!$B$43&gt;0),IF(MAX(0,Inputs!$B$43-B1428)&lt;=0,0,(INT(MAX(0,Inputs!$B$43-B1428)/(IF(Inputs!$B$38="pvp",15,MAX(0.1,Skills!D9-IF(Skills!E9=TRUE,Inputs!$B$32,0)))*(1-IF(AND(ArtifactsInput!$M$27,Inputs!$B$4="Chapter Hunt"),CHOOSE(ArtifactsInput!$N$27+1,20,24,28,32,36,40),0)/100)))+1)),0)</f>
        <v/>
      </c>
      <c r="S1396">
        <f>IFERROR(O1396/N1396,0)</f>
        <v/>
      </c>
      <c r="T1396">
        <f>IF(C1396,(H1396*N1396*IF(AND(Inputs!$B$38&lt;&gt;"pvp",Inputs!$B$43&gt;0),((Skills!G9*((R1396-1)*IF(Skills!H9&gt;0,Skills!I9/Skills!H9,1)+IF(Skills!H9&gt;0,MIN(Skills!I9,MAX(0,MAX(0,Inputs!$B$43-B1428)-((R1396-1)*(IF(Inputs!$B$38="pvp",15,MAX(0.1,Skills!D9-IF(Skills!E9=TRUE,Inputs!$B$32,0)))*(1-IF(AND(ArtifactsInput!$M$27,Inputs!$B$4="Chapter Hunt"),CHOOSE(ArtifactsInput!$N$27+1,20,24,28,32,36,40),0)/100)))))/Skills!H9,1)))/Inputs!$B$43),G1396*Q1396)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1396*(1-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1396*(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1396*(1-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1396*(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6">
        <f>IF(C1396,(H1396*N1396*IF(AND(Inputs!$B$38&lt;&gt;"pvp",Inputs!$B$43&gt;0),((Skills!G9*((R1396-1)*IF(Skills!H9&gt;0,Skills!I9/Skills!H9,1)+IF(Skills!H9&gt;0,MIN(Skills!I9,MAX(0,MAX(0,Inputs!$B$43-B1428)-((R1396-1)*(IF(Inputs!$B$38="pvp",15,MAX(0.1,Skills!D9-IF(Skills!E9=TRUE,Inputs!$B$32,0)))*(1-IF(AND(ArtifactsInput!$M$27,Inputs!$B$4="Chapter Hunt"),CHOOSE(ArtifactsInput!$N$27+1,20,24,28,32,36,40),0)/100)))))/Skills!H9,1)))/Inputs!$B$43),G1396*Q1396))*IF(Inputs!$B$38="pvp",1,(1+(Inputs!$B$21+Skills!Q9+(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7">
      <c r="A1397">
        <f>Skills!A10</f>
        <v/>
      </c>
      <c r="B1397">
        <f>Skills!B10</f>
        <v/>
      </c>
      <c r="C1397">
        <f>Inputs!$B$3&gt;=103</f>
        <v/>
      </c>
      <c r="D1397">
        <f>IF(Skills!C10=1,60+Inputs!$B$25+Inputs!$B$29,IF(Skills!C10=2,90+Inputs!$B$26+Inputs!$B$29,IF(Skills!C10=3,120+Inputs!$B$27+Inputs!$B$29,MAX(0,(Inputs!$B$3-100)*3)+Inputs!$B$28+Inputs!$B$29)))</f>
        <v/>
      </c>
      <c r="E1397">
        <f>INDEX(FactorTable!$B$2:$Y$301, MATCH(ROUND(MIN(300,MAX(1,D1397)),0), FactorTable!$A$2:$A$301,0), Skills!M10+1)</f>
        <v/>
      </c>
      <c r="F1397">
        <f>IF(Skills!N10=TRUE,(Skills!L10/10)*(E1397/1000),Skills!L10/10)+Skills!O10</f>
        <v/>
      </c>
      <c r="G1397">
        <f>Skills!G10*IF(Skills!H10&gt;0,Skills!I10/Skills!H10,1)</f>
        <v/>
      </c>
      <c r="H1397">
        <f>1-(1-Skills!J10/100)^Skills!K10</f>
        <v/>
      </c>
      <c r="I1397" t="inlineStr">
        <is>
          <t>1</t>
        </is>
      </c>
      <c r="J1397">
        <f>((Inputs!$B$6*(1+Inputs!$B$7/100))+(((Inputs!$B$12*(1+Inputs!$B$13/100))-(Inputs!$B$12*(1+Inputs!$B$13/100)))+0.25*(Inputs!$B$14-Inputs!$B$14))*(1+Inputs!$B$7/100))*(F1397/100)</f>
        <v/>
      </c>
      <c r="K1397">
        <f>J1397*(1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1397)</f>
        <v/>
      </c>
      <c r="L1397">
        <f>K1397*(MIN(Inputs!$B$22+((C1412=TRUE)*(F1412-Calc!F25)),(Inputs!$B$23+((C1417=TRUE)*(F1417-Calc!F30))+(IF(ArtifactsInput!$M$15,CHOOSE(ArtifactsInput!$N$15+1,25,30,35,40,45,50)/100*(Inputs!$B$11-Inputs!$B$11),0))))/100+(Inputs!$B$23+((C1417=TRUE)*(F1417-Calc!F30))+(IF(ArtifactsInput!$M$15,CHOOSE(ArtifactsInput!$N$15+1,25,30,35,40,45,50)/100*(Inputs!$B$11-Inputs!$B$11),0)))/100)/2</f>
        <v/>
      </c>
      <c r="M1397">
        <f>L1397*(1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7">
        <f>L1397*(1-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1397*(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7">
        <f>(1-Summary!$B$11)*T1397+Summary!$B$11*V1397</f>
        <v/>
      </c>
      <c r="P1397">
        <f>IF(B1431=0,0,O1397/B1431)</f>
        <v/>
      </c>
      <c r="Q1397">
        <f>IFERROR(1/(IF(Inputs!$B$38="pvp",15,MAX(0.1,Skills!D10-IF(Skills!E10=TRUE,Inputs!$B$32,0)))*(1-IF(AND(ArtifactsInput!$M$27,Inputs!$B$4="Chapter Hunt"),CHOOSE(ArtifactsInput!$N$27+1,20,24,28,32,36,40),0)/100)),0)</f>
        <v/>
      </c>
      <c r="R1397">
        <f>IF(AND(Inputs!$B$38&lt;&gt;"pvp",Inputs!$B$43&gt;0),IF(MAX(0,Inputs!$B$43-B1428)&lt;=0,0,(INT(MAX(0,Inputs!$B$43-B1428)/(IF(Inputs!$B$38="pvp",15,MAX(0.1,Skills!D10-IF(Skills!E10=TRUE,Inputs!$B$32,0)))*(1-IF(AND(ArtifactsInput!$M$27,Inputs!$B$4="Chapter Hunt"),CHOOSE(ArtifactsInput!$N$27+1,20,24,28,32,36,40),0)/100)))+1)),0)</f>
        <v/>
      </c>
      <c r="S1397">
        <f>IFERROR(O1397/N1397,0)</f>
        <v/>
      </c>
      <c r="T1397">
        <f>IF(C1397,(H1397*N1397*IF(AND(Inputs!$B$38&lt;&gt;"pvp",Inputs!$B$43&gt;0),((Skills!G10*((R1397-1)*IF(Skills!H10&gt;0,Skills!I10/Skills!H10,1)+IF(Skills!H10&gt;0,MIN(Skills!I10,MAX(0,MAX(0,Inputs!$B$43-B1428)-((R1397-1)*(IF(Inputs!$B$38="pvp",15,MAX(0.1,Skills!D10-IF(Skills!E10=TRUE,Inputs!$B$32,0)))*(1-IF(AND(ArtifactsInput!$M$27,Inputs!$B$4="Chapter Hunt"),CHOOSE(ArtifactsInput!$N$27+1,20,24,28,32,36,40),0)/100)))))/Skills!H10,1)))/Inputs!$B$43),G1397*Q1397)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1397*(1-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1397*(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1397*(1-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1397*(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7">
        <f>IF(C1397,(H1397*N1397*IF(AND(Inputs!$B$38&lt;&gt;"pvp",Inputs!$B$43&gt;0),((Skills!G10*((R1397-1)*IF(Skills!H10&gt;0,Skills!I10/Skills!H10,1)+IF(Skills!H10&gt;0,MIN(Skills!I10,MAX(0,MAX(0,Inputs!$B$43-B1428)-((R1397-1)*(IF(Inputs!$B$38="pvp",15,MAX(0.1,Skills!D10-IF(Skills!E10=TRUE,Inputs!$B$32,0)))*(1-IF(AND(ArtifactsInput!$M$27,Inputs!$B$4="Chapter Hunt"),CHOOSE(ArtifactsInput!$N$27+1,20,24,28,32,36,40),0)/100)))))/Skills!H10,1)))/Inputs!$B$43),G1397*Q1397))*IF(Inputs!$B$38="pvp",1,(1+(Inputs!$B$21+Skills!Q10+(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8">
      <c r="A1398">
        <f>Skills!A11</f>
        <v/>
      </c>
      <c r="B1398">
        <f>Skills!B11</f>
        <v/>
      </c>
      <c r="C1398">
        <f>Inputs!$B$3&gt;=100</f>
        <v/>
      </c>
      <c r="D1398">
        <f>IF(Skills!C11=1,60+Inputs!$B$25+Inputs!$B$29,IF(Skills!C11=2,90+Inputs!$B$26+Inputs!$B$29,IF(Skills!C11=3,120+Inputs!$B$27+Inputs!$B$29,MAX(0,(Inputs!$B$3-100)*3)+Inputs!$B$28+Inputs!$B$29)))</f>
        <v/>
      </c>
      <c r="E1398">
        <f>INDEX(FactorTable!$B$2:$Y$301, MATCH(ROUND(MIN(300,MAX(1,D1398)),0), FactorTable!$A$2:$A$301,0), Skills!M11+1)</f>
        <v/>
      </c>
      <c r="F1398">
        <f>IF(Skills!N11=TRUE,(Skills!L11/10)*(E1398/1000),Skills!L11/10)+Skills!O11</f>
        <v/>
      </c>
      <c r="G1398" t="inlineStr"/>
      <c r="H1398" t="inlineStr"/>
      <c r="I1398" t="inlineStr">
        <is>
          <t>1</t>
        </is>
      </c>
      <c r="J1398" t="inlineStr"/>
      <c r="K1398" t="inlineStr"/>
      <c r="L1398" t="inlineStr"/>
      <c r="M1398" t="inlineStr"/>
      <c r="N1398" t="inlineStr"/>
      <c r="O1398" t="inlineStr"/>
      <c r="P1398" t="inlineStr"/>
      <c r="Q1398" t="inlineStr"/>
      <c r="R1398" t="inlineStr"/>
      <c r="S1398" t="inlineStr"/>
      <c r="T1398" t="inlineStr"/>
      <c r="V1398" t="inlineStr"/>
    </row>
    <row r="1399">
      <c r="A1399">
        <f>Skills!A12</f>
        <v/>
      </c>
      <c r="B1399">
        <f>Skills!B12</f>
        <v/>
      </c>
      <c r="C1399">
        <f>Inputs!$B$3&gt;=60</f>
        <v/>
      </c>
      <c r="D1399">
        <f>IF(Skills!C12=1,60+Inputs!$B$25+Inputs!$B$29,IF(Skills!C12=2,90+Inputs!$B$26+Inputs!$B$29,IF(Skills!C12=3,120+Inputs!$B$27+Inputs!$B$29,MAX(0,(Inputs!$B$3-100)*3)+Inputs!$B$28+Inputs!$B$29)))</f>
        <v/>
      </c>
      <c r="E1399">
        <f>INDEX(FactorTable!$B$2:$Y$301, MATCH(ROUND(MIN(300,MAX(1,D1399)),0), FactorTable!$A$2:$A$301,0), Skills!M12+1)</f>
        <v/>
      </c>
      <c r="F1399">
        <f>IF(Skills!N12=TRUE,(Skills!L12/10)*(E1399/1000),Skills!L12/10)+Skills!O12</f>
        <v/>
      </c>
      <c r="G1399">
        <f>Skills!G12*IF(Skills!H12&gt;0,Skills!I12/Skills!H12,1)</f>
        <v/>
      </c>
      <c r="H1399">
        <f>1-(1-Skills!J12/100)^Skills!K12</f>
        <v/>
      </c>
      <c r="I1399" t="inlineStr">
        <is>
          <t>1</t>
        </is>
      </c>
      <c r="J1399">
        <f>((Inputs!$B$6*(1+Inputs!$B$7/100))+(((Inputs!$B$12*(1+Inputs!$B$13/100))-(Inputs!$B$12*(1+Inputs!$B$13/100)))+0.25*(Inputs!$B$14-Inputs!$B$14))*(1+Inputs!$B$7/100))*(F1399/100)</f>
        <v/>
      </c>
      <c r="K1399">
        <f>J1399*(1+((Inputs!$B$12*(1+Inputs!$B$13/100))*0.01+Inputs!$B$14*0.0025)/100)*(1+Inputs!$B$15/100)*(1+Inputs!$B$16/100)*(5000/(6000+Inputs!$B$42*(1-(100*(1-(1-(Inputs!$B$19+((C1415=TRUE)*(F1415-Calc!F28)))/100)*(1-CHOOSE(ArtifactsInput!$N$40+1,5,6,7,8,9,10)/100)^(ArtifactsInput!$M$40-ArtifactsInput!$M$40)))/100)))*(1+(Inputs!$B$24+((C1413=TRUE)*(F1413-Calc!F26))+((C1414=TRUE)*(F1414-Calc!F27))+B1427)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1400=TRUE,F1400,0)/100)*(1+(IF(Skills!A12="ARROW_STREAM",Inputs!$B$17+((C1411=TRUE)*(F1411-Calc!F24))+(((IF(AND(ArtifactsInput!$M$42,((Inputs!$B$9+((C1408=TRUE)*(F1408-Calc!F21))+B1421+(ArtifactsInput!$M$24-ArtifactsInput!$M$24)*CHOOSE(ArtifactsInput!$N$24+1,10,12,14,16,18,20)+IF(ArtifactsInput!$M$10,CHOOSE(ArtifactsInput!$N$10+1,15,18,21,24,27,30)*(IF(Inputs!$B$38="pvp",MIN(15,15)/15,IF(AND(Inputs!$B$38&lt;&gt;"pvp",Inputs!$B$43&gt;0),MIN(15,Inputs!$B$43)/(Inputs!$B$43),0))),0)))&gt;=100),MIN(100,((Inputs!$B$9+((C1408=TRUE)*(F1408-Calc!F21))+B1421+(ArtifactsInput!$M$24-ArtifactsInput!$M$24)*CHOOSE(ArtifactsInput!$N$24+1,10,12,14,16,18,20)+IF(ArtifactsInput!$M$10,CHOOSE(ArtifactsInput!$N$10+1,15,18,21,24,27,30)*(IF(Inputs!$B$38="pvp",MIN(15,15)/15,IF(AND(Inputs!$B$38&lt;&gt;"pvp",Inputs!$B$43&gt;0),MIN(15,Inputs!$B$43)/(Inputs!$B$43),0))),0)))-100),0))*CHOOSE(ArtifactsInput!$N$42+1,0.6,0.72,0.84,0.96,1.08,1.2))),Inputs!$B$18+((C1416=TRUE)*(F1416-Calc!F29))+(IF(AND(ArtifactsInput!$M$42,((Inputs!$B$9+((C1408=TRUE)*(F1408-Calc!F21))+B1421+(ArtifactsInput!$M$24-ArtifactsInput!$M$24)*CHOOSE(ArtifactsInput!$N$24+1,10,12,14,16,18,20)+IF(ArtifactsInput!$M$10,CHOOSE(ArtifactsInput!$N$10+1,15,18,21,24,27,30)*(IF(Inputs!$B$38="pvp",MIN(15,15)/15,IF(AND(Inputs!$B$38&lt;&gt;"pvp",Inputs!$B$43&gt;0),MIN(15,Inputs!$B$43)/(Inputs!$B$43),0))),0)))&gt;=100),CHOOSE(ArtifactsInput!$N$42+1,40,48,56,64,72,80),0))))/100)*((1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1399)</f>
        <v/>
      </c>
      <c r="L1399">
        <f>K1399*(MIN(Inputs!$B$22+((C1412=TRUE)*(F1412-Calc!F25)),(Inputs!$B$23+((C1417=TRUE)*(F1417-Calc!F30))+(IF(ArtifactsInput!$M$15,CHOOSE(ArtifactsInput!$N$15+1,25,30,35,40,45,50)/100*(Inputs!$B$11-Inputs!$B$11),0))))/100+(Inputs!$B$23+((C1417=TRUE)*(F1417-Calc!F30))+(IF(ArtifactsInput!$M$15,CHOOSE(ArtifactsInput!$N$15+1,25,30,35,40,45,50)/100*(Inputs!$B$11-Inputs!$B$11),0)))/100)/2</f>
        <v/>
      </c>
      <c r="M1399">
        <f>L1399*(1+(Inputs!$B$10+0+B1426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9">
        <f>L1399*(1-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1399*(MIN((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9">
        <f>(1-Summary!$B$11)*T1399+Summary!$B$11*V1399</f>
        <v/>
      </c>
      <c r="P1399">
        <f>IF(B1431=0,0,O1399/B1431)</f>
        <v/>
      </c>
      <c r="Q1399">
        <f>IFERROR(1/(IF(Inputs!$B$38="pvp",15,MAX(0.1,Skills!D12-IF(Skills!E12=TRUE,Inputs!$B$32,0)))*(1-IF(AND(ArtifactsInput!$M$27,Inputs!$B$4="Chapter Hunt"),CHOOSE(ArtifactsInput!$N$27+1,20,24,28,32,36,40),0)/100)),0)</f>
        <v/>
      </c>
      <c r="R1399">
        <f>IF(AND(Inputs!$B$38&lt;&gt;"pvp",Inputs!$B$43&gt;0),IF(MAX(0,Inputs!$B$43-B1428)&lt;=0,0,(INT(MAX(0,Inputs!$B$43-B1428)/(IF(Inputs!$B$38="pvp",15,MAX(0.1,Skills!D12-IF(Skills!E12=TRUE,Inputs!$B$32,0)))*(1-IF(AND(ArtifactsInput!$M$27,Inputs!$B$4="Chapter Hunt"),CHOOSE(ArtifactsInput!$N$27+1,20,24,28,32,36,40),0)/100)))+1)),0)</f>
        <v/>
      </c>
      <c r="S1399">
        <f>IFERROR(O1399/N1399,0)</f>
        <v/>
      </c>
      <c r="T1399">
        <f>IF(C1399,(H1399*N1399*IF(AND(Inputs!$B$38&lt;&gt;"pvp",Inputs!$B$43&gt;0),((Skills!G12*((R1399-1)*IF(Skills!H12&gt;0,Skills!I12/Skills!H12,1)+IF(Skills!H12&gt;0,MIN(Skills!I12,MAX(0,MAX(0,Inputs!$B$43-B1428)-((R1399-1)*(IF(Inputs!$B$38="pvp",15,MAX(0.1,Skills!D12-IF(Skills!E12=TRUE,Inputs!$B$32,0)))*(1-IF(AND(ArtifactsInput!$M$27,Inputs!$B$4="Chapter Hunt"),CHOOSE(ArtifactsInput!$N$27+1,20,24,28,32,36,40),0)/100)))))/Skills!H12,1)))/Inputs!$B$43),G1399*Q1399)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(5000/(6000+Inputs!$B$42*(1-(100*(1-(1-(100*(1-(1-(Inputs!$B$19+((C1415=TRUE)*(F1415-Calc!F28)))/100)*(1-CHOOSE(ArtifactsInput!$N$40+1,5,6,7,8,9,10)/100)^(ArtifactsInput!$M$40-ArtifactsInput!$M$40)))/100)*(1-IF(ArtifactsInput!$M$40,CHOOSE(ArtifactsInput!$N$40+1,5,6,7,8,9,10),0)/100)^IF(Inputs!$B$38="pvp",1,2)))/100)))/(5000/(6000+Inputs!$B$42*(1-(100*(1-(1-(Inputs!$B$19+((C1415=TRUE)*(F1415-Calc!F28)))/100)*(1-CHOOSE(ArtifactsInput!$N$40+1,5,6,7,8,9,10)/100)^(ArtifactsInput!$M$40-ArtifactsInput!$M$40)))/100))))*((L1399*(1-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1399*(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1399*(1-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1399*(MIN(100,(Inputs!$B$9+((C1408=TRUE)*(F1408-Calc!F21))+B1421+(ArtifactsInput!$M$24-ArtifactsInput!$M$24)*CHOOSE(ArtifactsInput!$N$24+1,10,12,14,16,18,20)+(IF(AND(ArtifactsInput!$M$42,((Inputs!$B$9+((C1408=TRUE)*(F1408-Calc!F21))+B1421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9">
        <f>IF(C1399,(H1399*N1399*IF(AND(Inputs!$B$38&lt;&gt;"pvp",Inputs!$B$43&gt;0),((Skills!G12*((R1399-1)*IF(Skills!H12&gt;0,Skills!I12/Skills!H12,1)+IF(Skills!H12&gt;0,MIN(Skills!I12,MAX(0,MAX(0,Inputs!$B$43-B1428)-((R1399-1)*(IF(Inputs!$B$38="pvp",15,MAX(0.1,Skills!D12-IF(Skills!E12=TRUE,Inputs!$B$32,0)))*(1-IF(AND(ArtifactsInput!$M$27,Inputs!$B$4="Chapter Hunt"),CHOOSE(ArtifactsInput!$N$27+1,20,24,28,32,36,40),0)/100)))))/Skills!H12,1)))/Inputs!$B$43),G1399*Q1399))*IF(Inputs!$B$38="pvp",1,(1+(Inputs!$B$21+Skills!Q12+(IF(ArtifactsInput!$M$33,CHOOSE(ArtifactsInput!$N$33+1,30,36,42,48,54,60),0))+(IF(AND(ArtifactsInput!$M$35,Inputs!$B$4&lt;&gt;"Chapter Hunt"),CHOOSE(ArtifactsInput!$N$35+1,15,18,21,24,27,30)*(1-EXP(-(0.2*B1423)*5)),0)+IF(AND(ArtifactsInput!$M$22,Inputs!$B$4&lt;&gt;"Chapter Hunt"),CHOOSE(ArtifactsInput!$N$22+1,10,12,14,16,18,20)*((0*(((0.15*B1423*5))^0/1)+1*(((0.15*B1423*5))^1/1)+2*(((0.15*B1423*5))^2/2)+3*(((0.15*B1423*5))^3/6)+4*(((0.15*B1423*5))^4/24)+5*(((0.15*B1423*5))^5/120))/((((0.15*B1423*5))^0/1)+(((0.15*B1423*5))^1/1)+(((0.15*B1423*5))^2/2)+(((0.15*B1423*5))^3/6)+(((0.15*B1423*5))^4/24)+(((0.15*B1423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0">
      <c r="A1400">
        <f>Skills!A13</f>
        <v/>
      </c>
      <c r="B1400">
        <f>Skills!B13</f>
        <v/>
      </c>
      <c r="C1400">
        <f>Inputs!$B$3&gt;=110</f>
        <v/>
      </c>
      <c r="D1400">
        <f>IF(Skills!C13=1,60+Inputs!$B$25+Inputs!$B$29,IF(Skills!C13=2,90+Inputs!$B$26+Inputs!$B$29,IF(Skills!C13=3,120+Inputs!$B$27+Inputs!$B$29,MAX(0,(Inputs!$B$3-100)*3)+Inputs!$B$28+Inputs!$B$29)))</f>
        <v/>
      </c>
      <c r="E1400">
        <f>INDEX(FactorTable!$B$2:$Y$301, MATCH(ROUND(MIN(300,MAX(1,D1400)),0), FactorTable!$A$2:$A$301,0), Skills!M13+1)</f>
        <v/>
      </c>
      <c r="F1400">
        <f>IF(Skills!N13=TRUE,(Skills!L13/10)*(E1400/1000),Skills!L13/10)+Skills!O13</f>
        <v/>
      </c>
      <c r="G1400" t="inlineStr"/>
      <c r="H1400" t="inlineStr"/>
      <c r="I1400" t="inlineStr">
        <is>
          <t>1</t>
        </is>
      </c>
      <c r="J1400" t="inlineStr"/>
      <c r="K1400" t="inlineStr"/>
      <c r="L1400" t="inlineStr"/>
      <c r="M1400" t="inlineStr"/>
      <c r="N1400" t="inlineStr"/>
      <c r="O1400" t="inlineStr"/>
      <c r="P1400" t="inlineStr"/>
      <c r="Q1400" t="inlineStr"/>
      <c r="R1400" t="inlineStr"/>
      <c r="S1400" t="inlineStr"/>
      <c r="T1400" t="inlineStr"/>
      <c r="V1400" t="inlineStr"/>
    </row>
    <row r="1401">
      <c r="A1401">
        <f>Skills!A14</f>
        <v/>
      </c>
      <c r="B1401">
        <f>Skills!B14</f>
        <v/>
      </c>
      <c r="C1401">
        <f>Inputs!$B$3&gt;=74</f>
        <v/>
      </c>
      <c r="D1401">
        <f>IF(Skills!C14=1,60+Inputs!$B$25+Inputs!$B$29,IF(Skills!C14=2,90+Inputs!$B$26+Inputs!$B$29,IF(Skills!C14=3,120+Inputs!$B$27+Inputs!$B$29,MAX(0,(Inputs!$B$3-100)*3)+Inputs!$B$28+Inputs!$B$29)))</f>
        <v/>
      </c>
      <c r="E1401">
        <f>INDEX(FactorTable!$B$2:$Y$301, MATCH(ROUND(MIN(300,MAX(1,D1401)),0), FactorTable!$A$2:$A$301,0), Skills!M14+1)</f>
        <v/>
      </c>
      <c r="F1401">
        <f>IF(Skills!N14=TRUE,(Skills!L14/10)*(E1401/1000),Skills!L14/10)+Skills!O14</f>
        <v/>
      </c>
      <c r="G1401">
        <f>Skills!G14*IF(Skills!H14&gt;0,Skills!I14/Skills!H14,1)</f>
        <v/>
      </c>
      <c r="H1401">
        <f>1-(1-Skills!J14/100)^Skills!K14</f>
        <v/>
      </c>
      <c r="I1401" t="inlineStr">
        <is>
          <t>1</t>
        </is>
      </c>
      <c r="J1401" t="inlineStr"/>
      <c r="K1401" t="inlineStr"/>
      <c r="L1401" t="inlineStr"/>
      <c r="M1401" t="inlineStr"/>
      <c r="N1401" t="inlineStr"/>
      <c r="O1401">
        <f>(1-Summary!$B$11)*T1401+Summary!$B$11*V1401</f>
        <v/>
      </c>
      <c r="P1401">
        <f>IF(B1431=0,0,O1401/B1431)</f>
        <v/>
      </c>
      <c r="Q1401" t="n">
        <v>0</v>
      </c>
      <c r="R1401" t="n">
        <v>0</v>
      </c>
      <c r="S1401">
        <f>IFERROR(O1401/N1401,0)</f>
        <v/>
      </c>
      <c r="T1401" t="n">
        <v>0</v>
      </c>
      <c r="V1401" t="n">
        <v>0</v>
      </c>
    </row>
    <row r="1402">
      <c r="A1402">
        <f>Skills!A15</f>
        <v/>
      </c>
      <c r="B1402">
        <f>Skills!B15</f>
        <v/>
      </c>
      <c r="C1402">
        <f>Inputs!$B$3&gt;=74</f>
        <v/>
      </c>
      <c r="D1402">
        <f>IF(Skills!C15=1,60+Inputs!$B$25+Inputs!$B$29,IF(Skills!C15=2,90+Inputs!$B$26+Inputs!$B$29,IF(Skills!C15=3,120+Inputs!$B$27+Inputs!$B$29,MAX(0,(Inputs!$B$3-100)*3)+Inputs!$B$28+Inputs!$B$29)))</f>
        <v/>
      </c>
      <c r="E1402">
        <f>INDEX(FactorTable!$B$2:$Y$301, MATCH(ROUND(MIN(300,MAX(1,D1402)),0), FactorTable!$A$2:$A$301,0), Skills!M15+1)</f>
        <v/>
      </c>
      <c r="F1402">
        <f>IF(Skills!N15=TRUE,(Skills!L15/10)*(E1402/1000),Skills!L15/10)+Skills!O15</f>
        <v/>
      </c>
      <c r="G1402">
        <f>Skills!G15*IF(Skills!H15&gt;0,Skills!I15/Skills!H15,1)</f>
        <v/>
      </c>
      <c r="H1402">
        <f>1-(1-Skills!J15/100)^Skills!K15</f>
        <v/>
      </c>
      <c r="I1402" t="inlineStr">
        <is>
          <t>1</t>
        </is>
      </c>
      <c r="J1402" t="inlineStr"/>
      <c r="K1402" t="inlineStr"/>
      <c r="L1402" t="inlineStr"/>
      <c r="M1402" t="inlineStr"/>
      <c r="N1402" t="inlineStr"/>
      <c r="O1402">
        <f>(1-Summary!$B$11)*T1402+Summary!$B$11*V1402</f>
        <v/>
      </c>
      <c r="P1402">
        <f>IF(B1431=0,0,O1402/B1431)</f>
        <v/>
      </c>
      <c r="Q1402" t="n">
        <v>0</v>
      </c>
      <c r="R1402" t="n">
        <v>0</v>
      </c>
      <c r="S1402">
        <f>IFERROR(O1402/N1402,0)</f>
        <v/>
      </c>
      <c r="T1402" t="n">
        <v>0</v>
      </c>
      <c r="V1402" t="n">
        <v>0</v>
      </c>
    </row>
    <row r="1403">
      <c r="A1403">
        <f>Skills!A16</f>
        <v/>
      </c>
      <c r="B1403">
        <f>Skills!B16</f>
        <v/>
      </c>
      <c r="C1403">
        <f>Inputs!$B$3&gt;=117</f>
        <v/>
      </c>
      <c r="D1403">
        <f>IF(Skills!C16=1,60+Inputs!$B$25+Inputs!$B$29,IF(Skills!C16=2,90+Inputs!$B$26+Inputs!$B$29,IF(Skills!C16=3,120+Inputs!$B$27+Inputs!$B$29,MAX(0,(Inputs!$B$3-100)*3)+Inputs!$B$28+Inputs!$B$29)))</f>
        <v/>
      </c>
      <c r="E1403">
        <f>INDEX(FactorTable!$B$2:$Y$301, MATCH(ROUND(MIN(300,MAX(1,D1403)),0), FactorTable!$A$2:$A$301,0), Skills!M16+1)</f>
        <v/>
      </c>
      <c r="F1403">
        <f>IF(Skills!N16=TRUE,(Skills!L16/10)*(E1403/1000),Skills!L16/10)+Skills!O16</f>
        <v/>
      </c>
      <c r="G1403">
        <f>Skills!G16*IF(Skills!H16&gt;0,Skills!I16/Skills!H16,1)</f>
        <v/>
      </c>
      <c r="H1403">
        <f>1-(1-Skills!J16/100)^Skills!K16</f>
        <v/>
      </c>
      <c r="I1403" t="inlineStr">
        <is>
          <t>1</t>
        </is>
      </c>
      <c r="J1403" t="inlineStr"/>
      <c r="K1403" t="inlineStr"/>
      <c r="L1403" t="inlineStr"/>
      <c r="M1403" t="inlineStr"/>
      <c r="N1403" t="inlineStr"/>
      <c r="O1403">
        <f>(1-Summary!$B$11)*T1403+Summary!$B$11*V1403</f>
        <v/>
      </c>
      <c r="P1403">
        <f>IF(B1431=0,0,O1403/B1431)</f>
        <v/>
      </c>
      <c r="Q1403">
        <f>IFERROR(1/(IF(Inputs!$B$38="pvp",15,MAX(0.1,Skills!D16-IF(Skills!E16=TRUE,Inputs!$B$32,0)))*(1-IF(AND(ArtifactsInput!$M$27,Inputs!$B$4="Chapter Hunt"),CHOOSE(ArtifactsInput!$N$27+1,20,24,28,32,36,40),0)/100)),0)</f>
        <v/>
      </c>
      <c r="R1403">
        <f>IF(AND(Inputs!$B$38&lt;&gt;"pvp",Inputs!$B$43&gt;0),IF(Inputs!$B$43&lt;=0,0,(INT(Inputs!$B$43/(IF(Inputs!$B$38="pvp",15,MAX(0.1,Skills!D16-IF(Skills!E16=TRUE,Inputs!$B$32,0)))*(1-IF(AND(ArtifactsInput!$M$27,Inputs!$B$4="Chapter Hunt"),CHOOSE(ArtifactsInput!$N$27+1,20,24,28,32,36,40),0)/100)))+1)),0)</f>
        <v/>
      </c>
      <c r="S1403">
        <f>IFERROR(O1403/N1403,0)</f>
        <v/>
      </c>
      <c r="T1403" t="n">
        <v>0</v>
      </c>
      <c r="V1403" t="n">
        <v>0</v>
      </c>
    </row>
    <row r="1404">
      <c r="A1404">
        <f>Skills!A17</f>
        <v/>
      </c>
      <c r="B1404">
        <f>Skills!B17</f>
        <v/>
      </c>
      <c r="C1404">
        <f>Inputs!$B$3&gt;=115</f>
        <v/>
      </c>
      <c r="D1404">
        <f>IF(Skills!C17=1,60+Inputs!$B$25+Inputs!$B$29,IF(Skills!C17=2,90+Inputs!$B$26+Inputs!$B$29,IF(Skills!C17=3,120+Inputs!$B$27+Inputs!$B$29,MAX(0,(Inputs!$B$3-100)*3)+Inputs!$B$28+Inputs!$B$29)))</f>
        <v/>
      </c>
      <c r="E1404">
        <f>INDEX(FactorTable!$B$2:$Y$301, MATCH(ROUND(MIN(300,MAX(1,D1404)),0), FactorTable!$A$2:$A$301,0), Skills!M17+1)</f>
        <v/>
      </c>
      <c r="F1404">
        <f>IF(Skills!N17=TRUE,(Skills!L17/10)*(E1404/1000),Skills!L17/10)+Skills!O17</f>
        <v/>
      </c>
      <c r="G1404">
        <f>Skills!G17*IF(Skills!H17&gt;0,Skills!I17/Skills!H17,1)</f>
        <v/>
      </c>
      <c r="H1404">
        <f>1-(1-Skills!J17/100)^Skills!K17</f>
        <v/>
      </c>
      <c r="I1404" t="inlineStr">
        <is>
          <t>1</t>
        </is>
      </c>
      <c r="J1404" t="inlineStr"/>
      <c r="K1404" t="inlineStr"/>
      <c r="L1404" t="inlineStr"/>
      <c r="M1404" t="inlineStr"/>
      <c r="N1404" t="inlineStr"/>
      <c r="O1404">
        <f>(1-Summary!$B$11)*T1404+Summary!$B$11*V1404</f>
        <v/>
      </c>
      <c r="P1404">
        <f>IF(B1431=0,0,O1404/B1431)</f>
        <v/>
      </c>
      <c r="Q1404">
        <f>IFERROR(1/(IF(Inputs!$B$38="pvp",15,MAX(0.1,Skills!D17-IF(Skills!E17=TRUE,Inputs!$B$32,0)))*(1-IF(AND(ArtifactsInput!$M$27,Inputs!$B$4="Chapter Hunt"),CHOOSE(ArtifactsInput!$N$27+1,20,24,28,32,36,40),0)/100)),0)</f>
        <v/>
      </c>
      <c r="R1404">
        <f>IF(AND(Inputs!$B$38&lt;&gt;"pvp",Inputs!$B$43&gt;0),IF(Inputs!$B$43&lt;=0,0,(INT(Inputs!$B$43/(IF(Inputs!$B$38="pvp",15,MAX(0.1,Skills!D17-IF(Skills!E17=TRUE,Inputs!$B$32,0)))*(1-IF(AND(ArtifactsInput!$M$27,Inputs!$B$4="Chapter Hunt"),CHOOSE(ArtifactsInput!$N$27+1,20,24,28,32,36,40),0)/100)))+1)),0)</f>
        <v/>
      </c>
      <c r="S1404">
        <f>IFERROR(O1404/N1404,0)</f>
        <v/>
      </c>
      <c r="T1404" t="n">
        <v>0</v>
      </c>
      <c r="V1404" t="n">
        <v>0</v>
      </c>
    </row>
    <row r="1405">
      <c r="A1405">
        <f>Skills!A18</f>
        <v/>
      </c>
      <c r="B1405">
        <f>Skills!B18</f>
        <v/>
      </c>
      <c r="C1405">
        <f>Inputs!$B$3&gt;=66</f>
        <v/>
      </c>
      <c r="D1405">
        <f>IF(Skills!C18=1,60+Inputs!$B$25+Inputs!$B$29,IF(Skills!C18=2,90+Inputs!$B$26+Inputs!$B$29,IF(Skills!C18=3,120+Inputs!$B$27+Inputs!$B$29,MAX(0,(Inputs!$B$3-100)*3)+Inputs!$B$28+Inputs!$B$29)))</f>
        <v/>
      </c>
      <c r="E1405">
        <f>INDEX(FactorTable!$B$2:$Y$301, MATCH(ROUND(MIN(300,MAX(1,D1405)),0), FactorTable!$A$2:$A$301,0), Skills!M18+1)</f>
        <v/>
      </c>
      <c r="F1405">
        <f>IF(Skills!N18=TRUE,(Skills!L18/10)*(E1405/1000),Skills!L18/10)+Skills!O18</f>
        <v/>
      </c>
      <c r="G1405">
        <f>Skills!G18*IF(Skills!H18&gt;0,Skills!I18/Skills!H18,1)</f>
        <v/>
      </c>
      <c r="H1405">
        <f>1-(1-Skills!J18/100)^Skills!K18</f>
        <v/>
      </c>
      <c r="I1405" t="inlineStr">
        <is>
          <t>1</t>
        </is>
      </c>
      <c r="J1405" t="inlineStr"/>
      <c r="K1405" t="inlineStr"/>
      <c r="L1405" t="inlineStr"/>
      <c r="M1405" t="inlineStr"/>
      <c r="N1405" t="inlineStr"/>
      <c r="O1405">
        <f>(1-Summary!$B$11)*T1405+Summary!$B$11*V1405</f>
        <v/>
      </c>
      <c r="P1405">
        <f>IF(B1431=0,0,O1405/B1431)</f>
        <v/>
      </c>
      <c r="Q1405" t="n">
        <v>0</v>
      </c>
      <c r="R1405" t="n">
        <v>0</v>
      </c>
      <c r="S1405">
        <f>IFERROR(O1405/N1405,0)</f>
        <v/>
      </c>
      <c r="T1405" t="n">
        <v>0</v>
      </c>
      <c r="V1405" t="n">
        <v>0</v>
      </c>
    </row>
    <row r="1406">
      <c r="A1406">
        <f>Skills!A19</f>
        <v/>
      </c>
      <c r="B1406">
        <f>Skills!B19</f>
        <v/>
      </c>
      <c r="C1406">
        <f>Inputs!$B$3&gt;=72</f>
        <v/>
      </c>
      <c r="D1406">
        <f>IF(Skills!C19=1,60+Inputs!$B$25+Inputs!$B$29,IF(Skills!C19=2,90+Inputs!$B$26+Inputs!$B$29,IF(Skills!C19=3,120+Inputs!$B$27+Inputs!$B$29,MAX(0,(Inputs!$B$3-100)*3)+Inputs!$B$28+Inputs!$B$29)))</f>
        <v/>
      </c>
      <c r="E1406">
        <f>INDEX(FactorTable!$B$2:$Y$301, MATCH(ROUND(MIN(300,MAX(1,D1406)),0), FactorTable!$A$2:$A$301,0), Skills!M19+1)</f>
        <v/>
      </c>
      <c r="F1406">
        <f>IF(Skills!N19=TRUE,(Skills!L19/10)*(E1406/1000),Skills!L19/10)+Skills!O19</f>
        <v/>
      </c>
      <c r="G1406">
        <f>Skills!G19*IF(Skills!H19&gt;0,Skills!I19/Skills!H19,1)</f>
        <v/>
      </c>
      <c r="H1406">
        <f>1-(1-Skills!J19/100)^Skills!K19</f>
        <v/>
      </c>
      <c r="I1406" t="inlineStr">
        <is>
          <t>1</t>
        </is>
      </c>
      <c r="J1406" t="inlineStr"/>
      <c r="K1406" t="inlineStr"/>
      <c r="L1406" t="inlineStr"/>
      <c r="M1406" t="inlineStr"/>
      <c r="N1406" t="inlineStr"/>
      <c r="O1406">
        <f>(1-Summary!$B$11)*T1406+Summary!$B$11*V1406</f>
        <v/>
      </c>
      <c r="P1406">
        <f>IF(B1431=0,0,O1406/B1431)</f>
        <v/>
      </c>
      <c r="Q1406" t="n">
        <v>0</v>
      </c>
      <c r="R1406" t="n">
        <v>0</v>
      </c>
      <c r="S1406">
        <f>IFERROR(O1406/N1406,0)</f>
        <v/>
      </c>
      <c r="T1406" t="n">
        <v>0</v>
      </c>
      <c r="V1406" t="n">
        <v>0</v>
      </c>
    </row>
    <row r="1407">
      <c r="A1407">
        <f>Skills!A20</f>
        <v/>
      </c>
      <c r="B1407">
        <f>Skills!B20</f>
        <v/>
      </c>
      <c r="C1407">
        <f>TRUE</f>
        <v/>
      </c>
      <c r="D1407">
        <f>IF(Skills!C20=1,60+Inputs!$B$25+Inputs!$B$29,IF(Skills!C20=2,90+Inputs!$B$26+Inputs!$B$29,IF(Skills!C20=3,120+Inputs!$B$27+Inputs!$B$29,MAX(0,(Inputs!$B$3-100)*3)+Inputs!$B$28+Inputs!$B$29)))</f>
        <v/>
      </c>
      <c r="E1407">
        <f>INDEX(FactorTable!$B$2:$Y$301, MATCH(ROUND(MIN(300,MAX(1,D1407)),0), FactorTable!$A$2:$A$301,0), Skills!M20+1)</f>
        <v/>
      </c>
      <c r="F1407">
        <f>IF(Skills!N20=TRUE,(Skills!L20/10)*(E1407/1000),Skills!L20/10)+Skills!O20</f>
        <v/>
      </c>
      <c r="G1407">
        <f>Skills!G20*IF(Skills!H20&gt;0,Skills!I20/Skills!H20,1)</f>
        <v/>
      </c>
      <c r="H1407">
        <f>1-(1-Skills!J20/100)^Skills!K20</f>
        <v/>
      </c>
      <c r="I1407" t="inlineStr">
        <is>
          <t>1</t>
        </is>
      </c>
      <c r="J1407" t="inlineStr"/>
      <c r="K1407" t="inlineStr"/>
      <c r="L1407" t="inlineStr"/>
      <c r="M1407" t="inlineStr"/>
      <c r="N1407" t="inlineStr"/>
      <c r="O1407">
        <f>(1-Summary!$B$11)*T1407+Summary!$B$11*V1407</f>
        <v/>
      </c>
      <c r="P1407">
        <f>IF(B1431=0,0,O1407/B1431)</f>
        <v/>
      </c>
      <c r="Q1407">
        <f>IFERROR(1/(IF(Inputs!$B$38="pvp",15,MAX(0.1,Skills!D20-IF(Skills!E20=TRUE,Inputs!$B$32,0)))*(1-IF(AND(ArtifactsInput!$M$27,Inputs!$B$4="Chapter Hunt"),CHOOSE(ArtifactsInput!$N$27+1,20,24,28,32,36,40),0)/100)),0)</f>
        <v/>
      </c>
      <c r="R1407">
        <f>IF(AND(Inputs!$B$38&lt;&gt;"pvp",Inputs!$B$43&gt;0),IF(Inputs!$B$43&lt;=0,0,(INT(Inputs!$B$43/(IF(Inputs!$B$38="pvp",15,MAX(0.1,Skills!D20-IF(Skills!E20=TRUE,Inputs!$B$32,0)))*(1-IF(AND(ArtifactsInput!$M$27,Inputs!$B$4="Chapter Hunt"),CHOOSE(ArtifactsInput!$N$27+1,20,24,28,32,36,40),0)/100)))+1)),0)</f>
        <v/>
      </c>
      <c r="S1407">
        <f>IFERROR(O1407/N1407,0)</f>
        <v/>
      </c>
      <c r="T1407" t="n">
        <v>0</v>
      </c>
      <c r="V1407" t="n">
        <v>0</v>
      </c>
    </row>
    <row r="1408">
      <c r="A1408">
        <f>Skills!A21</f>
        <v/>
      </c>
      <c r="B1408">
        <f>Skills!B21</f>
        <v/>
      </c>
      <c r="C1408">
        <f>Inputs!$B$3&gt;=15</f>
        <v/>
      </c>
      <c r="D1408">
        <f>IF(Skills!C21=1,60+Inputs!$B$25+Inputs!$B$29,IF(Skills!C21=2,90+Inputs!$B$26+Inputs!$B$29,IF(Skills!C21=3,120+Inputs!$B$27+Inputs!$B$29,MAX(0,(Inputs!$B$3-100)*3)+Inputs!$B$28+Inputs!$B$29)))</f>
        <v/>
      </c>
      <c r="E1408">
        <f>INDEX(FactorTable!$B$2:$Y$301, MATCH(ROUND(MIN(300,MAX(1,D1408)),0), FactorTable!$A$2:$A$301,0), Skills!M21+1)</f>
        <v/>
      </c>
      <c r="F1408">
        <f>IF(Skills!N21=TRUE,(Skills!L21/10)*(E1408/1000),Skills!L21/10)+Skills!O21</f>
        <v/>
      </c>
      <c r="G1408">
        <f>Skills!G21*IF(Skills!H21&gt;0,Skills!I21/Skills!H21,1)</f>
        <v/>
      </c>
      <c r="H1408">
        <f>1-(1-Skills!J21/100)^Skills!K21</f>
        <v/>
      </c>
      <c r="I1408" t="inlineStr">
        <is>
          <t>1</t>
        </is>
      </c>
      <c r="J1408" t="inlineStr"/>
      <c r="K1408" t="inlineStr"/>
      <c r="L1408" t="inlineStr"/>
      <c r="M1408" t="inlineStr"/>
      <c r="N1408" t="inlineStr"/>
      <c r="O1408">
        <f>(1-Summary!$B$11)*T1408+Summary!$B$11*V1408</f>
        <v/>
      </c>
      <c r="P1408">
        <f>IF(B1431=0,0,O1408/B1431)</f>
        <v/>
      </c>
      <c r="Q1408" t="n">
        <v>0</v>
      </c>
      <c r="R1408" t="n">
        <v>0</v>
      </c>
      <c r="S1408">
        <f>IFERROR(O1408/N1408,0)</f>
        <v/>
      </c>
      <c r="T1408" t="n">
        <v>0</v>
      </c>
      <c r="V1408" t="n">
        <v>0</v>
      </c>
    </row>
    <row r="1409">
      <c r="A1409">
        <f>Skills!A22</f>
        <v/>
      </c>
      <c r="B1409">
        <f>Skills!B22</f>
        <v/>
      </c>
      <c r="C1409">
        <f>Inputs!$B$3&gt;=10</f>
        <v/>
      </c>
      <c r="D1409">
        <f>IF(Skills!C22=1,60+Inputs!$B$25+Inputs!$B$29,IF(Skills!C22=2,90+Inputs!$B$26+Inputs!$B$29,IF(Skills!C22=3,120+Inputs!$B$27+Inputs!$B$29,MAX(0,(Inputs!$B$3-100)*3)+Inputs!$B$28+Inputs!$B$29)))</f>
        <v/>
      </c>
      <c r="E1409">
        <f>INDEX(FactorTable!$B$2:$Y$301, MATCH(ROUND(MIN(300,MAX(1,D1409)),0), FactorTable!$A$2:$A$301,0), Skills!M22+1)</f>
        <v/>
      </c>
      <c r="F1409">
        <f>IF(Skills!N22=TRUE,(Skills!L22/10)*(E1409/1000),Skills!L22/10)+Skills!O22</f>
        <v/>
      </c>
      <c r="G1409">
        <f>Skills!G22*IF(Skills!H22&gt;0,Skills!I22/Skills!H22,1)</f>
        <v/>
      </c>
      <c r="H1409">
        <f>1-(1-Skills!J22/100)^Skills!K22</f>
        <v/>
      </c>
      <c r="I1409" t="inlineStr">
        <is>
          <t>1</t>
        </is>
      </c>
      <c r="J1409" t="inlineStr"/>
      <c r="K1409" t="inlineStr"/>
      <c r="L1409" t="inlineStr"/>
      <c r="M1409" t="inlineStr"/>
      <c r="N1409" t="inlineStr"/>
      <c r="O1409">
        <f>(1-Summary!$B$11)*T1409+Summary!$B$11*V1409</f>
        <v/>
      </c>
      <c r="P1409">
        <f>IF(B1431=0,0,O1409/B1431)</f>
        <v/>
      </c>
      <c r="Q1409" t="n">
        <v>0</v>
      </c>
      <c r="R1409" t="n">
        <v>0</v>
      </c>
      <c r="S1409">
        <f>IFERROR(O1409/N1409,0)</f>
        <v/>
      </c>
      <c r="T1409" t="n">
        <v>0</v>
      </c>
      <c r="V1409" t="n">
        <v>0</v>
      </c>
    </row>
    <row r="1410">
      <c r="A1410">
        <f>Skills!A23</f>
        <v/>
      </c>
      <c r="B1410">
        <f>Skills!B23</f>
        <v/>
      </c>
      <c r="C1410">
        <f>Inputs!$B$3&gt;=33</f>
        <v/>
      </c>
      <c r="D1410">
        <f>IF(Skills!C23=1,60+Inputs!$B$25+Inputs!$B$29,IF(Skills!C23=2,90+Inputs!$B$26+Inputs!$B$29,IF(Skills!C23=3,120+Inputs!$B$27+Inputs!$B$29,MAX(0,(Inputs!$B$3-100)*3)+Inputs!$B$28+Inputs!$B$29)))</f>
        <v/>
      </c>
      <c r="E1410">
        <f>INDEX(FactorTable!$B$2:$Y$301, MATCH(ROUND(MIN(300,MAX(1,D1410)),0), FactorTable!$A$2:$A$301,0), Skills!M23+1)</f>
        <v/>
      </c>
      <c r="F1410">
        <f>IF(Skills!N23=TRUE,(Skills!L23/10)*(E1410/1000),Skills!L23/10)+Skills!O23</f>
        <v/>
      </c>
      <c r="G1410">
        <f>Skills!G23*IF(Skills!H23&gt;0,Skills!I23/Skills!H23,1)</f>
        <v/>
      </c>
      <c r="H1410">
        <f>1-(1-Skills!J23/100)^Skills!K23</f>
        <v/>
      </c>
      <c r="I1410" t="inlineStr">
        <is>
          <t>1</t>
        </is>
      </c>
      <c r="J1410" t="inlineStr"/>
      <c r="K1410" t="inlineStr"/>
      <c r="L1410" t="inlineStr"/>
      <c r="M1410" t="inlineStr"/>
      <c r="N1410" t="inlineStr"/>
      <c r="O1410">
        <f>(1-Summary!$B$11)*T1410+Summary!$B$11*V1410</f>
        <v/>
      </c>
      <c r="P1410">
        <f>IF(B1431=0,0,O1410/B1431)</f>
        <v/>
      </c>
      <c r="Q1410" t="n">
        <v>0</v>
      </c>
      <c r="R1410" t="n">
        <v>0</v>
      </c>
      <c r="S1410">
        <f>IFERROR(O1410/N1410,0)</f>
        <v/>
      </c>
      <c r="T1410" t="n">
        <v>0</v>
      </c>
      <c r="V1410" t="n">
        <v>0</v>
      </c>
    </row>
    <row r="1411">
      <c r="A1411">
        <f>Skills!A24</f>
        <v/>
      </c>
      <c r="B1411">
        <f>Skills!B24</f>
        <v/>
      </c>
      <c r="C1411">
        <f>Inputs!$B$3&gt;=38</f>
        <v/>
      </c>
      <c r="D1411">
        <f>IF(Skills!C24=1,60+Inputs!$B$25+Inputs!$B$29,IF(Skills!C24=2,90+Inputs!$B$26+Inputs!$B$29,IF(Skills!C24=3,120+Inputs!$B$27+Inputs!$B$29,MAX(0,(Inputs!$B$3-100)*3)+Inputs!$B$28+Inputs!$B$29)))</f>
        <v/>
      </c>
      <c r="E1411">
        <f>INDEX(FactorTable!$B$2:$Y$301, MATCH(ROUND(MIN(300,MAX(1,D1411)),0), FactorTable!$A$2:$A$301,0), Skills!M24+1)</f>
        <v/>
      </c>
      <c r="F1411">
        <f>IF(Skills!N24=TRUE,(Skills!L24/10)*(E1411/1000),Skills!L24/10)+Skills!O24</f>
        <v/>
      </c>
      <c r="G1411">
        <f>Skills!G24*IF(Skills!H24&gt;0,Skills!I24/Skills!H24,1)</f>
        <v/>
      </c>
      <c r="H1411">
        <f>1-(1-Skills!J24/100)^Skills!K24</f>
        <v/>
      </c>
      <c r="I1411" t="inlineStr">
        <is>
          <t>1</t>
        </is>
      </c>
      <c r="J1411" t="inlineStr"/>
      <c r="K1411" t="inlineStr"/>
      <c r="L1411" t="inlineStr"/>
      <c r="M1411" t="inlineStr"/>
      <c r="N1411" t="inlineStr"/>
      <c r="O1411">
        <f>(1-Summary!$B$11)*T1411+Summary!$B$11*V1411</f>
        <v/>
      </c>
      <c r="P1411">
        <f>IF(B1431=0,0,O1411/B1431)</f>
        <v/>
      </c>
      <c r="Q1411" t="n">
        <v>0</v>
      </c>
      <c r="R1411" t="n">
        <v>0</v>
      </c>
      <c r="S1411">
        <f>IFERROR(O1411/N1411,0)</f>
        <v/>
      </c>
      <c r="T1411" t="n">
        <v>0</v>
      </c>
      <c r="V1411" t="n">
        <v>0</v>
      </c>
    </row>
    <row r="1412">
      <c r="A1412">
        <f>Skills!A25</f>
        <v/>
      </c>
      <c r="B1412">
        <f>Skills!B25</f>
        <v/>
      </c>
      <c r="C1412">
        <f>Inputs!$B$3&gt;=43</f>
        <v/>
      </c>
      <c r="D1412">
        <f>IF(Skills!C25=1,60+Inputs!$B$25+Inputs!$B$29,IF(Skills!C25=2,90+Inputs!$B$26+Inputs!$B$29,IF(Skills!C25=3,120+Inputs!$B$27+Inputs!$B$29,MAX(0,(Inputs!$B$3-100)*3)+Inputs!$B$28+Inputs!$B$29)))</f>
        <v/>
      </c>
      <c r="E1412">
        <f>INDEX(FactorTable!$B$2:$Y$301, MATCH(ROUND(MIN(300,MAX(1,D1412)),0), FactorTable!$A$2:$A$301,0), Skills!M25+1)</f>
        <v/>
      </c>
      <c r="F1412">
        <f>IF(Skills!N25=TRUE,(Skills!L25/10)*(E1412/1000),Skills!L25/10)+Skills!O25</f>
        <v/>
      </c>
      <c r="G1412">
        <f>Skills!G25*IF(Skills!H25&gt;0,Skills!I25/Skills!H25,1)</f>
        <v/>
      </c>
      <c r="H1412">
        <f>1-(1-Skills!J25/100)^Skills!K25</f>
        <v/>
      </c>
      <c r="I1412" t="inlineStr">
        <is>
          <t>1</t>
        </is>
      </c>
      <c r="J1412" t="inlineStr"/>
      <c r="K1412" t="inlineStr"/>
      <c r="L1412" t="inlineStr"/>
      <c r="M1412" t="inlineStr"/>
      <c r="N1412" t="inlineStr"/>
      <c r="O1412">
        <f>(1-Summary!$B$11)*T1412+Summary!$B$11*V1412</f>
        <v/>
      </c>
      <c r="P1412">
        <f>IF(B1431=0,0,O1412/B1431)</f>
        <v/>
      </c>
      <c r="Q1412" t="n">
        <v>0</v>
      </c>
      <c r="R1412" t="n">
        <v>0</v>
      </c>
      <c r="S1412">
        <f>IFERROR(O1412/N1412,0)</f>
        <v/>
      </c>
      <c r="T1412" t="n">
        <v>0</v>
      </c>
      <c r="V1412" t="n">
        <v>0</v>
      </c>
    </row>
    <row r="1413">
      <c r="A1413">
        <f>Skills!A26</f>
        <v/>
      </c>
      <c r="B1413">
        <f>Skills!B26</f>
        <v/>
      </c>
      <c r="C1413">
        <f>Inputs!$B$3&gt;=75</f>
        <v/>
      </c>
      <c r="D1413">
        <f>IF(Skills!C26=1,60+Inputs!$B$25+Inputs!$B$29,IF(Skills!C26=2,90+Inputs!$B$26+Inputs!$B$29,IF(Skills!C26=3,120+Inputs!$B$27+Inputs!$B$29,MAX(0,(Inputs!$B$3-100)*3)+Inputs!$B$28+Inputs!$B$29)))</f>
        <v/>
      </c>
      <c r="E1413">
        <f>INDEX(FactorTable!$B$2:$Y$301, MATCH(ROUND(MIN(300,MAX(1,D1413)),0), FactorTable!$A$2:$A$301,0), Skills!M26+1)</f>
        <v/>
      </c>
      <c r="F1413">
        <f>IF(Skills!N26=TRUE,(Skills!L26/10)*(E1413/1000),Skills!L26/10)+Skills!O26</f>
        <v/>
      </c>
      <c r="G1413">
        <f>Skills!G26*IF(Skills!H26&gt;0,Skills!I26/Skills!H26,1)</f>
        <v/>
      </c>
      <c r="H1413">
        <f>1-(1-Skills!J26/100)^Skills!K26</f>
        <v/>
      </c>
      <c r="I1413" t="inlineStr">
        <is>
          <t>1</t>
        </is>
      </c>
      <c r="J1413" t="inlineStr"/>
      <c r="K1413" t="inlineStr"/>
      <c r="L1413" t="inlineStr"/>
      <c r="M1413" t="inlineStr"/>
      <c r="N1413" t="inlineStr"/>
      <c r="O1413">
        <f>(1-Summary!$B$11)*T1413+Summary!$B$11*V1413</f>
        <v/>
      </c>
      <c r="P1413">
        <f>IF(B1431=0,0,O1413/B1431)</f>
        <v/>
      </c>
      <c r="Q1413" t="n">
        <v>0</v>
      </c>
      <c r="R1413" t="n">
        <v>0</v>
      </c>
      <c r="S1413">
        <f>IFERROR(O1413/N1413,0)</f>
        <v/>
      </c>
      <c r="T1413" t="n">
        <v>0</v>
      </c>
      <c r="V1413" t="n">
        <v>0</v>
      </c>
    </row>
    <row r="1414">
      <c r="A1414">
        <f>Skills!A27</f>
        <v/>
      </c>
      <c r="B1414">
        <f>Skills!B27</f>
        <v/>
      </c>
      <c r="C1414">
        <f>Inputs!$B$3&gt;=125</f>
        <v/>
      </c>
      <c r="D1414">
        <f>IF(Skills!C27=1,60+Inputs!$B$25+Inputs!$B$29,IF(Skills!C27=2,90+Inputs!$B$26+Inputs!$B$29,IF(Skills!C27=3,120+Inputs!$B$27+Inputs!$B$29,MAX(0,(Inputs!$B$3-100)*3)+Inputs!$B$28+Inputs!$B$29)))</f>
        <v/>
      </c>
      <c r="E1414">
        <f>INDEX(FactorTable!$B$2:$Y$301, MATCH(ROUND(MIN(300,MAX(1,D1414)),0), FactorTable!$A$2:$A$301,0), Skills!M27+1)</f>
        <v/>
      </c>
      <c r="F1414">
        <f>IF(Skills!N27=TRUE,(Skills!L27/10)*(E1414/1000),Skills!L27/10)+Skills!O27</f>
        <v/>
      </c>
      <c r="G1414">
        <f>Skills!G27*IF(Skills!H27&gt;0,Skills!I27/Skills!H27,1)</f>
        <v/>
      </c>
      <c r="H1414">
        <f>1-(1-Skills!J27/100)^Skills!K27</f>
        <v/>
      </c>
      <c r="I1414" t="inlineStr">
        <is>
          <t>1</t>
        </is>
      </c>
      <c r="J1414" t="inlineStr"/>
      <c r="K1414" t="inlineStr"/>
      <c r="L1414" t="inlineStr"/>
      <c r="M1414" t="inlineStr"/>
      <c r="N1414" t="inlineStr"/>
      <c r="O1414">
        <f>(1-Summary!$B$11)*T1414+Summary!$B$11*V1414</f>
        <v/>
      </c>
      <c r="P1414">
        <f>IF(B1431=0,0,O1414/B1431)</f>
        <v/>
      </c>
      <c r="Q1414" t="n">
        <v>0</v>
      </c>
      <c r="R1414" t="n">
        <v>0</v>
      </c>
      <c r="S1414">
        <f>IFERROR(O1414/N1414,0)</f>
        <v/>
      </c>
      <c r="T1414" t="n">
        <v>0</v>
      </c>
      <c r="V1414" t="n">
        <v>0</v>
      </c>
    </row>
    <row r="1415">
      <c r="A1415">
        <f>Skills!A28</f>
        <v/>
      </c>
      <c r="B1415">
        <f>Skills!B28</f>
        <v/>
      </c>
      <c r="C1415">
        <f>Inputs!$B$3&gt;=125</f>
        <v/>
      </c>
      <c r="D1415">
        <f>IF(Skills!C28=1,60+Inputs!$B$25+Inputs!$B$29,IF(Skills!C28=2,90+Inputs!$B$26+Inputs!$B$29,IF(Skills!C28=3,120+Inputs!$B$27+Inputs!$B$29,MAX(0,(Inputs!$B$3-100)*3)+Inputs!$B$28+Inputs!$B$29)))</f>
        <v/>
      </c>
      <c r="E1415">
        <f>INDEX(FactorTable!$B$2:$Y$301, MATCH(ROUND(MIN(300,MAX(1,D1415)),0), FactorTable!$A$2:$A$301,0), Skills!M28+1)</f>
        <v/>
      </c>
      <c r="F1415">
        <f>IF(Skills!N28=TRUE,(Skills!L28/10)*(E1415/1000),Skills!L28/10)+Skills!O28</f>
        <v/>
      </c>
      <c r="G1415">
        <f>Skills!G28*IF(Skills!H28&gt;0,Skills!I28/Skills!H28,1)</f>
        <v/>
      </c>
      <c r="H1415">
        <f>1-(1-Skills!J28/100)^Skills!K28</f>
        <v/>
      </c>
      <c r="I1415" t="inlineStr">
        <is>
          <t>1</t>
        </is>
      </c>
      <c r="J1415" t="inlineStr"/>
      <c r="K1415" t="inlineStr"/>
      <c r="L1415" t="inlineStr"/>
      <c r="M1415" t="inlineStr"/>
      <c r="N1415" t="inlineStr"/>
      <c r="O1415">
        <f>(1-Summary!$B$11)*T1415+Summary!$B$11*V1415</f>
        <v/>
      </c>
      <c r="P1415">
        <f>IF(B1431=0,0,O1415/B1431)</f>
        <v/>
      </c>
      <c r="Q1415" t="n">
        <v>0</v>
      </c>
      <c r="R1415" t="n">
        <v>0</v>
      </c>
      <c r="S1415">
        <f>IFERROR(O1415/N1415,0)</f>
        <v/>
      </c>
      <c r="T1415" t="n">
        <v>0</v>
      </c>
      <c r="V1415" t="n">
        <v>0</v>
      </c>
    </row>
    <row r="1416">
      <c r="A1416">
        <f>Skills!A29</f>
        <v/>
      </c>
      <c r="B1416">
        <f>Skills!B29</f>
        <v/>
      </c>
      <c r="C1416">
        <f>Inputs!$B$3&gt;=120</f>
        <v/>
      </c>
      <c r="D1416">
        <f>IF(Skills!C29=1,60+Inputs!$B$25+Inputs!$B$29,IF(Skills!C29=2,90+Inputs!$B$26+Inputs!$B$29,IF(Skills!C29=3,120+Inputs!$B$27+Inputs!$B$29,MAX(0,(Inputs!$B$3-100)*3)+Inputs!$B$28+Inputs!$B$29)))</f>
        <v/>
      </c>
      <c r="E1416">
        <f>INDEX(FactorTable!$B$2:$Y$301, MATCH(ROUND(MIN(300,MAX(1,D1416)),0), FactorTable!$A$2:$A$301,0), Skills!M29+1)</f>
        <v/>
      </c>
      <c r="F1416">
        <f>IF(Skills!N29=TRUE,(Skills!L29/10)*(E1416/1000),Skills!L29/10)+Skills!O29</f>
        <v/>
      </c>
      <c r="G1416">
        <f>Skills!G29*IF(Skills!H29&gt;0,Skills!I29/Skills!H29,1)</f>
        <v/>
      </c>
      <c r="H1416">
        <f>1-(1-Skills!J29/100)^Skills!K29</f>
        <v/>
      </c>
      <c r="I1416" t="inlineStr">
        <is>
          <t>1</t>
        </is>
      </c>
      <c r="J1416" t="inlineStr"/>
      <c r="K1416" t="inlineStr"/>
      <c r="L1416" t="inlineStr"/>
      <c r="M1416" t="inlineStr"/>
      <c r="N1416" t="inlineStr"/>
      <c r="O1416">
        <f>(1-Summary!$B$11)*T1416+Summary!$B$11*V1416</f>
        <v/>
      </c>
      <c r="P1416">
        <f>IF(B1431=0,0,O1416/B1431)</f>
        <v/>
      </c>
      <c r="Q1416" t="n">
        <v>0</v>
      </c>
      <c r="R1416" t="n">
        <v>0</v>
      </c>
      <c r="S1416">
        <f>IFERROR(O1416/N1416,0)</f>
        <v/>
      </c>
      <c r="T1416" t="n">
        <v>0</v>
      </c>
      <c r="V1416" t="n">
        <v>0</v>
      </c>
    </row>
    <row r="1417">
      <c r="A1417">
        <f>Skills!A30</f>
        <v/>
      </c>
      <c r="B1417">
        <f>Skills!B30</f>
        <v/>
      </c>
      <c r="C1417">
        <f>Inputs!$B$3&gt;=120</f>
        <v/>
      </c>
      <c r="D1417">
        <f>IF(Skills!C30=1,60+Inputs!$B$25+Inputs!$B$29,IF(Skills!C30=2,90+Inputs!$B$26+Inputs!$B$29,IF(Skills!C30=3,120+Inputs!$B$27+Inputs!$B$29,MAX(0,(Inputs!$B$3-100)*3)+Inputs!$B$28+Inputs!$B$29)))</f>
        <v/>
      </c>
      <c r="E1417">
        <f>INDEX(FactorTable!$B$2:$Y$301, MATCH(ROUND(MIN(300,MAX(1,D1417)),0), FactorTable!$A$2:$A$301,0), Skills!M30+1)</f>
        <v/>
      </c>
      <c r="F1417">
        <f>IF(Skills!N30=TRUE,(Skills!L30/10)*(E1417/1000),Skills!L30/10)+Skills!O30</f>
        <v/>
      </c>
      <c r="G1417">
        <f>Skills!G30*IF(Skills!H30&gt;0,Skills!I30/Skills!H30,1)</f>
        <v/>
      </c>
      <c r="H1417">
        <f>1-(1-Skills!J30/100)^Skills!K30</f>
        <v/>
      </c>
      <c r="I1417" t="inlineStr">
        <is>
          <t>1</t>
        </is>
      </c>
      <c r="J1417" t="inlineStr"/>
      <c r="K1417" t="inlineStr"/>
      <c r="L1417" t="inlineStr"/>
      <c r="M1417" t="inlineStr"/>
      <c r="N1417" t="inlineStr"/>
      <c r="O1417">
        <f>(1-Summary!$B$11)*T1417+Summary!$B$11*V1417</f>
        <v/>
      </c>
      <c r="P1417">
        <f>IF(B1431=0,0,O1417/B1431)</f>
        <v/>
      </c>
      <c r="Q1417" t="n">
        <v>0</v>
      </c>
      <c r="R1417" t="n">
        <v>0</v>
      </c>
      <c r="S1417">
        <f>IFERROR(O1417/N1417,0)</f>
        <v/>
      </c>
      <c r="T1417" t="n">
        <v>0</v>
      </c>
      <c r="V1417" t="n">
        <v>0</v>
      </c>
    </row>
    <row r="1418">
      <c r="A1418">
        <f>Skills!A31</f>
        <v/>
      </c>
      <c r="B1418">
        <f>Skills!B31</f>
        <v/>
      </c>
      <c r="C1418">
        <f>Inputs!$B$3&gt;=45</f>
        <v/>
      </c>
      <c r="D1418">
        <f>IF(Skills!C31=1,60+Inputs!$B$25+Inputs!$B$29,IF(Skills!C31=2,90+Inputs!$B$26+Inputs!$B$29,IF(Skills!C31=3,120+Inputs!$B$27+Inputs!$B$29,MAX(0,(Inputs!$B$3-100)*3)+Inputs!$B$28+Inputs!$B$29)))</f>
        <v/>
      </c>
      <c r="E1418">
        <f>INDEX(FactorTable!$B$2:$Y$301, MATCH(ROUND(MIN(300,MAX(1,D1418)),0), FactorTable!$A$2:$A$301,0), Skills!M31+1)</f>
        <v/>
      </c>
      <c r="F1418">
        <f>IF(Skills!N31=TRUE,(Skills!L31/10)*(E1418/1000),Skills!L31/10)+Skills!O31</f>
        <v/>
      </c>
      <c r="G1418">
        <f>Skills!G31*IF(Skills!H31&gt;0,Skills!I31/Skills!H31,1)</f>
        <v/>
      </c>
      <c r="H1418">
        <f>1-(1-Skills!J31/100)^Skills!K31</f>
        <v/>
      </c>
      <c r="I1418" t="inlineStr">
        <is>
          <t>1</t>
        </is>
      </c>
      <c r="J1418" t="inlineStr"/>
      <c r="K1418" t="inlineStr"/>
      <c r="L1418" t="inlineStr"/>
      <c r="M1418" t="inlineStr"/>
      <c r="N1418" t="inlineStr"/>
      <c r="O1418">
        <f>(1-Summary!$B$11)*T1418+Summary!$B$11*V1418</f>
        <v/>
      </c>
      <c r="P1418">
        <f>IF(B1431=0,0,O1418/B1431)</f>
        <v/>
      </c>
      <c r="Q1418" t="n">
        <v>0</v>
      </c>
      <c r="R1418" t="n">
        <v>0</v>
      </c>
      <c r="S1418">
        <f>IFERROR(O1418/N1418,0)</f>
        <v/>
      </c>
      <c r="T1418" t="n">
        <v>0</v>
      </c>
      <c r="V1418" t="n">
        <v>0</v>
      </c>
    </row>
    <row r="1420">
      <c r="A1420" t="inlineStr">
        <is>
          <t>Attack% Bucket Multiplier</t>
        </is>
      </c>
      <c r="B1420">
        <f>(1+(((C1401=TRUE)*F1401)+((C1402=TRUE)*IF(Inputs!$B$38="pvp",F1402,(1-Summary!$B$11)*(F1402)+Summary!$B$11*(0)))+((C1403=TRUE)*F1403*IF(AND(Inputs!$B$38&lt;&gt;"pvp",Inputs!$B$43&gt;0),(((R1403-1)*(Skills!T16*(1+Inputs!$B$34/100))+MIN((Skills!T16*(1+Inputs!$B$34/100)),MAX(0,Inputs!$B$43-((R1403-1)*Skills!D16))))/Inputs!$B$43),IF(Inputs!$B$38="pvp",MIN((Skills!T16*(1+Inputs!$B$34/100)),15)/15,(Skills!T16*(1+Inputs!$B$34/100))/Skills!D16)))+((C1418=TRUE)*(F1418-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21">
      <c r="A1421" t="inlineStr">
        <is>
          <t>Global Crit Rate Bonus %</t>
        </is>
      </c>
      <c r="B1421">
        <f>(C1404=TRUE)*20*IF(AND(Inputs!$B$38&lt;&gt;"pvp",Inputs!$B$43&gt;0),(((R1404-1)*(Skills!T17*(1+Inputs!$B$34/100))+MIN((Skills!T17*(1+Inputs!$B$34/100)),MAX(0,Inputs!$B$43-((R1404-1)*Skills!D17))))/Inputs!$B$43),IF(Inputs!$B$38="pvp",MIN((Skills!T17*(1+Inputs!$B$34/100)),15)/15,(Skills!T17*(1+Inputs!$B$34/100))/Skills!D17))</f>
        <v/>
      </c>
    </row>
    <row r="1422">
      <c r="A1422" t="inlineStr">
        <is>
          <t>Attack Speed Buff Bonus %</t>
        </is>
      </c>
      <c r="B1422">
        <f>((C1407=TRUE)*F1407*IF(AND(Inputs!$B$38&lt;&gt;"pvp",Inputs!$B$43&gt;0),(((R1407-1)*(Skills!T20*(1+Inputs!$B$34/100))+MIN((Skills!T20*(1+Inputs!$B$34/100)),MAX(0,Inputs!$B$43-((R1407-1)*Skills!D20))))/Inputs!$B$43),IF(Inputs!$B$38="pvp",MIN((Skills!T20*(1+Inputs!$B$34/100)),15)/15,(Skills!T20*(1+Inputs!$B$34/100))/Skills!D20)))</f>
        <v/>
      </c>
    </row>
    <row r="1423">
      <c r="A1423" t="inlineStr">
        <is>
          <t>Actions Per Second</t>
        </is>
      </c>
      <c r="B1423">
        <f>1+MIN(150,150*(1-(1-(Inputs!$B$11+((C1409=TRUE)*(F1409-Calc!F22))+((C1410=TRUE)*(F1410-Calc!F23)))/150)*(1-B1422/150)))/100</f>
        <v/>
      </c>
    </row>
    <row r="1424">
      <c r="A1424" t="inlineStr">
        <is>
          <t>Skill + Buff Cast Rate</t>
        </is>
      </c>
      <c r="B1424">
        <f>IF(AND(Inputs!$B$38&lt;&gt;"pvp",Inputs!$B$43&gt;0),SUMPRODUCT((Skills!E2:E31=TRUE)*(C1389:C1418=TRUE)*R1389:R1418*Skills!F2:F31)/Inputs!$B$43,SUMPRODUCT((Skills!E2:E31=TRUE)*(C1389:C1418=TRUE)*Q1389:Q1418*Skills!F2:F31))</f>
        <v/>
      </c>
    </row>
    <row r="1425">
      <c r="A1425" t="inlineStr">
        <is>
          <t>Arrow Stream Casts Per Second</t>
        </is>
      </c>
      <c r="B1425">
        <f>MAX(0,B1423-B1424)</f>
        <v/>
      </c>
    </row>
    <row r="1426">
      <c r="A1426" t="inlineStr">
        <is>
          <t>Global Critical Damage Bonus % (Sharp Eyes + Concentration)</t>
        </is>
      </c>
      <c r="B1426">
        <f>(C1404=TRUE)*F1404*IF(AND(Inputs!$B$38&lt;&gt;"pvp",Inputs!$B$43&gt;0),(((R1404-1)*(Skills!T17*(1+Inputs!$B$34/100))+MIN((Skills!T17*(1+Inputs!$B$34/100)),MAX(0,Inputs!$B$43-((R1404-1)*Skills!D17))))/Inputs!$B$43),IF(Inputs!$B$38="pvp",MIN((Skills!T17*(1+Inputs!$B$34/100)),15)/15,(Skills!T17*(1+Inputs!$B$34/100))/Skills!D17))+(C1405=TRUE)*30</f>
        <v/>
      </c>
    </row>
    <row r="1427">
      <c r="A1427" t="inlineStr">
        <is>
          <t>Global Final Damage Bonus % (Mortal Blow)</t>
        </is>
      </c>
      <c r="B1427">
        <f>(C1406=TRUE)*F1406</f>
        <v/>
      </c>
    </row>
    <row r="1428">
      <c r="A1428" t="inlineStr">
        <is>
          <t>Buff-Casting Startup Delay (s, fixed-duration only)</t>
        </is>
      </c>
      <c r="B1428">
        <f>IF(AND(Inputs!$B$38&lt;&gt;"pvp",Inputs!$B$43&gt;0),SUMPRODUCT((Skills!T2:T31&gt;0)*(Skills!E2:E31=TRUE)*(C1389:C1418=TRUE))/B1423,0)</f>
        <v/>
      </c>
    </row>
    <row r="1429">
      <c r="A1429" t="inlineStr">
        <is>
          <t>Boss-Only Total DPS (this block's swept value)</t>
        </is>
      </c>
      <c r="B1429">
        <f>SUM(T1389:T1418)</f>
        <v/>
      </c>
    </row>
    <row r="1430">
      <c r="A1430" t="inlineStr">
        <is>
          <t>Normal-Only Total DPS (this block's swept value)</t>
        </is>
      </c>
      <c r="B1430">
        <f>SUM(V1389:V1418)</f>
        <v/>
      </c>
    </row>
    <row r="1431">
      <c r="A1431" s="6" t="inlineStr">
        <is>
          <t>TOTAL DPS</t>
        </is>
      </c>
      <c r="B1431" s="6">
        <f>SUM(O1389:O1418)</f>
        <v/>
      </c>
    </row>
    <row r="1434">
      <c r="A1434" s="6" t="inlineStr">
        <is>
          <t>Stat: The Contract of Darkness (Equip)</t>
        </is>
      </c>
    </row>
    <row r="1435">
      <c r="A1435" s="5" t="inlineStr">
        <is>
          <t>Key</t>
        </is>
      </c>
      <c r="B1435" s="5" t="inlineStr">
        <is>
          <t>Name</t>
        </is>
      </c>
      <c r="C1435" s="5" t="inlineStr">
        <is>
          <t>Unlocked</t>
        </is>
      </c>
      <c r="D1435" s="5" t="inlineStr">
        <is>
          <t>InputLevel</t>
        </is>
      </c>
      <c r="E1435" s="5" t="inlineStr">
        <is>
          <t>Factor</t>
        </is>
      </c>
      <c r="F1435" s="5" t="inlineStr">
        <is>
          <t>CoefficientPercent</t>
        </is>
      </c>
      <c r="G1435" s="5" t="inlineStr">
        <is>
          <t>EffectiveHits</t>
        </is>
      </c>
      <c r="H1435" s="5" t="inlineStr">
        <is>
          <t>ProcProbability</t>
        </is>
      </c>
      <c r="I1435" s="5" t="inlineStr">
        <is>
          <t>MapleHeroMultiplier</t>
        </is>
      </c>
      <c r="J1435" s="5" t="inlineStr">
        <is>
          <t>BaseDamage</t>
        </is>
      </c>
      <c r="K1435" s="5" t="inlineStr">
        <is>
          <t>BaseHitDamage</t>
        </is>
      </c>
      <c r="L1435" s="5" t="inlineStr">
        <is>
          <t>NonCritAvg</t>
        </is>
      </c>
      <c r="M1435" s="5" t="inlineStr">
        <is>
          <t>CritAvg</t>
        </is>
      </c>
      <c r="N1435" s="5" t="inlineStr">
        <is>
          <t>ExpectedDamage(perHit)</t>
        </is>
      </c>
      <c r="O1435" s="5" t="inlineStr">
        <is>
          <t>DPS</t>
        </is>
      </c>
      <c r="P1435" s="5" t="inlineStr">
        <is>
          <t>% of Total</t>
        </is>
      </c>
      <c r="Q1435" s="5" t="inlineStr">
        <is>
          <t>InvCooldown</t>
        </is>
      </c>
      <c r="R1435" s="5" t="inlineStr">
        <is>
          <t>CastsInFight</t>
        </is>
      </c>
      <c r="S1435" s="5" t="inlineStr">
        <is>
          <t>HitRate(perSec)</t>
        </is>
      </c>
      <c r="U1435" t="inlineStr">
        <is>
          <t>helpers</t>
        </is>
      </c>
    </row>
    <row r="1436">
      <c r="A1436">
        <f>Skills!A2</f>
        <v/>
      </c>
      <c r="B1436">
        <f>Skills!B2</f>
        <v/>
      </c>
      <c r="C1436">
        <f>Inputs!$B$3&gt;=100</f>
        <v/>
      </c>
      <c r="D1436" t="inlineStr"/>
      <c r="E1436" t="inlineStr"/>
      <c r="F1436">
        <f>U1438+Skills!O2</f>
        <v/>
      </c>
      <c r="G1436">
        <f>Skills!G2*IF(Skills!H2&gt;0,Skills!I2/Skills!H2,1)</f>
        <v/>
      </c>
      <c r="H1436">
        <f>1-(1-Skills!J2/100)^Skills!K2</f>
        <v/>
      </c>
      <c r="I1436" t="inlineStr">
        <is>
          <t>1</t>
        </is>
      </c>
      <c r="J1436">
        <f>((Inputs!$B$6*(1+Inputs!$B$7/100))+(((Inputs!$B$12*(1+Inputs!$B$13/100))-(Inputs!$B$12*(1+Inputs!$B$13/100)))+0.25*(Inputs!$B$14-Inputs!$B$14))*(1+Inputs!$B$7/100))*(F1436/100)</f>
        <v/>
      </c>
      <c r="K1436">
        <f>J1436*(1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1436)</f>
        <v/>
      </c>
      <c r="L1436">
        <f>K1436*(MIN(Inputs!$B$22+((C1459=TRUE)*(F1459-Calc!F25)),(Inputs!$B$23+((C1464=TRUE)*(F1464-Calc!F30))+(IF(ArtifactsInput!$M$15,CHOOSE(ArtifactsInput!$N$15+1,25,30,35,40,45,50)/100*(Inputs!$B$11-Inputs!$B$11),0))))/100+(Inputs!$B$23+((C1464=TRUE)*(F1464-Calc!F30))+(IF(ArtifactsInput!$M$15,CHOOSE(ArtifactsInput!$N$15+1,25,30,35,40,45,50)/100*(Inputs!$B$11-Inputs!$B$11),0)))/100)/2</f>
        <v/>
      </c>
      <c r="M1436">
        <f>L1436*(1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6">
        <f>L1436*(1-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1436*(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6">
        <f>(1-Summary!$B$11)*T1436+Summary!$B$11*V1436</f>
        <v/>
      </c>
      <c r="P1436">
        <f>IF(B1478=0,0,O1436/B1478)</f>
        <v/>
      </c>
      <c r="Q1436" t="n">
        <v>0</v>
      </c>
      <c r="R1436" t="n">
        <v>0</v>
      </c>
      <c r="S1436">
        <f>IFERROR(O1436/N1436,0)</f>
        <v/>
      </c>
      <c r="T1436">
        <f>IF(C1436,(Skills!G2*N1436*B1472)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1436*(1-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1436*(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1436*(1-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1436*(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6">
        <f>MAX(0,(Inputs!$B$3-100)*3)+Inputs!$B$28+Inputs!$B$29</f>
        <v/>
      </c>
      <c r="V1436">
        <f>IF(C1436,(Skills!G2*N1436*B1472)*IF(Inputs!$B$38="pvp",1,(1+(Inputs!$B$21+Skills!Q2+(IF(ArtifactsInput!$M$33,CHOOSE(ArtifactsInput!$N$33+1,30,36,42,48,54,60),0))+(IF(AND(ArtifactsInput!$M$35,Inputs!$B$4&lt;&gt;"Chapter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7">
      <c r="A1437">
        <f>Skills!A3</f>
        <v/>
      </c>
      <c r="B1437">
        <f>Skills!B3</f>
        <v/>
      </c>
      <c r="C1437">
        <f>Inputs!$B$3&gt;=50</f>
        <v/>
      </c>
      <c r="D1437">
        <f>IF(Skills!C3=1,60+Inputs!$B$25+Inputs!$B$29,IF(Skills!C3=2,90+Inputs!$B$26+Inputs!$B$29,IF(Skills!C3=3,120+Inputs!$B$27+Inputs!$B$29,MAX(0,(Inputs!$B$3-100)*3)+Inputs!$B$28+Inputs!$B$29)))</f>
        <v/>
      </c>
      <c r="E1437">
        <f>INDEX(FactorTable!$B$2:$Y$301, MATCH(ROUND(MIN(300,MAX(1,D1437)),0), FactorTable!$A$2:$A$301,0), Skills!M3+1)</f>
        <v/>
      </c>
      <c r="F1437">
        <f>IF(Skills!N3=TRUE,(Skills!L3/10)*(E1437/1000),Skills!L3/10)+Skills!O3</f>
        <v/>
      </c>
      <c r="G1437">
        <f>Skills!G3*IF(Skills!H3&gt;0,Skills!I3/Skills!H3,1)</f>
        <v/>
      </c>
      <c r="H1437">
        <f>1-(1-Skills!J3/100)^Skills!K3</f>
        <v/>
      </c>
      <c r="I1437" t="inlineStr">
        <is>
          <t>1</t>
        </is>
      </c>
      <c r="J1437">
        <f>((Inputs!$B$6*(1+Inputs!$B$7/100))+(((Inputs!$B$12*(1+Inputs!$B$13/100))-(Inputs!$B$12*(1+Inputs!$B$13/100)))+0.25*(Inputs!$B$14-Inputs!$B$14))*(1+Inputs!$B$7/100))*(F1437/100)</f>
        <v/>
      </c>
      <c r="K1437">
        <f>J1437*(1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Skills!A3="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1437)</f>
        <v/>
      </c>
      <c r="L1437">
        <f>K1437*(MIN(Inputs!$B$22+((C1459=TRUE)*(F1459-Calc!F25)),(Inputs!$B$23+((C1464=TRUE)*(F1464-Calc!F30))+(IF(ArtifactsInput!$M$15,CHOOSE(ArtifactsInput!$N$15+1,25,30,35,40,45,50)/100*(Inputs!$B$11-Inputs!$B$11),0))))/100+(Inputs!$B$23+((C1464=TRUE)*(F1464-Calc!F30))+(IF(ArtifactsInput!$M$15,CHOOSE(ArtifactsInput!$N$15+1,25,30,35,40,45,50)/100*(Inputs!$B$11-Inputs!$B$11),0)))/100)/2</f>
        <v/>
      </c>
      <c r="M1437">
        <f>L1437*(1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7">
        <f>L1437*(1-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1437*(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7">
        <f>(1-Summary!$B$11)*T1437+Summary!$B$11*V1437</f>
        <v/>
      </c>
      <c r="P1437">
        <f>IF(B1478=0,0,O1437/B1478)</f>
        <v/>
      </c>
      <c r="Q1437">
        <f>IFERROR(1/(IF(Inputs!$B$38="pvp",15,MAX(0.1,Skills!D3-IF(Skills!E3=TRUE,Inputs!$B$32,0)))*(1-IF(AND(ArtifactsInput!$M$27,Inputs!$B$4="Chapter Hunt"),CHOOSE(ArtifactsInput!$N$27+1,20,24,28,32,36,40),0)/100)),0)</f>
        <v/>
      </c>
      <c r="R1437">
        <f>IF(AND(Inputs!$B$38&lt;&gt;"pvp",Inputs!$B$43&gt;0),IF(MAX(0,Inputs!$B$43-B1475)&lt;=0,0,(INT(MAX(0,Inputs!$B$43-B1475)/(IF(Inputs!$B$38="pvp",15,MAX(0.1,Skills!D3-IF(Skills!E3=TRUE,Inputs!$B$32,0)))*(1-IF(AND(ArtifactsInput!$M$27,Inputs!$B$4="Chapter Hunt"),CHOOSE(ArtifactsInput!$N$27+1,20,24,28,32,36,40),0)/100)))+1)),0)</f>
        <v/>
      </c>
      <c r="S1437">
        <f>IFERROR(O1437/N1437,0)</f>
        <v/>
      </c>
      <c r="T1437">
        <f>IF(C1437,(H1437*N1437*IF(AND(Inputs!$B$38&lt;&gt;"pvp",Inputs!$B$43&gt;0),((Skills!G3*((R1437-1)*IF(Skills!H3&gt;0,Skills!I3/Skills!H3,1)+IF(Skills!H3&gt;0,MIN(Skills!I3,MAX(0,MAX(0,Inputs!$B$43-B1475)-((R1437-1)*(IF(Inputs!$B$38="pvp",15,MAX(0.1,Skills!D3-IF(Skills!E3=TRUE,Inputs!$B$32,0)))*(1-IF(AND(ArtifactsInput!$M$27,Inputs!$B$4="Chapter Hunt"),CHOOSE(ArtifactsInput!$N$27+1,20,24,28,32,36,40),0)/100)))))/Skills!H3,1)))/Inputs!$B$43),G1437*Q1437)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1437*(1-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1437*(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1437*(1-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1437*(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7">
        <f>INDEX(FactorTable!$B$2:$Y$301, MATCH(ROUND(MIN(300,MAX(1,U1436)),0), FactorTable!$A$2:$A$301,0), 22)</f>
        <v/>
      </c>
      <c r="V1437">
        <f>IF(C1437,(H1437*N1437*IF(AND(Inputs!$B$38&lt;&gt;"pvp",Inputs!$B$43&gt;0),((Skills!G3*((R1437-1)*IF(Skills!H3&gt;0,Skills!I3/Skills!H3,1)+IF(Skills!H3&gt;0,MIN(Skills!I3,MAX(0,MAX(0,Inputs!$B$43-B1475)-((R1437-1)*(IF(Inputs!$B$38="pvp",15,MAX(0.1,Skills!D3-IF(Skills!E3=TRUE,Inputs!$B$32,0)))*(1-IF(AND(ArtifactsInput!$M$27,Inputs!$B$4="Chapter Hunt"),CHOOSE(ArtifactsInput!$N$27+1,20,24,28,32,36,40),0)/100)))))/Skills!H3,1)))/Inputs!$B$43),G1437*Q1437))*IF(Inputs!$B$38="pvp",1,(1+(Inputs!$B$21+Skills!Q3+(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8">
      <c r="A1438">
        <f>Skills!A4</f>
        <v/>
      </c>
      <c r="B1438">
        <f>Skills!B4</f>
        <v/>
      </c>
      <c r="C1438">
        <f>Inputs!$B$3&gt;=105</f>
        <v/>
      </c>
      <c r="D1438">
        <f>IF(Skills!C4=1,60+Inputs!$B$25+Inputs!$B$29,IF(Skills!C4=2,90+Inputs!$B$26+Inputs!$B$29,IF(Skills!C4=3,120+Inputs!$B$27+Inputs!$B$29,MAX(0,(Inputs!$B$3-100)*3)+Inputs!$B$28+Inputs!$B$29)))</f>
        <v/>
      </c>
      <c r="E1438">
        <f>INDEX(FactorTable!$B$2:$Y$301, MATCH(ROUND(MIN(300,MAX(1,D1438)),0), FactorTable!$A$2:$A$301,0), Skills!M4+1)</f>
        <v/>
      </c>
      <c r="F1438">
        <f>IF(Skills!N4=TRUE,(Skills!L4/10)*(E1438/1000),Skills!L4/10)+Skills!O4</f>
        <v/>
      </c>
      <c r="G1438" t="inlineStr"/>
      <c r="H1438" t="inlineStr"/>
      <c r="I1438" t="inlineStr">
        <is>
          <t>1</t>
        </is>
      </c>
      <c r="J1438" t="inlineStr"/>
      <c r="K1438" t="inlineStr"/>
      <c r="L1438" t="inlineStr"/>
      <c r="M1438" t="inlineStr"/>
      <c r="N1438" t="inlineStr"/>
      <c r="O1438" t="inlineStr"/>
      <c r="P1438" t="inlineStr"/>
      <c r="Q1438" t="inlineStr"/>
      <c r="R1438" t="inlineStr"/>
      <c r="S1438" t="inlineStr"/>
      <c r="T1438" t="inlineStr"/>
      <c r="U1438">
        <f>290*U1437/1000</f>
        <v/>
      </c>
      <c r="V1438" t="inlineStr"/>
    </row>
    <row r="1439">
      <c r="A1439">
        <f>Skills!A5</f>
        <v/>
      </c>
      <c r="B1439">
        <f>Skills!B5</f>
        <v/>
      </c>
      <c r="C1439">
        <f>Inputs!$B$3&gt;=35</f>
        <v/>
      </c>
      <c r="D1439">
        <f>IF(Skills!C5=1,60+Inputs!$B$25+Inputs!$B$29,IF(Skills!C5=2,90+Inputs!$B$26+Inputs!$B$29,IF(Skills!C5=3,120+Inputs!$B$27+Inputs!$B$29,MAX(0,(Inputs!$B$3-100)*3)+Inputs!$B$28+Inputs!$B$29)))</f>
        <v/>
      </c>
      <c r="E1439">
        <f>INDEX(FactorTable!$B$2:$Y$301, MATCH(ROUND(MIN(300,MAX(1,D1439)),0), FactorTable!$A$2:$A$301,0), Skills!M5+1)</f>
        <v/>
      </c>
      <c r="F1439">
        <f>IF(Skills!N5=TRUE,(Skills!L5/10)*(E1439/1000),Skills!L5/10)+Skills!O5</f>
        <v/>
      </c>
      <c r="G1439">
        <f>Skills!G5*IF(Skills!H5&gt;0,Skills!I5/Skills!H5,1)</f>
        <v/>
      </c>
      <c r="H1439">
        <f>1-(1-Skills!J5/100)^Skills!K5</f>
        <v/>
      </c>
      <c r="I1439" t="inlineStr">
        <is>
          <t>1</t>
        </is>
      </c>
      <c r="J1439">
        <f>((Inputs!$B$6*(1+Inputs!$B$7/100))+(((Inputs!$B$12*(1+Inputs!$B$13/100))-(Inputs!$B$12*(1+Inputs!$B$13/100)))+0.25*(Inputs!$B$14-Inputs!$B$14))*(1+Inputs!$B$7/100))*(F1439/100)</f>
        <v/>
      </c>
      <c r="K1439">
        <f>J1439*(1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1445=TRUE,F1445,0)/100)*(1+(IF(Skills!A5="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1439)</f>
        <v/>
      </c>
      <c r="L1439">
        <f>K1439*(MIN(Inputs!$B$22+((C1459=TRUE)*(F1459-Calc!F25)),(Inputs!$B$23+((C1464=TRUE)*(F1464-Calc!F30))+(IF(ArtifactsInput!$M$15,CHOOSE(ArtifactsInput!$N$15+1,25,30,35,40,45,50)/100*(Inputs!$B$11-Inputs!$B$11),0))))/100+(Inputs!$B$23+((C1464=TRUE)*(F1464-Calc!F30))+(IF(ArtifactsInput!$M$15,CHOOSE(ArtifactsInput!$N$15+1,25,30,35,40,45,50)/100*(Inputs!$B$11-Inputs!$B$11),0)))/100)/2</f>
        <v/>
      </c>
      <c r="M1439">
        <f>L1439*(1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9">
        <f>L1439*(1-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1439*(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9">
        <f>(1-Summary!$B$11)*T1439+Summary!$B$11*V1439</f>
        <v/>
      </c>
      <c r="P1439">
        <f>IF(B1478=0,0,O1439/B1478)</f>
        <v/>
      </c>
      <c r="Q1439">
        <f>IFERROR(1/(IF(Inputs!$B$38="pvp",15,MAX(0.1,Skills!D5-IF(Skills!E5=TRUE,Inputs!$B$32,0)))*(1-IF(AND(ArtifactsInput!$M$27,Inputs!$B$4="Chapter Hunt"),CHOOSE(ArtifactsInput!$N$27+1,20,24,28,32,36,40),0)/100)),0)</f>
        <v/>
      </c>
      <c r="R1439">
        <f>IF(AND(Inputs!$B$38&lt;&gt;"pvp",Inputs!$B$43&gt;0),IF(MAX(0,Inputs!$B$43-B1475)&lt;=0,0,(INT(MAX(0,Inputs!$B$43-B1475)/(IF(Inputs!$B$38="pvp",15,MAX(0.1,Skills!D5-IF(Skills!E5=TRUE,Inputs!$B$32,0)))*(1-IF(AND(ArtifactsInput!$M$27,Inputs!$B$4="Chapter Hunt"),CHOOSE(ArtifactsInput!$N$27+1,20,24,28,32,36,40),0)/100)))+1)),0)</f>
        <v/>
      </c>
      <c r="S1439">
        <f>IFERROR(O1439/N1439,0)</f>
        <v/>
      </c>
      <c r="T1439">
        <f>IF(C1439,(H1439*N1439*IF(AND(Inputs!$B$38&lt;&gt;"pvp",Inputs!$B$43&gt;0),((Skills!G5*((R1439-1)*IF(Skills!H5&gt;0,Skills!I5/Skills!H5,1)+IF(Skills!H5&gt;0,MIN(Skills!I5,MAX(0,MAX(0,Inputs!$B$43-B1475)-((R1439-1)*(IF(Inputs!$B$38="pvp",15,MAX(0.1,Skills!D5-IF(Skills!E5=TRUE,Inputs!$B$32,0)))*(1-IF(AND(ArtifactsInput!$M$27,Inputs!$B$4="Chapter Hunt"),CHOOSE(ArtifactsInput!$N$27+1,20,24,28,32,36,40),0)/100)))))/Skills!H5,1)))/Inputs!$B$43),G1439*Q1439)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1439*(1-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1439*(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1439*(1-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1439*(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9">
        <f>IF(C1439,(H1439*N1439*IF(AND(Inputs!$B$38&lt;&gt;"pvp",Inputs!$B$43&gt;0),((Skills!G5*((R1439-1)*IF(Skills!H5&gt;0,Skills!I5/Skills!H5,1)+IF(Skills!H5&gt;0,MIN(Skills!I5,MAX(0,MAX(0,Inputs!$B$43-B1475)-((R1439-1)*(IF(Inputs!$B$38="pvp",15,MAX(0.1,Skills!D5-IF(Skills!E5=TRUE,Inputs!$B$32,0)))*(1-IF(AND(ArtifactsInput!$M$27,Inputs!$B$4="Chapter Hunt"),CHOOSE(ArtifactsInput!$N$27+1,20,24,28,32,36,40),0)/100)))))/Skills!H5,1)))/Inputs!$B$43),G1439*Q1439))*IF(Inputs!$B$38="pvp",1,(1+(Inputs!$B$21+Skills!Q5+(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0">
      <c r="A1440">
        <f>Skills!A6</f>
        <v/>
      </c>
      <c r="B1440">
        <f>Skills!B6</f>
        <v/>
      </c>
      <c r="C1440">
        <f>Inputs!$B$3&gt;=40</f>
        <v/>
      </c>
      <c r="D1440">
        <f>IF(Skills!C6=1,60+Inputs!$B$25+Inputs!$B$29,IF(Skills!C6=2,90+Inputs!$B$26+Inputs!$B$29,IF(Skills!C6=3,120+Inputs!$B$27+Inputs!$B$29,MAX(0,(Inputs!$B$3-100)*3)+Inputs!$B$28+Inputs!$B$29)))</f>
        <v/>
      </c>
      <c r="E1440">
        <f>INDEX(FactorTable!$B$2:$Y$301, MATCH(ROUND(MIN(300,MAX(1,D1440)),0), FactorTable!$A$2:$A$301,0), Skills!M6+1)</f>
        <v/>
      </c>
      <c r="F1440">
        <f>IF(Skills!N6=TRUE,(Skills!L6/10)*(E1440/1000),Skills!L6/10)+Skills!O6</f>
        <v/>
      </c>
      <c r="G1440">
        <f>Skills!G6*IF(Skills!H6&gt;0,Skills!I6/Skills!H6,1)</f>
        <v/>
      </c>
      <c r="H1440">
        <f>1-(1-Skills!J6/100)^Skills!K6</f>
        <v/>
      </c>
      <c r="I1440" t="inlineStr">
        <is>
          <t>1</t>
        </is>
      </c>
      <c r="J1440">
        <f>((Inputs!$B$6*(1+Inputs!$B$7/100))+(((Inputs!$B$12*(1+Inputs!$B$13/100))-(Inputs!$B$12*(1+Inputs!$B$13/100)))+0.25*(Inputs!$B$14-Inputs!$B$14))*(1+Inputs!$B$7/100))*(F1440/100)</f>
        <v/>
      </c>
      <c r="K1440">
        <f>J1440*(1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1441=TRUE,F1441,0)/100)*(1+(IF(Skills!A6="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1440)</f>
        <v/>
      </c>
      <c r="L1440">
        <f>K1440*(MIN(Inputs!$B$22+((C1459=TRUE)*(F1459-Calc!F25)),(Inputs!$B$23+((C1464=TRUE)*(F1464-Calc!F30))+(IF(ArtifactsInput!$M$15,CHOOSE(ArtifactsInput!$N$15+1,25,30,35,40,45,50)/100*(Inputs!$B$11-Inputs!$B$11),0))))/100+(Inputs!$B$23+((C1464=TRUE)*(F1464-Calc!F30))+(IF(ArtifactsInput!$M$15,CHOOSE(ArtifactsInput!$N$15+1,25,30,35,40,45,50)/100*(Inputs!$B$11-Inputs!$B$11),0)))/100)/2</f>
        <v/>
      </c>
      <c r="M1440">
        <f>L1440*(1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0">
        <f>L1440*(1-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1440*(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0">
        <f>(1-Summary!$B$11)*T1440+Summary!$B$11*V1440</f>
        <v/>
      </c>
      <c r="P1440">
        <f>IF(B1478=0,0,O1440/B1478)</f>
        <v/>
      </c>
      <c r="Q1440">
        <f>IFERROR(1/(IF(Inputs!$B$38="pvp",15,MAX(0.1,Skills!D6-IF(Skills!E6=TRUE,Inputs!$B$32,0)))*(1-IF(AND(ArtifactsInput!$M$27,Inputs!$B$4="Chapter Hunt"),CHOOSE(ArtifactsInput!$N$27+1,20,24,28,32,36,40),0)/100)),0)</f>
        <v/>
      </c>
      <c r="R1440">
        <f>IF(AND(Inputs!$B$38&lt;&gt;"pvp",Inputs!$B$43&gt;0),IF(MAX(0,Inputs!$B$43-B1475)&lt;=0,0,(INT(MAX(0,Inputs!$B$43-B1475)/(IF(Inputs!$B$38="pvp",15,MAX(0.1,Skills!D6-IF(Skills!E6=TRUE,Inputs!$B$32,0)))*(1-IF(AND(ArtifactsInput!$M$27,Inputs!$B$4="Chapter Hunt"),CHOOSE(ArtifactsInput!$N$27+1,20,24,28,32,36,40),0)/100)))+1)),0)</f>
        <v/>
      </c>
      <c r="S1440">
        <f>IFERROR(O1440/N1440,0)</f>
        <v/>
      </c>
      <c r="T1440">
        <f>IF(C1440,(H1440*N1440*IF(AND(Inputs!$B$38&lt;&gt;"pvp",Inputs!$B$43&gt;0),((Skills!G6*((R1440-1)*IF(Skills!H6&gt;0,Skills!I6/Skills!H6,1)+IF(Skills!H6&gt;0,MIN(Skills!I6,MAX(0,MAX(0,Inputs!$B$43-B1475)-((R1440-1)*(IF(Inputs!$B$38="pvp",15,MAX(0.1,Skills!D6-IF(Skills!E6=TRUE,Inputs!$B$32,0)))*(1-IF(AND(ArtifactsInput!$M$27,Inputs!$B$4="Chapter Hunt"),CHOOSE(ArtifactsInput!$N$27+1,20,24,28,32,36,40),0)/100)))))/Skills!H6,1)))/Inputs!$B$43),G1440*Q1440)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1440*(1-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1440*(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1440*(1-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1440*(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0">
        <f>IF(C1440,(H1440*N1440*IF(AND(Inputs!$B$38&lt;&gt;"pvp",Inputs!$B$43&gt;0),((Skills!G6*((R1440-1)*IF(Skills!H6&gt;0,Skills!I6/Skills!H6,1)+IF(Skills!H6&gt;0,MIN(Skills!I6,MAX(0,MAX(0,Inputs!$B$43-B1475)-((R1440-1)*(IF(Inputs!$B$38="pvp",15,MAX(0.1,Skills!D6-IF(Skills!E6=TRUE,Inputs!$B$32,0)))*(1-IF(AND(ArtifactsInput!$M$27,Inputs!$B$4="Chapter Hunt"),CHOOSE(ArtifactsInput!$N$27+1,20,24,28,32,36,40),0)/100)))))/Skills!H6,1)))/Inputs!$B$43),G1440*Q1440))*IF(Inputs!$B$38="pvp",1,(1+(Inputs!$B$21+Skills!Q6+(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1">
      <c r="A1441">
        <f>Skills!A7</f>
        <v/>
      </c>
      <c r="B1441">
        <f>Skills!B7</f>
        <v/>
      </c>
      <c r="C1441">
        <f>Inputs!$B$3&gt;=107</f>
        <v/>
      </c>
      <c r="D1441">
        <f>IF(Skills!C7=1,60+Inputs!$B$25+Inputs!$B$29,IF(Skills!C7=2,90+Inputs!$B$26+Inputs!$B$29,IF(Skills!C7=3,120+Inputs!$B$27+Inputs!$B$29,MAX(0,(Inputs!$B$3-100)*3)+Inputs!$B$28+Inputs!$B$29)))</f>
        <v/>
      </c>
      <c r="E1441">
        <f>INDEX(FactorTable!$B$2:$Y$301, MATCH(ROUND(MIN(300,MAX(1,D1441)),0), FactorTable!$A$2:$A$301,0), Skills!M7+1)</f>
        <v/>
      </c>
      <c r="F1441">
        <f>IF(Skills!N7=TRUE,(Skills!L7/10)*(E1441/1000),Skills!L7/10)+Skills!O7</f>
        <v/>
      </c>
      <c r="G1441" t="inlineStr"/>
      <c r="H1441" t="inlineStr"/>
      <c r="I1441" t="inlineStr">
        <is>
          <t>1</t>
        </is>
      </c>
      <c r="J1441" t="inlineStr"/>
      <c r="K1441" t="inlineStr"/>
      <c r="L1441" t="inlineStr"/>
      <c r="M1441" t="inlineStr"/>
      <c r="N1441" t="inlineStr"/>
      <c r="O1441" t="inlineStr"/>
      <c r="P1441" t="inlineStr"/>
      <c r="Q1441" t="inlineStr"/>
      <c r="R1441" t="inlineStr"/>
      <c r="S1441" t="inlineStr"/>
      <c r="T1441" t="inlineStr"/>
      <c r="V1441" t="inlineStr"/>
    </row>
    <row r="1442">
      <c r="A1442">
        <f>Skills!A8</f>
        <v/>
      </c>
      <c r="B1442">
        <f>Skills!B8</f>
        <v/>
      </c>
      <c r="C1442">
        <f>Inputs!$B$3&gt;=69</f>
        <v/>
      </c>
      <c r="D1442">
        <f>IF(Skills!C8=1,60+Inputs!$B$25+Inputs!$B$29,IF(Skills!C8=2,90+Inputs!$B$26+Inputs!$B$29,IF(Skills!C8=3,120+Inputs!$B$27+Inputs!$B$29,MAX(0,(Inputs!$B$3-100)*3)+Inputs!$B$28+Inputs!$B$29)))</f>
        <v/>
      </c>
      <c r="E1442">
        <f>INDEX(FactorTable!$B$2:$Y$301, MATCH(ROUND(MIN(300,MAX(1,D1442)),0), FactorTable!$A$2:$A$301,0), Skills!M8+1)</f>
        <v/>
      </c>
      <c r="F1442">
        <f>IF(Skills!N8=TRUE,(Skills!L8/10)*(E1442/1000),Skills!L8/10)+Skills!O8</f>
        <v/>
      </c>
      <c r="G1442">
        <f>Skills!G8*IF(Skills!H8&gt;0,Skills!I8/Skills!H8,1)</f>
        <v/>
      </c>
      <c r="H1442">
        <f>1-(1-Skills!J8/100)^Skills!K8</f>
        <v/>
      </c>
      <c r="I1442" t="inlineStr">
        <is>
          <t>1</t>
        </is>
      </c>
      <c r="J1442">
        <f>((Inputs!$B$6*(1+Inputs!$B$7/100))+(((Inputs!$B$12*(1+Inputs!$B$13/100))-(Inputs!$B$12*(1+Inputs!$B$13/100)))+0.25*(Inputs!$B$14-Inputs!$B$14))*(1+Inputs!$B$7/100))*(F1442/100)</f>
        <v/>
      </c>
      <c r="K1442">
        <f>J1442*(1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1445=TRUE,F1445,0)/100)*(1+(IF(Skills!A8="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1442)</f>
        <v/>
      </c>
      <c r="L1442">
        <f>K1442*(MIN(Inputs!$B$22+((C1459=TRUE)*(F1459-Calc!F25)),(Inputs!$B$23+((C1464=TRUE)*(F1464-Calc!F30))+(IF(ArtifactsInput!$M$15,CHOOSE(ArtifactsInput!$N$15+1,25,30,35,40,45,50)/100*(Inputs!$B$11-Inputs!$B$11),0))))/100+(Inputs!$B$23+((C1464=TRUE)*(F1464-Calc!F30))+(IF(ArtifactsInput!$M$15,CHOOSE(ArtifactsInput!$N$15+1,25,30,35,40,45,50)/100*(Inputs!$B$11-Inputs!$B$11),0)))/100)/2</f>
        <v/>
      </c>
      <c r="M1442">
        <f>L1442*(1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2">
        <f>L1442*(1-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1442*(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2">
        <f>(1-Summary!$B$11)*T1442+Summary!$B$11*V1442</f>
        <v/>
      </c>
      <c r="P1442">
        <f>IF(B1478=0,0,O1442/B1478)</f>
        <v/>
      </c>
      <c r="Q1442">
        <f>IFERROR(1/(IF(Inputs!$B$38="pvp",15,MAX(0.1,Skills!D8-IF(Skills!E8=TRUE,Inputs!$B$32,0)))*(1-IF(AND(ArtifactsInput!$M$27,Inputs!$B$4="Chapter Hunt"),CHOOSE(ArtifactsInput!$N$27+1,20,24,28,32,36,40),0)/100)),0)</f>
        <v/>
      </c>
      <c r="R1442">
        <f>IF(AND(Inputs!$B$38&lt;&gt;"pvp",Inputs!$B$43&gt;0),IF(MAX(0,Inputs!$B$43-B1475)&lt;=0,0,(INT(MAX(0,Inputs!$B$43-B1475)/(IF(Inputs!$B$38="pvp",15,MAX(0.1,Skills!D8-IF(Skills!E8=TRUE,Inputs!$B$32,0)))*(1-IF(AND(ArtifactsInput!$M$27,Inputs!$B$4="Chapter Hunt"),CHOOSE(ArtifactsInput!$N$27+1,20,24,28,32,36,40),0)/100)))+1)),0)</f>
        <v/>
      </c>
      <c r="S1442">
        <f>IFERROR(O1442/N1442,0)</f>
        <v/>
      </c>
      <c r="T1442">
        <f>IF(C1442,(H1442*N1442*IF(AND(Inputs!$B$38&lt;&gt;"pvp",Inputs!$B$43&gt;0),((Skills!G8*((R1442-1)*IF(Skills!H8&gt;0,Skills!I8/Skills!H8,1)+IF(Skills!H8&gt;0,MIN(Skills!I8,MAX(0,MAX(0,Inputs!$B$43-B1475)-((R1442-1)*(IF(Inputs!$B$38="pvp",15,MAX(0.1,Skills!D8-IF(Skills!E8=TRUE,Inputs!$B$32,0)))*(1-IF(AND(ArtifactsInput!$M$27,Inputs!$B$4="Chapter Hunt"),CHOOSE(ArtifactsInput!$N$27+1,20,24,28,32,36,40),0)/100)))))/Skills!H8,1)))/Inputs!$B$43),G1442*Q1442)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1442*(1-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1442*(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1442*(1-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1442*(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2">
        <f>IF(C1442,(H1442*N1442*IF(AND(Inputs!$B$38&lt;&gt;"pvp",Inputs!$B$43&gt;0),((Skills!G8*((R1442-1)*IF(Skills!H8&gt;0,Skills!I8/Skills!H8,1)+IF(Skills!H8&gt;0,MIN(Skills!I8,MAX(0,MAX(0,Inputs!$B$43-B1475)-((R1442-1)*(IF(Inputs!$B$38="pvp",15,MAX(0.1,Skills!D8-IF(Skills!E8=TRUE,Inputs!$B$32,0)))*(1-IF(AND(ArtifactsInput!$M$27,Inputs!$B$4="Chapter Hunt"),CHOOSE(ArtifactsInput!$N$27+1,20,24,28,32,36,40),0)/100)))))/Skills!H8,1)))/Inputs!$B$43),G1442*Q1442))*IF(Inputs!$B$38="pvp",1,(1+(Inputs!$B$21+Skills!Q8+(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3">
      <c r="A1443">
        <f>Skills!A9</f>
        <v/>
      </c>
      <c r="B1443">
        <f>Skills!B9</f>
        <v/>
      </c>
      <c r="C1443">
        <f>Inputs!$B$3&gt;=63</f>
        <v/>
      </c>
      <c r="D1443">
        <f>IF(Skills!C9=1,60+Inputs!$B$25+Inputs!$B$29,IF(Skills!C9=2,90+Inputs!$B$26+Inputs!$B$29,IF(Skills!C9=3,120+Inputs!$B$27+Inputs!$B$29,MAX(0,(Inputs!$B$3-100)*3)+Inputs!$B$28+Inputs!$B$29)))</f>
        <v/>
      </c>
      <c r="E1443">
        <f>INDEX(FactorTable!$B$2:$Y$301, MATCH(ROUND(MIN(300,MAX(1,D1443)),0), FactorTable!$A$2:$A$301,0), Skills!M9+1)</f>
        <v/>
      </c>
      <c r="F1443">
        <f>IF(Skills!N9=TRUE,(Skills!L9/10)*(E1443/1000),Skills!L9/10)+Skills!O9</f>
        <v/>
      </c>
      <c r="G1443">
        <f>Skills!G9*IF(Skills!H9&gt;0,Skills!I9/Skills!H9,1)</f>
        <v/>
      </c>
      <c r="H1443">
        <f>1-(1-Skills!J9/100)^Skills!K9</f>
        <v/>
      </c>
      <c r="I1443" t="inlineStr">
        <is>
          <t>1</t>
        </is>
      </c>
      <c r="J1443">
        <f>((Inputs!$B$6*(1+Inputs!$B$7/100))+(((Inputs!$B$12*(1+Inputs!$B$13/100))-(Inputs!$B$12*(1+Inputs!$B$13/100)))+0.25*(Inputs!$B$14-Inputs!$B$14))*(1+Inputs!$B$7/100))*(F1443/100)</f>
        <v/>
      </c>
      <c r="K1443">
        <f>J1443*(1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1445=TRUE,F1445,0)/100)*(1+(IF(Skills!A9="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1443)</f>
        <v/>
      </c>
      <c r="L1443">
        <f>K1443*(MIN(Inputs!$B$22+((C1459=TRUE)*(F1459-Calc!F25)),(Inputs!$B$23+((C1464=TRUE)*(F1464-Calc!F30))+(IF(ArtifactsInput!$M$15,CHOOSE(ArtifactsInput!$N$15+1,25,30,35,40,45,50)/100*(Inputs!$B$11-Inputs!$B$11),0))))/100+(Inputs!$B$23+((C1464=TRUE)*(F1464-Calc!F30))+(IF(ArtifactsInput!$M$15,CHOOSE(ArtifactsInput!$N$15+1,25,30,35,40,45,50)/100*(Inputs!$B$11-Inputs!$B$11),0)))/100)/2</f>
        <v/>
      </c>
      <c r="M1443">
        <f>L1443*(1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3">
        <f>L1443*(1-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1443*(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3">
        <f>(1-Summary!$B$11)*T1443+Summary!$B$11*V1443</f>
        <v/>
      </c>
      <c r="P1443">
        <f>IF(B1478=0,0,O1443/B1478)</f>
        <v/>
      </c>
      <c r="Q1443">
        <f>IFERROR(1/(IF(Inputs!$B$38="pvp",15,MAX(0.1,Skills!D9-IF(Skills!E9=TRUE,Inputs!$B$32,0)))*(1-IF(AND(ArtifactsInput!$M$27,Inputs!$B$4="Chapter Hunt"),CHOOSE(ArtifactsInput!$N$27+1,20,24,28,32,36,40),0)/100)),0)</f>
        <v/>
      </c>
      <c r="R1443">
        <f>IF(AND(Inputs!$B$38&lt;&gt;"pvp",Inputs!$B$43&gt;0),IF(MAX(0,Inputs!$B$43-B1475)&lt;=0,0,(INT(MAX(0,Inputs!$B$43-B1475)/(IF(Inputs!$B$38="pvp",15,MAX(0.1,Skills!D9-IF(Skills!E9=TRUE,Inputs!$B$32,0)))*(1-IF(AND(ArtifactsInput!$M$27,Inputs!$B$4="Chapter Hunt"),CHOOSE(ArtifactsInput!$N$27+1,20,24,28,32,36,40),0)/100)))+1)),0)</f>
        <v/>
      </c>
      <c r="S1443">
        <f>IFERROR(O1443/N1443,0)</f>
        <v/>
      </c>
      <c r="T1443">
        <f>IF(C1443,(H1443*N1443*IF(AND(Inputs!$B$38&lt;&gt;"pvp",Inputs!$B$43&gt;0),((Skills!G9*((R1443-1)*IF(Skills!H9&gt;0,Skills!I9/Skills!H9,1)+IF(Skills!H9&gt;0,MIN(Skills!I9,MAX(0,MAX(0,Inputs!$B$43-B1475)-((R1443-1)*(IF(Inputs!$B$38="pvp",15,MAX(0.1,Skills!D9-IF(Skills!E9=TRUE,Inputs!$B$32,0)))*(1-IF(AND(ArtifactsInput!$M$27,Inputs!$B$4="Chapter Hunt"),CHOOSE(ArtifactsInput!$N$27+1,20,24,28,32,36,40),0)/100)))))/Skills!H9,1)))/Inputs!$B$43),G1443*Q1443)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1443*(1-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1443*(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1443*(1-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1443*(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3">
        <f>IF(C1443,(H1443*N1443*IF(AND(Inputs!$B$38&lt;&gt;"pvp",Inputs!$B$43&gt;0),((Skills!G9*((R1443-1)*IF(Skills!H9&gt;0,Skills!I9/Skills!H9,1)+IF(Skills!H9&gt;0,MIN(Skills!I9,MAX(0,MAX(0,Inputs!$B$43-B1475)-((R1443-1)*(IF(Inputs!$B$38="pvp",15,MAX(0.1,Skills!D9-IF(Skills!E9=TRUE,Inputs!$B$32,0)))*(1-IF(AND(ArtifactsInput!$M$27,Inputs!$B$4="Chapter Hunt"),CHOOSE(ArtifactsInput!$N$27+1,20,24,28,32,36,40),0)/100)))))/Skills!H9,1)))/Inputs!$B$43),G1443*Q1443))*IF(Inputs!$B$38="pvp",1,(1+(Inputs!$B$21+Skills!Q9+(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4">
      <c r="A1444">
        <f>Skills!A10</f>
        <v/>
      </c>
      <c r="B1444">
        <f>Skills!B10</f>
        <v/>
      </c>
      <c r="C1444">
        <f>Inputs!$B$3&gt;=103</f>
        <v/>
      </c>
      <c r="D1444">
        <f>IF(Skills!C10=1,60+Inputs!$B$25+Inputs!$B$29,IF(Skills!C10=2,90+Inputs!$B$26+Inputs!$B$29,IF(Skills!C10=3,120+Inputs!$B$27+Inputs!$B$29,MAX(0,(Inputs!$B$3-100)*3)+Inputs!$B$28+Inputs!$B$29)))</f>
        <v/>
      </c>
      <c r="E1444">
        <f>INDEX(FactorTable!$B$2:$Y$301, MATCH(ROUND(MIN(300,MAX(1,D1444)),0), FactorTable!$A$2:$A$301,0), Skills!M10+1)</f>
        <v/>
      </c>
      <c r="F1444">
        <f>IF(Skills!N10=TRUE,(Skills!L10/10)*(E1444/1000),Skills!L10/10)+Skills!O10</f>
        <v/>
      </c>
      <c r="G1444">
        <f>Skills!G10*IF(Skills!H10&gt;0,Skills!I10/Skills!H10,1)</f>
        <v/>
      </c>
      <c r="H1444">
        <f>1-(1-Skills!J10/100)^Skills!K10</f>
        <v/>
      </c>
      <c r="I1444" t="inlineStr">
        <is>
          <t>1</t>
        </is>
      </c>
      <c r="J1444">
        <f>((Inputs!$B$6*(1+Inputs!$B$7/100))+(((Inputs!$B$12*(1+Inputs!$B$13/100))-(Inputs!$B$12*(1+Inputs!$B$13/100)))+0.25*(Inputs!$B$14-Inputs!$B$14))*(1+Inputs!$B$7/100))*(F1444/100)</f>
        <v/>
      </c>
      <c r="K1444">
        <f>J1444*(1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1444)</f>
        <v/>
      </c>
      <c r="L1444">
        <f>K1444*(MIN(Inputs!$B$22+((C1459=TRUE)*(F1459-Calc!F25)),(Inputs!$B$23+((C1464=TRUE)*(F1464-Calc!F30))+(IF(ArtifactsInput!$M$15,CHOOSE(ArtifactsInput!$N$15+1,25,30,35,40,45,50)/100*(Inputs!$B$11-Inputs!$B$11),0))))/100+(Inputs!$B$23+((C1464=TRUE)*(F1464-Calc!F30))+(IF(ArtifactsInput!$M$15,CHOOSE(ArtifactsInput!$N$15+1,25,30,35,40,45,50)/100*(Inputs!$B$11-Inputs!$B$11),0)))/100)/2</f>
        <v/>
      </c>
      <c r="M1444">
        <f>L1444*(1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4">
        <f>L1444*(1-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1444*(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4">
        <f>(1-Summary!$B$11)*T1444+Summary!$B$11*V1444</f>
        <v/>
      </c>
      <c r="P1444">
        <f>IF(B1478=0,0,O1444/B1478)</f>
        <v/>
      </c>
      <c r="Q1444">
        <f>IFERROR(1/(IF(Inputs!$B$38="pvp",15,MAX(0.1,Skills!D10-IF(Skills!E10=TRUE,Inputs!$B$32,0)))*(1-IF(AND(ArtifactsInput!$M$27,Inputs!$B$4="Chapter Hunt"),CHOOSE(ArtifactsInput!$N$27+1,20,24,28,32,36,40),0)/100)),0)</f>
        <v/>
      </c>
      <c r="R1444">
        <f>IF(AND(Inputs!$B$38&lt;&gt;"pvp",Inputs!$B$43&gt;0),IF(MAX(0,Inputs!$B$43-B1475)&lt;=0,0,(INT(MAX(0,Inputs!$B$43-B1475)/(IF(Inputs!$B$38="pvp",15,MAX(0.1,Skills!D10-IF(Skills!E10=TRUE,Inputs!$B$32,0)))*(1-IF(AND(ArtifactsInput!$M$27,Inputs!$B$4="Chapter Hunt"),CHOOSE(ArtifactsInput!$N$27+1,20,24,28,32,36,40),0)/100)))+1)),0)</f>
        <v/>
      </c>
      <c r="S1444">
        <f>IFERROR(O1444/N1444,0)</f>
        <v/>
      </c>
      <c r="T1444">
        <f>IF(C1444,(H1444*N1444*IF(AND(Inputs!$B$38&lt;&gt;"pvp",Inputs!$B$43&gt;0),((Skills!G10*((R1444-1)*IF(Skills!H10&gt;0,Skills!I10/Skills!H10,1)+IF(Skills!H10&gt;0,MIN(Skills!I10,MAX(0,MAX(0,Inputs!$B$43-B1475)-((R1444-1)*(IF(Inputs!$B$38="pvp",15,MAX(0.1,Skills!D10-IF(Skills!E10=TRUE,Inputs!$B$32,0)))*(1-IF(AND(ArtifactsInput!$M$27,Inputs!$B$4="Chapter Hunt"),CHOOSE(ArtifactsInput!$N$27+1,20,24,28,32,36,40),0)/100)))))/Skills!H10,1)))/Inputs!$B$43),G1444*Q1444)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1444*(1-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1444*(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1444*(1-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1444*(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4">
        <f>IF(C1444,(H1444*N1444*IF(AND(Inputs!$B$38&lt;&gt;"pvp",Inputs!$B$43&gt;0),((Skills!G10*((R1444-1)*IF(Skills!H10&gt;0,Skills!I10/Skills!H10,1)+IF(Skills!H10&gt;0,MIN(Skills!I10,MAX(0,MAX(0,Inputs!$B$43-B1475)-((R1444-1)*(IF(Inputs!$B$38="pvp",15,MAX(0.1,Skills!D10-IF(Skills!E10=TRUE,Inputs!$B$32,0)))*(1-IF(AND(ArtifactsInput!$M$27,Inputs!$B$4="Chapter Hunt"),CHOOSE(ArtifactsInput!$N$27+1,20,24,28,32,36,40),0)/100)))))/Skills!H10,1)))/Inputs!$B$43),G1444*Q1444))*IF(Inputs!$B$38="pvp",1,(1+(Inputs!$B$21+Skills!Q10+(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5">
      <c r="A1445">
        <f>Skills!A11</f>
        <v/>
      </c>
      <c r="B1445">
        <f>Skills!B11</f>
        <v/>
      </c>
      <c r="C1445">
        <f>Inputs!$B$3&gt;=100</f>
        <v/>
      </c>
      <c r="D1445">
        <f>IF(Skills!C11=1,60+Inputs!$B$25+Inputs!$B$29,IF(Skills!C11=2,90+Inputs!$B$26+Inputs!$B$29,IF(Skills!C11=3,120+Inputs!$B$27+Inputs!$B$29,MAX(0,(Inputs!$B$3-100)*3)+Inputs!$B$28+Inputs!$B$29)))</f>
        <v/>
      </c>
      <c r="E1445">
        <f>INDEX(FactorTable!$B$2:$Y$301, MATCH(ROUND(MIN(300,MAX(1,D1445)),0), FactorTable!$A$2:$A$301,0), Skills!M11+1)</f>
        <v/>
      </c>
      <c r="F1445">
        <f>IF(Skills!N11=TRUE,(Skills!L11/10)*(E1445/1000),Skills!L11/10)+Skills!O11</f>
        <v/>
      </c>
      <c r="G1445" t="inlineStr"/>
      <c r="H1445" t="inlineStr"/>
      <c r="I1445" t="inlineStr">
        <is>
          <t>1</t>
        </is>
      </c>
      <c r="J1445" t="inlineStr"/>
      <c r="K1445" t="inlineStr"/>
      <c r="L1445" t="inlineStr"/>
      <c r="M1445" t="inlineStr"/>
      <c r="N1445" t="inlineStr"/>
      <c r="O1445" t="inlineStr"/>
      <c r="P1445" t="inlineStr"/>
      <c r="Q1445" t="inlineStr"/>
      <c r="R1445" t="inlineStr"/>
      <c r="S1445" t="inlineStr"/>
      <c r="T1445" t="inlineStr"/>
      <c r="V1445" t="inlineStr"/>
    </row>
    <row r="1446">
      <c r="A1446">
        <f>Skills!A12</f>
        <v/>
      </c>
      <c r="B1446">
        <f>Skills!B12</f>
        <v/>
      </c>
      <c r="C1446">
        <f>Inputs!$B$3&gt;=60</f>
        <v/>
      </c>
      <c r="D1446">
        <f>IF(Skills!C12=1,60+Inputs!$B$25+Inputs!$B$29,IF(Skills!C12=2,90+Inputs!$B$26+Inputs!$B$29,IF(Skills!C12=3,120+Inputs!$B$27+Inputs!$B$29,MAX(0,(Inputs!$B$3-100)*3)+Inputs!$B$28+Inputs!$B$29)))</f>
        <v/>
      </c>
      <c r="E1446">
        <f>INDEX(FactorTable!$B$2:$Y$301, MATCH(ROUND(MIN(300,MAX(1,D1446)),0), FactorTable!$A$2:$A$301,0), Skills!M12+1)</f>
        <v/>
      </c>
      <c r="F1446">
        <f>IF(Skills!N12=TRUE,(Skills!L12/10)*(E1446/1000),Skills!L12/10)+Skills!O12</f>
        <v/>
      </c>
      <c r="G1446">
        <f>Skills!G12*IF(Skills!H12&gt;0,Skills!I12/Skills!H12,1)</f>
        <v/>
      </c>
      <c r="H1446">
        <f>1-(1-Skills!J12/100)^Skills!K12</f>
        <v/>
      </c>
      <c r="I1446" t="inlineStr">
        <is>
          <t>1</t>
        </is>
      </c>
      <c r="J1446">
        <f>((Inputs!$B$6*(1+Inputs!$B$7/100))+(((Inputs!$B$12*(1+Inputs!$B$13/100))-(Inputs!$B$12*(1+Inputs!$B$13/100)))+0.25*(Inputs!$B$14-Inputs!$B$14))*(1+Inputs!$B$7/100))*(F1446/100)</f>
        <v/>
      </c>
      <c r="K1446">
        <f>J1446*(1+((Inputs!$B$12*(1+Inputs!$B$13/100))*0.01+Inputs!$B$14*0.0025)/100)*(1+Inputs!$B$15/100)*(1+Inputs!$B$16/100)*(5000/(6000+Inputs!$B$42*(1-(100*(1-(1-(Inputs!$B$19+((C1462=TRUE)*(F1462-Calc!F28)))/100)*(1-CHOOSE(ArtifactsInput!$N$40+1,5,6,7,8,9,10)/100)^(ArtifactsInput!$M$40-ArtifactsInput!$M$40)))/100)))*(1+(Inputs!$B$24+((C1460=TRUE)*(F1460-Calc!F26))+((C1461=TRUE)*(F1461-Calc!F27))+B1474)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1447=TRUE,F1447,0)/100)*(1+(IF(Skills!A12="ARROW_STREAM",Inputs!$B$17+((C1458=TRUE)*(F1458-Calc!F24))+(((IF(AND(ArtifactsInput!$M$42,((Inputs!$B$9+((C1455=TRUE)*(F1455-Calc!F21))+B1468+(ArtifactsInput!$M$24-ArtifactsInput!$M$24)*CHOOSE(ArtifactsInput!$N$24+1,10,12,14,16,18,20)+IF(ArtifactsInput!$M$10,CHOOSE(ArtifactsInput!$N$10+1,15,18,21,24,27,30)*(IF(Inputs!$B$38="pvp",MIN(15,15)/15,IF(AND(Inputs!$B$38&lt;&gt;"pvp",Inputs!$B$43&gt;0),MIN(15,Inputs!$B$43)/(Inputs!$B$43),0))),0)))&gt;=100),MIN(100,((Inputs!$B$9+((C1455=TRUE)*(F1455-Calc!F21))+B1468+(ArtifactsInput!$M$24-ArtifactsInput!$M$24)*CHOOSE(ArtifactsInput!$N$24+1,10,12,14,16,18,20)+IF(ArtifactsInput!$M$10,CHOOSE(ArtifactsInput!$N$10+1,15,18,21,24,27,30)*(IF(Inputs!$B$38="pvp",MIN(15,15)/15,IF(AND(Inputs!$B$38&lt;&gt;"pvp",Inputs!$B$43&gt;0),MIN(15,Inputs!$B$43)/(Inputs!$B$43),0))),0)))-100),0))*CHOOSE(ArtifactsInput!$N$42+1,0.6,0.72,0.84,0.96,1.08,1.2))),Inputs!$B$18+((C1463=TRUE)*(F1463-Calc!F29))+(IF(AND(ArtifactsInput!$M$42,((Inputs!$B$9+((C1455=TRUE)*(F1455-Calc!F21))+B1468+(ArtifactsInput!$M$24-ArtifactsInput!$M$24)*CHOOSE(ArtifactsInput!$N$24+1,10,12,14,16,18,20)+IF(ArtifactsInput!$M$10,CHOOSE(ArtifactsInput!$N$10+1,15,18,21,24,27,30)*(IF(Inputs!$B$38="pvp",MIN(15,15)/15,IF(AND(Inputs!$B$38&lt;&gt;"pvp",Inputs!$B$43&gt;0),MIN(15,Inputs!$B$43)/(Inputs!$B$43),0))),0)))&gt;=100),CHOOSE(ArtifactsInput!$N$42+1,40,48,56,64,72,80),0))))/100)*((1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1446)</f>
        <v/>
      </c>
      <c r="L1446">
        <f>K1446*(MIN(Inputs!$B$22+((C1459=TRUE)*(F1459-Calc!F25)),(Inputs!$B$23+((C1464=TRUE)*(F1464-Calc!F30))+(IF(ArtifactsInput!$M$15,CHOOSE(ArtifactsInput!$N$15+1,25,30,35,40,45,50)/100*(Inputs!$B$11-Inputs!$B$11),0))))/100+(Inputs!$B$23+((C1464=TRUE)*(F1464-Calc!F30))+(IF(ArtifactsInput!$M$15,CHOOSE(ArtifactsInput!$N$15+1,25,30,35,40,45,50)/100*(Inputs!$B$11-Inputs!$B$11),0)))/100)/2</f>
        <v/>
      </c>
      <c r="M1446">
        <f>L1446*(1+(Inputs!$B$10+0+B1473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6">
        <f>L1446*(1-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1446*(MIN((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6">
        <f>(1-Summary!$B$11)*T1446+Summary!$B$11*V1446</f>
        <v/>
      </c>
      <c r="P1446">
        <f>IF(B1478=0,0,O1446/B1478)</f>
        <v/>
      </c>
      <c r="Q1446">
        <f>IFERROR(1/(IF(Inputs!$B$38="pvp",15,MAX(0.1,Skills!D12-IF(Skills!E12=TRUE,Inputs!$B$32,0)))*(1-IF(AND(ArtifactsInput!$M$27,Inputs!$B$4="Chapter Hunt"),CHOOSE(ArtifactsInput!$N$27+1,20,24,28,32,36,40),0)/100)),0)</f>
        <v/>
      </c>
      <c r="R1446">
        <f>IF(AND(Inputs!$B$38&lt;&gt;"pvp",Inputs!$B$43&gt;0),IF(MAX(0,Inputs!$B$43-B1475)&lt;=0,0,(INT(MAX(0,Inputs!$B$43-B1475)/(IF(Inputs!$B$38="pvp",15,MAX(0.1,Skills!D12-IF(Skills!E12=TRUE,Inputs!$B$32,0)))*(1-IF(AND(ArtifactsInput!$M$27,Inputs!$B$4="Chapter Hunt"),CHOOSE(ArtifactsInput!$N$27+1,20,24,28,32,36,40),0)/100)))+1)),0)</f>
        <v/>
      </c>
      <c r="S1446">
        <f>IFERROR(O1446/N1446,0)</f>
        <v/>
      </c>
      <c r="T1446">
        <f>IF(C1446,(H1446*N1446*IF(AND(Inputs!$B$38&lt;&gt;"pvp",Inputs!$B$43&gt;0),((Skills!G12*((R1446-1)*IF(Skills!H12&gt;0,Skills!I12/Skills!H12,1)+IF(Skills!H12&gt;0,MIN(Skills!I12,MAX(0,MAX(0,Inputs!$B$43-B1475)-((R1446-1)*(IF(Inputs!$B$38="pvp",15,MAX(0.1,Skills!D12-IF(Skills!E12=TRUE,Inputs!$B$32,0)))*(1-IF(AND(ArtifactsInput!$M$27,Inputs!$B$4="Chapter Hunt"),CHOOSE(ArtifactsInput!$N$27+1,20,24,28,32,36,40),0)/100)))))/Skills!H12,1)))/Inputs!$B$43),G1446*Q1446)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(5000/(6000+Inputs!$B$42*(1-(100*(1-(1-(100*(1-(1-(Inputs!$B$19+((C1462=TRUE)*(F1462-Calc!F28)))/100)*(1-CHOOSE(ArtifactsInput!$N$40+1,5,6,7,8,9,10)/100)^(ArtifactsInput!$M$40-ArtifactsInput!$M$40)))/100)*(1-IF(ArtifactsInput!$M$40,CHOOSE(ArtifactsInput!$N$40+1,5,6,7,8,9,10),0)/100)^IF(Inputs!$B$38="pvp",1,2)))/100)))/(5000/(6000+Inputs!$B$42*(1-(100*(1-(1-(Inputs!$B$19+((C1462=TRUE)*(F1462-Calc!F28)))/100)*(1-CHOOSE(ArtifactsInput!$N$40+1,5,6,7,8,9,10)/100)^(ArtifactsInput!$M$40-ArtifactsInput!$M$40)))/100))))*((L1446*(1-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1446*(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1446*(1-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1446*(MIN(100,(Inputs!$B$9+((C1455=TRUE)*(F1455-Calc!F21))+B1468+(ArtifactsInput!$M$24-ArtifactsInput!$M$24)*CHOOSE(ArtifactsInput!$N$24+1,10,12,14,16,18,20)+(IF(AND(ArtifactsInput!$M$42,((Inputs!$B$9+((C1455=TRUE)*(F1455-Calc!F21))+B1468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6">
        <f>IF(C1446,(H1446*N1446*IF(AND(Inputs!$B$38&lt;&gt;"pvp",Inputs!$B$43&gt;0),((Skills!G12*((R1446-1)*IF(Skills!H12&gt;0,Skills!I12/Skills!H12,1)+IF(Skills!H12&gt;0,MIN(Skills!I12,MAX(0,MAX(0,Inputs!$B$43-B1475)-((R1446-1)*(IF(Inputs!$B$38="pvp",15,MAX(0.1,Skills!D12-IF(Skills!E12=TRUE,Inputs!$B$32,0)))*(1-IF(AND(ArtifactsInput!$M$27,Inputs!$B$4="Chapter Hunt"),CHOOSE(ArtifactsInput!$N$27+1,20,24,28,32,36,40),0)/100)))))/Skills!H12,1)))/Inputs!$B$43),G1446*Q1446))*IF(Inputs!$B$38="pvp",1,(1+(Inputs!$B$21+Skills!Q12+(IF(ArtifactsInput!$M$33,CHOOSE(ArtifactsInput!$N$33+1,30,36,42,48,54,60),0))+(IF(AND(ArtifactsInput!$M$35,Inputs!$B$4&lt;&gt;"Chapter Hunt"),CHOOSE(ArtifactsInput!$N$35+1,15,18,21,24,27,30)*(1-EXP(-(0.2*B1470)*5)),0)+IF(AND(ArtifactsInput!$M$22,Inputs!$B$4&lt;&gt;"Chapter Hunt"),CHOOSE(ArtifactsInput!$N$22+1,10,12,14,16,18,20)*((0*(((0.15*B1470*5))^0/1)+1*(((0.15*B1470*5))^1/1)+2*(((0.15*B1470*5))^2/2)+3*(((0.15*B1470*5))^3/6)+4*(((0.15*B1470*5))^4/24)+5*(((0.15*B1470*5))^5/120))/((((0.15*B1470*5))^0/1)+(((0.15*B1470*5))^1/1)+(((0.15*B1470*5))^2/2)+(((0.15*B1470*5))^3/6)+(((0.15*B1470*5))^4/24)+(((0.15*B1470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7">
      <c r="A1447">
        <f>Skills!A13</f>
        <v/>
      </c>
      <c r="B1447">
        <f>Skills!B13</f>
        <v/>
      </c>
      <c r="C1447">
        <f>Inputs!$B$3&gt;=110</f>
        <v/>
      </c>
      <c r="D1447">
        <f>IF(Skills!C13=1,60+Inputs!$B$25+Inputs!$B$29,IF(Skills!C13=2,90+Inputs!$B$26+Inputs!$B$29,IF(Skills!C13=3,120+Inputs!$B$27+Inputs!$B$29,MAX(0,(Inputs!$B$3-100)*3)+Inputs!$B$28+Inputs!$B$29)))</f>
        <v/>
      </c>
      <c r="E1447">
        <f>INDEX(FactorTable!$B$2:$Y$301, MATCH(ROUND(MIN(300,MAX(1,D1447)),0), FactorTable!$A$2:$A$301,0), Skills!M13+1)</f>
        <v/>
      </c>
      <c r="F1447">
        <f>IF(Skills!N13=TRUE,(Skills!L13/10)*(E1447/1000),Skills!L13/10)+Skills!O13</f>
        <v/>
      </c>
      <c r="G1447" t="inlineStr"/>
      <c r="H1447" t="inlineStr"/>
      <c r="I1447" t="inlineStr">
        <is>
          <t>1</t>
        </is>
      </c>
      <c r="J1447" t="inlineStr"/>
      <c r="K1447" t="inlineStr"/>
      <c r="L1447" t="inlineStr"/>
      <c r="M1447" t="inlineStr"/>
      <c r="N1447" t="inlineStr"/>
      <c r="O1447" t="inlineStr"/>
      <c r="P1447" t="inlineStr"/>
      <c r="Q1447" t="inlineStr"/>
      <c r="R1447" t="inlineStr"/>
      <c r="S1447" t="inlineStr"/>
      <c r="T1447" t="inlineStr"/>
      <c r="V1447" t="inlineStr"/>
    </row>
    <row r="1448">
      <c r="A1448">
        <f>Skills!A14</f>
        <v/>
      </c>
      <c r="B1448">
        <f>Skills!B14</f>
        <v/>
      </c>
      <c r="C1448">
        <f>Inputs!$B$3&gt;=74</f>
        <v/>
      </c>
      <c r="D1448">
        <f>IF(Skills!C14=1,60+Inputs!$B$25+Inputs!$B$29,IF(Skills!C14=2,90+Inputs!$B$26+Inputs!$B$29,IF(Skills!C14=3,120+Inputs!$B$27+Inputs!$B$29,MAX(0,(Inputs!$B$3-100)*3)+Inputs!$B$28+Inputs!$B$29)))</f>
        <v/>
      </c>
      <c r="E1448">
        <f>INDEX(FactorTable!$B$2:$Y$301, MATCH(ROUND(MIN(300,MAX(1,D1448)),0), FactorTable!$A$2:$A$301,0), Skills!M14+1)</f>
        <v/>
      </c>
      <c r="F1448">
        <f>IF(Skills!N14=TRUE,(Skills!L14/10)*(E1448/1000),Skills!L14/10)+Skills!O14</f>
        <v/>
      </c>
      <c r="G1448">
        <f>Skills!G14*IF(Skills!H14&gt;0,Skills!I14/Skills!H14,1)</f>
        <v/>
      </c>
      <c r="H1448">
        <f>1-(1-Skills!J14/100)^Skills!K14</f>
        <v/>
      </c>
      <c r="I1448" t="inlineStr">
        <is>
          <t>1</t>
        </is>
      </c>
      <c r="J1448" t="inlineStr"/>
      <c r="K1448" t="inlineStr"/>
      <c r="L1448" t="inlineStr"/>
      <c r="M1448" t="inlineStr"/>
      <c r="N1448" t="inlineStr"/>
      <c r="O1448">
        <f>(1-Summary!$B$11)*T1448+Summary!$B$11*V1448</f>
        <v/>
      </c>
      <c r="P1448">
        <f>IF(B1478=0,0,O1448/B1478)</f>
        <v/>
      </c>
      <c r="Q1448" t="n">
        <v>0</v>
      </c>
      <c r="R1448" t="n">
        <v>0</v>
      </c>
      <c r="S1448">
        <f>IFERROR(O1448/N1448,0)</f>
        <v/>
      </c>
      <c r="T1448" t="n">
        <v>0</v>
      </c>
      <c r="V1448" t="n">
        <v>0</v>
      </c>
    </row>
    <row r="1449">
      <c r="A1449">
        <f>Skills!A15</f>
        <v/>
      </c>
      <c r="B1449">
        <f>Skills!B15</f>
        <v/>
      </c>
      <c r="C1449">
        <f>Inputs!$B$3&gt;=74</f>
        <v/>
      </c>
      <c r="D1449">
        <f>IF(Skills!C15=1,60+Inputs!$B$25+Inputs!$B$29,IF(Skills!C15=2,90+Inputs!$B$26+Inputs!$B$29,IF(Skills!C15=3,120+Inputs!$B$27+Inputs!$B$29,MAX(0,(Inputs!$B$3-100)*3)+Inputs!$B$28+Inputs!$B$29)))</f>
        <v/>
      </c>
      <c r="E1449">
        <f>INDEX(FactorTable!$B$2:$Y$301, MATCH(ROUND(MIN(300,MAX(1,D1449)),0), FactorTable!$A$2:$A$301,0), Skills!M15+1)</f>
        <v/>
      </c>
      <c r="F1449">
        <f>IF(Skills!N15=TRUE,(Skills!L15/10)*(E1449/1000),Skills!L15/10)+Skills!O15</f>
        <v/>
      </c>
      <c r="G1449">
        <f>Skills!G15*IF(Skills!H15&gt;0,Skills!I15/Skills!H15,1)</f>
        <v/>
      </c>
      <c r="H1449">
        <f>1-(1-Skills!J15/100)^Skills!K15</f>
        <v/>
      </c>
      <c r="I1449" t="inlineStr">
        <is>
          <t>1</t>
        </is>
      </c>
      <c r="J1449" t="inlineStr"/>
      <c r="K1449" t="inlineStr"/>
      <c r="L1449" t="inlineStr"/>
      <c r="M1449" t="inlineStr"/>
      <c r="N1449" t="inlineStr"/>
      <c r="O1449">
        <f>(1-Summary!$B$11)*T1449+Summary!$B$11*V1449</f>
        <v/>
      </c>
      <c r="P1449">
        <f>IF(B1478=0,0,O1449/B1478)</f>
        <v/>
      </c>
      <c r="Q1449" t="n">
        <v>0</v>
      </c>
      <c r="R1449" t="n">
        <v>0</v>
      </c>
      <c r="S1449">
        <f>IFERROR(O1449/N1449,0)</f>
        <v/>
      </c>
      <c r="T1449" t="n">
        <v>0</v>
      </c>
      <c r="V1449" t="n">
        <v>0</v>
      </c>
    </row>
    <row r="1450">
      <c r="A1450">
        <f>Skills!A16</f>
        <v/>
      </c>
      <c r="B1450">
        <f>Skills!B16</f>
        <v/>
      </c>
      <c r="C1450">
        <f>Inputs!$B$3&gt;=117</f>
        <v/>
      </c>
      <c r="D1450">
        <f>IF(Skills!C16=1,60+Inputs!$B$25+Inputs!$B$29,IF(Skills!C16=2,90+Inputs!$B$26+Inputs!$B$29,IF(Skills!C16=3,120+Inputs!$B$27+Inputs!$B$29,MAX(0,(Inputs!$B$3-100)*3)+Inputs!$B$28+Inputs!$B$29)))</f>
        <v/>
      </c>
      <c r="E1450">
        <f>INDEX(FactorTable!$B$2:$Y$301, MATCH(ROUND(MIN(300,MAX(1,D1450)),0), FactorTable!$A$2:$A$301,0), Skills!M16+1)</f>
        <v/>
      </c>
      <c r="F1450">
        <f>IF(Skills!N16=TRUE,(Skills!L16/10)*(E1450/1000),Skills!L16/10)+Skills!O16</f>
        <v/>
      </c>
      <c r="G1450">
        <f>Skills!G16*IF(Skills!H16&gt;0,Skills!I16/Skills!H16,1)</f>
        <v/>
      </c>
      <c r="H1450">
        <f>1-(1-Skills!J16/100)^Skills!K16</f>
        <v/>
      </c>
      <c r="I1450" t="inlineStr">
        <is>
          <t>1</t>
        </is>
      </c>
      <c r="J1450" t="inlineStr"/>
      <c r="K1450" t="inlineStr"/>
      <c r="L1450" t="inlineStr"/>
      <c r="M1450" t="inlineStr"/>
      <c r="N1450" t="inlineStr"/>
      <c r="O1450">
        <f>(1-Summary!$B$11)*T1450+Summary!$B$11*V1450</f>
        <v/>
      </c>
      <c r="P1450">
        <f>IF(B1478=0,0,O1450/B1478)</f>
        <v/>
      </c>
      <c r="Q1450">
        <f>IFERROR(1/(IF(Inputs!$B$38="pvp",15,MAX(0.1,Skills!D16-IF(Skills!E16=TRUE,Inputs!$B$32,0)))*(1-IF(AND(ArtifactsInput!$M$27,Inputs!$B$4="Chapter Hunt"),CHOOSE(ArtifactsInput!$N$27+1,20,24,28,32,36,40),0)/100)),0)</f>
        <v/>
      </c>
      <c r="R1450">
        <f>IF(AND(Inputs!$B$38&lt;&gt;"pvp",Inputs!$B$43&gt;0),IF(Inputs!$B$43&lt;=0,0,(INT(Inputs!$B$43/(IF(Inputs!$B$38="pvp",15,MAX(0.1,Skills!D16-IF(Skills!E16=TRUE,Inputs!$B$32,0)))*(1-IF(AND(ArtifactsInput!$M$27,Inputs!$B$4="Chapter Hunt"),CHOOSE(ArtifactsInput!$N$27+1,20,24,28,32,36,40),0)/100)))+1)),0)</f>
        <v/>
      </c>
      <c r="S1450">
        <f>IFERROR(O1450/N1450,0)</f>
        <v/>
      </c>
      <c r="T1450" t="n">
        <v>0</v>
      </c>
      <c r="V1450" t="n">
        <v>0</v>
      </c>
    </row>
    <row r="1451">
      <c r="A1451">
        <f>Skills!A17</f>
        <v/>
      </c>
      <c r="B1451">
        <f>Skills!B17</f>
        <v/>
      </c>
      <c r="C1451">
        <f>Inputs!$B$3&gt;=115</f>
        <v/>
      </c>
      <c r="D1451">
        <f>IF(Skills!C17=1,60+Inputs!$B$25+Inputs!$B$29,IF(Skills!C17=2,90+Inputs!$B$26+Inputs!$B$29,IF(Skills!C17=3,120+Inputs!$B$27+Inputs!$B$29,MAX(0,(Inputs!$B$3-100)*3)+Inputs!$B$28+Inputs!$B$29)))</f>
        <v/>
      </c>
      <c r="E1451">
        <f>INDEX(FactorTable!$B$2:$Y$301, MATCH(ROUND(MIN(300,MAX(1,D1451)),0), FactorTable!$A$2:$A$301,0), Skills!M17+1)</f>
        <v/>
      </c>
      <c r="F1451">
        <f>IF(Skills!N17=TRUE,(Skills!L17/10)*(E1451/1000),Skills!L17/10)+Skills!O17</f>
        <v/>
      </c>
      <c r="G1451">
        <f>Skills!G17*IF(Skills!H17&gt;0,Skills!I17/Skills!H17,1)</f>
        <v/>
      </c>
      <c r="H1451">
        <f>1-(1-Skills!J17/100)^Skills!K17</f>
        <v/>
      </c>
      <c r="I1451" t="inlineStr">
        <is>
          <t>1</t>
        </is>
      </c>
      <c r="J1451" t="inlineStr"/>
      <c r="K1451" t="inlineStr"/>
      <c r="L1451" t="inlineStr"/>
      <c r="M1451" t="inlineStr"/>
      <c r="N1451" t="inlineStr"/>
      <c r="O1451">
        <f>(1-Summary!$B$11)*T1451+Summary!$B$11*V1451</f>
        <v/>
      </c>
      <c r="P1451">
        <f>IF(B1478=0,0,O1451/B1478)</f>
        <v/>
      </c>
      <c r="Q1451">
        <f>IFERROR(1/(IF(Inputs!$B$38="pvp",15,MAX(0.1,Skills!D17-IF(Skills!E17=TRUE,Inputs!$B$32,0)))*(1-IF(AND(ArtifactsInput!$M$27,Inputs!$B$4="Chapter Hunt"),CHOOSE(ArtifactsInput!$N$27+1,20,24,28,32,36,40),0)/100)),0)</f>
        <v/>
      </c>
      <c r="R1451">
        <f>IF(AND(Inputs!$B$38&lt;&gt;"pvp",Inputs!$B$43&gt;0),IF(Inputs!$B$43&lt;=0,0,(INT(Inputs!$B$43/(IF(Inputs!$B$38="pvp",15,MAX(0.1,Skills!D17-IF(Skills!E17=TRUE,Inputs!$B$32,0)))*(1-IF(AND(ArtifactsInput!$M$27,Inputs!$B$4="Chapter Hunt"),CHOOSE(ArtifactsInput!$N$27+1,20,24,28,32,36,40),0)/100)))+1)),0)</f>
        <v/>
      </c>
      <c r="S1451">
        <f>IFERROR(O1451/N1451,0)</f>
        <v/>
      </c>
      <c r="T1451" t="n">
        <v>0</v>
      </c>
      <c r="V1451" t="n">
        <v>0</v>
      </c>
    </row>
    <row r="1452">
      <c r="A1452">
        <f>Skills!A18</f>
        <v/>
      </c>
      <c r="B1452">
        <f>Skills!B18</f>
        <v/>
      </c>
      <c r="C1452">
        <f>Inputs!$B$3&gt;=66</f>
        <v/>
      </c>
      <c r="D1452">
        <f>IF(Skills!C18=1,60+Inputs!$B$25+Inputs!$B$29,IF(Skills!C18=2,90+Inputs!$B$26+Inputs!$B$29,IF(Skills!C18=3,120+Inputs!$B$27+Inputs!$B$29,MAX(0,(Inputs!$B$3-100)*3)+Inputs!$B$28+Inputs!$B$29)))</f>
        <v/>
      </c>
      <c r="E1452">
        <f>INDEX(FactorTable!$B$2:$Y$301, MATCH(ROUND(MIN(300,MAX(1,D1452)),0), FactorTable!$A$2:$A$301,0), Skills!M18+1)</f>
        <v/>
      </c>
      <c r="F1452">
        <f>IF(Skills!N18=TRUE,(Skills!L18/10)*(E1452/1000),Skills!L18/10)+Skills!O18</f>
        <v/>
      </c>
      <c r="G1452">
        <f>Skills!G18*IF(Skills!H18&gt;0,Skills!I18/Skills!H18,1)</f>
        <v/>
      </c>
      <c r="H1452">
        <f>1-(1-Skills!J18/100)^Skills!K18</f>
        <v/>
      </c>
      <c r="I1452" t="inlineStr">
        <is>
          <t>1</t>
        </is>
      </c>
      <c r="J1452" t="inlineStr"/>
      <c r="K1452" t="inlineStr"/>
      <c r="L1452" t="inlineStr"/>
      <c r="M1452" t="inlineStr"/>
      <c r="N1452" t="inlineStr"/>
      <c r="O1452">
        <f>(1-Summary!$B$11)*T1452+Summary!$B$11*V1452</f>
        <v/>
      </c>
      <c r="P1452">
        <f>IF(B1478=0,0,O1452/B1478)</f>
        <v/>
      </c>
      <c r="Q1452" t="n">
        <v>0</v>
      </c>
      <c r="R1452" t="n">
        <v>0</v>
      </c>
      <c r="S1452">
        <f>IFERROR(O1452/N1452,0)</f>
        <v/>
      </c>
      <c r="T1452" t="n">
        <v>0</v>
      </c>
      <c r="V1452" t="n">
        <v>0</v>
      </c>
    </row>
    <row r="1453">
      <c r="A1453">
        <f>Skills!A19</f>
        <v/>
      </c>
      <c r="B1453">
        <f>Skills!B19</f>
        <v/>
      </c>
      <c r="C1453">
        <f>Inputs!$B$3&gt;=72</f>
        <v/>
      </c>
      <c r="D1453">
        <f>IF(Skills!C19=1,60+Inputs!$B$25+Inputs!$B$29,IF(Skills!C19=2,90+Inputs!$B$26+Inputs!$B$29,IF(Skills!C19=3,120+Inputs!$B$27+Inputs!$B$29,MAX(0,(Inputs!$B$3-100)*3)+Inputs!$B$28+Inputs!$B$29)))</f>
        <v/>
      </c>
      <c r="E1453">
        <f>INDEX(FactorTable!$B$2:$Y$301, MATCH(ROUND(MIN(300,MAX(1,D1453)),0), FactorTable!$A$2:$A$301,0), Skills!M19+1)</f>
        <v/>
      </c>
      <c r="F1453">
        <f>IF(Skills!N19=TRUE,(Skills!L19/10)*(E1453/1000),Skills!L19/10)+Skills!O19</f>
        <v/>
      </c>
      <c r="G1453">
        <f>Skills!G19*IF(Skills!H19&gt;0,Skills!I19/Skills!H19,1)</f>
        <v/>
      </c>
      <c r="H1453">
        <f>1-(1-Skills!J19/100)^Skills!K19</f>
        <v/>
      </c>
      <c r="I1453" t="inlineStr">
        <is>
          <t>1</t>
        </is>
      </c>
      <c r="J1453" t="inlineStr"/>
      <c r="K1453" t="inlineStr"/>
      <c r="L1453" t="inlineStr"/>
      <c r="M1453" t="inlineStr"/>
      <c r="N1453" t="inlineStr"/>
      <c r="O1453">
        <f>(1-Summary!$B$11)*T1453+Summary!$B$11*V1453</f>
        <v/>
      </c>
      <c r="P1453">
        <f>IF(B1478=0,0,O1453/B1478)</f>
        <v/>
      </c>
      <c r="Q1453" t="n">
        <v>0</v>
      </c>
      <c r="R1453" t="n">
        <v>0</v>
      </c>
      <c r="S1453">
        <f>IFERROR(O1453/N1453,0)</f>
        <v/>
      </c>
      <c r="T1453" t="n">
        <v>0</v>
      </c>
      <c r="V1453" t="n">
        <v>0</v>
      </c>
    </row>
    <row r="1454">
      <c r="A1454">
        <f>Skills!A20</f>
        <v/>
      </c>
      <c r="B1454">
        <f>Skills!B20</f>
        <v/>
      </c>
      <c r="C1454">
        <f>TRUE</f>
        <v/>
      </c>
      <c r="D1454">
        <f>IF(Skills!C20=1,60+Inputs!$B$25+Inputs!$B$29,IF(Skills!C20=2,90+Inputs!$B$26+Inputs!$B$29,IF(Skills!C20=3,120+Inputs!$B$27+Inputs!$B$29,MAX(0,(Inputs!$B$3-100)*3)+Inputs!$B$28+Inputs!$B$29)))</f>
        <v/>
      </c>
      <c r="E1454">
        <f>INDEX(FactorTable!$B$2:$Y$301, MATCH(ROUND(MIN(300,MAX(1,D1454)),0), FactorTable!$A$2:$A$301,0), Skills!M20+1)</f>
        <v/>
      </c>
      <c r="F1454">
        <f>IF(Skills!N20=TRUE,(Skills!L20/10)*(E1454/1000),Skills!L20/10)+Skills!O20</f>
        <v/>
      </c>
      <c r="G1454">
        <f>Skills!G20*IF(Skills!H20&gt;0,Skills!I20/Skills!H20,1)</f>
        <v/>
      </c>
      <c r="H1454">
        <f>1-(1-Skills!J20/100)^Skills!K20</f>
        <v/>
      </c>
      <c r="I1454" t="inlineStr">
        <is>
          <t>1</t>
        </is>
      </c>
      <c r="J1454" t="inlineStr"/>
      <c r="K1454" t="inlineStr"/>
      <c r="L1454" t="inlineStr"/>
      <c r="M1454" t="inlineStr"/>
      <c r="N1454" t="inlineStr"/>
      <c r="O1454">
        <f>(1-Summary!$B$11)*T1454+Summary!$B$11*V1454</f>
        <v/>
      </c>
      <c r="P1454">
        <f>IF(B1478=0,0,O1454/B1478)</f>
        <v/>
      </c>
      <c r="Q1454">
        <f>IFERROR(1/(IF(Inputs!$B$38="pvp",15,MAX(0.1,Skills!D20-IF(Skills!E20=TRUE,Inputs!$B$32,0)))*(1-IF(AND(ArtifactsInput!$M$27,Inputs!$B$4="Chapter Hunt"),CHOOSE(ArtifactsInput!$N$27+1,20,24,28,32,36,40),0)/100)),0)</f>
        <v/>
      </c>
      <c r="R1454">
        <f>IF(AND(Inputs!$B$38&lt;&gt;"pvp",Inputs!$B$43&gt;0),IF(Inputs!$B$43&lt;=0,0,(INT(Inputs!$B$43/(IF(Inputs!$B$38="pvp",15,MAX(0.1,Skills!D20-IF(Skills!E20=TRUE,Inputs!$B$32,0)))*(1-IF(AND(ArtifactsInput!$M$27,Inputs!$B$4="Chapter Hunt"),CHOOSE(ArtifactsInput!$N$27+1,20,24,28,32,36,40),0)/100)))+1)),0)</f>
        <v/>
      </c>
      <c r="S1454">
        <f>IFERROR(O1454/N1454,0)</f>
        <v/>
      </c>
      <c r="T1454" t="n">
        <v>0</v>
      </c>
      <c r="V1454" t="n">
        <v>0</v>
      </c>
    </row>
    <row r="1455">
      <c r="A1455">
        <f>Skills!A21</f>
        <v/>
      </c>
      <c r="B1455">
        <f>Skills!B21</f>
        <v/>
      </c>
      <c r="C1455">
        <f>Inputs!$B$3&gt;=15</f>
        <v/>
      </c>
      <c r="D1455">
        <f>IF(Skills!C21=1,60+Inputs!$B$25+Inputs!$B$29,IF(Skills!C21=2,90+Inputs!$B$26+Inputs!$B$29,IF(Skills!C21=3,120+Inputs!$B$27+Inputs!$B$29,MAX(0,(Inputs!$B$3-100)*3)+Inputs!$B$28+Inputs!$B$29)))</f>
        <v/>
      </c>
      <c r="E1455">
        <f>INDEX(FactorTable!$B$2:$Y$301, MATCH(ROUND(MIN(300,MAX(1,D1455)),0), FactorTable!$A$2:$A$301,0), Skills!M21+1)</f>
        <v/>
      </c>
      <c r="F1455">
        <f>IF(Skills!N21=TRUE,(Skills!L21/10)*(E1455/1000),Skills!L21/10)+Skills!O21</f>
        <v/>
      </c>
      <c r="G1455">
        <f>Skills!G21*IF(Skills!H21&gt;0,Skills!I21/Skills!H21,1)</f>
        <v/>
      </c>
      <c r="H1455">
        <f>1-(1-Skills!J21/100)^Skills!K21</f>
        <v/>
      </c>
      <c r="I1455" t="inlineStr">
        <is>
          <t>1</t>
        </is>
      </c>
      <c r="J1455" t="inlineStr"/>
      <c r="K1455" t="inlineStr"/>
      <c r="L1455" t="inlineStr"/>
      <c r="M1455" t="inlineStr"/>
      <c r="N1455" t="inlineStr"/>
      <c r="O1455">
        <f>(1-Summary!$B$11)*T1455+Summary!$B$11*V1455</f>
        <v/>
      </c>
      <c r="P1455">
        <f>IF(B1478=0,0,O1455/B1478)</f>
        <v/>
      </c>
      <c r="Q1455" t="n">
        <v>0</v>
      </c>
      <c r="R1455" t="n">
        <v>0</v>
      </c>
      <c r="S1455">
        <f>IFERROR(O1455/N1455,0)</f>
        <v/>
      </c>
      <c r="T1455" t="n">
        <v>0</v>
      </c>
      <c r="V1455" t="n">
        <v>0</v>
      </c>
    </row>
    <row r="1456">
      <c r="A1456">
        <f>Skills!A22</f>
        <v/>
      </c>
      <c r="B1456">
        <f>Skills!B22</f>
        <v/>
      </c>
      <c r="C1456">
        <f>Inputs!$B$3&gt;=10</f>
        <v/>
      </c>
      <c r="D1456">
        <f>IF(Skills!C22=1,60+Inputs!$B$25+Inputs!$B$29,IF(Skills!C22=2,90+Inputs!$B$26+Inputs!$B$29,IF(Skills!C22=3,120+Inputs!$B$27+Inputs!$B$29,MAX(0,(Inputs!$B$3-100)*3)+Inputs!$B$28+Inputs!$B$29)))</f>
        <v/>
      </c>
      <c r="E1456">
        <f>INDEX(FactorTable!$B$2:$Y$301, MATCH(ROUND(MIN(300,MAX(1,D1456)),0), FactorTable!$A$2:$A$301,0), Skills!M22+1)</f>
        <v/>
      </c>
      <c r="F1456">
        <f>IF(Skills!N22=TRUE,(Skills!L22/10)*(E1456/1000),Skills!L22/10)+Skills!O22</f>
        <v/>
      </c>
      <c r="G1456">
        <f>Skills!G22*IF(Skills!H22&gt;0,Skills!I22/Skills!H22,1)</f>
        <v/>
      </c>
      <c r="H1456">
        <f>1-(1-Skills!J22/100)^Skills!K22</f>
        <v/>
      </c>
      <c r="I1456" t="inlineStr">
        <is>
          <t>1</t>
        </is>
      </c>
      <c r="J1456" t="inlineStr"/>
      <c r="K1456" t="inlineStr"/>
      <c r="L1456" t="inlineStr"/>
      <c r="M1456" t="inlineStr"/>
      <c r="N1456" t="inlineStr"/>
      <c r="O1456">
        <f>(1-Summary!$B$11)*T1456+Summary!$B$11*V1456</f>
        <v/>
      </c>
      <c r="P1456">
        <f>IF(B1478=0,0,O1456/B1478)</f>
        <v/>
      </c>
      <c r="Q1456" t="n">
        <v>0</v>
      </c>
      <c r="R1456" t="n">
        <v>0</v>
      </c>
      <c r="S1456">
        <f>IFERROR(O1456/N1456,0)</f>
        <v/>
      </c>
      <c r="T1456" t="n">
        <v>0</v>
      </c>
      <c r="V1456" t="n">
        <v>0</v>
      </c>
    </row>
    <row r="1457">
      <c r="A1457">
        <f>Skills!A23</f>
        <v/>
      </c>
      <c r="B1457">
        <f>Skills!B23</f>
        <v/>
      </c>
      <c r="C1457">
        <f>Inputs!$B$3&gt;=33</f>
        <v/>
      </c>
      <c r="D1457">
        <f>IF(Skills!C23=1,60+Inputs!$B$25+Inputs!$B$29,IF(Skills!C23=2,90+Inputs!$B$26+Inputs!$B$29,IF(Skills!C23=3,120+Inputs!$B$27+Inputs!$B$29,MAX(0,(Inputs!$B$3-100)*3)+Inputs!$B$28+Inputs!$B$29)))</f>
        <v/>
      </c>
      <c r="E1457">
        <f>INDEX(FactorTable!$B$2:$Y$301, MATCH(ROUND(MIN(300,MAX(1,D1457)),0), FactorTable!$A$2:$A$301,0), Skills!M23+1)</f>
        <v/>
      </c>
      <c r="F1457">
        <f>IF(Skills!N23=TRUE,(Skills!L23/10)*(E1457/1000),Skills!L23/10)+Skills!O23</f>
        <v/>
      </c>
      <c r="G1457">
        <f>Skills!G23*IF(Skills!H23&gt;0,Skills!I23/Skills!H23,1)</f>
        <v/>
      </c>
      <c r="H1457">
        <f>1-(1-Skills!J23/100)^Skills!K23</f>
        <v/>
      </c>
      <c r="I1457" t="inlineStr">
        <is>
          <t>1</t>
        </is>
      </c>
      <c r="J1457" t="inlineStr"/>
      <c r="K1457" t="inlineStr"/>
      <c r="L1457" t="inlineStr"/>
      <c r="M1457" t="inlineStr"/>
      <c r="N1457" t="inlineStr"/>
      <c r="O1457">
        <f>(1-Summary!$B$11)*T1457+Summary!$B$11*V1457</f>
        <v/>
      </c>
      <c r="P1457">
        <f>IF(B1478=0,0,O1457/B1478)</f>
        <v/>
      </c>
      <c r="Q1457" t="n">
        <v>0</v>
      </c>
      <c r="R1457" t="n">
        <v>0</v>
      </c>
      <c r="S1457">
        <f>IFERROR(O1457/N1457,0)</f>
        <v/>
      </c>
      <c r="T1457" t="n">
        <v>0</v>
      </c>
      <c r="V1457" t="n">
        <v>0</v>
      </c>
    </row>
    <row r="1458">
      <c r="A1458">
        <f>Skills!A24</f>
        <v/>
      </c>
      <c r="B1458">
        <f>Skills!B24</f>
        <v/>
      </c>
      <c r="C1458">
        <f>Inputs!$B$3&gt;=38</f>
        <v/>
      </c>
      <c r="D1458">
        <f>IF(Skills!C24=1,60+Inputs!$B$25+Inputs!$B$29,IF(Skills!C24=2,90+Inputs!$B$26+Inputs!$B$29,IF(Skills!C24=3,120+Inputs!$B$27+Inputs!$B$29,MAX(0,(Inputs!$B$3-100)*3)+Inputs!$B$28+Inputs!$B$29)))</f>
        <v/>
      </c>
      <c r="E1458">
        <f>INDEX(FactorTable!$B$2:$Y$301, MATCH(ROUND(MIN(300,MAX(1,D1458)),0), FactorTable!$A$2:$A$301,0), Skills!M24+1)</f>
        <v/>
      </c>
      <c r="F1458">
        <f>IF(Skills!N24=TRUE,(Skills!L24/10)*(E1458/1000),Skills!L24/10)+Skills!O24</f>
        <v/>
      </c>
      <c r="G1458">
        <f>Skills!G24*IF(Skills!H24&gt;0,Skills!I24/Skills!H24,1)</f>
        <v/>
      </c>
      <c r="H1458">
        <f>1-(1-Skills!J24/100)^Skills!K24</f>
        <v/>
      </c>
      <c r="I1458" t="inlineStr">
        <is>
          <t>1</t>
        </is>
      </c>
      <c r="J1458" t="inlineStr"/>
      <c r="K1458" t="inlineStr"/>
      <c r="L1458" t="inlineStr"/>
      <c r="M1458" t="inlineStr"/>
      <c r="N1458" t="inlineStr"/>
      <c r="O1458">
        <f>(1-Summary!$B$11)*T1458+Summary!$B$11*V1458</f>
        <v/>
      </c>
      <c r="P1458">
        <f>IF(B1478=0,0,O1458/B1478)</f>
        <v/>
      </c>
      <c r="Q1458" t="n">
        <v>0</v>
      </c>
      <c r="R1458" t="n">
        <v>0</v>
      </c>
      <c r="S1458">
        <f>IFERROR(O1458/N1458,0)</f>
        <v/>
      </c>
      <c r="T1458" t="n">
        <v>0</v>
      </c>
      <c r="V1458" t="n">
        <v>0</v>
      </c>
    </row>
    <row r="1459">
      <c r="A1459">
        <f>Skills!A25</f>
        <v/>
      </c>
      <c r="B1459">
        <f>Skills!B25</f>
        <v/>
      </c>
      <c r="C1459">
        <f>Inputs!$B$3&gt;=43</f>
        <v/>
      </c>
      <c r="D1459">
        <f>IF(Skills!C25=1,60+Inputs!$B$25+Inputs!$B$29,IF(Skills!C25=2,90+Inputs!$B$26+Inputs!$B$29,IF(Skills!C25=3,120+Inputs!$B$27+Inputs!$B$29,MAX(0,(Inputs!$B$3-100)*3)+Inputs!$B$28+Inputs!$B$29)))</f>
        <v/>
      </c>
      <c r="E1459">
        <f>INDEX(FactorTable!$B$2:$Y$301, MATCH(ROUND(MIN(300,MAX(1,D1459)),0), FactorTable!$A$2:$A$301,0), Skills!M25+1)</f>
        <v/>
      </c>
      <c r="F1459">
        <f>IF(Skills!N25=TRUE,(Skills!L25/10)*(E1459/1000),Skills!L25/10)+Skills!O25</f>
        <v/>
      </c>
      <c r="G1459">
        <f>Skills!G25*IF(Skills!H25&gt;0,Skills!I25/Skills!H25,1)</f>
        <v/>
      </c>
      <c r="H1459">
        <f>1-(1-Skills!J25/100)^Skills!K25</f>
        <v/>
      </c>
      <c r="I1459" t="inlineStr">
        <is>
          <t>1</t>
        </is>
      </c>
      <c r="J1459" t="inlineStr"/>
      <c r="K1459" t="inlineStr"/>
      <c r="L1459" t="inlineStr"/>
      <c r="M1459" t="inlineStr"/>
      <c r="N1459" t="inlineStr"/>
      <c r="O1459">
        <f>(1-Summary!$B$11)*T1459+Summary!$B$11*V1459</f>
        <v/>
      </c>
      <c r="P1459">
        <f>IF(B1478=0,0,O1459/B1478)</f>
        <v/>
      </c>
      <c r="Q1459" t="n">
        <v>0</v>
      </c>
      <c r="R1459" t="n">
        <v>0</v>
      </c>
      <c r="S1459">
        <f>IFERROR(O1459/N1459,0)</f>
        <v/>
      </c>
      <c r="T1459" t="n">
        <v>0</v>
      </c>
      <c r="V1459" t="n">
        <v>0</v>
      </c>
    </row>
    <row r="1460">
      <c r="A1460">
        <f>Skills!A26</f>
        <v/>
      </c>
      <c r="B1460">
        <f>Skills!B26</f>
        <v/>
      </c>
      <c r="C1460">
        <f>Inputs!$B$3&gt;=75</f>
        <v/>
      </c>
      <c r="D1460">
        <f>IF(Skills!C26=1,60+Inputs!$B$25+Inputs!$B$29,IF(Skills!C26=2,90+Inputs!$B$26+Inputs!$B$29,IF(Skills!C26=3,120+Inputs!$B$27+Inputs!$B$29,MAX(0,(Inputs!$B$3-100)*3)+Inputs!$B$28+Inputs!$B$29)))</f>
        <v/>
      </c>
      <c r="E1460">
        <f>INDEX(FactorTable!$B$2:$Y$301, MATCH(ROUND(MIN(300,MAX(1,D1460)),0), FactorTable!$A$2:$A$301,0), Skills!M26+1)</f>
        <v/>
      </c>
      <c r="F1460">
        <f>IF(Skills!N26=TRUE,(Skills!L26/10)*(E1460/1000),Skills!L26/10)+Skills!O26</f>
        <v/>
      </c>
      <c r="G1460">
        <f>Skills!G26*IF(Skills!H26&gt;0,Skills!I26/Skills!H26,1)</f>
        <v/>
      </c>
      <c r="H1460">
        <f>1-(1-Skills!J26/100)^Skills!K26</f>
        <v/>
      </c>
      <c r="I1460" t="inlineStr">
        <is>
          <t>1</t>
        </is>
      </c>
      <c r="J1460" t="inlineStr"/>
      <c r="K1460" t="inlineStr"/>
      <c r="L1460" t="inlineStr"/>
      <c r="M1460" t="inlineStr"/>
      <c r="N1460" t="inlineStr"/>
      <c r="O1460">
        <f>(1-Summary!$B$11)*T1460+Summary!$B$11*V1460</f>
        <v/>
      </c>
      <c r="P1460">
        <f>IF(B1478=0,0,O1460/B1478)</f>
        <v/>
      </c>
      <c r="Q1460" t="n">
        <v>0</v>
      </c>
      <c r="R1460" t="n">
        <v>0</v>
      </c>
      <c r="S1460">
        <f>IFERROR(O1460/N1460,0)</f>
        <v/>
      </c>
      <c r="T1460" t="n">
        <v>0</v>
      </c>
      <c r="V1460" t="n">
        <v>0</v>
      </c>
    </row>
    <row r="1461">
      <c r="A1461">
        <f>Skills!A27</f>
        <v/>
      </c>
      <c r="B1461">
        <f>Skills!B27</f>
        <v/>
      </c>
      <c r="C1461">
        <f>Inputs!$B$3&gt;=125</f>
        <v/>
      </c>
      <c r="D1461">
        <f>IF(Skills!C27=1,60+Inputs!$B$25+Inputs!$B$29,IF(Skills!C27=2,90+Inputs!$B$26+Inputs!$B$29,IF(Skills!C27=3,120+Inputs!$B$27+Inputs!$B$29,MAX(0,(Inputs!$B$3-100)*3)+Inputs!$B$28+Inputs!$B$29)))</f>
        <v/>
      </c>
      <c r="E1461">
        <f>INDEX(FactorTable!$B$2:$Y$301, MATCH(ROUND(MIN(300,MAX(1,D1461)),0), FactorTable!$A$2:$A$301,0), Skills!M27+1)</f>
        <v/>
      </c>
      <c r="F1461">
        <f>IF(Skills!N27=TRUE,(Skills!L27/10)*(E1461/1000),Skills!L27/10)+Skills!O27</f>
        <v/>
      </c>
      <c r="G1461">
        <f>Skills!G27*IF(Skills!H27&gt;0,Skills!I27/Skills!H27,1)</f>
        <v/>
      </c>
      <c r="H1461">
        <f>1-(1-Skills!J27/100)^Skills!K27</f>
        <v/>
      </c>
      <c r="I1461" t="inlineStr">
        <is>
          <t>1</t>
        </is>
      </c>
      <c r="J1461" t="inlineStr"/>
      <c r="K1461" t="inlineStr"/>
      <c r="L1461" t="inlineStr"/>
      <c r="M1461" t="inlineStr"/>
      <c r="N1461" t="inlineStr"/>
      <c r="O1461">
        <f>(1-Summary!$B$11)*T1461+Summary!$B$11*V1461</f>
        <v/>
      </c>
      <c r="P1461">
        <f>IF(B1478=0,0,O1461/B1478)</f>
        <v/>
      </c>
      <c r="Q1461" t="n">
        <v>0</v>
      </c>
      <c r="R1461" t="n">
        <v>0</v>
      </c>
      <c r="S1461">
        <f>IFERROR(O1461/N1461,0)</f>
        <v/>
      </c>
      <c r="T1461" t="n">
        <v>0</v>
      </c>
      <c r="V1461" t="n">
        <v>0</v>
      </c>
    </row>
    <row r="1462">
      <c r="A1462">
        <f>Skills!A28</f>
        <v/>
      </c>
      <c r="B1462">
        <f>Skills!B28</f>
        <v/>
      </c>
      <c r="C1462">
        <f>Inputs!$B$3&gt;=125</f>
        <v/>
      </c>
      <c r="D1462">
        <f>IF(Skills!C28=1,60+Inputs!$B$25+Inputs!$B$29,IF(Skills!C28=2,90+Inputs!$B$26+Inputs!$B$29,IF(Skills!C28=3,120+Inputs!$B$27+Inputs!$B$29,MAX(0,(Inputs!$B$3-100)*3)+Inputs!$B$28+Inputs!$B$29)))</f>
        <v/>
      </c>
      <c r="E1462">
        <f>INDEX(FactorTable!$B$2:$Y$301, MATCH(ROUND(MIN(300,MAX(1,D1462)),0), FactorTable!$A$2:$A$301,0), Skills!M28+1)</f>
        <v/>
      </c>
      <c r="F1462">
        <f>IF(Skills!N28=TRUE,(Skills!L28/10)*(E1462/1000),Skills!L28/10)+Skills!O28</f>
        <v/>
      </c>
      <c r="G1462">
        <f>Skills!G28*IF(Skills!H28&gt;0,Skills!I28/Skills!H28,1)</f>
        <v/>
      </c>
      <c r="H1462">
        <f>1-(1-Skills!J28/100)^Skills!K28</f>
        <v/>
      </c>
      <c r="I1462" t="inlineStr">
        <is>
          <t>1</t>
        </is>
      </c>
      <c r="J1462" t="inlineStr"/>
      <c r="K1462" t="inlineStr"/>
      <c r="L1462" t="inlineStr"/>
      <c r="M1462" t="inlineStr"/>
      <c r="N1462" t="inlineStr"/>
      <c r="O1462">
        <f>(1-Summary!$B$11)*T1462+Summary!$B$11*V1462</f>
        <v/>
      </c>
      <c r="P1462">
        <f>IF(B1478=0,0,O1462/B1478)</f>
        <v/>
      </c>
      <c r="Q1462" t="n">
        <v>0</v>
      </c>
      <c r="R1462" t="n">
        <v>0</v>
      </c>
      <c r="S1462">
        <f>IFERROR(O1462/N1462,0)</f>
        <v/>
      </c>
      <c r="T1462" t="n">
        <v>0</v>
      </c>
      <c r="V1462" t="n">
        <v>0</v>
      </c>
    </row>
    <row r="1463">
      <c r="A1463">
        <f>Skills!A29</f>
        <v/>
      </c>
      <c r="B1463">
        <f>Skills!B29</f>
        <v/>
      </c>
      <c r="C1463">
        <f>Inputs!$B$3&gt;=120</f>
        <v/>
      </c>
      <c r="D1463">
        <f>IF(Skills!C29=1,60+Inputs!$B$25+Inputs!$B$29,IF(Skills!C29=2,90+Inputs!$B$26+Inputs!$B$29,IF(Skills!C29=3,120+Inputs!$B$27+Inputs!$B$29,MAX(0,(Inputs!$B$3-100)*3)+Inputs!$B$28+Inputs!$B$29)))</f>
        <v/>
      </c>
      <c r="E1463">
        <f>INDEX(FactorTable!$B$2:$Y$301, MATCH(ROUND(MIN(300,MAX(1,D1463)),0), FactorTable!$A$2:$A$301,0), Skills!M29+1)</f>
        <v/>
      </c>
      <c r="F1463">
        <f>IF(Skills!N29=TRUE,(Skills!L29/10)*(E1463/1000),Skills!L29/10)+Skills!O29</f>
        <v/>
      </c>
      <c r="G1463">
        <f>Skills!G29*IF(Skills!H29&gt;0,Skills!I29/Skills!H29,1)</f>
        <v/>
      </c>
      <c r="H1463">
        <f>1-(1-Skills!J29/100)^Skills!K29</f>
        <v/>
      </c>
      <c r="I1463" t="inlineStr">
        <is>
          <t>1</t>
        </is>
      </c>
      <c r="J1463" t="inlineStr"/>
      <c r="K1463" t="inlineStr"/>
      <c r="L1463" t="inlineStr"/>
      <c r="M1463" t="inlineStr"/>
      <c r="N1463" t="inlineStr"/>
      <c r="O1463">
        <f>(1-Summary!$B$11)*T1463+Summary!$B$11*V1463</f>
        <v/>
      </c>
      <c r="P1463">
        <f>IF(B1478=0,0,O1463/B1478)</f>
        <v/>
      </c>
      <c r="Q1463" t="n">
        <v>0</v>
      </c>
      <c r="R1463" t="n">
        <v>0</v>
      </c>
      <c r="S1463">
        <f>IFERROR(O1463/N1463,0)</f>
        <v/>
      </c>
      <c r="T1463" t="n">
        <v>0</v>
      </c>
      <c r="V1463" t="n">
        <v>0</v>
      </c>
    </row>
    <row r="1464">
      <c r="A1464">
        <f>Skills!A30</f>
        <v/>
      </c>
      <c r="B1464">
        <f>Skills!B30</f>
        <v/>
      </c>
      <c r="C1464">
        <f>Inputs!$B$3&gt;=120</f>
        <v/>
      </c>
      <c r="D1464">
        <f>IF(Skills!C30=1,60+Inputs!$B$25+Inputs!$B$29,IF(Skills!C30=2,90+Inputs!$B$26+Inputs!$B$29,IF(Skills!C30=3,120+Inputs!$B$27+Inputs!$B$29,MAX(0,(Inputs!$B$3-100)*3)+Inputs!$B$28+Inputs!$B$29)))</f>
        <v/>
      </c>
      <c r="E1464">
        <f>INDEX(FactorTable!$B$2:$Y$301, MATCH(ROUND(MIN(300,MAX(1,D1464)),0), FactorTable!$A$2:$A$301,0), Skills!M30+1)</f>
        <v/>
      </c>
      <c r="F1464">
        <f>IF(Skills!N30=TRUE,(Skills!L30/10)*(E1464/1000),Skills!L30/10)+Skills!O30</f>
        <v/>
      </c>
      <c r="G1464">
        <f>Skills!G30*IF(Skills!H30&gt;0,Skills!I30/Skills!H30,1)</f>
        <v/>
      </c>
      <c r="H1464">
        <f>1-(1-Skills!J30/100)^Skills!K30</f>
        <v/>
      </c>
      <c r="I1464" t="inlineStr">
        <is>
          <t>1</t>
        </is>
      </c>
      <c r="J1464" t="inlineStr"/>
      <c r="K1464" t="inlineStr"/>
      <c r="L1464" t="inlineStr"/>
      <c r="M1464" t="inlineStr"/>
      <c r="N1464" t="inlineStr"/>
      <c r="O1464">
        <f>(1-Summary!$B$11)*T1464+Summary!$B$11*V1464</f>
        <v/>
      </c>
      <c r="P1464">
        <f>IF(B1478=0,0,O1464/B1478)</f>
        <v/>
      </c>
      <c r="Q1464" t="n">
        <v>0</v>
      </c>
      <c r="R1464" t="n">
        <v>0</v>
      </c>
      <c r="S1464">
        <f>IFERROR(O1464/N1464,0)</f>
        <v/>
      </c>
      <c r="T1464" t="n">
        <v>0</v>
      </c>
      <c r="V1464" t="n">
        <v>0</v>
      </c>
    </row>
    <row r="1465">
      <c r="A1465">
        <f>Skills!A31</f>
        <v/>
      </c>
      <c r="B1465">
        <f>Skills!B31</f>
        <v/>
      </c>
      <c r="C1465">
        <f>Inputs!$B$3&gt;=45</f>
        <v/>
      </c>
      <c r="D1465">
        <f>IF(Skills!C31=1,60+Inputs!$B$25+Inputs!$B$29,IF(Skills!C31=2,90+Inputs!$B$26+Inputs!$B$29,IF(Skills!C31=3,120+Inputs!$B$27+Inputs!$B$29,MAX(0,(Inputs!$B$3-100)*3)+Inputs!$B$28+Inputs!$B$29)))</f>
        <v/>
      </c>
      <c r="E1465">
        <f>INDEX(FactorTable!$B$2:$Y$301, MATCH(ROUND(MIN(300,MAX(1,D1465)),0), FactorTable!$A$2:$A$301,0), Skills!M31+1)</f>
        <v/>
      </c>
      <c r="F1465">
        <f>IF(Skills!N31=TRUE,(Skills!L31/10)*(E1465/1000),Skills!L31/10)+Skills!O31</f>
        <v/>
      </c>
      <c r="G1465">
        <f>Skills!G31*IF(Skills!H31&gt;0,Skills!I31/Skills!H31,1)</f>
        <v/>
      </c>
      <c r="H1465">
        <f>1-(1-Skills!J31/100)^Skills!K31</f>
        <v/>
      </c>
      <c r="I1465" t="inlineStr">
        <is>
          <t>1</t>
        </is>
      </c>
      <c r="J1465" t="inlineStr"/>
      <c r="K1465" t="inlineStr"/>
      <c r="L1465" t="inlineStr"/>
      <c r="M1465" t="inlineStr"/>
      <c r="N1465" t="inlineStr"/>
      <c r="O1465">
        <f>(1-Summary!$B$11)*T1465+Summary!$B$11*V1465</f>
        <v/>
      </c>
      <c r="P1465">
        <f>IF(B1478=0,0,O1465/B1478)</f>
        <v/>
      </c>
      <c r="Q1465" t="n">
        <v>0</v>
      </c>
      <c r="R1465" t="n">
        <v>0</v>
      </c>
      <c r="S1465">
        <f>IFERROR(O1465/N1465,0)</f>
        <v/>
      </c>
      <c r="T1465" t="n">
        <v>0</v>
      </c>
      <c r="V1465" t="n">
        <v>0</v>
      </c>
    </row>
    <row r="1467">
      <c r="A1467" t="inlineStr">
        <is>
          <t>Attack% Bucket Multiplier</t>
        </is>
      </c>
      <c r="B1467">
        <f>(1+(((C1448=TRUE)*F1448)+((C1449=TRUE)*IF(Inputs!$B$38="pvp",F1449,(1-Summary!$B$11)*(F1449)+Summary!$B$11*(0)))+((C1450=TRUE)*F1450*IF(AND(Inputs!$B$38&lt;&gt;"pvp",Inputs!$B$43&gt;0),(((R1450-1)*(Skills!T16*(1+Inputs!$B$34/100))+MIN((Skills!T16*(1+Inputs!$B$34/100)),MAX(0,Inputs!$B$43-((R1450-1)*Skills!D16))))/Inputs!$B$43),IF(Inputs!$B$38="pvp",MIN((Skills!T16*(1+Inputs!$B$34/100)),15)/15,(Skills!T16*(1+Inputs!$B$34/100))/Skills!D16)))+((C1465=TRUE)*(F1465-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68">
      <c r="A1468" t="inlineStr">
        <is>
          <t>Global Crit Rate Bonus %</t>
        </is>
      </c>
      <c r="B1468">
        <f>(C1451=TRUE)*20*IF(AND(Inputs!$B$38&lt;&gt;"pvp",Inputs!$B$43&gt;0),(((R1451-1)*(Skills!T17*(1+Inputs!$B$34/100))+MIN((Skills!T17*(1+Inputs!$B$34/100)),MAX(0,Inputs!$B$43-((R1451-1)*Skills!D17))))/Inputs!$B$43),IF(Inputs!$B$38="pvp",MIN((Skills!T17*(1+Inputs!$B$34/100)),15)/15,(Skills!T17*(1+Inputs!$B$34/100))/Skills!D17))</f>
        <v/>
      </c>
    </row>
    <row r="1469">
      <c r="A1469" t="inlineStr">
        <is>
          <t>Attack Speed Buff Bonus %</t>
        </is>
      </c>
      <c r="B1469">
        <f>((C1454=TRUE)*F1454*IF(AND(Inputs!$B$38&lt;&gt;"pvp",Inputs!$B$43&gt;0),(((R1454-1)*(Skills!T20*(1+Inputs!$B$34/100))+MIN((Skills!T20*(1+Inputs!$B$34/100)),MAX(0,Inputs!$B$43-((R1454-1)*Skills!D20))))/Inputs!$B$43),IF(Inputs!$B$38="pvp",MIN((Skills!T20*(1+Inputs!$B$34/100)),15)/15,(Skills!T20*(1+Inputs!$B$34/100))/Skills!D20)))</f>
        <v/>
      </c>
    </row>
    <row r="1470">
      <c r="A1470" t="inlineStr">
        <is>
          <t>Actions Per Second</t>
        </is>
      </c>
      <c r="B1470">
        <f>1+MIN(150,150*(1-(1-(Inputs!$B$11+((C1456=TRUE)*(F1456-Calc!F22))+((C1457=TRUE)*(F1457-Calc!F23)))/150)*(1-B1469/150)))/100</f>
        <v/>
      </c>
    </row>
    <row r="1471">
      <c r="A1471" t="inlineStr">
        <is>
          <t>Skill + Buff Cast Rate</t>
        </is>
      </c>
      <c r="B1471">
        <f>IF(AND(Inputs!$B$38&lt;&gt;"pvp",Inputs!$B$43&gt;0),SUMPRODUCT((Skills!E2:E31=TRUE)*(C1436:C1465=TRUE)*R1436:R1465*Skills!F2:F31)/Inputs!$B$43,SUMPRODUCT((Skills!E2:E31=TRUE)*(C1436:C1465=TRUE)*Q1436:Q1465*Skills!F2:F31))</f>
        <v/>
      </c>
    </row>
    <row r="1472">
      <c r="A1472" t="inlineStr">
        <is>
          <t>Arrow Stream Casts Per Second</t>
        </is>
      </c>
      <c r="B1472">
        <f>MAX(0,B1470-B1471)</f>
        <v/>
      </c>
    </row>
    <row r="1473">
      <c r="A1473" t="inlineStr">
        <is>
          <t>Global Critical Damage Bonus % (Sharp Eyes + Concentration)</t>
        </is>
      </c>
      <c r="B1473">
        <f>(C1451=TRUE)*F1451*IF(AND(Inputs!$B$38&lt;&gt;"pvp",Inputs!$B$43&gt;0),(((R1451-1)*(Skills!T17*(1+Inputs!$B$34/100))+MIN((Skills!T17*(1+Inputs!$B$34/100)),MAX(0,Inputs!$B$43-((R1451-1)*Skills!D17))))/Inputs!$B$43),IF(Inputs!$B$38="pvp",MIN((Skills!T17*(1+Inputs!$B$34/100)),15)/15,(Skills!T17*(1+Inputs!$B$34/100))/Skills!D17))+(C1452=TRUE)*30</f>
        <v/>
      </c>
    </row>
    <row r="1474">
      <c r="A1474" t="inlineStr">
        <is>
          <t>Global Final Damage Bonus % (Mortal Blow)</t>
        </is>
      </c>
      <c r="B1474">
        <f>(C1453=TRUE)*F1453</f>
        <v/>
      </c>
    </row>
    <row r="1475">
      <c r="A1475" t="inlineStr">
        <is>
          <t>Buff-Casting Startup Delay (s, fixed-duration only)</t>
        </is>
      </c>
      <c r="B1475">
        <f>IF(AND(Inputs!$B$38&lt;&gt;"pvp",Inputs!$B$43&gt;0),SUMPRODUCT((Skills!T2:T31&gt;0)*(Skills!E2:E31=TRUE)*(C1436:C1465=TRUE))/B1470,0)</f>
        <v/>
      </c>
    </row>
    <row r="1476">
      <c r="A1476" t="inlineStr">
        <is>
          <t>Boss-Only Total DPS (this block's swept value)</t>
        </is>
      </c>
      <c r="B1476">
        <f>SUM(T1436:T1465)</f>
        <v/>
      </c>
    </row>
    <row r="1477">
      <c r="A1477" t="inlineStr">
        <is>
          <t>Normal-Only Total DPS (this block's swept value)</t>
        </is>
      </c>
      <c r="B1477">
        <f>SUM(V1436:V1465)</f>
        <v/>
      </c>
    </row>
    <row r="1478">
      <c r="A1478" s="6" t="inlineStr">
        <is>
          <t>TOTAL DPS</t>
        </is>
      </c>
      <c r="B1478" s="6">
        <f>SUM(O1436:O1465)</f>
        <v/>
      </c>
    </row>
    <row r="1481">
      <c r="A1481" s="6" t="inlineStr">
        <is>
          <t>Stat: Rainbow-colored Snail Shell (Equip)</t>
        </is>
      </c>
    </row>
    <row r="1482">
      <c r="A1482" s="5" t="inlineStr">
        <is>
          <t>Key</t>
        </is>
      </c>
      <c r="B1482" s="5" t="inlineStr">
        <is>
          <t>Name</t>
        </is>
      </c>
      <c r="C1482" s="5" t="inlineStr">
        <is>
          <t>Unlocked</t>
        </is>
      </c>
      <c r="D1482" s="5" t="inlineStr">
        <is>
          <t>InputLevel</t>
        </is>
      </c>
      <c r="E1482" s="5" t="inlineStr">
        <is>
          <t>Factor</t>
        </is>
      </c>
      <c r="F1482" s="5" t="inlineStr">
        <is>
          <t>CoefficientPercent</t>
        </is>
      </c>
      <c r="G1482" s="5" t="inlineStr">
        <is>
          <t>EffectiveHits</t>
        </is>
      </c>
      <c r="H1482" s="5" t="inlineStr">
        <is>
          <t>ProcProbability</t>
        </is>
      </c>
      <c r="I1482" s="5" t="inlineStr">
        <is>
          <t>MapleHeroMultiplier</t>
        </is>
      </c>
      <c r="J1482" s="5" t="inlineStr">
        <is>
          <t>BaseDamage</t>
        </is>
      </c>
      <c r="K1482" s="5" t="inlineStr">
        <is>
          <t>BaseHitDamage</t>
        </is>
      </c>
      <c r="L1482" s="5" t="inlineStr">
        <is>
          <t>NonCritAvg</t>
        </is>
      </c>
      <c r="M1482" s="5" t="inlineStr">
        <is>
          <t>CritAvg</t>
        </is>
      </c>
      <c r="N1482" s="5" t="inlineStr">
        <is>
          <t>ExpectedDamage(perHit)</t>
        </is>
      </c>
      <c r="O1482" s="5" t="inlineStr">
        <is>
          <t>DPS</t>
        </is>
      </c>
      <c r="P1482" s="5" t="inlineStr">
        <is>
          <t>% of Total</t>
        </is>
      </c>
      <c r="Q1482" s="5" t="inlineStr">
        <is>
          <t>InvCooldown</t>
        </is>
      </c>
      <c r="R1482" s="5" t="inlineStr">
        <is>
          <t>CastsInFight</t>
        </is>
      </c>
      <c r="S1482" s="5" t="inlineStr">
        <is>
          <t>HitRate(perSec)</t>
        </is>
      </c>
      <c r="U1482" t="inlineStr">
        <is>
          <t>helpers</t>
        </is>
      </c>
    </row>
    <row r="1483">
      <c r="A1483">
        <f>Skills!A2</f>
        <v/>
      </c>
      <c r="B1483">
        <f>Skills!B2</f>
        <v/>
      </c>
      <c r="C1483">
        <f>Inputs!$B$3&gt;=100</f>
        <v/>
      </c>
      <c r="D1483" t="inlineStr"/>
      <c r="E1483" t="inlineStr"/>
      <c r="F1483">
        <f>U1485+Skills!O2</f>
        <v/>
      </c>
      <c r="G1483">
        <f>Skills!G2*IF(Skills!H2&gt;0,Skills!I2/Skills!H2,1)</f>
        <v/>
      </c>
      <c r="H1483">
        <f>1-(1-Skills!J2/100)^Skills!K2</f>
        <v/>
      </c>
      <c r="I1483" t="inlineStr">
        <is>
          <t>1</t>
        </is>
      </c>
      <c r="J1483">
        <f>((Inputs!$B$6*(1+Inputs!$B$7/100))+(((Inputs!$B$12*(1+Inputs!$B$13/100))-(Inputs!$B$12*(1+Inputs!$B$13/100)))+0.25*(Inputs!$B$14-Inputs!$B$14))*(1+Inputs!$B$7/100))*(F1483/100)</f>
        <v/>
      </c>
      <c r="K1483">
        <f>J1483*(1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1483)</f>
        <v/>
      </c>
      <c r="L1483">
        <f>K1483*(MIN(Inputs!$B$22+((C1506=TRUE)*(F1506-Calc!F25)),(Inputs!$B$23+((C1511=TRUE)*(F1511-Calc!F30))+(IF(ArtifactsInput!$M$15,CHOOSE(ArtifactsInput!$N$15+1,25,30,35,40,45,50)/100*(Inputs!$B$11-Inputs!$B$11),0))))/100+(Inputs!$B$23+((C1511=TRUE)*(F1511-Calc!F30))+(IF(ArtifactsInput!$M$15,CHOOSE(ArtifactsInput!$N$15+1,25,30,35,40,45,50)/100*(Inputs!$B$11-Inputs!$B$11),0)))/100)/2</f>
        <v/>
      </c>
      <c r="M1483">
        <f>L1483*(1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83">
        <f>L1483*(1-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1483*(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83">
        <f>(1-Summary!$B$11)*T1483+Summary!$B$11*V1483</f>
        <v/>
      </c>
      <c r="P1483">
        <f>IF(B1525=0,0,O1483/B1525)</f>
        <v/>
      </c>
      <c r="Q1483" t="n">
        <v>0</v>
      </c>
      <c r="R1483" t="n">
        <v>0</v>
      </c>
      <c r="S1483">
        <f>IFERROR(O1483/N1483,0)</f>
        <v/>
      </c>
      <c r="T1483">
        <f>IF(C1483,(Skills!G2*N1483*B1519)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1483*(1-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1483*(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1483*(1-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1483*(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3">
        <f>MAX(0,(Inputs!$B$3-100)*3)+Inputs!$B$28+Inputs!$B$29</f>
        <v/>
      </c>
      <c r="V1483">
        <f>IF(C1483,(Skills!G2*N1483*B1519)*IF(Inputs!$B$38="pvp",1,(1+(Inputs!$B$21+Skills!Q2+(IF(ArtifactsInput!$M$33,CHOOSE(ArtifactsInput!$N$33+1,30,36,42,48,54,60),0))+(IF(AND(ArtifactsInput!$M$35,Inputs!$B$4&lt;&gt;"Chapter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4">
      <c r="A1484">
        <f>Skills!A3</f>
        <v/>
      </c>
      <c r="B1484">
        <f>Skills!B3</f>
        <v/>
      </c>
      <c r="C1484">
        <f>Inputs!$B$3&gt;=50</f>
        <v/>
      </c>
      <c r="D1484">
        <f>IF(Skills!C3=1,60+Inputs!$B$25+Inputs!$B$29,IF(Skills!C3=2,90+Inputs!$B$26+Inputs!$B$29,IF(Skills!C3=3,120+Inputs!$B$27+Inputs!$B$29,MAX(0,(Inputs!$B$3-100)*3)+Inputs!$B$28+Inputs!$B$29)))</f>
        <v/>
      </c>
      <c r="E1484">
        <f>INDEX(FactorTable!$B$2:$Y$301, MATCH(ROUND(MIN(300,MAX(1,D1484)),0), FactorTable!$A$2:$A$301,0), Skills!M3+1)</f>
        <v/>
      </c>
      <c r="F1484">
        <f>IF(Skills!N3=TRUE,(Skills!L3/10)*(E1484/1000),Skills!L3/10)+Skills!O3</f>
        <v/>
      </c>
      <c r="G1484">
        <f>Skills!G3*IF(Skills!H3&gt;0,Skills!I3/Skills!H3,1)</f>
        <v/>
      </c>
      <c r="H1484">
        <f>1-(1-Skills!J3/100)^Skills!K3</f>
        <v/>
      </c>
      <c r="I1484" t="inlineStr">
        <is>
          <t>1</t>
        </is>
      </c>
      <c r="J1484">
        <f>((Inputs!$B$6*(1+Inputs!$B$7/100))+(((Inputs!$B$12*(1+Inputs!$B$13/100))-(Inputs!$B$12*(1+Inputs!$B$13/100)))+0.25*(Inputs!$B$14-Inputs!$B$14))*(1+Inputs!$B$7/100))*(F1484/100)</f>
        <v/>
      </c>
      <c r="K1484">
        <f>J1484*(1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1485=TRUE,F1485,0)/100)*(1+(IF(Skills!A3="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1484)</f>
        <v/>
      </c>
      <c r="L1484">
        <f>K1484*(MIN(Inputs!$B$22+((C1506=TRUE)*(F1506-Calc!F25)),(Inputs!$B$23+((C1511=TRUE)*(F1511-Calc!F30))+(IF(ArtifactsInput!$M$15,CHOOSE(ArtifactsInput!$N$15+1,25,30,35,40,45,50)/100*(Inputs!$B$11-Inputs!$B$11),0))))/100+(Inputs!$B$23+((C1511=TRUE)*(F1511-Calc!F30))+(IF(ArtifactsInput!$M$15,CHOOSE(ArtifactsInput!$N$15+1,25,30,35,40,45,50)/100*(Inputs!$B$11-Inputs!$B$11),0)))/100)/2</f>
        <v/>
      </c>
      <c r="M1484">
        <f>L1484*(1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84">
        <f>L1484*(1-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1484*(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84">
        <f>(1-Summary!$B$11)*T1484+Summary!$B$11*V1484</f>
        <v/>
      </c>
      <c r="P1484">
        <f>IF(B1525=0,0,O1484/B1525)</f>
        <v/>
      </c>
      <c r="Q1484">
        <f>IFERROR(1/(IF(Inputs!$B$38="pvp",15,MAX(0.1,Skills!D3-IF(Skills!E3=TRUE,Inputs!$B$32,0)))*(1-IF(AND(ArtifactsInput!$M$27,Inputs!$B$4="Chapter Hunt"),CHOOSE(ArtifactsInput!$N$27+1,20,24,28,32,36,40),0)/100)),0)</f>
        <v/>
      </c>
      <c r="R1484">
        <f>IF(AND(Inputs!$B$38&lt;&gt;"pvp",Inputs!$B$43&gt;0),IF(MAX(0,Inputs!$B$43-B1522)&lt;=0,0,(INT(MAX(0,Inputs!$B$43-B1522)/(IF(Inputs!$B$38="pvp",15,MAX(0.1,Skills!D3-IF(Skills!E3=TRUE,Inputs!$B$32,0)))*(1-IF(AND(ArtifactsInput!$M$27,Inputs!$B$4="Chapter Hunt"),CHOOSE(ArtifactsInput!$N$27+1,20,24,28,32,36,40),0)/100)))+1)),0)</f>
        <v/>
      </c>
      <c r="S1484">
        <f>IFERROR(O1484/N1484,0)</f>
        <v/>
      </c>
      <c r="T1484">
        <f>IF(C1484,(H1484*N1484*IF(AND(Inputs!$B$38&lt;&gt;"pvp",Inputs!$B$43&gt;0),((Skills!G3*((R1484-1)*IF(Skills!H3&gt;0,Skills!I3/Skills!H3,1)+IF(Skills!H3&gt;0,MIN(Skills!I3,MAX(0,MAX(0,Inputs!$B$43-B1522)-((R1484-1)*(IF(Inputs!$B$38="pvp",15,MAX(0.1,Skills!D3-IF(Skills!E3=TRUE,Inputs!$B$32,0)))*(1-IF(AND(ArtifactsInput!$M$27,Inputs!$B$4="Chapter Hunt"),CHOOSE(ArtifactsInput!$N$27+1,20,24,28,32,36,40),0)/100)))))/Skills!H3,1)))/Inputs!$B$43),G1484*Q1484)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1484*(1-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1484*(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1484*(1-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1484*(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4">
        <f>INDEX(FactorTable!$B$2:$Y$301, MATCH(ROUND(MIN(300,MAX(1,U1483)),0), FactorTable!$A$2:$A$301,0), 22)</f>
        <v/>
      </c>
      <c r="V1484">
        <f>IF(C1484,(H1484*N1484*IF(AND(Inputs!$B$38&lt;&gt;"pvp",Inputs!$B$43&gt;0),((Skills!G3*((R1484-1)*IF(Skills!H3&gt;0,Skills!I3/Skills!H3,1)+IF(Skills!H3&gt;0,MIN(Skills!I3,MAX(0,MAX(0,Inputs!$B$43-B1522)-((R1484-1)*(IF(Inputs!$B$38="pvp",15,MAX(0.1,Skills!D3-IF(Skills!E3=TRUE,Inputs!$B$32,0)))*(1-IF(AND(ArtifactsInput!$M$27,Inputs!$B$4="Chapter Hunt"),CHOOSE(ArtifactsInput!$N$27+1,20,24,28,32,36,40),0)/100)))))/Skills!H3,1)))/Inputs!$B$43),G1484*Q1484))*IF(Inputs!$B$38="pvp",1,(1+(Inputs!$B$21+Skills!Q3+(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5">
      <c r="A1485">
        <f>Skills!A4</f>
        <v/>
      </c>
      <c r="B1485">
        <f>Skills!B4</f>
        <v/>
      </c>
      <c r="C1485">
        <f>Inputs!$B$3&gt;=105</f>
        <v/>
      </c>
      <c r="D1485">
        <f>IF(Skills!C4=1,60+Inputs!$B$25+Inputs!$B$29,IF(Skills!C4=2,90+Inputs!$B$26+Inputs!$B$29,IF(Skills!C4=3,120+Inputs!$B$27+Inputs!$B$29,MAX(0,(Inputs!$B$3-100)*3)+Inputs!$B$28+Inputs!$B$29)))</f>
        <v/>
      </c>
      <c r="E1485">
        <f>INDEX(FactorTable!$B$2:$Y$301, MATCH(ROUND(MIN(300,MAX(1,D1485)),0), FactorTable!$A$2:$A$301,0), Skills!M4+1)</f>
        <v/>
      </c>
      <c r="F1485">
        <f>IF(Skills!N4=TRUE,(Skills!L4/10)*(E1485/1000),Skills!L4/10)+Skills!O4</f>
        <v/>
      </c>
      <c r="G1485" t="inlineStr"/>
      <c r="H1485" t="inlineStr"/>
      <c r="I1485" t="inlineStr">
        <is>
          <t>1</t>
        </is>
      </c>
      <c r="J1485" t="inlineStr"/>
      <c r="K1485" t="inlineStr"/>
      <c r="L1485" t="inlineStr"/>
      <c r="M1485" t="inlineStr"/>
      <c r="N1485" t="inlineStr"/>
      <c r="O1485" t="inlineStr"/>
      <c r="P1485" t="inlineStr"/>
      <c r="Q1485" t="inlineStr"/>
      <c r="R1485" t="inlineStr"/>
      <c r="S1485" t="inlineStr"/>
      <c r="T1485" t="inlineStr"/>
      <c r="U1485">
        <f>290*U1484/1000</f>
        <v/>
      </c>
      <c r="V1485" t="inlineStr"/>
    </row>
    <row r="1486">
      <c r="A1486">
        <f>Skills!A5</f>
        <v/>
      </c>
      <c r="B1486">
        <f>Skills!B5</f>
        <v/>
      </c>
      <c r="C1486">
        <f>Inputs!$B$3&gt;=35</f>
        <v/>
      </c>
      <c r="D1486">
        <f>IF(Skills!C5=1,60+Inputs!$B$25+Inputs!$B$29,IF(Skills!C5=2,90+Inputs!$B$26+Inputs!$B$29,IF(Skills!C5=3,120+Inputs!$B$27+Inputs!$B$29,MAX(0,(Inputs!$B$3-100)*3)+Inputs!$B$28+Inputs!$B$29)))</f>
        <v/>
      </c>
      <c r="E1486">
        <f>INDEX(FactorTable!$B$2:$Y$301, MATCH(ROUND(MIN(300,MAX(1,D1486)),0), FactorTable!$A$2:$A$301,0), Skills!M5+1)</f>
        <v/>
      </c>
      <c r="F1486">
        <f>IF(Skills!N5=TRUE,(Skills!L5/10)*(E1486/1000),Skills!L5/10)+Skills!O5</f>
        <v/>
      </c>
      <c r="G1486">
        <f>Skills!G5*IF(Skills!H5&gt;0,Skills!I5/Skills!H5,1)</f>
        <v/>
      </c>
      <c r="H1486">
        <f>1-(1-Skills!J5/100)^Skills!K5</f>
        <v/>
      </c>
      <c r="I1486" t="inlineStr">
        <is>
          <t>1</t>
        </is>
      </c>
      <c r="J1486">
        <f>((Inputs!$B$6*(1+Inputs!$B$7/100))+(((Inputs!$B$12*(1+Inputs!$B$13/100))-(Inputs!$B$12*(1+Inputs!$B$13/100)))+0.25*(Inputs!$B$14-Inputs!$B$14))*(1+Inputs!$B$7/100))*(F1486/100)</f>
        <v/>
      </c>
      <c r="K1486">
        <f>J1486*(1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1492=TRUE,F1492,0)/100)*(1+(IF(Skills!A5="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1486)</f>
        <v/>
      </c>
      <c r="L1486">
        <f>K1486*(MIN(Inputs!$B$22+((C1506=TRUE)*(F1506-Calc!F25)),(Inputs!$B$23+((C1511=TRUE)*(F1511-Calc!F30))+(IF(ArtifactsInput!$M$15,CHOOSE(ArtifactsInput!$N$15+1,25,30,35,40,45,50)/100*(Inputs!$B$11-Inputs!$B$11),0))))/100+(Inputs!$B$23+((C1511=TRUE)*(F1511-Calc!F30))+(IF(ArtifactsInput!$M$15,CHOOSE(ArtifactsInput!$N$15+1,25,30,35,40,45,50)/100*(Inputs!$B$11-Inputs!$B$11),0)))/100)/2</f>
        <v/>
      </c>
      <c r="M1486">
        <f>L1486*(1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86">
        <f>L1486*(1-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1486*(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86">
        <f>(1-Summary!$B$11)*T1486+Summary!$B$11*V1486</f>
        <v/>
      </c>
      <c r="P1486">
        <f>IF(B1525=0,0,O1486/B1525)</f>
        <v/>
      </c>
      <c r="Q1486">
        <f>IFERROR(1/(IF(Inputs!$B$38="pvp",15,MAX(0.1,Skills!D5-IF(Skills!E5=TRUE,Inputs!$B$32,0)))*(1-IF(AND(ArtifactsInput!$M$27,Inputs!$B$4="Chapter Hunt"),CHOOSE(ArtifactsInput!$N$27+1,20,24,28,32,36,40),0)/100)),0)</f>
        <v/>
      </c>
      <c r="R1486">
        <f>IF(AND(Inputs!$B$38&lt;&gt;"pvp",Inputs!$B$43&gt;0),IF(MAX(0,Inputs!$B$43-B1522)&lt;=0,0,(INT(MAX(0,Inputs!$B$43-B1522)/(IF(Inputs!$B$38="pvp",15,MAX(0.1,Skills!D5-IF(Skills!E5=TRUE,Inputs!$B$32,0)))*(1-IF(AND(ArtifactsInput!$M$27,Inputs!$B$4="Chapter Hunt"),CHOOSE(ArtifactsInput!$N$27+1,20,24,28,32,36,40),0)/100)))+1)),0)</f>
        <v/>
      </c>
      <c r="S1486">
        <f>IFERROR(O1486/N1486,0)</f>
        <v/>
      </c>
      <c r="T1486">
        <f>IF(C1486,(H1486*N1486*IF(AND(Inputs!$B$38&lt;&gt;"pvp",Inputs!$B$43&gt;0),((Skills!G5*((R1486-1)*IF(Skills!H5&gt;0,Skills!I5/Skills!H5,1)+IF(Skills!H5&gt;0,MIN(Skills!I5,MAX(0,MAX(0,Inputs!$B$43-B1522)-((R1486-1)*(IF(Inputs!$B$38="pvp",15,MAX(0.1,Skills!D5-IF(Skills!E5=TRUE,Inputs!$B$32,0)))*(1-IF(AND(ArtifactsInput!$M$27,Inputs!$B$4="Chapter Hunt"),CHOOSE(ArtifactsInput!$N$27+1,20,24,28,32,36,40),0)/100)))))/Skills!H5,1)))/Inputs!$B$43),G1486*Q1486)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1486*(1-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1486*(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1486*(1-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1486*(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6">
        <f>IF(C1486,(H1486*N1486*IF(AND(Inputs!$B$38&lt;&gt;"pvp",Inputs!$B$43&gt;0),((Skills!G5*((R1486-1)*IF(Skills!H5&gt;0,Skills!I5/Skills!H5,1)+IF(Skills!H5&gt;0,MIN(Skills!I5,MAX(0,MAX(0,Inputs!$B$43-B1522)-((R1486-1)*(IF(Inputs!$B$38="pvp",15,MAX(0.1,Skills!D5-IF(Skills!E5=TRUE,Inputs!$B$32,0)))*(1-IF(AND(ArtifactsInput!$M$27,Inputs!$B$4="Chapter Hunt"),CHOOSE(ArtifactsInput!$N$27+1,20,24,28,32,36,40),0)/100)))))/Skills!H5,1)))/Inputs!$B$43),G1486*Q1486))*IF(Inputs!$B$38="pvp",1,(1+(Inputs!$B$21+Skills!Q5+(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7">
      <c r="A1487">
        <f>Skills!A6</f>
        <v/>
      </c>
      <c r="B1487">
        <f>Skills!B6</f>
        <v/>
      </c>
      <c r="C1487">
        <f>Inputs!$B$3&gt;=40</f>
        <v/>
      </c>
      <c r="D1487">
        <f>IF(Skills!C6=1,60+Inputs!$B$25+Inputs!$B$29,IF(Skills!C6=2,90+Inputs!$B$26+Inputs!$B$29,IF(Skills!C6=3,120+Inputs!$B$27+Inputs!$B$29,MAX(0,(Inputs!$B$3-100)*3)+Inputs!$B$28+Inputs!$B$29)))</f>
        <v/>
      </c>
      <c r="E1487">
        <f>INDEX(FactorTable!$B$2:$Y$301, MATCH(ROUND(MIN(300,MAX(1,D1487)),0), FactorTable!$A$2:$A$301,0), Skills!M6+1)</f>
        <v/>
      </c>
      <c r="F1487">
        <f>IF(Skills!N6=TRUE,(Skills!L6/10)*(E1487/1000),Skills!L6/10)+Skills!O6</f>
        <v/>
      </c>
      <c r="G1487">
        <f>Skills!G6*IF(Skills!H6&gt;0,Skills!I6/Skills!H6,1)</f>
        <v/>
      </c>
      <c r="H1487">
        <f>1-(1-Skills!J6/100)^Skills!K6</f>
        <v/>
      </c>
      <c r="I1487" t="inlineStr">
        <is>
          <t>1</t>
        </is>
      </c>
      <c r="J1487">
        <f>((Inputs!$B$6*(1+Inputs!$B$7/100))+(((Inputs!$B$12*(1+Inputs!$B$13/100))-(Inputs!$B$12*(1+Inputs!$B$13/100)))+0.25*(Inputs!$B$14-Inputs!$B$14))*(1+Inputs!$B$7/100))*(F1487/100)</f>
        <v/>
      </c>
      <c r="K1487">
        <f>J1487*(1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1488=TRUE,F1488,0)/100)*(1+(IF(Skills!A6="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1487)</f>
        <v/>
      </c>
      <c r="L1487">
        <f>K1487*(MIN(Inputs!$B$22+((C1506=TRUE)*(F1506-Calc!F25)),(Inputs!$B$23+((C1511=TRUE)*(F1511-Calc!F30))+(IF(ArtifactsInput!$M$15,CHOOSE(ArtifactsInput!$N$15+1,25,30,35,40,45,50)/100*(Inputs!$B$11-Inputs!$B$11),0))))/100+(Inputs!$B$23+((C1511=TRUE)*(F1511-Calc!F30))+(IF(ArtifactsInput!$M$15,CHOOSE(ArtifactsInput!$N$15+1,25,30,35,40,45,50)/100*(Inputs!$B$11-Inputs!$B$11),0)))/100)/2</f>
        <v/>
      </c>
      <c r="M1487">
        <f>L1487*(1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87">
        <f>L1487*(1-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1487*(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87">
        <f>(1-Summary!$B$11)*T1487+Summary!$B$11*V1487</f>
        <v/>
      </c>
      <c r="P1487">
        <f>IF(B1525=0,0,O1487/B1525)</f>
        <v/>
      </c>
      <c r="Q1487">
        <f>IFERROR(1/(IF(Inputs!$B$38="pvp",15,MAX(0.1,Skills!D6-IF(Skills!E6=TRUE,Inputs!$B$32,0)))*(1-IF(AND(ArtifactsInput!$M$27,Inputs!$B$4="Chapter Hunt"),CHOOSE(ArtifactsInput!$N$27+1,20,24,28,32,36,40),0)/100)),0)</f>
        <v/>
      </c>
      <c r="R1487">
        <f>IF(AND(Inputs!$B$38&lt;&gt;"pvp",Inputs!$B$43&gt;0),IF(MAX(0,Inputs!$B$43-B1522)&lt;=0,0,(INT(MAX(0,Inputs!$B$43-B1522)/(IF(Inputs!$B$38="pvp",15,MAX(0.1,Skills!D6-IF(Skills!E6=TRUE,Inputs!$B$32,0)))*(1-IF(AND(ArtifactsInput!$M$27,Inputs!$B$4="Chapter Hunt"),CHOOSE(ArtifactsInput!$N$27+1,20,24,28,32,36,40),0)/100)))+1)),0)</f>
        <v/>
      </c>
      <c r="S1487">
        <f>IFERROR(O1487/N1487,0)</f>
        <v/>
      </c>
      <c r="T1487">
        <f>IF(C1487,(H1487*N1487*IF(AND(Inputs!$B$38&lt;&gt;"pvp",Inputs!$B$43&gt;0),((Skills!G6*((R1487-1)*IF(Skills!H6&gt;0,Skills!I6/Skills!H6,1)+IF(Skills!H6&gt;0,MIN(Skills!I6,MAX(0,MAX(0,Inputs!$B$43-B1522)-((R1487-1)*(IF(Inputs!$B$38="pvp",15,MAX(0.1,Skills!D6-IF(Skills!E6=TRUE,Inputs!$B$32,0)))*(1-IF(AND(ArtifactsInput!$M$27,Inputs!$B$4="Chapter Hunt"),CHOOSE(ArtifactsInput!$N$27+1,20,24,28,32,36,40),0)/100)))))/Skills!H6,1)))/Inputs!$B$43),G1487*Q1487)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1487*(1-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1487*(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1487*(1-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1487*(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7">
        <f>IF(C1487,(H1487*N1487*IF(AND(Inputs!$B$38&lt;&gt;"pvp",Inputs!$B$43&gt;0),((Skills!G6*((R1487-1)*IF(Skills!H6&gt;0,Skills!I6/Skills!H6,1)+IF(Skills!H6&gt;0,MIN(Skills!I6,MAX(0,MAX(0,Inputs!$B$43-B1522)-((R1487-1)*(IF(Inputs!$B$38="pvp",15,MAX(0.1,Skills!D6-IF(Skills!E6=TRUE,Inputs!$B$32,0)))*(1-IF(AND(ArtifactsInput!$M$27,Inputs!$B$4="Chapter Hunt"),CHOOSE(ArtifactsInput!$N$27+1,20,24,28,32,36,40),0)/100)))))/Skills!H6,1)))/Inputs!$B$43),G1487*Q1487))*IF(Inputs!$B$38="pvp",1,(1+(Inputs!$B$21+Skills!Q6+(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8">
      <c r="A1488">
        <f>Skills!A7</f>
        <v/>
      </c>
      <c r="B1488">
        <f>Skills!B7</f>
        <v/>
      </c>
      <c r="C1488">
        <f>Inputs!$B$3&gt;=107</f>
        <v/>
      </c>
      <c r="D1488">
        <f>IF(Skills!C7=1,60+Inputs!$B$25+Inputs!$B$29,IF(Skills!C7=2,90+Inputs!$B$26+Inputs!$B$29,IF(Skills!C7=3,120+Inputs!$B$27+Inputs!$B$29,MAX(0,(Inputs!$B$3-100)*3)+Inputs!$B$28+Inputs!$B$29)))</f>
        <v/>
      </c>
      <c r="E1488">
        <f>INDEX(FactorTable!$B$2:$Y$301, MATCH(ROUND(MIN(300,MAX(1,D1488)),0), FactorTable!$A$2:$A$301,0), Skills!M7+1)</f>
        <v/>
      </c>
      <c r="F1488">
        <f>IF(Skills!N7=TRUE,(Skills!L7/10)*(E1488/1000),Skills!L7/10)+Skills!O7</f>
        <v/>
      </c>
      <c r="G1488" t="inlineStr"/>
      <c r="H1488" t="inlineStr"/>
      <c r="I1488" t="inlineStr">
        <is>
          <t>1</t>
        </is>
      </c>
      <c r="J1488" t="inlineStr"/>
      <c r="K1488" t="inlineStr"/>
      <c r="L1488" t="inlineStr"/>
      <c r="M1488" t="inlineStr"/>
      <c r="N1488" t="inlineStr"/>
      <c r="O1488" t="inlineStr"/>
      <c r="P1488" t="inlineStr"/>
      <c r="Q1488" t="inlineStr"/>
      <c r="R1488" t="inlineStr"/>
      <c r="S1488" t="inlineStr"/>
      <c r="T1488" t="inlineStr"/>
      <c r="V1488" t="inlineStr"/>
    </row>
    <row r="1489">
      <c r="A1489">
        <f>Skills!A8</f>
        <v/>
      </c>
      <c r="B1489">
        <f>Skills!B8</f>
        <v/>
      </c>
      <c r="C1489">
        <f>Inputs!$B$3&gt;=69</f>
        <v/>
      </c>
      <c r="D1489">
        <f>IF(Skills!C8=1,60+Inputs!$B$25+Inputs!$B$29,IF(Skills!C8=2,90+Inputs!$B$26+Inputs!$B$29,IF(Skills!C8=3,120+Inputs!$B$27+Inputs!$B$29,MAX(0,(Inputs!$B$3-100)*3)+Inputs!$B$28+Inputs!$B$29)))</f>
        <v/>
      </c>
      <c r="E1489">
        <f>INDEX(FactorTable!$B$2:$Y$301, MATCH(ROUND(MIN(300,MAX(1,D1489)),0), FactorTable!$A$2:$A$301,0), Skills!M8+1)</f>
        <v/>
      </c>
      <c r="F1489">
        <f>IF(Skills!N8=TRUE,(Skills!L8/10)*(E1489/1000),Skills!L8/10)+Skills!O8</f>
        <v/>
      </c>
      <c r="G1489">
        <f>Skills!G8*IF(Skills!H8&gt;0,Skills!I8/Skills!H8,1)</f>
        <v/>
      </c>
      <c r="H1489">
        <f>1-(1-Skills!J8/100)^Skills!K8</f>
        <v/>
      </c>
      <c r="I1489" t="inlineStr">
        <is>
          <t>1</t>
        </is>
      </c>
      <c r="J1489">
        <f>((Inputs!$B$6*(1+Inputs!$B$7/100))+(((Inputs!$B$12*(1+Inputs!$B$13/100))-(Inputs!$B$12*(1+Inputs!$B$13/100)))+0.25*(Inputs!$B$14-Inputs!$B$14))*(1+Inputs!$B$7/100))*(F1489/100)</f>
        <v/>
      </c>
      <c r="K1489">
        <f>J1489*(1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1492=TRUE,F1492,0)/100)*(1+(IF(Skills!A8="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1489)</f>
        <v/>
      </c>
      <c r="L1489">
        <f>K1489*(MIN(Inputs!$B$22+((C1506=TRUE)*(F1506-Calc!F25)),(Inputs!$B$23+((C1511=TRUE)*(F1511-Calc!F30))+(IF(ArtifactsInput!$M$15,CHOOSE(ArtifactsInput!$N$15+1,25,30,35,40,45,50)/100*(Inputs!$B$11-Inputs!$B$11),0))))/100+(Inputs!$B$23+((C1511=TRUE)*(F1511-Calc!F30))+(IF(ArtifactsInput!$M$15,CHOOSE(ArtifactsInput!$N$15+1,25,30,35,40,45,50)/100*(Inputs!$B$11-Inputs!$B$11),0)))/100)/2</f>
        <v/>
      </c>
      <c r="M1489">
        <f>L1489*(1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89">
        <f>L1489*(1-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1489*(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89">
        <f>(1-Summary!$B$11)*T1489+Summary!$B$11*V1489</f>
        <v/>
      </c>
      <c r="P1489">
        <f>IF(B1525=0,0,O1489/B1525)</f>
        <v/>
      </c>
      <c r="Q1489">
        <f>IFERROR(1/(IF(Inputs!$B$38="pvp",15,MAX(0.1,Skills!D8-IF(Skills!E8=TRUE,Inputs!$B$32,0)))*(1-IF(AND(ArtifactsInput!$M$27,Inputs!$B$4="Chapter Hunt"),CHOOSE(ArtifactsInput!$N$27+1,20,24,28,32,36,40),0)/100)),0)</f>
        <v/>
      </c>
      <c r="R1489">
        <f>IF(AND(Inputs!$B$38&lt;&gt;"pvp",Inputs!$B$43&gt;0),IF(MAX(0,Inputs!$B$43-B1522)&lt;=0,0,(INT(MAX(0,Inputs!$B$43-B1522)/(IF(Inputs!$B$38="pvp",15,MAX(0.1,Skills!D8-IF(Skills!E8=TRUE,Inputs!$B$32,0)))*(1-IF(AND(ArtifactsInput!$M$27,Inputs!$B$4="Chapter Hunt"),CHOOSE(ArtifactsInput!$N$27+1,20,24,28,32,36,40),0)/100)))+1)),0)</f>
        <v/>
      </c>
      <c r="S1489">
        <f>IFERROR(O1489/N1489,0)</f>
        <v/>
      </c>
      <c r="T1489">
        <f>IF(C1489,(H1489*N1489*IF(AND(Inputs!$B$38&lt;&gt;"pvp",Inputs!$B$43&gt;0),((Skills!G8*((R1489-1)*IF(Skills!H8&gt;0,Skills!I8/Skills!H8,1)+IF(Skills!H8&gt;0,MIN(Skills!I8,MAX(0,MAX(0,Inputs!$B$43-B1522)-((R1489-1)*(IF(Inputs!$B$38="pvp",15,MAX(0.1,Skills!D8-IF(Skills!E8=TRUE,Inputs!$B$32,0)))*(1-IF(AND(ArtifactsInput!$M$27,Inputs!$B$4="Chapter Hunt"),CHOOSE(ArtifactsInput!$N$27+1,20,24,28,32,36,40),0)/100)))))/Skills!H8,1)))/Inputs!$B$43),G1489*Q1489)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1489*(1-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1489*(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1489*(1-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1489*(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9">
        <f>IF(C1489,(H1489*N1489*IF(AND(Inputs!$B$38&lt;&gt;"pvp",Inputs!$B$43&gt;0),((Skills!G8*((R1489-1)*IF(Skills!H8&gt;0,Skills!I8/Skills!H8,1)+IF(Skills!H8&gt;0,MIN(Skills!I8,MAX(0,MAX(0,Inputs!$B$43-B1522)-((R1489-1)*(IF(Inputs!$B$38="pvp",15,MAX(0.1,Skills!D8-IF(Skills!E8=TRUE,Inputs!$B$32,0)))*(1-IF(AND(ArtifactsInput!$M$27,Inputs!$B$4="Chapter Hunt"),CHOOSE(ArtifactsInput!$N$27+1,20,24,28,32,36,40),0)/100)))))/Skills!H8,1)))/Inputs!$B$43),G1489*Q1489))*IF(Inputs!$B$38="pvp",1,(1+(Inputs!$B$21+Skills!Q8+(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0">
      <c r="A1490">
        <f>Skills!A9</f>
        <v/>
      </c>
      <c r="B1490">
        <f>Skills!B9</f>
        <v/>
      </c>
      <c r="C1490">
        <f>Inputs!$B$3&gt;=63</f>
        <v/>
      </c>
      <c r="D1490">
        <f>IF(Skills!C9=1,60+Inputs!$B$25+Inputs!$B$29,IF(Skills!C9=2,90+Inputs!$B$26+Inputs!$B$29,IF(Skills!C9=3,120+Inputs!$B$27+Inputs!$B$29,MAX(0,(Inputs!$B$3-100)*3)+Inputs!$B$28+Inputs!$B$29)))</f>
        <v/>
      </c>
      <c r="E1490">
        <f>INDEX(FactorTable!$B$2:$Y$301, MATCH(ROUND(MIN(300,MAX(1,D1490)),0), FactorTable!$A$2:$A$301,0), Skills!M9+1)</f>
        <v/>
      </c>
      <c r="F1490">
        <f>IF(Skills!N9=TRUE,(Skills!L9/10)*(E1490/1000),Skills!L9/10)+Skills!O9</f>
        <v/>
      </c>
      <c r="G1490">
        <f>Skills!G9*IF(Skills!H9&gt;0,Skills!I9/Skills!H9,1)</f>
        <v/>
      </c>
      <c r="H1490">
        <f>1-(1-Skills!J9/100)^Skills!K9</f>
        <v/>
      </c>
      <c r="I1490" t="inlineStr">
        <is>
          <t>1</t>
        </is>
      </c>
      <c r="J1490">
        <f>((Inputs!$B$6*(1+Inputs!$B$7/100))+(((Inputs!$B$12*(1+Inputs!$B$13/100))-(Inputs!$B$12*(1+Inputs!$B$13/100)))+0.25*(Inputs!$B$14-Inputs!$B$14))*(1+Inputs!$B$7/100))*(F1490/100)</f>
        <v/>
      </c>
      <c r="K1490">
        <f>J1490*(1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1492=TRUE,F1492,0)/100)*(1+(IF(Skills!A9="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1490)</f>
        <v/>
      </c>
      <c r="L1490">
        <f>K1490*(MIN(Inputs!$B$22+((C1506=TRUE)*(F1506-Calc!F25)),(Inputs!$B$23+((C1511=TRUE)*(F1511-Calc!F30))+(IF(ArtifactsInput!$M$15,CHOOSE(ArtifactsInput!$N$15+1,25,30,35,40,45,50)/100*(Inputs!$B$11-Inputs!$B$11),0))))/100+(Inputs!$B$23+((C1511=TRUE)*(F1511-Calc!F30))+(IF(ArtifactsInput!$M$15,CHOOSE(ArtifactsInput!$N$15+1,25,30,35,40,45,50)/100*(Inputs!$B$11-Inputs!$B$11),0)))/100)/2</f>
        <v/>
      </c>
      <c r="M1490">
        <f>L1490*(1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90">
        <f>L1490*(1-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1490*(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90">
        <f>(1-Summary!$B$11)*T1490+Summary!$B$11*V1490</f>
        <v/>
      </c>
      <c r="P1490">
        <f>IF(B1525=0,0,O1490/B1525)</f>
        <v/>
      </c>
      <c r="Q1490">
        <f>IFERROR(1/(IF(Inputs!$B$38="pvp",15,MAX(0.1,Skills!D9-IF(Skills!E9=TRUE,Inputs!$B$32,0)))*(1-IF(AND(ArtifactsInput!$M$27,Inputs!$B$4="Chapter Hunt"),CHOOSE(ArtifactsInput!$N$27+1,20,24,28,32,36,40),0)/100)),0)</f>
        <v/>
      </c>
      <c r="R1490">
        <f>IF(AND(Inputs!$B$38&lt;&gt;"pvp",Inputs!$B$43&gt;0),IF(MAX(0,Inputs!$B$43-B1522)&lt;=0,0,(INT(MAX(0,Inputs!$B$43-B1522)/(IF(Inputs!$B$38="pvp",15,MAX(0.1,Skills!D9-IF(Skills!E9=TRUE,Inputs!$B$32,0)))*(1-IF(AND(ArtifactsInput!$M$27,Inputs!$B$4="Chapter Hunt"),CHOOSE(ArtifactsInput!$N$27+1,20,24,28,32,36,40),0)/100)))+1)),0)</f>
        <v/>
      </c>
      <c r="S1490">
        <f>IFERROR(O1490/N1490,0)</f>
        <v/>
      </c>
      <c r="T1490">
        <f>IF(C1490,(H1490*N1490*IF(AND(Inputs!$B$38&lt;&gt;"pvp",Inputs!$B$43&gt;0),((Skills!G9*((R1490-1)*IF(Skills!H9&gt;0,Skills!I9/Skills!H9,1)+IF(Skills!H9&gt;0,MIN(Skills!I9,MAX(0,MAX(0,Inputs!$B$43-B1522)-((R1490-1)*(IF(Inputs!$B$38="pvp",15,MAX(0.1,Skills!D9-IF(Skills!E9=TRUE,Inputs!$B$32,0)))*(1-IF(AND(ArtifactsInput!$M$27,Inputs!$B$4="Chapter Hunt"),CHOOSE(ArtifactsInput!$N$27+1,20,24,28,32,36,40),0)/100)))))/Skills!H9,1)))/Inputs!$B$43),G1490*Q1490)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1490*(1-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1490*(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1490*(1-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1490*(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90">
        <f>IF(C1490,(H1490*N1490*IF(AND(Inputs!$B$38&lt;&gt;"pvp",Inputs!$B$43&gt;0),((Skills!G9*((R1490-1)*IF(Skills!H9&gt;0,Skills!I9/Skills!H9,1)+IF(Skills!H9&gt;0,MIN(Skills!I9,MAX(0,MAX(0,Inputs!$B$43-B1522)-((R1490-1)*(IF(Inputs!$B$38="pvp",15,MAX(0.1,Skills!D9-IF(Skills!E9=TRUE,Inputs!$B$32,0)))*(1-IF(AND(ArtifactsInput!$M$27,Inputs!$B$4="Chapter Hunt"),CHOOSE(ArtifactsInput!$N$27+1,20,24,28,32,36,40),0)/100)))))/Skills!H9,1)))/Inputs!$B$43),G1490*Q1490))*IF(Inputs!$B$38="pvp",1,(1+(Inputs!$B$21+Skills!Q9+(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1">
      <c r="A1491">
        <f>Skills!A10</f>
        <v/>
      </c>
      <c r="B1491">
        <f>Skills!B10</f>
        <v/>
      </c>
      <c r="C1491">
        <f>Inputs!$B$3&gt;=103</f>
        <v/>
      </c>
      <c r="D1491">
        <f>IF(Skills!C10=1,60+Inputs!$B$25+Inputs!$B$29,IF(Skills!C10=2,90+Inputs!$B$26+Inputs!$B$29,IF(Skills!C10=3,120+Inputs!$B$27+Inputs!$B$29,MAX(0,(Inputs!$B$3-100)*3)+Inputs!$B$28+Inputs!$B$29)))</f>
        <v/>
      </c>
      <c r="E1491">
        <f>INDEX(FactorTable!$B$2:$Y$301, MATCH(ROUND(MIN(300,MAX(1,D1491)),0), FactorTable!$A$2:$A$301,0), Skills!M10+1)</f>
        <v/>
      </c>
      <c r="F1491">
        <f>IF(Skills!N10=TRUE,(Skills!L10/10)*(E1491/1000),Skills!L10/10)+Skills!O10</f>
        <v/>
      </c>
      <c r="G1491">
        <f>Skills!G10*IF(Skills!H10&gt;0,Skills!I10/Skills!H10,1)</f>
        <v/>
      </c>
      <c r="H1491">
        <f>1-(1-Skills!J10/100)^Skills!K10</f>
        <v/>
      </c>
      <c r="I1491" t="inlineStr">
        <is>
          <t>1</t>
        </is>
      </c>
      <c r="J1491">
        <f>((Inputs!$B$6*(1+Inputs!$B$7/100))+(((Inputs!$B$12*(1+Inputs!$B$13/100))-(Inputs!$B$12*(1+Inputs!$B$13/100)))+0.25*(Inputs!$B$14-Inputs!$B$14))*(1+Inputs!$B$7/100))*(F1491/100)</f>
        <v/>
      </c>
      <c r="K1491">
        <f>J1491*(1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1491)</f>
        <v/>
      </c>
      <c r="L1491">
        <f>K1491*(MIN(Inputs!$B$22+((C1506=TRUE)*(F1506-Calc!F25)),(Inputs!$B$23+((C1511=TRUE)*(F1511-Calc!F30))+(IF(ArtifactsInput!$M$15,CHOOSE(ArtifactsInput!$N$15+1,25,30,35,40,45,50)/100*(Inputs!$B$11-Inputs!$B$11),0))))/100+(Inputs!$B$23+((C1511=TRUE)*(F1511-Calc!F30))+(IF(ArtifactsInput!$M$15,CHOOSE(ArtifactsInput!$N$15+1,25,30,35,40,45,50)/100*(Inputs!$B$11-Inputs!$B$11),0)))/100)/2</f>
        <v/>
      </c>
      <c r="M1491">
        <f>L1491*(1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91">
        <f>L1491*(1-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1491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91">
        <f>(1-Summary!$B$11)*T1491+Summary!$B$11*V1491</f>
        <v/>
      </c>
      <c r="P1491">
        <f>IF(B1525=0,0,O1491/B1525)</f>
        <v/>
      </c>
      <c r="Q1491">
        <f>IFERROR(1/(IF(Inputs!$B$38="pvp",15,MAX(0.1,Skills!D10-IF(Skills!E10=TRUE,Inputs!$B$32,0)))*(1-IF(AND(ArtifactsInput!$M$27,Inputs!$B$4="Chapter Hunt"),CHOOSE(ArtifactsInput!$N$27+1,20,24,28,32,36,40),0)/100)),0)</f>
        <v/>
      </c>
      <c r="R1491">
        <f>IF(AND(Inputs!$B$38&lt;&gt;"pvp",Inputs!$B$43&gt;0),IF(MAX(0,Inputs!$B$43-B1522)&lt;=0,0,(INT(MAX(0,Inputs!$B$43-B1522)/(IF(Inputs!$B$38="pvp",15,MAX(0.1,Skills!D10-IF(Skills!E10=TRUE,Inputs!$B$32,0)))*(1-IF(AND(ArtifactsInput!$M$27,Inputs!$B$4="Chapter Hunt"),CHOOSE(ArtifactsInput!$N$27+1,20,24,28,32,36,40),0)/100)))+1)),0)</f>
        <v/>
      </c>
      <c r="S1491">
        <f>IFERROR(O1491/N1491,0)</f>
        <v/>
      </c>
      <c r="T1491">
        <f>IF(C1491,(H1491*N1491*IF(AND(Inputs!$B$38&lt;&gt;"pvp",Inputs!$B$43&gt;0),((Skills!G10*((R1491-1)*IF(Skills!H10&gt;0,Skills!I10/Skills!H10,1)+IF(Skills!H10&gt;0,MIN(Skills!I10,MAX(0,MAX(0,Inputs!$B$43-B1522)-((R1491-1)*(IF(Inputs!$B$38="pvp",15,MAX(0.1,Skills!D10-IF(Skills!E10=TRUE,Inputs!$B$32,0)))*(1-IF(AND(ArtifactsInput!$M$27,Inputs!$B$4="Chapter Hunt"),CHOOSE(ArtifactsInput!$N$27+1,20,24,28,32,36,40),0)/100)))))/Skills!H10,1)))/Inputs!$B$43),G1491*Q1491)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1491*(1-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1491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1491*(1-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1491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91">
        <f>IF(C1491,(H1491*N1491*IF(AND(Inputs!$B$38&lt;&gt;"pvp",Inputs!$B$43&gt;0),((Skills!G10*((R1491-1)*IF(Skills!H10&gt;0,Skills!I10/Skills!H10,1)+IF(Skills!H10&gt;0,MIN(Skills!I10,MAX(0,MAX(0,Inputs!$B$43-B1522)-((R1491-1)*(IF(Inputs!$B$38="pvp",15,MAX(0.1,Skills!D10-IF(Skills!E10=TRUE,Inputs!$B$32,0)))*(1-IF(AND(ArtifactsInput!$M$27,Inputs!$B$4="Chapter Hunt"),CHOOSE(ArtifactsInput!$N$27+1,20,24,28,32,36,40),0)/100)))))/Skills!H10,1)))/Inputs!$B$43),G1491*Q1491))*IF(Inputs!$B$38="pvp",1,(1+(Inputs!$B$21+Skills!Q10+(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2">
      <c r="A1492">
        <f>Skills!A11</f>
        <v/>
      </c>
      <c r="B1492">
        <f>Skills!B11</f>
        <v/>
      </c>
      <c r="C1492">
        <f>Inputs!$B$3&gt;=100</f>
        <v/>
      </c>
      <c r="D1492">
        <f>IF(Skills!C11=1,60+Inputs!$B$25+Inputs!$B$29,IF(Skills!C11=2,90+Inputs!$B$26+Inputs!$B$29,IF(Skills!C11=3,120+Inputs!$B$27+Inputs!$B$29,MAX(0,(Inputs!$B$3-100)*3)+Inputs!$B$28+Inputs!$B$29)))</f>
        <v/>
      </c>
      <c r="E1492">
        <f>INDEX(FactorTable!$B$2:$Y$301, MATCH(ROUND(MIN(300,MAX(1,D1492)),0), FactorTable!$A$2:$A$301,0), Skills!M11+1)</f>
        <v/>
      </c>
      <c r="F1492">
        <f>IF(Skills!N11=TRUE,(Skills!L11/10)*(E1492/1000),Skills!L11/10)+Skills!O11</f>
        <v/>
      </c>
      <c r="G1492" t="inlineStr"/>
      <c r="H1492" t="inlineStr"/>
      <c r="I1492" t="inlineStr">
        <is>
          <t>1</t>
        </is>
      </c>
      <c r="J1492" t="inlineStr"/>
      <c r="K1492" t="inlineStr"/>
      <c r="L1492" t="inlineStr"/>
      <c r="M1492" t="inlineStr"/>
      <c r="N1492" t="inlineStr"/>
      <c r="O1492" t="inlineStr"/>
      <c r="P1492" t="inlineStr"/>
      <c r="Q1492" t="inlineStr"/>
      <c r="R1492" t="inlineStr"/>
      <c r="S1492" t="inlineStr"/>
      <c r="T1492" t="inlineStr"/>
      <c r="V1492" t="inlineStr"/>
    </row>
    <row r="1493">
      <c r="A1493">
        <f>Skills!A12</f>
        <v/>
      </c>
      <c r="B1493">
        <f>Skills!B12</f>
        <v/>
      </c>
      <c r="C1493">
        <f>Inputs!$B$3&gt;=60</f>
        <v/>
      </c>
      <c r="D1493">
        <f>IF(Skills!C12=1,60+Inputs!$B$25+Inputs!$B$29,IF(Skills!C12=2,90+Inputs!$B$26+Inputs!$B$29,IF(Skills!C12=3,120+Inputs!$B$27+Inputs!$B$29,MAX(0,(Inputs!$B$3-100)*3)+Inputs!$B$28+Inputs!$B$29)))</f>
        <v/>
      </c>
      <c r="E1493">
        <f>INDEX(FactorTable!$B$2:$Y$301, MATCH(ROUND(MIN(300,MAX(1,D1493)),0), FactorTable!$A$2:$A$301,0), Skills!M12+1)</f>
        <v/>
      </c>
      <c r="F1493">
        <f>IF(Skills!N12=TRUE,(Skills!L12/10)*(E1493/1000),Skills!L12/10)+Skills!O12</f>
        <v/>
      </c>
      <c r="G1493">
        <f>Skills!G12*IF(Skills!H12&gt;0,Skills!I12/Skills!H12,1)</f>
        <v/>
      </c>
      <c r="H1493">
        <f>1-(1-Skills!J12/100)^Skills!K12</f>
        <v/>
      </c>
      <c r="I1493" t="inlineStr">
        <is>
          <t>1</t>
        </is>
      </c>
      <c r="J1493">
        <f>((Inputs!$B$6*(1+Inputs!$B$7/100))+(((Inputs!$B$12*(1+Inputs!$B$13/100))-(Inputs!$B$12*(1+Inputs!$B$13/100)))+0.25*(Inputs!$B$14-Inputs!$B$14))*(1+Inputs!$B$7/100))*(F1493/100)</f>
        <v/>
      </c>
      <c r="K1493">
        <f>J1493*(1+((Inputs!$B$12*(1+Inputs!$B$13/100))*0.01+Inputs!$B$14*0.0025)/100)*(1+Inputs!$B$15/100)*(1+Inputs!$B$16/100)*(5000/(6000+Inputs!$B$42*(1-(100*(1-(1-(Inputs!$B$19+((C1509=TRUE)*(F1509-Calc!F28)))/100)*(1-CHOOSE(ArtifactsInput!$N$40+1,5,6,7,8,9,10)/100)^(ArtifactsInput!$M$40-ArtifactsInput!$M$40)))/100)))*(1+(Inputs!$B$24+((C1507=TRUE)*(F1507-Calc!F26))+((C1508=TRUE)*(F1508-Calc!F27))+B1521)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1494=TRUE,F1494,0)/100)*(1+(IF(Skills!A12="ARROW_STREAM",Inputs!$B$17+((C1505=TRUE)*(F1505-Calc!F24))+(((IF(AND(ArtifactsInput!$M$42,((Inputs!$B$9+((C1502=TRUE)*(F1502-Calc!F21))+B1515+(ArtifactsInput!$M$24-ArtifactsInput!$M$24)*CHOOSE(ArtifactsInput!$N$24+1,10,12,14,16,18,20)+IF(IF(ArtifactsInput!$M$10,FALSE,TRUE),CHOOSE(ArtifactsInput!$N$10+1,15,18,21,24,27,30)*(IF(Inputs!$B$38="pvp",MIN(15,15)/15,IF(AND(Inputs!$B$38&lt;&gt;"pvp",Inputs!$B$43&gt;0),MIN(15,Inputs!$B$43)/(Inputs!$B$43),0))),0)))&gt;=100),MIN(100,((Inputs!$B$9+((C1502=TRUE)*(F1502-Calc!F21))+B1515+(ArtifactsInput!$M$24-ArtifactsInput!$M$24)*CHOOSE(ArtifactsInput!$N$24+1,10,12,14,16,18,20)+IF(IF(ArtifactsInput!$M$10,FALSE,TRUE),CHOOSE(ArtifactsInput!$N$10+1,15,18,21,24,27,30)*(IF(Inputs!$B$38="pvp",MIN(15,15)/15,IF(AND(Inputs!$B$38&lt;&gt;"pvp",Inputs!$B$43&gt;0),MIN(15,Inputs!$B$43)/(Inputs!$B$43),0))),0)))-100),0))*CHOOSE(ArtifactsInput!$N$42+1,0.6,0.72,0.84,0.96,1.08,1.2))),Inputs!$B$18+((C1510=TRUE)*(F1510-Calc!F29))+(IF(AND(ArtifactsInput!$M$42,((Inputs!$B$9+((C1502=TRUE)*(F1502-Calc!F21))+B1515+(ArtifactsInput!$M$24-ArtifactsInput!$M$24)*CHOOSE(ArtifactsInput!$N$24+1,10,12,14,16,18,20)+IF(IF(ArtifactsInput!$M$10,FALSE,TRUE),CHOOSE(ArtifactsInput!$N$10+1,15,18,21,24,27,30)*(IF(Inputs!$B$38="pvp",MIN(15,15)/15,IF(AND(Inputs!$B$38&lt;&gt;"pvp",Inputs!$B$43&gt;0),MIN(15,Inputs!$B$43)/(Inputs!$B$43),0))),0)))&gt;=100),CHOOSE(ArtifactsInput!$N$42+1,40,48,56,64,72,80),0))))/100)*((1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1493)</f>
        <v/>
      </c>
      <c r="L1493">
        <f>K1493*(MIN(Inputs!$B$22+((C1506=TRUE)*(F1506-Calc!F25)),(Inputs!$B$23+((C1511=TRUE)*(F1511-Calc!F30))+(IF(ArtifactsInput!$M$15,CHOOSE(ArtifactsInput!$N$15+1,25,30,35,40,45,50)/100*(Inputs!$B$11-Inputs!$B$11),0))))/100+(Inputs!$B$23+((C1511=TRUE)*(F1511-Calc!F30))+(IF(ArtifactsInput!$M$15,CHOOSE(ArtifactsInput!$N$15+1,25,30,35,40,45,50)/100*(Inputs!$B$11-Inputs!$B$11),0)))/100)/2</f>
        <v/>
      </c>
      <c r="M1493">
        <f>L1493*(1+(Inputs!$B$10+0+B1520+(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93">
        <f>L1493*(1-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1493*(MIN((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93">
        <f>(1-Summary!$B$11)*T1493+Summary!$B$11*V1493</f>
        <v/>
      </c>
      <c r="P1493">
        <f>IF(B1525=0,0,O1493/B1525)</f>
        <v/>
      </c>
      <c r="Q1493">
        <f>IFERROR(1/(IF(Inputs!$B$38="pvp",15,MAX(0.1,Skills!D12-IF(Skills!E12=TRUE,Inputs!$B$32,0)))*(1-IF(AND(ArtifactsInput!$M$27,Inputs!$B$4="Chapter Hunt"),CHOOSE(ArtifactsInput!$N$27+1,20,24,28,32,36,40),0)/100)),0)</f>
        <v/>
      </c>
      <c r="R1493">
        <f>IF(AND(Inputs!$B$38&lt;&gt;"pvp",Inputs!$B$43&gt;0),IF(MAX(0,Inputs!$B$43-B1522)&lt;=0,0,(INT(MAX(0,Inputs!$B$43-B1522)/(IF(Inputs!$B$38="pvp",15,MAX(0.1,Skills!D12-IF(Skills!E12=TRUE,Inputs!$B$32,0)))*(1-IF(AND(ArtifactsInput!$M$27,Inputs!$B$4="Chapter Hunt"),CHOOSE(ArtifactsInput!$N$27+1,20,24,28,32,36,40),0)/100)))+1)),0)</f>
        <v/>
      </c>
      <c r="S1493">
        <f>IFERROR(O1493/N1493,0)</f>
        <v/>
      </c>
      <c r="T1493">
        <f>IF(C1493,(H1493*N1493*IF(AND(Inputs!$B$38&lt;&gt;"pvp",Inputs!$B$43&gt;0),((Skills!G12*((R1493-1)*IF(Skills!H12&gt;0,Skills!I12/Skills!H12,1)+IF(Skills!H12&gt;0,MIN(Skills!I12,MAX(0,MAX(0,Inputs!$B$43-B1522)-((R1493-1)*(IF(Inputs!$B$38="pvp",15,MAX(0.1,Skills!D12-IF(Skills!E12=TRUE,Inputs!$B$32,0)))*(1-IF(AND(ArtifactsInput!$M$27,Inputs!$B$4="Chapter Hunt"),CHOOSE(ArtifactsInput!$N$27+1,20,24,28,32,36,40),0)/100)))))/Skills!H12,1)))/Inputs!$B$43),G1493*Q1493)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(5000/(6000+Inputs!$B$42*(1-(100*(1-(1-(100*(1-(1-(Inputs!$B$19+((C1509=TRUE)*(F1509-Calc!F28)))/100)*(1-CHOOSE(ArtifactsInput!$N$40+1,5,6,7,8,9,10)/100)^(ArtifactsInput!$M$40-ArtifactsInput!$M$40)))/100)*(1-IF(ArtifactsInput!$M$40,CHOOSE(ArtifactsInput!$N$40+1,5,6,7,8,9,10),0)/100)^IF(Inputs!$B$38="pvp",1,2)))/100)))/(5000/(6000+Inputs!$B$42*(1-(100*(1-(1-(Inputs!$B$19+((C1509=TRUE)*(F1509-Calc!F28)))/100)*(1-CHOOSE(ArtifactsInput!$N$40+1,5,6,7,8,9,10)/100)^(ArtifactsInput!$M$40-ArtifactsInput!$M$40)))/100))))*((L1493*(1-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1493*(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1493*(1-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1493*(MIN(100,(Inputs!$B$9+((C1502=TRUE)*(F1502-Calc!F21))+B1515+(ArtifactsInput!$M$24-ArtifactsInput!$M$24)*CHOOSE(ArtifactsInput!$N$24+1,10,12,14,16,18,20)+(IF(AND(ArtifactsInput!$M$42,((Inputs!$B$9+((C1502=TRUE)*(F1502-Calc!F21))+B1515+(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93">
        <f>IF(C1493,(H1493*N1493*IF(AND(Inputs!$B$38&lt;&gt;"pvp",Inputs!$B$43&gt;0),((Skills!G12*((R1493-1)*IF(Skills!H12&gt;0,Skills!I12/Skills!H12,1)+IF(Skills!H12&gt;0,MIN(Skills!I12,MAX(0,MAX(0,Inputs!$B$43-B1522)-((R1493-1)*(IF(Inputs!$B$38="pvp",15,MAX(0.1,Skills!D12-IF(Skills!E12=TRUE,Inputs!$B$32,0)))*(1-IF(AND(ArtifactsInput!$M$27,Inputs!$B$4="Chapter Hunt"),CHOOSE(ArtifactsInput!$N$27+1,20,24,28,32,36,40),0)/100)))))/Skills!H12,1)))/Inputs!$B$43),G1493*Q1493))*IF(Inputs!$B$38="pvp",1,(1+(Inputs!$B$21+Skills!Q12+(IF(ArtifactsInput!$M$33,CHOOSE(ArtifactsInput!$N$33+1,30,36,42,48,54,60),0))+(IF(AND(ArtifactsInput!$M$35,Inputs!$B$4&lt;&gt;"Chapter Hunt"),CHOOSE(ArtifactsInput!$N$35+1,15,18,21,24,27,30)*(1-EXP(-(0.2*B1517)*5)),0)+IF(AND(ArtifactsInput!$M$22,Inputs!$B$4&lt;&gt;"Chapter Hunt"),CHOOSE(ArtifactsInput!$N$22+1,10,12,14,16,18,20)*((0*(((0.15*B1517*5))^0/1)+1*(((0.15*B1517*5))^1/1)+2*(((0.15*B1517*5))^2/2)+3*(((0.15*B1517*5))^3/6)+4*(((0.15*B1517*5))^4/24)+5*(((0.15*B1517*5))^5/120))/((((0.15*B1517*5))^0/1)+(((0.15*B1517*5))^1/1)+(((0.15*B1517*5))^2/2)+(((0.15*B1517*5))^3/6)+(((0.15*B1517*5))^4/24)+(((0.15*B1517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4">
      <c r="A1494">
        <f>Skills!A13</f>
        <v/>
      </c>
      <c r="B1494">
        <f>Skills!B13</f>
        <v/>
      </c>
      <c r="C1494">
        <f>Inputs!$B$3&gt;=110</f>
        <v/>
      </c>
      <c r="D1494">
        <f>IF(Skills!C13=1,60+Inputs!$B$25+Inputs!$B$29,IF(Skills!C13=2,90+Inputs!$B$26+Inputs!$B$29,IF(Skills!C13=3,120+Inputs!$B$27+Inputs!$B$29,MAX(0,(Inputs!$B$3-100)*3)+Inputs!$B$28+Inputs!$B$29)))</f>
        <v/>
      </c>
      <c r="E1494">
        <f>INDEX(FactorTable!$B$2:$Y$301, MATCH(ROUND(MIN(300,MAX(1,D1494)),0), FactorTable!$A$2:$A$301,0), Skills!M13+1)</f>
        <v/>
      </c>
      <c r="F1494">
        <f>IF(Skills!N13=TRUE,(Skills!L13/10)*(E1494/1000),Skills!L13/10)+Skills!O13</f>
        <v/>
      </c>
      <c r="G1494" t="inlineStr"/>
      <c r="H1494" t="inlineStr"/>
      <c r="I1494" t="inlineStr">
        <is>
          <t>1</t>
        </is>
      </c>
      <c r="J1494" t="inlineStr"/>
      <c r="K1494" t="inlineStr"/>
      <c r="L1494" t="inlineStr"/>
      <c r="M1494" t="inlineStr"/>
      <c r="N1494" t="inlineStr"/>
      <c r="O1494" t="inlineStr"/>
      <c r="P1494" t="inlineStr"/>
      <c r="Q1494" t="inlineStr"/>
      <c r="R1494" t="inlineStr"/>
      <c r="S1494" t="inlineStr"/>
      <c r="T1494" t="inlineStr"/>
      <c r="V1494" t="inlineStr"/>
    </row>
    <row r="1495">
      <c r="A1495">
        <f>Skills!A14</f>
        <v/>
      </c>
      <c r="B1495">
        <f>Skills!B14</f>
        <v/>
      </c>
      <c r="C1495">
        <f>Inputs!$B$3&gt;=74</f>
        <v/>
      </c>
      <c r="D1495">
        <f>IF(Skills!C14=1,60+Inputs!$B$25+Inputs!$B$29,IF(Skills!C14=2,90+Inputs!$B$26+Inputs!$B$29,IF(Skills!C14=3,120+Inputs!$B$27+Inputs!$B$29,MAX(0,(Inputs!$B$3-100)*3)+Inputs!$B$28+Inputs!$B$29)))</f>
        <v/>
      </c>
      <c r="E1495">
        <f>INDEX(FactorTable!$B$2:$Y$301, MATCH(ROUND(MIN(300,MAX(1,D1495)),0), FactorTable!$A$2:$A$301,0), Skills!M14+1)</f>
        <v/>
      </c>
      <c r="F1495">
        <f>IF(Skills!N14=TRUE,(Skills!L14/10)*(E1495/1000),Skills!L14/10)+Skills!O14</f>
        <v/>
      </c>
      <c r="G1495">
        <f>Skills!G14*IF(Skills!H14&gt;0,Skills!I14/Skills!H14,1)</f>
        <v/>
      </c>
      <c r="H1495">
        <f>1-(1-Skills!J14/100)^Skills!K14</f>
        <v/>
      </c>
      <c r="I1495" t="inlineStr">
        <is>
          <t>1</t>
        </is>
      </c>
      <c r="J1495" t="inlineStr"/>
      <c r="K1495" t="inlineStr"/>
      <c r="L1495" t="inlineStr"/>
      <c r="M1495" t="inlineStr"/>
      <c r="N1495" t="inlineStr"/>
      <c r="O1495">
        <f>(1-Summary!$B$11)*T1495+Summary!$B$11*V1495</f>
        <v/>
      </c>
      <c r="P1495">
        <f>IF(B1525=0,0,O1495/B1525)</f>
        <v/>
      </c>
      <c r="Q1495" t="n">
        <v>0</v>
      </c>
      <c r="R1495" t="n">
        <v>0</v>
      </c>
      <c r="S1495">
        <f>IFERROR(O1495/N1495,0)</f>
        <v/>
      </c>
      <c r="T1495" t="n">
        <v>0</v>
      </c>
      <c r="V1495" t="n">
        <v>0</v>
      </c>
    </row>
    <row r="1496">
      <c r="A1496">
        <f>Skills!A15</f>
        <v/>
      </c>
      <c r="B1496">
        <f>Skills!B15</f>
        <v/>
      </c>
      <c r="C1496">
        <f>Inputs!$B$3&gt;=74</f>
        <v/>
      </c>
      <c r="D1496">
        <f>IF(Skills!C15=1,60+Inputs!$B$25+Inputs!$B$29,IF(Skills!C15=2,90+Inputs!$B$26+Inputs!$B$29,IF(Skills!C15=3,120+Inputs!$B$27+Inputs!$B$29,MAX(0,(Inputs!$B$3-100)*3)+Inputs!$B$28+Inputs!$B$29)))</f>
        <v/>
      </c>
      <c r="E1496">
        <f>INDEX(FactorTable!$B$2:$Y$301, MATCH(ROUND(MIN(300,MAX(1,D1496)),0), FactorTable!$A$2:$A$301,0), Skills!M15+1)</f>
        <v/>
      </c>
      <c r="F1496">
        <f>IF(Skills!N15=TRUE,(Skills!L15/10)*(E1496/1000),Skills!L15/10)+Skills!O15</f>
        <v/>
      </c>
      <c r="G1496">
        <f>Skills!G15*IF(Skills!H15&gt;0,Skills!I15/Skills!H15,1)</f>
        <v/>
      </c>
      <c r="H1496">
        <f>1-(1-Skills!J15/100)^Skills!K15</f>
        <v/>
      </c>
      <c r="I1496" t="inlineStr">
        <is>
          <t>1</t>
        </is>
      </c>
      <c r="J1496" t="inlineStr"/>
      <c r="K1496" t="inlineStr"/>
      <c r="L1496" t="inlineStr"/>
      <c r="M1496" t="inlineStr"/>
      <c r="N1496" t="inlineStr"/>
      <c r="O1496">
        <f>(1-Summary!$B$11)*T1496+Summary!$B$11*V1496</f>
        <v/>
      </c>
      <c r="P1496">
        <f>IF(B1525=0,0,O1496/B1525)</f>
        <v/>
      </c>
      <c r="Q1496" t="n">
        <v>0</v>
      </c>
      <c r="R1496" t="n">
        <v>0</v>
      </c>
      <c r="S1496">
        <f>IFERROR(O1496/N1496,0)</f>
        <v/>
      </c>
      <c r="T1496" t="n">
        <v>0</v>
      </c>
      <c r="V1496" t="n">
        <v>0</v>
      </c>
    </row>
    <row r="1497">
      <c r="A1497">
        <f>Skills!A16</f>
        <v/>
      </c>
      <c r="B1497">
        <f>Skills!B16</f>
        <v/>
      </c>
      <c r="C1497">
        <f>Inputs!$B$3&gt;=117</f>
        <v/>
      </c>
      <c r="D1497">
        <f>IF(Skills!C16=1,60+Inputs!$B$25+Inputs!$B$29,IF(Skills!C16=2,90+Inputs!$B$26+Inputs!$B$29,IF(Skills!C16=3,120+Inputs!$B$27+Inputs!$B$29,MAX(0,(Inputs!$B$3-100)*3)+Inputs!$B$28+Inputs!$B$29)))</f>
        <v/>
      </c>
      <c r="E1497">
        <f>INDEX(FactorTable!$B$2:$Y$301, MATCH(ROUND(MIN(300,MAX(1,D1497)),0), FactorTable!$A$2:$A$301,0), Skills!M16+1)</f>
        <v/>
      </c>
      <c r="F1497">
        <f>IF(Skills!N16=TRUE,(Skills!L16/10)*(E1497/1000),Skills!L16/10)+Skills!O16</f>
        <v/>
      </c>
      <c r="G1497">
        <f>Skills!G16*IF(Skills!H16&gt;0,Skills!I16/Skills!H16,1)</f>
        <v/>
      </c>
      <c r="H1497">
        <f>1-(1-Skills!J16/100)^Skills!K16</f>
        <v/>
      </c>
      <c r="I1497" t="inlineStr">
        <is>
          <t>1</t>
        </is>
      </c>
      <c r="J1497" t="inlineStr"/>
      <c r="K1497" t="inlineStr"/>
      <c r="L1497" t="inlineStr"/>
      <c r="M1497" t="inlineStr"/>
      <c r="N1497" t="inlineStr"/>
      <c r="O1497">
        <f>(1-Summary!$B$11)*T1497+Summary!$B$11*V1497</f>
        <v/>
      </c>
      <c r="P1497">
        <f>IF(B1525=0,0,O1497/B1525)</f>
        <v/>
      </c>
      <c r="Q1497">
        <f>IFERROR(1/(IF(Inputs!$B$38="pvp",15,MAX(0.1,Skills!D16-IF(Skills!E16=TRUE,Inputs!$B$32,0)))*(1-IF(AND(ArtifactsInput!$M$27,Inputs!$B$4="Chapter Hunt"),CHOOSE(ArtifactsInput!$N$27+1,20,24,28,32,36,40),0)/100)),0)</f>
        <v/>
      </c>
      <c r="R1497">
        <f>IF(AND(Inputs!$B$38&lt;&gt;"pvp",Inputs!$B$43&gt;0),IF(Inputs!$B$43&lt;=0,0,(INT(Inputs!$B$43/(IF(Inputs!$B$38="pvp",15,MAX(0.1,Skills!D16-IF(Skills!E16=TRUE,Inputs!$B$32,0)))*(1-IF(AND(ArtifactsInput!$M$27,Inputs!$B$4="Chapter Hunt"),CHOOSE(ArtifactsInput!$N$27+1,20,24,28,32,36,40),0)/100)))+1)),0)</f>
        <v/>
      </c>
      <c r="S1497">
        <f>IFERROR(O1497/N1497,0)</f>
        <v/>
      </c>
      <c r="T1497" t="n">
        <v>0</v>
      </c>
      <c r="V1497" t="n">
        <v>0</v>
      </c>
    </row>
    <row r="1498">
      <c r="A1498">
        <f>Skills!A17</f>
        <v/>
      </c>
      <c r="B1498">
        <f>Skills!B17</f>
        <v/>
      </c>
      <c r="C1498">
        <f>Inputs!$B$3&gt;=115</f>
        <v/>
      </c>
      <c r="D1498">
        <f>IF(Skills!C17=1,60+Inputs!$B$25+Inputs!$B$29,IF(Skills!C17=2,90+Inputs!$B$26+Inputs!$B$29,IF(Skills!C17=3,120+Inputs!$B$27+Inputs!$B$29,MAX(0,(Inputs!$B$3-100)*3)+Inputs!$B$28+Inputs!$B$29)))</f>
        <v/>
      </c>
      <c r="E1498">
        <f>INDEX(FactorTable!$B$2:$Y$301, MATCH(ROUND(MIN(300,MAX(1,D1498)),0), FactorTable!$A$2:$A$301,0), Skills!M17+1)</f>
        <v/>
      </c>
      <c r="F1498">
        <f>IF(Skills!N17=TRUE,(Skills!L17/10)*(E1498/1000),Skills!L17/10)+Skills!O17</f>
        <v/>
      </c>
      <c r="G1498">
        <f>Skills!G17*IF(Skills!H17&gt;0,Skills!I17/Skills!H17,1)</f>
        <v/>
      </c>
      <c r="H1498">
        <f>1-(1-Skills!J17/100)^Skills!K17</f>
        <v/>
      </c>
      <c r="I1498" t="inlineStr">
        <is>
          <t>1</t>
        </is>
      </c>
      <c r="J1498" t="inlineStr"/>
      <c r="K1498" t="inlineStr"/>
      <c r="L1498" t="inlineStr"/>
      <c r="M1498" t="inlineStr"/>
      <c r="N1498" t="inlineStr"/>
      <c r="O1498">
        <f>(1-Summary!$B$11)*T1498+Summary!$B$11*V1498</f>
        <v/>
      </c>
      <c r="P1498">
        <f>IF(B1525=0,0,O1498/B1525)</f>
        <v/>
      </c>
      <c r="Q1498">
        <f>IFERROR(1/(IF(Inputs!$B$38="pvp",15,MAX(0.1,Skills!D17-IF(Skills!E17=TRUE,Inputs!$B$32,0)))*(1-IF(AND(ArtifactsInput!$M$27,Inputs!$B$4="Chapter Hunt"),CHOOSE(ArtifactsInput!$N$27+1,20,24,28,32,36,40),0)/100)),0)</f>
        <v/>
      </c>
      <c r="R1498">
        <f>IF(AND(Inputs!$B$38&lt;&gt;"pvp",Inputs!$B$43&gt;0),IF(Inputs!$B$43&lt;=0,0,(INT(Inputs!$B$43/(IF(Inputs!$B$38="pvp",15,MAX(0.1,Skills!D17-IF(Skills!E17=TRUE,Inputs!$B$32,0)))*(1-IF(AND(ArtifactsInput!$M$27,Inputs!$B$4="Chapter Hunt"),CHOOSE(ArtifactsInput!$N$27+1,20,24,28,32,36,40),0)/100)))+1)),0)</f>
        <v/>
      </c>
      <c r="S1498">
        <f>IFERROR(O1498/N1498,0)</f>
        <v/>
      </c>
      <c r="T1498" t="n">
        <v>0</v>
      </c>
      <c r="V1498" t="n">
        <v>0</v>
      </c>
    </row>
    <row r="1499">
      <c r="A1499">
        <f>Skills!A18</f>
        <v/>
      </c>
      <c r="B1499">
        <f>Skills!B18</f>
        <v/>
      </c>
      <c r="C1499">
        <f>Inputs!$B$3&gt;=66</f>
        <v/>
      </c>
      <c r="D1499">
        <f>IF(Skills!C18=1,60+Inputs!$B$25+Inputs!$B$29,IF(Skills!C18=2,90+Inputs!$B$26+Inputs!$B$29,IF(Skills!C18=3,120+Inputs!$B$27+Inputs!$B$29,MAX(0,(Inputs!$B$3-100)*3)+Inputs!$B$28+Inputs!$B$29)))</f>
        <v/>
      </c>
      <c r="E1499">
        <f>INDEX(FactorTable!$B$2:$Y$301, MATCH(ROUND(MIN(300,MAX(1,D1499)),0), FactorTable!$A$2:$A$301,0), Skills!M18+1)</f>
        <v/>
      </c>
      <c r="F1499">
        <f>IF(Skills!N18=TRUE,(Skills!L18/10)*(E1499/1000),Skills!L18/10)+Skills!O18</f>
        <v/>
      </c>
      <c r="G1499">
        <f>Skills!G18*IF(Skills!H18&gt;0,Skills!I18/Skills!H18,1)</f>
        <v/>
      </c>
      <c r="H1499">
        <f>1-(1-Skills!J18/100)^Skills!K18</f>
        <v/>
      </c>
      <c r="I1499" t="inlineStr">
        <is>
          <t>1</t>
        </is>
      </c>
      <c r="J1499" t="inlineStr"/>
      <c r="K1499" t="inlineStr"/>
      <c r="L1499" t="inlineStr"/>
      <c r="M1499" t="inlineStr"/>
      <c r="N1499" t="inlineStr"/>
      <c r="O1499">
        <f>(1-Summary!$B$11)*T1499+Summary!$B$11*V1499</f>
        <v/>
      </c>
      <c r="P1499">
        <f>IF(B1525=0,0,O1499/B1525)</f>
        <v/>
      </c>
      <c r="Q1499" t="n">
        <v>0</v>
      </c>
      <c r="R1499" t="n">
        <v>0</v>
      </c>
      <c r="S1499">
        <f>IFERROR(O1499/N1499,0)</f>
        <v/>
      </c>
      <c r="T1499" t="n">
        <v>0</v>
      </c>
      <c r="V1499" t="n">
        <v>0</v>
      </c>
    </row>
    <row r="1500">
      <c r="A1500">
        <f>Skills!A19</f>
        <v/>
      </c>
      <c r="B1500">
        <f>Skills!B19</f>
        <v/>
      </c>
      <c r="C1500">
        <f>Inputs!$B$3&gt;=72</f>
        <v/>
      </c>
      <c r="D1500">
        <f>IF(Skills!C19=1,60+Inputs!$B$25+Inputs!$B$29,IF(Skills!C19=2,90+Inputs!$B$26+Inputs!$B$29,IF(Skills!C19=3,120+Inputs!$B$27+Inputs!$B$29,MAX(0,(Inputs!$B$3-100)*3)+Inputs!$B$28+Inputs!$B$29)))</f>
        <v/>
      </c>
      <c r="E1500">
        <f>INDEX(FactorTable!$B$2:$Y$301, MATCH(ROUND(MIN(300,MAX(1,D1500)),0), FactorTable!$A$2:$A$301,0), Skills!M19+1)</f>
        <v/>
      </c>
      <c r="F1500">
        <f>IF(Skills!N19=TRUE,(Skills!L19/10)*(E1500/1000),Skills!L19/10)+Skills!O19</f>
        <v/>
      </c>
      <c r="G1500">
        <f>Skills!G19*IF(Skills!H19&gt;0,Skills!I19/Skills!H19,1)</f>
        <v/>
      </c>
      <c r="H1500">
        <f>1-(1-Skills!J19/100)^Skills!K19</f>
        <v/>
      </c>
      <c r="I1500" t="inlineStr">
        <is>
          <t>1</t>
        </is>
      </c>
      <c r="J1500" t="inlineStr"/>
      <c r="K1500" t="inlineStr"/>
      <c r="L1500" t="inlineStr"/>
      <c r="M1500" t="inlineStr"/>
      <c r="N1500" t="inlineStr"/>
      <c r="O1500">
        <f>(1-Summary!$B$11)*T1500+Summary!$B$11*V1500</f>
        <v/>
      </c>
      <c r="P1500">
        <f>IF(B1525=0,0,O1500/B1525)</f>
        <v/>
      </c>
      <c r="Q1500" t="n">
        <v>0</v>
      </c>
      <c r="R1500" t="n">
        <v>0</v>
      </c>
      <c r="S1500">
        <f>IFERROR(O1500/N1500,0)</f>
        <v/>
      </c>
      <c r="T1500" t="n">
        <v>0</v>
      </c>
      <c r="V1500" t="n">
        <v>0</v>
      </c>
    </row>
    <row r="1501">
      <c r="A1501">
        <f>Skills!A20</f>
        <v/>
      </c>
      <c r="B1501">
        <f>Skills!B20</f>
        <v/>
      </c>
      <c r="C1501">
        <f>TRUE</f>
        <v/>
      </c>
      <c r="D1501">
        <f>IF(Skills!C20=1,60+Inputs!$B$25+Inputs!$B$29,IF(Skills!C20=2,90+Inputs!$B$26+Inputs!$B$29,IF(Skills!C20=3,120+Inputs!$B$27+Inputs!$B$29,MAX(0,(Inputs!$B$3-100)*3)+Inputs!$B$28+Inputs!$B$29)))</f>
        <v/>
      </c>
      <c r="E1501">
        <f>INDEX(FactorTable!$B$2:$Y$301, MATCH(ROUND(MIN(300,MAX(1,D1501)),0), FactorTable!$A$2:$A$301,0), Skills!M20+1)</f>
        <v/>
      </c>
      <c r="F1501">
        <f>IF(Skills!N20=TRUE,(Skills!L20/10)*(E1501/1000),Skills!L20/10)+Skills!O20</f>
        <v/>
      </c>
      <c r="G1501">
        <f>Skills!G20*IF(Skills!H20&gt;0,Skills!I20/Skills!H20,1)</f>
        <v/>
      </c>
      <c r="H1501">
        <f>1-(1-Skills!J20/100)^Skills!K20</f>
        <v/>
      </c>
      <c r="I1501" t="inlineStr">
        <is>
          <t>1</t>
        </is>
      </c>
      <c r="J1501" t="inlineStr"/>
      <c r="K1501" t="inlineStr"/>
      <c r="L1501" t="inlineStr"/>
      <c r="M1501" t="inlineStr"/>
      <c r="N1501" t="inlineStr"/>
      <c r="O1501">
        <f>(1-Summary!$B$11)*T1501+Summary!$B$11*V1501</f>
        <v/>
      </c>
      <c r="P1501">
        <f>IF(B1525=0,0,O1501/B1525)</f>
        <v/>
      </c>
      <c r="Q1501">
        <f>IFERROR(1/(IF(Inputs!$B$38="pvp",15,MAX(0.1,Skills!D20-IF(Skills!E20=TRUE,Inputs!$B$32,0)))*(1-IF(AND(ArtifactsInput!$M$27,Inputs!$B$4="Chapter Hunt"),CHOOSE(ArtifactsInput!$N$27+1,20,24,28,32,36,40),0)/100)),0)</f>
        <v/>
      </c>
      <c r="R1501">
        <f>IF(AND(Inputs!$B$38&lt;&gt;"pvp",Inputs!$B$43&gt;0),IF(Inputs!$B$43&lt;=0,0,(INT(Inputs!$B$43/(IF(Inputs!$B$38="pvp",15,MAX(0.1,Skills!D20-IF(Skills!E20=TRUE,Inputs!$B$32,0)))*(1-IF(AND(ArtifactsInput!$M$27,Inputs!$B$4="Chapter Hunt"),CHOOSE(ArtifactsInput!$N$27+1,20,24,28,32,36,40),0)/100)))+1)),0)</f>
        <v/>
      </c>
      <c r="S1501">
        <f>IFERROR(O1501/N1501,0)</f>
        <v/>
      </c>
      <c r="T1501" t="n">
        <v>0</v>
      </c>
      <c r="V1501" t="n">
        <v>0</v>
      </c>
    </row>
    <row r="1502">
      <c r="A1502">
        <f>Skills!A21</f>
        <v/>
      </c>
      <c r="B1502">
        <f>Skills!B21</f>
        <v/>
      </c>
      <c r="C1502">
        <f>Inputs!$B$3&gt;=15</f>
        <v/>
      </c>
      <c r="D1502">
        <f>IF(Skills!C21=1,60+Inputs!$B$25+Inputs!$B$29,IF(Skills!C21=2,90+Inputs!$B$26+Inputs!$B$29,IF(Skills!C21=3,120+Inputs!$B$27+Inputs!$B$29,MAX(0,(Inputs!$B$3-100)*3)+Inputs!$B$28+Inputs!$B$29)))</f>
        <v/>
      </c>
      <c r="E1502">
        <f>INDEX(FactorTable!$B$2:$Y$301, MATCH(ROUND(MIN(300,MAX(1,D1502)),0), FactorTable!$A$2:$A$301,0), Skills!M21+1)</f>
        <v/>
      </c>
      <c r="F1502">
        <f>IF(Skills!N21=TRUE,(Skills!L21/10)*(E1502/1000),Skills!L21/10)+Skills!O21</f>
        <v/>
      </c>
      <c r="G1502">
        <f>Skills!G21*IF(Skills!H21&gt;0,Skills!I21/Skills!H21,1)</f>
        <v/>
      </c>
      <c r="H1502">
        <f>1-(1-Skills!J21/100)^Skills!K21</f>
        <v/>
      </c>
      <c r="I1502" t="inlineStr">
        <is>
          <t>1</t>
        </is>
      </c>
      <c r="J1502" t="inlineStr"/>
      <c r="K1502" t="inlineStr"/>
      <c r="L1502" t="inlineStr"/>
      <c r="M1502" t="inlineStr"/>
      <c r="N1502" t="inlineStr"/>
      <c r="O1502">
        <f>(1-Summary!$B$11)*T1502+Summary!$B$11*V1502</f>
        <v/>
      </c>
      <c r="P1502">
        <f>IF(B1525=0,0,O1502/B1525)</f>
        <v/>
      </c>
      <c r="Q1502" t="n">
        <v>0</v>
      </c>
      <c r="R1502" t="n">
        <v>0</v>
      </c>
      <c r="S1502">
        <f>IFERROR(O1502/N1502,0)</f>
        <v/>
      </c>
      <c r="T1502" t="n">
        <v>0</v>
      </c>
      <c r="V1502" t="n">
        <v>0</v>
      </c>
    </row>
    <row r="1503">
      <c r="A1503">
        <f>Skills!A22</f>
        <v/>
      </c>
      <c r="B1503">
        <f>Skills!B22</f>
        <v/>
      </c>
      <c r="C1503">
        <f>Inputs!$B$3&gt;=10</f>
        <v/>
      </c>
      <c r="D1503">
        <f>IF(Skills!C22=1,60+Inputs!$B$25+Inputs!$B$29,IF(Skills!C22=2,90+Inputs!$B$26+Inputs!$B$29,IF(Skills!C22=3,120+Inputs!$B$27+Inputs!$B$29,MAX(0,(Inputs!$B$3-100)*3)+Inputs!$B$28+Inputs!$B$29)))</f>
        <v/>
      </c>
      <c r="E1503">
        <f>INDEX(FactorTable!$B$2:$Y$301, MATCH(ROUND(MIN(300,MAX(1,D1503)),0), FactorTable!$A$2:$A$301,0), Skills!M22+1)</f>
        <v/>
      </c>
      <c r="F1503">
        <f>IF(Skills!N22=TRUE,(Skills!L22/10)*(E1503/1000),Skills!L22/10)+Skills!O22</f>
        <v/>
      </c>
      <c r="G1503">
        <f>Skills!G22*IF(Skills!H22&gt;0,Skills!I22/Skills!H22,1)</f>
        <v/>
      </c>
      <c r="H1503">
        <f>1-(1-Skills!J22/100)^Skills!K22</f>
        <v/>
      </c>
      <c r="I1503" t="inlineStr">
        <is>
          <t>1</t>
        </is>
      </c>
      <c r="J1503" t="inlineStr"/>
      <c r="K1503" t="inlineStr"/>
      <c r="L1503" t="inlineStr"/>
      <c r="M1503" t="inlineStr"/>
      <c r="N1503" t="inlineStr"/>
      <c r="O1503">
        <f>(1-Summary!$B$11)*T1503+Summary!$B$11*V1503</f>
        <v/>
      </c>
      <c r="P1503">
        <f>IF(B1525=0,0,O1503/B1525)</f>
        <v/>
      </c>
      <c r="Q1503" t="n">
        <v>0</v>
      </c>
      <c r="R1503" t="n">
        <v>0</v>
      </c>
      <c r="S1503">
        <f>IFERROR(O1503/N1503,0)</f>
        <v/>
      </c>
      <c r="T1503" t="n">
        <v>0</v>
      </c>
      <c r="V1503" t="n">
        <v>0</v>
      </c>
    </row>
    <row r="1504">
      <c r="A1504">
        <f>Skills!A23</f>
        <v/>
      </c>
      <c r="B1504">
        <f>Skills!B23</f>
        <v/>
      </c>
      <c r="C1504">
        <f>Inputs!$B$3&gt;=33</f>
        <v/>
      </c>
      <c r="D1504">
        <f>IF(Skills!C23=1,60+Inputs!$B$25+Inputs!$B$29,IF(Skills!C23=2,90+Inputs!$B$26+Inputs!$B$29,IF(Skills!C23=3,120+Inputs!$B$27+Inputs!$B$29,MAX(0,(Inputs!$B$3-100)*3)+Inputs!$B$28+Inputs!$B$29)))</f>
        <v/>
      </c>
      <c r="E1504">
        <f>INDEX(FactorTable!$B$2:$Y$301, MATCH(ROUND(MIN(300,MAX(1,D1504)),0), FactorTable!$A$2:$A$301,0), Skills!M23+1)</f>
        <v/>
      </c>
      <c r="F1504">
        <f>IF(Skills!N23=TRUE,(Skills!L23/10)*(E1504/1000),Skills!L23/10)+Skills!O23</f>
        <v/>
      </c>
      <c r="G1504">
        <f>Skills!G23*IF(Skills!H23&gt;0,Skills!I23/Skills!H23,1)</f>
        <v/>
      </c>
      <c r="H1504">
        <f>1-(1-Skills!J23/100)^Skills!K23</f>
        <v/>
      </c>
      <c r="I1504" t="inlineStr">
        <is>
          <t>1</t>
        </is>
      </c>
      <c r="J1504" t="inlineStr"/>
      <c r="K1504" t="inlineStr"/>
      <c r="L1504" t="inlineStr"/>
      <c r="M1504" t="inlineStr"/>
      <c r="N1504" t="inlineStr"/>
      <c r="O1504">
        <f>(1-Summary!$B$11)*T1504+Summary!$B$11*V1504</f>
        <v/>
      </c>
      <c r="P1504">
        <f>IF(B1525=0,0,O1504/B1525)</f>
        <v/>
      </c>
      <c r="Q1504" t="n">
        <v>0</v>
      </c>
      <c r="R1504" t="n">
        <v>0</v>
      </c>
      <c r="S1504">
        <f>IFERROR(O1504/N1504,0)</f>
        <v/>
      </c>
      <c r="T1504" t="n">
        <v>0</v>
      </c>
      <c r="V1504" t="n">
        <v>0</v>
      </c>
    </row>
    <row r="1505">
      <c r="A1505">
        <f>Skills!A24</f>
        <v/>
      </c>
      <c r="B1505">
        <f>Skills!B24</f>
        <v/>
      </c>
      <c r="C1505">
        <f>Inputs!$B$3&gt;=38</f>
        <v/>
      </c>
      <c r="D1505">
        <f>IF(Skills!C24=1,60+Inputs!$B$25+Inputs!$B$29,IF(Skills!C24=2,90+Inputs!$B$26+Inputs!$B$29,IF(Skills!C24=3,120+Inputs!$B$27+Inputs!$B$29,MAX(0,(Inputs!$B$3-100)*3)+Inputs!$B$28+Inputs!$B$29)))</f>
        <v/>
      </c>
      <c r="E1505">
        <f>INDEX(FactorTable!$B$2:$Y$301, MATCH(ROUND(MIN(300,MAX(1,D1505)),0), FactorTable!$A$2:$A$301,0), Skills!M24+1)</f>
        <v/>
      </c>
      <c r="F1505">
        <f>IF(Skills!N24=TRUE,(Skills!L24/10)*(E1505/1000),Skills!L24/10)+Skills!O24</f>
        <v/>
      </c>
      <c r="G1505">
        <f>Skills!G24*IF(Skills!H24&gt;0,Skills!I24/Skills!H24,1)</f>
        <v/>
      </c>
      <c r="H1505">
        <f>1-(1-Skills!J24/100)^Skills!K24</f>
        <v/>
      </c>
      <c r="I1505" t="inlineStr">
        <is>
          <t>1</t>
        </is>
      </c>
      <c r="J1505" t="inlineStr"/>
      <c r="K1505" t="inlineStr"/>
      <c r="L1505" t="inlineStr"/>
      <c r="M1505" t="inlineStr"/>
      <c r="N1505" t="inlineStr"/>
      <c r="O1505">
        <f>(1-Summary!$B$11)*T1505+Summary!$B$11*V1505</f>
        <v/>
      </c>
      <c r="P1505">
        <f>IF(B1525=0,0,O1505/B1525)</f>
        <v/>
      </c>
      <c r="Q1505" t="n">
        <v>0</v>
      </c>
      <c r="R1505" t="n">
        <v>0</v>
      </c>
      <c r="S1505">
        <f>IFERROR(O1505/N1505,0)</f>
        <v/>
      </c>
      <c r="T1505" t="n">
        <v>0</v>
      </c>
      <c r="V1505" t="n">
        <v>0</v>
      </c>
    </row>
    <row r="1506">
      <c r="A1506">
        <f>Skills!A25</f>
        <v/>
      </c>
      <c r="B1506">
        <f>Skills!B25</f>
        <v/>
      </c>
      <c r="C1506">
        <f>Inputs!$B$3&gt;=43</f>
        <v/>
      </c>
      <c r="D1506">
        <f>IF(Skills!C25=1,60+Inputs!$B$25+Inputs!$B$29,IF(Skills!C25=2,90+Inputs!$B$26+Inputs!$B$29,IF(Skills!C25=3,120+Inputs!$B$27+Inputs!$B$29,MAX(0,(Inputs!$B$3-100)*3)+Inputs!$B$28+Inputs!$B$29)))</f>
        <v/>
      </c>
      <c r="E1506">
        <f>INDEX(FactorTable!$B$2:$Y$301, MATCH(ROUND(MIN(300,MAX(1,D1506)),0), FactorTable!$A$2:$A$301,0), Skills!M25+1)</f>
        <v/>
      </c>
      <c r="F1506">
        <f>IF(Skills!N25=TRUE,(Skills!L25/10)*(E1506/1000),Skills!L25/10)+Skills!O25</f>
        <v/>
      </c>
      <c r="G1506">
        <f>Skills!G25*IF(Skills!H25&gt;0,Skills!I25/Skills!H25,1)</f>
        <v/>
      </c>
      <c r="H1506">
        <f>1-(1-Skills!J25/100)^Skills!K25</f>
        <v/>
      </c>
      <c r="I1506" t="inlineStr">
        <is>
          <t>1</t>
        </is>
      </c>
      <c r="J1506" t="inlineStr"/>
      <c r="K1506" t="inlineStr"/>
      <c r="L1506" t="inlineStr"/>
      <c r="M1506" t="inlineStr"/>
      <c r="N1506" t="inlineStr"/>
      <c r="O1506">
        <f>(1-Summary!$B$11)*T1506+Summary!$B$11*V1506</f>
        <v/>
      </c>
      <c r="P1506">
        <f>IF(B1525=0,0,O1506/B1525)</f>
        <v/>
      </c>
      <c r="Q1506" t="n">
        <v>0</v>
      </c>
      <c r="R1506" t="n">
        <v>0</v>
      </c>
      <c r="S1506">
        <f>IFERROR(O1506/N1506,0)</f>
        <v/>
      </c>
      <c r="T1506" t="n">
        <v>0</v>
      </c>
      <c r="V1506" t="n">
        <v>0</v>
      </c>
    </row>
    <row r="1507">
      <c r="A1507">
        <f>Skills!A26</f>
        <v/>
      </c>
      <c r="B1507">
        <f>Skills!B26</f>
        <v/>
      </c>
      <c r="C1507">
        <f>Inputs!$B$3&gt;=75</f>
        <v/>
      </c>
      <c r="D1507">
        <f>IF(Skills!C26=1,60+Inputs!$B$25+Inputs!$B$29,IF(Skills!C26=2,90+Inputs!$B$26+Inputs!$B$29,IF(Skills!C26=3,120+Inputs!$B$27+Inputs!$B$29,MAX(0,(Inputs!$B$3-100)*3)+Inputs!$B$28+Inputs!$B$29)))</f>
        <v/>
      </c>
      <c r="E1507">
        <f>INDEX(FactorTable!$B$2:$Y$301, MATCH(ROUND(MIN(300,MAX(1,D1507)),0), FactorTable!$A$2:$A$301,0), Skills!M26+1)</f>
        <v/>
      </c>
      <c r="F1507">
        <f>IF(Skills!N26=TRUE,(Skills!L26/10)*(E1507/1000),Skills!L26/10)+Skills!O26</f>
        <v/>
      </c>
      <c r="G1507">
        <f>Skills!G26*IF(Skills!H26&gt;0,Skills!I26/Skills!H26,1)</f>
        <v/>
      </c>
      <c r="H1507">
        <f>1-(1-Skills!J26/100)^Skills!K26</f>
        <v/>
      </c>
      <c r="I1507" t="inlineStr">
        <is>
          <t>1</t>
        </is>
      </c>
      <c r="J1507" t="inlineStr"/>
      <c r="K1507" t="inlineStr"/>
      <c r="L1507" t="inlineStr"/>
      <c r="M1507" t="inlineStr"/>
      <c r="N1507" t="inlineStr"/>
      <c r="O1507">
        <f>(1-Summary!$B$11)*T1507+Summary!$B$11*V1507</f>
        <v/>
      </c>
      <c r="P1507">
        <f>IF(B1525=0,0,O1507/B1525)</f>
        <v/>
      </c>
      <c r="Q1507" t="n">
        <v>0</v>
      </c>
      <c r="R1507" t="n">
        <v>0</v>
      </c>
      <c r="S1507">
        <f>IFERROR(O1507/N1507,0)</f>
        <v/>
      </c>
      <c r="T1507" t="n">
        <v>0</v>
      </c>
      <c r="V1507" t="n">
        <v>0</v>
      </c>
    </row>
    <row r="1508">
      <c r="A1508">
        <f>Skills!A27</f>
        <v/>
      </c>
      <c r="B1508">
        <f>Skills!B27</f>
        <v/>
      </c>
      <c r="C1508">
        <f>Inputs!$B$3&gt;=125</f>
        <v/>
      </c>
      <c r="D1508">
        <f>IF(Skills!C27=1,60+Inputs!$B$25+Inputs!$B$29,IF(Skills!C27=2,90+Inputs!$B$26+Inputs!$B$29,IF(Skills!C27=3,120+Inputs!$B$27+Inputs!$B$29,MAX(0,(Inputs!$B$3-100)*3)+Inputs!$B$28+Inputs!$B$29)))</f>
        <v/>
      </c>
      <c r="E1508">
        <f>INDEX(FactorTable!$B$2:$Y$301, MATCH(ROUND(MIN(300,MAX(1,D1508)),0), FactorTable!$A$2:$A$301,0), Skills!M27+1)</f>
        <v/>
      </c>
      <c r="F1508">
        <f>IF(Skills!N27=TRUE,(Skills!L27/10)*(E1508/1000),Skills!L27/10)+Skills!O27</f>
        <v/>
      </c>
      <c r="G1508">
        <f>Skills!G27*IF(Skills!H27&gt;0,Skills!I27/Skills!H27,1)</f>
        <v/>
      </c>
      <c r="H1508">
        <f>1-(1-Skills!J27/100)^Skills!K27</f>
        <v/>
      </c>
      <c r="I1508" t="inlineStr">
        <is>
          <t>1</t>
        </is>
      </c>
      <c r="J1508" t="inlineStr"/>
      <c r="K1508" t="inlineStr"/>
      <c r="L1508" t="inlineStr"/>
      <c r="M1508" t="inlineStr"/>
      <c r="N1508" t="inlineStr"/>
      <c r="O1508">
        <f>(1-Summary!$B$11)*T1508+Summary!$B$11*V1508</f>
        <v/>
      </c>
      <c r="P1508">
        <f>IF(B1525=0,0,O1508/B1525)</f>
        <v/>
      </c>
      <c r="Q1508" t="n">
        <v>0</v>
      </c>
      <c r="R1508" t="n">
        <v>0</v>
      </c>
      <c r="S1508">
        <f>IFERROR(O1508/N1508,0)</f>
        <v/>
      </c>
      <c r="T1508" t="n">
        <v>0</v>
      </c>
      <c r="V1508" t="n">
        <v>0</v>
      </c>
    </row>
    <row r="1509">
      <c r="A1509">
        <f>Skills!A28</f>
        <v/>
      </c>
      <c r="B1509">
        <f>Skills!B28</f>
        <v/>
      </c>
      <c r="C1509">
        <f>Inputs!$B$3&gt;=125</f>
        <v/>
      </c>
      <c r="D1509">
        <f>IF(Skills!C28=1,60+Inputs!$B$25+Inputs!$B$29,IF(Skills!C28=2,90+Inputs!$B$26+Inputs!$B$29,IF(Skills!C28=3,120+Inputs!$B$27+Inputs!$B$29,MAX(0,(Inputs!$B$3-100)*3)+Inputs!$B$28+Inputs!$B$29)))</f>
        <v/>
      </c>
      <c r="E1509">
        <f>INDEX(FactorTable!$B$2:$Y$301, MATCH(ROUND(MIN(300,MAX(1,D1509)),0), FactorTable!$A$2:$A$301,0), Skills!M28+1)</f>
        <v/>
      </c>
      <c r="F1509">
        <f>IF(Skills!N28=TRUE,(Skills!L28/10)*(E1509/1000),Skills!L28/10)+Skills!O28</f>
        <v/>
      </c>
      <c r="G1509">
        <f>Skills!G28*IF(Skills!H28&gt;0,Skills!I28/Skills!H28,1)</f>
        <v/>
      </c>
      <c r="H1509">
        <f>1-(1-Skills!J28/100)^Skills!K28</f>
        <v/>
      </c>
      <c r="I1509" t="inlineStr">
        <is>
          <t>1</t>
        </is>
      </c>
      <c r="J1509" t="inlineStr"/>
      <c r="K1509" t="inlineStr"/>
      <c r="L1509" t="inlineStr"/>
      <c r="M1509" t="inlineStr"/>
      <c r="N1509" t="inlineStr"/>
      <c r="O1509">
        <f>(1-Summary!$B$11)*T1509+Summary!$B$11*V1509</f>
        <v/>
      </c>
      <c r="P1509">
        <f>IF(B1525=0,0,O1509/B1525)</f>
        <v/>
      </c>
      <c r="Q1509" t="n">
        <v>0</v>
      </c>
      <c r="R1509" t="n">
        <v>0</v>
      </c>
      <c r="S1509">
        <f>IFERROR(O1509/N1509,0)</f>
        <v/>
      </c>
      <c r="T1509" t="n">
        <v>0</v>
      </c>
      <c r="V1509" t="n">
        <v>0</v>
      </c>
    </row>
    <row r="1510">
      <c r="A1510">
        <f>Skills!A29</f>
        <v/>
      </c>
      <c r="B1510">
        <f>Skills!B29</f>
        <v/>
      </c>
      <c r="C1510">
        <f>Inputs!$B$3&gt;=120</f>
        <v/>
      </c>
      <c r="D1510">
        <f>IF(Skills!C29=1,60+Inputs!$B$25+Inputs!$B$29,IF(Skills!C29=2,90+Inputs!$B$26+Inputs!$B$29,IF(Skills!C29=3,120+Inputs!$B$27+Inputs!$B$29,MAX(0,(Inputs!$B$3-100)*3)+Inputs!$B$28+Inputs!$B$29)))</f>
        <v/>
      </c>
      <c r="E1510">
        <f>INDEX(FactorTable!$B$2:$Y$301, MATCH(ROUND(MIN(300,MAX(1,D1510)),0), FactorTable!$A$2:$A$301,0), Skills!M29+1)</f>
        <v/>
      </c>
      <c r="F1510">
        <f>IF(Skills!N29=TRUE,(Skills!L29/10)*(E1510/1000),Skills!L29/10)+Skills!O29</f>
        <v/>
      </c>
      <c r="G1510">
        <f>Skills!G29*IF(Skills!H29&gt;0,Skills!I29/Skills!H29,1)</f>
        <v/>
      </c>
      <c r="H1510">
        <f>1-(1-Skills!J29/100)^Skills!K29</f>
        <v/>
      </c>
      <c r="I1510" t="inlineStr">
        <is>
          <t>1</t>
        </is>
      </c>
      <c r="J1510" t="inlineStr"/>
      <c r="K1510" t="inlineStr"/>
      <c r="L1510" t="inlineStr"/>
      <c r="M1510" t="inlineStr"/>
      <c r="N1510" t="inlineStr"/>
      <c r="O1510">
        <f>(1-Summary!$B$11)*T1510+Summary!$B$11*V1510</f>
        <v/>
      </c>
      <c r="P1510">
        <f>IF(B1525=0,0,O1510/B1525)</f>
        <v/>
      </c>
      <c r="Q1510" t="n">
        <v>0</v>
      </c>
      <c r="R1510" t="n">
        <v>0</v>
      </c>
      <c r="S1510">
        <f>IFERROR(O1510/N1510,0)</f>
        <v/>
      </c>
      <c r="T1510" t="n">
        <v>0</v>
      </c>
      <c r="V1510" t="n">
        <v>0</v>
      </c>
    </row>
    <row r="1511">
      <c r="A1511">
        <f>Skills!A30</f>
        <v/>
      </c>
      <c r="B1511">
        <f>Skills!B30</f>
        <v/>
      </c>
      <c r="C1511">
        <f>Inputs!$B$3&gt;=120</f>
        <v/>
      </c>
      <c r="D1511">
        <f>IF(Skills!C30=1,60+Inputs!$B$25+Inputs!$B$29,IF(Skills!C30=2,90+Inputs!$B$26+Inputs!$B$29,IF(Skills!C30=3,120+Inputs!$B$27+Inputs!$B$29,MAX(0,(Inputs!$B$3-100)*3)+Inputs!$B$28+Inputs!$B$29)))</f>
        <v/>
      </c>
      <c r="E1511">
        <f>INDEX(FactorTable!$B$2:$Y$301, MATCH(ROUND(MIN(300,MAX(1,D1511)),0), FactorTable!$A$2:$A$301,0), Skills!M30+1)</f>
        <v/>
      </c>
      <c r="F1511">
        <f>IF(Skills!N30=TRUE,(Skills!L30/10)*(E1511/1000),Skills!L30/10)+Skills!O30</f>
        <v/>
      </c>
      <c r="G1511">
        <f>Skills!G30*IF(Skills!H30&gt;0,Skills!I30/Skills!H30,1)</f>
        <v/>
      </c>
      <c r="H1511">
        <f>1-(1-Skills!J30/100)^Skills!K30</f>
        <v/>
      </c>
      <c r="I1511" t="inlineStr">
        <is>
          <t>1</t>
        </is>
      </c>
      <c r="J1511" t="inlineStr"/>
      <c r="K1511" t="inlineStr"/>
      <c r="L1511" t="inlineStr"/>
      <c r="M1511" t="inlineStr"/>
      <c r="N1511" t="inlineStr"/>
      <c r="O1511">
        <f>(1-Summary!$B$11)*T1511+Summary!$B$11*V1511</f>
        <v/>
      </c>
      <c r="P1511">
        <f>IF(B1525=0,0,O1511/B1525)</f>
        <v/>
      </c>
      <c r="Q1511" t="n">
        <v>0</v>
      </c>
      <c r="R1511" t="n">
        <v>0</v>
      </c>
      <c r="S1511">
        <f>IFERROR(O1511/N1511,0)</f>
        <v/>
      </c>
      <c r="T1511" t="n">
        <v>0</v>
      </c>
      <c r="V1511" t="n">
        <v>0</v>
      </c>
    </row>
    <row r="1512">
      <c r="A1512">
        <f>Skills!A31</f>
        <v/>
      </c>
      <c r="B1512">
        <f>Skills!B31</f>
        <v/>
      </c>
      <c r="C1512">
        <f>Inputs!$B$3&gt;=45</f>
        <v/>
      </c>
      <c r="D1512">
        <f>IF(Skills!C31=1,60+Inputs!$B$25+Inputs!$B$29,IF(Skills!C31=2,90+Inputs!$B$26+Inputs!$B$29,IF(Skills!C31=3,120+Inputs!$B$27+Inputs!$B$29,MAX(0,(Inputs!$B$3-100)*3)+Inputs!$B$28+Inputs!$B$29)))</f>
        <v/>
      </c>
      <c r="E1512">
        <f>INDEX(FactorTable!$B$2:$Y$301, MATCH(ROUND(MIN(300,MAX(1,D1512)),0), FactorTable!$A$2:$A$301,0), Skills!M31+1)</f>
        <v/>
      </c>
      <c r="F1512">
        <f>IF(Skills!N31=TRUE,(Skills!L31/10)*(E1512/1000),Skills!L31/10)+Skills!O31</f>
        <v/>
      </c>
      <c r="G1512">
        <f>Skills!G31*IF(Skills!H31&gt;0,Skills!I31/Skills!H31,1)</f>
        <v/>
      </c>
      <c r="H1512">
        <f>1-(1-Skills!J31/100)^Skills!K31</f>
        <v/>
      </c>
      <c r="I1512" t="inlineStr">
        <is>
          <t>1</t>
        </is>
      </c>
      <c r="J1512" t="inlineStr"/>
      <c r="K1512" t="inlineStr"/>
      <c r="L1512" t="inlineStr"/>
      <c r="M1512" t="inlineStr"/>
      <c r="N1512" t="inlineStr"/>
      <c r="O1512">
        <f>(1-Summary!$B$11)*T1512+Summary!$B$11*V1512</f>
        <v/>
      </c>
      <c r="P1512">
        <f>IF(B1525=0,0,O1512/B1525)</f>
        <v/>
      </c>
      <c r="Q1512" t="n">
        <v>0</v>
      </c>
      <c r="R1512" t="n">
        <v>0</v>
      </c>
      <c r="S1512">
        <f>IFERROR(O1512/N1512,0)</f>
        <v/>
      </c>
      <c r="T1512" t="n">
        <v>0</v>
      </c>
      <c r="V1512" t="n">
        <v>0</v>
      </c>
    </row>
    <row r="1514">
      <c r="A1514" t="inlineStr">
        <is>
          <t>Attack% Bucket Multiplier</t>
        </is>
      </c>
      <c r="B1514">
        <f>(1+(((C1495=TRUE)*F1495)+((C1496=TRUE)*IF(Inputs!$B$38="pvp",F1496,(1-Summary!$B$11)*(F1496)+Summary!$B$11*(0)))+((C1497=TRUE)*F1497*IF(AND(Inputs!$B$38&lt;&gt;"pvp",Inputs!$B$43&gt;0),(((R1497-1)*(Skills!T16*(1+Inputs!$B$34/100))+MIN((Skills!T16*(1+Inputs!$B$34/100)),MAX(0,Inputs!$B$43-((R1497-1)*Skills!D16))))/Inputs!$B$43),IF(Inputs!$B$38="pvp",MIN((Skills!T16*(1+Inputs!$B$34/100)),15)/15,(Skills!T16*(1+Inputs!$B$34/100))/Skills!D16)))+((C1512=TRUE)*(F1512-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15">
      <c r="A1515" t="inlineStr">
        <is>
          <t>Global Crit Rate Bonus %</t>
        </is>
      </c>
      <c r="B1515">
        <f>(C1498=TRUE)*20*IF(AND(Inputs!$B$38&lt;&gt;"pvp",Inputs!$B$43&gt;0),(((R1498-1)*(Skills!T17*(1+Inputs!$B$34/100))+MIN((Skills!T17*(1+Inputs!$B$34/100)),MAX(0,Inputs!$B$43-((R1498-1)*Skills!D17))))/Inputs!$B$43),IF(Inputs!$B$38="pvp",MIN((Skills!T17*(1+Inputs!$B$34/100)),15)/15,(Skills!T17*(1+Inputs!$B$34/100))/Skills!D17))</f>
        <v/>
      </c>
    </row>
    <row r="1516">
      <c r="A1516" t="inlineStr">
        <is>
          <t>Attack Speed Buff Bonus %</t>
        </is>
      </c>
      <c r="B1516">
        <f>((C1501=TRUE)*F1501*IF(AND(Inputs!$B$38&lt;&gt;"pvp",Inputs!$B$43&gt;0),(((R1501-1)*(Skills!T20*(1+Inputs!$B$34/100))+MIN((Skills!T20*(1+Inputs!$B$34/100)),MAX(0,Inputs!$B$43-((R1501-1)*Skills!D20))))/Inputs!$B$43),IF(Inputs!$B$38="pvp",MIN((Skills!T20*(1+Inputs!$B$34/100)),15)/15,(Skills!T20*(1+Inputs!$B$34/100))/Skills!D20)))</f>
        <v/>
      </c>
    </row>
    <row r="1517">
      <c r="A1517" t="inlineStr">
        <is>
          <t>Actions Per Second</t>
        </is>
      </c>
      <c r="B1517">
        <f>1+MIN(150,150*(1-(1-(Inputs!$B$11+((C1503=TRUE)*(F1503-Calc!F22))+((C1504=TRUE)*(F1504-Calc!F23)))/150)*(1-B1516/150)))/100</f>
        <v/>
      </c>
    </row>
    <row r="1518">
      <c r="A1518" t="inlineStr">
        <is>
          <t>Skill + Buff Cast Rate</t>
        </is>
      </c>
      <c r="B1518">
        <f>IF(AND(Inputs!$B$38&lt;&gt;"pvp",Inputs!$B$43&gt;0),SUMPRODUCT((Skills!E2:E31=TRUE)*(C1483:C1512=TRUE)*R1483:R1512*Skills!F2:F31)/Inputs!$B$43,SUMPRODUCT((Skills!E2:E31=TRUE)*(C1483:C1512=TRUE)*Q1483:Q1512*Skills!F2:F31))</f>
        <v/>
      </c>
    </row>
    <row r="1519">
      <c r="A1519" t="inlineStr">
        <is>
          <t>Arrow Stream Casts Per Second</t>
        </is>
      </c>
      <c r="B1519">
        <f>MAX(0,B1517-B1518)</f>
        <v/>
      </c>
    </row>
    <row r="1520">
      <c r="A1520" t="inlineStr">
        <is>
          <t>Global Critical Damage Bonus % (Sharp Eyes + Concentration)</t>
        </is>
      </c>
      <c r="B1520">
        <f>(C1498=TRUE)*F1498*IF(AND(Inputs!$B$38&lt;&gt;"pvp",Inputs!$B$43&gt;0),(((R1498-1)*(Skills!T17*(1+Inputs!$B$34/100))+MIN((Skills!T17*(1+Inputs!$B$34/100)),MAX(0,Inputs!$B$43-((R1498-1)*Skills!D17))))/Inputs!$B$43),IF(Inputs!$B$38="pvp",MIN((Skills!T17*(1+Inputs!$B$34/100)),15)/15,(Skills!T17*(1+Inputs!$B$34/100))/Skills!D17))+(C1499=TRUE)*30</f>
        <v/>
      </c>
    </row>
    <row r="1521">
      <c r="A1521" t="inlineStr">
        <is>
          <t>Global Final Damage Bonus % (Mortal Blow)</t>
        </is>
      </c>
      <c r="B1521">
        <f>(C1500=TRUE)*F1500</f>
        <v/>
      </c>
    </row>
    <row r="1522">
      <c r="A1522" t="inlineStr">
        <is>
          <t>Buff-Casting Startup Delay (s, fixed-duration only)</t>
        </is>
      </c>
      <c r="B1522">
        <f>IF(AND(Inputs!$B$38&lt;&gt;"pvp",Inputs!$B$43&gt;0),SUMPRODUCT((Skills!T2:T31&gt;0)*(Skills!E2:E31=TRUE)*(C1483:C1512=TRUE))/B1517,0)</f>
        <v/>
      </c>
    </row>
    <row r="1523">
      <c r="A1523" t="inlineStr">
        <is>
          <t>Boss-Only Total DPS (this block's swept value)</t>
        </is>
      </c>
      <c r="B1523">
        <f>SUM(T1483:T1512)</f>
        <v/>
      </c>
    </row>
    <row r="1524">
      <c r="A1524" t="inlineStr">
        <is>
          <t>Normal-Only Total DPS (this block's swept value)</t>
        </is>
      </c>
      <c r="B1524">
        <f>SUM(V1483:V1512)</f>
        <v/>
      </c>
    </row>
    <row r="1525">
      <c r="A1525" s="6" t="inlineStr">
        <is>
          <t>TOTAL DPS</t>
        </is>
      </c>
      <c r="B1525" s="6">
        <f>SUM(O1483:O1512)</f>
        <v/>
      </c>
    </row>
    <row r="1528">
      <c r="A1528" s="6" t="inlineStr">
        <is>
          <t>Stat: Hexagon Necklace (Equip)</t>
        </is>
      </c>
    </row>
    <row r="1529">
      <c r="A1529" s="5" t="inlineStr">
        <is>
          <t>Key</t>
        </is>
      </c>
      <c r="B1529" s="5" t="inlineStr">
        <is>
          <t>Name</t>
        </is>
      </c>
      <c r="C1529" s="5" t="inlineStr">
        <is>
          <t>Unlocked</t>
        </is>
      </c>
      <c r="D1529" s="5" t="inlineStr">
        <is>
          <t>InputLevel</t>
        </is>
      </c>
      <c r="E1529" s="5" t="inlineStr">
        <is>
          <t>Factor</t>
        </is>
      </c>
      <c r="F1529" s="5" t="inlineStr">
        <is>
          <t>CoefficientPercent</t>
        </is>
      </c>
      <c r="G1529" s="5" t="inlineStr">
        <is>
          <t>EffectiveHits</t>
        </is>
      </c>
      <c r="H1529" s="5" t="inlineStr">
        <is>
          <t>ProcProbability</t>
        </is>
      </c>
      <c r="I1529" s="5" t="inlineStr">
        <is>
          <t>MapleHeroMultiplier</t>
        </is>
      </c>
      <c r="J1529" s="5" t="inlineStr">
        <is>
          <t>BaseDamage</t>
        </is>
      </c>
      <c r="K1529" s="5" t="inlineStr">
        <is>
          <t>BaseHitDamage</t>
        </is>
      </c>
      <c r="L1529" s="5" t="inlineStr">
        <is>
          <t>NonCritAvg</t>
        </is>
      </c>
      <c r="M1529" s="5" t="inlineStr">
        <is>
          <t>CritAvg</t>
        </is>
      </c>
      <c r="N1529" s="5" t="inlineStr">
        <is>
          <t>ExpectedDamage(perHit)</t>
        </is>
      </c>
      <c r="O1529" s="5" t="inlineStr">
        <is>
          <t>DPS</t>
        </is>
      </c>
      <c r="P1529" s="5" t="inlineStr">
        <is>
          <t>% of Total</t>
        </is>
      </c>
      <c r="Q1529" s="5" t="inlineStr">
        <is>
          <t>InvCooldown</t>
        </is>
      </c>
      <c r="R1529" s="5" t="inlineStr">
        <is>
          <t>CastsInFight</t>
        </is>
      </c>
      <c r="S1529" s="5" t="inlineStr">
        <is>
          <t>HitRate(perSec)</t>
        </is>
      </c>
      <c r="U1529" t="inlineStr">
        <is>
          <t>helpers</t>
        </is>
      </c>
    </row>
    <row r="1530">
      <c r="A1530">
        <f>Skills!A2</f>
        <v/>
      </c>
      <c r="B1530">
        <f>Skills!B2</f>
        <v/>
      </c>
      <c r="C1530">
        <f>Inputs!$B$3&gt;=100</f>
        <v/>
      </c>
      <c r="D1530" t="inlineStr"/>
      <c r="E1530" t="inlineStr"/>
      <c r="F1530">
        <f>U1532+Skills!O2</f>
        <v/>
      </c>
      <c r="G1530">
        <f>Skills!G2*IF(Skills!H2&gt;0,Skills!I2/Skills!H2,1)</f>
        <v/>
      </c>
      <c r="H1530">
        <f>1-(1-Skills!J2/100)^Skills!K2</f>
        <v/>
      </c>
      <c r="I1530" t="inlineStr">
        <is>
          <t>1</t>
        </is>
      </c>
      <c r="J1530">
        <f>((Inputs!$B$6*(1+Inputs!$B$7/100))+(((Inputs!$B$12*(1+Inputs!$B$13/100))-(Inputs!$B$12*(1+Inputs!$B$13/100)))+0.25*(Inputs!$B$14-Inputs!$B$14))*(1+Inputs!$B$7/100))*(F1530/100)</f>
        <v/>
      </c>
      <c r="K1530">
        <f>J1530*(1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1530)</f>
        <v/>
      </c>
      <c r="L1530">
        <f>K1530*(MIN(Inputs!$B$22+((C1553=TRUE)*(F1553-Calc!F25)),(Inputs!$B$23+((C1558=TRUE)*(F1558-Calc!F30))+(IF(ArtifactsInput!$M$15,CHOOSE(ArtifactsInput!$N$15+1,25,30,35,40,45,50)/100*(Inputs!$B$11-Inputs!$B$11),0))))/100+(Inputs!$B$23+((C1558=TRUE)*(F1558-Calc!F30))+(IF(ArtifactsInput!$M$15,CHOOSE(ArtifactsInput!$N$15+1,25,30,35,40,45,50)/100*(Inputs!$B$11-Inputs!$B$11),0)))/100)/2</f>
        <v/>
      </c>
      <c r="M1530">
        <f>L1530*(1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0">
        <f>L1530*(1-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1530*(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0">
        <f>(1-Summary!$B$11)*T1530+Summary!$B$11*V1530</f>
        <v/>
      </c>
      <c r="P1530">
        <f>IF(B1572=0,0,O1530/B1572)</f>
        <v/>
      </c>
      <c r="Q1530" t="n">
        <v>0</v>
      </c>
      <c r="R1530" t="n">
        <v>0</v>
      </c>
      <c r="S1530">
        <f>IFERROR(O1530/N1530,0)</f>
        <v/>
      </c>
      <c r="T1530">
        <f>IF(C1530,(Skills!G2*N1530*B1566)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1530*(1-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1530*(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1530*(1-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1530*(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0">
        <f>MAX(0,(Inputs!$B$3-100)*3)+Inputs!$B$28+Inputs!$B$29</f>
        <v/>
      </c>
      <c r="V1530">
        <f>IF(C1530,(Skills!G2*N1530*B1566)*IF(Inputs!$B$38="pvp",1,(1+(Inputs!$B$21+Skills!Q2+(IF(ArtifactsInput!$M$33,CHOOSE(ArtifactsInput!$N$33+1,30,36,42,48,54,60),0))+(IF(AND(ArtifactsInput!$M$35,Inputs!$B$4&lt;&gt;"Chapter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1">
      <c r="A1531">
        <f>Skills!A3</f>
        <v/>
      </c>
      <c r="B1531">
        <f>Skills!B3</f>
        <v/>
      </c>
      <c r="C1531">
        <f>Inputs!$B$3&gt;=50</f>
        <v/>
      </c>
      <c r="D1531">
        <f>IF(Skills!C3=1,60+Inputs!$B$25+Inputs!$B$29,IF(Skills!C3=2,90+Inputs!$B$26+Inputs!$B$29,IF(Skills!C3=3,120+Inputs!$B$27+Inputs!$B$29,MAX(0,(Inputs!$B$3-100)*3)+Inputs!$B$28+Inputs!$B$29)))</f>
        <v/>
      </c>
      <c r="E1531">
        <f>INDEX(FactorTable!$B$2:$Y$301, MATCH(ROUND(MIN(300,MAX(1,D1531)),0), FactorTable!$A$2:$A$301,0), Skills!M3+1)</f>
        <v/>
      </c>
      <c r="F1531">
        <f>IF(Skills!N3=TRUE,(Skills!L3/10)*(E1531/1000),Skills!L3/10)+Skills!O3</f>
        <v/>
      </c>
      <c r="G1531">
        <f>Skills!G3*IF(Skills!H3&gt;0,Skills!I3/Skills!H3,1)</f>
        <v/>
      </c>
      <c r="H1531">
        <f>1-(1-Skills!J3/100)^Skills!K3</f>
        <v/>
      </c>
      <c r="I1531" t="inlineStr">
        <is>
          <t>1</t>
        </is>
      </c>
      <c r="J1531">
        <f>((Inputs!$B$6*(1+Inputs!$B$7/100))+(((Inputs!$B$12*(1+Inputs!$B$13/100))-(Inputs!$B$12*(1+Inputs!$B$13/100)))+0.25*(Inputs!$B$14-Inputs!$B$14))*(1+Inputs!$B$7/100))*(F1531/100)</f>
        <v/>
      </c>
      <c r="K1531">
        <f>J1531*(1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1532=TRUE,F1532,0)/100)*(1+(IF(Skills!A3="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1531)</f>
        <v/>
      </c>
      <c r="L1531">
        <f>K1531*(MIN(Inputs!$B$22+((C1553=TRUE)*(F1553-Calc!F25)),(Inputs!$B$23+((C1558=TRUE)*(F1558-Calc!F30))+(IF(ArtifactsInput!$M$15,CHOOSE(ArtifactsInput!$N$15+1,25,30,35,40,45,50)/100*(Inputs!$B$11-Inputs!$B$11),0))))/100+(Inputs!$B$23+((C1558=TRUE)*(F1558-Calc!F30))+(IF(ArtifactsInput!$M$15,CHOOSE(ArtifactsInput!$N$15+1,25,30,35,40,45,50)/100*(Inputs!$B$11-Inputs!$B$11),0)))/100)/2</f>
        <v/>
      </c>
      <c r="M1531">
        <f>L1531*(1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1">
        <f>L1531*(1-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1">
        <f>(1-Summary!$B$11)*T1531+Summary!$B$11*V1531</f>
        <v/>
      </c>
      <c r="P1531">
        <f>IF(B1572=0,0,O1531/B1572)</f>
        <v/>
      </c>
      <c r="Q1531">
        <f>IFERROR(1/(IF(Inputs!$B$38="pvp",15,MAX(0.1,Skills!D3-IF(Skills!E3=TRUE,Inputs!$B$32,0)))*(1-IF(AND(ArtifactsInput!$M$27,Inputs!$B$4="Chapter Hunt"),CHOOSE(ArtifactsInput!$N$27+1,20,24,28,32,36,40),0)/100)),0)</f>
        <v/>
      </c>
      <c r="R1531">
        <f>IF(AND(Inputs!$B$38&lt;&gt;"pvp",Inputs!$B$43&gt;0),IF(MAX(0,Inputs!$B$43-B1569)&lt;=0,0,(INT(MAX(0,Inputs!$B$43-B1569)/(IF(Inputs!$B$38="pvp",15,MAX(0.1,Skills!D3-IF(Skills!E3=TRUE,Inputs!$B$32,0)))*(1-IF(AND(ArtifactsInput!$M$27,Inputs!$B$4="Chapter Hunt"),CHOOSE(ArtifactsInput!$N$27+1,20,24,28,32,36,40),0)/100)))+1)),0)</f>
        <v/>
      </c>
      <c r="S1531">
        <f>IFERROR(O1531/N1531,0)</f>
        <v/>
      </c>
      <c r="T1531">
        <f>IF(C1531,(H1531*N1531*IF(AND(Inputs!$B$38&lt;&gt;"pvp",Inputs!$B$43&gt;0),((Skills!G3*((R1531-1)*IF(Skills!H3&gt;0,Skills!I3/Skills!H3,1)+IF(Skills!H3&gt;0,MIN(Skills!I3,MAX(0,MAX(0,Inputs!$B$43-B1569)-((R1531-1)*(IF(Inputs!$B$38="pvp",15,MAX(0.1,Skills!D3-IF(Skills!E3=TRUE,Inputs!$B$32,0)))*(1-IF(AND(ArtifactsInput!$M$27,Inputs!$B$4="Chapter Hunt"),CHOOSE(ArtifactsInput!$N$27+1,20,24,28,32,36,40),0)/100)))))/Skills!H3,1)))/Inputs!$B$43),G1531*Q1531)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1531*(1-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1531*(1-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1">
        <f>INDEX(FactorTable!$B$2:$Y$301, MATCH(ROUND(MIN(300,MAX(1,U1530)),0), FactorTable!$A$2:$A$301,0), 22)</f>
        <v/>
      </c>
      <c r="V1531">
        <f>IF(C1531,(H1531*N1531*IF(AND(Inputs!$B$38&lt;&gt;"pvp",Inputs!$B$43&gt;0),((Skills!G3*((R1531-1)*IF(Skills!H3&gt;0,Skills!I3/Skills!H3,1)+IF(Skills!H3&gt;0,MIN(Skills!I3,MAX(0,MAX(0,Inputs!$B$43-B1569)-((R1531-1)*(IF(Inputs!$B$38="pvp",15,MAX(0.1,Skills!D3-IF(Skills!E3=TRUE,Inputs!$B$32,0)))*(1-IF(AND(ArtifactsInput!$M$27,Inputs!$B$4="Chapter Hunt"),CHOOSE(ArtifactsInput!$N$27+1,20,24,28,32,36,40),0)/100)))))/Skills!H3,1)))/Inputs!$B$43),G1531*Q1531))*IF(Inputs!$B$38="pvp",1,(1+(Inputs!$B$21+Skills!Q3+(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2">
      <c r="A1532">
        <f>Skills!A4</f>
        <v/>
      </c>
      <c r="B1532">
        <f>Skills!B4</f>
        <v/>
      </c>
      <c r="C1532">
        <f>Inputs!$B$3&gt;=105</f>
        <v/>
      </c>
      <c r="D1532">
        <f>IF(Skills!C4=1,60+Inputs!$B$25+Inputs!$B$29,IF(Skills!C4=2,90+Inputs!$B$26+Inputs!$B$29,IF(Skills!C4=3,120+Inputs!$B$27+Inputs!$B$29,MAX(0,(Inputs!$B$3-100)*3)+Inputs!$B$28+Inputs!$B$29)))</f>
        <v/>
      </c>
      <c r="E1532">
        <f>INDEX(FactorTable!$B$2:$Y$301, MATCH(ROUND(MIN(300,MAX(1,D1532)),0), FactorTable!$A$2:$A$301,0), Skills!M4+1)</f>
        <v/>
      </c>
      <c r="F1532">
        <f>IF(Skills!N4=TRUE,(Skills!L4/10)*(E1532/1000),Skills!L4/10)+Skills!O4</f>
        <v/>
      </c>
      <c r="G1532" t="inlineStr"/>
      <c r="H1532" t="inlineStr"/>
      <c r="I1532" t="inlineStr">
        <is>
          <t>1</t>
        </is>
      </c>
      <c r="J1532" t="inlineStr"/>
      <c r="K1532" t="inlineStr"/>
      <c r="L1532" t="inlineStr"/>
      <c r="M1532" t="inlineStr"/>
      <c r="N1532" t="inlineStr"/>
      <c r="O1532" t="inlineStr"/>
      <c r="P1532" t="inlineStr"/>
      <c r="Q1532" t="inlineStr"/>
      <c r="R1532" t="inlineStr"/>
      <c r="S1532" t="inlineStr"/>
      <c r="T1532" t="inlineStr"/>
      <c r="U1532">
        <f>290*U1531/1000</f>
        <v/>
      </c>
      <c r="V1532" t="inlineStr"/>
    </row>
    <row r="1533">
      <c r="A1533">
        <f>Skills!A5</f>
        <v/>
      </c>
      <c r="B1533">
        <f>Skills!B5</f>
        <v/>
      </c>
      <c r="C1533">
        <f>Inputs!$B$3&gt;=35</f>
        <v/>
      </c>
      <c r="D1533">
        <f>IF(Skills!C5=1,60+Inputs!$B$25+Inputs!$B$29,IF(Skills!C5=2,90+Inputs!$B$26+Inputs!$B$29,IF(Skills!C5=3,120+Inputs!$B$27+Inputs!$B$29,MAX(0,(Inputs!$B$3-100)*3)+Inputs!$B$28+Inputs!$B$29)))</f>
        <v/>
      </c>
      <c r="E1533">
        <f>INDEX(FactorTable!$B$2:$Y$301, MATCH(ROUND(MIN(300,MAX(1,D1533)),0), FactorTable!$A$2:$A$301,0), Skills!M5+1)</f>
        <v/>
      </c>
      <c r="F1533">
        <f>IF(Skills!N5=TRUE,(Skills!L5/10)*(E1533/1000),Skills!L5/10)+Skills!O5</f>
        <v/>
      </c>
      <c r="G1533">
        <f>Skills!G5*IF(Skills!H5&gt;0,Skills!I5/Skills!H5,1)</f>
        <v/>
      </c>
      <c r="H1533">
        <f>1-(1-Skills!J5/100)^Skills!K5</f>
        <v/>
      </c>
      <c r="I1533" t="inlineStr">
        <is>
          <t>1</t>
        </is>
      </c>
      <c r="J1533">
        <f>((Inputs!$B$6*(1+Inputs!$B$7/100))+(((Inputs!$B$12*(1+Inputs!$B$13/100))-(Inputs!$B$12*(1+Inputs!$B$13/100)))+0.25*(Inputs!$B$14-Inputs!$B$14))*(1+Inputs!$B$7/100))*(F1533/100)</f>
        <v/>
      </c>
      <c r="K1533">
        <f>J1533*(1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1539=TRUE,F1539,0)/100)*(1+(IF(Skills!A5="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1533)</f>
        <v/>
      </c>
      <c r="L1533">
        <f>K1533*(MIN(Inputs!$B$22+((C1553=TRUE)*(F1553-Calc!F25)),(Inputs!$B$23+((C1558=TRUE)*(F1558-Calc!F30))+(IF(ArtifactsInput!$M$15,CHOOSE(ArtifactsInput!$N$15+1,25,30,35,40,45,50)/100*(Inputs!$B$11-Inputs!$B$11),0))))/100+(Inputs!$B$23+((C1558=TRUE)*(F1558-Calc!F30))+(IF(ArtifactsInput!$M$15,CHOOSE(ArtifactsInput!$N$15+1,25,30,35,40,45,50)/100*(Inputs!$B$11-Inputs!$B$11),0)))/100)/2</f>
        <v/>
      </c>
      <c r="M1533">
        <f>L1533*(1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3">
        <f>L1533*(1-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1533*(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3">
        <f>(1-Summary!$B$11)*T1533+Summary!$B$11*V1533</f>
        <v/>
      </c>
      <c r="P1533">
        <f>IF(B1572=0,0,O1533/B1572)</f>
        <v/>
      </c>
      <c r="Q1533">
        <f>IFERROR(1/(IF(Inputs!$B$38="pvp",15,MAX(0.1,Skills!D5-IF(Skills!E5=TRUE,Inputs!$B$32,0)))*(1-IF(AND(ArtifactsInput!$M$27,Inputs!$B$4="Chapter Hunt"),CHOOSE(ArtifactsInput!$N$27+1,20,24,28,32,36,40),0)/100)),0)</f>
        <v/>
      </c>
      <c r="R1533">
        <f>IF(AND(Inputs!$B$38&lt;&gt;"pvp",Inputs!$B$43&gt;0),IF(MAX(0,Inputs!$B$43-B1569)&lt;=0,0,(INT(MAX(0,Inputs!$B$43-B1569)/(IF(Inputs!$B$38="pvp",15,MAX(0.1,Skills!D5-IF(Skills!E5=TRUE,Inputs!$B$32,0)))*(1-IF(AND(ArtifactsInput!$M$27,Inputs!$B$4="Chapter Hunt"),CHOOSE(ArtifactsInput!$N$27+1,20,24,28,32,36,40),0)/100)))+1)),0)</f>
        <v/>
      </c>
      <c r="S1533">
        <f>IFERROR(O1533/N1533,0)</f>
        <v/>
      </c>
      <c r="T1533">
        <f>IF(C1533,(H1533*N1533*IF(AND(Inputs!$B$38&lt;&gt;"pvp",Inputs!$B$43&gt;0),((Skills!G5*((R1533-1)*IF(Skills!H5&gt;0,Skills!I5/Skills!H5,1)+IF(Skills!H5&gt;0,MIN(Skills!I5,MAX(0,MAX(0,Inputs!$B$43-B1569)-((R1533-1)*(IF(Inputs!$B$38="pvp",15,MAX(0.1,Skills!D5-IF(Skills!E5=TRUE,Inputs!$B$32,0)))*(1-IF(AND(ArtifactsInput!$M$27,Inputs!$B$4="Chapter Hunt"),CHOOSE(ArtifactsInput!$N$27+1,20,24,28,32,36,40),0)/100)))))/Skills!H5,1)))/Inputs!$B$43),G1533*Q1533)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1533*(1-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1533*(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1533*(1-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1533*(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33">
        <f>IF(C1533,(H1533*N1533*IF(AND(Inputs!$B$38&lt;&gt;"pvp",Inputs!$B$43&gt;0),((Skills!G5*((R1533-1)*IF(Skills!H5&gt;0,Skills!I5/Skills!H5,1)+IF(Skills!H5&gt;0,MIN(Skills!I5,MAX(0,MAX(0,Inputs!$B$43-B1569)-((R1533-1)*(IF(Inputs!$B$38="pvp",15,MAX(0.1,Skills!D5-IF(Skills!E5=TRUE,Inputs!$B$32,0)))*(1-IF(AND(ArtifactsInput!$M$27,Inputs!$B$4="Chapter Hunt"),CHOOSE(ArtifactsInput!$N$27+1,20,24,28,32,36,40),0)/100)))))/Skills!H5,1)))/Inputs!$B$43),G1533*Q1533))*IF(Inputs!$B$38="pvp",1,(1+(Inputs!$B$21+Skills!Q5+(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4">
      <c r="A1534">
        <f>Skills!A6</f>
        <v/>
      </c>
      <c r="B1534">
        <f>Skills!B6</f>
        <v/>
      </c>
      <c r="C1534">
        <f>Inputs!$B$3&gt;=40</f>
        <v/>
      </c>
      <c r="D1534">
        <f>IF(Skills!C6=1,60+Inputs!$B$25+Inputs!$B$29,IF(Skills!C6=2,90+Inputs!$B$26+Inputs!$B$29,IF(Skills!C6=3,120+Inputs!$B$27+Inputs!$B$29,MAX(0,(Inputs!$B$3-100)*3)+Inputs!$B$28+Inputs!$B$29)))</f>
        <v/>
      </c>
      <c r="E1534">
        <f>INDEX(FactorTable!$B$2:$Y$301, MATCH(ROUND(MIN(300,MAX(1,D1534)),0), FactorTable!$A$2:$A$301,0), Skills!M6+1)</f>
        <v/>
      </c>
      <c r="F1534">
        <f>IF(Skills!N6=TRUE,(Skills!L6/10)*(E1534/1000),Skills!L6/10)+Skills!O6</f>
        <v/>
      </c>
      <c r="G1534">
        <f>Skills!G6*IF(Skills!H6&gt;0,Skills!I6/Skills!H6,1)</f>
        <v/>
      </c>
      <c r="H1534">
        <f>1-(1-Skills!J6/100)^Skills!K6</f>
        <v/>
      </c>
      <c r="I1534" t="inlineStr">
        <is>
          <t>1</t>
        </is>
      </c>
      <c r="J1534">
        <f>((Inputs!$B$6*(1+Inputs!$B$7/100))+(((Inputs!$B$12*(1+Inputs!$B$13/100))-(Inputs!$B$12*(1+Inputs!$B$13/100)))+0.25*(Inputs!$B$14-Inputs!$B$14))*(1+Inputs!$B$7/100))*(F1534/100)</f>
        <v/>
      </c>
      <c r="K1534">
        <f>J1534*(1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1535=TRUE,F1535,0)/100)*(1+(IF(Skills!A6="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1534)</f>
        <v/>
      </c>
      <c r="L1534">
        <f>K1534*(MIN(Inputs!$B$22+((C1553=TRUE)*(F1553-Calc!F25)),(Inputs!$B$23+((C1558=TRUE)*(F1558-Calc!F30))+(IF(ArtifactsInput!$M$15,CHOOSE(ArtifactsInput!$N$15+1,25,30,35,40,45,50)/100*(Inputs!$B$11-Inputs!$B$11),0))))/100+(Inputs!$B$23+((C1558=TRUE)*(F1558-Calc!F30))+(IF(ArtifactsInput!$M$15,CHOOSE(ArtifactsInput!$N$15+1,25,30,35,40,45,50)/100*(Inputs!$B$11-Inputs!$B$11),0)))/100)/2</f>
        <v/>
      </c>
      <c r="M1534">
        <f>L1534*(1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4">
        <f>L1534*(1-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1534*(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4">
        <f>(1-Summary!$B$11)*T1534+Summary!$B$11*V1534</f>
        <v/>
      </c>
      <c r="P1534">
        <f>IF(B1572=0,0,O1534/B1572)</f>
        <v/>
      </c>
      <c r="Q1534">
        <f>IFERROR(1/(IF(Inputs!$B$38="pvp",15,MAX(0.1,Skills!D6-IF(Skills!E6=TRUE,Inputs!$B$32,0)))*(1-IF(AND(ArtifactsInput!$M$27,Inputs!$B$4="Chapter Hunt"),CHOOSE(ArtifactsInput!$N$27+1,20,24,28,32,36,40),0)/100)),0)</f>
        <v/>
      </c>
      <c r="R1534">
        <f>IF(AND(Inputs!$B$38&lt;&gt;"pvp",Inputs!$B$43&gt;0),IF(MAX(0,Inputs!$B$43-B1569)&lt;=0,0,(INT(MAX(0,Inputs!$B$43-B1569)/(IF(Inputs!$B$38="pvp",15,MAX(0.1,Skills!D6-IF(Skills!E6=TRUE,Inputs!$B$32,0)))*(1-IF(AND(ArtifactsInput!$M$27,Inputs!$B$4="Chapter Hunt"),CHOOSE(ArtifactsInput!$N$27+1,20,24,28,32,36,40),0)/100)))+1)),0)</f>
        <v/>
      </c>
      <c r="S1534">
        <f>IFERROR(O1534/N1534,0)</f>
        <v/>
      </c>
      <c r="T1534">
        <f>IF(C1534,(H1534*N1534*IF(AND(Inputs!$B$38&lt;&gt;"pvp",Inputs!$B$43&gt;0),((Skills!G6*((R1534-1)*IF(Skills!H6&gt;0,Skills!I6/Skills!H6,1)+IF(Skills!H6&gt;0,MIN(Skills!I6,MAX(0,MAX(0,Inputs!$B$43-B1569)-((R1534-1)*(IF(Inputs!$B$38="pvp",15,MAX(0.1,Skills!D6-IF(Skills!E6=TRUE,Inputs!$B$32,0)))*(1-IF(AND(ArtifactsInput!$M$27,Inputs!$B$4="Chapter Hunt"),CHOOSE(ArtifactsInput!$N$27+1,20,24,28,32,36,40),0)/100)))))/Skills!H6,1)))/Inputs!$B$43),G1534*Q1534)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1534*(1-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1534*(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1534*(1-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1534*(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34">
        <f>IF(C1534,(H1534*N1534*IF(AND(Inputs!$B$38&lt;&gt;"pvp",Inputs!$B$43&gt;0),((Skills!G6*((R1534-1)*IF(Skills!H6&gt;0,Skills!I6/Skills!H6,1)+IF(Skills!H6&gt;0,MIN(Skills!I6,MAX(0,MAX(0,Inputs!$B$43-B1569)-((R1534-1)*(IF(Inputs!$B$38="pvp",15,MAX(0.1,Skills!D6-IF(Skills!E6=TRUE,Inputs!$B$32,0)))*(1-IF(AND(ArtifactsInput!$M$27,Inputs!$B$4="Chapter Hunt"),CHOOSE(ArtifactsInput!$N$27+1,20,24,28,32,36,40),0)/100)))))/Skills!H6,1)))/Inputs!$B$43),G1534*Q1534))*IF(Inputs!$B$38="pvp",1,(1+(Inputs!$B$21+Skills!Q6+(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5">
      <c r="A1535">
        <f>Skills!A7</f>
        <v/>
      </c>
      <c r="B1535">
        <f>Skills!B7</f>
        <v/>
      </c>
      <c r="C1535">
        <f>Inputs!$B$3&gt;=107</f>
        <v/>
      </c>
      <c r="D1535">
        <f>IF(Skills!C7=1,60+Inputs!$B$25+Inputs!$B$29,IF(Skills!C7=2,90+Inputs!$B$26+Inputs!$B$29,IF(Skills!C7=3,120+Inputs!$B$27+Inputs!$B$29,MAX(0,(Inputs!$B$3-100)*3)+Inputs!$B$28+Inputs!$B$29)))</f>
        <v/>
      </c>
      <c r="E1535">
        <f>INDEX(FactorTable!$B$2:$Y$301, MATCH(ROUND(MIN(300,MAX(1,D1535)),0), FactorTable!$A$2:$A$301,0), Skills!M7+1)</f>
        <v/>
      </c>
      <c r="F1535">
        <f>IF(Skills!N7=TRUE,(Skills!L7/10)*(E1535/1000),Skills!L7/10)+Skills!O7</f>
        <v/>
      </c>
      <c r="G1535" t="inlineStr"/>
      <c r="H1535" t="inlineStr"/>
      <c r="I1535" t="inlineStr">
        <is>
          <t>1</t>
        </is>
      </c>
      <c r="J1535" t="inlineStr"/>
      <c r="K1535" t="inlineStr"/>
      <c r="L1535" t="inlineStr"/>
      <c r="M1535" t="inlineStr"/>
      <c r="N1535" t="inlineStr"/>
      <c r="O1535" t="inlineStr"/>
      <c r="P1535" t="inlineStr"/>
      <c r="Q1535" t="inlineStr"/>
      <c r="R1535" t="inlineStr"/>
      <c r="S1535" t="inlineStr"/>
      <c r="T1535" t="inlineStr"/>
      <c r="V1535" t="inlineStr"/>
    </row>
    <row r="1536">
      <c r="A1536">
        <f>Skills!A8</f>
        <v/>
      </c>
      <c r="B1536">
        <f>Skills!B8</f>
        <v/>
      </c>
      <c r="C1536">
        <f>Inputs!$B$3&gt;=69</f>
        <v/>
      </c>
      <c r="D1536">
        <f>IF(Skills!C8=1,60+Inputs!$B$25+Inputs!$B$29,IF(Skills!C8=2,90+Inputs!$B$26+Inputs!$B$29,IF(Skills!C8=3,120+Inputs!$B$27+Inputs!$B$29,MAX(0,(Inputs!$B$3-100)*3)+Inputs!$B$28+Inputs!$B$29)))</f>
        <v/>
      </c>
      <c r="E1536">
        <f>INDEX(FactorTable!$B$2:$Y$301, MATCH(ROUND(MIN(300,MAX(1,D1536)),0), FactorTable!$A$2:$A$301,0), Skills!M8+1)</f>
        <v/>
      </c>
      <c r="F1536">
        <f>IF(Skills!N8=TRUE,(Skills!L8/10)*(E1536/1000),Skills!L8/10)+Skills!O8</f>
        <v/>
      </c>
      <c r="G1536">
        <f>Skills!G8*IF(Skills!H8&gt;0,Skills!I8/Skills!H8,1)</f>
        <v/>
      </c>
      <c r="H1536">
        <f>1-(1-Skills!J8/100)^Skills!K8</f>
        <v/>
      </c>
      <c r="I1536" t="inlineStr">
        <is>
          <t>1</t>
        </is>
      </c>
      <c r="J1536">
        <f>((Inputs!$B$6*(1+Inputs!$B$7/100))+(((Inputs!$B$12*(1+Inputs!$B$13/100))-(Inputs!$B$12*(1+Inputs!$B$13/100)))+0.25*(Inputs!$B$14-Inputs!$B$14))*(1+Inputs!$B$7/100))*(F1536/100)</f>
        <v/>
      </c>
      <c r="K1536">
        <f>J1536*(1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1539=TRUE,F1539,0)/100)*(1+(IF(Skills!A8="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1536)</f>
        <v/>
      </c>
      <c r="L1536">
        <f>K1536*(MIN(Inputs!$B$22+((C1553=TRUE)*(F1553-Calc!F25)),(Inputs!$B$23+((C1558=TRUE)*(F1558-Calc!F30))+(IF(ArtifactsInput!$M$15,CHOOSE(ArtifactsInput!$N$15+1,25,30,35,40,45,50)/100*(Inputs!$B$11-Inputs!$B$11),0))))/100+(Inputs!$B$23+((C1558=TRUE)*(F1558-Calc!F30))+(IF(ArtifactsInput!$M$15,CHOOSE(ArtifactsInput!$N$15+1,25,30,35,40,45,50)/100*(Inputs!$B$11-Inputs!$B$11),0)))/100)/2</f>
        <v/>
      </c>
      <c r="M1536">
        <f>L1536*(1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6">
        <f>L1536*(1-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1536*(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6">
        <f>(1-Summary!$B$11)*T1536+Summary!$B$11*V1536</f>
        <v/>
      </c>
      <c r="P1536">
        <f>IF(B1572=0,0,O1536/B1572)</f>
        <v/>
      </c>
      <c r="Q1536">
        <f>IFERROR(1/(IF(Inputs!$B$38="pvp",15,MAX(0.1,Skills!D8-IF(Skills!E8=TRUE,Inputs!$B$32,0)))*(1-IF(AND(ArtifactsInput!$M$27,Inputs!$B$4="Chapter Hunt"),CHOOSE(ArtifactsInput!$N$27+1,20,24,28,32,36,40),0)/100)),0)</f>
        <v/>
      </c>
      <c r="R1536">
        <f>IF(AND(Inputs!$B$38&lt;&gt;"pvp",Inputs!$B$43&gt;0),IF(MAX(0,Inputs!$B$43-B1569)&lt;=0,0,(INT(MAX(0,Inputs!$B$43-B1569)/(IF(Inputs!$B$38="pvp",15,MAX(0.1,Skills!D8-IF(Skills!E8=TRUE,Inputs!$B$32,0)))*(1-IF(AND(ArtifactsInput!$M$27,Inputs!$B$4="Chapter Hunt"),CHOOSE(ArtifactsInput!$N$27+1,20,24,28,32,36,40),0)/100)))+1)),0)</f>
        <v/>
      </c>
      <c r="S1536">
        <f>IFERROR(O1536/N1536,0)</f>
        <v/>
      </c>
      <c r="T1536">
        <f>IF(C1536,(H1536*N1536*IF(AND(Inputs!$B$38&lt;&gt;"pvp",Inputs!$B$43&gt;0),((Skills!G8*((R1536-1)*IF(Skills!H8&gt;0,Skills!I8/Skills!H8,1)+IF(Skills!H8&gt;0,MIN(Skills!I8,MAX(0,MAX(0,Inputs!$B$43-B1569)-((R1536-1)*(IF(Inputs!$B$38="pvp",15,MAX(0.1,Skills!D8-IF(Skills!E8=TRUE,Inputs!$B$32,0)))*(1-IF(AND(ArtifactsInput!$M$27,Inputs!$B$4="Chapter Hunt"),CHOOSE(ArtifactsInput!$N$27+1,20,24,28,32,36,40),0)/100)))))/Skills!H8,1)))/Inputs!$B$43),G1536*Q1536)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1536*(1-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1536*(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1536*(1-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1536*(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36">
        <f>IF(C1536,(H1536*N1536*IF(AND(Inputs!$B$38&lt;&gt;"pvp",Inputs!$B$43&gt;0),((Skills!G8*((R1536-1)*IF(Skills!H8&gt;0,Skills!I8/Skills!H8,1)+IF(Skills!H8&gt;0,MIN(Skills!I8,MAX(0,MAX(0,Inputs!$B$43-B1569)-((R1536-1)*(IF(Inputs!$B$38="pvp",15,MAX(0.1,Skills!D8-IF(Skills!E8=TRUE,Inputs!$B$32,0)))*(1-IF(AND(ArtifactsInput!$M$27,Inputs!$B$4="Chapter Hunt"),CHOOSE(ArtifactsInput!$N$27+1,20,24,28,32,36,40),0)/100)))))/Skills!H8,1)))/Inputs!$B$43),G1536*Q1536))*IF(Inputs!$B$38="pvp",1,(1+(Inputs!$B$21+Skills!Q8+(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7">
      <c r="A1537">
        <f>Skills!A9</f>
        <v/>
      </c>
      <c r="B1537">
        <f>Skills!B9</f>
        <v/>
      </c>
      <c r="C1537">
        <f>Inputs!$B$3&gt;=63</f>
        <v/>
      </c>
      <c r="D1537">
        <f>IF(Skills!C9=1,60+Inputs!$B$25+Inputs!$B$29,IF(Skills!C9=2,90+Inputs!$B$26+Inputs!$B$29,IF(Skills!C9=3,120+Inputs!$B$27+Inputs!$B$29,MAX(0,(Inputs!$B$3-100)*3)+Inputs!$B$28+Inputs!$B$29)))</f>
        <v/>
      </c>
      <c r="E1537">
        <f>INDEX(FactorTable!$B$2:$Y$301, MATCH(ROUND(MIN(300,MAX(1,D1537)),0), FactorTable!$A$2:$A$301,0), Skills!M9+1)</f>
        <v/>
      </c>
      <c r="F1537">
        <f>IF(Skills!N9=TRUE,(Skills!L9/10)*(E1537/1000),Skills!L9/10)+Skills!O9</f>
        <v/>
      </c>
      <c r="G1537">
        <f>Skills!G9*IF(Skills!H9&gt;0,Skills!I9/Skills!H9,1)</f>
        <v/>
      </c>
      <c r="H1537">
        <f>1-(1-Skills!J9/100)^Skills!K9</f>
        <v/>
      </c>
      <c r="I1537" t="inlineStr">
        <is>
          <t>1</t>
        </is>
      </c>
      <c r="J1537">
        <f>((Inputs!$B$6*(1+Inputs!$B$7/100))+(((Inputs!$B$12*(1+Inputs!$B$13/100))-(Inputs!$B$12*(1+Inputs!$B$13/100)))+0.25*(Inputs!$B$14-Inputs!$B$14))*(1+Inputs!$B$7/100))*(F1537/100)</f>
        <v/>
      </c>
      <c r="K1537">
        <f>J1537*(1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1539=TRUE,F1539,0)/100)*(1+(IF(Skills!A9="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1537)</f>
        <v/>
      </c>
      <c r="L1537">
        <f>K1537*(MIN(Inputs!$B$22+((C1553=TRUE)*(F1553-Calc!F25)),(Inputs!$B$23+((C1558=TRUE)*(F1558-Calc!F30))+(IF(ArtifactsInput!$M$15,CHOOSE(ArtifactsInput!$N$15+1,25,30,35,40,45,50)/100*(Inputs!$B$11-Inputs!$B$11),0))))/100+(Inputs!$B$23+((C1558=TRUE)*(F1558-Calc!F30))+(IF(ArtifactsInput!$M$15,CHOOSE(ArtifactsInput!$N$15+1,25,30,35,40,45,50)/100*(Inputs!$B$11-Inputs!$B$11),0)))/100)/2</f>
        <v/>
      </c>
      <c r="M1537">
        <f>L1537*(1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7">
        <f>L1537*(1-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1537*(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7">
        <f>(1-Summary!$B$11)*T1537+Summary!$B$11*V1537</f>
        <v/>
      </c>
      <c r="P1537">
        <f>IF(B1572=0,0,O1537/B1572)</f>
        <v/>
      </c>
      <c r="Q1537">
        <f>IFERROR(1/(IF(Inputs!$B$38="pvp",15,MAX(0.1,Skills!D9-IF(Skills!E9=TRUE,Inputs!$B$32,0)))*(1-IF(AND(ArtifactsInput!$M$27,Inputs!$B$4="Chapter Hunt"),CHOOSE(ArtifactsInput!$N$27+1,20,24,28,32,36,40),0)/100)),0)</f>
        <v/>
      </c>
      <c r="R1537">
        <f>IF(AND(Inputs!$B$38&lt;&gt;"pvp",Inputs!$B$43&gt;0),IF(MAX(0,Inputs!$B$43-B1569)&lt;=0,0,(INT(MAX(0,Inputs!$B$43-B1569)/(IF(Inputs!$B$38="pvp",15,MAX(0.1,Skills!D9-IF(Skills!E9=TRUE,Inputs!$B$32,0)))*(1-IF(AND(ArtifactsInput!$M$27,Inputs!$B$4="Chapter Hunt"),CHOOSE(ArtifactsInput!$N$27+1,20,24,28,32,36,40),0)/100)))+1)),0)</f>
        <v/>
      </c>
      <c r="S1537">
        <f>IFERROR(O1537/N1537,0)</f>
        <v/>
      </c>
      <c r="T1537">
        <f>IF(C1537,(H1537*N1537*IF(AND(Inputs!$B$38&lt;&gt;"pvp",Inputs!$B$43&gt;0),((Skills!G9*((R1537-1)*IF(Skills!H9&gt;0,Skills!I9/Skills!H9,1)+IF(Skills!H9&gt;0,MIN(Skills!I9,MAX(0,MAX(0,Inputs!$B$43-B1569)-((R1537-1)*(IF(Inputs!$B$38="pvp",15,MAX(0.1,Skills!D9-IF(Skills!E9=TRUE,Inputs!$B$32,0)))*(1-IF(AND(ArtifactsInput!$M$27,Inputs!$B$4="Chapter Hunt"),CHOOSE(ArtifactsInput!$N$27+1,20,24,28,32,36,40),0)/100)))))/Skills!H9,1)))/Inputs!$B$43),G1537*Q1537)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1537*(1-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1537*(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1537*(1-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1537*(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37">
        <f>IF(C1537,(H1537*N1537*IF(AND(Inputs!$B$38&lt;&gt;"pvp",Inputs!$B$43&gt;0),((Skills!G9*((R1537-1)*IF(Skills!H9&gt;0,Skills!I9/Skills!H9,1)+IF(Skills!H9&gt;0,MIN(Skills!I9,MAX(0,MAX(0,Inputs!$B$43-B1569)-((R1537-1)*(IF(Inputs!$B$38="pvp",15,MAX(0.1,Skills!D9-IF(Skills!E9=TRUE,Inputs!$B$32,0)))*(1-IF(AND(ArtifactsInput!$M$27,Inputs!$B$4="Chapter Hunt"),CHOOSE(ArtifactsInput!$N$27+1,20,24,28,32,36,40),0)/100)))))/Skills!H9,1)))/Inputs!$B$43),G1537*Q1537))*IF(Inputs!$B$38="pvp",1,(1+(Inputs!$B$21+Skills!Q9+(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8">
      <c r="A1538">
        <f>Skills!A10</f>
        <v/>
      </c>
      <c r="B1538">
        <f>Skills!B10</f>
        <v/>
      </c>
      <c r="C1538">
        <f>Inputs!$B$3&gt;=103</f>
        <v/>
      </c>
      <c r="D1538">
        <f>IF(Skills!C10=1,60+Inputs!$B$25+Inputs!$B$29,IF(Skills!C10=2,90+Inputs!$B$26+Inputs!$B$29,IF(Skills!C10=3,120+Inputs!$B$27+Inputs!$B$29,MAX(0,(Inputs!$B$3-100)*3)+Inputs!$B$28+Inputs!$B$29)))</f>
        <v/>
      </c>
      <c r="E1538">
        <f>INDEX(FactorTable!$B$2:$Y$301, MATCH(ROUND(MIN(300,MAX(1,D1538)),0), FactorTable!$A$2:$A$301,0), Skills!M10+1)</f>
        <v/>
      </c>
      <c r="F1538">
        <f>IF(Skills!N10=TRUE,(Skills!L10/10)*(E1538/1000),Skills!L10/10)+Skills!O10</f>
        <v/>
      </c>
      <c r="G1538">
        <f>Skills!G10*IF(Skills!H10&gt;0,Skills!I10/Skills!H10,1)</f>
        <v/>
      </c>
      <c r="H1538">
        <f>1-(1-Skills!J10/100)^Skills!K10</f>
        <v/>
      </c>
      <c r="I1538" t="inlineStr">
        <is>
          <t>1</t>
        </is>
      </c>
      <c r="J1538">
        <f>((Inputs!$B$6*(1+Inputs!$B$7/100))+(((Inputs!$B$12*(1+Inputs!$B$13/100))-(Inputs!$B$12*(1+Inputs!$B$13/100)))+0.25*(Inputs!$B$14-Inputs!$B$14))*(1+Inputs!$B$7/100))*(F1538/100)</f>
        <v/>
      </c>
      <c r="K1538">
        <f>J1538*(1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1538)</f>
        <v/>
      </c>
      <c r="L1538">
        <f>K1538*(MIN(Inputs!$B$22+((C1553=TRUE)*(F1553-Calc!F25)),(Inputs!$B$23+((C1558=TRUE)*(F1558-Calc!F30))+(IF(ArtifactsInput!$M$15,CHOOSE(ArtifactsInput!$N$15+1,25,30,35,40,45,50)/100*(Inputs!$B$11-Inputs!$B$11),0))))/100+(Inputs!$B$23+((C1558=TRUE)*(F1558-Calc!F30))+(IF(ArtifactsInput!$M$15,CHOOSE(ArtifactsInput!$N$15+1,25,30,35,40,45,50)/100*(Inputs!$B$11-Inputs!$B$11),0)))/100)/2</f>
        <v/>
      </c>
      <c r="M1538">
        <f>L1538*(1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8">
        <f>L1538*(1-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1538*(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8">
        <f>(1-Summary!$B$11)*T1538+Summary!$B$11*V1538</f>
        <v/>
      </c>
      <c r="P1538">
        <f>IF(B1572=0,0,O1538/B1572)</f>
        <v/>
      </c>
      <c r="Q1538">
        <f>IFERROR(1/(IF(Inputs!$B$38="pvp",15,MAX(0.1,Skills!D10-IF(Skills!E10=TRUE,Inputs!$B$32,0)))*(1-IF(AND(ArtifactsInput!$M$27,Inputs!$B$4="Chapter Hunt"),CHOOSE(ArtifactsInput!$N$27+1,20,24,28,32,36,40),0)/100)),0)</f>
        <v/>
      </c>
      <c r="R1538">
        <f>IF(AND(Inputs!$B$38&lt;&gt;"pvp",Inputs!$B$43&gt;0),IF(MAX(0,Inputs!$B$43-B1569)&lt;=0,0,(INT(MAX(0,Inputs!$B$43-B1569)/(IF(Inputs!$B$38="pvp",15,MAX(0.1,Skills!D10-IF(Skills!E10=TRUE,Inputs!$B$32,0)))*(1-IF(AND(ArtifactsInput!$M$27,Inputs!$B$4="Chapter Hunt"),CHOOSE(ArtifactsInput!$N$27+1,20,24,28,32,36,40),0)/100)))+1)),0)</f>
        <v/>
      </c>
      <c r="S1538">
        <f>IFERROR(O1538/N1538,0)</f>
        <v/>
      </c>
      <c r="T1538">
        <f>IF(C1538,(H1538*N1538*IF(AND(Inputs!$B$38&lt;&gt;"pvp",Inputs!$B$43&gt;0),((Skills!G10*((R1538-1)*IF(Skills!H10&gt;0,Skills!I10/Skills!H10,1)+IF(Skills!H10&gt;0,MIN(Skills!I10,MAX(0,MAX(0,Inputs!$B$43-B1569)-((R1538-1)*(IF(Inputs!$B$38="pvp",15,MAX(0.1,Skills!D10-IF(Skills!E10=TRUE,Inputs!$B$32,0)))*(1-IF(AND(ArtifactsInput!$M$27,Inputs!$B$4="Chapter Hunt"),CHOOSE(ArtifactsInput!$N$27+1,20,24,28,32,36,40),0)/100)))))/Skills!H10,1)))/Inputs!$B$43),G1538*Q1538)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1538*(1-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1538*(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1538*(1-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1538*(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38">
        <f>IF(C1538,(H1538*N1538*IF(AND(Inputs!$B$38&lt;&gt;"pvp",Inputs!$B$43&gt;0),((Skills!G10*((R1538-1)*IF(Skills!H10&gt;0,Skills!I10/Skills!H10,1)+IF(Skills!H10&gt;0,MIN(Skills!I10,MAX(0,MAX(0,Inputs!$B$43-B1569)-((R1538-1)*(IF(Inputs!$B$38="pvp",15,MAX(0.1,Skills!D10-IF(Skills!E10=TRUE,Inputs!$B$32,0)))*(1-IF(AND(ArtifactsInput!$M$27,Inputs!$B$4="Chapter Hunt"),CHOOSE(ArtifactsInput!$N$27+1,20,24,28,32,36,40),0)/100)))))/Skills!H10,1)))/Inputs!$B$43),G1538*Q1538))*IF(Inputs!$B$38="pvp",1,(1+(Inputs!$B$21+Skills!Q10+(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9">
      <c r="A1539">
        <f>Skills!A11</f>
        <v/>
      </c>
      <c r="B1539">
        <f>Skills!B11</f>
        <v/>
      </c>
      <c r="C1539">
        <f>Inputs!$B$3&gt;=100</f>
        <v/>
      </c>
      <c r="D1539">
        <f>IF(Skills!C11=1,60+Inputs!$B$25+Inputs!$B$29,IF(Skills!C11=2,90+Inputs!$B$26+Inputs!$B$29,IF(Skills!C11=3,120+Inputs!$B$27+Inputs!$B$29,MAX(0,(Inputs!$B$3-100)*3)+Inputs!$B$28+Inputs!$B$29)))</f>
        <v/>
      </c>
      <c r="E1539">
        <f>INDEX(FactorTable!$B$2:$Y$301, MATCH(ROUND(MIN(300,MAX(1,D1539)),0), FactorTable!$A$2:$A$301,0), Skills!M11+1)</f>
        <v/>
      </c>
      <c r="F1539">
        <f>IF(Skills!N11=TRUE,(Skills!L11/10)*(E1539/1000),Skills!L11/10)+Skills!O11</f>
        <v/>
      </c>
      <c r="G1539" t="inlineStr"/>
      <c r="H1539" t="inlineStr"/>
      <c r="I1539" t="inlineStr">
        <is>
          <t>1</t>
        </is>
      </c>
      <c r="J1539" t="inlineStr"/>
      <c r="K1539" t="inlineStr"/>
      <c r="L1539" t="inlineStr"/>
      <c r="M1539" t="inlineStr"/>
      <c r="N1539" t="inlineStr"/>
      <c r="O1539" t="inlineStr"/>
      <c r="P1539" t="inlineStr"/>
      <c r="Q1539" t="inlineStr"/>
      <c r="R1539" t="inlineStr"/>
      <c r="S1539" t="inlineStr"/>
      <c r="T1539" t="inlineStr"/>
      <c r="V1539" t="inlineStr"/>
    </row>
    <row r="1540">
      <c r="A1540">
        <f>Skills!A12</f>
        <v/>
      </c>
      <c r="B1540">
        <f>Skills!B12</f>
        <v/>
      </c>
      <c r="C1540">
        <f>Inputs!$B$3&gt;=60</f>
        <v/>
      </c>
      <c r="D1540">
        <f>IF(Skills!C12=1,60+Inputs!$B$25+Inputs!$B$29,IF(Skills!C12=2,90+Inputs!$B$26+Inputs!$B$29,IF(Skills!C12=3,120+Inputs!$B$27+Inputs!$B$29,MAX(0,(Inputs!$B$3-100)*3)+Inputs!$B$28+Inputs!$B$29)))</f>
        <v/>
      </c>
      <c r="E1540">
        <f>INDEX(FactorTable!$B$2:$Y$301, MATCH(ROUND(MIN(300,MAX(1,D1540)),0), FactorTable!$A$2:$A$301,0), Skills!M12+1)</f>
        <v/>
      </c>
      <c r="F1540">
        <f>IF(Skills!N12=TRUE,(Skills!L12/10)*(E1540/1000),Skills!L12/10)+Skills!O12</f>
        <v/>
      </c>
      <c r="G1540">
        <f>Skills!G12*IF(Skills!H12&gt;0,Skills!I12/Skills!H12,1)</f>
        <v/>
      </c>
      <c r="H1540">
        <f>1-(1-Skills!J12/100)^Skills!K12</f>
        <v/>
      </c>
      <c r="I1540" t="inlineStr">
        <is>
          <t>1</t>
        </is>
      </c>
      <c r="J1540">
        <f>((Inputs!$B$6*(1+Inputs!$B$7/100))+(((Inputs!$B$12*(1+Inputs!$B$13/100))-(Inputs!$B$12*(1+Inputs!$B$13/100)))+0.25*(Inputs!$B$14-Inputs!$B$14))*(1+Inputs!$B$7/100))*(F1540/100)</f>
        <v/>
      </c>
      <c r="K1540">
        <f>J1540*(1+((Inputs!$B$12*(1+Inputs!$B$13/100))*0.01+Inputs!$B$14*0.0025)/100)*(1+Inputs!$B$15/100)*(1+Inputs!$B$16/100)*(5000/(6000+Inputs!$B$42*(1-(100*(1-(1-(Inputs!$B$19+((C1556=TRUE)*(F1556-Calc!F28)))/100)*(1-CHOOSE(ArtifactsInput!$N$40+1,5,6,7,8,9,10)/100)^(ArtifactsInput!$M$40-ArtifactsInput!$M$40)))/100)))*(1+(Inputs!$B$24+((C1554=TRUE)*(F1554-Calc!F26))+((C1555=TRUE)*(F1555-Calc!F27))+B1568)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1541=TRUE,F1541,0)/100)*(1+(IF(Skills!A12="ARROW_STREAM",Inputs!$B$17+((C1552=TRUE)*(F1552-Calc!F24))+(((IF(AND(ArtifactsInput!$M$42,((Inputs!$B$9+((C1549=TRUE)*(F1549-Calc!F21))+B1562+(ArtifactsInput!$M$24-ArtifactsInput!$M$24)*CHOOSE(ArtifactsInput!$N$24+1,10,12,14,16,18,20)+IF(ArtifactsInput!$M$10,CHOOSE(ArtifactsInput!$N$10+1,15,18,21,24,27,30)*(IF(Inputs!$B$38="pvp",MIN(15,15)/15,IF(AND(Inputs!$B$38&lt;&gt;"pvp",Inputs!$B$43&gt;0),MIN(15,Inputs!$B$43)/(Inputs!$B$43),0))),0)))&gt;=100),MIN(100,((Inputs!$B$9+((C1549=TRUE)*(F1549-Calc!F21))+B1562+(ArtifactsInput!$M$24-ArtifactsInput!$M$24)*CHOOSE(ArtifactsInput!$N$24+1,10,12,14,16,18,20)+IF(ArtifactsInput!$M$10,CHOOSE(ArtifactsInput!$N$10+1,15,18,21,24,27,30)*(IF(Inputs!$B$38="pvp",MIN(15,15)/15,IF(AND(Inputs!$B$38&lt;&gt;"pvp",Inputs!$B$43&gt;0),MIN(15,Inputs!$B$43)/(Inputs!$B$43),0))),0)))-100),0))*CHOOSE(ArtifactsInput!$N$42+1,0.6,0.72,0.84,0.96,1.08,1.2))),Inputs!$B$18+((C1557=TRUE)*(F1557-Calc!F29))+(IF(AND(ArtifactsInput!$M$42,((Inputs!$B$9+((C1549=TRUE)*(F1549-Calc!F21))+B1562+(ArtifactsInput!$M$24-ArtifactsInput!$M$24)*CHOOSE(ArtifactsInput!$N$24+1,10,12,14,16,18,20)+IF(ArtifactsInput!$M$10,CHOOSE(ArtifactsInput!$N$10+1,15,18,21,24,27,30)*(IF(Inputs!$B$38="pvp",MIN(15,15)/15,IF(AND(Inputs!$B$38&lt;&gt;"pvp",Inputs!$B$43&gt;0),MIN(15,Inputs!$B$43)/(Inputs!$B$43),0))),0)))&gt;=100),CHOOSE(ArtifactsInput!$N$42+1,40,48,56,64,72,80),0))))/100)*((1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1540)</f>
        <v/>
      </c>
      <c r="L1540">
        <f>K1540*(MIN(Inputs!$B$22+((C1553=TRUE)*(F1553-Calc!F25)),(Inputs!$B$23+((C1558=TRUE)*(F1558-Calc!F30))+(IF(ArtifactsInput!$M$15,CHOOSE(ArtifactsInput!$N$15+1,25,30,35,40,45,50)/100*(Inputs!$B$11-Inputs!$B$11),0))))/100+(Inputs!$B$23+((C1558=TRUE)*(F1558-Calc!F30))+(IF(ArtifactsInput!$M$15,CHOOSE(ArtifactsInput!$N$15+1,25,30,35,40,45,50)/100*(Inputs!$B$11-Inputs!$B$11),0)))/100)/2</f>
        <v/>
      </c>
      <c r="M1540">
        <f>L1540*(1+(Inputs!$B$10+0+B1567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0">
        <f>L1540*(1-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1540*(MIN((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0">
        <f>(1-Summary!$B$11)*T1540+Summary!$B$11*V1540</f>
        <v/>
      </c>
      <c r="P1540">
        <f>IF(B1572=0,0,O1540/B1572)</f>
        <v/>
      </c>
      <c r="Q1540">
        <f>IFERROR(1/(IF(Inputs!$B$38="pvp",15,MAX(0.1,Skills!D12-IF(Skills!E12=TRUE,Inputs!$B$32,0)))*(1-IF(AND(ArtifactsInput!$M$27,Inputs!$B$4="Chapter Hunt"),CHOOSE(ArtifactsInput!$N$27+1,20,24,28,32,36,40),0)/100)),0)</f>
        <v/>
      </c>
      <c r="R1540">
        <f>IF(AND(Inputs!$B$38&lt;&gt;"pvp",Inputs!$B$43&gt;0),IF(MAX(0,Inputs!$B$43-B1569)&lt;=0,0,(INT(MAX(0,Inputs!$B$43-B1569)/(IF(Inputs!$B$38="pvp",15,MAX(0.1,Skills!D12-IF(Skills!E12=TRUE,Inputs!$B$32,0)))*(1-IF(AND(ArtifactsInput!$M$27,Inputs!$B$4="Chapter Hunt"),CHOOSE(ArtifactsInput!$N$27+1,20,24,28,32,36,40),0)/100)))+1)),0)</f>
        <v/>
      </c>
      <c r="S1540">
        <f>IFERROR(O1540/N1540,0)</f>
        <v/>
      </c>
      <c r="T1540">
        <f>IF(C1540,(H1540*N1540*IF(AND(Inputs!$B$38&lt;&gt;"pvp",Inputs!$B$43&gt;0),((Skills!G12*((R1540-1)*IF(Skills!H12&gt;0,Skills!I12/Skills!H12,1)+IF(Skills!H12&gt;0,MIN(Skills!I12,MAX(0,MAX(0,Inputs!$B$43-B1569)-((R1540-1)*(IF(Inputs!$B$38="pvp",15,MAX(0.1,Skills!D12-IF(Skills!E12=TRUE,Inputs!$B$32,0)))*(1-IF(AND(ArtifactsInput!$M$27,Inputs!$B$4="Chapter Hunt"),CHOOSE(ArtifactsInput!$N$27+1,20,24,28,32,36,40),0)/100)))))/Skills!H12,1)))/Inputs!$B$43),G1540*Q1540)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(5000/(6000+Inputs!$B$42*(1-(100*(1-(1-(100*(1-(1-(Inputs!$B$19+((C1556=TRUE)*(F1556-Calc!F28)))/100)*(1-CHOOSE(ArtifactsInput!$N$40+1,5,6,7,8,9,10)/100)^(ArtifactsInput!$M$40-ArtifactsInput!$M$40)))/100)*(1-IF(ArtifactsInput!$M$40,CHOOSE(ArtifactsInput!$N$40+1,5,6,7,8,9,10),0)/100)^IF(Inputs!$B$38="pvp",1,2)))/100)))/(5000/(6000+Inputs!$B$42*(1-(100*(1-(1-(Inputs!$B$19+((C1556=TRUE)*(F1556-Calc!F28)))/100)*(1-CHOOSE(ArtifactsInput!$N$40+1,5,6,7,8,9,10)/100)^(ArtifactsInput!$M$40-ArtifactsInput!$M$40)))/100))))*((L1540*(1-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1540*(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1540*(1-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1540*(MIN(100,(Inputs!$B$9+((C1549=TRUE)*(F1549-Calc!F21))+B1562+(ArtifactsInput!$M$24-ArtifactsInput!$M$24)*CHOOSE(ArtifactsInput!$N$24+1,10,12,14,16,18,20)+(IF(AND(ArtifactsInput!$M$42,((Inputs!$B$9+((C1549=TRUE)*(F1549-Calc!F21))+B1562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0">
        <f>IF(C1540,(H1540*N1540*IF(AND(Inputs!$B$38&lt;&gt;"pvp",Inputs!$B$43&gt;0),((Skills!G12*((R1540-1)*IF(Skills!H12&gt;0,Skills!I12/Skills!H12,1)+IF(Skills!H12&gt;0,MIN(Skills!I12,MAX(0,MAX(0,Inputs!$B$43-B1569)-((R1540-1)*(IF(Inputs!$B$38="pvp",15,MAX(0.1,Skills!D12-IF(Skills!E12=TRUE,Inputs!$B$32,0)))*(1-IF(AND(ArtifactsInput!$M$27,Inputs!$B$4="Chapter Hunt"),CHOOSE(ArtifactsInput!$N$27+1,20,24,28,32,36,40),0)/100)))))/Skills!H12,1)))/Inputs!$B$43),G1540*Q1540))*IF(Inputs!$B$38="pvp",1,(1+(Inputs!$B$21+Skills!Q12+(IF(ArtifactsInput!$M$33,CHOOSE(ArtifactsInput!$N$33+1,30,36,42,48,54,60),0))+(IF(AND(ArtifactsInput!$M$35,Inputs!$B$4&lt;&gt;"Chapter Hunt"),CHOOSE(ArtifactsInput!$N$35+1,15,18,21,24,27,30)*(1-EXP(-(0.2*B1564)*5)),0)+IF(AND(ArtifactsInput!$M$22,Inputs!$B$4&lt;&gt;"Chapter Hunt"),CHOOSE(ArtifactsInput!$N$22+1,10,12,14,16,18,20)*((0*(((0.15*B1564*5))^0/1)+1*(((0.15*B1564*5))^1/1)+2*(((0.15*B1564*5))^2/2)+3*(((0.15*B1564*5))^3/6)+4*(((0.15*B1564*5))^4/24)+5*(((0.15*B1564*5))^5/120))/((((0.15*B1564*5))^0/1)+(((0.15*B1564*5))^1/1)+(((0.15*B1564*5))^2/2)+(((0.15*B1564*5))^3/6)+(((0.15*B1564*5))^4/24)+(((0.15*B1564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1">
      <c r="A1541">
        <f>Skills!A13</f>
        <v/>
      </c>
      <c r="B1541">
        <f>Skills!B13</f>
        <v/>
      </c>
      <c r="C1541">
        <f>Inputs!$B$3&gt;=110</f>
        <v/>
      </c>
      <c r="D1541">
        <f>IF(Skills!C13=1,60+Inputs!$B$25+Inputs!$B$29,IF(Skills!C13=2,90+Inputs!$B$26+Inputs!$B$29,IF(Skills!C13=3,120+Inputs!$B$27+Inputs!$B$29,MAX(0,(Inputs!$B$3-100)*3)+Inputs!$B$28+Inputs!$B$29)))</f>
        <v/>
      </c>
      <c r="E1541">
        <f>INDEX(FactorTable!$B$2:$Y$301, MATCH(ROUND(MIN(300,MAX(1,D1541)),0), FactorTable!$A$2:$A$301,0), Skills!M13+1)</f>
        <v/>
      </c>
      <c r="F1541">
        <f>IF(Skills!N13=TRUE,(Skills!L13/10)*(E1541/1000),Skills!L13/10)+Skills!O13</f>
        <v/>
      </c>
      <c r="G1541" t="inlineStr"/>
      <c r="H1541" t="inlineStr"/>
      <c r="I1541" t="inlineStr">
        <is>
          <t>1</t>
        </is>
      </c>
      <c r="J1541" t="inlineStr"/>
      <c r="K1541" t="inlineStr"/>
      <c r="L1541" t="inlineStr"/>
      <c r="M1541" t="inlineStr"/>
      <c r="N1541" t="inlineStr"/>
      <c r="O1541" t="inlineStr"/>
      <c r="P1541" t="inlineStr"/>
      <c r="Q1541" t="inlineStr"/>
      <c r="R1541" t="inlineStr"/>
      <c r="S1541" t="inlineStr"/>
      <c r="T1541" t="inlineStr"/>
      <c r="V1541" t="inlineStr"/>
    </row>
    <row r="1542">
      <c r="A1542">
        <f>Skills!A14</f>
        <v/>
      </c>
      <c r="B1542">
        <f>Skills!B14</f>
        <v/>
      </c>
      <c r="C1542">
        <f>Inputs!$B$3&gt;=74</f>
        <v/>
      </c>
      <c r="D1542">
        <f>IF(Skills!C14=1,60+Inputs!$B$25+Inputs!$B$29,IF(Skills!C14=2,90+Inputs!$B$26+Inputs!$B$29,IF(Skills!C14=3,120+Inputs!$B$27+Inputs!$B$29,MAX(0,(Inputs!$B$3-100)*3)+Inputs!$B$28+Inputs!$B$29)))</f>
        <v/>
      </c>
      <c r="E1542">
        <f>INDEX(FactorTable!$B$2:$Y$301, MATCH(ROUND(MIN(300,MAX(1,D1542)),0), FactorTable!$A$2:$A$301,0), Skills!M14+1)</f>
        <v/>
      </c>
      <c r="F1542">
        <f>IF(Skills!N14=TRUE,(Skills!L14/10)*(E1542/1000),Skills!L14/10)+Skills!O14</f>
        <v/>
      </c>
      <c r="G1542">
        <f>Skills!G14*IF(Skills!H14&gt;0,Skills!I14/Skills!H14,1)</f>
        <v/>
      </c>
      <c r="H1542">
        <f>1-(1-Skills!J14/100)^Skills!K14</f>
        <v/>
      </c>
      <c r="I1542" t="inlineStr">
        <is>
          <t>1</t>
        </is>
      </c>
      <c r="J1542" t="inlineStr"/>
      <c r="K1542" t="inlineStr"/>
      <c r="L1542" t="inlineStr"/>
      <c r="M1542" t="inlineStr"/>
      <c r="N1542" t="inlineStr"/>
      <c r="O1542">
        <f>(1-Summary!$B$11)*T1542+Summary!$B$11*V1542</f>
        <v/>
      </c>
      <c r="P1542">
        <f>IF(B1572=0,0,O1542/B1572)</f>
        <v/>
      </c>
      <c r="Q1542" t="n">
        <v>0</v>
      </c>
      <c r="R1542" t="n">
        <v>0</v>
      </c>
      <c r="S1542">
        <f>IFERROR(O1542/N1542,0)</f>
        <v/>
      </c>
      <c r="T1542" t="n">
        <v>0</v>
      </c>
      <c r="V1542" t="n">
        <v>0</v>
      </c>
    </row>
    <row r="1543">
      <c r="A1543">
        <f>Skills!A15</f>
        <v/>
      </c>
      <c r="B1543">
        <f>Skills!B15</f>
        <v/>
      </c>
      <c r="C1543">
        <f>Inputs!$B$3&gt;=74</f>
        <v/>
      </c>
      <c r="D1543">
        <f>IF(Skills!C15=1,60+Inputs!$B$25+Inputs!$B$29,IF(Skills!C15=2,90+Inputs!$B$26+Inputs!$B$29,IF(Skills!C15=3,120+Inputs!$B$27+Inputs!$B$29,MAX(0,(Inputs!$B$3-100)*3)+Inputs!$B$28+Inputs!$B$29)))</f>
        <v/>
      </c>
      <c r="E1543">
        <f>INDEX(FactorTable!$B$2:$Y$301, MATCH(ROUND(MIN(300,MAX(1,D1543)),0), FactorTable!$A$2:$A$301,0), Skills!M15+1)</f>
        <v/>
      </c>
      <c r="F1543">
        <f>IF(Skills!N15=TRUE,(Skills!L15/10)*(E1543/1000),Skills!L15/10)+Skills!O15</f>
        <v/>
      </c>
      <c r="G1543">
        <f>Skills!G15*IF(Skills!H15&gt;0,Skills!I15/Skills!H15,1)</f>
        <v/>
      </c>
      <c r="H1543">
        <f>1-(1-Skills!J15/100)^Skills!K15</f>
        <v/>
      </c>
      <c r="I1543" t="inlineStr">
        <is>
          <t>1</t>
        </is>
      </c>
      <c r="J1543" t="inlineStr"/>
      <c r="K1543" t="inlineStr"/>
      <c r="L1543" t="inlineStr"/>
      <c r="M1543" t="inlineStr"/>
      <c r="N1543" t="inlineStr"/>
      <c r="O1543">
        <f>(1-Summary!$B$11)*T1543+Summary!$B$11*V1543</f>
        <v/>
      </c>
      <c r="P1543">
        <f>IF(B1572=0,0,O1543/B1572)</f>
        <v/>
      </c>
      <c r="Q1543" t="n">
        <v>0</v>
      </c>
      <c r="R1543" t="n">
        <v>0</v>
      </c>
      <c r="S1543">
        <f>IFERROR(O1543/N1543,0)</f>
        <v/>
      </c>
      <c r="T1543" t="n">
        <v>0</v>
      </c>
      <c r="V1543" t="n">
        <v>0</v>
      </c>
    </row>
    <row r="1544">
      <c r="A1544">
        <f>Skills!A16</f>
        <v/>
      </c>
      <c r="B1544">
        <f>Skills!B16</f>
        <v/>
      </c>
      <c r="C1544">
        <f>Inputs!$B$3&gt;=117</f>
        <v/>
      </c>
      <c r="D1544">
        <f>IF(Skills!C16=1,60+Inputs!$B$25+Inputs!$B$29,IF(Skills!C16=2,90+Inputs!$B$26+Inputs!$B$29,IF(Skills!C16=3,120+Inputs!$B$27+Inputs!$B$29,MAX(0,(Inputs!$B$3-100)*3)+Inputs!$B$28+Inputs!$B$29)))</f>
        <v/>
      </c>
      <c r="E1544">
        <f>INDEX(FactorTable!$B$2:$Y$301, MATCH(ROUND(MIN(300,MAX(1,D1544)),0), FactorTable!$A$2:$A$301,0), Skills!M16+1)</f>
        <v/>
      </c>
      <c r="F1544">
        <f>IF(Skills!N16=TRUE,(Skills!L16/10)*(E1544/1000),Skills!L16/10)+Skills!O16</f>
        <v/>
      </c>
      <c r="G1544">
        <f>Skills!G16*IF(Skills!H16&gt;0,Skills!I16/Skills!H16,1)</f>
        <v/>
      </c>
      <c r="H1544">
        <f>1-(1-Skills!J16/100)^Skills!K16</f>
        <v/>
      </c>
      <c r="I1544" t="inlineStr">
        <is>
          <t>1</t>
        </is>
      </c>
      <c r="J1544" t="inlineStr"/>
      <c r="K1544" t="inlineStr"/>
      <c r="L1544" t="inlineStr"/>
      <c r="M1544" t="inlineStr"/>
      <c r="N1544" t="inlineStr"/>
      <c r="O1544">
        <f>(1-Summary!$B$11)*T1544+Summary!$B$11*V1544</f>
        <v/>
      </c>
      <c r="P1544">
        <f>IF(B1572=0,0,O1544/B1572)</f>
        <v/>
      </c>
      <c r="Q1544">
        <f>IFERROR(1/(IF(Inputs!$B$38="pvp",15,MAX(0.1,Skills!D16-IF(Skills!E16=TRUE,Inputs!$B$32,0)))*(1-IF(AND(ArtifactsInput!$M$27,Inputs!$B$4="Chapter Hunt"),CHOOSE(ArtifactsInput!$N$27+1,20,24,28,32,36,40),0)/100)),0)</f>
        <v/>
      </c>
      <c r="R1544">
        <f>IF(AND(Inputs!$B$38&lt;&gt;"pvp",Inputs!$B$43&gt;0),IF(Inputs!$B$43&lt;=0,0,(INT(Inputs!$B$43/(IF(Inputs!$B$38="pvp",15,MAX(0.1,Skills!D16-IF(Skills!E16=TRUE,Inputs!$B$32,0)))*(1-IF(AND(ArtifactsInput!$M$27,Inputs!$B$4="Chapter Hunt"),CHOOSE(ArtifactsInput!$N$27+1,20,24,28,32,36,40),0)/100)))+1)),0)</f>
        <v/>
      </c>
      <c r="S1544">
        <f>IFERROR(O1544/N1544,0)</f>
        <v/>
      </c>
      <c r="T1544" t="n">
        <v>0</v>
      </c>
      <c r="V1544" t="n">
        <v>0</v>
      </c>
    </row>
    <row r="1545">
      <c r="A1545">
        <f>Skills!A17</f>
        <v/>
      </c>
      <c r="B1545">
        <f>Skills!B17</f>
        <v/>
      </c>
      <c r="C1545">
        <f>Inputs!$B$3&gt;=115</f>
        <v/>
      </c>
      <c r="D1545">
        <f>IF(Skills!C17=1,60+Inputs!$B$25+Inputs!$B$29,IF(Skills!C17=2,90+Inputs!$B$26+Inputs!$B$29,IF(Skills!C17=3,120+Inputs!$B$27+Inputs!$B$29,MAX(0,(Inputs!$B$3-100)*3)+Inputs!$B$28+Inputs!$B$29)))</f>
        <v/>
      </c>
      <c r="E1545">
        <f>INDEX(FactorTable!$B$2:$Y$301, MATCH(ROUND(MIN(300,MAX(1,D1545)),0), FactorTable!$A$2:$A$301,0), Skills!M17+1)</f>
        <v/>
      </c>
      <c r="F1545">
        <f>IF(Skills!N17=TRUE,(Skills!L17/10)*(E1545/1000),Skills!L17/10)+Skills!O17</f>
        <v/>
      </c>
      <c r="G1545">
        <f>Skills!G17*IF(Skills!H17&gt;0,Skills!I17/Skills!H17,1)</f>
        <v/>
      </c>
      <c r="H1545">
        <f>1-(1-Skills!J17/100)^Skills!K17</f>
        <v/>
      </c>
      <c r="I1545" t="inlineStr">
        <is>
          <t>1</t>
        </is>
      </c>
      <c r="J1545" t="inlineStr"/>
      <c r="K1545" t="inlineStr"/>
      <c r="L1545" t="inlineStr"/>
      <c r="M1545" t="inlineStr"/>
      <c r="N1545" t="inlineStr"/>
      <c r="O1545">
        <f>(1-Summary!$B$11)*T1545+Summary!$B$11*V1545</f>
        <v/>
      </c>
      <c r="P1545">
        <f>IF(B1572=0,0,O1545/B1572)</f>
        <v/>
      </c>
      <c r="Q1545">
        <f>IFERROR(1/(IF(Inputs!$B$38="pvp",15,MAX(0.1,Skills!D17-IF(Skills!E17=TRUE,Inputs!$B$32,0)))*(1-IF(AND(ArtifactsInput!$M$27,Inputs!$B$4="Chapter Hunt"),CHOOSE(ArtifactsInput!$N$27+1,20,24,28,32,36,40),0)/100)),0)</f>
        <v/>
      </c>
      <c r="R1545">
        <f>IF(AND(Inputs!$B$38&lt;&gt;"pvp",Inputs!$B$43&gt;0),IF(Inputs!$B$43&lt;=0,0,(INT(Inputs!$B$43/(IF(Inputs!$B$38="pvp",15,MAX(0.1,Skills!D17-IF(Skills!E17=TRUE,Inputs!$B$32,0)))*(1-IF(AND(ArtifactsInput!$M$27,Inputs!$B$4="Chapter Hunt"),CHOOSE(ArtifactsInput!$N$27+1,20,24,28,32,36,40),0)/100)))+1)),0)</f>
        <v/>
      </c>
      <c r="S1545">
        <f>IFERROR(O1545/N1545,0)</f>
        <v/>
      </c>
      <c r="T1545" t="n">
        <v>0</v>
      </c>
      <c r="V1545" t="n">
        <v>0</v>
      </c>
    </row>
    <row r="1546">
      <c r="A1546">
        <f>Skills!A18</f>
        <v/>
      </c>
      <c r="B1546">
        <f>Skills!B18</f>
        <v/>
      </c>
      <c r="C1546">
        <f>Inputs!$B$3&gt;=66</f>
        <v/>
      </c>
      <c r="D1546">
        <f>IF(Skills!C18=1,60+Inputs!$B$25+Inputs!$B$29,IF(Skills!C18=2,90+Inputs!$B$26+Inputs!$B$29,IF(Skills!C18=3,120+Inputs!$B$27+Inputs!$B$29,MAX(0,(Inputs!$B$3-100)*3)+Inputs!$B$28+Inputs!$B$29)))</f>
        <v/>
      </c>
      <c r="E1546">
        <f>INDEX(FactorTable!$B$2:$Y$301, MATCH(ROUND(MIN(300,MAX(1,D1546)),0), FactorTable!$A$2:$A$301,0), Skills!M18+1)</f>
        <v/>
      </c>
      <c r="F1546">
        <f>IF(Skills!N18=TRUE,(Skills!L18/10)*(E1546/1000),Skills!L18/10)+Skills!O18</f>
        <v/>
      </c>
      <c r="G1546">
        <f>Skills!G18*IF(Skills!H18&gt;0,Skills!I18/Skills!H18,1)</f>
        <v/>
      </c>
      <c r="H1546">
        <f>1-(1-Skills!J18/100)^Skills!K18</f>
        <v/>
      </c>
      <c r="I1546" t="inlineStr">
        <is>
          <t>1</t>
        </is>
      </c>
      <c r="J1546" t="inlineStr"/>
      <c r="K1546" t="inlineStr"/>
      <c r="L1546" t="inlineStr"/>
      <c r="M1546" t="inlineStr"/>
      <c r="N1546" t="inlineStr"/>
      <c r="O1546">
        <f>(1-Summary!$B$11)*T1546+Summary!$B$11*V1546</f>
        <v/>
      </c>
      <c r="P1546">
        <f>IF(B1572=0,0,O1546/B1572)</f>
        <v/>
      </c>
      <c r="Q1546" t="n">
        <v>0</v>
      </c>
      <c r="R1546" t="n">
        <v>0</v>
      </c>
      <c r="S1546">
        <f>IFERROR(O1546/N1546,0)</f>
        <v/>
      </c>
      <c r="T1546" t="n">
        <v>0</v>
      </c>
      <c r="V1546" t="n">
        <v>0</v>
      </c>
    </row>
    <row r="1547">
      <c r="A1547">
        <f>Skills!A19</f>
        <v/>
      </c>
      <c r="B1547">
        <f>Skills!B19</f>
        <v/>
      </c>
      <c r="C1547">
        <f>Inputs!$B$3&gt;=72</f>
        <v/>
      </c>
      <c r="D1547">
        <f>IF(Skills!C19=1,60+Inputs!$B$25+Inputs!$B$29,IF(Skills!C19=2,90+Inputs!$B$26+Inputs!$B$29,IF(Skills!C19=3,120+Inputs!$B$27+Inputs!$B$29,MAX(0,(Inputs!$B$3-100)*3)+Inputs!$B$28+Inputs!$B$29)))</f>
        <v/>
      </c>
      <c r="E1547">
        <f>INDEX(FactorTable!$B$2:$Y$301, MATCH(ROUND(MIN(300,MAX(1,D1547)),0), FactorTable!$A$2:$A$301,0), Skills!M19+1)</f>
        <v/>
      </c>
      <c r="F1547">
        <f>IF(Skills!N19=TRUE,(Skills!L19/10)*(E1547/1000),Skills!L19/10)+Skills!O19</f>
        <v/>
      </c>
      <c r="G1547">
        <f>Skills!G19*IF(Skills!H19&gt;0,Skills!I19/Skills!H19,1)</f>
        <v/>
      </c>
      <c r="H1547">
        <f>1-(1-Skills!J19/100)^Skills!K19</f>
        <v/>
      </c>
      <c r="I1547" t="inlineStr">
        <is>
          <t>1</t>
        </is>
      </c>
      <c r="J1547" t="inlineStr"/>
      <c r="K1547" t="inlineStr"/>
      <c r="L1547" t="inlineStr"/>
      <c r="M1547" t="inlineStr"/>
      <c r="N1547" t="inlineStr"/>
      <c r="O1547">
        <f>(1-Summary!$B$11)*T1547+Summary!$B$11*V1547</f>
        <v/>
      </c>
      <c r="P1547">
        <f>IF(B1572=0,0,O1547/B1572)</f>
        <v/>
      </c>
      <c r="Q1547" t="n">
        <v>0</v>
      </c>
      <c r="R1547" t="n">
        <v>0</v>
      </c>
      <c r="S1547">
        <f>IFERROR(O1547/N1547,0)</f>
        <v/>
      </c>
      <c r="T1547" t="n">
        <v>0</v>
      </c>
      <c r="V1547" t="n">
        <v>0</v>
      </c>
    </row>
    <row r="1548">
      <c r="A1548">
        <f>Skills!A20</f>
        <v/>
      </c>
      <c r="B1548">
        <f>Skills!B20</f>
        <v/>
      </c>
      <c r="C1548">
        <f>TRUE</f>
        <v/>
      </c>
      <c r="D1548">
        <f>IF(Skills!C20=1,60+Inputs!$B$25+Inputs!$B$29,IF(Skills!C20=2,90+Inputs!$B$26+Inputs!$B$29,IF(Skills!C20=3,120+Inputs!$B$27+Inputs!$B$29,MAX(0,(Inputs!$B$3-100)*3)+Inputs!$B$28+Inputs!$B$29)))</f>
        <v/>
      </c>
      <c r="E1548">
        <f>INDEX(FactorTable!$B$2:$Y$301, MATCH(ROUND(MIN(300,MAX(1,D1548)),0), FactorTable!$A$2:$A$301,0), Skills!M20+1)</f>
        <v/>
      </c>
      <c r="F1548">
        <f>IF(Skills!N20=TRUE,(Skills!L20/10)*(E1548/1000),Skills!L20/10)+Skills!O20</f>
        <v/>
      </c>
      <c r="G1548">
        <f>Skills!G20*IF(Skills!H20&gt;0,Skills!I20/Skills!H20,1)</f>
        <v/>
      </c>
      <c r="H1548">
        <f>1-(1-Skills!J20/100)^Skills!K20</f>
        <v/>
      </c>
      <c r="I1548" t="inlineStr">
        <is>
          <t>1</t>
        </is>
      </c>
      <c r="J1548" t="inlineStr"/>
      <c r="K1548" t="inlineStr"/>
      <c r="L1548" t="inlineStr"/>
      <c r="M1548" t="inlineStr"/>
      <c r="N1548" t="inlineStr"/>
      <c r="O1548">
        <f>(1-Summary!$B$11)*T1548+Summary!$B$11*V1548</f>
        <v/>
      </c>
      <c r="P1548">
        <f>IF(B1572=0,0,O1548/B1572)</f>
        <v/>
      </c>
      <c r="Q1548">
        <f>IFERROR(1/(IF(Inputs!$B$38="pvp",15,MAX(0.1,Skills!D20-IF(Skills!E20=TRUE,Inputs!$B$32,0)))*(1-IF(AND(ArtifactsInput!$M$27,Inputs!$B$4="Chapter Hunt"),CHOOSE(ArtifactsInput!$N$27+1,20,24,28,32,36,40),0)/100)),0)</f>
        <v/>
      </c>
      <c r="R1548">
        <f>IF(AND(Inputs!$B$38&lt;&gt;"pvp",Inputs!$B$43&gt;0),IF(Inputs!$B$43&lt;=0,0,(INT(Inputs!$B$43/(IF(Inputs!$B$38="pvp",15,MAX(0.1,Skills!D20-IF(Skills!E20=TRUE,Inputs!$B$32,0)))*(1-IF(AND(ArtifactsInput!$M$27,Inputs!$B$4="Chapter Hunt"),CHOOSE(ArtifactsInput!$N$27+1,20,24,28,32,36,40),0)/100)))+1)),0)</f>
        <v/>
      </c>
      <c r="S1548">
        <f>IFERROR(O1548/N1548,0)</f>
        <v/>
      </c>
      <c r="T1548" t="n">
        <v>0</v>
      </c>
      <c r="V1548" t="n">
        <v>0</v>
      </c>
    </row>
    <row r="1549">
      <c r="A1549">
        <f>Skills!A21</f>
        <v/>
      </c>
      <c r="B1549">
        <f>Skills!B21</f>
        <v/>
      </c>
      <c r="C1549">
        <f>Inputs!$B$3&gt;=15</f>
        <v/>
      </c>
      <c r="D1549">
        <f>IF(Skills!C21=1,60+Inputs!$B$25+Inputs!$B$29,IF(Skills!C21=2,90+Inputs!$B$26+Inputs!$B$29,IF(Skills!C21=3,120+Inputs!$B$27+Inputs!$B$29,MAX(0,(Inputs!$B$3-100)*3)+Inputs!$B$28+Inputs!$B$29)))</f>
        <v/>
      </c>
      <c r="E1549">
        <f>INDEX(FactorTable!$B$2:$Y$301, MATCH(ROUND(MIN(300,MAX(1,D1549)),0), FactorTable!$A$2:$A$301,0), Skills!M21+1)</f>
        <v/>
      </c>
      <c r="F1549">
        <f>IF(Skills!N21=TRUE,(Skills!L21/10)*(E1549/1000),Skills!L21/10)+Skills!O21</f>
        <v/>
      </c>
      <c r="G1549">
        <f>Skills!G21*IF(Skills!H21&gt;0,Skills!I21/Skills!H21,1)</f>
        <v/>
      </c>
      <c r="H1549">
        <f>1-(1-Skills!J21/100)^Skills!K21</f>
        <v/>
      </c>
      <c r="I1549" t="inlineStr">
        <is>
          <t>1</t>
        </is>
      </c>
      <c r="J1549" t="inlineStr"/>
      <c r="K1549" t="inlineStr"/>
      <c r="L1549" t="inlineStr"/>
      <c r="M1549" t="inlineStr"/>
      <c r="N1549" t="inlineStr"/>
      <c r="O1549">
        <f>(1-Summary!$B$11)*T1549+Summary!$B$11*V1549</f>
        <v/>
      </c>
      <c r="P1549">
        <f>IF(B1572=0,0,O1549/B1572)</f>
        <v/>
      </c>
      <c r="Q1549" t="n">
        <v>0</v>
      </c>
      <c r="R1549" t="n">
        <v>0</v>
      </c>
      <c r="S1549">
        <f>IFERROR(O1549/N1549,0)</f>
        <v/>
      </c>
      <c r="T1549" t="n">
        <v>0</v>
      </c>
      <c r="V1549" t="n">
        <v>0</v>
      </c>
    </row>
    <row r="1550">
      <c r="A1550">
        <f>Skills!A22</f>
        <v/>
      </c>
      <c r="B1550">
        <f>Skills!B22</f>
        <v/>
      </c>
      <c r="C1550">
        <f>Inputs!$B$3&gt;=10</f>
        <v/>
      </c>
      <c r="D1550">
        <f>IF(Skills!C22=1,60+Inputs!$B$25+Inputs!$B$29,IF(Skills!C22=2,90+Inputs!$B$26+Inputs!$B$29,IF(Skills!C22=3,120+Inputs!$B$27+Inputs!$B$29,MAX(0,(Inputs!$B$3-100)*3)+Inputs!$B$28+Inputs!$B$29)))</f>
        <v/>
      </c>
      <c r="E1550">
        <f>INDEX(FactorTable!$B$2:$Y$301, MATCH(ROUND(MIN(300,MAX(1,D1550)),0), FactorTable!$A$2:$A$301,0), Skills!M22+1)</f>
        <v/>
      </c>
      <c r="F1550">
        <f>IF(Skills!N22=TRUE,(Skills!L22/10)*(E1550/1000),Skills!L22/10)+Skills!O22</f>
        <v/>
      </c>
      <c r="G1550">
        <f>Skills!G22*IF(Skills!H22&gt;0,Skills!I22/Skills!H22,1)</f>
        <v/>
      </c>
      <c r="H1550">
        <f>1-(1-Skills!J22/100)^Skills!K22</f>
        <v/>
      </c>
      <c r="I1550" t="inlineStr">
        <is>
          <t>1</t>
        </is>
      </c>
      <c r="J1550" t="inlineStr"/>
      <c r="K1550" t="inlineStr"/>
      <c r="L1550" t="inlineStr"/>
      <c r="M1550" t="inlineStr"/>
      <c r="N1550" t="inlineStr"/>
      <c r="O1550">
        <f>(1-Summary!$B$11)*T1550+Summary!$B$11*V1550</f>
        <v/>
      </c>
      <c r="P1550">
        <f>IF(B1572=0,0,O1550/B1572)</f>
        <v/>
      </c>
      <c r="Q1550" t="n">
        <v>0</v>
      </c>
      <c r="R1550" t="n">
        <v>0</v>
      </c>
      <c r="S1550">
        <f>IFERROR(O1550/N1550,0)</f>
        <v/>
      </c>
      <c r="T1550" t="n">
        <v>0</v>
      </c>
      <c r="V1550" t="n">
        <v>0</v>
      </c>
    </row>
    <row r="1551">
      <c r="A1551">
        <f>Skills!A23</f>
        <v/>
      </c>
      <c r="B1551">
        <f>Skills!B23</f>
        <v/>
      </c>
      <c r="C1551">
        <f>Inputs!$B$3&gt;=33</f>
        <v/>
      </c>
      <c r="D1551">
        <f>IF(Skills!C23=1,60+Inputs!$B$25+Inputs!$B$29,IF(Skills!C23=2,90+Inputs!$B$26+Inputs!$B$29,IF(Skills!C23=3,120+Inputs!$B$27+Inputs!$B$29,MAX(0,(Inputs!$B$3-100)*3)+Inputs!$B$28+Inputs!$B$29)))</f>
        <v/>
      </c>
      <c r="E1551">
        <f>INDEX(FactorTable!$B$2:$Y$301, MATCH(ROUND(MIN(300,MAX(1,D1551)),0), FactorTable!$A$2:$A$301,0), Skills!M23+1)</f>
        <v/>
      </c>
      <c r="F1551">
        <f>IF(Skills!N23=TRUE,(Skills!L23/10)*(E1551/1000),Skills!L23/10)+Skills!O23</f>
        <v/>
      </c>
      <c r="G1551">
        <f>Skills!G23*IF(Skills!H23&gt;0,Skills!I23/Skills!H23,1)</f>
        <v/>
      </c>
      <c r="H1551">
        <f>1-(1-Skills!J23/100)^Skills!K23</f>
        <v/>
      </c>
      <c r="I1551" t="inlineStr">
        <is>
          <t>1</t>
        </is>
      </c>
      <c r="J1551" t="inlineStr"/>
      <c r="K1551" t="inlineStr"/>
      <c r="L1551" t="inlineStr"/>
      <c r="M1551" t="inlineStr"/>
      <c r="N1551" t="inlineStr"/>
      <c r="O1551">
        <f>(1-Summary!$B$11)*T1551+Summary!$B$11*V1551</f>
        <v/>
      </c>
      <c r="P1551">
        <f>IF(B1572=0,0,O1551/B1572)</f>
        <v/>
      </c>
      <c r="Q1551" t="n">
        <v>0</v>
      </c>
      <c r="R1551" t="n">
        <v>0</v>
      </c>
      <c r="S1551">
        <f>IFERROR(O1551/N1551,0)</f>
        <v/>
      </c>
      <c r="T1551" t="n">
        <v>0</v>
      </c>
      <c r="V1551" t="n">
        <v>0</v>
      </c>
    </row>
    <row r="1552">
      <c r="A1552">
        <f>Skills!A24</f>
        <v/>
      </c>
      <c r="B1552">
        <f>Skills!B24</f>
        <v/>
      </c>
      <c r="C1552">
        <f>Inputs!$B$3&gt;=38</f>
        <v/>
      </c>
      <c r="D1552">
        <f>IF(Skills!C24=1,60+Inputs!$B$25+Inputs!$B$29,IF(Skills!C24=2,90+Inputs!$B$26+Inputs!$B$29,IF(Skills!C24=3,120+Inputs!$B$27+Inputs!$B$29,MAX(0,(Inputs!$B$3-100)*3)+Inputs!$B$28+Inputs!$B$29)))</f>
        <v/>
      </c>
      <c r="E1552">
        <f>INDEX(FactorTable!$B$2:$Y$301, MATCH(ROUND(MIN(300,MAX(1,D1552)),0), FactorTable!$A$2:$A$301,0), Skills!M24+1)</f>
        <v/>
      </c>
      <c r="F1552">
        <f>IF(Skills!N24=TRUE,(Skills!L24/10)*(E1552/1000),Skills!L24/10)+Skills!O24</f>
        <v/>
      </c>
      <c r="G1552">
        <f>Skills!G24*IF(Skills!H24&gt;0,Skills!I24/Skills!H24,1)</f>
        <v/>
      </c>
      <c r="H1552">
        <f>1-(1-Skills!J24/100)^Skills!K24</f>
        <v/>
      </c>
      <c r="I1552" t="inlineStr">
        <is>
          <t>1</t>
        </is>
      </c>
      <c r="J1552" t="inlineStr"/>
      <c r="K1552" t="inlineStr"/>
      <c r="L1552" t="inlineStr"/>
      <c r="M1552" t="inlineStr"/>
      <c r="N1552" t="inlineStr"/>
      <c r="O1552">
        <f>(1-Summary!$B$11)*T1552+Summary!$B$11*V1552</f>
        <v/>
      </c>
      <c r="P1552">
        <f>IF(B1572=0,0,O1552/B1572)</f>
        <v/>
      </c>
      <c r="Q1552" t="n">
        <v>0</v>
      </c>
      <c r="R1552" t="n">
        <v>0</v>
      </c>
      <c r="S1552">
        <f>IFERROR(O1552/N1552,0)</f>
        <v/>
      </c>
      <c r="T1552" t="n">
        <v>0</v>
      </c>
      <c r="V1552" t="n">
        <v>0</v>
      </c>
    </row>
    <row r="1553">
      <c r="A1553">
        <f>Skills!A25</f>
        <v/>
      </c>
      <c r="B1553">
        <f>Skills!B25</f>
        <v/>
      </c>
      <c r="C1553">
        <f>Inputs!$B$3&gt;=43</f>
        <v/>
      </c>
      <c r="D1553">
        <f>IF(Skills!C25=1,60+Inputs!$B$25+Inputs!$B$29,IF(Skills!C25=2,90+Inputs!$B$26+Inputs!$B$29,IF(Skills!C25=3,120+Inputs!$B$27+Inputs!$B$29,MAX(0,(Inputs!$B$3-100)*3)+Inputs!$B$28+Inputs!$B$29)))</f>
        <v/>
      </c>
      <c r="E1553">
        <f>INDEX(FactorTable!$B$2:$Y$301, MATCH(ROUND(MIN(300,MAX(1,D1553)),0), FactorTable!$A$2:$A$301,0), Skills!M25+1)</f>
        <v/>
      </c>
      <c r="F1553">
        <f>IF(Skills!N25=TRUE,(Skills!L25/10)*(E1553/1000),Skills!L25/10)+Skills!O25</f>
        <v/>
      </c>
      <c r="G1553">
        <f>Skills!G25*IF(Skills!H25&gt;0,Skills!I25/Skills!H25,1)</f>
        <v/>
      </c>
      <c r="H1553">
        <f>1-(1-Skills!J25/100)^Skills!K25</f>
        <v/>
      </c>
      <c r="I1553" t="inlineStr">
        <is>
          <t>1</t>
        </is>
      </c>
      <c r="J1553" t="inlineStr"/>
      <c r="K1553" t="inlineStr"/>
      <c r="L1553" t="inlineStr"/>
      <c r="M1553" t="inlineStr"/>
      <c r="N1553" t="inlineStr"/>
      <c r="O1553">
        <f>(1-Summary!$B$11)*T1553+Summary!$B$11*V1553</f>
        <v/>
      </c>
      <c r="P1553">
        <f>IF(B1572=0,0,O1553/B1572)</f>
        <v/>
      </c>
      <c r="Q1553" t="n">
        <v>0</v>
      </c>
      <c r="R1553" t="n">
        <v>0</v>
      </c>
      <c r="S1553">
        <f>IFERROR(O1553/N1553,0)</f>
        <v/>
      </c>
      <c r="T1553" t="n">
        <v>0</v>
      </c>
      <c r="V1553" t="n">
        <v>0</v>
      </c>
    </row>
    <row r="1554">
      <c r="A1554">
        <f>Skills!A26</f>
        <v/>
      </c>
      <c r="B1554">
        <f>Skills!B26</f>
        <v/>
      </c>
      <c r="C1554">
        <f>Inputs!$B$3&gt;=75</f>
        <v/>
      </c>
      <c r="D1554">
        <f>IF(Skills!C26=1,60+Inputs!$B$25+Inputs!$B$29,IF(Skills!C26=2,90+Inputs!$B$26+Inputs!$B$29,IF(Skills!C26=3,120+Inputs!$B$27+Inputs!$B$29,MAX(0,(Inputs!$B$3-100)*3)+Inputs!$B$28+Inputs!$B$29)))</f>
        <v/>
      </c>
      <c r="E1554">
        <f>INDEX(FactorTable!$B$2:$Y$301, MATCH(ROUND(MIN(300,MAX(1,D1554)),0), FactorTable!$A$2:$A$301,0), Skills!M26+1)</f>
        <v/>
      </c>
      <c r="F1554">
        <f>IF(Skills!N26=TRUE,(Skills!L26/10)*(E1554/1000),Skills!L26/10)+Skills!O26</f>
        <v/>
      </c>
      <c r="G1554">
        <f>Skills!G26*IF(Skills!H26&gt;0,Skills!I26/Skills!H26,1)</f>
        <v/>
      </c>
      <c r="H1554">
        <f>1-(1-Skills!J26/100)^Skills!K26</f>
        <v/>
      </c>
      <c r="I1554" t="inlineStr">
        <is>
          <t>1</t>
        </is>
      </c>
      <c r="J1554" t="inlineStr"/>
      <c r="K1554" t="inlineStr"/>
      <c r="L1554" t="inlineStr"/>
      <c r="M1554" t="inlineStr"/>
      <c r="N1554" t="inlineStr"/>
      <c r="O1554">
        <f>(1-Summary!$B$11)*T1554+Summary!$B$11*V1554</f>
        <v/>
      </c>
      <c r="P1554">
        <f>IF(B1572=0,0,O1554/B1572)</f>
        <v/>
      </c>
      <c r="Q1554" t="n">
        <v>0</v>
      </c>
      <c r="R1554" t="n">
        <v>0</v>
      </c>
      <c r="S1554">
        <f>IFERROR(O1554/N1554,0)</f>
        <v/>
      </c>
      <c r="T1554" t="n">
        <v>0</v>
      </c>
      <c r="V1554" t="n">
        <v>0</v>
      </c>
    </row>
    <row r="1555">
      <c r="A1555">
        <f>Skills!A27</f>
        <v/>
      </c>
      <c r="B1555">
        <f>Skills!B27</f>
        <v/>
      </c>
      <c r="C1555">
        <f>Inputs!$B$3&gt;=125</f>
        <v/>
      </c>
      <c r="D1555">
        <f>IF(Skills!C27=1,60+Inputs!$B$25+Inputs!$B$29,IF(Skills!C27=2,90+Inputs!$B$26+Inputs!$B$29,IF(Skills!C27=3,120+Inputs!$B$27+Inputs!$B$29,MAX(0,(Inputs!$B$3-100)*3)+Inputs!$B$28+Inputs!$B$29)))</f>
        <v/>
      </c>
      <c r="E1555">
        <f>INDEX(FactorTable!$B$2:$Y$301, MATCH(ROUND(MIN(300,MAX(1,D1555)),0), FactorTable!$A$2:$A$301,0), Skills!M27+1)</f>
        <v/>
      </c>
      <c r="F1555">
        <f>IF(Skills!N27=TRUE,(Skills!L27/10)*(E1555/1000),Skills!L27/10)+Skills!O27</f>
        <v/>
      </c>
      <c r="G1555">
        <f>Skills!G27*IF(Skills!H27&gt;0,Skills!I27/Skills!H27,1)</f>
        <v/>
      </c>
      <c r="H1555">
        <f>1-(1-Skills!J27/100)^Skills!K27</f>
        <v/>
      </c>
      <c r="I1555" t="inlineStr">
        <is>
          <t>1</t>
        </is>
      </c>
      <c r="J1555" t="inlineStr"/>
      <c r="K1555" t="inlineStr"/>
      <c r="L1555" t="inlineStr"/>
      <c r="M1555" t="inlineStr"/>
      <c r="N1555" t="inlineStr"/>
      <c r="O1555">
        <f>(1-Summary!$B$11)*T1555+Summary!$B$11*V1555</f>
        <v/>
      </c>
      <c r="P1555">
        <f>IF(B1572=0,0,O1555/B1572)</f>
        <v/>
      </c>
      <c r="Q1555" t="n">
        <v>0</v>
      </c>
      <c r="R1555" t="n">
        <v>0</v>
      </c>
      <c r="S1555">
        <f>IFERROR(O1555/N1555,0)</f>
        <v/>
      </c>
      <c r="T1555" t="n">
        <v>0</v>
      </c>
      <c r="V1555" t="n">
        <v>0</v>
      </c>
    </row>
    <row r="1556">
      <c r="A1556">
        <f>Skills!A28</f>
        <v/>
      </c>
      <c r="B1556">
        <f>Skills!B28</f>
        <v/>
      </c>
      <c r="C1556">
        <f>Inputs!$B$3&gt;=125</f>
        <v/>
      </c>
      <c r="D1556">
        <f>IF(Skills!C28=1,60+Inputs!$B$25+Inputs!$B$29,IF(Skills!C28=2,90+Inputs!$B$26+Inputs!$B$29,IF(Skills!C28=3,120+Inputs!$B$27+Inputs!$B$29,MAX(0,(Inputs!$B$3-100)*3)+Inputs!$B$28+Inputs!$B$29)))</f>
        <v/>
      </c>
      <c r="E1556">
        <f>INDEX(FactorTable!$B$2:$Y$301, MATCH(ROUND(MIN(300,MAX(1,D1556)),0), FactorTable!$A$2:$A$301,0), Skills!M28+1)</f>
        <v/>
      </c>
      <c r="F1556">
        <f>IF(Skills!N28=TRUE,(Skills!L28/10)*(E1556/1000),Skills!L28/10)+Skills!O28</f>
        <v/>
      </c>
      <c r="G1556">
        <f>Skills!G28*IF(Skills!H28&gt;0,Skills!I28/Skills!H28,1)</f>
        <v/>
      </c>
      <c r="H1556">
        <f>1-(1-Skills!J28/100)^Skills!K28</f>
        <v/>
      </c>
      <c r="I1556" t="inlineStr">
        <is>
          <t>1</t>
        </is>
      </c>
      <c r="J1556" t="inlineStr"/>
      <c r="K1556" t="inlineStr"/>
      <c r="L1556" t="inlineStr"/>
      <c r="M1556" t="inlineStr"/>
      <c r="N1556" t="inlineStr"/>
      <c r="O1556">
        <f>(1-Summary!$B$11)*T1556+Summary!$B$11*V1556</f>
        <v/>
      </c>
      <c r="P1556">
        <f>IF(B1572=0,0,O1556/B1572)</f>
        <v/>
      </c>
      <c r="Q1556" t="n">
        <v>0</v>
      </c>
      <c r="R1556" t="n">
        <v>0</v>
      </c>
      <c r="S1556">
        <f>IFERROR(O1556/N1556,0)</f>
        <v/>
      </c>
      <c r="T1556" t="n">
        <v>0</v>
      </c>
      <c r="V1556" t="n">
        <v>0</v>
      </c>
    </row>
    <row r="1557">
      <c r="A1557">
        <f>Skills!A29</f>
        <v/>
      </c>
      <c r="B1557">
        <f>Skills!B29</f>
        <v/>
      </c>
      <c r="C1557">
        <f>Inputs!$B$3&gt;=120</f>
        <v/>
      </c>
      <c r="D1557">
        <f>IF(Skills!C29=1,60+Inputs!$B$25+Inputs!$B$29,IF(Skills!C29=2,90+Inputs!$B$26+Inputs!$B$29,IF(Skills!C29=3,120+Inputs!$B$27+Inputs!$B$29,MAX(0,(Inputs!$B$3-100)*3)+Inputs!$B$28+Inputs!$B$29)))</f>
        <v/>
      </c>
      <c r="E1557">
        <f>INDEX(FactorTable!$B$2:$Y$301, MATCH(ROUND(MIN(300,MAX(1,D1557)),0), FactorTable!$A$2:$A$301,0), Skills!M29+1)</f>
        <v/>
      </c>
      <c r="F1557">
        <f>IF(Skills!N29=TRUE,(Skills!L29/10)*(E1557/1000),Skills!L29/10)+Skills!O29</f>
        <v/>
      </c>
      <c r="G1557">
        <f>Skills!G29*IF(Skills!H29&gt;0,Skills!I29/Skills!H29,1)</f>
        <v/>
      </c>
      <c r="H1557">
        <f>1-(1-Skills!J29/100)^Skills!K29</f>
        <v/>
      </c>
      <c r="I1557" t="inlineStr">
        <is>
          <t>1</t>
        </is>
      </c>
      <c r="J1557" t="inlineStr"/>
      <c r="K1557" t="inlineStr"/>
      <c r="L1557" t="inlineStr"/>
      <c r="M1557" t="inlineStr"/>
      <c r="N1557" t="inlineStr"/>
      <c r="O1557">
        <f>(1-Summary!$B$11)*T1557+Summary!$B$11*V1557</f>
        <v/>
      </c>
      <c r="P1557">
        <f>IF(B1572=0,0,O1557/B1572)</f>
        <v/>
      </c>
      <c r="Q1557" t="n">
        <v>0</v>
      </c>
      <c r="R1557" t="n">
        <v>0</v>
      </c>
      <c r="S1557">
        <f>IFERROR(O1557/N1557,0)</f>
        <v/>
      </c>
      <c r="T1557" t="n">
        <v>0</v>
      </c>
      <c r="V1557" t="n">
        <v>0</v>
      </c>
    </row>
    <row r="1558">
      <c r="A1558">
        <f>Skills!A30</f>
        <v/>
      </c>
      <c r="B1558">
        <f>Skills!B30</f>
        <v/>
      </c>
      <c r="C1558">
        <f>Inputs!$B$3&gt;=120</f>
        <v/>
      </c>
      <c r="D1558">
        <f>IF(Skills!C30=1,60+Inputs!$B$25+Inputs!$B$29,IF(Skills!C30=2,90+Inputs!$B$26+Inputs!$B$29,IF(Skills!C30=3,120+Inputs!$B$27+Inputs!$B$29,MAX(0,(Inputs!$B$3-100)*3)+Inputs!$B$28+Inputs!$B$29)))</f>
        <v/>
      </c>
      <c r="E1558">
        <f>INDEX(FactorTable!$B$2:$Y$301, MATCH(ROUND(MIN(300,MAX(1,D1558)),0), FactorTable!$A$2:$A$301,0), Skills!M30+1)</f>
        <v/>
      </c>
      <c r="F1558">
        <f>IF(Skills!N30=TRUE,(Skills!L30/10)*(E1558/1000),Skills!L30/10)+Skills!O30</f>
        <v/>
      </c>
      <c r="G1558">
        <f>Skills!G30*IF(Skills!H30&gt;0,Skills!I30/Skills!H30,1)</f>
        <v/>
      </c>
      <c r="H1558">
        <f>1-(1-Skills!J30/100)^Skills!K30</f>
        <v/>
      </c>
      <c r="I1558" t="inlineStr">
        <is>
          <t>1</t>
        </is>
      </c>
      <c r="J1558" t="inlineStr"/>
      <c r="K1558" t="inlineStr"/>
      <c r="L1558" t="inlineStr"/>
      <c r="M1558" t="inlineStr"/>
      <c r="N1558" t="inlineStr"/>
      <c r="O1558">
        <f>(1-Summary!$B$11)*T1558+Summary!$B$11*V1558</f>
        <v/>
      </c>
      <c r="P1558">
        <f>IF(B1572=0,0,O1558/B1572)</f>
        <v/>
      </c>
      <c r="Q1558" t="n">
        <v>0</v>
      </c>
      <c r="R1558" t="n">
        <v>0</v>
      </c>
      <c r="S1558">
        <f>IFERROR(O1558/N1558,0)</f>
        <v/>
      </c>
      <c r="T1558" t="n">
        <v>0</v>
      </c>
      <c r="V1558" t="n">
        <v>0</v>
      </c>
    </row>
    <row r="1559">
      <c r="A1559">
        <f>Skills!A31</f>
        <v/>
      </c>
      <c r="B1559">
        <f>Skills!B31</f>
        <v/>
      </c>
      <c r="C1559">
        <f>Inputs!$B$3&gt;=45</f>
        <v/>
      </c>
      <c r="D1559">
        <f>IF(Skills!C31=1,60+Inputs!$B$25+Inputs!$B$29,IF(Skills!C31=2,90+Inputs!$B$26+Inputs!$B$29,IF(Skills!C31=3,120+Inputs!$B$27+Inputs!$B$29,MAX(0,(Inputs!$B$3-100)*3)+Inputs!$B$28+Inputs!$B$29)))</f>
        <v/>
      </c>
      <c r="E1559">
        <f>INDEX(FactorTable!$B$2:$Y$301, MATCH(ROUND(MIN(300,MAX(1,D1559)),0), FactorTable!$A$2:$A$301,0), Skills!M31+1)</f>
        <v/>
      </c>
      <c r="F1559">
        <f>IF(Skills!N31=TRUE,(Skills!L31/10)*(E1559/1000),Skills!L31/10)+Skills!O31</f>
        <v/>
      </c>
      <c r="G1559">
        <f>Skills!G31*IF(Skills!H31&gt;0,Skills!I31/Skills!H31,1)</f>
        <v/>
      </c>
      <c r="H1559">
        <f>1-(1-Skills!J31/100)^Skills!K31</f>
        <v/>
      </c>
      <c r="I1559" t="inlineStr">
        <is>
          <t>1</t>
        </is>
      </c>
      <c r="J1559" t="inlineStr"/>
      <c r="K1559" t="inlineStr"/>
      <c r="L1559" t="inlineStr"/>
      <c r="M1559" t="inlineStr"/>
      <c r="N1559" t="inlineStr"/>
      <c r="O1559">
        <f>(1-Summary!$B$11)*T1559+Summary!$B$11*V1559</f>
        <v/>
      </c>
      <c r="P1559">
        <f>IF(B1572=0,0,O1559/B1572)</f>
        <v/>
      </c>
      <c r="Q1559" t="n">
        <v>0</v>
      </c>
      <c r="R1559" t="n">
        <v>0</v>
      </c>
      <c r="S1559">
        <f>IFERROR(O1559/N1559,0)</f>
        <v/>
      </c>
      <c r="T1559" t="n">
        <v>0</v>
      </c>
      <c r="V1559" t="n">
        <v>0</v>
      </c>
    </row>
    <row r="1561">
      <c r="A1561" t="inlineStr">
        <is>
          <t>Attack% Bucket Multiplier</t>
        </is>
      </c>
      <c r="B1561">
        <f>(1+(((C1542=TRUE)*F1542)+((C1543=TRUE)*IF(Inputs!$B$38="pvp",F1543,(1-Summary!$B$11)*(F1543)+Summary!$B$11*(0)))+((C1544=TRUE)*F1544*IF(AND(Inputs!$B$38&lt;&gt;"pvp",Inputs!$B$43&gt;0),(((R1544-1)*(Skills!T16*(1+Inputs!$B$34/100))+MIN((Skills!T16*(1+Inputs!$B$34/100)),MAX(0,Inputs!$B$43-((R1544-1)*Skills!D16))))/Inputs!$B$43),IF(Inputs!$B$38="pvp",MIN((Skills!T16*(1+Inputs!$B$34/100)),15)/15,(Skills!T16*(1+Inputs!$B$34/100))/Skills!D16)))+((C1559=TRUE)*(F1559-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62">
      <c r="A1562" t="inlineStr">
        <is>
          <t>Global Crit Rate Bonus %</t>
        </is>
      </c>
      <c r="B1562">
        <f>(C1545=TRUE)*20*IF(AND(Inputs!$B$38&lt;&gt;"pvp",Inputs!$B$43&gt;0),(((R1545-1)*(Skills!T17*(1+Inputs!$B$34/100))+MIN((Skills!T17*(1+Inputs!$B$34/100)),MAX(0,Inputs!$B$43-((R1545-1)*Skills!D17))))/Inputs!$B$43),IF(Inputs!$B$38="pvp",MIN((Skills!T17*(1+Inputs!$B$34/100)),15)/15,(Skills!T17*(1+Inputs!$B$34/100))/Skills!D17))</f>
        <v/>
      </c>
    </row>
    <row r="1563">
      <c r="A1563" t="inlineStr">
        <is>
          <t>Attack Speed Buff Bonus %</t>
        </is>
      </c>
      <c r="B1563">
        <f>((C1548=TRUE)*F1548*IF(AND(Inputs!$B$38&lt;&gt;"pvp",Inputs!$B$43&gt;0),(((R1548-1)*(Skills!T20*(1+Inputs!$B$34/100))+MIN((Skills!T20*(1+Inputs!$B$34/100)),MAX(0,Inputs!$B$43-((R1548-1)*Skills!D20))))/Inputs!$B$43),IF(Inputs!$B$38="pvp",MIN((Skills!T20*(1+Inputs!$B$34/100)),15)/15,(Skills!T20*(1+Inputs!$B$34/100))/Skills!D20)))</f>
        <v/>
      </c>
    </row>
    <row r="1564">
      <c r="A1564" t="inlineStr">
        <is>
          <t>Actions Per Second</t>
        </is>
      </c>
      <c r="B1564">
        <f>1+MIN(150,150*(1-(1-(Inputs!$B$11+((C1550=TRUE)*(F1550-Calc!F22))+((C1551=TRUE)*(F1551-Calc!F23)))/150)*(1-B1563/150)))/100</f>
        <v/>
      </c>
    </row>
    <row r="1565">
      <c r="A1565" t="inlineStr">
        <is>
          <t>Skill + Buff Cast Rate</t>
        </is>
      </c>
      <c r="B1565">
        <f>IF(AND(Inputs!$B$38&lt;&gt;"pvp",Inputs!$B$43&gt;0),SUMPRODUCT((Skills!E2:E31=TRUE)*(C1530:C1559=TRUE)*R1530:R1559*Skills!F2:F31)/Inputs!$B$43,SUMPRODUCT((Skills!E2:E31=TRUE)*(C1530:C1559=TRUE)*Q1530:Q1559*Skills!F2:F31))</f>
        <v/>
      </c>
    </row>
    <row r="1566">
      <c r="A1566" t="inlineStr">
        <is>
          <t>Arrow Stream Casts Per Second</t>
        </is>
      </c>
      <c r="B1566">
        <f>MAX(0,B1564-B1565)</f>
        <v/>
      </c>
    </row>
    <row r="1567">
      <c r="A1567" t="inlineStr">
        <is>
          <t>Global Critical Damage Bonus % (Sharp Eyes + Concentration)</t>
        </is>
      </c>
      <c r="B1567">
        <f>(C1545=TRUE)*F1545*IF(AND(Inputs!$B$38&lt;&gt;"pvp",Inputs!$B$43&gt;0),(((R1545-1)*(Skills!T17*(1+Inputs!$B$34/100))+MIN((Skills!T17*(1+Inputs!$B$34/100)),MAX(0,Inputs!$B$43-((R1545-1)*Skills!D17))))/Inputs!$B$43),IF(Inputs!$B$38="pvp",MIN((Skills!T17*(1+Inputs!$B$34/100)),15)/15,(Skills!T17*(1+Inputs!$B$34/100))/Skills!D17))+(C1546=TRUE)*30</f>
        <v/>
      </c>
    </row>
    <row r="1568">
      <c r="A1568" t="inlineStr">
        <is>
          <t>Global Final Damage Bonus % (Mortal Blow)</t>
        </is>
      </c>
      <c r="B1568">
        <f>(C1547=TRUE)*F1547</f>
        <v/>
      </c>
    </row>
    <row r="1569">
      <c r="A1569" t="inlineStr">
        <is>
          <t>Buff-Casting Startup Delay (s, fixed-duration only)</t>
        </is>
      </c>
      <c r="B1569">
        <f>IF(AND(Inputs!$B$38&lt;&gt;"pvp",Inputs!$B$43&gt;0),SUMPRODUCT((Skills!T2:T31&gt;0)*(Skills!E2:E31=TRUE)*(C1530:C1559=TRUE))/B1564,0)</f>
        <v/>
      </c>
    </row>
    <row r="1570">
      <c r="A1570" t="inlineStr">
        <is>
          <t>Boss-Only Total DPS (this block's swept value)</t>
        </is>
      </c>
      <c r="B1570">
        <f>SUM(T1530:T1559)</f>
        <v/>
      </c>
    </row>
    <row r="1571">
      <c r="A1571" t="inlineStr">
        <is>
          <t>Normal-Only Total DPS (this block's swept value)</t>
        </is>
      </c>
      <c r="B1571">
        <f>SUM(V1530:V1559)</f>
        <v/>
      </c>
    </row>
    <row r="1572">
      <c r="A1572" s="6" t="inlineStr">
        <is>
          <t>TOTAL DPS</t>
        </is>
      </c>
      <c r="B1572" s="6">
        <f>SUM(O1530:O1559)</f>
        <v/>
      </c>
    </row>
    <row r="1575">
      <c r="A1575" s="6" t="inlineStr">
        <is>
          <t>Stat: Arwen's Glass Shoes (Equip)</t>
        </is>
      </c>
    </row>
    <row r="1576">
      <c r="A1576" s="5" t="inlineStr">
        <is>
          <t>Key</t>
        </is>
      </c>
      <c r="B1576" s="5" t="inlineStr">
        <is>
          <t>Name</t>
        </is>
      </c>
      <c r="C1576" s="5" t="inlineStr">
        <is>
          <t>Unlocked</t>
        </is>
      </c>
      <c r="D1576" s="5" t="inlineStr">
        <is>
          <t>InputLevel</t>
        </is>
      </c>
      <c r="E1576" s="5" t="inlineStr">
        <is>
          <t>Factor</t>
        </is>
      </c>
      <c r="F1576" s="5" t="inlineStr">
        <is>
          <t>CoefficientPercent</t>
        </is>
      </c>
      <c r="G1576" s="5" t="inlineStr">
        <is>
          <t>EffectiveHits</t>
        </is>
      </c>
      <c r="H1576" s="5" t="inlineStr">
        <is>
          <t>ProcProbability</t>
        </is>
      </c>
      <c r="I1576" s="5" t="inlineStr">
        <is>
          <t>MapleHeroMultiplier</t>
        </is>
      </c>
      <c r="J1576" s="5" t="inlineStr">
        <is>
          <t>BaseDamage</t>
        </is>
      </c>
      <c r="K1576" s="5" t="inlineStr">
        <is>
          <t>BaseHitDamage</t>
        </is>
      </c>
      <c r="L1576" s="5" t="inlineStr">
        <is>
          <t>NonCritAvg</t>
        </is>
      </c>
      <c r="M1576" s="5" t="inlineStr">
        <is>
          <t>CritAvg</t>
        </is>
      </c>
      <c r="N1576" s="5" t="inlineStr">
        <is>
          <t>ExpectedDamage(perHit)</t>
        </is>
      </c>
      <c r="O1576" s="5" t="inlineStr">
        <is>
          <t>DPS</t>
        </is>
      </c>
      <c r="P1576" s="5" t="inlineStr">
        <is>
          <t>% of Total</t>
        </is>
      </c>
      <c r="Q1576" s="5" t="inlineStr">
        <is>
          <t>InvCooldown</t>
        </is>
      </c>
      <c r="R1576" s="5" t="inlineStr">
        <is>
          <t>CastsInFight</t>
        </is>
      </c>
      <c r="S1576" s="5" t="inlineStr">
        <is>
          <t>HitRate(perSec)</t>
        </is>
      </c>
      <c r="U1576" t="inlineStr">
        <is>
          <t>helpers</t>
        </is>
      </c>
    </row>
    <row r="1577">
      <c r="A1577">
        <f>Skills!A2</f>
        <v/>
      </c>
      <c r="B1577">
        <f>Skills!B2</f>
        <v/>
      </c>
      <c r="C1577">
        <f>Inputs!$B$3&gt;=100</f>
        <v/>
      </c>
      <c r="D1577" t="inlineStr"/>
      <c r="E1577" t="inlineStr"/>
      <c r="F1577">
        <f>U1579+Skills!O2</f>
        <v/>
      </c>
      <c r="G1577">
        <f>Skills!G2*IF(Skills!H2&gt;0,Skills!I2/Skills!H2,1)</f>
        <v/>
      </c>
      <c r="H1577">
        <f>1-(1-Skills!J2/100)^Skills!K2</f>
        <v/>
      </c>
      <c r="I1577" t="inlineStr">
        <is>
          <t>1</t>
        </is>
      </c>
      <c r="J1577">
        <f>((Inputs!$B$6*(1+Inputs!$B$7/100))+(((Inputs!$B$12*(1+Inputs!$B$13/100))-(Inputs!$B$12*(1+Inputs!$B$13/100)))+0.25*(Inputs!$B$14-Inputs!$B$14))*(1+Inputs!$B$7/100))*(F1577/100)</f>
        <v/>
      </c>
      <c r="K1577">
        <f>J1577*(1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1577)</f>
        <v/>
      </c>
      <c r="L1577">
        <f>K1577*(MIN(Inputs!$B$22+((C1600=TRUE)*(F1600-Calc!F25)),(Inputs!$B$23+((C1605=TRUE)*(F1605-Calc!F30))+(IF(ArtifactsInput!$M$15,CHOOSE(ArtifactsInput!$N$15+1,25,30,35,40,45,50)/100*(Inputs!$B$11-Inputs!$B$11),0))))/100+(Inputs!$B$23+((C1605=TRUE)*(F1605-Calc!F30))+(IF(ArtifactsInput!$M$15,CHOOSE(ArtifactsInput!$N$15+1,25,30,35,40,45,50)/100*(Inputs!$B$11-Inputs!$B$11),0)))/100)/2</f>
        <v/>
      </c>
      <c r="M1577">
        <f>L1577*(1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7">
        <f>L1577*(1-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1577*(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7">
        <f>(1-Summary!$B$11)*T1577+Summary!$B$11*V1577</f>
        <v/>
      </c>
      <c r="P1577">
        <f>IF(B1619=0,0,O1577/B1619)</f>
        <v/>
      </c>
      <c r="Q1577" t="n">
        <v>0</v>
      </c>
      <c r="R1577" t="n">
        <v>0</v>
      </c>
      <c r="S1577">
        <f>IFERROR(O1577/N1577,0)</f>
        <v/>
      </c>
      <c r="T1577">
        <f>IF(C1577,(Skills!G2*N1577*B1613)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1577*(1-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1577*(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1577*(1-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1577*(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7">
        <f>MAX(0,(Inputs!$B$3-100)*3)+Inputs!$B$28+Inputs!$B$29</f>
        <v/>
      </c>
      <c r="V1577">
        <f>IF(C1577,(Skills!G2*N1577*B1613)*IF(Inputs!$B$38="pvp",1,(1+(Inputs!$B$21+Skills!Q2+(IF(ArtifactsInput!$M$33,CHOOSE(ArtifactsInput!$N$33+1,30,36,42,48,54,60),0))+(IF(AND(ArtifactsInput!$M$35,Inputs!$B$4&lt;&gt;"Chapter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8">
      <c r="A1578">
        <f>Skills!A3</f>
        <v/>
      </c>
      <c r="B1578">
        <f>Skills!B3</f>
        <v/>
      </c>
      <c r="C1578">
        <f>Inputs!$B$3&gt;=50</f>
        <v/>
      </c>
      <c r="D1578">
        <f>IF(Skills!C3=1,60+Inputs!$B$25+Inputs!$B$29,IF(Skills!C3=2,90+Inputs!$B$26+Inputs!$B$29,IF(Skills!C3=3,120+Inputs!$B$27+Inputs!$B$29,MAX(0,(Inputs!$B$3-100)*3)+Inputs!$B$28+Inputs!$B$29)))</f>
        <v/>
      </c>
      <c r="E1578">
        <f>INDEX(FactorTable!$B$2:$Y$301, MATCH(ROUND(MIN(300,MAX(1,D1578)),0), FactorTable!$A$2:$A$301,0), Skills!M3+1)</f>
        <v/>
      </c>
      <c r="F1578">
        <f>IF(Skills!N3=TRUE,(Skills!L3/10)*(E1578/1000),Skills!L3/10)+Skills!O3</f>
        <v/>
      </c>
      <c r="G1578">
        <f>Skills!G3*IF(Skills!H3&gt;0,Skills!I3/Skills!H3,1)</f>
        <v/>
      </c>
      <c r="H1578">
        <f>1-(1-Skills!J3/100)^Skills!K3</f>
        <v/>
      </c>
      <c r="I1578" t="inlineStr">
        <is>
          <t>1</t>
        </is>
      </c>
      <c r="J1578">
        <f>((Inputs!$B$6*(1+Inputs!$B$7/100))+(((Inputs!$B$12*(1+Inputs!$B$13/100))-(Inputs!$B$12*(1+Inputs!$B$13/100)))+0.25*(Inputs!$B$14-Inputs!$B$14))*(1+Inputs!$B$7/100))*(F1578/100)</f>
        <v/>
      </c>
      <c r="K1578">
        <f>J1578*(1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1579=TRUE,F1579,0)/100)*(1+(IF(Skills!A3="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1578)</f>
        <v/>
      </c>
      <c r="L1578">
        <f>K1578*(MIN(Inputs!$B$22+((C1600=TRUE)*(F1600-Calc!F25)),(Inputs!$B$23+((C1605=TRUE)*(F1605-Calc!F30))+(IF(ArtifactsInput!$M$15,CHOOSE(ArtifactsInput!$N$15+1,25,30,35,40,45,50)/100*(Inputs!$B$11-Inputs!$B$11),0))))/100+(Inputs!$B$23+((C1605=TRUE)*(F1605-Calc!F30))+(IF(ArtifactsInput!$M$15,CHOOSE(ArtifactsInput!$N$15+1,25,30,35,40,45,50)/100*(Inputs!$B$11-Inputs!$B$11),0)))/100)/2</f>
        <v/>
      </c>
      <c r="M1578">
        <f>L1578*(1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8">
        <f>L1578*(1-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1578*(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8">
        <f>(1-Summary!$B$11)*T1578+Summary!$B$11*V1578</f>
        <v/>
      </c>
      <c r="P1578">
        <f>IF(B1619=0,0,O1578/B1619)</f>
        <v/>
      </c>
      <c r="Q1578">
        <f>IFERROR(1/(IF(Inputs!$B$38="pvp",15,MAX(0.1,Skills!D3-IF(Skills!E3=TRUE,Inputs!$B$32,0)))*(1-IF(AND(ArtifactsInput!$M$27,Inputs!$B$4="Chapter Hunt"),CHOOSE(ArtifactsInput!$N$27+1,20,24,28,32,36,40),0)/100)),0)</f>
        <v/>
      </c>
      <c r="R1578">
        <f>IF(AND(Inputs!$B$38&lt;&gt;"pvp",Inputs!$B$43&gt;0),IF(MAX(0,Inputs!$B$43-B1616)&lt;=0,0,(INT(MAX(0,Inputs!$B$43-B1616)/(IF(Inputs!$B$38="pvp",15,MAX(0.1,Skills!D3-IF(Skills!E3=TRUE,Inputs!$B$32,0)))*(1-IF(AND(ArtifactsInput!$M$27,Inputs!$B$4="Chapter Hunt"),CHOOSE(ArtifactsInput!$N$27+1,20,24,28,32,36,40),0)/100)))+1)),0)</f>
        <v/>
      </c>
      <c r="S1578">
        <f>IFERROR(O1578/N1578,0)</f>
        <v/>
      </c>
      <c r="T1578">
        <f>IF(C1578,(H1578*N1578*IF(AND(Inputs!$B$38&lt;&gt;"pvp",Inputs!$B$43&gt;0),((Skills!G3*((R1578-1)*IF(Skills!H3&gt;0,Skills!I3/Skills!H3,1)+IF(Skills!H3&gt;0,MIN(Skills!I3,MAX(0,MAX(0,Inputs!$B$43-B1616)-((R1578-1)*(IF(Inputs!$B$38="pvp",15,MAX(0.1,Skills!D3-IF(Skills!E3=TRUE,Inputs!$B$32,0)))*(1-IF(AND(ArtifactsInput!$M$27,Inputs!$B$4="Chapter Hunt"),CHOOSE(ArtifactsInput!$N$27+1,20,24,28,32,36,40),0)/100)))))/Skills!H3,1)))/Inputs!$B$43),G1578*Q1578)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1578*(1-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1578*(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1578*(1-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1578*(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8">
        <f>INDEX(FactorTable!$B$2:$Y$301, MATCH(ROUND(MIN(300,MAX(1,U1577)),0), FactorTable!$A$2:$A$301,0), 22)</f>
        <v/>
      </c>
      <c r="V1578">
        <f>IF(C1578,(H1578*N1578*IF(AND(Inputs!$B$38&lt;&gt;"pvp",Inputs!$B$43&gt;0),((Skills!G3*((R1578-1)*IF(Skills!H3&gt;0,Skills!I3/Skills!H3,1)+IF(Skills!H3&gt;0,MIN(Skills!I3,MAX(0,MAX(0,Inputs!$B$43-B1616)-((R1578-1)*(IF(Inputs!$B$38="pvp",15,MAX(0.1,Skills!D3-IF(Skills!E3=TRUE,Inputs!$B$32,0)))*(1-IF(AND(ArtifactsInput!$M$27,Inputs!$B$4="Chapter Hunt"),CHOOSE(ArtifactsInput!$N$27+1,20,24,28,32,36,40),0)/100)))))/Skills!H3,1)))/Inputs!$B$43),G1578*Q1578))*IF(Inputs!$B$38="pvp",1,(1+(Inputs!$B$21+Skills!Q3+(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9">
      <c r="A1579">
        <f>Skills!A4</f>
        <v/>
      </c>
      <c r="B1579">
        <f>Skills!B4</f>
        <v/>
      </c>
      <c r="C1579">
        <f>Inputs!$B$3&gt;=105</f>
        <v/>
      </c>
      <c r="D1579">
        <f>IF(Skills!C4=1,60+Inputs!$B$25+Inputs!$B$29,IF(Skills!C4=2,90+Inputs!$B$26+Inputs!$B$29,IF(Skills!C4=3,120+Inputs!$B$27+Inputs!$B$29,MAX(0,(Inputs!$B$3-100)*3)+Inputs!$B$28+Inputs!$B$29)))</f>
        <v/>
      </c>
      <c r="E1579">
        <f>INDEX(FactorTable!$B$2:$Y$301, MATCH(ROUND(MIN(300,MAX(1,D1579)),0), FactorTable!$A$2:$A$301,0), Skills!M4+1)</f>
        <v/>
      </c>
      <c r="F1579">
        <f>IF(Skills!N4=TRUE,(Skills!L4/10)*(E1579/1000),Skills!L4/10)+Skills!O4</f>
        <v/>
      </c>
      <c r="G1579" t="inlineStr"/>
      <c r="H1579" t="inlineStr"/>
      <c r="I1579" t="inlineStr">
        <is>
          <t>1</t>
        </is>
      </c>
      <c r="J1579" t="inlineStr"/>
      <c r="K1579" t="inlineStr"/>
      <c r="L1579" t="inlineStr"/>
      <c r="M1579" t="inlineStr"/>
      <c r="N1579" t="inlineStr"/>
      <c r="O1579" t="inlineStr"/>
      <c r="P1579" t="inlineStr"/>
      <c r="Q1579" t="inlineStr"/>
      <c r="R1579" t="inlineStr"/>
      <c r="S1579" t="inlineStr"/>
      <c r="T1579" t="inlineStr"/>
      <c r="U1579">
        <f>290*U1578/1000</f>
        <v/>
      </c>
      <c r="V1579" t="inlineStr"/>
    </row>
    <row r="1580">
      <c r="A1580">
        <f>Skills!A5</f>
        <v/>
      </c>
      <c r="B1580">
        <f>Skills!B5</f>
        <v/>
      </c>
      <c r="C1580">
        <f>Inputs!$B$3&gt;=35</f>
        <v/>
      </c>
      <c r="D1580">
        <f>IF(Skills!C5=1,60+Inputs!$B$25+Inputs!$B$29,IF(Skills!C5=2,90+Inputs!$B$26+Inputs!$B$29,IF(Skills!C5=3,120+Inputs!$B$27+Inputs!$B$29,MAX(0,(Inputs!$B$3-100)*3)+Inputs!$B$28+Inputs!$B$29)))</f>
        <v/>
      </c>
      <c r="E1580">
        <f>INDEX(FactorTable!$B$2:$Y$301, MATCH(ROUND(MIN(300,MAX(1,D1580)),0), FactorTable!$A$2:$A$301,0), Skills!M5+1)</f>
        <v/>
      </c>
      <c r="F1580">
        <f>IF(Skills!N5=TRUE,(Skills!L5/10)*(E1580/1000),Skills!L5/10)+Skills!O5</f>
        <v/>
      </c>
      <c r="G1580">
        <f>Skills!G5*IF(Skills!H5&gt;0,Skills!I5/Skills!H5,1)</f>
        <v/>
      </c>
      <c r="H1580">
        <f>1-(1-Skills!J5/100)^Skills!K5</f>
        <v/>
      </c>
      <c r="I1580" t="inlineStr">
        <is>
          <t>1</t>
        </is>
      </c>
      <c r="J1580">
        <f>((Inputs!$B$6*(1+Inputs!$B$7/100))+(((Inputs!$B$12*(1+Inputs!$B$13/100))-(Inputs!$B$12*(1+Inputs!$B$13/100)))+0.25*(Inputs!$B$14-Inputs!$B$14))*(1+Inputs!$B$7/100))*(F1580/100)</f>
        <v/>
      </c>
      <c r="K1580">
        <f>J1580*(1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1586=TRUE,F1586,0)/100)*(1+(IF(Skills!A5="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1580)</f>
        <v/>
      </c>
      <c r="L1580">
        <f>K1580*(MIN(Inputs!$B$22+((C1600=TRUE)*(F1600-Calc!F25)),(Inputs!$B$23+((C1605=TRUE)*(F1605-Calc!F30))+(IF(ArtifactsInput!$M$15,CHOOSE(ArtifactsInput!$N$15+1,25,30,35,40,45,50)/100*(Inputs!$B$11-Inputs!$B$11),0))))/100+(Inputs!$B$23+((C1605=TRUE)*(F1605-Calc!F30))+(IF(ArtifactsInput!$M$15,CHOOSE(ArtifactsInput!$N$15+1,25,30,35,40,45,50)/100*(Inputs!$B$11-Inputs!$B$11),0)))/100)/2</f>
        <v/>
      </c>
      <c r="M1580">
        <f>L1580*(1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0">
        <f>L1580*(1-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1580*(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0">
        <f>(1-Summary!$B$11)*T1580+Summary!$B$11*V1580</f>
        <v/>
      </c>
      <c r="P1580">
        <f>IF(B1619=0,0,O1580/B1619)</f>
        <v/>
      </c>
      <c r="Q1580">
        <f>IFERROR(1/(IF(Inputs!$B$38="pvp",15,MAX(0.1,Skills!D5-IF(Skills!E5=TRUE,Inputs!$B$32,0)))*(1-IF(AND(ArtifactsInput!$M$27,Inputs!$B$4="Chapter Hunt"),CHOOSE(ArtifactsInput!$N$27+1,20,24,28,32,36,40),0)/100)),0)</f>
        <v/>
      </c>
      <c r="R1580">
        <f>IF(AND(Inputs!$B$38&lt;&gt;"pvp",Inputs!$B$43&gt;0),IF(MAX(0,Inputs!$B$43-B1616)&lt;=0,0,(INT(MAX(0,Inputs!$B$43-B1616)/(IF(Inputs!$B$38="pvp",15,MAX(0.1,Skills!D5-IF(Skills!E5=TRUE,Inputs!$B$32,0)))*(1-IF(AND(ArtifactsInput!$M$27,Inputs!$B$4="Chapter Hunt"),CHOOSE(ArtifactsInput!$N$27+1,20,24,28,32,36,40),0)/100)))+1)),0)</f>
        <v/>
      </c>
      <c r="S1580">
        <f>IFERROR(O1580/N1580,0)</f>
        <v/>
      </c>
      <c r="T1580">
        <f>IF(C1580,(H1580*N1580*IF(AND(Inputs!$B$38&lt;&gt;"pvp",Inputs!$B$43&gt;0),((Skills!G5*((R1580-1)*IF(Skills!H5&gt;0,Skills!I5/Skills!H5,1)+IF(Skills!H5&gt;0,MIN(Skills!I5,MAX(0,MAX(0,Inputs!$B$43-B1616)-((R1580-1)*(IF(Inputs!$B$38="pvp",15,MAX(0.1,Skills!D5-IF(Skills!E5=TRUE,Inputs!$B$32,0)))*(1-IF(AND(ArtifactsInput!$M$27,Inputs!$B$4="Chapter Hunt"),CHOOSE(ArtifactsInput!$N$27+1,20,24,28,32,36,40),0)/100)))))/Skills!H5,1)))/Inputs!$B$43),G1580*Q1580)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1580*(1-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1580*(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1580*(1-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1580*(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0">
        <f>IF(C1580,(H1580*N1580*IF(AND(Inputs!$B$38&lt;&gt;"pvp",Inputs!$B$43&gt;0),((Skills!G5*((R1580-1)*IF(Skills!H5&gt;0,Skills!I5/Skills!H5,1)+IF(Skills!H5&gt;0,MIN(Skills!I5,MAX(0,MAX(0,Inputs!$B$43-B1616)-((R1580-1)*(IF(Inputs!$B$38="pvp",15,MAX(0.1,Skills!D5-IF(Skills!E5=TRUE,Inputs!$B$32,0)))*(1-IF(AND(ArtifactsInput!$M$27,Inputs!$B$4="Chapter Hunt"),CHOOSE(ArtifactsInput!$N$27+1,20,24,28,32,36,40),0)/100)))))/Skills!H5,1)))/Inputs!$B$43),G1580*Q1580))*IF(Inputs!$B$38="pvp",1,(1+(Inputs!$B$21+Skills!Q5+(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1">
      <c r="A1581">
        <f>Skills!A6</f>
        <v/>
      </c>
      <c r="B1581">
        <f>Skills!B6</f>
        <v/>
      </c>
      <c r="C1581">
        <f>Inputs!$B$3&gt;=40</f>
        <v/>
      </c>
      <c r="D1581">
        <f>IF(Skills!C6=1,60+Inputs!$B$25+Inputs!$B$29,IF(Skills!C6=2,90+Inputs!$B$26+Inputs!$B$29,IF(Skills!C6=3,120+Inputs!$B$27+Inputs!$B$29,MAX(0,(Inputs!$B$3-100)*3)+Inputs!$B$28+Inputs!$B$29)))</f>
        <v/>
      </c>
      <c r="E1581">
        <f>INDEX(FactorTable!$B$2:$Y$301, MATCH(ROUND(MIN(300,MAX(1,D1581)),0), FactorTable!$A$2:$A$301,0), Skills!M6+1)</f>
        <v/>
      </c>
      <c r="F1581">
        <f>IF(Skills!N6=TRUE,(Skills!L6/10)*(E1581/1000),Skills!L6/10)+Skills!O6</f>
        <v/>
      </c>
      <c r="G1581">
        <f>Skills!G6*IF(Skills!H6&gt;0,Skills!I6/Skills!H6,1)</f>
        <v/>
      </c>
      <c r="H1581">
        <f>1-(1-Skills!J6/100)^Skills!K6</f>
        <v/>
      </c>
      <c r="I1581" t="inlineStr">
        <is>
          <t>1</t>
        </is>
      </c>
      <c r="J1581">
        <f>((Inputs!$B$6*(1+Inputs!$B$7/100))+(((Inputs!$B$12*(1+Inputs!$B$13/100))-(Inputs!$B$12*(1+Inputs!$B$13/100)))+0.25*(Inputs!$B$14-Inputs!$B$14))*(1+Inputs!$B$7/100))*(F1581/100)</f>
        <v/>
      </c>
      <c r="K1581">
        <f>J1581*(1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1582=TRUE,F1582,0)/100)*(1+(IF(Skills!A6="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1581)</f>
        <v/>
      </c>
      <c r="L1581">
        <f>K1581*(MIN(Inputs!$B$22+((C1600=TRUE)*(F1600-Calc!F25)),(Inputs!$B$23+((C1605=TRUE)*(F1605-Calc!F30))+(IF(ArtifactsInput!$M$15,CHOOSE(ArtifactsInput!$N$15+1,25,30,35,40,45,50)/100*(Inputs!$B$11-Inputs!$B$11),0))))/100+(Inputs!$B$23+((C1605=TRUE)*(F1605-Calc!F30))+(IF(ArtifactsInput!$M$15,CHOOSE(ArtifactsInput!$N$15+1,25,30,35,40,45,50)/100*(Inputs!$B$11-Inputs!$B$11),0)))/100)/2</f>
        <v/>
      </c>
      <c r="M1581">
        <f>L1581*(1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1">
        <f>L1581*(1-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1">
        <f>(1-Summary!$B$11)*T1581+Summary!$B$11*V1581</f>
        <v/>
      </c>
      <c r="P1581">
        <f>IF(B1619=0,0,O1581/B1619)</f>
        <v/>
      </c>
      <c r="Q1581">
        <f>IFERROR(1/(IF(Inputs!$B$38="pvp",15,MAX(0.1,Skills!D6-IF(Skills!E6=TRUE,Inputs!$B$32,0)))*(1-IF(AND(ArtifactsInput!$M$27,Inputs!$B$4="Chapter Hunt"),CHOOSE(ArtifactsInput!$N$27+1,20,24,28,32,36,40),0)/100)),0)</f>
        <v/>
      </c>
      <c r="R1581">
        <f>IF(AND(Inputs!$B$38&lt;&gt;"pvp",Inputs!$B$43&gt;0),IF(MAX(0,Inputs!$B$43-B1616)&lt;=0,0,(INT(MAX(0,Inputs!$B$43-B1616)/(IF(Inputs!$B$38="pvp",15,MAX(0.1,Skills!D6-IF(Skills!E6=TRUE,Inputs!$B$32,0)))*(1-IF(AND(ArtifactsInput!$M$27,Inputs!$B$4="Chapter Hunt"),CHOOSE(ArtifactsInput!$N$27+1,20,24,28,32,36,40),0)/100)))+1)),0)</f>
        <v/>
      </c>
      <c r="S1581">
        <f>IFERROR(O1581/N1581,0)</f>
        <v/>
      </c>
      <c r="T1581">
        <f>IF(C1581,(H1581*N1581*IF(AND(Inputs!$B$38&lt;&gt;"pvp",Inputs!$B$43&gt;0),((Skills!G6*((R1581-1)*IF(Skills!H6&gt;0,Skills!I6/Skills!H6,1)+IF(Skills!H6&gt;0,MIN(Skills!I6,MAX(0,MAX(0,Inputs!$B$43-B1616)-((R1581-1)*(IF(Inputs!$B$38="pvp",15,MAX(0.1,Skills!D6-IF(Skills!E6=TRUE,Inputs!$B$32,0)))*(1-IF(AND(ArtifactsInput!$M$27,Inputs!$B$4="Chapter Hunt"),CHOOSE(ArtifactsInput!$N$27+1,20,24,28,32,36,40),0)/100)))))/Skills!H6,1)))/Inputs!$B$43),G1581*Q1581)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1581*(1-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1581*(1-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1">
        <f>IF(C1581,(H1581*N1581*IF(AND(Inputs!$B$38&lt;&gt;"pvp",Inputs!$B$43&gt;0),((Skills!G6*((R1581-1)*IF(Skills!H6&gt;0,Skills!I6/Skills!H6,1)+IF(Skills!H6&gt;0,MIN(Skills!I6,MAX(0,MAX(0,Inputs!$B$43-B1616)-((R1581-1)*(IF(Inputs!$B$38="pvp",15,MAX(0.1,Skills!D6-IF(Skills!E6=TRUE,Inputs!$B$32,0)))*(1-IF(AND(ArtifactsInput!$M$27,Inputs!$B$4="Chapter Hunt"),CHOOSE(ArtifactsInput!$N$27+1,20,24,28,32,36,40),0)/100)))))/Skills!H6,1)))/Inputs!$B$43),G1581*Q1581))*IF(Inputs!$B$38="pvp",1,(1+(Inputs!$B$21+Skills!Q6+(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2">
      <c r="A1582">
        <f>Skills!A7</f>
        <v/>
      </c>
      <c r="B1582">
        <f>Skills!B7</f>
        <v/>
      </c>
      <c r="C1582">
        <f>Inputs!$B$3&gt;=107</f>
        <v/>
      </c>
      <c r="D1582">
        <f>IF(Skills!C7=1,60+Inputs!$B$25+Inputs!$B$29,IF(Skills!C7=2,90+Inputs!$B$26+Inputs!$B$29,IF(Skills!C7=3,120+Inputs!$B$27+Inputs!$B$29,MAX(0,(Inputs!$B$3-100)*3)+Inputs!$B$28+Inputs!$B$29)))</f>
        <v/>
      </c>
      <c r="E1582">
        <f>INDEX(FactorTable!$B$2:$Y$301, MATCH(ROUND(MIN(300,MAX(1,D1582)),0), FactorTable!$A$2:$A$301,0), Skills!M7+1)</f>
        <v/>
      </c>
      <c r="F1582">
        <f>IF(Skills!N7=TRUE,(Skills!L7/10)*(E1582/1000),Skills!L7/10)+Skills!O7</f>
        <v/>
      </c>
      <c r="G1582" t="inlineStr"/>
      <c r="H1582" t="inlineStr"/>
      <c r="I1582" t="inlineStr">
        <is>
          <t>1</t>
        </is>
      </c>
      <c r="J1582" t="inlineStr"/>
      <c r="K1582" t="inlineStr"/>
      <c r="L1582" t="inlineStr"/>
      <c r="M1582" t="inlineStr"/>
      <c r="N1582" t="inlineStr"/>
      <c r="O1582" t="inlineStr"/>
      <c r="P1582" t="inlineStr"/>
      <c r="Q1582" t="inlineStr"/>
      <c r="R1582" t="inlineStr"/>
      <c r="S1582" t="inlineStr"/>
      <c r="T1582" t="inlineStr"/>
      <c r="V1582" t="inlineStr"/>
    </row>
    <row r="1583">
      <c r="A1583">
        <f>Skills!A8</f>
        <v/>
      </c>
      <c r="B1583">
        <f>Skills!B8</f>
        <v/>
      </c>
      <c r="C1583">
        <f>Inputs!$B$3&gt;=69</f>
        <v/>
      </c>
      <c r="D1583">
        <f>IF(Skills!C8=1,60+Inputs!$B$25+Inputs!$B$29,IF(Skills!C8=2,90+Inputs!$B$26+Inputs!$B$29,IF(Skills!C8=3,120+Inputs!$B$27+Inputs!$B$29,MAX(0,(Inputs!$B$3-100)*3)+Inputs!$B$28+Inputs!$B$29)))</f>
        <v/>
      </c>
      <c r="E1583">
        <f>INDEX(FactorTable!$B$2:$Y$301, MATCH(ROUND(MIN(300,MAX(1,D1583)),0), FactorTable!$A$2:$A$301,0), Skills!M8+1)</f>
        <v/>
      </c>
      <c r="F1583">
        <f>IF(Skills!N8=TRUE,(Skills!L8/10)*(E1583/1000),Skills!L8/10)+Skills!O8</f>
        <v/>
      </c>
      <c r="G1583">
        <f>Skills!G8*IF(Skills!H8&gt;0,Skills!I8/Skills!H8,1)</f>
        <v/>
      </c>
      <c r="H1583">
        <f>1-(1-Skills!J8/100)^Skills!K8</f>
        <v/>
      </c>
      <c r="I1583" t="inlineStr">
        <is>
          <t>1</t>
        </is>
      </c>
      <c r="J1583">
        <f>((Inputs!$B$6*(1+Inputs!$B$7/100))+(((Inputs!$B$12*(1+Inputs!$B$13/100))-(Inputs!$B$12*(1+Inputs!$B$13/100)))+0.25*(Inputs!$B$14-Inputs!$B$14))*(1+Inputs!$B$7/100))*(F1583/100)</f>
        <v/>
      </c>
      <c r="K1583">
        <f>J1583*(1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1586=TRUE,F1586,0)/100)*(1+(IF(Skills!A8="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1583)</f>
        <v/>
      </c>
      <c r="L1583">
        <f>K1583*(MIN(Inputs!$B$22+((C1600=TRUE)*(F1600-Calc!F25)),(Inputs!$B$23+((C1605=TRUE)*(F1605-Calc!F30))+(IF(ArtifactsInput!$M$15,CHOOSE(ArtifactsInput!$N$15+1,25,30,35,40,45,50)/100*(Inputs!$B$11-Inputs!$B$11),0))))/100+(Inputs!$B$23+((C1605=TRUE)*(F1605-Calc!F30))+(IF(ArtifactsInput!$M$15,CHOOSE(ArtifactsInput!$N$15+1,25,30,35,40,45,50)/100*(Inputs!$B$11-Inputs!$B$11),0)))/100)/2</f>
        <v/>
      </c>
      <c r="M1583">
        <f>L1583*(1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3">
        <f>L1583*(1-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1583*(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3">
        <f>(1-Summary!$B$11)*T1583+Summary!$B$11*V1583</f>
        <v/>
      </c>
      <c r="P1583">
        <f>IF(B1619=0,0,O1583/B1619)</f>
        <v/>
      </c>
      <c r="Q1583">
        <f>IFERROR(1/(IF(Inputs!$B$38="pvp",15,MAX(0.1,Skills!D8-IF(Skills!E8=TRUE,Inputs!$B$32,0)))*(1-IF(AND(ArtifactsInput!$M$27,Inputs!$B$4="Chapter Hunt"),CHOOSE(ArtifactsInput!$N$27+1,20,24,28,32,36,40),0)/100)),0)</f>
        <v/>
      </c>
      <c r="R1583">
        <f>IF(AND(Inputs!$B$38&lt;&gt;"pvp",Inputs!$B$43&gt;0),IF(MAX(0,Inputs!$B$43-B1616)&lt;=0,0,(INT(MAX(0,Inputs!$B$43-B1616)/(IF(Inputs!$B$38="pvp",15,MAX(0.1,Skills!D8-IF(Skills!E8=TRUE,Inputs!$B$32,0)))*(1-IF(AND(ArtifactsInput!$M$27,Inputs!$B$4="Chapter Hunt"),CHOOSE(ArtifactsInput!$N$27+1,20,24,28,32,36,40),0)/100)))+1)),0)</f>
        <v/>
      </c>
      <c r="S1583">
        <f>IFERROR(O1583/N1583,0)</f>
        <v/>
      </c>
      <c r="T1583">
        <f>IF(C1583,(H1583*N1583*IF(AND(Inputs!$B$38&lt;&gt;"pvp",Inputs!$B$43&gt;0),((Skills!G8*((R1583-1)*IF(Skills!H8&gt;0,Skills!I8/Skills!H8,1)+IF(Skills!H8&gt;0,MIN(Skills!I8,MAX(0,MAX(0,Inputs!$B$43-B1616)-((R1583-1)*(IF(Inputs!$B$38="pvp",15,MAX(0.1,Skills!D8-IF(Skills!E8=TRUE,Inputs!$B$32,0)))*(1-IF(AND(ArtifactsInput!$M$27,Inputs!$B$4="Chapter Hunt"),CHOOSE(ArtifactsInput!$N$27+1,20,24,28,32,36,40),0)/100)))))/Skills!H8,1)))/Inputs!$B$43),G1583*Q1583)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1583*(1-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1583*(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1583*(1-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1583*(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3">
        <f>IF(C1583,(H1583*N1583*IF(AND(Inputs!$B$38&lt;&gt;"pvp",Inputs!$B$43&gt;0),((Skills!G8*((R1583-1)*IF(Skills!H8&gt;0,Skills!I8/Skills!H8,1)+IF(Skills!H8&gt;0,MIN(Skills!I8,MAX(0,MAX(0,Inputs!$B$43-B1616)-((R1583-1)*(IF(Inputs!$B$38="pvp",15,MAX(0.1,Skills!D8-IF(Skills!E8=TRUE,Inputs!$B$32,0)))*(1-IF(AND(ArtifactsInput!$M$27,Inputs!$B$4="Chapter Hunt"),CHOOSE(ArtifactsInput!$N$27+1,20,24,28,32,36,40),0)/100)))))/Skills!H8,1)))/Inputs!$B$43),G1583*Q1583))*IF(Inputs!$B$38="pvp",1,(1+(Inputs!$B$21+Skills!Q8+(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4">
      <c r="A1584">
        <f>Skills!A9</f>
        <v/>
      </c>
      <c r="B1584">
        <f>Skills!B9</f>
        <v/>
      </c>
      <c r="C1584">
        <f>Inputs!$B$3&gt;=63</f>
        <v/>
      </c>
      <c r="D1584">
        <f>IF(Skills!C9=1,60+Inputs!$B$25+Inputs!$B$29,IF(Skills!C9=2,90+Inputs!$B$26+Inputs!$B$29,IF(Skills!C9=3,120+Inputs!$B$27+Inputs!$B$29,MAX(0,(Inputs!$B$3-100)*3)+Inputs!$B$28+Inputs!$B$29)))</f>
        <v/>
      </c>
      <c r="E1584">
        <f>INDEX(FactorTable!$B$2:$Y$301, MATCH(ROUND(MIN(300,MAX(1,D1584)),0), FactorTable!$A$2:$A$301,0), Skills!M9+1)</f>
        <v/>
      </c>
      <c r="F1584">
        <f>IF(Skills!N9=TRUE,(Skills!L9/10)*(E1584/1000),Skills!L9/10)+Skills!O9</f>
        <v/>
      </c>
      <c r="G1584">
        <f>Skills!G9*IF(Skills!H9&gt;0,Skills!I9/Skills!H9,1)</f>
        <v/>
      </c>
      <c r="H1584">
        <f>1-(1-Skills!J9/100)^Skills!K9</f>
        <v/>
      </c>
      <c r="I1584" t="inlineStr">
        <is>
          <t>1</t>
        </is>
      </c>
      <c r="J1584">
        <f>((Inputs!$B$6*(1+Inputs!$B$7/100))+(((Inputs!$B$12*(1+Inputs!$B$13/100))-(Inputs!$B$12*(1+Inputs!$B$13/100)))+0.25*(Inputs!$B$14-Inputs!$B$14))*(1+Inputs!$B$7/100))*(F1584/100)</f>
        <v/>
      </c>
      <c r="K1584">
        <f>J1584*(1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1586=TRUE,F1586,0)/100)*(1+(IF(Skills!A9="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1584)</f>
        <v/>
      </c>
      <c r="L1584">
        <f>K1584*(MIN(Inputs!$B$22+((C1600=TRUE)*(F1600-Calc!F25)),(Inputs!$B$23+((C1605=TRUE)*(F1605-Calc!F30))+(IF(ArtifactsInput!$M$15,CHOOSE(ArtifactsInput!$N$15+1,25,30,35,40,45,50)/100*(Inputs!$B$11-Inputs!$B$11),0))))/100+(Inputs!$B$23+((C1605=TRUE)*(F1605-Calc!F30))+(IF(ArtifactsInput!$M$15,CHOOSE(ArtifactsInput!$N$15+1,25,30,35,40,45,50)/100*(Inputs!$B$11-Inputs!$B$11),0)))/100)/2</f>
        <v/>
      </c>
      <c r="M1584">
        <f>L1584*(1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4">
        <f>L1584*(1-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1584*(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4">
        <f>(1-Summary!$B$11)*T1584+Summary!$B$11*V1584</f>
        <v/>
      </c>
      <c r="P1584">
        <f>IF(B1619=0,0,O1584/B1619)</f>
        <v/>
      </c>
      <c r="Q1584">
        <f>IFERROR(1/(IF(Inputs!$B$38="pvp",15,MAX(0.1,Skills!D9-IF(Skills!E9=TRUE,Inputs!$B$32,0)))*(1-IF(AND(ArtifactsInput!$M$27,Inputs!$B$4="Chapter Hunt"),CHOOSE(ArtifactsInput!$N$27+1,20,24,28,32,36,40),0)/100)),0)</f>
        <v/>
      </c>
      <c r="R1584">
        <f>IF(AND(Inputs!$B$38&lt;&gt;"pvp",Inputs!$B$43&gt;0),IF(MAX(0,Inputs!$B$43-B1616)&lt;=0,0,(INT(MAX(0,Inputs!$B$43-B1616)/(IF(Inputs!$B$38="pvp",15,MAX(0.1,Skills!D9-IF(Skills!E9=TRUE,Inputs!$B$32,0)))*(1-IF(AND(ArtifactsInput!$M$27,Inputs!$B$4="Chapter Hunt"),CHOOSE(ArtifactsInput!$N$27+1,20,24,28,32,36,40),0)/100)))+1)),0)</f>
        <v/>
      </c>
      <c r="S1584">
        <f>IFERROR(O1584/N1584,0)</f>
        <v/>
      </c>
      <c r="T1584">
        <f>IF(C1584,(H1584*N1584*IF(AND(Inputs!$B$38&lt;&gt;"pvp",Inputs!$B$43&gt;0),((Skills!G9*((R1584-1)*IF(Skills!H9&gt;0,Skills!I9/Skills!H9,1)+IF(Skills!H9&gt;0,MIN(Skills!I9,MAX(0,MAX(0,Inputs!$B$43-B1616)-((R1584-1)*(IF(Inputs!$B$38="pvp",15,MAX(0.1,Skills!D9-IF(Skills!E9=TRUE,Inputs!$B$32,0)))*(1-IF(AND(ArtifactsInput!$M$27,Inputs!$B$4="Chapter Hunt"),CHOOSE(ArtifactsInput!$N$27+1,20,24,28,32,36,40),0)/100)))))/Skills!H9,1)))/Inputs!$B$43),G1584*Q1584)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1584*(1-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1584*(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1584*(1-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1584*(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4">
        <f>IF(C1584,(H1584*N1584*IF(AND(Inputs!$B$38&lt;&gt;"pvp",Inputs!$B$43&gt;0),((Skills!G9*((R1584-1)*IF(Skills!H9&gt;0,Skills!I9/Skills!H9,1)+IF(Skills!H9&gt;0,MIN(Skills!I9,MAX(0,MAX(0,Inputs!$B$43-B1616)-((R1584-1)*(IF(Inputs!$B$38="pvp",15,MAX(0.1,Skills!D9-IF(Skills!E9=TRUE,Inputs!$B$32,0)))*(1-IF(AND(ArtifactsInput!$M$27,Inputs!$B$4="Chapter Hunt"),CHOOSE(ArtifactsInput!$N$27+1,20,24,28,32,36,40),0)/100)))))/Skills!H9,1)))/Inputs!$B$43),G1584*Q1584))*IF(Inputs!$B$38="pvp",1,(1+(Inputs!$B$21+Skills!Q9+(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5">
      <c r="A1585">
        <f>Skills!A10</f>
        <v/>
      </c>
      <c r="B1585">
        <f>Skills!B10</f>
        <v/>
      </c>
      <c r="C1585">
        <f>Inputs!$B$3&gt;=103</f>
        <v/>
      </c>
      <c r="D1585">
        <f>IF(Skills!C10=1,60+Inputs!$B$25+Inputs!$B$29,IF(Skills!C10=2,90+Inputs!$B$26+Inputs!$B$29,IF(Skills!C10=3,120+Inputs!$B$27+Inputs!$B$29,MAX(0,(Inputs!$B$3-100)*3)+Inputs!$B$28+Inputs!$B$29)))</f>
        <v/>
      </c>
      <c r="E1585">
        <f>INDEX(FactorTable!$B$2:$Y$301, MATCH(ROUND(MIN(300,MAX(1,D1585)),0), FactorTable!$A$2:$A$301,0), Skills!M10+1)</f>
        <v/>
      </c>
      <c r="F1585">
        <f>IF(Skills!N10=TRUE,(Skills!L10/10)*(E1585/1000),Skills!L10/10)+Skills!O10</f>
        <v/>
      </c>
      <c r="G1585">
        <f>Skills!G10*IF(Skills!H10&gt;0,Skills!I10/Skills!H10,1)</f>
        <v/>
      </c>
      <c r="H1585">
        <f>1-(1-Skills!J10/100)^Skills!K10</f>
        <v/>
      </c>
      <c r="I1585" t="inlineStr">
        <is>
          <t>1</t>
        </is>
      </c>
      <c r="J1585">
        <f>((Inputs!$B$6*(1+Inputs!$B$7/100))+(((Inputs!$B$12*(1+Inputs!$B$13/100))-(Inputs!$B$12*(1+Inputs!$B$13/100)))+0.25*(Inputs!$B$14-Inputs!$B$14))*(1+Inputs!$B$7/100))*(F1585/100)</f>
        <v/>
      </c>
      <c r="K1585">
        <f>J1585*(1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1585)</f>
        <v/>
      </c>
      <c r="L1585">
        <f>K1585*(MIN(Inputs!$B$22+((C1600=TRUE)*(F1600-Calc!F25)),(Inputs!$B$23+((C1605=TRUE)*(F1605-Calc!F30))+(IF(ArtifactsInput!$M$15,CHOOSE(ArtifactsInput!$N$15+1,25,30,35,40,45,50)/100*(Inputs!$B$11-Inputs!$B$11),0))))/100+(Inputs!$B$23+((C1605=TRUE)*(F1605-Calc!F30))+(IF(ArtifactsInput!$M$15,CHOOSE(ArtifactsInput!$N$15+1,25,30,35,40,45,50)/100*(Inputs!$B$11-Inputs!$B$11),0)))/100)/2</f>
        <v/>
      </c>
      <c r="M1585">
        <f>L1585*(1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5">
        <f>L1585*(1-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1585*(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5">
        <f>(1-Summary!$B$11)*T1585+Summary!$B$11*V1585</f>
        <v/>
      </c>
      <c r="P1585">
        <f>IF(B1619=0,0,O1585/B1619)</f>
        <v/>
      </c>
      <c r="Q1585">
        <f>IFERROR(1/(IF(Inputs!$B$38="pvp",15,MAX(0.1,Skills!D10-IF(Skills!E10=TRUE,Inputs!$B$32,0)))*(1-IF(AND(ArtifactsInput!$M$27,Inputs!$B$4="Chapter Hunt"),CHOOSE(ArtifactsInput!$N$27+1,20,24,28,32,36,40),0)/100)),0)</f>
        <v/>
      </c>
      <c r="R1585">
        <f>IF(AND(Inputs!$B$38&lt;&gt;"pvp",Inputs!$B$43&gt;0),IF(MAX(0,Inputs!$B$43-B1616)&lt;=0,0,(INT(MAX(0,Inputs!$B$43-B1616)/(IF(Inputs!$B$38="pvp",15,MAX(0.1,Skills!D10-IF(Skills!E10=TRUE,Inputs!$B$32,0)))*(1-IF(AND(ArtifactsInput!$M$27,Inputs!$B$4="Chapter Hunt"),CHOOSE(ArtifactsInput!$N$27+1,20,24,28,32,36,40),0)/100)))+1)),0)</f>
        <v/>
      </c>
      <c r="S1585">
        <f>IFERROR(O1585/N1585,0)</f>
        <v/>
      </c>
      <c r="T1585">
        <f>IF(C1585,(H1585*N1585*IF(AND(Inputs!$B$38&lt;&gt;"pvp",Inputs!$B$43&gt;0),((Skills!G10*((R1585-1)*IF(Skills!H10&gt;0,Skills!I10/Skills!H10,1)+IF(Skills!H10&gt;0,MIN(Skills!I10,MAX(0,MAX(0,Inputs!$B$43-B1616)-((R1585-1)*(IF(Inputs!$B$38="pvp",15,MAX(0.1,Skills!D10-IF(Skills!E10=TRUE,Inputs!$B$32,0)))*(1-IF(AND(ArtifactsInput!$M$27,Inputs!$B$4="Chapter Hunt"),CHOOSE(ArtifactsInput!$N$27+1,20,24,28,32,36,40),0)/100)))))/Skills!H10,1)))/Inputs!$B$43),G1585*Q1585)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1585*(1-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1585*(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1585*(1-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1585*(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5">
        <f>IF(C1585,(H1585*N1585*IF(AND(Inputs!$B$38&lt;&gt;"pvp",Inputs!$B$43&gt;0),((Skills!G10*((R1585-1)*IF(Skills!H10&gt;0,Skills!I10/Skills!H10,1)+IF(Skills!H10&gt;0,MIN(Skills!I10,MAX(0,MAX(0,Inputs!$B$43-B1616)-((R1585-1)*(IF(Inputs!$B$38="pvp",15,MAX(0.1,Skills!D10-IF(Skills!E10=TRUE,Inputs!$B$32,0)))*(1-IF(AND(ArtifactsInput!$M$27,Inputs!$B$4="Chapter Hunt"),CHOOSE(ArtifactsInput!$N$27+1,20,24,28,32,36,40),0)/100)))))/Skills!H10,1)))/Inputs!$B$43),G1585*Q1585))*IF(Inputs!$B$38="pvp",1,(1+(Inputs!$B$21+Skills!Q10+(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6">
      <c r="A1586">
        <f>Skills!A11</f>
        <v/>
      </c>
      <c r="B1586">
        <f>Skills!B11</f>
        <v/>
      </c>
      <c r="C1586">
        <f>Inputs!$B$3&gt;=100</f>
        <v/>
      </c>
      <c r="D1586">
        <f>IF(Skills!C11=1,60+Inputs!$B$25+Inputs!$B$29,IF(Skills!C11=2,90+Inputs!$B$26+Inputs!$B$29,IF(Skills!C11=3,120+Inputs!$B$27+Inputs!$B$29,MAX(0,(Inputs!$B$3-100)*3)+Inputs!$B$28+Inputs!$B$29)))</f>
        <v/>
      </c>
      <c r="E1586">
        <f>INDEX(FactorTable!$B$2:$Y$301, MATCH(ROUND(MIN(300,MAX(1,D1586)),0), FactorTable!$A$2:$A$301,0), Skills!M11+1)</f>
        <v/>
      </c>
      <c r="F1586">
        <f>IF(Skills!N11=TRUE,(Skills!L11/10)*(E1586/1000),Skills!L11/10)+Skills!O11</f>
        <v/>
      </c>
      <c r="G1586" t="inlineStr"/>
      <c r="H1586" t="inlineStr"/>
      <c r="I1586" t="inlineStr">
        <is>
          <t>1</t>
        </is>
      </c>
      <c r="J1586" t="inlineStr"/>
      <c r="K1586" t="inlineStr"/>
      <c r="L1586" t="inlineStr"/>
      <c r="M1586" t="inlineStr"/>
      <c r="N1586" t="inlineStr"/>
      <c r="O1586" t="inlineStr"/>
      <c r="P1586" t="inlineStr"/>
      <c r="Q1586" t="inlineStr"/>
      <c r="R1586" t="inlineStr"/>
      <c r="S1586" t="inlineStr"/>
      <c r="T1586" t="inlineStr"/>
      <c r="V1586" t="inlineStr"/>
    </row>
    <row r="1587">
      <c r="A1587">
        <f>Skills!A12</f>
        <v/>
      </c>
      <c r="B1587">
        <f>Skills!B12</f>
        <v/>
      </c>
      <c r="C1587">
        <f>Inputs!$B$3&gt;=60</f>
        <v/>
      </c>
      <c r="D1587">
        <f>IF(Skills!C12=1,60+Inputs!$B$25+Inputs!$B$29,IF(Skills!C12=2,90+Inputs!$B$26+Inputs!$B$29,IF(Skills!C12=3,120+Inputs!$B$27+Inputs!$B$29,MAX(0,(Inputs!$B$3-100)*3)+Inputs!$B$28+Inputs!$B$29)))</f>
        <v/>
      </c>
      <c r="E1587">
        <f>INDEX(FactorTable!$B$2:$Y$301, MATCH(ROUND(MIN(300,MAX(1,D1587)),0), FactorTable!$A$2:$A$301,0), Skills!M12+1)</f>
        <v/>
      </c>
      <c r="F1587">
        <f>IF(Skills!N12=TRUE,(Skills!L12/10)*(E1587/1000),Skills!L12/10)+Skills!O12</f>
        <v/>
      </c>
      <c r="G1587">
        <f>Skills!G12*IF(Skills!H12&gt;0,Skills!I12/Skills!H12,1)</f>
        <v/>
      </c>
      <c r="H1587">
        <f>1-(1-Skills!J12/100)^Skills!K12</f>
        <v/>
      </c>
      <c r="I1587" t="inlineStr">
        <is>
          <t>1</t>
        </is>
      </c>
      <c r="J1587">
        <f>((Inputs!$B$6*(1+Inputs!$B$7/100))+(((Inputs!$B$12*(1+Inputs!$B$13/100))-(Inputs!$B$12*(1+Inputs!$B$13/100)))+0.25*(Inputs!$B$14-Inputs!$B$14))*(1+Inputs!$B$7/100))*(F1587/100)</f>
        <v/>
      </c>
      <c r="K1587">
        <f>J1587*(1+((Inputs!$B$12*(1+Inputs!$B$13/100))*0.01+Inputs!$B$14*0.0025)/100)*(1+Inputs!$B$15/100)*(1+Inputs!$B$16/100)*(5000/(6000+Inputs!$B$42*(1-(100*(1-(1-(Inputs!$B$19+((C1603=TRUE)*(F1603-Calc!F28)))/100)*(1-CHOOSE(ArtifactsInput!$N$40+1,5,6,7,8,9,10)/100)^(ArtifactsInput!$M$40-ArtifactsInput!$M$40)))/100)))*(1+(Inputs!$B$24+((C1601=TRUE)*(F1601-Calc!F26))+((C1602=TRUE)*(F1602-Calc!F27))+B1615)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1588=TRUE,F1588,0)/100)*(1+(IF(Skills!A12="ARROW_STREAM",Inputs!$B$17+((C1599=TRUE)*(F1599-Calc!F24))+(((IF(AND(ArtifactsInput!$M$42,((Inputs!$B$9+((C1596=TRUE)*(F1596-Calc!F21))+B1609+(ArtifactsInput!$M$24-ArtifactsInput!$M$24)*CHOOSE(ArtifactsInput!$N$24+1,10,12,14,16,18,20)+IF(ArtifactsInput!$M$10,CHOOSE(ArtifactsInput!$N$10+1,15,18,21,24,27,30)*(IF(Inputs!$B$38="pvp",MIN(15,15)/15,IF(AND(Inputs!$B$38&lt;&gt;"pvp",Inputs!$B$43&gt;0),MIN(15,Inputs!$B$43)/(Inputs!$B$43),0))),0)))&gt;=100),MIN(100,((Inputs!$B$9+((C1596=TRUE)*(F1596-Calc!F21))+B1609+(ArtifactsInput!$M$24-ArtifactsInput!$M$24)*CHOOSE(ArtifactsInput!$N$24+1,10,12,14,16,18,20)+IF(ArtifactsInput!$M$10,CHOOSE(ArtifactsInput!$N$10+1,15,18,21,24,27,30)*(IF(Inputs!$B$38="pvp",MIN(15,15)/15,IF(AND(Inputs!$B$38&lt;&gt;"pvp",Inputs!$B$43&gt;0),MIN(15,Inputs!$B$43)/(Inputs!$B$43),0))),0)))-100),0))*CHOOSE(ArtifactsInput!$N$42+1,0.6,0.72,0.84,0.96,1.08,1.2))),Inputs!$B$18+((C1604=TRUE)*(F1604-Calc!F29))+(IF(AND(ArtifactsInput!$M$42,((Inputs!$B$9+((C1596=TRUE)*(F1596-Calc!F21))+B1609+(ArtifactsInput!$M$24-ArtifactsInput!$M$24)*CHOOSE(ArtifactsInput!$N$24+1,10,12,14,16,18,20)+IF(ArtifactsInput!$M$10,CHOOSE(ArtifactsInput!$N$10+1,15,18,21,24,27,30)*(IF(Inputs!$B$38="pvp",MIN(15,15)/15,IF(AND(Inputs!$B$38&lt;&gt;"pvp",Inputs!$B$43&gt;0),MIN(15,Inputs!$B$43)/(Inputs!$B$43),0))),0)))&gt;=100),CHOOSE(ArtifactsInput!$N$42+1,40,48,56,64,72,80),0))))/100)*((1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1587)</f>
        <v/>
      </c>
      <c r="L1587">
        <f>K1587*(MIN(Inputs!$B$22+((C1600=TRUE)*(F1600-Calc!F25)),(Inputs!$B$23+((C1605=TRUE)*(F1605-Calc!F30))+(IF(ArtifactsInput!$M$15,CHOOSE(ArtifactsInput!$N$15+1,25,30,35,40,45,50)/100*(Inputs!$B$11-Inputs!$B$11),0))))/100+(Inputs!$B$23+((C1605=TRUE)*(F1605-Calc!F30))+(IF(ArtifactsInput!$M$15,CHOOSE(ArtifactsInput!$N$15+1,25,30,35,40,45,50)/100*(Inputs!$B$11-Inputs!$B$11),0)))/100)/2</f>
        <v/>
      </c>
      <c r="M1587">
        <f>L1587*(1+(Inputs!$B$10+0+B1614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7">
        <f>L1587*(1-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1587*(MIN((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7">
        <f>(1-Summary!$B$11)*T1587+Summary!$B$11*V1587</f>
        <v/>
      </c>
      <c r="P1587">
        <f>IF(B1619=0,0,O1587/B1619)</f>
        <v/>
      </c>
      <c r="Q1587">
        <f>IFERROR(1/(IF(Inputs!$B$38="pvp",15,MAX(0.1,Skills!D12-IF(Skills!E12=TRUE,Inputs!$B$32,0)))*(1-IF(AND(ArtifactsInput!$M$27,Inputs!$B$4="Chapter Hunt"),CHOOSE(ArtifactsInput!$N$27+1,20,24,28,32,36,40),0)/100)),0)</f>
        <v/>
      </c>
      <c r="R1587">
        <f>IF(AND(Inputs!$B$38&lt;&gt;"pvp",Inputs!$B$43&gt;0),IF(MAX(0,Inputs!$B$43-B1616)&lt;=0,0,(INT(MAX(0,Inputs!$B$43-B1616)/(IF(Inputs!$B$38="pvp",15,MAX(0.1,Skills!D12-IF(Skills!E12=TRUE,Inputs!$B$32,0)))*(1-IF(AND(ArtifactsInput!$M$27,Inputs!$B$4="Chapter Hunt"),CHOOSE(ArtifactsInput!$N$27+1,20,24,28,32,36,40),0)/100)))+1)),0)</f>
        <v/>
      </c>
      <c r="S1587">
        <f>IFERROR(O1587/N1587,0)</f>
        <v/>
      </c>
      <c r="T1587">
        <f>IF(C1587,(H1587*N1587*IF(AND(Inputs!$B$38&lt;&gt;"pvp",Inputs!$B$43&gt;0),((Skills!G12*((R1587-1)*IF(Skills!H12&gt;0,Skills!I12/Skills!H12,1)+IF(Skills!H12&gt;0,MIN(Skills!I12,MAX(0,MAX(0,Inputs!$B$43-B1616)-((R1587-1)*(IF(Inputs!$B$38="pvp",15,MAX(0.1,Skills!D12-IF(Skills!E12=TRUE,Inputs!$B$32,0)))*(1-IF(AND(ArtifactsInput!$M$27,Inputs!$B$4="Chapter Hunt"),CHOOSE(ArtifactsInput!$N$27+1,20,24,28,32,36,40),0)/100)))))/Skills!H12,1)))/Inputs!$B$43),G1587*Q1587)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(5000/(6000+Inputs!$B$42*(1-(100*(1-(1-(100*(1-(1-(Inputs!$B$19+((C1603=TRUE)*(F1603-Calc!F28)))/100)*(1-CHOOSE(ArtifactsInput!$N$40+1,5,6,7,8,9,10)/100)^(ArtifactsInput!$M$40-ArtifactsInput!$M$40)))/100)*(1-IF(ArtifactsInput!$M$40,CHOOSE(ArtifactsInput!$N$40+1,5,6,7,8,9,10),0)/100)^IF(Inputs!$B$38="pvp",1,2)))/100)))/(5000/(6000+Inputs!$B$42*(1-(100*(1-(1-(Inputs!$B$19+((C1603=TRUE)*(F1603-Calc!F28)))/100)*(1-CHOOSE(ArtifactsInput!$N$40+1,5,6,7,8,9,10)/100)^(ArtifactsInput!$M$40-ArtifactsInput!$M$40)))/100))))*((L1587*(1-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1587*(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1587*(1-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1587*(MIN(100,(Inputs!$B$9+((C1596=TRUE)*(F1596-Calc!F21))+B1609+(ArtifactsInput!$M$24-ArtifactsInput!$M$24)*CHOOSE(ArtifactsInput!$N$24+1,10,12,14,16,18,20)+(IF(AND(ArtifactsInput!$M$42,((Inputs!$B$9+((C1596=TRUE)*(F1596-Calc!F21))+B1609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7">
        <f>IF(C1587,(H1587*N1587*IF(AND(Inputs!$B$38&lt;&gt;"pvp",Inputs!$B$43&gt;0),((Skills!G12*((R1587-1)*IF(Skills!H12&gt;0,Skills!I12/Skills!H12,1)+IF(Skills!H12&gt;0,MIN(Skills!I12,MAX(0,MAX(0,Inputs!$B$43-B1616)-((R1587-1)*(IF(Inputs!$B$38="pvp",15,MAX(0.1,Skills!D12-IF(Skills!E12=TRUE,Inputs!$B$32,0)))*(1-IF(AND(ArtifactsInput!$M$27,Inputs!$B$4="Chapter Hunt"),CHOOSE(ArtifactsInput!$N$27+1,20,24,28,32,36,40),0)/100)))))/Skills!H12,1)))/Inputs!$B$43),G1587*Q1587))*IF(Inputs!$B$38="pvp",1,(1+(Inputs!$B$21+Skills!Q12+(IF(ArtifactsInput!$M$33,CHOOSE(ArtifactsInput!$N$33+1,30,36,42,48,54,60),0))+(IF(AND(ArtifactsInput!$M$35,Inputs!$B$4&lt;&gt;"Chapter Hunt"),CHOOSE(ArtifactsInput!$N$35+1,15,18,21,24,27,30)*(1-EXP(-(0.2*B1611)*5)),0)+IF(AND(ArtifactsInput!$M$22,Inputs!$B$4&lt;&gt;"Chapter Hunt"),CHOOSE(ArtifactsInput!$N$22+1,10,12,14,16,18,20)*((0*(((0.15*B1611*5))^0/1)+1*(((0.15*B1611*5))^1/1)+2*(((0.15*B1611*5))^2/2)+3*(((0.15*B1611*5))^3/6)+4*(((0.15*B1611*5))^4/24)+5*(((0.15*B1611*5))^5/120))/((((0.15*B1611*5))^0/1)+(((0.15*B1611*5))^1/1)+(((0.15*B1611*5))^2/2)+(((0.15*B1611*5))^3/6)+(((0.15*B1611*5))^4/24)+(((0.15*B1611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8">
      <c r="A1588">
        <f>Skills!A13</f>
        <v/>
      </c>
      <c r="B1588">
        <f>Skills!B13</f>
        <v/>
      </c>
      <c r="C1588">
        <f>Inputs!$B$3&gt;=110</f>
        <v/>
      </c>
      <c r="D1588">
        <f>IF(Skills!C13=1,60+Inputs!$B$25+Inputs!$B$29,IF(Skills!C13=2,90+Inputs!$B$26+Inputs!$B$29,IF(Skills!C13=3,120+Inputs!$B$27+Inputs!$B$29,MAX(0,(Inputs!$B$3-100)*3)+Inputs!$B$28+Inputs!$B$29)))</f>
        <v/>
      </c>
      <c r="E1588">
        <f>INDEX(FactorTable!$B$2:$Y$301, MATCH(ROUND(MIN(300,MAX(1,D1588)),0), FactorTable!$A$2:$A$301,0), Skills!M13+1)</f>
        <v/>
      </c>
      <c r="F1588">
        <f>IF(Skills!N13=TRUE,(Skills!L13/10)*(E1588/1000),Skills!L13/10)+Skills!O13</f>
        <v/>
      </c>
      <c r="G1588" t="inlineStr"/>
      <c r="H1588" t="inlineStr"/>
      <c r="I1588" t="inlineStr">
        <is>
          <t>1</t>
        </is>
      </c>
      <c r="J1588" t="inlineStr"/>
      <c r="K1588" t="inlineStr"/>
      <c r="L1588" t="inlineStr"/>
      <c r="M1588" t="inlineStr"/>
      <c r="N1588" t="inlineStr"/>
      <c r="O1588" t="inlineStr"/>
      <c r="P1588" t="inlineStr"/>
      <c r="Q1588" t="inlineStr"/>
      <c r="R1588" t="inlineStr"/>
      <c r="S1588" t="inlineStr"/>
      <c r="T1588" t="inlineStr"/>
      <c r="V1588" t="inlineStr"/>
    </row>
    <row r="1589">
      <c r="A1589">
        <f>Skills!A14</f>
        <v/>
      </c>
      <c r="B1589">
        <f>Skills!B14</f>
        <v/>
      </c>
      <c r="C1589">
        <f>Inputs!$B$3&gt;=74</f>
        <v/>
      </c>
      <c r="D1589">
        <f>IF(Skills!C14=1,60+Inputs!$B$25+Inputs!$B$29,IF(Skills!C14=2,90+Inputs!$B$26+Inputs!$B$29,IF(Skills!C14=3,120+Inputs!$B$27+Inputs!$B$29,MAX(0,(Inputs!$B$3-100)*3)+Inputs!$B$28+Inputs!$B$29)))</f>
        <v/>
      </c>
      <c r="E1589">
        <f>INDEX(FactorTable!$B$2:$Y$301, MATCH(ROUND(MIN(300,MAX(1,D1589)),0), FactorTable!$A$2:$A$301,0), Skills!M14+1)</f>
        <v/>
      </c>
      <c r="F1589">
        <f>IF(Skills!N14=TRUE,(Skills!L14/10)*(E1589/1000),Skills!L14/10)+Skills!O14</f>
        <v/>
      </c>
      <c r="G1589">
        <f>Skills!G14*IF(Skills!H14&gt;0,Skills!I14/Skills!H14,1)</f>
        <v/>
      </c>
      <c r="H1589">
        <f>1-(1-Skills!J14/100)^Skills!K14</f>
        <v/>
      </c>
      <c r="I1589" t="inlineStr">
        <is>
          <t>1</t>
        </is>
      </c>
      <c r="J1589" t="inlineStr"/>
      <c r="K1589" t="inlineStr"/>
      <c r="L1589" t="inlineStr"/>
      <c r="M1589" t="inlineStr"/>
      <c r="N1589" t="inlineStr"/>
      <c r="O1589">
        <f>(1-Summary!$B$11)*T1589+Summary!$B$11*V1589</f>
        <v/>
      </c>
      <c r="P1589">
        <f>IF(B1619=0,0,O1589/B1619)</f>
        <v/>
      </c>
      <c r="Q1589" t="n">
        <v>0</v>
      </c>
      <c r="R1589" t="n">
        <v>0</v>
      </c>
      <c r="S1589">
        <f>IFERROR(O1589/N1589,0)</f>
        <v/>
      </c>
      <c r="T1589" t="n">
        <v>0</v>
      </c>
      <c r="V1589" t="n">
        <v>0</v>
      </c>
    </row>
    <row r="1590">
      <c r="A1590">
        <f>Skills!A15</f>
        <v/>
      </c>
      <c r="B1590">
        <f>Skills!B15</f>
        <v/>
      </c>
      <c r="C1590">
        <f>Inputs!$B$3&gt;=74</f>
        <v/>
      </c>
      <c r="D1590">
        <f>IF(Skills!C15=1,60+Inputs!$B$25+Inputs!$B$29,IF(Skills!C15=2,90+Inputs!$B$26+Inputs!$B$29,IF(Skills!C15=3,120+Inputs!$B$27+Inputs!$B$29,MAX(0,(Inputs!$B$3-100)*3)+Inputs!$B$28+Inputs!$B$29)))</f>
        <v/>
      </c>
      <c r="E1590">
        <f>INDEX(FactorTable!$B$2:$Y$301, MATCH(ROUND(MIN(300,MAX(1,D1590)),0), FactorTable!$A$2:$A$301,0), Skills!M15+1)</f>
        <v/>
      </c>
      <c r="F1590">
        <f>IF(Skills!N15=TRUE,(Skills!L15/10)*(E1590/1000),Skills!L15/10)+Skills!O15</f>
        <v/>
      </c>
      <c r="G1590">
        <f>Skills!G15*IF(Skills!H15&gt;0,Skills!I15/Skills!H15,1)</f>
        <v/>
      </c>
      <c r="H1590">
        <f>1-(1-Skills!J15/100)^Skills!K15</f>
        <v/>
      </c>
      <c r="I1590" t="inlineStr">
        <is>
          <t>1</t>
        </is>
      </c>
      <c r="J1590" t="inlineStr"/>
      <c r="K1590" t="inlineStr"/>
      <c r="L1590" t="inlineStr"/>
      <c r="M1590" t="inlineStr"/>
      <c r="N1590" t="inlineStr"/>
      <c r="O1590">
        <f>(1-Summary!$B$11)*T1590+Summary!$B$11*V1590</f>
        <v/>
      </c>
      <c r="P1590">
        <f>IF(B1619=0,0,O1590/B1619)</f>
        <v/>
      </c>
      <c r="Q1590" t="n">
        <v>0</v>
      </c>
      <c r="R1590" t="n">
        <v>0</v>
      </c>
      <c r="S1590">
        <f>IFERROR(O1590/N1590,0)</f>
        <v/>
      </c>
      <c r="T1590" t="n">
        <v>0</v>
      </c>
      <c r="V1590" t="n">
        <v>0</v>
      </c>
    </row>
    <row r="1591">
      <c r="A1591">
        <f>Skills!A16</f>
        <v/>
      </c>
      <c r="B1591">
        <f>Skills!B16</f>
        <v/>
      </c>
      <c r="C1591">
        <f>Inputs!$B$3&gt;=117</f>
        <v/>
      </c>
      <c r="D1591">
        <f>IF(Skills!C16=1,60+Inputs!$B$25+Inputs!$B$29,IF(Skills!C16=2,90+Inputs!$B$26+Inputs!$B$29,IF(Skills!C16=3,120+Inputs!$B$27+Inputs!$B$29,MAX(0,(Inputs!$B$3-100)*3)+Inputs!$B$28+Inputs!$B$29)))</f>
        <v/>
      </c>
      <c r="E1591">
        <f>INDEX(FactorTable!$B$2:$Y$301, MATCH(ROUND(MIN(300,MAX(1,D1591)),0), FactorTable!$A$2:$A$301,0), Skills!M16+1)</f>
        <v/>
      </c>
      <c r="F1591">
        <f>IF(Skills!N16=TRUE,(Skills!L16/10)*(E1591/1000),Skills!L16/10)+Skills!O16</f>
        <v/>
      </c>
      <c r="G1591">
        <f>Skills!G16*IF(Skills!H16&gt;0,Skills!I16/Skills!H16,1)</f>
        <v/>
      </c>
      <c r="H1591">
        <f>1-(1-Skills!J16/100)^Skills!K16</f>
        <v/>
      </c>
      <c r="I1591" t="inlineStr">
        <is>
          <t>1</t>
        </is>
      </c>
      <c r="J1591" t="inlineStr"/>
      <c r="K1591" t="inlineStr"/>
      <c r="L1591" t="inlineStr"/>
      <c r="M1591" t="inlineStr"/>
      <c r="N1591" t="inlineStr"/>
      <c r="O1591">
        <f>(1-Summary!$B$11)*T1591+Summary!$B$11*V1591</f>
        <v/>
      </c>
      <c r="P1591">
        <f>IF(B1619=0,0,O1591/B1619)</f>
        <v/>
      </c>
      <c r="Q1591">
        <f>IFERROR(1/(IF(Inputs!$B$38="pvp",15,MAX(0.1,Skills!D16-IF(Skills!E16=TRUE,Inputs!$B$32,0)))*(1-IF(AND(ArtifactsInput!$M$27,Inputs!$B$4="Chapter Hunt"),CHOOSE(ArtifactsInput!$N$27+1,20,24,28,32,36,40),0)/100)),0)</f>
        <v/>
      </c>
      <c r="R1591">
        <f>IF(AND(Inputs!$B$38&lt;&gt;"pvp",Inputs!$B$43&gt;0),IF(Inputs!$B$43&lt;=0,0,(INT(Inputs!$B$43/(IF(Inputs!$B$38="pvp",15,MAX(0.1,Skills!D16-IF(Skills!E16=TRUE,Inputs!$B$32,0)))*(1-IF(AND(ArtifactsInput!$M$27,Inputs!$B$4="Chapter Hunt"),CHOOSE(ArtifactsInput!$N$27+1,20,24,28,32,36,40),0)/100)))+1)),0)</f>
        <v/>
      </c>
      <c r="S1591">
        <f>IFERROR(O1591/N1591,0)</f>
        <v/>
      </c>
      <c r="T1591" t="n">
        <v>0</v>
      </c>
      <c r="V1591" t="n">
        <v>0</v>
      </c>
    </row>
    <row r="1592">
      <c r="A1592">
        <f>Skills!A17</f>
        <v/>
      </c>
      <c r="B1592">
        <f>Skills!B17</f>
        <v/>
      </c>
      <c r="C1592">
        <f>Inputs!$B$3&gt;=115</f>
        <v/>
      </c>
      <c r="D1592">
        <f>IF(Skills!C17=1,60+Inputs!$B$25+Inputs!$B$29,IF(Skills!C17=2,90+Inputs!$B$26+Inputs!$B$29,IF(Skills!C17=3,120+Inputs!$B$27+Inputs!$B$29,MAX(0,(Inputs!$B$3-100)*3)+Inputs!$B$28+Inputs!$B$29)))</f>
        <v/>
      </c>
      <c r="E1592">
        <f>INDEX(FactorTable!$B$2:$Y$301, MATCH(ROUND(MIN(300,MAX(1,D1592)),0), FactorTable!$A$2:$A$301,0), Skills!M17+1)</f>
        <v/>
      </c>
      <c r="F1592">
        <f>IF(Skills!N17=TRUE,(Skills!L17/10)*(E1592/1000),Skills!L17/10)+Skills!O17</f>
        <v/>
      </c>
      <c r="G1592">
        <f>Skills!G17*IF(Skills!H17&gt;0,Skills!I17/Skills!H17,1)</f>
        <v/>
      </c>
      <c r="H1592">
        <f>1-(1-Skills!J17/100)^Skills!K17</f>
        <v/>
      </c>
      <c r="I1592" t="inlineStr">
        <is>
          <t>1</t>
        </is>
      </c>
      <c r="J1592" t="inlineStr"/>
      <c r="K1592" t="inlineStr"/>
      <c r="L1592" t="inlineStr"/>
      <c r="M1592" t="inlineStr"/>
      <c r="N1592" t="inlineStr"/>
      <c r="O1592">
        <f>(1-Summary!$B$11)*T1592+Summary!$B$11*V1592</f>
        <v/>
      </c>
      <c r="P1592">
        <f>IF(B1619=0,0,O1592/B1619)</f>
        <v/>
      </c>
      <c r="Q1592">
        <f>IFERROR(1/(IF(Inputs!$B$38="pvp",15,MAX(0.1,Skills!D17-IF(Skills!E17=TRUE,Inputs!$B$32,0)))*(1-IF(AND(ArtifactsInput!$M$27,Inputs!$B$4="Chapter Hunt"),CHOOSE(ArtifactsInput!$N$27+1,20,24,28,32,36,40),0)/100)),0)</f>
        <v/>
      </c>
      <c r="R1592">
        <f>IF(AND(Inputs!$B$38&lt;&gt;"pvp",Inputs!$B$43&gt;0),IF(Inputs!$B$43&lt;=0,0,(INT(Inputs!$B$43/(IF(Inputs!$B$38="pvp",15,MAX(0.1,Skills!D17-IF(Skills!E17=TRUE,Inputs!$B$32,0)))*(1-IF(AND(ArtifactsInput!$M$27,Inputs!$B$4="Chapter Hunt"),CHOOSE(ArtifactsInput!$N$27+1,20,24,28,32,36,40),0)/100)))+1)),0)</f>
        <v/>
      </c>
      <c r="S1592">
        <f>IFERROR(O1592/N1592,0)</f>
        <v/>
      </c>
      <c r="T1592" t="n">
        <v>0</v>
      </c>
      <c r="V1592" t="n">
        <v>0</v>
      </c>
    </row>
    <row r="1593">
      <c r="A1593">
        <f>Skills!A18</f>
        <v/>
      </c>
      <c r="B1593">
        <f>Skills!B18</f>
        <v/>
      </c>
      <c r="C1593">
        <f>Inputs!$B$3&gt;=66</f>
        <v/>
      </c>
      <c r="D1593">
        <f>IF(Skills!C18=1,60+Inputs!$B$25+Inputs!$B$29,IF(Skills!C18=2,90+Inputs!$B$26+Inputs!$B$29,IF(Skills!C18=3,120+Inputs!$B$27+Inputs!$B$29,MAX(0,(Inputs!$B$3-100)*3)+Inputs!$B$28+Inputs!$B$29)))</f>
        <v/>
      </c>
      <c r="E1593">
        <f>INDEX(FactorTable!$B$2:$Y$301, MATCH(ROUND(MIN(300,MAX(1,D1593)),0), FactorTable!$A$2:$A$301,0), Skills!M18+1)</f>
        <v/>
      </c>
      <c r="F1593">
        <f>IF(Skills!N18=TRUE,(Skills!L18/10)*(E1593/1000),Skills!L18/10)+Skills!O18</f>
        <v/>
      </c>
      <c r="G1593">
        <f>Skills!G18*IF(Skills!H18&gt;0,Skills!I18/Skills!H18,1)</f>
        <v/>
      </c>
      <c r="H1593">
        <f>1-(1-Skills!J18/100)^Skills!K18</f>
        <v/>
      </c>
      <c r="I1593" t="inlineStr">
        <is>
          <t>1</t>
        </is>
      </c>
      <c r="J1593" t="inlineStr"/>
      <c r="K1593" t="inlineStr"/>
      <c r="L1593" t="inlineStr"/>
      <c r="M1593" t="inlineStr"/>
      <c r="N1593" t="inlineStr"/>
      <c r="O1593">
        <f>(1-Summary!$B$11)*T1593+Summary!$B$11*V1593</f>
        <v/>
      </c>
      <c r="P1593">
        <f>IF(B1619=0,0,O1593/B1619)</f>
        <v/>
      </c>
      <c r="Q1593" t="n">
        <v>0</v>
      </c>
      <c r="R1593" t="n">
        <v>0</v>
      </c>
      <c r="S1593">
        <f>IFERROR(O1593/N1593,0)</f>
        <v/>
      </c>
      <c r="T1593" t="n">
        <v>0</v>
      </c>
      <c r="V1593" t="n">
        <v>0</v>
      </c>
    </row>
    <row r="1594">
      <c r="A1594">
        <f>Skills!A19</f>
        <v/>
      </c>
      <c r="B1594">
        <f>Skills!B19</f>
        <v/>
      </c>
      <c r="C1594">
        <f>Inputs!$B$3&gt;=72</f>
        <v/>
      </c>
      <c r="D1594">
        <f>IF(Skills!C19=1,60+Inputs!$B$25+Inputs!$B$29,IF(Skills!C19=2,90+Inputs!$B$26+Inputs!$B$29,IF(Skills!C19=3,120+Inputs!$B$27+Inputs!$B$29,MAX(0,(Inputs!$B$3-100)*3)+Inputs!$B$28+Inputs!$B$29)))</f>
        <v/>
      </c>
      <c r="E1594">
        <f>INDEX(FactorTable!$B$2:$Y$301, MATCH(ROUND(MIN(300,MAX(1,D1594)),0), FactorTable!$A$2:$A$301,0), Skills!M19+1)</f>
        <v/>
      </c>
      <c r="F1594">
        <f>IF(Skills!N19=TRUE,(Skills!L19/10)*(E1594/1000),Skills!L19/10)+Skills!O19</f>
        <v/>
      </c>
      <c r="G1594">
        <f>Skills!G19*IF(Skills!H19&gt;0,Skills!I19/Skills!H19,1)</f>
        <v/>
      </c>
      <c r="H1594">
        <f>1-(1-Skills!J19/100)^Skills!K19</f>
        <v/>
      </c>
      <c r="I1594" t="inlineStr">
        <is>
          <t>1</t>
        </is>
      </c>
      <c r="J1594" t="inlineStr"/>
      <c r="K1594" t="inlineStr"/>
      <c r="L1594" t="inlineStr"/>
      <c r="M1594" t="inlineStr"/>
      <c r="N1594" t="inlineStr"/>
      <c r="O1594">
        <f>(1-Summary!$B$11)*T1594+Summary!$B$11*V1594</f>
        <v/>
      </c>
      <c r="P1594">
        <f>IF(B1619=0,0,O1594/B1619)</f>
        <v/>
      </c>
      <c r="Q1594" t="n">
        <v>0</v>
      </c>
      <c r="R1594" t="n">
        <v>0</v>
      </c>
      <c r="S1594">
        <f>IFERROR(O1594/N1594,0)</f>
        <v/>
      </c>
      <c r="T1594" t="n">
        <v>0</v>
      </c>
      <c r="V1594" t="n">
        <v>0</v>
      </c>
    </row>
    <row r="1595">
      <c r="A1595">
        <f>Skills!A20</f>
        <v/>
      </c>
      <c r="B1595">
        <f>Skills!B20</f>
        <v/>
      </c>
      <c r="C1595">
        <f>TRUE</f>
        <v/>
      </c>
      <c r="D1595">
        <f>IF(Skills!C20=1,60+Inputs!$B$25+Inputs!$B$29,IF(Skills!C20=2,90+Inputs!$B$26+Inputs!$B$29,IF(Skills!C20=3,120+Inputs!$B$27+Inputs!$B$29,MAX(0,(Inputs!$B$3-100)*3)+Inputs!$B$28+Inputs!$B$29)))</f>
        <v/>
      </c>
      <c r="E1595">
        <f>INDEX(FactorTable!$B$2:$Y$301, MATCH(ROUND(MIN(300,MAX(1,D1595)),0), FactorTable!$A$2:$A$301,0), Skills!M20+1)</f>
        <v/>
      </c>
      <c r="F1595">
        <f>IF(Skills!N20=TRUE,(Skills!L20/10)*(E1595/1000),Skills!L20/10)+Skills!O20</f>
        <v/>
      </c>
      <c r="G1595">
        <f>Skills!G20*IF(Skills!H20&gt;0,Skills!I20/Skills!H20,1)</f>
        <v/>
      </c>
      <c r="H1595">
        <f>1-(1-Skills!J20/100)^Skills!K20</f>
        <v/>
      </c>
      <c r="I1595" t="inlineStr">
        <is>
          <t>1</t>
        </is>
      </c>
      <c r="J1595" t="inlineStr"/>
      <c r="K1595" t="inlineStr"/>
      <c r="L1595" t="inlineStr"/>
      <c r="M1595" t="inlineStr"/>
      <c r="N1595" t="inlineStr"/>
      <c r="O1595">
        <f>(1-Summary!$B$11)*T1595+Summary!$B$11*V1595</f>
        <v/>
      </c>
      <c r="P1595">
        <f>IF(B1619=0,0,O1595/B1619)</f>
        <v/>
      </c>
      <c r="Q1595">
        <f>IFERROR(1/(IF(Inputs!$B$38="pvp",15,MAX(0.1,Skills!D20-IF(Skills!E20=TRUE,Inputs!$B$32,0)))*(1-IF(AND(ArtifactsInput!$M$27,Inputs!$B$4="Chapter Hunt"),CHOOSE(ArtifactsInput!$N$27+1,20,24,28,32,36,40),0)/100)),0)</f>
        <v/>
      </c>
      <c r="R1595">
        <f>IF(AND(Inputs!$B$38&lt;&gt;"pvp",Inputs!$B$43&gt;0),IF(Inputs!$B$43&lt;=0,0,(INT(Inputs!$B$43/(IF(Inputs!$B$38="pvp",15,MAX(0.1,Skills!D20-IF(Skills!E20=TRUE,Inputs!$B$32,0)))*(1-IF(AND(ArtifactsInput!$M$27,Inputs!$B$4="Chapter Hunt"),CHOOSE(ArtifactsInput!$N$27+1,20,24,28,32,36,40),0)/100)))+1)),0)</f>
        <v/>
      </c>
      <c r="S1595">
        <f>IFERROR(O1595/N1595,0)</f>
        <v/>
      </c>
      <c r="T1595" t="n">
        <v>0</v>
      </c>
      <c r="V1595" t="n">
        <v>0</v>
      </c>
    </row>
    <row r="1596">
      <c r="A1596">
        <f>Skills!A21</f>
        <v/>
      </c>
      <c r="B1596">
        <f>Skills!B21</f>
        <v/>
      </c>
      <c r="C1596">
        <f>Inputs!$B$3&gt;=15</f>
        <v/>
      </c>
      <c r="D1596">
        <f>IF(Skills!C21=1,60+Inputs!$B$25+Inputs!$B$29,IF(Skills!C21=2,90+Inputs!$B$26+Inputs!$B$29,IF(Skills!C21=3,120+Inputs!$B$27+Inputs!$B$29,MAX(0,(Inputs!$B$3-100)*3)+Inputs!$B$28+Inputs!$B$29)))</f>
        <v/>
      </c>
      <c r="E1596">
        <f>INDEX(FactorTable!$B$2:$Y$301, MATCH(ROUND(MIN(300,MAX(1,D1596)),0), FactorTable!$A$2:$A$301,0), Skills!M21+1)</f>
        <v/>
      </c>
      <c r="F1596">
        <f>IF(Skills!N21=TRUE,(Skills!L21/10)*(E1596/1000),Skills!L21/10)+Skills!O21</f>
        <v/>
      </c>
      <c r="G1596">
        <f>Skills!G21*IF(Skills!H21&gt;0,Skills!I21/Skills!H21,1)</f>
        <v/>
      </c>
      <c r="H1596">
        <f>1-(1-Skills!J21/100)^Skills!K21</f>
        <v/>
      </c>
      <c r="I1596" t="inlineStr">
        <is>
          <t>1</t>
        </is>
      </c>
      <c r="J1596" t="inlineStr"/>
      <c r="K1596" t="inlineStr"/>
      <c r="L1596" t="inlineStr"/>
      <c r="M1596" t="inlineStr"/>
      <c r="N1596" t="inlineStr"/>
      <c r="O1596">
        <f>(1-Summary!$B$11)*T1596+Summary!$B$11*V1596</f>
        <v/>
      </c>
      <c r="P1596">
        <f>IF(B1619=0,0,O1596/B1619)</f>
        <v/>
      </c>
      <c r="Q1596" t="n">
        <v>0</v>
      </c>
      <c r="R1596" t="n">
        <v>0</v>
      </c>
      <c r="S1596">
        <f>IFERROR(O1596/N1596,0)</f>
        <v/>
      </c>
      <c r="T1596" t="n">
        <v>0</v>
      </c>
      <c r="V1596" t="n">
        <v>0</v>
      </c>
    </row>
    <row r="1597">
      <c r="A1597">
        <f>Skills!A22</f>
        <v/>
      </c>
      <c r="B1597">
        <f>Skills!B22</f>
        <v/>
      </c>
      <c r="C1597">
        <f>Inputs!$B$3&gt;=10</f>
        <v/>
      </c>
      <c r="D1597">
        <f>IF(Skills!C22=1,60+Inputs!$B$25+Inputs!$B$29,IF(Skills!C22=2,90+Inputs!$B$26+Inputs!$B$29,IF(Skills!C22=3,120+Inputs!$B$27+Inputs!$B$29,MAX(0,(Inputs!$B$3-100)*3)+Inputs!$B$28+Inputs!$B$29)))</f>
        <v/>
      </c>
      <c r="E1597">
        <f>INDEX(FactorTable!$B$2:$Y$301, MATCH(ROUND(MIN(300,MAX(1,D1597)),0), FactorTable!$A$2:$A$301,0), Skills!M22+1)</f>
        <v/>
      </c>
      <c r="F1597">
        <f>IF(Skills!N22=TRUE,(Skills!L22/10)*(E1597/1000),Skills!L22/10)+Skills!O22</f>
        <v/>
      </c>
      <c r="G1597">
        <f>Skills!G22*IF(Skills!H22&gt;0,Skills!I22/Skills!H22,1)</f>
        <v/>
      </c>
      <c r="H1597">
        <f>1-(1-Skills!J22/100)^Skills!K22</f>
        <v/>
      </c>
      <c r="I1597" t="inlineStr">
        <is>
          <t>1</t>
        </is>
      </c>
      <c r="J1597" t="inlineStr"/>
      <c r="K1597" t="inlineStr"/>
      <c r="L1597" t="inlineStr"/>
      <c r="M1597" t="inlineStr"/>
      <c r="N1597" t="inlineStr"/>
      <c r="O1597">
        <f>(1-Summary!$B$11)*T1597+Summary!$B$11*V1597</f>
        <v/>
      </c>
      <c r="P1597">
        <f>IF(B1619=0,0,O1597/B1619)</f>
        <v/>
      </c>
      <c r="Q1597" t="n">
        <v>0</v>
      </c>
      <c r="R1597" t="n">
        <v>0</v>
      </c>
      <c r="S1597">
        <f>IFERROR(O1597/N1597,0)</f>
        <v/>
      </c>
      <c r="T1597" t="n">
        <v>0</v>
      </c>
      <c r="V1597" t="n">
        <v>0</v>
      </c>
    </row>
    <row r="1598">
      <c r="A1598">
        <f>Skills!A23</f>
        <v/>
      </c>
      <c r="B1598">
        <f>Skills!B23</f>
        <v/>
      </c>
      <c r="C1598">
        <f>Inputs!$B$3&gt;=33</f>
        <v/>
      </c>
      <c r="D1598">
        <f>IF(Skills!C23=1,60+Inputs!$B$25+Inputs!$B$29,IF(Skills!C23=2,90+Inputs!$B$26+Inputs!$B$29,IF(Skills!C23=3,120+Inputs!$B$27+Inputs!$B$29,MAX(0,(Inputs!$B$3-100)*3)+Inputs!$B$28+Inputs!$B$29)))</f>
        <v/>
      </c>
      <c r="E1598">
        <f>INDEX(FactorTable!$B$2:$Y$301, MATCH(ROUND(MIN(300,MAX(1,D1598)),0), FactorTable!$A$2:$A$301,0), Skills!M23+1)</f>
        <v/>
      </c>
      <c r="F1598">
        <f>IF(Skills!N23=TRUE,(Skills!L23/10)*(E1598/1000),Skills!L23/10)+Skills!O23</f>
        <v/>
      </c>
      <c r="G1598">
        <f>Skills!G23*IF(Skills!H23&gt;0,Skills!I23/Skills!H23,1)</f>
        <v/>
      </c>
      <c r="H1598">
        <f>1-(1-Skills!J23/100)^Skills!K23</f>
        <v/>
      </c>
      <c r="I1598" t="inlineStr">
        <is>
          <t>1</t>
        </is>
      </c>
      <c r="J1598" t="inlineStr"/>
      <c r="K1598" t="inlineStr"/>
      <c r="L1598" t="inlineStr"/>
      <c r="M1598" t="inlineStr"/>
      <c r="N1598" t="inlineStr"/>
      <c r="O1598">
        <f>(1-Summary!$B$11)*T1598+Summary!$B$11*V1598</f>
        <v/>
      </c>
      <c r="P1598">
        <f>IF(B1619=0,0,O1598/B1619)</f>
        <v/>
      </c>
      <c r="Q1598" t="n">
        <v>0</v>
      </c>
      <c r="R1598" t="n">
        <v>0</v>
      </c>
      <c r="S1598">
        <f>IFERROR(O1598/N1598,0)</f>
        <v/>
      </c>
      <c r="T1598" t="n">
        <v>0</v>
      </c>
      <c r="V1598" t="n">
        <v>0</v>
      </c>
    </row>
    <row r="1599">
      <c r="A1599">
        <f>Skills!A24</f>
        <v/>
      </c>
      <c r="B1599">
        <f>Skills!B24</f>
        <v/>
      </c>
      <c r="C1599">
        <f>Inputs!$B$3&gt;=38</f>
        <v/>
      </c>
      <c r="D1599">
        <f>IF(Skills!C24=1,60+Inputs!$B$25+Inputs!$B$29,IF(Skills!C24=2,90+Inputs!$B$26+Inputs!$B$29,IF(Skills!C24=3,120+Inputs!$B$27+Inputs!$B$29,MAX(0,(Inputs!$B$3-100)*3)+Inputs!$B$28+Inputs!$B$29)))</f>
        <v/>
      </c>
      <c r="E1599">
        <f>INDEX(FactorTable!$B$2:$Y$301, MATCH(ROUND(MIN(300,MAX(1,D1599)),0), FactorTable!$A$2:$A$301,0), Skills!M24+1)</f>
        <v/>
      </c>
      <c r="F1599">
        <f>IF(Skills!N24=TRUE,(Skills!L24/10)*(E1599/1000),Skills!L24/10)+Skills!O24</f>
        <v/>
      </c>
      <c r="G1599">
        <f>Skills!G24*IF(Skills!H24&gt;0,Skills!I24/Skills!H24,1)</f>
        <v/>
      </c>
      <c r="H1599">
        <f>1-(1-Skills!J24/100)^Skills!K24</f>
        <v/>
      </c>
      <c r="I1599" t="inlineStr">
        <is>
          <t>1</t>
        </is>
      </c>
      <c r="J1599" t="inlineStr"/>
      <c r="K1599" t="inlineStr"/>
      <c r="L1599" t="inlineStr"/>
      <c r="M1599" t="inlineStr"/>
      <c r="N1599" t="inlineStr"/>
      <c r="O1599">
        <f>(1-Summary!$B$11)*T1599+Summary!$B$11*V1599</f>
        <v/>
      </c>
      <c r="P1599">
        <f>IF(B1619=0,0,O1599/B1619)</f>
        <v/>
      </c>
      <c r="Q1599" t="n">
        <v>0</v>
      </c>
      <c r="R1599" t="n">
        <v>0</v>
      </c>
      <c r="S1599">
        <f>IFERROR(O1599/N1599,0)</f>
        <v/>
      </c>
      <c r="T1599" t="n">
        <v>0</v>
      </c>
      <c r="V1599" t="n">
        <v>0</v>
      </c>
    </row>
    <row r="1600">
      <c r="A1600">
        <f>Skills!A25</f>
        <v/>
      </c>
      <c r="B1600">
        <f>Skills!B25</f>
        <v/>
      </c>
      <c r="C1600">
        <f>Inputs!$B$3&gt;=43</f>
        <v/>
      </c>
      <c r="D1600">
        <f>IF(Skills!C25=1,60+Inputs!$B$25+Inputs!$B$29,IF(Skills!C25=2,90+Inputs!$B$26+Inputs!$B$29,IF(Skills!C25=3,120+Inputs!$B$27+Inputs!$B$29,MAX(0,(Inputs!$B$3-100)*3)+Inputs!$B$28+Inputs!$B$29)))</f>
        <v/>
      </c>
      <c r="E1600">
        <f>INDEX(FactorTable!$B$2:$Y$301, MATCH(ROUND(MIN(300,MAX(1,D1600)),0), FactorTable!$A$2:$A$301,0), Skills!M25+1)</f>
        <v/>
      </c>
      <c r="F1600">
        <f>IF(Skills!N25=TRUE,(Skills!L25/10)*(E1600/1000),Skills!L25/10)+Skills!O25</f>
        <v/>
      </c>
      <c r="G1600">
        <f>Skills!G25*IF(Skills!H25&gt;0,Skills!I25/Skills!H25,1)</f>
        <v/>
      </c>
      <c r="H1600">
        <f>1-(1-Skills!J25/100)^Skills!K25</f>
        <v/>
      </c>
      <c r="I1600" t="inlineStr">
        <is>
          <t>1</t>
        </is>
      </c>
      <c r="J1600" t="inlineStr"/>
      <c r="K1600" t="inlineStr"/>
      <c r="L1600" t="inlineStr"/>
      <c r="M1600" t="inlineStr"/>
      <c r="N1600" t="inlineStr"/>
      <c r="O1600">
        <f>(1-Summary!$B$11)*T1600+Summary!$B$11*V1600</f>
        <v/>
      </c>
      <c r="P1600">
        <f>IF(B1619=0,0,O1600/B1619)</f>
        <v/>
      </c>
      <c r="Q1600" t="n">
        <v>0</v>
      </c>
      <c r="R1600" t="n">
        <v>0</v>
      </c>
      <c r="S1600">
        <f>IFERROR(O1600/N1600,0)</f>
        <v/>
      </c>
      <c r="T1600" t="n">
        <v>0</v>
      </c>
      <c r="V1600" t="n">
        <v>0</v>
      </c>
    </row>
    <row r="1601">
      <c r="A1601">
        <f>Skills!A26</f>
        <v/>
      </c>
      <c r="B1601">
        <f>Skills!B26</f>
        <v/>
      </c>
      <c r="C1601">
        <f>Inputs!$B$3&gt;=75</f>
        <v/>
      </c>
      <c r="D1601">
        <f>IF(Skills!C26=1,60+Inputs!$B$25+Inputs!$B$29,IF(Skills!C26=2,90+Inputs!$B$26+Inputs!$B$29,IF(Skills!C26=3,120+Inputs!$B$27+Inputs!$B$29,MAX(0,(Inputs!$B$3-100)*3)+Inputs!$B$28+Inputs!$B$29)))</f>
        <v/>
      </c>
      <c r="E1601">
        <f>INDEX(FactorTable!$B$2:$Y$301, MATCH(ROUND(MIN(300,MAX(1,D1601)),0), FactorTable!$A$2:$A$301,0), Skills!M26+1)</f>
        <v/>
      </c>
      <c r="F1601">
        <f>IF(Skills!N26=TRUE,(Skills!L26/10)*(E1601/1000),Skills!L26/10)+Skills!O26</f>
        <v/>
      </c>
      <c r="G1601">
        <f>Skills!G26*IF(Skills!H26&gt;0,Skills!I26/Skills!H26,1)</f>
        <v/>
      </c>
      <c r="H1601">
        <f>1-(1-Skills!J26/100)^Skills!K26</f>
        <v/>
      </c>
      <c r="I1601" t="inlineStr">
        <is>
          <t>1</t>
        </is>
      </c>
      <c r="J1601" t="inlineStr"/>
      <c r="K1601" t="inlineStr"/>
      <c r="L1601" t="inlineStr"/>
      <c r="M1601" t="inlineStr"/>
      <c r="N1601" t="inlineStr"/>
      <c r="O1601">
        <f>(1-Summary!$B$11)*T1601+Summary!$B$11*V1601</f>
        <v/>
      </c>
      <c r="P1601">
        <f>IF(B1619=0,0,O1601/B1619)</f>
        <v/>
      </c>
      <c r="Q1601" t="n">
        <v>0</v>
      </c>
      <c r="R1601" t="n">
        <v>0</v>
      </c>
      <c r="S1601">
        <f>IFERROR(O1601/N1601,0)</f>
        <v/>
      </c>
      <c r="T1601" t="n">
        <v>0</v>
      </c>
      <c r="V1601" t="n">
        <v>0</v>
      </c>
    </row>
    <row r="1602">
      <c r="A1602">
        <f>Skills!A27</f>
        <v/>
      </c>
      <c r="B1602">
        <f>Skills!B27</f>
        <v/>
      </c>
      <c r="C1602">
        <f>Inputs!$B$3&gt;=125</f>
        <v/>
      </c>
      <c r="D1602">
        <f>IF(Skills!C27=1,60+Inputs!$B$25+Inputs!$B$29,IF(Skills!C27=2,90+Inputs!$B$26+Inputs!$B$29,IF(Skills!C27=3,120+Inputs!$B$27+Inputs!$B$29,MAX(0,(Inputs!$B$3-100)*3)+Inputs!$B$28+Inputs!$B$29)))</f>
        <v/>
      </c>
      <c r="E1602">
        <f>INDEX(FactorTable!$B$2:$Y$301, MATCH(ROUND(MIN(300,MAX(1,D1602)),0), FactorTable!$A$2:$A$301,0), Skills!M27+1)</f>
        <v/>
      </c>
      <c r="F1602">
        <f>IF(Skills!N27=TRUE,(Skills!L27/10)*(E1602/1000),Skills!L27/10)+Skills!O27</f>
        <v/>
      </c>
      <c r="G1602">
        <f>Skills!G27*IF(Skills!H27&gt;0,Skills!I27/Skills!H27,1)</f>
        <v/>
      </c>
      <c r="H1602">
        <f>1-(1-Skills!J27/100)^Skills!K27</f>
        <v/>
      </c>
      <c r="I1602" t="inlineStr">
        <is>
          <t>1</t>
        </is>
      </c>
      <c r="J1602" t="inlineStr"/>
      <c r="K1602" t="inlineStr"/>
      <c r="L1602" t="inlineStr"/>
      <c r="M1602" t="inlineStr"/>
      <c r="N1602" t="inlineStr"/>
      <c r="O1602">
        <f>(1-Summary!$B$11)*T1602+Summary!$B$11*V1602</f>
        <v/>
      </c>
      <c r="P1602">
        <f>IF(B1619=0,0,O1602/B1619)</f>
        <v/>
      </c>
      <c r="Q1602" t="n">
        <v>0</v>
      </c>
      <c r="R1602" t="n">
        <v>0</v>
      </c>
      <c r="S1602">
        <f>IFERROR(O1602/N1602,0)</f>
        <v/>
      </c>
      <c r="T1602" t="n">
        <v>0</v>
      </c>
      <c r="V1602" t="n">
        <v>0</v>
      </c>
    </row>
    <row r="1603">
      <c r="A1603">
        <f>Skills!A28</f>
        <v/>
      </c>
      <c r="B1603">
        <f>Skills!B28</f>
        <v/>
      </c>
      <c r="C1603">
        <f>Inputs!$B$3&gt;=125</f>
        <v/>
      </c>
      <c r="D1603">
        <f>IF(Skills!C28=1,60+Inputs!$B$25+Inputs!$B$29,IF(Skills!C28=2,90+Inputs!$B$26+Inputs!$B$29,IF(Skills!C28=3,120+Inputs!$B$27+Inputs!$B$29,MAX(0,(Inputs!$B$3-100)*3)+Inputs!$B$28+Inputs!$B$29)))</f>
        <v/>
      </c>
      <c r="E1603">
        <f>INDEX(FactorTable!$B$2:$Y$301, MATCH(ROUND(MIN(300,MAX(1,D1603)),0), FactorTable!$A$2:$A$301,0), Skills!M28+1)</f>
        <v/>
      </c>
      <c r="F1603">
        <f>IF(Skills!N28=TRUE,(Skills!L28/10)*(E1603/1000),Skills!L28/10)+Skills!O28</f>
        <v/>
      </c>
      <c r="G1603">
        <f>Skills!G28*IF(Skills!H28&gt;0,Skills!I28/Skills!H28,1)</f>
        <v/>
      </c>
      <c r="H1603">
        <f>1-(1-Skills!J28/100)^Skills!K28</f>
        <v/>
      </c>
      <c r="I1603" t="inlineStr">
        <is>
          <t>1</t>
        </is>
      </c>
      <c r="J1603" t="inlineStr"/>
      <c r="K1603" t="inlineStr"/>
      <c r="L1603" t="inlineStr"/>
      <c r="M1603" t="inlineStr"/>
      <c r="N1603" t="inlineStr"/>
      <c r="O1603">
        <f>(1-Summary!$B$11)*T1603+Summary!$B$11*V1603</f>
        <v/>
      </c>
      <c r="P1603">
        <f>IF(B1619=0,0,O1603/B1619)</f>
        <v/>
      </c>
      <c r="Q1603" t="n">
        <v>0</v>
      </c>
      <c r="R1603" t="n">
        <v>0</v>
      </c>
      <c r="S1603">
        <f>IFERROR(O1603/N1603,0)</f>
        <v/>
      </c>
      <c r="T1603" t="n">
        <v>0</v>
      </c>
      <c r="V1603" t="n">
        <v>0</v>
      </c>
    </row>
    <row r="1604">
      <c r="A1604">
        <f>Skills!A29</f>
        <v/>
      </c>
      <c r="B1604">
        <f>Skills!B29</f>
        <v/>
      </c>
      <c r="C1604">
        <f>Inputs!$B$3&gt;=120</f>
        <v/>
      </c>
      <c r="D1604">
        <f>IF(Skills!C29=1,60+Inputs!$B$25+Inputs!$B$29,IF(Skills!C29=2,90+Inputs!$B$26+Inputs!$B$29,IF(Skills!C29=3,120+Inputs!$B$27+Inputs!$B$29,MAX(0,(Inputs!$B$3-100)*3)+Inputs!$B$28+Inputs!$B$29)))</f>
        <v/>
      </c>
      <c r="E1604">
        <f>INDEX(FactorTable!$B$2:$Y$301, MATCH(ROUND(MIN(300,MAX(1,D1604)),0), FactorTable!$A$2:$A$301,0), Skills!M29+1)</f>
        <v/>
      </c>
      <c r="F1604">
        <f>IF(Skills!N29=TRUE,(Skills!L29/10)*(E1604/1000),Skills!L29/10)+Skills!O29</f>
        <v/>
      </c>
      <c r="G1604">
        <f>Skills!G29*IF(Skills!H29&gt;0,Skills!I29/Skills!H29,1)</f>
        <v/>
      </c>
      <c r="H1604">
        <f>1-(1-Skills!J29/100)^Skills!K29</f>
        <v/>
      </c>
      <c r="I1604" t="inlineStr">
        <is>
          <t>1</t>
        </is>
      </c>
      <c r="J1604" t="inlineStr"/>
      <c r="K1604" t="inlineStr"/>
      <c r="L1604" t="inlineStr"/>
      <c r="M1604" t="inlineStr"/>
      <c r="N1604" t="inlineStr"/>
      <c r="O1604">
        <f>(1-Summary!$B$11)*T1604+Summary!$B$11*V1604</f>
        <v/>
      </c>
      <c r="P1604">
        <f>IF(B1619=0,0,O1604/B1619)</f>
        <v/>
      </c>
      <c r="Q1604" t="n">
        <v>0</v>
      </c>
      <c r="R1604" t="n">
        <v>0</v>
      </c>
      <c r="S1604">
        <f>IFERROR(O1604/N1604,0)</f>
        <v/>
      </c>
      <c r="T1604" t="n">
        <v>0</v>
      </c>
      <c r="V1604" t="n">
        <v>0</v>
      </c>
    </row>
    <row r="1605">
      <c r="A1605">
        <f>Skills!A30</f>
        <v/>
      </c>
      <c r="B1605">
        <f>Skills!B30</f>
        <v/>
      </c>
      <c r="C1605">
        <f>Inputs!$B$3&gt;=120</f>
        <v/>
      </c>
      <c r="D1605">
        <f>IF(Skills!C30=1,60+Inputs!$B$25+Inputs!$B$29,IF(Skills!C30=2,90+Inputs!$B$26+Inputs!$B$29,IF(Skills!C30=3,120+Inputs!$B$27+Inputs!$B$29,MAX(0,(Inputs!$B$3-100)*3)+Inputs!$B$28+Inputs!$B$29)))</f>
        <v/>
      </c>
      <c r="E1605">
        <f>INDEX(FactorTable!$B$2:$Y$301, MATCH(ROUND(MIN(300,MAX(1,D1605)),0), FactorTable!$A$2:$A$301,0), Skills!M30+1)</f>
        <v/>
      </c>
      <c r="F1605">
        <f>IF(Skills!N30=TRUE,(Skills!L30/10)*(E1605/1000),Skills!L30/10)+Skills!O30</f>
        <v/>
      </c>
      <c r="G1605">
        <f>Skills!G30*IF(Skills!H30&gt;0,Skills!I30/Skills!H30,1)</f>
        <v/>
      </c>
      <c r="H1605">
        <f>1-(1-Skills!J30/100)^Skills!K30</f>
        <v/>
      </c>
      <c r="I1605" t="inlineStr">
        <is>
          <t>1</t>
        </is>
      </c>
      <c r="J1605" t="inlineStr"/>
      <c r="K1605" t="inlineStr"/>
      <c r="L1605" t="inlineStr"/>
      <c r="M1605" t="inlineStr"/>
      <c r="N1605" t="inlineStr"/>
      <c r="O1605">
        <f>(1-Summary!$B$11)*T1605+Summary!$B$11*V1605</f>
        <v/>
      </c>
      <c r="P1605">
        <f>IF(B1619=0,0,O1605/B1619)</f>
        <v/>
      </c>
      <c r="Q1605" t="n">
        <v>0</v>
      </c>
      <c r="R1605" t="n">
        <v>0</v>
      </c>
      <c r="S1605">
        <f>IFERROR(O1605/N1605,0)</f>
        <v/>
      </c>
      <c r="T1605" t="n">
        <v>0</v>
      </c>
      <c r="V1605" t="n">
        <v>0</v>
      </c>
    </row>
    <row r="1606">
      <c r="A1606">
        <f>Skills!A31</f>
        <v/>
      </c>
      <c r="B1606">
        <f>Skills!B31</f>
        <v/>
      </c>
      <c r="C1606">
        <f>Inputs!$B$3&gt;=45</f>
        <v/>
      </c>
      <c r="D1606">
        <f>IF(Skills!C31=1,60+Inputs!$B$25+Inputs!$B$29,IF(Skills!C31=2,90+Inputs!$B$26+Inputs!$B$29,IF(Skills!C31=3,120+Inputs!$B$27+Inputs!$B$29,MAX(0,(Inputs!$B$3-100)*3)+Inputs!$B$28+Inputs!$B$29)))</f>
        <v/>
      </c>
      <c r="E1606">
        <f>INDEX(FactorTable!$B$2:$Y$301, MATCH(ROUND(MIN(300,MAX(1,D1606)),0), FactorTable!$A$2:$A$301,0), Skills!M31+1)</f>
        <v/>
      </c>
      <c r="F1606">
        <f>IF(Skills!N31=TRUE,(Skills!L31/10)*(E1606/1000),Skills!L31/10)+Skills!O31</f>
        <v/>
      </c>
      <c r="G1606">
        <f>Skills!G31*IF(Skills!H31&gt;0,Skills!I31/Skills!H31,1)</f>
        <v/>
      </c>
      <c r="H1606">
        <f>1-(1-Skills!J31/100)^Skills!K31</f>
        <v/>
      </c>
      <c r="I1606" t="inlineStr">
        <is>
          <t>1</t>
        </is>
      </c>
      <c r="J1606" t="inlineStr"/>
      <c r="K1606" t="inlineStr"/>
      <c r="L1606" t="inlineStr"/>
      <c r="M1606" t="inlineStr"/>
      <c r="N1606" t="inlineStr"/>
      <c r="O1606">
        <f>(1-Summary!$B$11)*T1606+Summary!$B$11*V1606</f>
        <v/>
      </c>
      <c r="P1606">
        <f>IF(B1619=0,0,O1606/B1619)</f>
        <v/>
      </c>
      <c r="Q1606" t="n">
        <v>0</v>
      </c>
      <c r="R1606" t="n">
        <v>0</v>
      </c>
      <c r="S1606">
        <f>IFERROR(O1606/N1606,0)</f>
        <v/>
      </c>
      <c r="T1606" t="n">
        <v>0</v>
      </c>
      <c r="V1606" t="n">
        <v>0</v>
      </c>
    </row>
    <row r="1608">
      <c r="A1608" t="inlineStr">
        <is>
          <t>Attack% Bucket Multiplier</t>
        </is>
      </c>
      <c r="B1608">
        <f>(1+(((C1589=TRUE)*F1589)+((C1590=TRUE)*IF(Inputs!$B$38="pvp",F1590,(1-Summary!$B$11)*(F1590)+Summary!$B$11*(0)))+((C1591=TRUE)*F1591*IF(AND(Inputs!$B$38&lt;&gt;"pvp",Inputs!$B$43&gt;0),(((R1591-1)*(Skills!T16*(1+Inputs!$B$34/100))+MIN((Skills!T16*(1+Inputs!$B$34/100)),MAX(0,Inputs!$B$43-((R1591-1)*Skills!D16))))/Inputs!$B$43),IF(Inputs!$B$38="pvp",MIN((Skills!T16*(1+Inputs!$B$34/100)),15)/15,(Skills!T16*(1+Inputs!$B$34/100))/Skills!D16)))+((C1606=TRUE)*(F1606-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09">
      <c r="A1609" t="inlineStr">
        <is>
          <t>Global Crit Rate Bonus %</t>
        </is>
      </c>
      <c r="B1609">
        <f>(C1592=TRUE)*20*IF(AND(Inputs!$B$38&lt;&gt;"pvp",Inputs!$B$43&gt;0),(((R1592-1)*(Skills!T17*(1+Inputs!$B$34/100))+MIN((Skills!T17*(1+Inputs!$B$34/100)),MAX(0,Inputs!$B$43-((R1592-1)*Skills!D17))))/Inputs!$B$43),IF(Inputs!$B$38="pvp",MIN((Skills!T17*(1+Inputs!$B$34/100)),15)/15,(Skills!T17*(1+Inputs!$B$34/100))/Skills!D17))</f>
        <v/>
      </c>
    </row>
    <row r="1610">
      <c r="A1610" t="inlineStr">
        <is>
          <t>Attack Speed Buff Bonus %</t>
        </is>
      </c>
      <c r="B1610">
        <f>((C1595=TRUE)*F1595*IF(AND(Inputs!$B$38&lt;&gt;"pvp",Inputs!$B$43&gt;0),(((R1595-1)*(Skills!T20*(1+Inputs!$B$34/100))+MIN((Skills!T20*(1+Inputs!$B$34/100)),MAX(0,Inputs!$B$43-((R1595-1)*Skills!D20))))/Inputs!$B$43),IF(Inputs!$B$38="pvp",MIN((Skills!T20*(1+Inputs!$B$34/100)),15)/15,(Skills!T20*(1+Inputs!$B$34/100))/Skills!D20)))</f>
        <v/>
      </c>
    </row>
    <row r="1611">
      <c r="A1611" t="inlineStr">
        <is>
          <t>Actions Per Second</t>
        </is>
      </c>
      <c r="B1611">
        <f>1+MIN(150,150*(1-(1-(Inputs!$B$11+((C1597=TRUE)*(F1597-Calc!F22))+((C1598=TRUE)*(F1598-Calc!F23)))/150)*(1-B1610/150)))/100</f>
        <v/>
      </c>
    </row>
    <row r="1612">
      <c r="A1612" t="inlineStr">
        <is>
          <t>Skill + Buff Cast Rate</t>
        </is>
      </c>
      <c r="B1612">
        <f>IF(AND(Inputs!$B$38&lt;&gt;"pvp",Inputs!$B$43&gt;0),SUMPRODUCT((Skills!E2:E31=TRUE)*(C1577:C1606=TRUE)*R1577:R1606*Skills!F2:F31)/Inputs!$B$43,SUMPRODUCT((Skills!E2:E31=TRUE)*(C1577:C1606=TRUE)*Q1577:Q1606*Skills!F2:F31))</f>
        <v/>
      </c>
    </row>
    <row r="1613">
      <c r="A1613" t="inlineStr">
        <is>
          <t>Arrow Stream Casts Per Second</t>
        </is>
      </c>
      <c r="B1613">
        <f>MAX(0,B1611-B1612)</f>
        <v/>
      </c>
    </row>
    <row r="1614">
      <c r="A1614" t="inlineStr">
        <is>
          <t>Global Critical Damage Bonus % (Sharp Eyes + Concentration)</t>
        </is>
      </c>
      <c r="B1614">
        <f>(C1592=TRUE)*F1592*IF(AND(Inputs!$B$38&lt;&gt;"pvp",Inputs!$B$43&gt;0),(((R1592-1)*(Skills!T17*(1+Inputs!$B$34/100))+MIN((Skills!T17*(1+Inputs!$B$34/100)),MAX(0,Inputs!$B$43-((R1592-1)*Skills!D17))))/Inputs!$B$43),IF(Inputs!$B$38="pvp",MIN((Skills!T17*(1+Inputs!$B$34/100)),15)/15,(Skills!T17*(1+Inputs!$B$34/100))/Skills!D17))+(C1593=TRUE)*30</f>
        <v/>
      </c>
    </row>
    <row r="1615">
      <c r="A1615" t="inlineStr">
        <is>
          <t>Global Final Damage Bonus % (Mortal Blow)</t>
        </is>
      </c>
      <c r="B1615">
        <f>(C1594=TRUE)*F1594</f>
        <v/>
      </c>
    </row>
    <row r="1616">
      <c r="A1616" t="inlineStr">
        <is>
          <t>Buff-Casting Startup Delay (s, fixed-duration only)</t>
        </is>
      </c>
      <c r="B1616">
        <f>IF(AND(Inputs!$B$38&lt;&gt;"pvp",Inputs!$B$43&gt;0),SUMPRODUCT((Skills!T2:T31&gt;0)*(Skills!E2:E31=TRUE)*(C1577:C1606=TRUE))/B1611,0)</f>
        <v/>
      </c>
    </row>
    <row r="1617">
      <c r="A1617" t="inlineStr">
        <is>
          <t>Boss-Only Total DPS (this block's swept value)</t>
        </is>
      </c>
      <c r="B1617">
        <f>SUM(T1577:T1606)</f>
        <v/>
      </c>
    </row>
    <row r="1618">
      <c r="A1618" t="inlineStr">
        <is>
          <t>Normal-Only Total DPS (this block's swept value)</t>
        </is>
      </c>
      <c r="B1618">
        <f>SUM(V1577:V1606)</f>
        <v/>
      </c>
    </row>
    <row r="1619">
      <c r="A1619" s="6" t="inlineStr">
        <is>
          <t>TOTAL DPS</t>
        </is>
      </c>
      <c r="B1619" s="6">
        <f>SUM(O1577:O1606)</f>
        <v/>
      </c>
    </row>
    <row r="1622">
      <c r="A1622" s="6" t="inlineStr">
        <is>
          <t>Stat: Mushmom's Cap (Equip)</t>
        </is>
      </c>
    </row>
    <row r="1623">
      <c r="A1623" s="5" t="inlineStr">
        <is>
          <t>Key</t>
        </is>
      </c>
      <c r="B1623" s="5" t="inlineStr">
        <is>
          <t>Name</t>
        </is>
      </c>
      <c r="C1623" s="5" t="inlineStr">
        <is>
          <t>Unlocked</t>
        </is>
      </c>
      <c r="D1623" s="5" t="inlineStr">
        <is>
          <t>InputLevel</t>
        </is>
      </c>
      <c r="E1623" s="5" t="inlineStr">
        <is>
          <t>Factor</t>
        </is>
      </c>
      <c r="F1623" s="5" t="inlineStr">
        <is>
          <t>CoefficientPercent</t>
        </is>
      </c>
      <c r="G1623" s="5" t="inlineStr">
        <is>
          <t>EffectiveHits</t>
        </is>
      </c>
      <c r="H1623" s="5" t="inlineStr">
        <is>
          <t>ProcProbability</t>
        </is>
      </c>
      <c r="I1623" s="5" t="inlineStr">
        <is>
          <t>MapleHeroMultiplier</t>
        </is>
      </c>
      <c r="J1623" s="5" t="inlineStr">
        <is>
          <t>BaseDamage</t>
        </is>
      </c>
      <c r="K1623" s="5" t="inlineStr">
        <is>
          <t>BaseHitDamage</t>
        </is>
      </c>
      <c r="L1623" s="5" t="inlineStr">
        <is>
          <t>NonCritAvg</t>
        </is>
      </c>
      <c r="M1623" s="5" t="inlineStr">
        <is>
          <t>CritAvg</t>
        </is>
      </c>
      <c r="N1623" s="5" t="inlineStr">
        <is>
          <t>ExpectedDamage(perHit)</t>
        </is>
      </c>
      <c r="O1623" s="5" t="inlineStr">
        <is>
          <t>DPS</t>
        </is>
      </c>
      <c r="P1623" s="5" t="inlineStr">
        <is>
          <t>% of Total</t>
        </is>
      </c>
      <c r="Q1623" s="5" t="inlineStr">
        <is>
          <t>InvCooldown</t>
        </is>
      </c>
      <c r="R1623" s="5" t="inlineStr">
        <is>
          <t>CastsInFight</t>
        </is>
      </c>
      <c r="S1623" s="5" t="inlineStr">
        <is>
          <t>HitRate(perSec)</t>
        </is>
      </c>
      <c r="U1623" t="inlineStr">
        <is>
          <t>helpers</t>
        </is>
      </c>
    </row>
    <row r="1624">
      <c r="A1624">
        <f>Skills!A2</f>
        <v/>
      </c>
      <c r="B1624">
        <f>Skills!B2</f>
        <v/>
      </c>
      <c r="C1624">
        <f>Inputs!$B$3&gt;=100</f>
        <v/>
      </c>
      <c r="D1624" t="inlineStr"/>
      <c r="E1624" t="inlineStr"/>
      <c r="F1624">
        <f>U1626+Skills!O2</f>
        <v/>
      </c>
      <c r="G1624">
        <f>Skills!G2*IF(Skills!H2&gt;0,Skills!I2/Skills!H2,1)</f>
        <v/>
      </c>
      <c r="H1624">
        <f>1-(1-Skills!J2/100)^Skills!K2</f>
        <v/>
      </c>
      <c r="I1624" t="inlineStr">
        <is>
          <t>1</t>
        </is>
      </c>
      <c r="J1624">
        <f>((Inputs!$B$6*(1+Inputs!$B$7/100))+(((Inputs!$B$12*(1+Inputs!$B$13/100))-(Inputs!$B$12*(1+Inputs!$B$13/100)))+0.25*(Inputs!$B$14-Inputs!$B$14))*(1+Inputs!$B$7/100))*(F1624/100)</f>
        <v/>
      </c>
      <c r="K1624">
        <f>J1624*(1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1624)</f>
        <v/>
      </c>
      <c r="L1624">
        <f>K1624*(MIN(Inputs!$B$22+((C1647=TRUE)*(F1647-Calc!F25)),(Inputs!$B$23+((C1652=TRUE)*(F1652-Calc!F30))+(IF(ArtifactsInput!$M$15,CHOOSE(ArtifactsInput!$N$15+1,25,30,35,40,45,50)/100*(Inputs!$B$11-Inputs!$B$11),0))))/100+(Inputs!$B$23+((C1652=TRUE)*(F1652-Calc!F30))+(IF(ArtifactsInput!$M$15,CHOOSE(ArtifactsInput!$N$15+1,25,30,35,40,45,50)/100*(Inputs!$B$11-Inputs!$B$11),0)))/100)/2</f>
        <v/>
      </c>
      <c r="M1624">
        <f>L1624*(1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4">
        <f>L1624*(1-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1624*(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4">
        <f>(1-Summary!$B$11)*T1624+Summary!$B$11*V1624</f>
        <v/>
      </c>
      <c r="P1624">
        <f>IF(B1666=0,0,O1624/B1666)</f>
        <v/>
      </c>
      <c r="Q1624" t="n">
        <v>0</v>
      </c>
      <c r="R1624" t="n">
        <v>0</v>
      </c>
      <c r="S1624">
        <f>IFERROR(O1624/N1624,0)</f>
        <v/>
      </c>
      <c r="T1624">
        <f>IF(C1624,(Skills!G2*N1624*B1660)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1624*(1-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1624*(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1624*(1-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1624*(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4">
        <f>MAX(0,(Inputs!$B$3-100)*3)+Inputs!$B$28+Inputs!$B$29</f>
        <v/>
      </c>
      <c r="V1624">
        <f>IF(C1624,(Skills!G2*N1624*B1660)*IF(Inputs!$B$38="pvp",1,(1+(Inputs!$B$21+Skills!Q2+(IF(ArtifactsInput!$M$33,CHOOSE(ArtifactsInput!$N$33+1,30,36,42,48,54,60),0))+(IF(AND(ArtifactsInput!$M$35,Inputs!$B$4&lt;&gt;"Chapter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5">
      <c r="A1625">
        <f>Skills!A3</f>
        <v/>
      </c>
      <c r="B1625">
        <f>Skills!B3</f>
        <v/>
      </c>
      <c r="C1625">
        <f>Inputs!$B$3&gt;=50</f>
        <v/>
      </c>
      <c r="D1625">
        <f>IF(Skills!C3=1,60+Inputs!$B$25+Inputs!$B$29,IF(Skills!C3=2,90+Inputs!$B$26+Inputs!$B$29,IF(Skills!C3=3,120+Inputs!$B$27+Inputs!$B$29,MAX(0,(Inputs!$B$3-100)*3)+Inputs!$B$28+Inputs!$B$29)))</f>
        <v/>
      </c>
      <c r="E1625">
        <f>INDEX(FactorTable!$B$2:$Y$301, MATCH(ROUND(MIN(300,MAX(1,D1625)),0), FactorTable!$A$2:$A$301,0), Skills!M3+1)</f>
        <v/>
      </c>
      <c r="F1625">
        <f>IF(Skills!N3=TRUE,(Skills!L3/10)*(E1625/1000),Skills!L3/10)+Skills!O3</f>
        <v/>
      </c>
      <c r="G1625">
        <f>Skills!G3*IF(Skills!H3&gt;0,Skills!I3/Skills!H3,1)</f>
        <v/>
      </c>
      <c r="H1625">
        <f>1-(1-Skills!J3/100)^Skills!K3</f>
        <v/>
      </c>
      <c r="I1625" t="inlineStr">
        <is>
          <t>1</t>
        </is>
      </c>
      <c r="J1625">
        <f>((Inputs!$B$6*(1+Inputs!$B$7/100))+(((Inputs!$B$12*(1+Inputs!$B$13/100))-(Inputs!$B$12*(1+Inputs!$B$13/100)))+0.25*(Inputs!$B$14-Inputs!$B$14))*(1+Inputs!$B$7/100))*(F1625/100)</f>
        <v/>
      </c>
      <c r="K1625">
        <f>J1625*(1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1626=TRUE,F1626,0)/100)*(1+(IF(Skills!A3="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1625)</f>
        <v/>
      </c>
      <c r="L1625">
        <f>K1625*(MIN(Inputs!$B$22+((C1647=TRUE)*(F1647-Calc!F25)),(Inputs!$B$23+((C1652=TRUE)*(F1652-Calc!F30))+(IF(ArtifactsInput!$M$15,CHOOSE(ArtifactsInput!$N$15+1,25,30,35,40,45,50)/100*(Inputs!$B$11-Inputs!$B$11),0))))/100+(Inputs!$B$23+((C1652=TRUE)*(F1652-Calc!F30))+(IF(ArtifactsInput!$M$15,CHOOSE(ArtifactsInput!$N$15+1,25,30,35,40,45,50)/100*(Inputs!$B$11-Inputs!$B$11),0)))/100)/2</f>
        <v/>
      </c>
      <c r="M1625">
        <f>L1625*(1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5">
        <f>L1625*(1-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1625*(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5">
        <f>(1-Summary!$B$11)*T1625+Summary!$B$11*V1625</f>
        <v/>
      </c>
      <c r="P1625">
        <f>IF(B1666=0,0,O1625/B1666)</f>
        <v/>
      </c>
      <c r="Q1625">
        <f>IFERROR(1/(IF(Inputs!$B$38="pvp",15,MAX(0.1,Skills!D3-IF(Skills!E3=TRUE,Inputs!$B$32,0)))*(1-IF(AND(ArtifactsInput!$M$27,Inputs!$B$4="Chapter Hunt"),CHOOSE(ArtifactsInput!$N$27+1,20,24,28,32,36,40),0)/100)),0)</f>
        <v/>
      </c>
      <c r="R1625">
        <f>IF(AND(Inputs!$B$38&lt;&gt;"pvp",Inputs!$B$43&gt;0),IF(MAX(0,Inputs!$B$43-B1663)&lt;=0,0,(INT(MAX(0,Inputs!$B$43-B1663)/(IF(Inputs!$B$38="pvp",15,MAX(0.1,Skills!D3-IF(Skills!E3=TRUE,Inputs!$B$32,0)))*(1-IF(AND(ArtifactsInput!$M$27,Inputs!$B$4="Chapter Hunt"),CHOOSE(ArtifactsInput!$N$27+1,20,24,28,32,36,40),0)/100)))+1)),0)</f>
        <v/>
      </c>
      <c r="S1625">
        <f>IFERROR(O1625/N1625,0)</f>
        <v/>
      </c>
      <c r="T1625">
        <f>IF(C1625,(H1625*N1625*IF(AND(Inputs!$B$38&lt;&gt;"pvp",Inputs!$B$43&gt;0),((Skills!G3*((R1625-1)*IF(Skills!H3&gt;0,Skills!I3/Skills!H3,1)+IF(Skills!H3&gt;0,MIN(Skills!I3,MAX(0,MAX(0,Inputs!$B$43-B1663)-((R1625-1)*(IF(Inputs!$B$38="pvp",15,MAX(0.1,Skills!D3-IF(Skills!E3=TRUE,Inputs!$B$32,0)))*(1-IF(AND(ArtifactsInput!$M$27,Inputs!$B$4="Chapter Hunt"),CHOOSE(ArtifactsInput!$N$27+1,20,24,28,32,36,40),0)/100)))))/Skills!H3,1)))/Inputs!$B$43),G1625*Q1625)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1625*(1-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1625*(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1625*(1-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1625*(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5">
        <f>INDEX(FactorTable!$B$2:$Y$301, MATCH(ROUND(MIN(300,MAX(1,U1624)),0), FactorTable!$A$2:$A$301,0), 22)</f>
        <v/>
      </c>
      <c r="V1625">
        <f>IF(C1625,(H1625*N1625*IF(AND(Inputs!$B$38&lt;&gt;"pvp",Inputs!$B$43&gt;0),((Skills!G3*((R1625-1)*IF(Skills!H3&gt;0,Skills!I3/Skills!H3,1)+IF(Skills!H3&gt;0,MIN(Skills!I3,MAX(0,MAX(0,Inputs!$B$43-B1663)-((R1625-1)*(IF(Inputs!$B$38="pvp",15,MAX(0.1,Skills!D3-IF(Skills!E3=TRUE,Inputs!$B$32,0)))*(1-IF(AND(ArtifactsInput!$M$27,Inputs!$B$4="Chapter Hunt"),CHOOSE(ArtifactsInput!$N$27+1,20,24,28,32,36,40),0)/100)))))/Skills!H3,1)))/Inputs!$B$43),G1625*Q1625))*IF(Inputs!$B$38="pvp",1,(1+(Inputs!$B$21+Skills!Q3+(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6">
      <c r="A1626">
        <f>Skills!A4</f>
        <v/>
      </c>
      <c r="B1626">
        <f>Skills!B4</f>
        <v/>
      </c>
      <c r="C1626">
        <f>Inputs!$B$3&gt;=105</f>
        <v/>
      </c>
      <c r="D1626">
        <f>IF(Skills!C4=1,60+Inputs!$B$25+Inputs!$B$29,IF(Skills!C4=2,90+Inputs!$B$26+Inputs!$B$29,IF(Skills!C4=3,120+Inputs!$B$27+Inputs!$B$29,MAX(0,(Inputs!$B$3-100)*3)+Inputs!$B$28+Inputs!$B$29)))</f>
        <v/>
      </c>
      <c r="E1626">
        <f>INDEX(FactorTable!$B$2:$Y$301, MATCH(ROUND(MIN(300,MAX(1,D1626)),0), FactorTable!$A$2:$A$301,0), Skills!M4+1)</f>
        <v/>
      </c>
      <c r="F1626">
        <f>IF(Skills!N4=TRUE,(Skills!L4/10)*(E1626/1000),Skills!L4/10)+Skills!O4</f>
        <v/>
      </c>
      <c r="G1626" t="inlineStr"/>
      <c r="H1626" t="inlineStr"/>
      <c r="I1626" t="inlineStr">
        <is>
          <t>1</t>
        </is>
      </c>
      <c r="J1626" t="inlineStr"/>
      <c r="K1626" t="inlineStr"/>
      <c r="L1626" t="inlineStr"/>
      <c r="M1626" t="inlineStr"/>
      <c r="N1626" t="inlineStr"/>
      <c r="O1626" t="inlineStr"/>
      <c r="P1626" t="inlineStr"/>
      <c r="Q1626" t="inlineStr"/>
      <c r="R1626" t="inlineStr"/>
      <c r="S1626" t="inlineStr"/>
      <c r="T1626" t="inlineStr"/>
      <c r="U1626">
        <f>290*U1625/1000</f>
        <v/>
      </c>
      <c r="V1626" t="inlineStr"/>
    </row>
    <row r="1627">
      <c r="A1627">
        <f>Skills!A5</f>
        <v/>
      </c>
      <c r="B1627">
        <f>Skills!B5</f>
        <v/>
      </c>
      <c r="C1627">
        <f>Inputs!$B$3&gt;=35</f>
        <v/>
      </c>
      <c r="D1627">
        <f>IF(Skills!C5=1,60+Inputs!$B$25+Inputs!$B$29,IF(Skills!C5=2,90+Inputs!$B$26+Inputs!$B$29,IF(Skills!C5=3,120+Inputs!$B$27+Inputs!$B$29,MAX(0,(Inputs!$B$3-100)*3)+Inputs!$B$28+Inputs!$B$29)))</f>
        <v/>
      </c>
      <c r="E1627">
        <f>INDEX(FactorTable!$B$2:$Y$301, MATCH(ROUND(MIN(300,MAX(1,D1627)),0), FactorTable!$A$2:$A$301,0), Skills!M5+1)</f>
        <v/>
      </c>
      <c r="F1627">
        <f>IF(Skills!N5=TRUE,(Skills!L5/10)*(E1627/1000),Skills!L5/10)+Skills!O5</f>
        <v/>
      </c>
      <c r="G1627">
        <f>Skills!G5*IF(Skills!H5&gt;0,Skills!I5/Skills!H5,1)</f>
        <v/>
      </c>
      <c r="H1627">
        <f>1-(1-Skills!J5/100)^Skills!K5</f>
        <v/>
      </c>
      <c r="I1627" t="inlineStr">
        <is>
          <t>1</t>
        </is>
      </c>
      <c r="J1627">
        <f>((Inputs!$B$6*(1+Inputs!$B$7/100))+(((Inputs!$B$12*(1+Inputs!$B$13/100))-(Inputs!$B$12*(1+Inputs!$B$13/100)))+0.25*(Inputs!$B$14-Inputs!$B$14))*(1+Inputs!$B$7/100))*(F1627/100)</f>
        <v/>
      </c>
      <c r="K1627">
        <f>J1627*(1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1633=TRUE,F1633,0)/100)*(1+(IF(Skills!A5="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1627)</f>
        <v/>
      </c>
      <c r="L1627">
        <f>K1627*(MIN(Inputs!$B$22+((C1647=TRUE)*(F1647-Calc!F25)),(Inputs!$B$23+((C1652=TRUE)*(F1652-Calc!F30))+(IF(ArtifactsInput!$M$15,CHOOSE(ArtifactsInput!$N$15+1,25,30,35,40,45,50)/100*(Inputs!$B$11-Inputs!$B$11),0))))/100+(Inputs!$B$23+((C1652=TRUE)*(F1652-Calc!F30))+(IF(ArtifactsInput!$M$15,CHOOSE(ArtifactsInput!$N$15+1,25,30,35,40,45,50)/100*(Inputs!$B$11-Inputs!$B$11),0)))/100)/2</f>
        <v/>
      </c>
      <c r="M1627">
        <f>L1627*(1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7">
        <f>L1627*(1-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1627*(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7">
        <f>(1-Summary!$B$11)*T1627+Summary!$B$11*V1627</f>
        <v/>
      </c>
      <c r="P1627">
        <f>IF(B1666=0,0,O1627/B1666)</f>
        <v/>
      </c>
      <c r="Q1627">
        <f>IFERROR(1/(IF(Inputs!$B$38="pvp",15,MAX(0.1,Skills!D5-IF(Skills!E5=TRUE,Inputs!$B$32,0)))*(1-IF(AND(ArtifactsInput!$M$27,Inputs!$B$4="Chapter Hunt"),CHOOSE(ArtifactsInput!$N$27+1,20,24,28,32,36,40),0)/100)),0)</f>
        <v/>
      </c>
      <c r="R1627">
        <f>IF(AND(Inputs!$B$38&lt;&gt;"pvp",Inputs!$B$43&gt;0),IF(MAX(0,Inputs!$B$43-B1663)&lt;=0,0,(INT(MAX(0,Inputs!$B$43-B1663)/(IF(Inputs!$B$38="pvp",15,MAX(0.1,Skills!D5-IF(Skills!E5=TRUE,Inputs!$B$32,0)))*(1-IF(AND(ArtifactsInput!$M$27,Inputs!$B$4="Chapter Hunt"),CHOOSE(ArtifactsInput!$N$27+1,20,24,28,32,36,40),0)/100)))+1)),0)</f>
        <v/>
      </c>
      <c r="S1627">
        <f>IFERROR(O1627/N1627,0)</f>
        <v/>
      </c>
      <c r="T1627">
        <f>IF(C1627,(H1627*N1627*IF(AND(Inputs!$B$38&lt;&gt;"pvp",Inputs!$B$43&gt;0),((Skills!G5*((R1627-1)*IF(Skills!H5&gt;0,Skills!I5/Skills!H5,1)+IF(Skills!H5&gt;0,MIN(Skills!I5,MAX(0,MAX(0,Inputs!$B$43-B1663)-((R1627-1)*(IF(Inputs!$B$38="pvp",15,MAX(0.1,Skills!D5-IF(Skills!E5=TRUE,Inputs!$B$32,0)))*(1-IF(AND(ArtifactsInput!$M$27,Inputs!$B$4="Chapter Hunt"),CHOOSE(ArtifactsInput!$N$27+1,20,24,28,32,36,40),0)/100)))))/Skills!H5,1)))/Inputs!$B$43),G1627*Q1627)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1627*(1-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1627*(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1627*(1-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1627*(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27">
        <f>IF(C1627,(H1627*N1627*IF(AND(Inputs!$B$38&lt;&gt;"pvp",Inputs!$B$43&gt;0),((Skills!G5*((R1627-1)*IF(Skills!H5&gt;0,Skills!I5/Skills!H5,1)+IF(Skills!H5&gt;0,MIN(Skills!I5,MAX(0,MAX(0,Inputs!$B$43-B1663)-((R1627-1)*(IF(Inputs!$B$38="pvp",15,MAX(0.1,Skills!D5-IF(Skills!E5=TRUE,Inputs!$B$32,0)))*(1-IF(AND(ArtifactsInput!$M$27,Inputs!$B$4="Chapter Hunt"),CHOOSE(ArtifactsInput!$N$27+1,20,24,28,32,36,40),0)/100)))))/Skills!H5,1)))/Inputs!$B$43),G1627*Q1627))*IF(Inputs!$B$38="pvp",1,(1+(Inputs!$B$21+Skills!Q5+(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8">
      <c r="A1628">
        <f>Skills!A6</f>
        <v/>
      </c>
      <c r="B1628">
        <f>Skills!B6</f>
        <v/>
      </c>
      <c r="C1628">
        <f>Inputs!$B$3&gt;=40</f>
        <v/>
      </c>
      <c r="D1628">
        <f>IF(Skills!C6=1,60+Inputs!$B$25+Inputs!$B$29,IF(Skills!C6=2,90+Inputs!$B$26+Inputs!$B$29,IF(Skills!C6=3,120+Inputs!$B$27+Inputs!$B$29,MAX(0,(Inputs!$B$3-100)*3)+Inputs!$B$28+Inputs!$B$29)))</f>
        <v/>
      </c>
      <c r="E1628">
        <f>INDEX(FactorTable!$B$2:$Y$301, MATCH(ROUND(MIN(300,MAX(1,D1628)),0), FactorTable!$A$2:$A$301,0), Skills!M6+1)</f>
        <v/>
      </c>
      <c r="F1628">
        <f>IF(Skills!N6=TRUE,(Skills!L6/10)*(E1628/1000),Skills!L6/10)+Skills!O6</f>
        <v/>
      </c>
      <c r="G1628">
        <f>Skills!G6*IF(Skills!H6&gt;0,Skills!I6/Skills!H6,1)</f>
        <v/>
      </c>
      <c r="H1628">
        <f>1-(1-Skills!J6/100)^Skills!K6</f>
        <v/>
      </c>
      <c r="I1628" t="inlineStr">
        <is>
          <t>1</t>
        </is>
      </c>
      <c r="J1628">
        <f>((Inputs!$B$6*(1+Inputs!$B$7/100))+(((Inputs!$B$12*(1+Inputs!$B$13/100))-(Inputs!$B$12*(1+Inputs!$B$13/100)))+0.25*(Inputs!$B$14-Inputs!$B$14))*(1+Inputs!$B$7/100))*(F1628/100)</f>
        <v/>
      </c>
      <c r="K1628">
        <f>J1628*(1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1629=TRUE,F1629,0)/100)*(1+(IF(Skills!A6="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1628)</f>
        <v/>
      </c>
      <c r="L1628">
        <f>K1628*(MIN(Inputs!$B$22+((C1647=TRUE)*(F1647-Calc!F25)),(Inputs!$B$23+((C1652=TRUE)*(F1652-Calc!F30))+(IF(ArtifactsInput!$M$15,CHOOSE(ArtifactsInput!$N$15+1,25,30,35,40,45,50)/100*(Inputs!$B$11-Inputs!$B$11),0))))/100+(Inputs!$B$23+((C1652=TRUE)*(F1652-Calc!F30))+(IF(ArtifactsInput!$M$15,CHOOSE(ArtifactsInput!$N$15+1,25,30,35,40,45,50)/100*(Inputs!$B$11-Inputs!$B$11),0)))/100)/2</f>
        <v/>
      </c>
      <c r="M1628">
        <f>L1628*(1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8">
        <f>L1628*(1-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1628*(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8">
        <f>(1-Summary!$B$11)*T1628+Summary!$B$11*V1628</f>
        <v/>
      </c>
      <c r="P1628">
        <f>IF(B1666=0,0,O1628/B1666)</f>
        <v/>
      </c>
      <c r="Q1628">
        <f>IFERROR(1/(IF(Inputs!$B$38="pvp",15,MAX(0.1,Skills!D6-IF(Skills!E6=TRUE,Inputs!$B$32,0)))*(1-IF(AND(ArtifactsInput!$M$27,Inputs!$B$4="Chapter Hunt"),CHOOSE(ArtifactsInput!$N$27+1,20,24,28,32,36,40),0)/100)),0)</f>
        <v/>
      </c>
      <c r="R1628">
        <f>IF(AND(Inputs!$B$38&lt;&gt;"pvp",Inputs!$B$43&gt;0),IF(MAX(0,Inputs!$B$43-B1663)&lt;=0,0,(INT(MAX(0,Inputs!$B$43-B1663)/(IF(Inputs!$B$38="pvp",15,MAX(0.1,Skills!D6-IF(Skills!E6=TRUE,Inputs!$B$32,0)))*(1-IF(AND(ArtifactsInput!$M$27,Inputs!$B$4="Chapter Hunt"),CHOOSE(ArtifactsInput!$N$27+1,20,24,28,32,36,40),0)/100)))+1)),0)</f>
        <v/>
      </c>
      <c r="S1628">
        <f>IFERROR(O1628/N1628,0)</f>
        <v/>
      </c>
      <c r="T1628">
        <f>IF(C1628,(H1628*N1628*IF(AND(Inputs!$B$38&lt;&gt;"pvp",Inputs!$B$43&gt;0),((Skills!G6*((R1628-1)*IF(Skills!H6&gt;0,Skills!I6/Skills!H6,1)+IF(Skills!H6&gt;0,MIN(Skills!I6,MAX(0,MAX(0,Inputs!$B$43-B1663)-((R1628-1)*(IF(Inputs!$B$38="pvp",15,MAX(0.1,Skills!D6-IF(Skills!E6=TRUE,Inputs!$B$32,0)))*(1-IF(AND(ArtifactsInput!$M$27,Inputs!$B$4="Chapter Hunt"),CHOOSE(ArtifactsInput!$N$27+1,20,24,28,32,36,40),0)/100)))))/Skills!H6,1)))/Inputs!$B$43),G1628*Q1628)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1628*(1-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1628*(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1628*(1-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1628*(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28">
        <f>IF(C1628,(H1628*N1628*IF(AND(Inputs!$B$38&lt;&gt;"pvp",Inputs!$B$43&gt;0),((Skills!G6*((R1628-1)*IF(Skills!H6&gt;0,Skills!I6/Skills!H6,1)+IF(Skills!H6&gt;0,MIN(Skills!I6,MAX(0,MAX(0,Inputs!$B$43-B1663)-((R1628-1)*(IF(Inputs!$B$38="pvp",15,MAX(0.1,Skills!D6-IF(Skills!E6=TRUE,Inputs!$B$32,0)))*(1-IF(AND(ArtifactsInput!$M$27,Inputs!$B$4="Chapter Hunt"),CHOOSE(ArtifactsInput!$N$27+1,20,24,28,32,36,40),0)/100)))))/Skills!H6,1)))/Inputs!$B$43),G1628*Q1628))*IF(Inputs!$B$38="pvp",1,(1+(Inputs!$B$21+Skills!Q6+(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9">
      <c r="A1629">
        <f>Skills!A7</f>
        <v/>
      </c>
      <c r="B1629">
        <f>Skills!B7</f>
        <v/>
      </c>
      <c r="C1629">
        <f>Inputs!$B$3&gt;=107</f>
        <v/>
      </c>
      <c r="D1629">
        <f>IF(Skills!C7=1,60+Inputs!$B$25+Inputs!$B$29,IF(Skills!C7=2,90+Inputs!$B$26+Inputs!$B$29,IF(Skills!C7=3,120+Inputs!$B$27+Inputs!$B$29,MAX(0,(Inputs!$B$3-100)*3)+Inputs!$B$28+Inputs!$B$29)))</f>
        <v/>
      </c>
      <c r="E1629">
        <f>INDEX(FactorTable!$B$2:$Y$301, MATCH(ROUND(MIN(300,MAX(1,D1629)),0), FactorTable!$A$2:$A$301,0), Skills!M7+1)</f>
        <v/>
      </c>
      <c r="F1629">
        <f>IF(Skills!N7=TRUE,(Skills!L7/10)*(E1629/1000),Skills!L7/10)+Skills!O7</f>
        <v/>
      </c>
      <c r="G1629" t="inlineStr"/>
      <c r="H1629" t="inlineStr"/>
      <c r="I1629" t="inlineStr">
        <is>
          <t>1</t>
        </is>
      </c>
      <c r="J1629" t="inlineStr"/>
      <c r="K1629" t="inlineStr"/>
      <c r="L1629" t="inlineStr"/>
      <c r="M1629" t="inlineStr"/>
      <c r="N1629" t="inlineStr"/>
      <c r="O1629" t="inlineStr"/>
      <c r="P1629" t="inlineStr"/>
      <c r="Q1629" t="inlineStr"/>
      <c r="R1629" t="inlineStr"/>
      <c r="S1629" t="inlineStr"/>
      <c r="T1629" t="inlineStr"/>
      <c r="V1629" t="inlineStr"/>
    </row>
    <row r="1630">
      <c r="A1630">
        <f>Skills!A8</f>
        <v/>
      </c>
      <c r="B1630">
        <f>Skills!B8</f>
        <v/>
      </c>
      <c r="C1630">
        <f>Inputs!$B$3&gt;=69</f>
        <v/>
      </c>
      <c r="D1630">
        <f>IF(Skills!C8=1,60+Inputs!$B$25+Inputs!$B$29,IF(Skills!C8=2,90+Inputs!$B$26+Inputs!$B$29,IF(Skills!C8=3,120+Inputs!$B$27+Inputs!$B$29,MAX(0,(Inputs!$B$3-100)*3)+Inputs!$B$28+Inputs!$B$29)))</f>
        <v/>
      </c>
      <c r="E1630">
        <f>INDEX(FactorTable!$B$2:$Y$301, MATCH(ROUND(MIN(300,MAX(1,D1630)),0), FactorTable!$A$2:$A$301,0), Skills!M8+1)</f>
        <v/>
      </c>
      <c r="F1630">
        <f>IF(Skills!N8=TRUE,(Skills!L8/10)*(E1630/1000),Skills!L8/10)+Skills!O8</f>
        <v/>
      </c>
      <c r="G1630">
        <f>Skills!G8*IF(Skills!H8&gt;0,Skills!I8/Skills!H8,1)</f>
        <v/>
      </c>
      <c r="H1630">
        <f>1-(1-Skills!J8/100)^Skills!K8</f>
        <v/>
      </c>
      <c r="I1630" t="inlineStr">
        <is>
          <t>1</t>
        </is>
      </c>
      <c r="J1630">
        <f>((Inputs!$B$6*(1+Inputs!$B$7/100))+(((Inputs!$B$12*(1+Inputs!$B$13/100))-(Inputs!$B$12*(1+Inputs!$B$13/100)))+0.25*(Inputs!$B$14-Inputs!$B$14))*(1+Inputs!$B$7/100))*(F1630/100)</f>
        <v/>
      </c>
      <c r="K1630">
        <f>J1630*(1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1633=TRUE,F1633,0)/100)*(1+(IF(Skills!A8="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1630)</f>
        <v/>
      </c>
      <c r="L1630">
        <f>K1630*(MIN(Inputs!$B$22+((C1647=TRUE)*(F1647-Calc!F25)),(Inputs!$B$23+((C1652=TRUE)*(F1652-Calc!F30))+(IF(ArtifactsInput!$M$15,CHOOSE(ArtifactsInput!$N$15+1,25,30,35,40,45,50)/100*(Inputs!$B$11-Inputs!$B$11),0))))/100+(Inputs!$B$23+((C1652=TRUE)*(F1652-Calc!F30))+(IF(ArtifactsInput!$M$15,CHOOSE(ArtifactsInput!$N$15+1,25,30,35,40,45,50)/100*(Inputs!$B$11-Inputs!$B$11),0)))/100)/2</f>
        <v/>
      </c>
      <c r="M1630">
        <f>L1630*(1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0">
        <f>L1630*(1-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1630*(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0">
        <f>(1-Summary!$B$11)*T1630+Summary!$B$11*V1630</f>
        <v/>
      </c>
      <c r="P1630">
        <f>IF(B1666=0,0,O1630/B1666)</f>
        <v/>
      </c>
      <c r="Q1630">
        <f>IFERROR(1/(IF(Inputs!$B$38="pvp",15,MAX(0.1,Skills!D8-IF(Skills!E8=TRUE,Inputs!$B$32,0)))*(1-IF(AND(ArtifactsInput!$M$27,Inputs!$B$4="Chapter Hunt"),CHOOSE(ArtifactsInput!$N$27+1,20,24,28,32,36,40),0)/100)),0)</f>
        <v/>
      </c>
      <c r="R1630">
        <f>IF(AND(Inputs!$B$38&lt;&gt;"pvp",Inputs!$B$43&gt;0),IF(MAX(0,Inputs!$B$43-B1663)&lt;=0,0,(INT(MAX(0,Inputs!$B$43-B1663)/(IF(Inputs!$B$38="pvp",15,MAX(0.1,Skills!D8-IF(Skills!E8=TRUE,Inputs!$B$32,0)))*(1-IF(AND(ArtifactsInput!$M$27,Inputs!$B$4="Chapter Hunt"),CHOOSE(ArtifactsInput!$N$27+1,20,24,28,32,36,40),0)/100)))+1)),0)</f>
        <v/>
      </c>
      <c r="S1630">
        <f>IFERROR(O1630/N1630,0)</f>
        <v/>
      </c>
      <c r="T1630">
        <f>IF(C1630,(H1630*N1630*IF(AND(Inputs!$B$38&lt;&gt;"pvp",Inputs!$B$43&gt;0),((Skills!G8*((R1630-1)*IF(Skills!H8&gt;0,Skills!I8/Skills!H8,1)+IF(Skills!H8&gt;0,MIN(Skills!I8,MAX(0,MAX(0,Inputs!$B$43-B1663)-((R1630-1)*(IF(Inputs!$B$38="pvp",15,MAX(0.1,Skills!D8-IF(Skills!E8=TRUE,Inputs!$B$32,0)))*(1-IF(AND(ArtifactsInput!$M$27,Inputs!$B$4="Chapter Hunt"),CHOOSE(ArtifactsInput!$N$27+1,20,24,28,32,36,40),0)/100)))))/Skills!H8,1)))/Inputs!$B$43),G1630*Q1630)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1630*(1-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1630*(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1630*(1-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1630*(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0">
        <f>IF(C1630,(H1630*N1630*IF(AND(Inputs!$B$38&lt;&gt;"pvp",Inputs!$B$43&gt;0),((Skills!G8*((R1630-1)*IF(Skills!H8&gt;0,Skills!I8/Skills!H8,1)+IF(Skills!H8&gt;0,MIN(Skills!I8,MAX(0,MAX(0,Inputs!$B$43-B1663)-((R1630-1)*(IF(Inputs!$B$38="pvp",15,MAX(0.1,Skills!D8-IF(Skills!E8=TRUE,Inputs!$B$32,0)))*(1-IF(AND(ArtifactsInput!$M$27,Inputs!$B$4="Chapter Hunt"),CHOOSE(ArtifactsInput!$N$27+1,20,24,28,32,36,40),0)/100)))))/Skills!H8,1)))/Inputs!$B$43),G1630*Q1630))*IF(Inputs!$B$38="pvp",1,(1+(Inputs!$B$21+Skills!Q8+(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1">
      <c r="A1631">
        <f>Skills!A9</f>
        <v/>
      </c>
      <c r="B1631">
        <f>Skills!B9</f>
        <v/>
      </c>
      <c r="C1631">
        <f>Inputs!$B$3&gt;=63</f>
        <v/>
      </c>
      <c r="D1631">
        <f>IF(Skills!C9=1,60+Inputs!$B$25+Inputs!$B$29,IF(Skills!C9=2,90+Inputs!$B$26+Inputs!$B$29,IF(Skills!C9=3,120+Inputs!$B$27+Inputs!$B$29,MAX(0,(Inputs!$B$3-100)*3)+Inputs!$B$28+Inputs!$B$29)))</f>
        <v/>
      </c>
      <c r="E1631">
        <f>INDEX(FactorTable!$B$2:$Y$301, MATCH(ROUND(MIN(300,MAX(1,D1631)),0), FactorTable!$A$2:$A$301,0), Skills!M9+1)</f>
        <v/>
      </c>
      <c r="F1631">
        <f>IF(Skills!N9=TRUE,(Skills!L9/10)*(E1631/1000),Skills!L9/10)+Skills!O9</f>
        <v/>
      </c>
      <c r="G1631">
        <f>Skills!G9*IF(Skills!H9&gt;0,Skills!I9/Skills!H9,1)</f>
        <v/>
      </c>
      <c r="H1631">
        <f>1-(1-Skills!J9/100)^Skills!K9</f>
        <v/>
      </c>
      <c r="I1631" t="inlineStr">
        <is>
          <t>1</t>
        </is>
      </c>
      <c r="J1631">
        <f>((Inputs!$B$6*(1+Inputs!$B$7/100))+(((Inputs!$B$12*(1+Inputs!$B$13/100))-(Inputs!$B$12*(1+Inputs!$B$13/100)))+0.25*(Inputs!$B$14-Inputs!$B$14))*(1+Inputs!$B$7/100))*(F1631/100)</f>
        <v/>
      </c>
      <c r="K1631">
        <f>J1631*(1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1633=TRUE,F1633,0)/100)*(1+(IF(Skills!A9="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1631)</f>
        <v/>
      </c>
      <c r="L1631">
        <f>K1631*(MIN(Inputs!$B$22+((C1647=TRUE)*(F1647-Calc!F25)),(Inputs!$B$23+((C1652=TRUE)*(F1652-Calc!F30))+(IF(ArtifactsInput!$M$15,CHOOSE(ArtifactsInput!$N$15+1,25,30,35,40,45,50)/100*(Inputs!$B$11-Inputs!$B$11),0))))/100+(Inputs!$B$23+((C1652=TRUE)*(F1652-Calc!F30))+(IF(ArtifactsInput!$M$15,CHOOSE(ArtifactsInput!$N$15+1,25,30,35,40,45,50)/100*(Inputs!$B$11-Inputs!$B$11),0)))/100)/2</f>
        <v/>
      </c>
      <c r="M1631">
        <f>L1631*(1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1">
        <f>L1631*(1-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1">
        <f>(1-Summary!$B$11)*T1631+Summary!$B$11*V1631</f>
        <v/>
      </c>
      <c r="P1631">
        <f>IF(B1666=0,0,O1631/B1666)</f>
        <v/>
      </c>
      <c r="Q1631">
        <f>IFERROR(1/(IF(Inputs!$B$38="pvp",15,MAX(0.1,Skills!D9-IF(Skills!E9=TRUE,Inputs!$B$32,0)))*(1-IF(AND(ArtifactsInput!$M$27,Inputs!$B$4="Chapter Hunt"),CHOOSE(ArtifactsInput!$N$27+1,20,24,28,32,36,40),0)/100)),0)</f>
        <v/>
      </c>
      <c r="R1631">
        <f>IF(AND(Inputs!$B$38&lt;&gt;"pvp",Inputs!$B$43&gt;0),IF(MAX(0,Inputs!$B$43-B1663)&lt;=0,0,(INT(MAX(0,Inputs!$B$43-B1663)/(IF(Inputs!$B$38="pvp",15,MAX(0.1,Skills!D9-IF(Skills!E9=TRUE,Inputs!$B$32,0)))*(1-IF(AND(ArtifactsInput!$M$27,Inputs!$B$4="Chapter Hunt"),CHOOSE(ArtifactsInput!$N$27+1,20,24,28,32,36,40),0)/100)))+1)),0)</f>
        <v/>
      </c>
      <c r="S1631">
        <f>IFERROR(O1631/N1631,0)</f>
        <v/>
      </c>
      <c r="T1631">
        <f>IF(C1631,(H1631*N1631*IF(AND(Inputs!$B$38&lt;&gt;"pvp",Inputs!$B$43&gt;0),((Skills!G9*((R1631-1)*IF(Skills!H9&gt;0,Skills!I9/Skills!H9,1)+IF(Skills!H9&gt;0,MIN(Skills!I9,MAX(0,MAX(0,Inputs!$B$43-B1663)-((R1631-1)*(IF(Inputs!$B$38="pvp",15,MAX(0.1,Skills!D9-IF(Skills!E9=TRUE,Inputs!$B$32,0)))*(1-IF(AND(ArtifactsInput!$M$27,Inputs!$B$4="Chapter Hunt"),CHOOSE(ArtifactsInput!$N$27+1,20,24,28,32,36,40),0)/100)))))/Skills!H9,1)))/Inputs!$B$43),G1631*Q1631)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1631*(1-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1">
        <f>IF(C1631,(H1631*N1631*IF(AND(Inputs!$B$38&lt;&gt;"pvp",Inputs!$B$43&gt;0),((Skills!G9*((R1631-1)*IF(Skills!H9&gt;0,Skills!I9/Skills!H9,1)+IF(Skills!H9&gt;0,MIN(Skills!I9,MAX(0,MAX(0,Inputs!$B$43-B1663)-((R1631-1)*(IF(Inputs!$B$38="pvp",15,MAX(0.1,Skills!D9-IF(Skills!E9=TRUE,Inputs!$B$32,0)))*(1-IF(AND(ArtifactsInput!$M$27,Inputs!$B$4="Chapter Hunt"),CHOOSE(ArtifactsInput!$N$27+1,20,24,28,32,36,40),0)/100)))))/Skills!H9,1)))/Inputs!$B$43),G1631*Q1631))*IF(Inputs!$B$38="pvp",1,(1+(Inputs!$B$21+Skills!Q9+(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2">
      <c r="A1632">
        <f>Skills!A10</f>
        <v/>
      </c>
      <c r="B1632">
        <f>Skills!B10</f>
        <v/>
      </c>
      <c r="C1632">
        <f>Inputs!$B$3&gt;=103</f>
        <v/>
      </c>
      <c r="D1632">
        <f>IF(Skills!C10=1,60+Inputs!$B$25+Inputs!$B$29,IF(Skills!C10=2,90+Inputs!$B$26+Inputs!$B$29,IF(Skills!C10=3,120+Inputs!$B$27+Inputs!$B$29,MAX(0,(Inputs!$B$3-100)*3)+Inputs!$B$28+Inputs!$B$29)))</f>
        <v/>
      </c>
      <c r="E1632">
        <f>INDEX(FactorTable!$B$2:$Y$301, MATCH(ROUND(MIN(300,MAX(1,D1632)),0), FactorTable!$A$2:$A$301,0), Skills!M10+1)</f>
        <v/>
      </c>
      <c r="F1632">
        <f>IF(Skills!N10=TRUE,(Skills!L10/10)*(E1632/1000),Skills!L10/10)+Skills!O10</f>
        <v/>
      </c>
      <c r="G1632">
        <f>Skills!G10*IF(Skills!H10&gt;0,Skills!I10/Skills!H10,1)</f>
        <v/>
      </c>
      <c r="H1632">
        <f>1-(1-Skills!J10/100)^Skills!K10</f>
        <v/>
      </c>
      <c r="I1632" t="inlineStr">
        <is>
          <t>1</t>
        </is>
      </c>
      <c r="J1632">
        <f>((Inputs!$B$6*(1+Inputs!$B$7/100))+(((Inputs!$B$12*(1+Inputs!$B$13/100))-(Inputs!$B$12*(1+Inputs!$B$13/100)))+0.25*(Inputs!$B$14-Inputs!$B$14))*(1+Inputs!$B$7/100))*(F1632/100)</f>
        <v/>
      </c>
      <c r="K1632">
        <f>J1632*(1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1632)</f>
        <v/>
      </c>
      <c r="L1632">
        <f>K1632*(MIN(Inputs!$B$22+((C1647=TRUE)*(F1647-Calc!F25)),(Inputs!$B$23+((C1652=TRUE)*(F1652-Calc!F30))+(IF(ArtifactsInput!$M$15,CHOOSE(ArtifactsInput!$N$15+1,25,30,35,40,45,50)/100*(Inputs!$B$11-Inputs!$B$11),0))))/100+(Inputs!$B$23+((C1652=TRUE)*(F1652-Calc!F30))+(IF(ArtifactsInput!$M$15,CHOOSE(ArtifactsInput!$N$15+1,25,30,35,40,45,50)/100*(Inputs!$B$11-Inputs!$B$11),0)))/100)/2</f>
        <v/>
      </c>
      <c r="M1632">
        <f>L1632*(1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2">
        <f>L1632*(1-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1632*(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2">
        <f>(1-Summary!$B$11)*T1632+Summary!$B$11*V1632</f>
        <v/>
      </c>
      <c r="P1632">
        <f>IF(B1666=0,0,O1632/B1666)</f>
        <v/>
      </c>
      <c r="Q1632">
        <f>IFERROR(1/(IF(Inputs!$B$38="pvp",15,MAX(0.1,Skills!D10-IF(Skills!E10=TRUE,Inputs!$B$32,0)))*(1-IF(AND(ArtifactsInput!$M$27,Inputs!$B$4="Chapter Hunt"),CHOOSE(ArtifactsInput!$N$27+1,20,24,28,32,36,40),0)/100)),0)</f>
        <v/>
      </c>
      <c r="R1632">
        <f>IF(AND(Inputs!$B$38&lt;&gt;"pvp",Inputs!$B$43&gt;0),IF(MAX(0,Inputs!$B$43-B1663)&lt;=0,0,(INT(MAX(0,Inputs!$B$43-B1663)/(IF(Inputs!$B$38="pvp",15,MAX(0.1,Skills!D10-IF(Skills!E10=TRUE,Inputs!$B$32,0)))*(1-IF(AND(ArtifactsInput!$M$27,Inputs!$B$4="Chapter Hunt"),CHOOSE(ArtifactsInput!$N$27+1,20,24,28,32,36,40),0)/100)))+1)),0)</f>
        <v/>
      </c>
      <c r="S1632">
        <f>IFERROR(O1632/N1632,0)</f>
        <v/>
      </c>
      <c r="T1632">
        <f>IF(C1632,(H1632*N1632*IF(AND(Inputs!$B$38&lt;&gt;"pvp",Inputs!$B$43&gt;0),((Skills!G10*((R1632-1)*IF(Skills!H10&gt;0,Skills!I10/Skills!H10,1)+IF(Skills!H10&gt;0,MIN(Skills!I10,MAX(0,MAX(0,Inputs!$B$43-B1663)-((R1632-1)*(IF(Inputs!$B$38="pvp",15,MAX(0.1,Skills!D10-IF(Skills!E10=TRUE,Inputs!$B$32,0)))*(1-IF(AND(ArtifactsInput!$M$27,Inputs!$B$4="Chapter Hunt"),CHOOSE(ArtifactsInput!$N$27+1,20,24,28,32,36,40),0)/100)))))/Skills!H10,1)))/Inputs!$B$43),G1632*Q1632)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1632*(1-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1632*(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1632*(1-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1632*(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2">
        <f>IF(C1632,(H1632*N1632*IF(AND(Inputs!$B$38&lt;&gt;"pvp",Inputs!$B$43&gt;0),((Skills!G10*((R1632-1)*IF(Skills!H10&gt;0,Skills!I10/Skills!H10,1)+IF(Skills!H10&gt;0,MIN(Skills!I10,MAX(0,MAX(0,Inputs!$B$43-B1663)-((R1632-1)*(IF(Inputs!$B$38="pvp",15,MAX(0.1,Skills!D10-IF(Skills!E10=TRUE,Inputs!$B$32,0)))*(1-IF(AND(ArtifactsInput!$M$27,Inputs!$B$4="Chapter Hunt"),CHOOSE(ArtifactsInput!$N$27+1,20,24,28,32,36,40),0)/100)))))/Skills!H10,1)))/Inputs!$B$43),G1632*Q1632))*IF(Inputs!$B$38="pvp",1,(1+(Inputs!$B$21+Skills!Q10+(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3">
      <c r="A1633">
        <f>Skills!A11</f>
        <v/>
      </c>
      <c r="B1633">
        <f>Skills!B11</f>
        <v/>
      </c>
      <c r="C1633">
        <f>Inputs!$B$3&gt;=100</f>
        <v/>
      </c>
      <c r="D1633">
        <f>IF(Skills!C11=1,60+Inputs!$B$25+Inputs!$B$29,IF(Skills!C11=2,90+Inputs!$B$26+Inputs!$B$29,IF(Skills!C11=3,120+Inputs!$B$27+Inputs!$B$29,MAX(0,(Inputs!$B$3-100)*3)+Inputs!$B$28+Inputs!$B$29)))</f>
        <v/>
      </c>
      <c r="E1633">
        <f>INDEX(FactorTable!$B$2:$Y$301, MATCH(ROUND(MIN(300,MAX(1,D1633)),0), FactorTable!$A$2:$A$301,0), Skills!M11+1)</f>
        <v/>
      </c>
      <c r="F1633">
        <f>IF(Skills!N11=TRUE,(Skills!L11/10)*(E1633/1000),Skills!L11/10)+Skills!O11</f>
        <v/>
      </c>
      <c r="G1633" t="inlineStr"/>
      <c r="H1633" t="inlineStr"/>
      <c r="I1633" t="inlineStr">
        <is>
          <t>1</t>
        </is>
      </c>
      <c r="J1633" t="inlineStr"/>
      <c r="K1633" t="inlineStr"/>
      <c r="L1633" t="inlineStr"/>
      <c r="M1633" t="inlineStr"/>
      <c r="N1633" t="inlineStr"/>
      <c r="O1633" t="inlineStr"/>
      <c r="P1633" t="inlineStr"/>
      <c r="Q1633" t="inlineStr"/>
      <c r="R1633" t="inlineStr"/>
      <c r="S1633" t="inlineStr"/>
      <c r="T1633" t="inlineStr"/>
      <c r="V1633" t="inlineStr"/>
    </row>
    <row r="1634">
      <c r="A1634">
        <f>Skills!A12</f>
        <v/>
      </c>
      <c r="B1634">
        <f>Skills!B12</f>
        <v/>
      </c>
      <c r="C1634">
        <f>Inputs!$B$3&gt;=60</f>
        <v/>
      </c>
      <c r="D1634">
        <f>IF(Skills!C12=1,60+Inputs!$B$25+Inputs!$B$29,IF(Skills!C12=2,90+Inputs!$B$26+Inputs!$B$29,IF(Skills!C12=3,120+Inputs!$B$27+Inputs!$B$29,MAX(0,(Inputs!$B$3-100)*3)+Inputs!$B$28+Inputs!$B$29)))</f>
        <v/>
      </c>
      <c r="E1634">
        <f>INDEX(FactorTable!$B$2:$Y$301, MATCH(ROUND(MIN(300,MAX(1,D1634)),0), FactorTable!$A$2:$A$301,0), Skills!M12+1)</f>
        <v/>
      </c>
      <c r="F1634">
        <f>IF(Skills!N12=TRUE,(Skills!L12/10)*(E1634/1000),Skills!L12/10)+Skills!O12</f>
        <v/>
      </c>
      <c r="G1634">
        <f>Skills!G12*IF(Skills!H12&gt;0,Skills!I12/Skills!H12,1)</f>
        <v/>
      </c>
      <c r="H1634">
        <f>1-(1-Skills!J12/100)^Skills!K12</f>
        <v/>
      </c>
      <c r="I1634" t="inlineStr">
        <is>
          <t>1</t>
        </is>
      </c>
      <c r="J1634">
        <f>((Inputs!$B$6*(1+Inputs!$B$7/100))+(((Inputs!$B$12*(1+Inputs!$B$13/100))-(Inputs!$B$12*(1+Inputs!$B$13/100)))+0.25*(Inputs!$B$14-Inputs!$B$14))*(1+Inputs!$B$7/100))*(F1634/100)</f>
        <v/>
      </c>
      <c r="K1634">
        <f>J1634*(1+((Inputs!$B$12*(1+Inputs!$B$13/100))*0.01+Inputs!$B$14*0.0025)/100)*(1+Inputs!$B$15/100)*(1+Inputs!$B$16/100)*(5000/(6000+Inputs!$B$42*(1-(100*(1-(1-(Inputs!$B$19+((C1650=TRUE)*(F1650-Calc!F28)))/100)*(1-CHOOSE(ArtifactsInput!$N$40+1,5,6,7,8,9,10)/100)^(ArtifactsInput!$M$40-ArtifactsInput!$M$40)))/100)))*(1+(Inputs!$B$24+((C1648=TRUE)*(F1648-Calc!F26))+((C1649=TRUE)*(F1649-Calc!F27))+B1662)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1635=TRUE,F1635,0)/100)*(1+(IF(Skills!A12="ARROW_STREAM",Inputs!$B$17+((C1646=TRUE)*(F1646-Calc!F24))+(((IF(AND(ArtifactsInput!$M$42,((Inputs!$B$9+((C1643=TRUE)*(F1643-Calc!F21))+B1656+(ArtifactsInput!$M$24-ArtifactsInput!$M$24)*CHOOSE(ArtifactsInput!$N$24+1,10,12,14,16,18,20)+IF(ArtifactsInput!$M$10,CHOOSE(ArtifactsInput!$N$10+1,15,18,21,24,27,30)*(IF(Inputs!$B$38="pvp",MIN(15,15)/15,IF(AND(Inputs!$B$38&lt;&gt;"pvp",Inputs!$B$43&gt;0),MIN(15,Inputs!$B$43)/(Inputs!$B$43),0))),0)))&gt;=100),MIN(100,((Inputs!$B$9+((C1643=TRUE)*(F1643-Calc!F21))+B1656+(ArtifactsInput!$M$24-ArtifactsInput!$M$24)*CHOOSE(ArtifactsInput!$N$24+1,10,12,14,16,18,20)+IF(ArtifactsInput!$M$10,CHOOSE(ArtifactsInput!$N$10+1,15,18,21,24,27,30)*(IF(Inputs!$B$38="pvp",MIN(15,15)/15,IF(AND(Inputs!$B$38&lt;&gt;"pvp",Inputs!$B$43&gt;0),MIN(15,Inputs!$B$43)/(Inputs!$B$43),0))),0)))-100),0))*CHOOSE(ArtifactsInput!$N$42+1,0.6,0.72,0.84,0.96,1.08,1.2))),Inputs!$B$18+((C1651=TRUE)*(F1651-Calc!F29))+(IF(AND(ArtifactsInput!$M$42,((Inputs!$B$9+((C1643=TRUE)*(F1643-Calc!F21))+B1656+(ArtifactsInput!$M$24-ArtifactsInput!$M$24)*CHOOSE(ArtifactsInput!$N$24+1,10,12,14,16,18,20)+IF(ArtifactsInput!$M$10,CHOOSE(ArtifactsInput!$N$10+1,15,18,21,24,27,30)*(IF(Inputs!$B$38="pvp",MIN(15,15)/15,IF(AND(Inputs!$B$38&lt;&gt;"pvp",Inputs!$B$43&gt;0),MIN(15,Inputs!$B$43)/(Inputs!$B$43),0))),0)))&gt;=100),CHOOSE(ArtifactsInput!$N$42+1,40,48,56,64,72,80),0))))/100)*((1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1634)</f>
        <v/>
      </c>
      <c r="L1634">
        <f>K1634*(MIN(Inputs!$B$22+((C1647=TRUE)*(F1647-Calc!F25)),(Inputs!$B$23+((C1652=TRUE)*(F1652-Calc!F30))+(IF(ArtifactsInput!$M$15,CHOOSE(ArtifactsInput!$N$15+1,25,30,35,40,45,50)/100*(Inputs!$B$11-Inputs!$B$11),0))))/100+(Inputs!$B$23+((C1652=TRUE)*(F1652-Calc!F30))+(IF(ArtifactsInput!$M$15,CHOOSE(ArtifactsInput!$N$15+1,25,30,35,40,45,50)/100*(Inputs!$B$11-Inputs!$B$11),0)))/100)/2</f>
        <v/>
      </c>
      <c r="M1634">
        <f>L1634*(1+(Inputs!$B$10+0+B1661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4">
        <f>L1634*(1-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1634*(MIN((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4">
        <f>(1-Summary!$B$11)*T1634+Summary!$B$11*V1634</f>
        <v/>
      </c>
      <c r="P1634">
        <f>IF(B1666=0,0,O1634/B1666)</f>
        <v/>
      </c>
      <c r="Q1634">
        <f>IFERROR(1/(IF(Inputs!$B$38="pvp",15,MAX(0.1,Skills!D12-IF(Skills!E12=TRUE,Inputs!$B$32,0)))*(1-IF(AND(ArtifactsInput!$M$27,Inputs!$B$4="Chapter Hunt"),CHOOSE(ArtifactsInput!$N$27+1,20,24,28,32,36,40),0)/100)),0)</f>
        <v/>
      </c>
      <c r="R1634">
        <f>IF(AND(Inputs!$B$38&lt;&gt;"pvp",Inputs!$B$43&gt;0),IF(MAX(0,Inputs!$B$43-B1663)&lt;=0,0,(INT(MAX(0,Inputs!$B$43-B1663)/(IF(Inputs!$B$38="pvp",15,MAX(0.1,Skills!D12-IF(Skills!E12=TRUE,Inputs!$B$32,0)))*(1-IF(AND(ArtifactsInput!$M$27,Inputs!$B$4="Chapter Hunt"),CHOOSE(ArtifactsInput!$N$27+1,20,24,28,32,36,40),0)/100)))+1)),0)</f>
        <v/>
      </c>
      <c r="S1634">
        <f>IFERROR(O1634/N1634,0)</f>
        <v/>
      </c>
      <c r="T1634">
        <f>IF(C1634,(H1634*N1634*IF(AND(Inputs!$B$38&lt;&gt;"pvp",Inputs!$B$43&gt;0),((Skills!G12*((R1634-1)*IF(Skills!H12&gt;0,Skills!I12/Skills!H12,1)+IF(Skills!H12&gt;0,MIN(Skills!I12,MAX(0,MAX(0,Inputs!$B$43-B1663)-((R1634-1)*(IF(Inputs!$B$38="pvp",15,MAX(0.1,Skills!D12-IF(Skills!E12=TRUE,Inputs!$B$32,0)))*(1-IF(AND(ArtifactsInput!$M$27,Inputs!$B$4="Chapter Hunt"),CHOOSE(ArtifactsInput!$N$27+1,20,24,28,32,36,40),0)/100)))))/Skills!H12,1)))/Inputs!$B$43),G1634*Q1634)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(5000/(6000+Inputs!$B$42*(1-(100*(1-(1-(100*(1-(1-(Inputs!$B$19+((C1650=TRUE)*(F1650-Calc!F28)))/100)*(1-CHOOSE(ArtifactsInput!$N$40+1,5,6,7,8,9,10)/100)^(ArtifactsInput!$M$40-ArtifactsInput!$M$40)))/100)*(1-IF(ArtifactsInput!$M$40,CHOOSE(ArtifactsInput!$N$40+1,5,6,7,8,9,10),0)/100)^IF(Inputs!$B$38="pvp",1,2)))/100)))/(5000/(6000+Inputs!$B$42*(1-(100*(1-(1-(Inputs!$B$19+((C1650=TRUE)*(F1650-Calc!F28)))/100)*(1-CHOOSE(ArtifactsInput!$N$40+1,5,6,7,8,9,10)/100)^(ArtifactsInput!$M$40-ArtifactsInput!$M$40)))/100))))*((L1634*(1-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1634*(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1634*(1-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1634*(MIN(100,(Inputs!$B$9+((C1643=TRUE)*(F1643-Calc!F21))+B1656+(ArtifactsInput!$M$24-ArtifactsInput!$M$24)*CHOOSE(ArtifactsInput!$N$24+1,10,12,14,16,18,20)+(IF(AND(ArtifactsInput!$M$42,((Inputs!$B$9+((C1643=TRUE)*(F1643-Calc!F21))+B1656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4">
        <f>IF(C1634,(H1634*N1634*IF(AND(Inputs!$B$38&lt;&gt;"pvp",Inputs!$B$43&gt;0),((Skills!G12*((R1634-1)*IF(Skills!H12&gt;0,Skills!I12/Skills!H12,1)+IF(Skills!H12&gt;0,MIN(Skills!I12,MAX(0,MAX(0,Inputs!$B$43-B1663)-((R1634-1)*(IF(Inputs!$B$38="pvp",15,MAX(0.1,Skills!D12-IF(Skills!E12=TRUE,Inputs!$B$32,0)))*(1-IF(AND(ArtifactsInput!$M$27,Inputs!$B$4="Chapter Hunt"),CHOOSE(ArtifactsInput!$N$27+1,20,24,28,32,36,40),0)/100)))))/Skills!H12,1)))/Inputs!$B$43),G1634*Q1634))*IF(Inputs!$B$38="pvp",1,(1+(Inputs!$B$21+Skills!Q12+(IF(ArtifactsInput!$M$33,CHOOSE(ArtifactsInput!$N$33+1,30,36,42,48,54,60),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5">
      <c r="A1635">
        <f>Skills!A13</f>
        <v/>
      </c>
      <c r="B1635">
        <f>Skills!B13</f>
        <v/>
      </c>
      <c r="C1635">
        <f>Inputs!$B$3&gt;=110</f>
        <v/>
      </c>
      <c r="D1635">
        <f>IF(Skills!C13=1,60+Inputs!$B$25+Inputs!$B$29,IF(Skills!C13=2,90+Inputs!$B$26+Inputs!$B$29,IF(Skills!C13=3,120+Inputs!$B$27+Inputs!$B$29,MAX(0,(Inputs!$B$3-100)*3)+Inputs!$B$28+Inputs!$B$29)))</f>
        <v/>
      </c>
      <c r="E1635">
        <f>INDEX(FactorTable!$B$2:$Y$301, MATCH(ROUND(MIN(300,MAX(1,D1635)),0), FactorTable!$A$2:$A$301,0), Skills!M13+1)</f>
        <v/>
      </c>
      <c r="F1635">
        <f>IF(Skills!N13=TRUE,(Skills!L13/10)*(E1635/1000),Skills!L13/10)+Skills!O13</f>
        <v/>
      </c>
      <c r="G1635" t="inlineStr"/>
      <c r="H1635" t="inlineStr"/>
      <c r="I1635" t="inlineStr">
        <is>
          <t>1</t>
        </is>
      </c>
      <c r="J1635" t="inlineStr"/>
      <c r="K1635" t="inlineStr"/>
      <c r="L1635" t="inlineStr"/>
      <c r="M1635" t="inlineStr"/>
      <c r="N1635" t="inlineStr"/>
      <c r="O1635" t="inlineStr"/>
      <c r="P1635" t="inlineStr"/>
      <c r="Q1635" t="inlineStr"/>
      <c r="R1635" t="inlineStr"/>
      <c r="S1635" t="inlineStr"/>
      <c r="T1635" t="inlineStr"/>
      <c r="V1635" t="inlineStr"/>
    </row>
    <row r="1636">
      <c r="A1636">
        <f>Skills!A14</f>
        <v/>
      </c>
      <c r="B1636">
        <f>Skills!B14</f>
        <v/>
      </c>
      <c r="C1636">
        <f>Inputs!$B$3&gt;=74</f>
        <v/>
      </c>
      <c r="D1636">
        <f>IF(Skills!C14=1,60+Inputs!$B$25+Inputs!$B$29,IF(Skills!C14=2,90+Inputs!$B$26+Inputs!$B$29,IF(Skills!C14=3,120+Inputs!$B$27+Inputs!$B$29,MAX(0,(Inputs!$B$3-100)*3)+Inputs!$B$28+Inputs!$B$29)))</f>
        <v/>
      </c>
      <c r="E1636">
        <f>INDEX(FactorTable!$B$2:$Y$301, MATCH(ROUND(MIN(300,MAX(1,D1636)),0), FactorTable!$A$2:$A$301,0), Skills!M14+1)</f>
        <v/>
      </c>
      <c r="F1636">
        <f>IF(Skills!N14=TRUE,(Skills!L14/10)*(E1636/1000),Skills!L14/10)+Skills!O14</f>
        <v/>
      </c>
      <c r="G1636">
        <f>Skills!G14*IF(Skills!H14&gt;0,Skills!I14/Skills!H14,1)</f>
        <v/>
      </c>
      <c r="H1636">
        <f>1-(1-Skills!J14/100)^Skills!K14</f>
        <v/>
      </c>
      <c r="I1636" t="inlineStr">
        <is>
          <t>1</t>
        </is>
      </c>
      <c r="J1636" t="inlineStr"/>
      <c r="K1636" t="inlineStr"/>
      <c r="L1636" t="inlineStr"/>
      <c r="M1636" t="inlineStr"/>
      <c r="N1636" t="inlineStr"/>
      <c r="O1636">
        <f>(1-Summary!$B$11)*T1636+Summary!$B$11*V1636</f>
        <v/>
      </c>
      <c r="P1636">
        <f>IF(B1666=0,0,O1636/B1666)</f>
        <v/>
      </c>
      <c r="Q1636" t="n">
        <v>0</v>
      </c>
      <c r="R1636" t="n">
        <v>0</v>
      </c>
      <c r="S1636">
        <f>IFERROR(O1636/N1636,0)</f>
        <v/>
      </c>
      <c r="T1636" t="n">
        <v>0</v>
      </c>
      <c r="V1636" t="n">
        <v>0</v>
      </c>
    </row>
    <row r="1637">
      <c r="A1637">
        <f>Skills!A15</f>
        <v/>
      </c>
      <c r="B1637">
        <f>Skills!B15</f>
        <v/>
      </c>
      <c r="C1637">
        <f>Inputs!$B$3&gt;=74</f>
        <v/>
      </c>
      <c r="D1637">
        <f>IF(Skills!C15=1,60+Inputs!$B$25+Inputs!$B$29,IF(Skills!C15=2,90+Inputs!$B$26+Inputs!$B$29,IF(Skills!C15=3,120+Inputs!$B$27+Inputs!$B$29,MAX(0,(Inputs!$B$3-100)*3)+Inputs!$B$28+Inputs!$B$29)))</f>
        <v/>
      </c>
      <c r="E1637">
        <f>INDEX(FactorTable!$B$2:$Y$301, MATCH(ROUND(MIN(300,MAX(1,D1637)),0), FactorTable!$A$2:$A$301,0), Skills!M15+1)</f>
        <v/>
      </c>
      <c r="F1637">
        <f>IF(Skills!N15=TRUE,(Skills!L15/10)*(E1637/1000),Skills!L15/10)+Skills!O15</f>
        <v/>
      </c>
      <c r="G1637">
        <f>Skills!G15*IF(Skills!H15&gt;0,Skills!I15/Skills!H15,1)</f>
        <v/>
      </c>
      <c r="H1637">
        <f>1-(1-Skills!J15/100)^Skills!K15</f>
        <v/>
      </c>
      <c r="I1637" t="inlineStr">
        <is>
          <t>1</t>
        </is>
      </c>
      <c r="J1637" t="inlineStr"/>
      <c r="K1637" t="inlineStr"/>
      <c r="L1637" t="inlineStr"/>
      <c r="M1637" t="inlineStr"/>
      <c r="N1637" t="inlineStr"/>
      <c r="O1637">
        <f>(1-Summary!$B$11)*T1637+Summary!$B$11*V1637</f>
        <v/>
      </c>
      <c r="P1637">
        <f>IF(B1666=0,0,O1637/B1666)</f>
        <v/>
      </c>
      <c r="Q1637" t="n">
        <v>0</v>
      </c>
      <c r="R1637" t="n">
        <v>0</v>
      </c>
      <c r="S1637">
        <f>IFERROR(O1637/N1637,0)</f>
        <v/>
      </c>
      <c r="T1637" t="n">
        <v>0</v>
      </c>
      <c r="V1637" t="n">
        <v>0</v>
      </c>
    </row>
    <row r="1638">
      <c r="A1638">
        <f>Skills!A16</f>
        <v/>
      </c>
      <c r="B1638">
        <f>Skills!B16</f>
        <v/>
      </c>
      <c r="C1638">
        <f>Inputs!$B$3&gt;=117</f>
        <v/>
      </c>
      <c r="D1638">
        <f>IF(Skills!C16=1,60+Inputs!$B$25+Inputs!$B$29,IF(Skills!C16=2,90+Inputs!$B$26+Inputs!$B$29,IF(Skills!C16=3,120+Inputs!$B$27+Inputs!$B$29,MAX(0,(Inputs!$B$3-100)*3)+Inputs!$B$28+Inputs!$B$29)))</f>
        <v/>
      </c>
      <c r="E1638">
        <f>INDEX(FactorTable!$B$2:$Y$301, MATCH(ROUND(MIN(300,MAX(1,D1638)),0), FactorTable!$A$2:$A$301,0), Skills!M16+1)</f>
        <v/>
      </c>
      <c r="F1638">
        <f>IF(Skills!N16=TRUE,(Skills!L16/10)*(E1638/1000),Skills!L16/10)+Skills!O16</f>
        <v/>
      </c>
      <c r="G1638">
        <f>Skills!G16*IF(Skills!H16&gt;0,Skills!I16/Skills!H16,1)</f>
        <v/>
      </c>
      <c r="H1638">
        <f>1-(1-Skills!J16/100)^Skills!K16</f>
        <v/>
      </c>
      <c r="I1638" t="inlineStr">
        <is>
          <t>1</t>
        </is>
      </c>
      <c r="J1638" t="inlineStr"/>
      <c r="K1638" t="inlineStr"/>
      <c r="L1638" t="inlineStr"/>
      <c r="M1638" t="inlineStr"/>
      <c r="N1638" t="inlineStr"/>
      <c r="O1638">
        <f>(1-Summary!$B$11)*T1638+Summary!$B$11*V1638</f>
        <v/>
      </c>
      <c r="P1638">
        <f>IF(B1666=0,0,O1638/B1666)</f>
        <v/>
      </c>
      <c r="Q1638">
        <f>IFERROR(1/(IF(Inputs!$B$38="pvp",15,MAX(0.1,Skills!D16-IF(Skills!E16=TRUE,Inputs!$B$32,0)))*(1-IF(AND(ArtifactsInput!$M$27,Inputs!$B$4="Chapter Hunt"),CHOOSE(ArtifactsInput!$N$27+1,20,24,28,32,36,40),0)/100)),0)</f>
        <v/>
      </c>
      <c r="R1638">
        <f>IF(AND(Inputs!$B$38&lt;&gt;"pvp",Inputs!$B$43&gt;0),IF(Inputs!$B$43&lt;=0,0,(INT(Inputs!$B$43/(IF(Inputs!$B$38="pvp",15,MAX(0.1,Skills!D16-IF(Skills!E16=TRUE,Inputs!$B$32,0)))*(1-IF(AND(ArtifactsInput!$M$27,Inputs!$B$4="Chapter Hunt"),CHOOSE(ArtifactsInput!$N$27+1,20,24,28,32,36,40),0)/100)))+1)),0)</f>
        <v/>
      </c>
      <c r="S1638">
        <f>IFERROR(O1638/N1638,0)</f>
        <v/>
      </c>
      <c r="T1638" t="n">
        <v>0</v>
      </c>
      <c r="V1638" t="n">
        <v>0</v>
      </c>
    </row>
    <row r="1639">
      <c r="A1639">
        <f>Skills!A17</f>
        <v/>
      </c>
      <c r="B1639">
        <f>Skills!B17</f>
        <v/>
      </c>
      <c r="C1639">
        <f>Inputs!$B$3&gt;=115</f>
        <v/>
      </c>
      <c r="D1639">
        <f>IF(Skills!C17=1,60+Inputs!$B$25+Inputs!$B$29,IF(Skills!C17=2,90+Inputs!$B$26+Inputs!$B$29,IF(Skills!C17=3,120+Inputs!$B$27+Inputs!$B$29,MAX(0,(Inputs!$B$3-100)*3)+Inputs!$B$28+Inputs!$B$29)))</f>
        <v/>
      </c>
      <c r="E1639">
        <f>INDEX(FactorTable!$B$2:$Y$301, MATCH(ROUND(MIN(300,MAX(1,D1639)),0), FactorTable!$A$2:$A$301,0), Skills!M17+1)</f>
        <v/>
      </c>
      <c r="F1639">
        <f>IF(Skills!N17=TRUE,(Skills!L17/10)*(E1639/1000),Skills!L17/10)+Skills!O17</f>
        <v/>
      </c>
      <c r="G1639">
        <f>Skills!G17*IF(Skills!H17&gt;0,Skills!I17/Skills!H17,1)</f>
        <v/>
      </c>
      <c r="H1639">
        <f>1-(1-Skills!J17/100)^Skills!K17</f>
        <v/>
      </c>
      <c r="I1639" t="inlineStr">
        <is>
          <t>1</t>
        </is>
      </c>
      <c r="J1639" t="inlineStr"/>
      <c r="K1639" t="inlineStr"/>
      <c r="L1639" t="inlineStr"/>
      <c r="M1639" t="inlineStr"/>
      <c r="N1639" t="inlineStr"/>
      <c r="O1639">
        <f>(1-Summary!$B$11)*T1639+Summary!$B$11*V1639</f>
        <v/>
      </c>
      <c r="P1639">
        <f>IF(B1666=0,0,O1639/B1666)</f>
        <v/>
      </c>
      <c r="Q1639">
        <f>IFERROR(1/(IF(Inputs!$B$38="pvp",15,MAX(0.1,Skills!D17-IF(Skills!E17=TRUE,Inputs!$B$32,0)))*(1-IF(AND(ArtifactsInput!$M$27,Inputs!$B$4="Chapter Hunt"),CHOOSE(ArtifactsInput!$N$27+1,20,24,28,32,36,40),0)/100)),0)</f>
        <v/>
      </c>
      <c r="R1639">
        <f>IF(AND(Inputs!$B$38&lt;&gt;"pvp",Inputs!$B$43&gt;0),IF(Inputs!$B$43&lt;=0,0,(INT(Inputs!$B$43/(IF(Inputs!$B$38="pvp",15,MAX(0.1,Skills!D17-IF(Skills!E17=TRUE,Inputs!$B$32,0)))*(1-IF(AND(ArtifactsInput!$M$27,Inputs!$B$4="Chapter Hunt"),CHOOSE(ArtifactsInput!$N$27+1,20,24,28,32,36,40),0)/100)))+1)),0)</f>
        <v/>
      </c>
      <c r="S1639">
        <f>IFERROR(O1639/N1639,0)</f>
        <v/>
      </c>
      <c r="T1639" t="n">
        <v>0</v>
      </c>
      <c r="V1639" t="n">
        <v>0</v>
      </c>
    </row>
    <row r="1640">
      <c r="A1640">
        <f>Skills!A18</f>
        <v/>
      </c>
      <c r="B1640">
        <f>Skills!B18</f>
        <v/>
      </c>
      <c r="C1640">
        <f>Inputs!$B$3&gt;=66</f>
        <v/>
      </c>
      <c r="D1640">
        <f>IF(Skills!C18=1,60+Inputs!$B$25+Inputs!$B$29,IF(Skills!C18=2,90+Inputs!$B$26+Inputs!$B$29,IF(Skills!C18=3,120+Inputs!$B$27+Inputs!$B$29,MAX(0,(Inputs!$B$3-100)*3)+Inputs!$B$28+Inputs!$B$29)))</f>
        <v/>
      </c>
      <c r="E1640">
        <f>INDEX(FactorTable!$B$2:$Y$301, MATCH(ROUND(MIN(300,MAX(1,D1640)),0), FactorTable!$A$2:$A$301,0), Skills!M18+1)</f>
        <v/>
      </c>
      <c r="F1640">
        <f>IF(Skills!N18=TRUE,(Skills!L18/10)*(E1640/1000),Skills!L18/10)+Skills!O18</f>
        <v/>
      </c>
      <c r="G1640">
        <f>Skills!G18*IF(Skills!H18&gt;0,Skills!I18/Skills!H18,1)</f>
        <v/>
      </c>
      <c r="H1640">
        <f>1-(1-Skills!J18/100)^Skills!K18</f>
        <v/>
      </c>
      <c r="I1640" t="inlineStr">
        <is>
          <t>1</t>
        </is>
      </c>
      <c r="J1640" t="inlineStr"/>
      <c r="K1640" t="inlineStr"/>
      <c r="L1640" t="inlineStr"/>
      <c r="M1640" t="inlineStr"/>
      <c r="N1640" t="inlineStr"/>
      <c r="O1640">
        <f>(1-Summary!$B$11)*T1640+Summary!$B$11*V1640</f>
        <v/>
      </c>
      <c r="P1640">
        <f>IF(B1666=0,0,O1640/B1666)</f>
        <v/>
      </c>
      <c r="Q1640" t="n">
        <v>0</v>
      </c>
      <c r="R1640" t="n">
        <v>0</v>
      </c>
      <c r="S1640">
        <f>IFERROR(O1640/N1640,0)</f>
        <v/>
      </c>
      <c r="T1640" t="n">
        <v>0</v>
      </c>
      <c r="V1640" t="n">
        <v>0</v>
      </c>
    </row>
    <row r="1641">
      <c r="A1641">
        <f>Skills!A19</f>
        <v/>
      </c>
      <c r="B1641">
        <f>Skills!B19</f>
        <v/>
      </c>
      <c r="C1641">
        <f>Inputs!$B$3&gt;=72</f>
        <v/>
      </c>
      <c r="D1641">
        <f>IF(Skills!C19=1,60+Inputs!$B$25+Inputs!$B$29,IF(Skills!C19=2,90+Inputs!$B$26+Inputs!$B$29,IF(Skills!C19=3,120+Inputs!$B$27+Inputs!$B$29,MAX(0,(Inputs!$B$3-100)*3)+Inputs!$B$28+Inputs!$B$29)))</f>
        <v/>
      </c>
      <c r="E1641">
        <f>INDEX(FactorTable!$B$2:$Y$301, MATCH(ROUND(MIN(300,MAX(1,D1641)),0), FactorTable!$A$2:$A$301,0), Skills!M19+1)</f>
        <v/>
      </c>
      <c r="F1641">
        <f>IF(Skills!N19=TRUE,(Skills!L19/10)*(E1641/1000),Skills!L19/10)+Skills!O19</f>
        <v/>
      </c>
      <c r="G1641">
        <f>Skills!G19*IF(Skills!H19&gt;0,Skills!I19/Skills!H19,1)</f>
        <v/>
      </c>
      <c r="H1641">
        <f>1-(1-Skills!J19/100)^Skills!K19</f>
        <v/>
      </c>
      <c r="I1641" t="inlineStr">
        <is>
          <t>1</t>
        </is>
      </c>
      <c r="J1641" t="inlineStr"/>
      <c r="K1641" t="inlineStr"/>
      <c r="L1641" t="inlineStr"/>
      <c r="M1641" t="inlineStr"/>
      <c r="N1641" t="inlineStr"/>
      <c r="O1641">
        <f>(1-Summary!$B$11)*T1641+Summary!$B$11*V1641</f>
        <v/>
      </c>
      <c r="P1641">
        <f>IF(B1666=0,0,O1641/B1666)</f>
        <v/>
      </c>
      <c r="Q1641" t="n">
        <v>0</v>
      </c>
      <c r="R1641" t="n">
        <v>0</v>
      </c>
      <c r="S1641">
        <f>IFERROR(O1641/N1641,0)</f>
        <v/>
      </c>
      <c r="T1641" t="n">
        <v>0</v>
      </c>
      <c r="V1641" t="n">
        <v>0</v>
      </c>
    </row>
    <row r="1642">
      <c r="A1642">
        <f>Skills!A20</f>
        <v/>
      </c>
      <c r="B1642">
        <f>Skills!B20</f>
        <v/>
      </c>
      <c r="C1642">
        <f>TRUE</f>
        <v/>
      </c>
      <c r="D1642">
        <f>IF(Skills!C20=1,60+Inputs!$B$25+Inputs!$B$29,IF(Skills!C20=2,90+Inputs!$B$26+Inputs!$B$29,IF(Skills!C20=3,120+Inputs!$B$27+Inputs!$B$29,MAX(0,(Inputs!$B$3-100)*3)+Inputs!$B$28+Inputs!$B$29)))</f>
        <v/>
      </c>
      <c r="E1642">
        <f>INDEX(FactorTable!$B$2:$Y$301, MATCH(ROUND(MIN(300,MAX(1,D1642)),0), FactorTable!$A$2:$A$301,0), Skills!M20+1)</f>
        <v/>
      </c>
      <c r="F1642">
        <f>IF(Skills!N20=TRUE,(Skills!L20/10)*(E1642/1000),Skills!L20/10)+Skills!O20</f>
        <v/>
      </c>
      <c r="G1642">
        <f>Skills!G20*IF(Skills!H20&gt;0,Skills!I20/Skills!H20,1)</f>
        <v/>
      </c>
      <c r="H1642">
        <f>1-(1-Skills!J20/100)^Skills!K20</f>
        <v/>
      </c>
      <c r="I1642" t="inlineStr">
        <is>
          <t>1</t>
        </is>
      </c>
      <c r="J1642" t="inlineStr"/>
      <c r="K1642" t="inlineStr"/>
      <c r="L1642" t="inlineStr"/>
      <c r="M1642" t="inlineStr"/>
      <c r="N1642" t="inlineStr"/>
      <c r="O1642">
        <f>(1-Summary!$B$11)*T1642+Summary!$B$11*V1642</f>
        <v/>
      </c>
      <c r="P1642">
        <f>IF(B1666=0,0,O1642/B1666)</f>
        <v/>
      </c>
      <c r="Q1642">
        <f>IFERROR(1/(IF(Inputs!$B$38="pvp",15,MAX(0.1,Skills!D20-IF(Skills!E20=TRUE,Inputs!$B$32,0)))*(1-IF(AND(ArtifactsInput!$M$27,Inputs!$B$4="Chapter Hunt"),CHOOSE(ArtifactsInput!$N$27+1,20,24,28,32,36,40),0)/100)),0)</f>
        <v/>
      </c>
      <c r="R1642">
        <f>IF(AND(Inputs!$B$38&lt;&gt;"pvp",Inputs!$B$43&gt;0),IF(Inputs!$B$43&lt;=0,0,(INT(Inputs!$B$43/(IF(Inputs!$B$38="pvp",15,MAX(0.1,Skills!D20-IF(Skills!E20=TRUE,Inputs!$B$32,0)))*(1-IF(AND(ArtifactsInput!$M$27,Inputs!$B$4="Chapter Hunt"),CHOOSE(ArtifactsInput!$N$27+1,20,24,28,32,36,40),0)/100)))+1)),0)</f>
        <v/>
      </c>
      <c r="S1642">
        <f>IFERROR(O1642/N1642,0)</f>
        <v/>
      </c>
      <c r="T1642" t="n">
        <v>0</v>
      </c>
      <c r="V1642" t="n">
        <v>0</v>
      </c>
    </row>
    <row r="1643">
      <c r="A1643">
        <f>Skills!A21</f>
        <v/>
      </c>
      <c r="B1643">
        <f>Skills!B21</f>
        <v/>
      </c>
      <c r="C1643">
        <f>Inputs!$B$3&gt;=15</f>
        <v/>
      </c>
      <c r="D1643">
        <f>IF(Skills!C21=1,60+Inputs!$B$25+Inputs!$B$29,IF(Skills!C21=2,90+Inputs!$B$26+Inputs!$B$29,IF(Skills!C21=3,120+Inputs!$B$27+Inputs!$B$29,MAX(0,(Inputs!$B$3-100)*3)+Inputs!$B$28+Inputs!$B$29)))</f>
        <v/>
      </c>
      <c r="E1643">
        <f>INDEX(FactorTable!$B$2:$Y$301, MATCH(ROUND(MIN(300,MAX(1,D1643)),0), FactorTable!$A$2:$A$301,0), Skills!M21+1)</f>
        <v/>
      </c>
      <c r="F1643">
        <f>IF(Skills!N21=TRUE,(Skills!L21/10)*(E1643/1000),Skills!L21/10)+Skills!O21</f>
        <v/>
      </c>
      <c r="G1643">
        <f>Skills!G21*IF(Skills!H21&gt;0,Skills!I21/Skills!H21,1)</f>
        <v/>
      </c>
      <c r="H1643">
        <f>1-(1-Skills!J21/100)^Skills!K21</f>
        <v/>
      </c>
      <c r="I1643" t="inlineStr">
        <is>
          <t>1</t>
        </is>
      </c>
      <c r="J1643" t="inlineStr"/>
      <c r="K1643" t="inlineStr"/>
      <c r="L1643" t="inlineStr"/>
      <c r="M1643" t="inlineStr"/>
      <c r="N1643" t="inlineStr"/>
      <c r="O1643">
        <f>(1-Summary!$B$11)*T1643+Summary!$B$11*V1643</f>
        <v/>
      </c>
      <c r="P1643">
        <f>IF(B1666=0,0,O1643/B1666)</f>
        <v/>
      </c>
      <c r="Q1643" t="n">
        <v>0</v>
      </c>
      <c r="R1643" t="n">
        <v>0</v>
      </c>
      <c r="S1643">
        <f>IFERROR(O1643/N1643,0)</f>
        <v/>
      </c>
      <c r="T1643" t="n">
        <v>0</v>
      </c>
      <c r="V1643" t="n">
        <v>0</v>
      </c>
    </row>
    <row r="1644">
      <c r="A1644">
        <f>Skills!A22</f>
        <v/>
      </c>
      <c r="B1644">
        <f>Skills!B22</f>
        <v/>
      </c>
      <c r="C1644">
        <f>Inputs!$B$3&gt;=10</f>
        <v/>
      </c>
      <c r="D1644">
        <f>IF(Skills!C22=1,60+Inputs!$B$25+Inputs!$B$29,IF(Skills!C22=2,90+Inputs!$B$26+Inputs!$B$29,IF(Skills!C22=3,120+Inputs!$B$27+Inputs!$B$29,MAX(0,(Inputs!$B$3-100)*3)+Inputs!$B$28+Inputs!$B$29)))</f>
        <v/>
      </c>
      <c r="E1644">
        <f>INDEX(FactorTable!$B$2:$Y$301, MATCH(ROUND(MIN(300,MAX(1,D1644)),0), FactorTable!$A$2:$A$301,0), Skills!M22+1)</f>
        <v/>
      </c>
      <c r="F1644">
        <f>IF(Skills!N22=TRUE,(Skills!L22/10)*(E1644/1000),Skills!L22/10)+Skills!O22</f>
        <v/>
      </c>
      <c r="G1644">
        <f>Skills!G22*IF(Skills!H22&gt;0,Skills!I22/Skills!H22,1)</f>
        <v/>
      </c>
      <c r="H1644">
        <f>1-(1-Skills!J22/100)^Skills!K22</f>
        <v/>
      </c>
      <c r="I1644" t="inlineStr">
        <is>
          <t>1</t>
        </is>
      </c>
      <c r="J1644" t="inlineStr"/>
      <c r="K1644" t="inlineStr"/>
      <c r="L1644" t="inlineStr"/>
      <c r="M1644" t="inlineStr"/>
      <c r="N1644" t="inlineStr"/>
      <c r="O1644">
        <f>(1-Summary!$B$11)*T1644+Summary!$B$11*V1644</f>
        <v/>
      </c>
      <c r="P1644">
        <f>IF(B1666=0,0,O1644/B1666)</f>
        <v/>
      </c>
      <c r="Q1644" t="n">
        <v>0</v>
      </c>
      <c r="R1644" t="n">
        <v>0</v>
      </c>
      <c r="S1644">
        <f>IFERROR(O1644/N1644,0)</f>
        <v/>
      </c>
      <c r="T1644" t="n">
        <v>0</v>
      </c>
      <c r="V1644" t="n">
        <v>0</v>
      </c>
    </row>
    <row r="1645">
      <c r="A1645">
        <f>Skills!A23</f>
        <v/>
      </c>
      <c r="B1645">
        <f>Skills!B23</f>
        <v/>
      </c>
      <c r="C1645">
        <f>Inputs!$B$3&gt;=33</f>
        <v/>
      </c>
      <c r="D1645">
        <f>IF(Skills!C23=1,60+Inputs!$B$25+Inputs!$B$29,IF(Skills!C23=2,90+Inputs!$B$26+Inputs!$B$29,IF(Skills!C23=3,120+Inputs!$B$27+Inputs!$B$29,MAX(0,(Inputs!$B$3-100)*3)+Inputs!$B$28+Inputs!$B$29)))</f>
        <v/>
      </c>
      <c r="E1645">
        <f>INDEX(FactorTable!$B$2:$Y$301, MATCH(ROUND(MIN(300,MAX(1,D1645)),0), FactorTable!$A$2:$A$301,0), Skills!M23+1)</f>
        <v/>
      </c>
      <c r="F1645">
        <f>IF(Skills!N23=TRUE,(Skills!L23/10)*(E1645/1000),Skills!L23/10)+Skills!O23</f>
        <v/>
      </c>
      <c r="G1645">
        <f>Skills!G23*IF(Skills!H23&gt;0,Skills!I23/Skills!H23,1)</f>
        <v/>
      </c>
      <c r="H1645">
        <f>1-(1-Skills!J23/100)^Skills!K23</f>
        <v/>
      </c>
      <c r="I1645" t="inlineStr">
        <is>
          <t>1</t>
        </is>
      </c>
      <c r="J1645" t="inlineStr"/>
      <c r="K1645" t="inlineStr"/>
      <c r="L1645" t="inlineStr"/>
      <c r="M1645" t="inlineStr"/>
      <c r="N1645" t="inlineStr"/>
      <c r="O1645">
        <f>(1-Summary!$B$11)*T1645+Summary!$B$11*V1645</f>
        <v/>
      </c>
      <c r="P1645">
        <f>IF(B1666=0,0,O1645/B1666)</f>
        <v/>
      </c>
      <c r="Q1645" t="n">
        <v>0</v>
      </c>
      <c r="R1645" t="n">
        <v>0</v>
      </c>
      <c r="S1645">
        <f>IFERROR(O1645/N1645,0)</f>
        <v/>
      </c>
      <c r="T1645" t="n">
        <v>0</v>
      </c>
      <c r="V1645" t="n">
        <v>0</v>
      </c>
    </row>
    <row r="1646">
      <c r="A1646">
        <f>Skills!A24</f>
        <v/>
      </c>
      <c r="B1646">
        <f>Skills!B24</f>
        <v/>
      </c>
      <c r="C1646">
        <f>Inputs!$B$3&gt;=38</f>
        <v/>
      </c>
      <c r="D1646">
        <f>IF(Skills!C24=1,60+Inputs!$B$25+Inputs!$B$29,IF(Skills!C24=2,90+Inputs!$B$26+Inputs!$B$29,IF(Skills!C24=3,120+Inputs!$B$27+Inputs!$B$29,MAX(0,(Inputs!$B$3-100)*3)+Inputs!$B$28+Inputs!$B$29)))</f>
        <v/>
      </c>
      <c r="E1646">
        <f>INDEX(FactorTable!$B$2:$Y$301, MATCH(ROUND(MIN(300,MAX(1,D1646)),0), FactorTable!$A$2:$A$301,0), Skills!M24+1)</f>
        <v/>
      </c>
      <c r="F1646">
        <f>IF(Skills!N24=TRUE,(Skills!L24/10)*(E1646/1000),Skills!L24/10)+Skills!O24</f>
        <v/>
      </c>
      <c r="G1646">
        <f>Skills!G24*IF(Skills!H24&gt;0,Skills!I24/Skills!H24,1)</f>
        <v/>
      </c>
      <c r="H1646">
        <f>1-(1-Skills!J24/100)^Skills!K24</f>
        <v/>
      </c>
      <c r="I1646" t="inlineStr">
        <is>
          <t>1</t>
        </is>
      </c>
      <c r="J1646" t="inlineStr"/>
      <c r="K1646" t="inlineStr"/>
      <c r="L1646" t="inlineStr"/>
      <c r="M1646" t="inlineStr"/>
      <c r="N1646" t="inlineStr"/>
      <c r="O1646">
        <f>(1-Summary!$B$11)*T1646+Summary!$B$11*V1646</f>
        <v/>
      </c>
      <c r="P1646">
        <f>IF(B1666=0,0,O1646/B1666)</f>
        <v/>
      </c>
      <c r="Q1646" t="n">
        <v>0</v>
      </c>
      <c r="R1646" t="n">
        <v>0</v>
      </c>
      <c r="S1646">
        <f>IFERROR(O1646/N1646,0)</f>
        <v/>
      </c>
      <c r="T1646" t="n">
        <v>0</v>
      </c>
      <c r="V1646" t="n">
        <v>0</v>
      </c>
    </row>
    <row r="1647">
      <c r="A1647">
        <f>Skills!A25</f>
        <v/>
      </c>
      <c r="B1647">
        <f>Skills!B25</f>
        <v/>
      </c>
      <c r="C1647">
        <f>Inputs!$B$3&gt;=43</f>
        <v/>
      </c>
      <c r="D1647">
        <f>IF(Skills!C25=1,60+Inputs!$B$25+Inputs!$B$29,IF(Skills!C25=2,90+Inputs!$B$26+Inputs!$B$29,IF(Skills!C25=3,120+Inputs!$B$27+Inputs!$B$29,MAX(0,(Inputs!$B$3-100)*3)+Inputs!$B$28+Inputs!$B$29)))</f>
        <v/>
      </c>
      <c r="E1647">
        <f>INDEX(FactorTable!$B$2:$Y$301, MATCH(ROUND(MIN(300,MAX(1,D1647)),0), FactorTable!$A$2:$A$301,0), Skills!M25+1)</f>
        <v/>
      </c>
      <c r="F1647">
        <f>IF(Skills!N25=TRUE,(Skills!L25/10)*(E1647/1000),Skills!L25/10)+Skills!O25</f>
        <v/>
      </c>
      <c r="G1647">
        <f>Skills!G25*IF(Skills!H25&gt;0,Skills!I25/Skills!H25,1)</f>
        <v/>
      </c>
      <c r="H1647">
        <f>1-(1-Skills!J25/100)^Skills!K25</f>
        <v/>
      </c>
      <c r="I1647" t="inlineStr">
        <is>
          <t>1</t>
        </is>
      </c>
      <c r="J1647" t="inlineStr"/>
      <c r="K1647" t="inlineStr"/>
      <c r="L1647" t="inlineStr"/>
      <c r="M1647" t="inlineStr"/>
      <c r="N1647" t="inlineStr"/>
      <c r="O1647">
        <f>(1-Summary!$B$11)*T1647+Summary!$B$11*V1647</f>
        <v/>
      </c>
      <c r="P1647">
        <f>IF(B1666=0,0,O1647/B1666)</f>
        <v/>
      </c>
      <c r="Q1647" t="n">
        <v>0</v>
      </c>
      <c r="R1647" t="n">
        <v>0</v>
      </c>
      <c r="S1647">
        <f>IFERROR(O1647/N1647,0)</f>
        <v/>
      </c>
      <c r="T1647" t="n">
        <v>0</v>
      </c>
      <c r="V1647" t="n">
        <v>0</v>
      </c>
    </row>
    <row r="1648">
      <c r="A1648">
        <f>Skills!A26</f>
        <v/>
      </c>
      <c r="B1648">
        <f>Skills!B26</f>
        <v/>
      </c>
      <c r="C1648">
        <f>Inputs!$B$3&gt;=75</f>
        <v/>
      </c>
      <c r="D1648">
        <f>IF(Skills!C26=1,60+Inputs!$B$25+Inputs!$B$29,IF(Skills!C26=2,90+Inputs!$B$26+Inputs!$B$29,IF(Skills!C26=3,120+Inputs!$B$27+Inputs!$B$29,MAX(0,(Inputs!$B$3-100)*3)+Inputs!$B$28+Inputs!$B$29)))</f>
        <v/>
      </c>
      <c r="E1648">
        <f>INDEX(FactorTable!$B$2:$Y$301, MATCH(ROUND(MIN(300,MAX(1,D1648)),0), FactorTable!$A$2:$A$301,0), Skills!M26+1)</f>
        <v/>
      </c>
      <c r="F1648">
        <f>IF(Skills!N26=TRUE,(Skills!L26/10)*(E1648/1000),Skills!L26/10)+Skills!O26</f>
        <v/>
      </c>
      <c r="G1648">
        <f>Skills!G26*IF(Skills!H26&gt;0,Skills!I26/Skills!H26,1)</f>
        <v/>
      </c>
      <c r="H1648">
        <f>1-(1-Skills!J26/100)^Skills!K26</f>
        <v/>
      </c>
      <c r="I1648" t="inlineStr">
        <is>
          <t>1</t>
        </is>
      </c>
      <c r="J1648" t="inlineStr"/>
      <c r="K1648" t="inlineStr"/>
      <c r="L1648" t="inlineStr"/>
      <c r="M1648" t="inlineStr"/>
      <c r="N1648" t="inlineStr"/>
      <c r="O1648">
        <f>(1-Summary!$B$11)*T1648+Summary!$B$11*V1648</f>
        <v/>
      </c>
      <c r="P1648">
        <f>IF(B1666=0,0,O1648/B1666)</f>
        <v/>
      </c>
      <c r="Q1648" t="n">
        <v>0</v>
      </c>
      <c r="R1648" t="n">
        <v>0</v>
      </c>
      <c r="S1648">
        <f>IFERROR(O1648/N1648,0)</f>
        <v/>
      </c>
      <c r="T1648" t="n">
        <v>0</v>
      </c>
      <c r="V1648" t="n">
        <v>0</v>
      </c>
    </row>
    <row r="1649">
      <c r="A1649">
        <f>Skills!A27</f>
        <v/>
      </c>
      <c r="B1649">
        <f>Skills!B27</f>
        <v/>
      </c>
      <c r="C1649">
        <f>Inputs!$B$3&gt;=125</f>
        <v/>
      </c>
      <c r="D1649">
        <f>IF(Skills!C27=1,60+Inputs!$B$25+Inputs!$B$29,IF(Skills!C27=2,90+Inputs!$B$26+Inputs!$B$29,IF(Skills!C27=3,120+Inputs!$B$27+Inputs!$B$29,MAX(0,(Inputs!$B$3-100)*3)+Inputs!$B$28+Inputs!$B$29)))</f>
        <v/>
      </c>
      <c r="E1649">
        <f>INDEX(FactorTable!$B$2:$Y$301, MATCH(ROUND(MIN(300,MAX(1,D1649)),0), FactorTable!$A$2:$A$301,0), Skills!M27+1)</f>
        <v/>
      </c>
      <c r="F1649">
        <f>IF(Skills!N27=TRUE,(Skills!L27/10)*(E1649/1000),Skills!L27/10)+Skills!O27</f>
        <v/>
      </c>
      <c r="G1649">
        <f>Skills!G27*IF(Skills!H27&gt;0,Skills!I27/Skills!H27,1)</f>
        <v/>
      </c>
      <c r="H1649">
        <f>1-(1-Skills!J27/100)^Skills!K27</f>
        <v/>
      </c>
      <c r="I1649" t="inlineStr">
        <is>
          <t>1</t>
        </is>
      </c>
      <c r="J1649" t="inlineStr"/>
      <c r="K1649" t="inlineStr"/>
      <c r="L1649" t="inlineStr"/>
      <c r="M1649" t="inlineStr"/>
      <c r="N1649" t="inlineStr"/>
      <c r="O1649">
        <f>(1-Summary!$B$11)*T1649+Summary!$B$11*V1649</f>
        <v/>
      </c>
      <c r="P1649">
        <f>IF(B1666=0,0,O1649/B1666)</f>
        <v/>
      </c>
      <c r="Q1649" t="n">
        <v>0</v>
      </c>
      <c r="R1649" t="n">
        <v>0</v>
      </c>
      <c r="S1649">
        <f>IFERROR(O1649/N1649,0)</f>
        <v/>
      </c>
      <c r="T1649" t="n">
        <v>0</v>
      </c>
      <c r="V1649" t="n">
        <v>0</v>
      </c>
    </row>
    <row r="1650">
      <c r="A1650">
        <f>Skills!A28</f>
        <v/>
      </c>
      <c r="B1650">
        <f>Skills!B28</f>
        <v/>
      </c>
      <c r="C1650">
        <f>Inputs!$B$3&gt;=125</f>
        <v/>
      </c>
      <c r="D1650">
        <f>IF(Skills!C28=1,60+Inputs!$B$25+Inputs!$B$29,IF(Skills!C28=2,90+Inputs!$B$26+Inputs!$B$29,IF(Skills!C28=3,120+Inputs!$B$27+Inputs!$B$29,MAX(0,(Inputs!$B$3-100)*3)+Inputs!$B$28+Inputs!$B$29)))</f>
        <v/>
      </c>
      <c r="E1650">
        <f>INDEX(FactorTable!$B$2:$Y$301, MATCH(ROUND(MIN(300,MAX(1,D1650)),0), FactorTable!$A$2:$A$301,0), Skills!M28+1)</f>
        <v/>
      </c>
      <c r="F1650">
        <f>IF(Skills!N28=TRUE,(Skills!L28/10)*(E1650/1000),Skills!L28/10)+Skills!O28</f>
        <v/>
      </c>
      <c r="G1650">
        <f>Skills!G28*IF(Skills!H28&gt;0,Skills!I28/Skills!H28,1)</f>
        <v/>
      </c>
      <c r="H1650">
        <f>1-(1-Skills!J28/100)^Skills!K28</f>
        <v/>
      </c>
      <c r="I1650" t="inlineStr">
        <is>
          <t>1</t>
        </is>
      </c>
      <c r="J1650" t="inlineStr"/>
      <c r="K1650" t="inlineStr"/>
      <c r="L1650" t="inlineStr"/>
      <c r="M1650" t="inlineStr"/>
      <c r="N1650" t="inlineStr"/>
      <c r="O1650">
        <f>(1-Summary!$B$11)*T1650+Summary!$B$11*V1650</f>
        <v/>
      </c>
      <c r="P1650">
        <f>IF(B1666=0,0,O1650/B1666)</f>
        <v/>
      </c>
      <c r="Q1650" t="n">
        <v>0</v>
      </c>
      <c r="R1650" t="n">
        <v>0</v>
      </c>
      <c r="S1650">
        <f>IFERROR(O1650/N1650,0)</f>
        <v/>
      </c>
      <c r="T1650" t="n">
        <v>0</v>
      </c>
      <c r="V1650" t="n">
        <v>0</v>
      </c>
    </row>
    <row r="1651">
      <c r="A1651">
        <f>Skills!A29</f>
        <v/>
      </c>
      <c r="B1651">
        <f>Skills!B29</f>
        <v/>
      </c>
      <c r="C1651">
        <f>Inputs!$B$3&gt;=120</f>
        <v/>
      </c>
      <c r="D1651">
        <f>IF(Skills!C29=1,60+Inputs!$B$25+Inputs!$B$29,IF(Skills!C29=2,90+Inputs!$B$26+Inputs!$B$29,IF(Skills!C29=3,120+Inputs!$B$27+Inputs!$B$29,MAX(0,(Inputs!$B$3-100)*3)+Inputs!$B$28+Inputs!$B$29)))</f>
        <v/>
      </c>
      <c r="E1651">
        <f>INDEX(FactorTable!$B$2:$Y$301, MATCH(ROUND(MIN(300,MAX(1,D1651)),0), FactorTable!$A$2:$A$301,0), Skills!M29+1)</f>
        <v/>
      </c>
      <c r="F1651">
        <f>IF(Skills!N29=TRUE,(Skills!L29/10)*(E1651/1000),Skills!L29/10)+Skills!O29</f>
        <v/>
      </c>
      <c r="G1651">
        <f>Skills!G29*IF(Skills!H29&gt;0,Skills!I29/Skills!H29,1)</f>
        <v/>
      </c>
      <c r="H1651">
        <f>1-(1-Skills!J29/100)^Skills!K29</f>
        <v/>
      </c>
      <c r="I1651" t="inlineStr">
        <is>
          <t>1</t>
        </is>
      </c>
      <c r="J1651" t="inlineStr"/>
      <c r="K1651" t="inlineStr"/>
      <c r="L1651" t="inlineStr"/>
      <c r="M1651" t="inlineStr"/>
      <c r="N1651" t="inlineStr"/>
      <c r="O1651">
        <f>(1-Summary!$B$11)*T1651+Summary!$B$11*V1651</f>
        <v/>
      </c>
      <c r="P1651">
        <f>IF(B1666=0,0,O1651/B1666)</f>
        <v/>
      </c>
      <c r="Q1651" t="n">
        <v>0</v>
      </c>
      <c r="R1651" t="n">
        <v>0</v>
      </c>
      <c r="S1651">
        <f>IFERROR(O1651/N1651,0)</f>
        <v/>
      </c>
      <c r="T1651" t="n">
        <v>0</v>
      </c>
      <c r="V1651" t="n">
        <v>0</v>
      </c>
    </row>
    <row r="1652">
      <c r="A1652">
        <f>Skills!A30</f>
        <v/>
      </c>
      <c r="B1652">
        <f>Skills!B30</f>
        <v/>
      </c>
      <c r="C1652">
        <f>Inputs!$B$3&gt;=120</f>
        <v/>
      </c>
      <c r="D1652">
        <f>IF(Skills!C30=1,60+Inputs!$B$25+Inputs!$B$29,IF(Skills!C30=2,90+Inputs!$B$26+Inputs!$B$29,IF(Skills!C30=3,120+Inputs!$B$27+Inputs!$B$29,MAX(0,(Inputs!$B$3-100)*3)+Inputs!$B$28+Inputs!$B$29)))</f>
        <v/>
      </c>
      <c r="E1652">
        <f>INDEX(FactorTable!$B$2:$Y$301, MATCH(ROUND(MIN(300,MAX(1,D1652)),0), FactorTable!$A$2:$A$301,0), Skills!M30+1)</f>
        <v/>
      </c>
      <c r="F1652">
        <f>IF(Skills!N30=TRUE,(Skills!L30/10)*(E1652/1000),Skills!L30/10)+Skills!O30</f>
        <v/>
      </c>
      <c r="G1652">
        <f>Skills!G30*IF(Skills!H30&gt;0,Skills!I30/Skills!H30,1)</f>
        <v/>
      </c>
      <c r="H1652">
        <f>1-(1-Skills!J30/100)^Skills!K30</f>
        <v/>
      </c>
      <c r="I1652" t="inlineStr">
        <is>
          <t>1</t>
        </is>
      </c>
      <c r="J1652" t="inlineStr"/>
      <c r="K1652" t="inlineStr"/>
      <c r="L1652" t="inlineStr"/>
      <c r="M1652" t="inlineStr"/>
      <c r="N1652" t="inlineStr"/>
      <c r="O1652">
        <f>(1-Summary!$B$11)*T1652+Summary!$B$11*V1652</f>
        <v/>
      </c>
      <c r="P1652">
        <f>IF(B1666=0,0,O1652/B1666)</f>
        <v/>
      </c>
      <c r="Q1652" t="n">
        <v>0</v>
      </c>
      <c r="R1652" t="n">
        <v>0</v>
      </c>
      <c r="S1652">
        <f>IFERROR(O1652/N1652,0)</f>
        <v/>
      </c>
      <c r="T1652" t="n">
        <v>0</v>
      </c>
      <c r="V1652" t="n">
        <v>0</v>
      </c>
    </row>
    <row r="1653">
      <c r="A1653">
        <f>Skills!A31</f>
        <v/>
      </c>
      <c r="B1653">
        <f>Skills!B31</f>
        <v/>
      </c>
      <c r="C1653">
        <f>Inputs!$B$3&gt;=45</f>
        <v/>
      </c>
      <c r="D1653">
        <f>IF(Skills!C31=1,60+Inputs!$B$25+Inputs!$B$29,IF(Skills!C31=2,90+Inputs!$B$26+Inputs!$B$29,IF(Skills!C31=3,120+Inputs!$B$27+Inputs!$B$29,MAX(0,(Inputs!$B$3-100)*3)+Inputs!$B$28+Inputs!$B$29)))</f>
        <v/>
      </c>
      <c r="E1653">
        <f>INDEX(FactorTable!$B$2:$Y$301, MATCH(ROUND(MIN(300,MAX(1,D1653)),0), FactorTable!$A$2:$A$301,0), Skills!M31+1)</f>
        <v/>
      </c>
      <c r="F1653">
        <f>IF(Skills!N31=TRUE,(Skills!L31/10)*(E1653/1000),Skills!L31/10)+Skills!O31</f>
        <v/>
      </c>
      <c r="G1653">
        <f>Skills!G31*IF(Skills!H31&gt;0,Skills!I31/Skills!H31,1)</f>
        <v/>
      </c>
      <c r="H1653">
        <f>1-(1-Skills!J31/100)^Skills!K31</f>
        <v/>
      </c>
      <c r="I1653" t="inlineStr">
        <is>
          <t>1</t>
        </is>
      </c>
      <c r="J1653" t="inlineStr"/>
      <c r="K1653" t="inlineStr"/>
      <c r="L1653" t="inlineStr"/>
      <c r="M1653" t="inlineStr"/>
      <c r="N1653" t="inlineStr"/>
      <c r="O1653">
        <f>(1-Summary!$B$11)*T1653+Summary!$B$11*V1653</f>
        <v/>
      </c>
      <c r="P1653">
        <f>IF(B1666=0,0,O1653/B1666)</f>
        <v/>
      </c>
      <c r="Q1653" t="n">
        <v>0</v>
      </c>
      <c r="R1653" t="n">
        <v>0</v>
      </c>
      <c r="S1653">
        <f>IFERROR(O1653/N1653,0)</f>
        <v/>
      </c>
      <c r="T1653" t="n">
        <v>0</v>
      </c>
      <c r="V1653" t="n">
        <v>0</v>
      </c>
    </row>
    <row r="1655">
      <c r="A1655" t="inlineStr">
        <is>
          <t>Attack% Bucket Multiplier</t>
        </is>
      </c>
      <c r="B1655">
        <f>(1+(((C1636=TRUE)*F1636)+((C1637=TRUE)*IF(Inputs!$B$38="pvp",F1637,(1-Summary!$B$11)*(F1637)+Summary!$B$11*(0)))+((C1638=TRUE)*F1638*IF(AND(Inputs!$B$38&lt;&gt;"pvp",Inputs!$B$43&gt;0),(((R1638-1)*(Skills!T16*(1+Inputs!$B$34/100))+MIN((Skills!T16*(1+Inputs!$B$34/100)),MAX(0,Inputs!$B$43-((R1638-1)*Skills!D16))))/Inputs!$B$43),IF(Inputs!$B$38="pvp",MIN((Skills!T16*(1+Inputs!$B$34/100)),15)/15,(Skills!T16*(1+Inputs!$B$34/100))/Skills!D16)))+((C1653=TRUE)*(F1653-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56">
      <c r="A1656" t="inlineStr">
        <is>
          <t>Global Crit Rate Bonus %</t>
        </is>
      </c>
      <c r="B1656">
        <f>(C1639=TRUE)*20*IF(AND(Inputs!$B$38&lt;&gt;"pvp",Inputs!$B$43&gt;0),(((R1639-1)*(Skills!T17*(1+Inputs!$B$34/100))+MIN((Skills!T17*(1+Inputs!$B$34/100)),MAX(0,Inputs!$B$43-((R1639-1)*Skills!D17))))/Inputs!$B$43),IF(Inputs!$B$38="pvp",MIN((Skills!T17*(1+Inputs!$B$34/100)),15)/15,(Skills!T17*(1+Inputs!$B$34/100))/Skills!D17))</f>
        <v/>
      </c>
    </row>
    <row r="1657">
      <c r="A1657" t="inlineStr">
        <is>
          <t>Attack Speed Buff Bonus %</t>
        </is>
      </c>
      <c r="B1657">
        <f>((C1642=TRUE)*F1642*IF(AND(Inputs!$B$38&lt;&gt;"pvp",Inputs!$B$43&gt;0),(((R1642-1)*(Skills!T20*(1+Inputs!$B$34/100))+MIN((Skills!T20*(1+Inputs!$B$34/100)),MAX(0,Inputs!$B$43-((R1642-1)*Skills!D20))))/Inputs!$B$43),IF(Inputs!$B$38="pvp",MIN((Skills!T20*(1+Inputs!$B$34/100)),15)/15,(Skills!T20*(1+Inputs!$B$34/100))/Skills!D20)))</f>
        <v/>
      </c>
    </row>
    <row r="1658">
      <c r="A1658" t="inlineStr">
        <is>
          <t>Actions Per Second</t>
        </is>
      </c>
      <c r="B1658">
        <f>1+MIN(150,150*(1-(1-(Inputs!$B$11+((C1644=TRUE)*(F1644-Calc!F22))+((C1645=TRUE)*(F1645-Calc!F23)))/150)*(1-B1657/150)))/100</f>
        <v/>
      </c>
    </row>
    <row r="1659">
      <c r="A1659" t="inlineStr">
        <is>
          <t>Skill + Buff Cast Rate</t>
        </is>
      </c>
      <c r="B1659">
        <f>IF(AND(Inputs!$B$38&lt;&gt;"pvp",Inputs!$B$43&gt;0),SUMPRODUCT((Skills!E2:E31=TRUE)*(C1624:C1653=TRUE)*R1624:R1653*Skills!F2:F31)/Inputs!$B$43,SUMPRODUCT((Skills!E2:E31=TRUE)*(C1624:C1653=TRUE)*Q1624:Q1653*Skills!F2:F31))</f>
        <v/>
      </c>
    </row>
    <row r="1660">
      <c r="A1660" t="inlineStr">
        <is>
          <t>Arrow Stream Casts Per Second</t>
        </is>
      </c>
      <c r="B1660">
        <f>MAX(0,B1658-B1659)</f>
        <v/>
      </c>
    </row>
    <row r="1661">
      <c r="A1661" t="inlineStr">
        <is>
          <t>Global Critical Damage Bonus % (Sharp Eyes + Concentration)</t>
        </is>
      </c>
      <c r="B1661">
        <f>(C1639=TRUE)*F1639*IF(AND(Inputs!$B$38&lt;&gt;"pvp",Inputs!$B$43&gt;0),(((R1639-1)*(Skills!T17*(1+Inputs!$B$34/100))+MIN((Skills!T17*(1+Inputs!$B$34/100)),MAX(0,Inputs!$B$43-((R1639-1)*Skills!D17))))/Inputs!$B$43),IF(Inputs!$B$38="pvp",MIN((Skills!T17*(1+Inputs!$B$34/100)),15)/15,(Skills!T17*(1+Inputs!$B$34/100))/Skills!D17))+(C1640=TRUE)*30</f>
        <v/>
      </c>
    </row>
    <row r="1662">
      <c r="A1662" t="inlineStr">
        <is>
          <t>Global Final Damage Bonus % (Mortal Blow)</t>
        </is>
      </c>
      <c r="B1662">
        <f>(C1641=TRUE)*F1641</f>
        <v/>
      </c>
    </row>
    <row r="1663">
      <c r="A1663" t="inlineStr">
        <is>
          <t>Buff-Casting Startup Delay (s, fixed-duration only)</t>
        </is>
      </c>
      <c r="B1663">
        <f>IF(AND(Inputs!$B$38&lt;&gt;"pvp",Inputs!$B$43&gt;0),SUMPRODUCT((Skills!T2:T31&gt;0)*(Skills!E2:E31=TRUE)*(C1624:C1653=TRUE))/B1658,0)</f>
        <v/>
      </c>
    </row>
    <row r="1664">
      <c r="A1664" t="inlineStr">
        <is>
          <t>Boss-Only Total DPS (this block's swept value)</t>
        </is>
      </c>
      <c r="B1664">
        <f>SUM(T1624:T1653)</f>
        <v/>
      </c>
    </row>
    <row r="1665">
      <c r="A1665" t="inlineStr">
        <is>
          <t>Normal-Only Total DPS (this block's swept value)</t>
        </is>
      </c>
      <c r="B1665">
        <f>SUM(V1624:V1653)</f>
        <v/>
      </c>
    </row>
    <row r="1666">
      <c r="A1666" s="6" t="inlineStr">
        <is>
          <t>TOTAL DPS</t>
        </is>
      </c>
      <c r="B1666" s="6">
        <f>SUM(O1624:O1653)</f>
        <v/>
      </c>
    </row>
    <row r="1669">
      <c r="A1669" s="6" t="inlineStr">
        <is>
          <t>Stat: Clear Spring Water (Equip)</t>
        </is>
      </c>
    </row>
    <row r="1670">
      <c r="A1670" s="5" t="inlineStr">
        <is>
          <t>Key</t>
        </is>
      </c>
      <c r="B1670" s="5" t="inlineStr">
        <is>
          <t>Name</t>
        </is>
      </c>
      <c r="C1670" s="5" t="inlineStr">
        <is>
          <t>Unlocked</t>
        </is>
      </c>
      <c r="D1670" s="5" t="inlineStr">
        <is>
          <t>InputLevel</t>
        </is>
      </c>
      <c r="E1670" s="5" t="inlineStr">
        <is>
          <t>Factor</t>
        </is>
      </c>
      <c r="F1670" s="5" t="inlineStr">
        <is>
          <t>CoefficientPercent</t>
        </is>
      </c>
      <c r="G1670" s="5" t="inlineStr">
        <is>
          <t>EffectiveHits</t>
        </is>
      </c>
      <c r="H1670" s="5" t="inlineStr">
        <is>
          <t>ProcProbability</t>
        </is>
      </c>
      <c r="I1670" s="5" t="inlineStr">
        <is>
          <t>MapleHeroMultiplier</t>
        </is>
      </c>
      <c r="J1670" s="5" t="inlineStr">
        <is>
          <t>BaseDamage</t>
        </is>
      </c>
      <c r="K1670" s="5" t="inlineStr">
        <is>
          <t>BaseHitDamage</t>
        </is>
      </c>
      <c r="L1670" s="5" t="inlineStr">
        <is>
          <t>NonCritAvg</t>
        </is>
      </c>
      <c r="M1670" s="5" t="inlineStr">
        <is>
          <t>CritAvg</t>
        </is>
      </c>
      <c r="N1670" s="5" t="inlineStr">
        <is>
          <t>ExpectedDamage(perHit)</t>
        </is>
      </c>
      <c r="O1670" s="5" t="inlineStr">
        <is>
          <t>DPS</t>
        </is>
      </c>
      <c r="P1670" s="5" t="inlineStr">
        <is>
          <t>% of Total</t>
        </is>
      </c>
      <c r="Q1670" s="5" t="inlineStr">
        <is>
          <t>InvCooldown</t>
        </is>
      </c>
      <c r="R1670" s="5" t="inlineStr">
        <is>
          <t>CastsInFight</t>
        </is>
      </c>
      <c r="S1670" s="5" t="inlineStr">
        <is>
          <t>HitRate(perSec)</t>
        </is>
      </c>
      <c r="U1670" t="inlineStr">
        <is>
          <t>helpers</t>
        </is>
      </c>
    </row>
    <row r="1671">
      <c r="A1671">
        <f>Skills!A2</f>
        <v/>
      </c>
      <c r="B1671">
        <f>Skills!B2</f>
        <v/>
      </c>
      <c r="C1671">
        <f>Inputs!$B$3&gt;=100</f>
        <v/>
      </c>
      <c r="D1671" t="inlineStr"/>
      <c r="E1671" t="inlineStr"/>
      <c r="F1671">
        <f>U1673+Skills!O2</f>
        <v/>
      </c>
      <c r="G1671">
        <f>Skills!G2*IF(Skills!H2&gt;0,Skills!I2/Skills!H2,1)</f>
        <v/>
      </c>
      <c r="H1671">
        <f>1-(1-Skills!J2/100)^Skills!K2</f>
        <v/>
      </c>
      <c r="I1671" t="inlineStr">
        <is>
          <t>1</t>
        </is>
      </c>
      <c r="J1671">
        <f>((Inputs!$B$6*(1+Inputs!$B$7/100))+(((Inputs!$B$12*(1+Inputs!$B$13/100))-(Inputs!$B$12*(1+Inputs!$B$13/100)))+0.25*(Inputs!$B$14-Inputs!$B$14))*(1+Inputs!$B$7/100))*(F1671/100)</f>
        <v/>
      </c>
      <c r="K1671">
        <f>J1671*(1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1671)</f>
        <v/>
      </c>
      <c r="L1671">
        <f>K1671*(MIN(Inputs!$B$22+((C1694=TRUE)*(F1694-Calc!F25)),(Inputs!$B$23+((C1699=TRUE)*(F1699-Calc!F30))+(IF(ArtifactsInput!$M$15,CHOOSE(ArtifactsInput!$N$15+1,25,30,35,40,45,50)/100*(Inputs!$B$11-Inputs!$B$11),0))))/100+(Inputs!$B$23+((C1699=TRUE)*(F1699-Calc!F30))+(IF(ArtifactsInput!$M$15,CHOOSE(ArtifactsInput!$N$15+1,25,30,35,40,45,50)/100*(Inputs!$B$11-Inputs!$B$11),0)))/100)/2</f>
        <v/>
      </c>
      <c r="M1671">
        <f>L1671*(1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1">
        <f>L1671*(1-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1">
        <f>(1-Summary!$B$11)*T1671+Summary!$B$11*V1671</f>
        <v/>
      </c>
      <c r="P1671">
        <f>IF(B1713=0,0,O1671/B1713)</f>
        <v/>
      </c>
      <c r="Q1671" t="n">
        <v>0</v>
      </c>
      <c r="R1671" t="n">
        <v>0</v>
      </c>
      <c r="S1671">
        <f>IFERROR(O1671/N1671,0)</f>
        <v/>
      </c>
      <c r="T1671">
        <f>IF(C1671,(Skills!G2*N1671*B1707)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1671*(1-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1">
        <f>MAX(0,(Inputs!$B$3-100)*3)+Inputs!$B$28+Inputs!$B$29</f>
        <v/>
      </c>
      <c r="V1671">
        <f>IF(C1671,(Skills!G2*N1671*B1707)*IF(Inputs!$B$38="pvp",1,(1+(Inputs!$B$21+Skills!Q2+(IF(ArtifactsInput!$M$33,CHOOSE(ArtifactsInput!$N$33+1,30,36,42,48,54,60),0))+(IF(AND(ArtifactsInput!$M$35,Inputs!$B$4&lt;&gt;"Chapter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2">
      <c r="A1672">
        <f>Skills!A3</f>
        <v/>
      </c>
      <c r="B1672">
        <f>Skills!B3</f>
        <v/>
      </c>
      <c r="C1672">
        <f>Inputs!$B$3&gt;=50</f>
        <v/>
      </c>
      <c r="D1672">
        <f>IF(Skills!C3=1,60+Inputs!$B$25+Inputs!$B$29,IF(Skills!C3=2,90+Inputs!$B$26+Inputs!$B$29,IF(Skills!C3=3,120+Inputs!$B$27+Inputs!$B$29,MAX(0,(Inputs!$B$3-100)*3)+Inputs!$B$28+Inputs!$B$29)))</f>
        <v/>
      </c>
      <c r="E1672">
        <f>INDEX(FactorTable!$B$2:$Y$301, MATCH(ROUND(MIN(300,MAX(1,D1672)),0), FactorTable!$A$2:$A$301,0), Skills!M3+1)</f>
        <v/>
      </c>
      <c r="F1672">
        <f>IF(Skills!N3=TRUE,(Skills!L3/10)*(E1672/1000),Skills!L3/10)+Skills!O3</f>
        <v/>
      </c>
      <c r="G1672">
        <f>Skills!G3*IF(Skills!H3&gt;0,Skills!I3/Skills!H3,1)</f>
        <v/>
      </c>
      <c r="H1672">
        <f>1-(1-Skills!J3/100)^Skills!K3</f>
        <v/>
      </c>
      <c r="I1672" t="inlineStr">
        <is>
          <t>1</t>
        </is>
      </c>
      <c r="J1672">
        <f>((Inputs!$B$6*(1+Inputs!$B$7/100))+(((Inputs!$B$12*(1+Inputs!$B$13/100))-(Inputs!$B$12*(1+Inputs!$B$13/100)))+0.25*(Inputs!$B$14-Inputs!$B$14))*(1+Inputs!$B$7/100))*(F1672/100)</f>
        <v/>
      </c>
      <c r="K1672">
        <f>J1672*(1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1673=TRUE,F1673,0)/100)*(1+(IF(Skills!A3="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1672)</f>
        <v/>
      </c>
      <c r="L1672">
        <f>K1672*(MIN(Inputs!$B$22+((C1694=TRUE)*(F1694-Calc!F25)),(Inputs!$B$23+((C1699=TRUE)*(F1699-Calc!F30))+(IF(ArtifactsInput!$M$15,CHOOSE(ArtifactsInput!$N$15+1,25,30,35,40,45,50)/100*(Inputs!$B$11-Inputs!$B$11),0))))/100+(Inputs!$B$23+((C1699=TRUE)*(F1699-Calc!F30))+(IF(ArtifactsInput!$M$15,CHOOSE(ArtifactsInput!$N$15+1,25,30,35,40,45,50)/100*(Inputs!$B$11-Inputs!$B$11),0)))/100)/2</f>
        <v/>
      </c>
      <c r="M1672">
        <f>L1672*(1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2">
        <f>L1672*(1-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1672*(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2">
        <f>(1-Summary!$B$11)*T1672+Summary!$B$11*V1672</f>
        <v/>
      </c>
      <c r="P1672">
        <f>IF(B1713=0,0,O1672/B1713)</f>
        <v/>
      </c>
      <c r="Q1672">
        <f>IFERROR(1/(IF(Inputs!$B$38="pvp",15,MAX(0.1,Skills!D3-IF(Skills!E3=TRUE,Inputs!$B$32,0)))*(1-IF(AND(ArtifactsInput!$M$27,Inputs!$B$4="Chapter Hunt"),CHOOSE(ArtifactsInput!$N$27+1,20,24,28,32,36,40),0)/100)),0)</f>
        <v/>
      </c>
      <c r="R1672">
        <f>IF(AND(Inputs!$B$38&lt;&gt;"pvp",Inputs!$B$43&gt;0),IF(MAX(0,Inputs!$B$43-B1710)&lt;=0,0,(INT(MAX(0,Inputs!$B$43-B1710)/(IF(Inputs!$B$38="pvp",15,MAX(0.1,Skills!D3-IF(Skills!E3=TRUE,Inputs!$B$32,0)))*(1-IF(AND(ArtifactsInput!$M$27,Inputs!$B$4="Chapter Hunt"),CHOOSE(ArtifactsInput!$N$27+1,20,24,28,32,36,40),0)/100)))+1)),0)</f>
        <v/>
      </c>
      <c r="S1672">
        <f>IFERROR(O1672/N1672,0)</f>
        <v/>
      </c>
      <c r="T1672">
        <f>IF(C1672,(H1672*N1672*IF(AND(Inputs!$B$38&lt;&gt;"pvp",Inputs!$B$43&gt;0),((Skills!G3*((R1672-1)*IF(Skills!H3&gt;0,Skills!I3/Skills!H3,1)+IF(Skills!H3&gt;0,MIN(Skills!I3,MAX(0,MAX(0,Inputs!$B$43-B1710)-((R1672-1)*(IF(Inputs!$B$38="pvp",15,MAX(0.1,Skills!D3-IF(Skills!E3=TRUE,Inputs!$B$32,0)))*(1-IF(AND(ArtifactsInput!$M$27,Inputs!$B$4="Chapter Hunt"),CHOOSE(ArtifactsInput!$N$27+1,20,24,28,32,36,40),0)/100)))))/Skills!H3,1)))/Inputs!$B$43),G1672*Q1672)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1672*(1-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1672*(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1672*(1-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1672*(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2">
        <f>INDEX(FactorTable!$B$2:$Y$301, MATCH(ROUND(MIN(300,MAX(1,U1671)),0), FactorTable!$A$2:$A$301,0), 22)</f>
        <v/>
      </c>
      <c r="V1672">
        <f>IF(C1672,(H1672*N1672*IF(AND(Inputs!$B$38&lt;&gt;"pvp",Inputs!$B$43&gt;0),((Skills!G3*((R1672-1)*IF(Skills!H3&gt;0,Skills!I3/Skills!H3,1)+IF(Skills!H3&gt;0,MIN(Skills!I3,MAX(0,MAX(0,Inputs!$B$43-B1710)-((R1672-1)*(IF(Inputs!$B$38="pvp",15,MAX(0.1,Skills!D3-IF(Skills!E3=TRUE,Inputs!$B$32,0)))*(1-IF(AND(ArtifactsInput!$M$27,Inputs!$B$4="Chapter Hunt"),CHOOSE(ArtifactsInput!$N$27+1,20,24,28,32,36,40),0)/100)))))/Skills!H3,1)))/Inputs!$B$43),G1672*Q1672))*IF(Inputs!$B$38="pvp",1,(1+(Inputs!$B$21+Skills!Q3+(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3">
      <c r="A1673">
        <f>Skills!A4</f>
        <v/>
      </c>
      <c r="B1673">
        <f>Skills!B4</f>
        <v/>
      </c>
      <c r="C1673">
        <f>Inputs!$B$3&gt;=105</f>
        <v/>
      </c>
      <c r="D1673">
        <f>IF(Skills!C4=1,60+Inputs!$B$25+Inputs!$B$29,IF(Skills!C4=2,90+Inputs!$B$26+Inputs!$B$29,IF(Skills!C4=3,120+Inputs!$B$27+Inputs!$B$29,MAX(0,(Inputs!$B$3-100)*3)+Inputs!$B$28+Inputs!$B$29)))</f>
        <v/>
      </c>
      <c r="E1673">
        <f>INDEX(FactorTable!$B$2:$Y$301, MATCH(ROUND(MIN(300,MAX(1,D1673)),0), FactorTable!$A$2:$A$301,0), Skills!M4+1)</f>
        <v/>
      </c>
      <c r="F1673">
        <f>IF(Skills!N4=TRUE,(Skills!L4/10)*(E1673/1000),Skills!L4/10)+Skills!O4</f>
        <v/>
      </c>
      <c r="G1673" t="inlineStr"/>
      <c r="H1673" t="inlineStr"/>
      <c r="I1673" t="inlineStr">
        <is>
          <t>1</t>
        </is>
      </c>
      <c r="J1673" t="inlineStr"/>
      <c r="K1673" t="inlineStr"/>
      <c r="L1673" t="inlineStr"/>
      <c r="M1673" t="inlineStr"/>
      <c r="N1673" t="inlineStr"/>
      <c r="O1673" t="inlineStr"/>
      <c r="P1673" t="inlineStr"/>
      <c r="Q1673" t="inlineStr"/>
      <c r="R1673" t="inlineStr"/>
      <c r="S1673" t="inlineStr"/>
      <c r="T1673" t="inlineStr"/>
      <c r="U1673">
        <f>290*U1672/1000</f>
        <v/>
      </c>
      <c r="V1673" t="inlineStr"/>
    </row>
    <row r="1674">
      <c r="A1674">
        <f>Skills!A5</f>
        <v/>
      </c>
      <c r="B1674">
        <f>Skills!B5</f>
        <v/>
      </c>
      <c r="C1674">
        <f>Inputs!$B$3&gt;=35</f>
        <v/>
      </c>
      <c r="D1674">
        <f>IF(Skills!C5=1,60+Inputs!$B$25+Inputs!$B$29,IF(Skills!C5=2,90+Inputs!$B$26+Inputs!$B$29,IF(Skills!C5=3,120+Inputs!$B$27+Inputs!$B$29,MAX(0,(Inputs!$B$3-100)*3)+Inputs!$B$28+Inputs!$B$29)))</f>
        <v/>
      </c>
      <c r="E1674">
        <f>INDEX(FactorTable!$B$2:$Y$301, MATCH(ROUND(MIN(300,MAX(1,D1674)),0), FactorTable!$A$2:$A$301,0), Skills!M5+1)</f>
        <v/>
      </c>
      <c r="F1674">
        <f>IF(Skills!N5=TRUE,(Skills!L5/10)*(E1674/1000),Skills!L5/10)+Skills!O5</f>
        <v/>
      </c>
      <c r="G1674">
        <f>Skills!G5*IF(Skills!H5&gt;0,Skills!I5/Skills!H5,1)</f>
        <v/>
      </c>
      <c r="H1674">
        <f>1-(1-Skills!J5/100)^Skills!K5</f>
        <v/>
      </c>
      <c r="I1674" t="inlineStr">
        <is>
          <t>1</t>
        </is>
      </c>
      <c r="J1674">
        <f>((Inputs!$B$6*(1+Inputs!$B$7/100))+(((Inputs!$B$12*(1+Inputs!$B$13/100))-(Inputs!$B$12*(1+Inputs!$B$13/100)))+0.25*(Inputs!$B$14-Inputs!$B$14))*(1+Inputs!$B$7/100))*(F1674/100)</f>
        <v/>
      </c>
      <c r="K1674">
        <f>J1674*(1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1680=TRUE,F1680,0)/100)*(1+(IF(Skills!A5="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1674)</f>
        <v/>
      </c>
      <c r="L1674">
        <f>K1674*(MIN(Inputs!$B$22+((C1694=TRUE)*(F1694-Calc!F25)),(Inputs!$B$23+((C1699=TRUE)*(F1699-Calc!F30))+(IF(ArtifactsInput!$M$15,CHOOSE(ArtifactsInput!$N$15+1,25,30,35,40,45,50)/100*(Inputs!$B$11-Inputs!$B$11),0))))/100+(Inputs!$B$23+((C1699=TRUE)*(F1699-Calc!F30))+(IF(ArtifactsInput!$M$15,CHOOSE(ArtifactsInput!$N$15+1,25,30,35,40,45,50)/100*(Inputs!$B$11-Inputs!$B$11),0)))/100)/2</f>
        <v/>
      </c>
      <c r="M1674">
        <f>L1674*(1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4">
        <f>L1674*(1-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1674*(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4">
        <f>(1-Summary!$B$11)*T1674+Summary!$B$11*V1674</f>
        <v/>
      </c>
      <c r="P1674">
        <f>IF(B1713=0,0,O1674/B1713)</f>
        <v/>
      </c>
      <c r="Q1674">
        <f>IFERROR(1/(IF(Inputs!$B$38="pvp",15,MAX(0.1,Skills!D5-IF(Skills!E5=TRUE,Inputs!$B$32,0)))*(1-IF(AND(ArtifactsInput!$M$27,Inputs!$B$4="Chapter Hunt"),CHOOSE(ArtifactsInput!$N$27+1,20,24,28,32,36,40),0)/100)),0)</f>
        <v/>
      </c>
      <c r="R1674">
        <f>IF(AND(Inputs!$B$38&lt;&gt;"pvp",Inputs!$B$43&gt;0),IF(MAX(0,Inputs!$B$43-B1710)&lt;=0,0,(INT(MAX(0,Inputs!$B$43-B1710)/(IF(Inputs!$B$38="pvp",15,MAX(0.1,Skills!D5-IF(Skills!E5=TRUE,Inputs!$B$32,0)))*(1-IF(AND(ArtifactsInput!$M$27,Inputs!$B$4="Chapter Hunt"),CHOOSE(ArtifactsInput!$N$27+1,20,24,28,32,36,40),0)/100)))+1)),0)</f>
        <v/>
      </c>
      <c r="S1674">
        <f>IFERROR(O1674/N1674,0)</f>
        <v/>
      </c>
      <c r="T1674">
        <f>IF(C1674,(H1674*N1674*IF(AND(Inputs!$B$38&lt;&gt;"pvp",Inputs!$B$43&gt;0),((Skills!G5*((R1674-1)*IF(Skills!H5&gt;0,Skills!I5/Skills!H5,1)+IF(Skills!H5&gt;0,MIN(Skills!I5,MAX(0,MAX(0,Inputs!$B$43-B1710)-((R1674-1)*(IF(Inputs!$B$38="pvp",15,MAX(0.1,Skills!D5-IF(Skills!E5=TRUE,Inputs!$B$32,0)))*(1-IF(AND(ArtifactsInput!$M$27,Inputs!$B$4="Chapter Hunt"),CHOOSE(ArtifactsInput!$N$27+1,20,24,28,32,36,40),0)/100)))))/Skills!H5,1)))/Inputs!$B$43),G1674*Q1674)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1674*(1-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1674*(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1674*(1-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1674*(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4">
        <f>IF(C1674,(H1674*N1674*IF(AND(Inputs!$B$38&lt;&gt;"pvp",Inputs!$B$43&gt;0),((Skills!G5*((R1674-1)*IF(Skills!H5&gt;0,Skills!I5/Skills!H5,1)+IF(Skills!H5&gt;0,MIN(Skills!I5,MAX(0,MAX(0,Inputs!$B$43-B1710)-((R1674-1)*(IF(Inputs!$B$38="pvp",15,MAX(0.1,Skills!D5-IF(Skills!E5=TRUE,Inputs!$B$32,0)))*(1-IF(AND(ArtifactsInput!$M$27,Inputs!$B$4="Chapter Hunt"),CHOOSE(ArtifactsInput!$N$27+1,20,24,28,32,36,40),0)/100)))))/Skills!H5,1)))/Inputs!$B$43),G1674*Q1674))*IF(Inputs!$B$38="pvp",1,(1+(Inputs!$B$21+Skills!Q5+(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5">
      <c r="A1675">
        <f>Skills!A6</f>
        <v/>
      </c>
      <c r="B1675">
        <f>Skills!B6</f>
        <v/>
      </c>
      <c r="C1675">
        <f>Inputs!$B$3&gt;=40</f>
        <v/>
      </c>
      <c r="D1675">
        <f>IF(Skills!C6=1,60+Inputs!$B$25+Inputs!$B$29,IF(Skills!C6=2,90+Inputs!$B$26+Inputs!$B$29,IF(Skills!C6=3,120+Inputs!$B$27+Inputs!$B$29,MAX(0,(Inputs!$B$3-100)*3)+Inputs!$B$28+Inputs!$B$29)))</f>
        <v/>
      </c>
      <c r="E1675">
        <f>INDEX(FactorTable!$B$2:$Y$301, MATCH(ROUND(MIN(300,MAX(1,D1675)),0), FactorTable!$A$2:$A$301,0), Skills!M6+1)</f>
        <v/>
      </c>
      <c r="F1675">
        <f>IF(Skills!N6=TRUE,(Skills!L6/10)*(E1675/1000),Skills!L6/10)+Skills!O6</f>
        <v/>
      </c>
      <c r="G1675">
        <f>Skills!G6*IF(Skills!H6&gt;0,Skills!I6/Skills!H6,1)</f>
        <v/>
      </c>
      <c r="H1675">
        <f>1-(1-Skills!J6/100)^Skills!K6</f>
        <v/>
      </c>
      <c r="I1675" t="inlineStr">
        <is>
          <t>1</t>
        </is>
      </c>
      <c r="J1675">
        <f>((Inputs!$B$6*(1+Inputs!$B$7/100))+(((Inputs!$B$12*(1+Inputs!$B$13/100))-(Inputs!$B$12*(1+Inputs!$B$13/100)))+0.25*(Inputs!$B$14-Inputs!$B$14))*(1+Inputs!$B$7/100))*(F1675/100)</f>
        <v/>
      </c>
      <c r="K1675">
        <f>J1675*(1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1676=TRUE,F1676,0)/100)*(1+(IF(Skills!A6="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1675)</f>
        <v/>
      </c>
      <c r="L1675">
        <f>K1675*(MIN(Inputs!$B$22+((C1694=TRUE)*(F1694-Calc!F25)),(Inputs!$B$23+((C1699=TRUE)*(F1699-Calc!F30))+(IF(ArtifactsInput!$M$15,CHOOSE(ArtifactsInput!$N$15+1,25,30,35,40,45,50)/100*(Inputs!$B$11-Inputs!$B$11),0))))/100+(Inputs!$B$23+((C1699=TRUE)*(F1699-Calc!F30))+(IF(ArtifactsInput!$M$15,CHOOSE(ArtifactsInput!$N$15+1,25,30,35,40,45,50)/100*(Inputs!$B$11-Inputs!$B$11),0)))/100)/2</f>
        <v/>
      </c>
      <c r="M1675">
        <f>L1675*(1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5">
        <f>L1675*(1-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1675*(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5">
        <f>(1-Summary!$B$11)*T1675+Summary!$B$11*V1675</f>
        <v/>
      </c>
      <c r="P1675">
        <f>IF(B1713=0,0,O1675/B1713)</f>
        <v/>
      </c>
      <c r="Q1675">
        <f>IFERROR(1/(IF(Inputs!$B$38="pvp",15,MAX(0.1,Skills!D6-IF(Skills!E6=TRUE,Inputs!$B$32,0)))*(1-IF(AND(ArtifactsInput!$M$27,Inputs!$B$4="Chapter Hunt"),CHOOSE(ArtifactsInput!$N$27+1,20,24,28,32,36,40),0)/100)),0)</f>
        <v/>
      </c>
      <c r="R1675">
        <f>IF(AND(Inputs!$B$38&lt;&gt;"pvp",Inputs!$B$43&gt;0),IF(MAX(0,Inputs!$B$43-B1710)&lt;=0,0,(INT(MAX(0,Inputs!$B$43-B1710)/(IF(Inputs!$B$38="pvp",15,MAX(0.1,Skills!D6-IF(Skills!E6=TRUE,Inputs!$B$32,0)))*(1-IF(AND(ArtifactsInput!$M$27,Inputs!$B$4="Chapter Hunt"),CHOOSE(ArtifactsInput!$N$27+1,20,24,28,32,36,40),0)/100)))+1)),0)</f>
        <v/>
      </c>
      <c r="S1675">
        <f>IFERROR(O1675/N1675,0)</f>
        <v/>
      </c>
      <c r="T1675">
        <f>IF(C1675,(H1675*N1675*IF(AND(Inputs!$B$38&lt;&gt;"pvp",Inputs!$B$43&gt;0),((Skills!G6*((R1675-1)*IF(Skills!H6&gt;0,Skills!I6/Skills!H6,1)+IF(Skills!H6&gt;0,MIN(Skills!I6,MAX(0,MAX(0,Inputs!$B$43-B1710)-((R1675-1)*(IF(Inputs!$B$38="pvp",15,MAX(0.1,Skills!D6-IF(Skills!E6=TRUE,Inputs!$B$32,0)))*(1-IF(AND(ArtifactsInput!$M$27,Inputs!$B$4="Chapter Hunt"),CHOOSE(ArtifactsInput!$N$27+1,20,24,28,32,36,40),0)/100)))))/Skills!H6,1)))/Inputs!$B$43),G1675*Q1675)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1675*(1-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1675*(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1675*(1-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1675*(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5">
        <f>IF(C1675,(H1675*N1675*IF(AND(Inputs!$B$38&lt;&gt;"pvp",Inputs!$B$43&gt;0),((Skills!G6*((R1675-1)*IF(Skills!H6&gt;0,Skills!I6/Skills!H6,1)+IF(Skills!H6&gt;0,MIN(Skills!I6,MAX(0,MAX(0,Inputs!$B$43-B1710)-((R1675-1)*(IF(Inputs!$B$38="pvp",15,MAX(0.1,Skills!D6-IF(Skills!E6=TRUE,Inputs!$B$32,0)))*(1-IF(AND(ArtifactsInput!$M$27,Inputs!$B$4="Chapter Hunt"),CHOOSE(ArtifactsInput!$N$27+1,20,24,28,32,36,40),0)/100)))))/Skills!H6,1)))/Inputs!$B$43),G1675*Q1675))*IF(Inputs!$B$38="pvp",1,(1+(Inputs!$B$21+Skills!Q6+(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6">
      <c r="A1676">
        <f>Skills!A7</f>
        <v/>
      </c>
      <c r="B1676">
        <f>Skills!B7</f>
        <v/>
      </c>
      <c r="C1676">
        <f>Inputs!$B$3&gt;=107</f>
        <v/>
      </c>
      <c r="D1676">
        <f>IF(Skills!C7=1,60+Inputs!$B$25+Inputs!$B$29,IF(Skills!C7=2,90+Inputs!$B$26+Inputs!$B$29,IF(Skills!C7=3,120+Inputs!$B$27+Inputs!$B$29,MAX(0,(Inputs!$B$3-100)*3)+Inputs!$B$28+Inputs!$B$29)))</f>
        <v/>
      </c>
      <c r="E1676">
        <f>INDEX(FactorTable!$B$2:$Y$301, MATCH(ROUND(MIN(300,MAX(1,D1676)),0), FactorTable!$A$2:$A$301,0), Skills!M7+1)</f>
        <v/>
      </c>
      <c r="F1676">
        <f>IF(Skills!N7=TRUE,(Skills!L7/10)*(E1676/1000),Skills!L7/10)+Skills!O7</f>
        <v/>
      </c>
      <c r="G1676" t="inlineStr"/>
      <c r="H1676" t="inlineStr"/>
      <c r="I1676" t="inlineStr">
        <is>
          <t>1</t>
        </is>
      </c>
      <c r="J1676" t="inlineStr"/>
      <c r="K1676" t="inlineStr"/>
      <c r="L1676" t="inlineStr"/>
      <c r="M1676" t="inlineStr"/>
      <c r="N1676" t="inlineStr"/>
      <c r="O1676" t="inlineStr"/>
      <c r="P1676" t="inlineStr"/>
      <c r="Q1676" t="inlineStr"/>
      <c r="R1676" t="inlineStr"/>
      <c r="S1676" t="inlineStr"/>
      <c r="T1676" t="inlineStr"/>
      <c r="V1676" t="inlineStr"/>
    </row>
    <row r="1677">
      <c r="A1677">
        <f>Skills!A8</f>
        <v/>
      </c>
      <c r="B1677">
        <f>Skills!B8</f>
        <v/>
      </c>
      <c r="C1677">
        <f>Inputs!$B$3&gt;=69</f>
        <v/>
      </c>
      <c r="D1677">
        <f>IF(Skills!C8=1,60+Inputs!$B$25+Inputs!$B$29,IF(Skills!C8=2,90+Inputs!$B$26+Inputs!$B$29,IF(Skills!C8=3,120+Inputs!$B$27+Inputs!$B$29,MAX(0,(Inputs!$B$3-100)*3)+Inputs!$B$28+Inputs!$B$29)))</f>
        <v/>
      </c>
      <c r="E1677">
        <f>INDEX(FactorTable!$B$2:$Y$301, MATCH(ROUND(MIN(300,MAX(1,D1677)),0), FactorTable!$A$2:$A$301,0), Skills!M8+1)</f>
        <v/>
      </c>
      <c r="F1677">
        <f>IF(Skills!N8=TRUE,(Skills!L8/10)*(E1677/1000),Skills!L8/10)+Skills!O8</f>
        <v/>
      </c>
      <c r="G1677">
        <f>Skills!G8*IF(Skills!H8&gt;0,Skills!I8/Skills!H8,1)</f>
        <v/>
      </c>
      <c r="H1677">
        <f>1-(1-Skills!J8/100)^Skills!K8</f>
        <v/>
      </c>
      <c r="I1677" t="inlineStr">
        <is>
          <t>1</t>
        </is>
      </c>
      <c r="J1677">
        <f>((Inputs!$B$6*(1+Inputs!$B$7/100))+(((Inputs!$B$12*(1+Inputs!$B$13/100))-(Inputs!$B$12*(1+Inputs!$B$13/100)))+0.25*(Inputs!$B$14-Inputs!$B$14))*(1+Inputs!$B$7/100))*(F1677/100)</f>
        <v/>
      </c>
      <c r="K1677">
        <f>J1677*(1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1680=TRUE,F1680,0)/100)*(1+(IF(Skills!A8="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1677)</f>
        <v/>
      </c>
      <c r="L1677">
        <f>K1677*(MIN(Inputs!$B$22+((C1694=TRUE)*(F1694-Calc!F25)),(Inputs!$B$23+((C1699=TRUE)*(F1699-Calc!F30))+(IF(ArtifactsInput!$M$15,CHOOSE(ArtifactsInput!$N$15+1,25,30,35,40,45,50)/100*(Inputs!$B$11-Inputs!$B$11),0))))/100+(Inputs!$B$23+((C1699=TRUE)*(F1699-Calc!F30))+(IF(ArtifactsInput!$M$15,CHOOSE(ArtifactsInput!$N$15+1,25,30,35,40,45,50)/100*(Inputs!$B$11-Inputs!$B$11),0)))/100)/2</f>
        <v/>
      </c>
      <c r="M1677">
        <f>L1677*(1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7">
        <f>L1677*(1-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1677*(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7">
        <f>(1-Summary!$B$11)*T1677+Summary!$B$11*V1677</f>
        <v/>
      </c>
      <c r="P1677">
        <f>IF(B1713=0,0,O1677/B1713)</f>
        <v/>
      </c>
      <c r="Q1677">
        <f>IFERROR(1/(IF(Inputs!$B$38="pvp",15,MAX(0.1,Skills!D8-IF(Skills!E8=TRUE,Inputs!$B$32,0)))*(1-IF(AND(ArtifactsInput!$M$27,Inputs!$B$4="Chapter Hunt"),CHOOSE(ArtifactsInput!$N$27+1,20,24,28,32,36,40),0)/100)),0)</f>
        <v/>
      </c>
      <c r="R1677">
        <f>IF(AND(Inputs!$B$38&lt;&gt;"pvp",Inputs!$B$43&gt;0),IF(MAX(0,Inputs!$B$43-B1710)&lt;=0,0,(INT(MAX(0,Inputs!$B$43-B1710)/(IF(Inputs!$B$38="pvp",15,MAX(0.1,Skills!D8-IF(Skills!E8=TRUE,Inputs!$B$32,0)))*(1-IF(AND(ArtifactsInput!$M$27,Inputs!$B$4="Chapter Hunt"),CHOOSE(ArtifactsInput!$N$27+1,20,24,28,32,36,40),0)/100)))+1)),0)</f>
        <v/>
      </c>
      <c r="S1677">
        <f>IFERROR(O1677/N1677,0)</f>
        <v/>
      </c>
      <c r="T1677">
        <f>IF(C1677,(H1677*N1677*IF(AND(Inputs!$B$38&lt;&gt;"pvp",Inputs!$B$43&gt;0),((Skills!G8*((R1677-1)*IF(Skills!H8&gt;0,Skills!I8/Skills!H8,1)+IF(Skills!H8&gt;0,MIN(Skills!I8,MAX(0,MAX(0,Inputs!$B$43-B1710)-((R1677-1)*(IF(Inputs!$B$38="pvp",15,MAX(0.1,Skills!D8-IF(Skills!E8=TRUE,Inputs!$B$32,0)))*(1-IF(AND(ArtifactsInput!$M$27,Inputs!$B$4="Chapter Hunt"),CHOOSE(ArtifactsInput!$N$27+1,20,24,28,32,36,40),0)/100)))))/Skills!H8,1)))/Inputs!$B$43),G1677*Q1677)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1677*(1-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1677*(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1677*(1-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1677*(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7">
        <f>IF(C1677,(H1677*N1677*IF(AND(Inputs!$B$38&lt;&gt;"pvp",Inputs!$B$43&gt;0),((Skills!G8*((R1677-1)*IF(Skills!H8&gt;0,Skills!I8/Skills!H8,1)+IF(Skills!H8&gt;0,MIN(Skills!I8,MAX(0,MAX(0,Inputs!$B$43-B1710)-((R1677-1)*(IF(Inputs!$B$38="pvp",15,MAX(0.1,Skills!D8-IF(Skills!E8=TRUE,Inputs!$B$32,0)))*(1-IF(AND(ArtifactsInput!$M$27,Inputs!$B$4="Chapter Hunt"),CHOOSE(ArtifactsInput!$N$27+1,20,24,28,32,36,40),0)/100)))))/Skills!H8,1)))/Inputs!$B$43),G1677*Q1677))*IF(Inputs!$B$38="pvp",1,(1+(Inputs!$B$21+Skills!Q8+(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8">
      <c r="A1678">
        <f>Skills!A9</f>
        <v/>
      </c>
      <c r="B1678">
        <f>Skills!B9</f>
        <v/>
      </c>
      <c r="C1678">
        <f>Inputs!$B$3&gt;=63</f>
        <v/>
      </c>
      <c r="D1678">
        <f>IF(Skills!C9=1,60+Inputs!$B$25+Inputs!$B$29,IF(Skills!C9=2,90+Inputs!$B$26+Inputs!$B$29,IF(Skills!C9=3,120+Inputs!$B$27+Inputs!$B$29,MAX(0,(Inputs!$B$3-100)*3)+Inputs!$B$28+Inputs!$B$29)))</f>
        <v/>
      </c>
      <c r="E1678">
        <f>INDEX(FactorTable!$B$2:$Y$301, MATCH(ROUND(MIN(300,MAX(1,D1678)),0), FactorTable!$A$2:$A$301,0), Skills!M9+1)</f>
        <v/>
      </c>
      <c r="F1678">
        <f>IF(Skills!N9=TRUE,(Skills!L9/10)*(E1678/1000),Skills!L9/10)+Skills!O9</f>
        <v/>
      </c>
      <c r="G1678">
        <f>Skills!G9*IF(Skills!H9&gt;0,Skills!I9/Skills!H9,1)</f>
        <v/>
      </c>
      <c r="H1678">
        <f>1-(1-Skills!J9/100)^Skills!K9</f>
        <v/>
      </c>
      <c r="I1678" t="inlineStr">
        <is>
          <t>1</t>
        </is>
      </c>
      <c r="J1678">
        <f>((Inputs!$B$6*(1+Inputs!$B$7/100))+(((Inputs!$B$12*(1+Inputs!$B$13/100))-(Inputs!$B$12*(1+Inputs!$B$13/100)))+0.25*(Inputs!$B$14-Inputs!$B$14))*(1+Inputs!$B$7/100))*(F1678/100)</f>
        <v/>
      </c>
      <c r="K1678">
        <f>J1678*(1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1680=TRUE,F1680,0)/100)*(1+(IF(Skills!A9="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1678)</f>
        <v/>
      </c>
      <c r="L1678">
        <f>K1678*(MIN(Inputs!$B$22+((C1694=TRUE)*(F1694-Calc!F25)),(Inputs!$B$23+((C1699=TRUE)*(F1699-Calc!F30))+(IF(ArtifactsInput!$M$15,CHOOSE(ArtifactsInput!$N$15+1,25,30,35,40,45,50)/100*(Inputs!$B$11-Inputs!$B$11),0))))/100+(Inputs!$B$23+((C1699=TRUE)*(F1699-Calc!F30))+(IF(ArtifactsInput!$M$15,CHOOSE(ArtifactsInput!$N$15+1,25,30,35,40,45,50)/100*(Inputs!$B$11-Inputs!$B$11),0)))/100)/2</f>
        <v/>
      </c>
      <c r="M1678">
        <f>L1678*(1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8">
        <f>L1678*(1-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1678*(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8">
        <f>(1-Summary!$B$11)*T1678+Summary!$B$11*V1678</f>
        <v/>
      </c>
      <c r="P1678">
        <f>IF(B1713=0,0,O1678/B1713)</f>
        <v/>
      </c>
      <c r="Q1678">
        <f>IFERROR(1/(IF(Inputs!$B$38="pvp",15,MAX(0.1,Skills!D9-IF(Skills!E9=TRUE,Inputs!$B$32,0)))*(1-IF(AND(ArtifactsInput!$M$27,Inputs!$B$4="Chapter Hunt"),CHOOSE(ArtifactsInput!$N$27+1,20,24,28,32,36,40),0)/100)),0)</f>
        <v/>
      </c>
      <c r="R1678">
        <f>IF(AND(Inputs!$B$38&lt;&gt;"pvp",Inputs!$B$43&gt;0),IF(MAX(0,Inputs!$B$43-B1710)&lt;=0,0,(INT(MAX(0,Inputs!$B$43-B1710)/(IF(Inputs!$B$38="pvp",15,MAX(0.1,Skills!D9-IF(Skills!E9=TRUE,Inputs!$B$32,0)))*(1-IF(AND(ArtifactsInput!$M$27,Inputs!$B$4="Chapter Hunt"),CHOOSE(ArtifactsInput!$N$27+1,20,24,28,32,36,40),0)/100)))+1)),0)</f>
        <v/>
      </c>
      <c r="S1678">
        <f>IFERROR(O1678/N1678,0)</f>
        <v/>
      </c>
      <c r="T1678">
        <f>IF(C1678,(H1678*N1678*IF(AND(Inputs!$B$38&lt;&gt;"pvp",Inputs!$B$43&gt;0),((Skills!G9*((R1678-1)*IF(Skills!H9&gt;0,Skills!I9/Skills!H9,1)+IF(Skills!H9&gt;0,MIN(Skills!I9,MAX(0,MAX(0,Inputs!$B$43-B1710)-((R1678-1)*(IF(Inputs!$B$38="pvp",15,MAX(0.1,Skills!D9-IF(Skills!E9=TRUE,Inputs!$B$32,0)))*(1-IF(AND(ArtifactsInput!$M$27,Inputs!$B$4="Chapter Hunt"),CHOOSE(ArtifactsInput!$N$27+1,20,24,28,32,36,40),0)/100)))))/Skills!H9,1)))/Inputs!$B$43),G1678*Q1678)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1678*(1-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1678*(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1678*(1-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1678*(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8">
        <f>IF(C1678,(H1678*N1678*IF(AND(Inputs!$B$38&lt;&gt;"pvp",Inputs!$B$43&gt;0),((Skills!G9*((R1678-1)*IF(Skills!H9&gt;0,Skills!I9/Skills!H9,1)+IF(Skills!H9&gt;0,MIN(Skills!I9,MAX(0,MAX(0,Inputs!$B$43-B1710)-((R1678-1)*(IF(Inputs!$B$38="pvp",15,MAX(0.1,Skills!D9-IF(Skills!E9=TRUE,Inputs!$B$32,0)))*(1-IF(AND(ArtifactsInput!$M$27,Inputs!$B$4="Chapter Hunt"),CHOOSE(ArtifactsInput!$N$27+1,20,24,28,32,36,40),0)/100)))))/Skills!H9,1)))/Inputs!$B$43),G1678*Q1678))*IF(Inputs!$B$38="pvp",1,(1+(Inputs!$B$21+Skills!Q9+(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9">
      <c r="A1679">
        <f>Skills!A10</f>
        <v/>
      </c>
      <c r="B1679">
        <f>Skills!B10</f>
        <v/>
      </c>
      <c r="C1679">
        <f>Inputs!$B$3&gt;=103</f>
        <v/>
      </c>
      <c r="D1679">
        <f>IF(Skills!C10=1,60+Inputs!$B$25+Inputs!$B$29,IF(Skills!C10=2,90+Inputs!$B$26+Inputs!$B$29,IF(Skills!C10=3,120+Inputs!$B$27+Inputs!$B$29,MAX(0,(Inputs!$B$3-100)*3)+Inputs!$B$28+Inputs!$B$29)))</f>
        <v/>
      </c>
      <c r="E1679">
        <f>INDEX(FactorTable!$B$2:$Y$301, MATCH(ROUND(MIN(300,MAX(1,D1679)),0), FactorTable!$A$2:$A$301,0), Skills!M10+1)</f>
        <v/>
      </c>
      <c r="F1679">
        <f>IF(Skills!N10=TRUE,(Skills!L10/10)*(E1679/1000),Skills!L10/10)+Skills!O10</f>
        <v/>
      </c>
      <c r="G1679">
        <f>Skills!G10*IF(Skills!H10&gt;0,Skills!I10/Skills!H10,1)</f>
        <v/>
      </c>
      <c r="H1679">
        <f>1-(1-Skills!J10/100)^Skills!K10</f>
        <v/>
      </c>
      <c r="I1679" t="inlineStr">
        <is>
          <t>1</t>
        </is>
      </c>
      <c r="J1679">
        <f>((Inputs!$B$6*(1+Inputs!$B$7/100))+(((Inputs!$B$12*(1+Inputs!$B$13/100))-(Inputs!$B$12*(1+Inputs!$B$13/100)))+0.25*(Inputs!$B$14-Inputs!$B$14))*(1+Inputs!$B$7/100))*(F1679/100)</f>
        <v/>
      </c>
      <c r="K1679">
        <f>J1679*(1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1679)</f>
        <v/>
      </c>
      <c r="L1679">
        <f>K1679*(MIN(Inputs!$B$22+((C1694=TRUE)*(F1694-Calc!F25)),(Inputs!$B$23+((C1699=TRUE)*(F1699-Calc!F30))+(IF(ArtifactsInput!$M$15,CHOOSE(ArtifactsInput!$N$15+1,25,30,35,40,45,50)/100*(Inputs!$B$11-Inputs!$B$11),0))))/100+(Inputs!$B$23+((C1699=TRUE)*(F1699-Calc!F30))+(IF(ArtifactsInput!$M$15,CHOOSE(ArtifactsInput!$N$15+1,25,30,35,40,45,50)/100*(Inputs!$B$11-Inputs!$B$11),0)))/100)/2</f>
        <v/>
      </c>
      <c r="M1679">
        <f>L1679*(1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9">
        <f>L1679*(1-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1679*(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9">
        <f>(1-Summary!$B$11)*T1679+Summary!$B$11*V1679</f>
        <v/>
      </c>
      <c r="P1679">
        <f>IF(B1713=0,0,O1679/B1713)</f>
        <v/>
      </c>
      <c r="Q1679">
        <f>IFERROR(1/(IF(Inputs!$B$38="pvp",15,MAX(0.1,Skills!D10-IF(Skills!E10=TRUE,Inputs!$B$32,0)))*(1-IF(AND(ArtifactsInput!$M$27,Inputs!$B$4="Chapter Hunt"),CHOOSE(ArtifactsInput!$N$27+1,20,24,28,32,36,40),0)/100)),0)</f>
        <v/>
      </c>
      <c r="R1679">
        <f>IF(AND(Inputs!$B$38&lt;&gt;"pvp",Inputs!$B$43&gt;0),IF(MAX(0,Inputs!$B$43-B1710)&lt;=0,0,(INT(MAX(0,Inputs!$B$43-B1710)/(IF(Inputs!$B$38="pvp",15,MAX(0.1,Skills!D10-IF(Skills!E10=TRUE,Inputs!$B$32,0)))*(1-IF(AND(ArtifactsInput!$M$27,Inputs!$B$4="Chapter Hunt"),CHOOSE(ArtifactsInput!$N$27+1,20,24,28,32,36,40),0)/100)))+1)),0)</f>
        <v/>
      </c>
      <c r="S1679">
        <f>IFERROR(O1679/N1679,0)</f>
        <v/>
      </c>
      <c r="T1679">
        <f>IF(C1679,(H1679*N1679*IF(AND(Inputs!$B$38&lt;&gt;"pvp",Inputs!$B$43&gt;0),((Skills!G10*((R1679-1)*IF(Skills!H10&gt;0,Skills!I10/Skills!H10,1)+IF(Skills!H10&gt;0,MIN(Skills!I10,MAX(0,MAX(0,Inputs!$B$43-B1710)-((R1679-1)*(IF(Inputs!$B$38="pvp",15,MAX(0.1,Skills!D10-IF(Skills!E10=TRUE,Inputs!$B$32,0)))*(1-IF(AND(ArtifactsInput!$M$27,Inputs!$B$4="Chapter Hunt"),CHOOSE(ArtifactsInput!$N$27+1,20,24,28,32,36,40),0)/100)))))/Skills!H10,1)))/Inputs!$B$43),G1679*Q1679)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1679*(1-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1679*(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1679*(1-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1679*(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9">
        <f>IF(C1679,(H1679*N1679*IF(AND(Inputs!$B$38&lt;&gt;"pvp",Inputs!$B$43&gt;0),((Skills!G10*((R1679-1)*IF(Skills!H10&gt;0,Skills!I10/Skills!H10,1)+IF(Skills!H10&gt;0,MIN(Skills!I10,MAX(0,MAX(0,Inputs!$B$43-B1710)-((R1679-1)*(IF(Inputs!$B$38="pvp",15,MAX(0.1,Skills!D10-IF(Skills!E10=TRUE,Inputs!$B$32,0)))*(1-IF(AND(ArtifactsInput!$M$27,Inputs!$B$4="Chapter Hunt"),CHOOSE(ArtifactsInput!$N$27+1,20,24,28,32,36,40),0)/100)))))/Skills!H10,1)))/Inputs!$B$43),G1679*Q1679))*IF(Inputs!$B$38="pvp",1,(1+(Inputs!$B$21+Skills!Q10+(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0">
      <c r="A1680">
        <f>Skills!A11</f>
        <v/>
      </c>
      <c r="B1680">
        <f>Skills!B11</f>
        <v/>
      </c>
      <c r="C1680">
        <f>Inputs!$B$3&gt;=100</f>
        <v/>
      </c>
      <c r="D1680">
        <f>IF(Skills!C11=1,60+Inputs!$B$25+Inputs!$B$29,IF(Skills!C11=2,90+Inputs!$B$26+Inputs!$B$29,IF(Skills!C11=3,120+Inputs!$B$27+Inputs!$B$29,MAX(0,(Inputs!$B$3-100)*3)+Inputs!$B$28+Inputs!$B$29)))</f>
        <v/>
      </c>
      <c r="E1680">
        <f>INDEX(FactorTable!$B$2:$Y$301, MATCH(ROUND(MIN(300,MAX(1,D1680)),0), FactorTable!$A$2:$A$301,0), Skills!M11+1)</f>
        <v/>
      </c>
      <c r="F1680">
        <f>IF(Skills!N11=TRUE,(Skills!L11/10)*(E1680/1000),Skills!L11/10)+Skills!O11</f>
        <v/>
      </c>
      <c r="G1680" t="inlineStr"/>
      <c r="H1680" t="inlineStr"/>
      <c r="I1680" t="inlineStr">
        <is>
          <t>1</t>
        </is>
      </c>
      <c r="J1680" t="inlineStr"/>
      <c r="K1680" t="inlineStr"/>
      <c r="L1680" t="inlineStr"/>
      <c r="M1680" t="inlineStr"/>
      <c r="N1680" t="inlineStr"/>
      <c r="O1680" t="inlineStr"/>
      <c r="P1680" t="inlineStr"/>
      <c r="Q1680" t="inlineStr"/>
      <c r="R1680" t="inlineStr"/>
      <c r="S1680" t="inlineStr"/>
      <c r="T1680" t="inlineStr"/>
      <c r="V1680" t="inlineStr"/>
    </row>
    <row r="1681">
      <c r="A1681">
        <f>Skills!A12</f>
        <v/>
      </c>
      <c r="B1681">
        <f>Skills!B12</f>
        <v/>
      </c>
      <c r="C1681">
        <f>Inputs!$B$3&gt;=60</f>
        <v/>
      </c>
      <c r="D1681">
        <f>IF(Skills!C12=1,60+Inputs!$B$25+Inputs!$B$29,IF(Skills!C12=2,90+Inputs!$B$26+Inputs!$B$29,IF(Skills!C12=3,120+Inputs!$B$27+Inputs!$B$29,MAX(0,(Inputs!$B$3-100)*3)+Inputs!$B$28+Inputs!$B$29)))</f>
        <v/>
      </c>
      <c r="E1681">
        <f>INDEX(FactorTable!$B$2:$Y$301, MATCH(ROUND(MIN(300,MAX(1,D1681)),0), FactorTable!$A$2:$A$301,0), Skills!M12+1)</f>
        <v/>
      </c>
      <c r="F1681">
        <f>IF(Skills!N12=TRUE,(Skills!L12/10)*(E1681/1000),Skills!L12/10)+Skills!O12</f>
        <v/>
      </c>
      <c r="G1681">
        <f>Skills!G12*IF(Skills!H12&gt;0,Skills!I12/Skills!H12,1)</f>
        <v/>
      </c>
      <c r="H1681">
        <f>1-(1-Skills!J12/100)^Skills!K12</f>
        <v/>
      </c>
      <c r="I1681" t="inlineStr">
        <is>
          <t>1</t>
        </is>
      </c>
      <c r="J1681">
        <f>((Inputs!$B$6*(1+Inputs!$B$7/100))+(((Inputs!$B$12*(1+Inputs!$B$13/100))-(Inputs!$B$12*(1+Inputs!$B$13/100)))+0.25*(Inputs!$B$14-Inputs!$B$14))*(1+Inputs!$B$7/100))*(F1681/100)</f>
        <v/>
      </c>
      <c r="K1681">
        <f>J1681*(1+((Inputs!$B$12*(1+Inputs!$B$13/100))*0.01+Inputs!$B$14*0.0025)/100)*(1+Inputs!$B$15/100)*(1+Inputs!$B$16/100)*(5000/(6000+Inputs!$B$42*(1-(100*(1-(1-(Inputs!$B$19+((C1697=TRUE)*(F1697-Calc!F28)))/100)*(1-CHOOSE(ArtifactsInput!$N$40+1,5,6,7,8,9,10)/100)^(ArtifactsInput!$M$40-ArtifactsInput!$M$40)))/100)))*(1+(Inputs!$B$24+((C1695=TRUE)*(F1695-Calc!F26))+((C1696=TRUE)*(F1696-Calc!F27))+B1709)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1682=TRUE,F1682,0)/100)*(1+(IF(Skills!A12="ARROW_STREAM",Inputs!$B$17+((C1693=TRUE)*(F1693-Calc!F24))+(((IF(AND(ArtifactsInput!$M$42,((Inputs!$B$9+((C1690=TRUE)*(F1690-Calc!F21))+B1703+(ArtifactsInput!$M$24-ArtifactsInput!$M$24)*CHOOSE(ArtifactsInput!$N$24+1,10,12,14,16,18,20)+IF(ArtifactsInput!$M$10,CHOOSE(ArtifactsInput!$N$10+1,15,18,21,24,27,30)*(IF(Inputs!$B$38="pvp",MIN(15,15)/15,IF(AND(Inputs!$B$38&lt;&gt;"pvp",Inputs!$B$43&gt;0),MIN(15,Inputs!$B$43)/(Inputs!$B$43),0))),0)))&gt;=100),MIN(100,((Inputs!$B$9+((C1690=TRUE)*(F1690-Calc!F21))+B1703+(ArtifactsInput!$M$24-ArtifactsInput!$M$24)*CHOOSE(ArtifactsInput!$N$24+1,10,12,14,16,18,20)+IF(ArtifactsInput!$M$10,CHOOSE(ArtifactsInput!$N$10+1,15,18,21,24,27,30)*(IF(Inputs!$B$38="pvp",MIN(15,15)/15,IF(AND(Inputs!$B$38&lt;&gt;"pvp",Inputs!$B$43&gt;0),MIN(15,Inputs!$B$43)/(Inputs!$B$43),0))),0)))-100),0))*CHOOSE(ArtifactsInput!$N$42+1,0.6,0.72,0.84,0.96,1.08,1.2))),Inputs!$B$18+((C1698=TRUE)*(F1698-Calc!F29))+(IF(AND(ArtifactsInput!$M$42,((Inputs!$B$9+((C1690=TRUE)*(F1690-Calc!F21))+B1703+(ArtifactsInput!$M$24-ArtifactsInput!$M$24)*CHOOSE(ArtifactsInput!$N$24+1,10,12,14,16,18,20)+IF(ArtifactsInput!$M$10,CHOOSE(ArtifactsInput!$N$10+1,15,18,21,24,27,30)*(IF(Inputs!$B$38="pvp",MIN(15,15)/15,IF(AND(Inputs!$B$38&lt;&gt;"pvp",Inputs!$B$43&gt;0),MIN(15,Inputs!$B$43)/(Inputs!$B$43),0))),0)))&gt;=100),CHOOSE(ArtifactsInput!$N$42+1,40,48,56,64,72,80),0))))/100)*((1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1681)</f>
        <v/>
      </c>
      <c r="L1681">
        <f>K1681*(MIN(Inputs!$B$22+((C1694=TRUE)*(F1694-Calc!F25)),(Inputs!$B$23+((C1699=TRUE)*(F1699-Calc!F30))+(IF(ArtifactsInput!$M$15,CHOOSE(ArtifactsInput!$N$15+1,25,30,35,40,45,50)/100*(Inputs!$B$11-Inputs!$B$11),0))))/100+(Inputs!$B$23+((C1699=TRUE)*(F1699-Calc!F30))+(IF(ArtifactsInput!$M$15,CHOOSE(ArtifactsInput!$N$15+1,25,30,35,40,45,50)/100*(Inputs!$B$11-Inputs!$B$11),0)))/100)/2</f>
        <v/>
      </c>
      <c r="M1681">
        <f>L1681*(1+(Inputs!$B$10+0+B1708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1">
        <f>L1681*(1-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1681*(MIN((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1">
        <f>(1-Summary!$B$11)*T1681+Summary!$B$11*V1681</f>
        <v/>
      </c>
      <c r="P1681">
        <f>IF(B1713=0,0,O1681/B1713)</f>
        <v/>
      </c>
      <c r="Q1681">
        <f>IFERROR(1/(IF(Inputs!$B$38="pvp",15,MAX(0.1,Skills!D12-IF(Skills!E12=TRUE,Inputs!$B$32,0)))*(1-IF(AND(ArtifactsInput!$M$27,Inputs!$B$4="Chapter Hunt"),CHOOSE(ArtifactsInput!$N$27+1,20,24,28,32,36,40),0)/100)),0)</f>
        <v/>
      </c>
      <c r="R1681">
        <f>IF(AND(Inputs!$B$38&lt;&gt;"pvp",Inputs!$B$43&gt;0),IF(MAX(0,Inputs!$B$43-B1710)&lt;=0,0,(INT(MAX(0,Inputs!$B$43-B1710)/(IF(Inputs!$B$38="pvp",15,MAX(0.1,Skills!D12-IF(Skills!E12=TRUE,Inputs!$B$32,0)))*(1-IF(AND(ArtifactsInput!$M$27,Inputs!$B$4="Chapter Hunt"),CHOOSE(ArtifactsInput!$N$27+1,20,24,28,32,36,40),0)/100)))+1)),0)</f>
        <v/>
      </c>
      <c r="S1681">
        <f>IFERROR(O1681/N1681,0)</f>
        <v/>
      </c>
      <c r="T1681">
        <f>IF(C1681,(H1681*N1681*IF(AND(Inputs!$B$38&lt;&gt;"pvp",Inputs!$B$43&gt;0),((Skills!G12*((R1681-1)*IF(Skills!H12&gt;0,Skills!I12/Skills!H12,1)+IF(Skills!H12&gt;0,MIN(Skills!I12,MAX(0,MAX(0,Inputs!$B$43-B1710)-((R1681-1)*(IF(Inputs!$B$38="pvp",15,MAX(0.1,Skills!D12-IF(Skills!E12=TRUE,Inputs!$B$32,0)))*(1-IF(AND(ArtifactsInput!$M$27,Inputs!$B$4="Chapter Hunt"),CHOOSE(ArtifactsInput!$N$27+1,20,24,28,32,36,40),0)/100)))))/Skills!H12,1)))/Inputs!$B$43),G1681*Q1681)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(5000/(6000+Inputs!$B$42*(1-(100*(1-(1-(100*(1-(1-(Inputs!$B$19+((C1697=TRUE)*(F1697-Calc!F28)))/100)*(1-CHOOSE(ArtifactsInput!$N$40+1,5,6,7,8,9,10)/100)^(ArtifactsInput!$M$40-ArtifactsInput!$M$40)))/100)*(1-IF(ArtifactsInput!$M$40,CHOOSE(ArtifactsInput!$N$40+1,5,6,7,8,9,10),0)/100)^IF(Inputs!$B$38="pvp",1,2)))/100)))/(5000/(6000+Inputs!$B$42*(1-(100*(1-(1-(Inputs!$B$19+((C1697=TRUE)*(F1697-Calc!F28)))/100)*(1-CHOOSE(ArtifactsInput!$N$40+1,5,6,7,8,9,10)/100)^(ArtifactsInput!$M$40-ArtifactsInput!$M$40)))/100))))*((L1681*(1-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1681*(MIN(100,(Inputs!$B$9+((C1690=TRUE)*(F1690-Calc!F21))+B1703+(ArtifactsInput!$M$24-ArtifactsInput!$M$24)*CHOOSE(ArtifactsInput!$N$24+1,10,12,14,16,18,20)+(IF(AND(ArtifactsInput!$M$42,((Inputs!$B$9+((C1690=TRUE)*(F1690-Calc!F21))+B1703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1">
        <f>IF(C1681,(H1681*N1681*IF(AND(Inputs!$B$38&lt;&gt;"pvp",Inputs!$B$43&gt;0),((Skills!G12*((R1681-1)*IF(Skills!H12&gt;0,Skills!I12/Skills!H12,1)+IF(Skills!H12&gt;0,MIN(Skills!I12,MAX(0,MAX(0,Inputs!$B$43-B1710)-((R1681-1)*(IF(Inputs!$B$38="pvp",15,MAX(0.1,Skills!D12-IF(Skills!E12=TRUE,Inputs!$B$32,0)))*(1-IF(AND(ArtifactsInput!$M$27,Inputs!$B$4="Chapter Hunt"),CHOOSE(ArtifactsInput!$N$27+1,20,24,28,32,36,40),0)/100)))))/Skills!H12,1)))/Inputs!$B$43),G1681*Q1681))*IF(Inputs!$B$38="pvp",1,(1+(Inputs!$B$21+Skills!Q12+(IF(ArtifactsInput!$M$33,CHOOSE(ArtifactsInput!$N$33+1,30,36,42,48,54,60),0))+(IF(AND(ArtifactsInput!$M$35,Inputs!$B$4&lt;&gt;"Chapter Hunt"),CHOOSE(ArtifactsInput!$N$35+1,15,18,21,24,27,30)*(1-EXP(-(0.2*B1705)*5)),0)+IF(AND(ArtifactsInput!$M$22,Inputs!$B$4&lt;&gt;"Chapter Hunt"),CHOOSE(ArtifactsInput!$N$22+1,10,12,14,16,18,20)*((0*(((0.15*B1705*5))^0/1)+1*(((0.15*B1705*5))^1/1)+2*(((0.15*B1705*5))^2/2)+3*(((0.15*B1705*5))^3/6)+4*(((0.15*B1705*5))^4/24)+5*(((0.15*B1705*5))^5/120))/((((0.15*B1705*5))^0/1)+(((0.15*B1705*5))^1/1)+(((0.15*B1705*5))^2/2)+(((0.15*B1705*5))^3/6)+(((0.15*B1705*5))^4/24)+(((0.15*B1705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2">
      <c r="A1682">
        <f>Skills!A13</f>
        <v/>
      </c>
      <c r="B1682">
        <f>Skills!B13</f>
        <v/>
      </c>
      <c r="C1682">
        <f>Inputs!$B$3&gt;=110</f>
        <v/>
      </c>
      <c r="D1682">
        <f>IF(Skills!C13=1,60+Inputs!$B$25+Inputs!$B$29,IF(Skills!C13=2,90+Inputs!$B$26+Inputs!$B$29,IF(Skills!C13=3,120+Inputs!$B$27+Inputs!$B$29,MAX(0,(Inputs!$B$3-100)*3)+Inputs!$B$28+Inputs!$B$29)))</f>
        <v/>
      </c>
      <c r="E1682">
        <f>INDEX(FactorTable!$B$2:$Y$301, MATCH(ROUND(MIN(300,MAX(1,D1682)),0), FactorTable!$A$2:$A$301,0), Skills!M13+1)</f>
        <v/>
      </c>
      <c r="F1682">
        <f>IF(Skills!N13=TRUE,(Skills!L13/10)*(E1682/1000),Skills!L13/10)+Skills!O13</f>
        <v/>
      </c>
      <c r="G1682" t="inlineStr"/>
      <c r="H1682" t="inlineStr"/>
      <c r="I1682" t="inlineStr">
        <is>
          <t>1</t>
        </is>
      </c>
      <c r="J1682" t="inlineStr"/>
      <c r="K1682" t="inlineStr"/>
      <c r="L1682" t="inlineStr"/>
      <c r="M1682" t="inlineStr"/>
      <c r="N1682" t="inlineStr"/>
      <c r="O1682" t="inlineStr"/>
      <c r="P1682" t="inlineStr"/>
      <c r="Q1682" t="inlineStr"/>
      <c r="R1682" t="inlineStr"/>
      <c r="S1682" t="inlineStr"/>
      <c r="T1682" t="inlineStr"/>
      <c r="V1682" t="inlineStr"/>
    </row>
    <row r="1683">
      <c r="A1683">
        <f>Skills!A14</f>
        <v/>
      </c>
      <c r="B1683">
        <f>Skills!B14</f>
        <v/>
      </c>
      <c r="C1683">
        <f>Inputs!$B$3&gt;=74</f>
        <v/>
      </c>
      <c r="D1683">
        <f>IF(Skills!C14=1,60+Inputs!$B$25+Inputs!$B$29,IF(Skills!C14=2,90+Inputs!$B$26+Inputs!$B$29,IF(Skills!C14=3,120+Inputs!$B$27+Inputs!$B$29,MAX(0,(Inputs!$B$3-100)*3)+Inputs!$B$28+Inputs!$B$29)))</f>
        <v/>
      </c>
      <c r="E1683">
        <f>INDEX(FactorTable!$B$2:$Y$301, MATCH(ROUND(MIN(300,MAX(1,D1683)),0), FactorTable!$A$2:$A$301,0), Skills!M14+1)</f>
        <v/>
      </c>
      <c r="F1683">
        <f>IF(Skills!N14=TRUE,(Skills!L14/10)*(E1683/1000),Skills!L14/10)+Skills!O14</f>
        <v/>
      </c>
      <c r="G1683">
        <f>Skills!G14*IF(Skills!H14&gt;0,Skills!I14/Skills!H14,1)</f>
        <v/>
      </c>
      <c r="H1683">
        <f>1-(1-Skills!J14/100)^Skills!K14</f>
        <v/>
      </c>
      <c r="I1683" t="inlineStr">
        <is>
          <t>1</t>
        </is>
      </c>
      <c r="J1683" t="inlineStr"/>
      <c r="K1683" t="inlineStr"/>
      <c r="L1683" t="inlineStr"/>
      <c r="M1683" t="inlineStr"/>
      <c r="N1683" t="inlineStr"/>
      <c r="O1683">
        <f>(1-Summary!$B$11)*T1683+Summary!$B$11*V1683</f>
        <v/>
      </c>
      <c r="P1683">
        <f>IF(B1713=0,0,O1683/B1713)</f>
        <v/>
      </c>
      <c r="Q1683" t="n">
        <v>0</v>
      </c>
      <c r="R1683" t="n">
        <v>0</v>
      </c>
      <c r="S1683">
        <f>IFERROR(O1683/N1683,0)</f>
        <v/>
      </c>
      <c r="T1683" t="n">
        <v>0</v>
      </c>
      <c r="V1683" t="n">
        <v>0</v>
      </c>
    </row>
    <row r="1684">
      <c r="A1684">
        <f>Skills!A15</f>
        <v/>
      </c>
      <c r="B1684">
        <f>Skills!B15</f>
        <v/>
      </c>
      <c r="C1684">
        <f>Inputs!$B$3&gt;=74</f>
        <v/>
      </c>
      <c r="D1684">
        <f>IF(Skills!C15=1,60+Inputs!$B$25+Inputs!$B$29,IF(Skills!C15=2,90+Inputs!$B$26+Inputs!$B$29,IF(Skills!C15=3,120+Inputs!$B$27+Inputs!$B$29,MAX(0,(Inputs!$B$3-100)*3)+Inputs!$B$28+Inputs!$B$29)))</f>
        <v/>
      </c>
      <c r="E1684">
        <f>INDEX(FactorTable!$B$2:$Y$301, MATCH(ROUND(MIN(300,MAX(1,D1684)),0), FactorTable!$A$2:$A$301,0), Skills!M15+1)</f>
        <v/>
      </c>
      <c r="F1684">
        <f>IF(Skills!N15=TRUE,(Skills!L15/10)*(E1684/1000),Skills!L15/10)+Skills!O15</f>
        <v/>
      </c>
      <c r="G1684">
        <f>Skills!G15*IF(Skills!H15&gt;0,Skills!I15/Skills!H15,1)</f>
        <v/>
      </c>
      <c r="H1684">
        <f>1-(1-Skills!J15/100)^Skills!K15</f>
        <v/>
      </c>
      <c r="I1684" t="inlineStr">
        <is>
          <t>1</t>
        </is>
      </c>
      <c r="J1684" t="inlineStr"/>
      <c r="K1684" t="inlineStr"/>
      <c r="L1684" t="inlineStr"/>
      <c r="M1684" t="inlineStr"/>
      <c r="N1684" t="inlineStr"/>
      <c r="O1684">
        <f>(1-Summary!$B$11)*T1684+Summary!$B$11*V1684</f>
        <v/>
      </c>
      <c r="P1684">
        <f>IF(B1713=0,0,O1684/B1713)</f>
        <v/>
      </c>
      <c r="Q1684" t="n">
        <v>0</v>
      </c>
      <c r="R1684" t="n">
        <v>0</v>
      </c>
      <c r="S1684">
        <f>IFERROR(O1684/N1684,0)</f>
        <v/>
      </c>
      <c r="T1684" t="n">
        <v>0</v>
      </c>
      <c r="V1684" t="n">
        <v>0</v>
      </c>
    </row>
    <row r="1685">
      <c r="A1685">
        <f>Skills!A16</f>
        <v/>
      </c>
      <c r="B1685">
        <f>Skills!B16</f>
        <v/>
      </c>
      <c r="C1685">
        <f>Inputs!$B$3&gt;=117</f>
        <v/>
      </c>
      <c r="D1685">
        <f>IF(Skills!C16=1,60+Inputs!$B$25+Inputs!$B$29,IF(Skills!C16=2,90+Inputs!$B$26+Inputs!$B$29,IF(Skills!C16=3,120+Inputs!$B$27+Inputs!$B$29,MAX(0,(Inputs!$B$3-100)*3)+Inputs!$B$28+Inputs!$B$29)))</f>
        <v/>
      </c>
      <c r="E1685">
        <f>INDEX(FactorTable!$B$2:$Y$301, MATCH(ROUND(MIN(300,MAX(1,D1685)),0), FactorTable!$A$2:$A$301,0), Skills!M16+1)</f>
        <v/>
      </c>
      <c r="F1685">
        <f>IF(Skills!N16=TRUE,(Skills!L16/10)*(E1685/1000),Skills!L16/10)+Skills!O16</f>
        <v/>
      </c>
      <c r="G1685">
        <f>Skills!G16*IF(Skills!H16&gt;0,Skills!I16/Skills!H16,1)</f>
        <v/>
      </c>
      <c r="H1685">
        <f>1-(1-Skills!J16/100)^Skills!K16</f>
        <v/>
      </c>
      <c r="I1685" t="inlineStr">
        <is>
          <t>1</t>
        </is>
      </c>
      <c r="J1685" t="inlineStr"/>
      <c r="K1685" t="inlineStr"/>
      <c r="L1685" t="inlineStr"/>
      <c r="M1685" t="inlineStr"/>
      <c r="N1685" t="inlineStr"/>
      <c r="O1685">
        <f>(1-Summary!$B$11)*T1685+Summary!$B$11*V1685</f>
        <v/>
      </c>
      <c r="P1685">
        <f>IF(B1713=0,0,O1685/B1713)</f>
        <v/>
      </c>
      <c r="Q1685">
        <f>IFERROR(1/(IF(Inputs!$B$38="pvp",15,MAX(0.1,Skills!D16-IF(Skills!E16=TRUE,Inputs!$B$32,0)))*(1-IF(AND(ArtifactsInput!$M$27,Inputs!$B$4="Chapter Hunt"),CHOOSE(ArtifactsInput!$N$27+1,20,24,28,32,36,40),0)/100)),0)</f>
        <v/>
      </c>
      <c r="R1685">
        <f>IF(AND(Inputs!$B$38&lt;&gt;"pvp",Inputs!$B$43&gt;0),IF(Inputs!$B$43&lt;=0,0,(INT(Inputs!$B$43/(IF(Inputs!$B$38="pvp",15,MAX(0.1,Skills!D16-IF(Skills!E16=TRUE,Inputs!$B$32,0)))*(1-IF(AND(ArtifactsInput!$M$27,Inputs!$B$4="Chapter Hunt"),CHOOSE(ArtifactsInput!$N$27+1,20,24,28,32,36,40),0)/100)))+1)),0)</f>
        <v/>
      </c>
      <c r="S1685">
        <f>IFERROR(O1685/N1685,0)</f>
        <v/>
      </c>
      <c r="T1685" t="n">
        <v>0</v>
      </c>
      <c r="V1685" t="n">
        <v>0</v>
      </c>
    </row>
    <row r="1686">
      <c r="A1686">
        <f>Skills!A17</f>
        <v/>
      </c>
      <c r="B1686">
        <f>Skills!B17</f>
        <v/>
      </c>
      <c r="C1686">
        <f>Inputs!$B$3&gt;=115</f>
        <v/>
      </c>
      <c r="D1686">
        <f>IF(Skills!C17=1,60+Inputs!$B$25+Inputs!$B$29,IF(Skills!C17=2,90+Inputs!$B$26+Inputs!$B$29,IF(Skills!C17=3,120+Inputs!$B$27+Inputs!$B$29,MAX(0,(Inputs!$B$3-100)*3)+Inputs!$B$28+Inputs!$B$29)))</f>
        <v/>
      </c>
      <c r="E1686">
        <f>INDEX(FactorTable!$B$2:$Y$301, MATCH(ROUND(MIN(300,MAX(1,D1686)),0), FactorTable!$A$2:$A$301,0), Skills!M17+1)</f>
        <v/>
      </c>
      <c r="F1686">
        <f>IF(Skills!N17=TRUE,(Skills!L17/10)*(E1686/1000),Skills!L17/10)+Skills!O17</f>
        <v/>
      </c>
      <c r="G1686">
        <f>Skills!G17*IF(Skills!H17&gt;0,Skills!I17/Skills!H17,1)</f>
        <v/>
      </c>
      <c r="H1686">
        <f>1-(1-Skills!J17/100)^Skills!K17</f>
        <v/>
      </c>
      <c r="I1686" t="inlineStr">
        <is>
          <t>1</t>
        </is>
      </c>
      <c r="J1686" t="inlineStr"/>
      <c r="K1686" t="inlineStr"/>
      <c r="L1686" t="inlineStr"/>
      <c r="M1686" t="inlineStr"/>
      <c r="N1686" t="inlineStr"/>
      <c r="O1686">
        <f>(1-Summary!$B$11)*T1686+Summary!$B$11*V1686</f>
        <v/>
      </c>
      <c r="P1686">
        <f>IF(B1713=0,0,O1686/B1713)</f>
        <v/>
      </c>
      <c r="Q1686">
        <f>IFERROR(1/(IF(Inputs!$B$38="pvp",15,MAX(0.1,Skills!D17-IF(Skills!E17=TRUE,Inputs!$B$32,0)))*(1-IF(AND(ArtifactsInput!$M$27,Inputs!$B$4="Chapter Hunt"),CHOOSE(ArtifactsInput!$N$27+1,20,24,28,32,36,40),0)/100)),0)</f>
        <v/>
      </c>
      <c r="R1686">
        <f>IF(AND(Inputs!$B$38&lt;&gt;"pvp",Inputs!$B$43&gt;0),IF(Inputs!$B$43&lt;=0,0,(INT(Inputs!$B$43/(IF(Inputs!$B$38="pvp",15,MAX(0.1,Skills!D17-IF(Skills!E17=TRUE,Inputs!$B$32,0)))*(1-IF(AND(ArtifactsInput!$M$27,Inputs!$B$4="Chapter Hunt"),CHOOSE(ArtifactsInput!$N$27+1,20,24,28,32,36,40),0)/100)))+1)),0)</f>
        <v/>
      </c>
      <c r="S1686">
        <f>IFERROR(O1686/N1686,0)</f>
        <v/>
      </c>
      <c r="T1686" t="n">
        <v>0</v>
      </c>
      <c r="V1686" t="n">
        <v>0</v>
      </c>
    </row>
    <row r="1687">
      <c r="A1687">
        <f>Skills!A18</f>
        <v/>
      </c>
      <c r="B1687">
        <f>Skills!B18</f>
        <v/>
      </c>
      <c r="C1687">
        <f>Inputs!$B$3&gt;=66</f>
        <v/>
      </c>
      <c r="D1687">
        <f>IF(Skills!C18=1,60+Inputs!$B$25+Inputs!$B$29,IF(Skills!C18=2,90+Inputs!$B$26+Inputs!$B$29,IF(Skills!C18=3,120+Inputs!$B$27+Inputs!$B$29,MAX(0,(Inputs!$B$3-100)*3)+Inputs!$B$28+Inputs!$B$29)))</f>
        <v/>
      </c>
      <c r="E1687">
        <f>INDEX(FactorTable!$B$2:$Y$301, MATCH(ROUND(MIN(300,MAX(1,D1687)),0), FactorTable!$A$2:$A$301,0), Skills!M18+1)</f>
        <v/>
      </c>
      <c r="F1687">
        <f>IF(Skills!N18=TRUE,(Skills!L18/10)*(E1687/1000),Skills!L18/10)+Skills!O18</f>
        <v/>
      </c>
      <c r="G1687">
        <f>Skills!G18*IF(Skills!H18&gt;0,Skills!I18/Skills!H18,1)</f>
        <v/>
      </c>
      <c r="H1687">
        <f>1-(1-Skills!J18/100)^Skills!K18</f>
        <v/>
      </c>
      <c r="I1687" t="inlineStr">
        <is>
          <t>1</t>
        </is>
      </c>
      <c r="J1687" t="inlineStr"/>
      <c r="K1687" t="inlineStr"/>
      <c r="L1687" t="inlineStr"/>
      <c r="M1687" t="inlineStr"/>
      <c r="N1687" t="inlineStr"/>
      <c r="O1687">
        <f>(1-Summary!$B$11)*T1687+Summary!$B$11*V1687</f>
        <v/>
      </c>
      <c r="P1687">
        <f>IF(B1713=0,0,O1687/B1713)</f>
        <v/>
      </c>
      <c r="Q1687" t="n">
        <v>0</v>
      </c>
      <c r="R1687" t="n">
        <v>0</v>
      </c>
      <c r="S1687">
        <f>IFERROR(O1687/N1687,0)</f>
        <v/>
      </c>
      <c r="T1687" t="n">
        <v>0</v>
      </c>
      <c r="V1687" t="n">
        <v>0</v>
      </c>
    </row>
    <row r="1688">
      <c r="A1688">
        <f>Skills!A19</f>
        <v/>
      </c>
      <c r="B1688">
        <f>Skills!B19</f>
        <v/>
      </c>
      <c r="C1688">
        <f>Inputs!$B$3&gt;=72</f>
        <v/>
      </c>
      <c r="D1688">
        <f>IF(Skills!C19=1,60+Inputs!$B$25+Inputs!$B$29,IF(Skills!C19=2,90+Inputs!$B$26+Inputs!$B$29,IF(Skills!C19=3,120+Inputs!$B$27+Inputs!$B$29,MAX(0,(Inputs!$B$3-100)*3)+Inputs!$B$28+Inputs!$B$29)))</f>
        <v/>
      </c>
      <c r="E1688">
        <f>INDEX(FactorTable!$B$2:$Y$301, MATCH(ROUND(MIN(300,MAX(1,D1688)),0), FactorTable!$A$2:$A$301,0), Skills!M19+1)</f>
        <v/>
      </c>
      <c r="F1688">
        <f>IF(Skills!N19=TRUE,(Skills!L19/10)*(E1688/1000),Skills!L19/10)+Skills!O19</f>
        <v/>
      </c>
      <c r="G1688">
        <f>Skills!G19*IF(Skills!H19&gt;0,Skills!I19/Skills!H19,1)</f>
        <v/>
      </c>
      <c r="H1688">
        <f>1-(1-Skills!J19/100)^Skills!K19</f>
        <v/>
      </c>
      <c r="I1688" t="inlineStr">
        <is>
          <t>1</t>
        </is>
      </c>
      <c r="J1688" t="inlineStr"/>
      <c r="K1688" t="inlineStr"/>
      <c r="L1688" t="inlineStr"/>
      <c r="M1688" t="inlineStr"/>
      <c r="N1688" t="inlineStr"/>
      <c r="O1688">
        <f>(1-Summary!$B$11)*T1688+Summary!$B$11*V1688</f>
        <v/>
      </c>
      <c r="P1688">
        <f>IF(B1713=0,0,O1688/B1713)</f>
        <v/>
      </c>
      <c r="Q1688" t="n">
        <v>0</v>
      </c>
      <c r="R1688" t="n">
        <v>0</v>
      </c>
      <c r="S1688">
        <f>IFERROR(O1688/N1688,0)</f>
        <v/>
      </c>
      <c r="T1688" t="n">
        <v>0</v>
      </c>
      <c r="V1688" t="n">
        <v>0</v>
      </c>
    </row>
    <row r="1689">
      <c r="A1689">
        <f>Skills!A20</f>
        <v/>
      </c>
      <c r="B1689">
        <f>Skills!B20</f>
        <v/>
      </c>
      <c r="C1689">
        <f>TRUE</f>
        <v/>
      </c>
      <c r="D1689">
        <f>IF(Skills!C20=1,60+Inputs!$B$25+Inputs!$B$29,IF(Skills!C20=2,90+Inputs!$B$26+Inputs!$B$29,IF(Skills!C20=3,120+Inputs!$B$27+Inputs!$B$29,MAX(0,(Inputs!$B$3-100)*3)+Inputs!$B$28+Inputs!$B$29)))</f>
        <v/>
      </c>
      <c r="E1689">
        <f>INDEX(FactorTable!$B$2:$Y$301, MATCH(ROUND(MIN(300,MAX(1,D1689)),0), FactorTable!$A$2:$A$301,0), Skills!M20+1)</f>
        <v/>
      </c>
      <c r="F1689">
        <f>IF(Skills!N20=TRUE,(Skills!L20/10)*(E1689/1000),Skills!L20/10)+Skills!O20</f>
        <v/>
      </c>
      <c r="G1689">
        <f>Skills!G20*IF(Skills!H20&gt;0,Skills!I20/Skills!H20,1)</f>
        <v/>
      </c>
      <c r="H1689">
        <f>1-(1-Skills!J20/100)^Skills!K20</f>
        <v/>
      </c>
      <c r="I1689" t="inlineStr">
        <is>
          <t>1</t>
        </is>
      </c>
      <c r="J1689" t="inlineStr"/>
      <c r="K1689" t="inlineStr"/>
      <c r="L1689" t="inlineStr"/>
      <c r="M1689" t="inlineStr"/>
      <c r="N1689" t="inlineStr"/>
      <c r="O1689">
        <f>(1-Summary!$B$11)*T1689+Summary!$B$11*V1689</f>
        <v/>
      </c>
      <c r="P1689">
        <f>IF(B1713=0,0,O1689/B1713)</f>
        <v/>
      </c>
      <c r="Q1689">
        <f>IFERROR(1/(IF(Inputs!$B$38="pvp",15,MAX(0.1,Skills!D20-IF(Skills!E20=TRUE,Inputs!$B$32,0)))*(1-IF(AND(ArtifactsInput!$M$27,Inputs!$B$4="Chapter Hunt"),CHOOSE(ArtifactsInput!$N$27+1,20,24,28,32,36,40),0)/100)),0)</f>
        <v/>
      </c>
      <c r="R1689">
        <f>IF(AND(Inputs!$B$38&lt;&gt;"pvp",Inputs!$B$43&gt;0),IF(Inputs!$B$43&lt;=0,0,(INT(Inputs!$B$43/(IF(Inputs!$B$38="pvp",15,MAX(0.1,Skills!D20-IF(Skills!E20=TRUE,Inputs!$B$32,0)))*(1-IF(AND(ArtifactsInput!$M$27,Inputs!$B$4="Chapter Hunt"),CHOOSE(ArtifactsInput!$N$27+1,20,24,28,32,36,40),0)/100)))+1)),0)</f>
        <v/>
      </c>
      <c r="S1689">
        <f>IFERROR(O1689/N1689,0)</f>
        <v/>
      </c>
      <c r="T1689" t="n">
        <v>0</v>
      </c>
      <c r="V1689" t="n">
        <v>0</v>
      </c>
    </row>
    <row r="1690">
      <c r="A1690">
        <f>Skills!A21</f>
        <v/>
      </c>
      <c r="B1690">
        <f>Skills!B21</f>
        <v/>
      </c>
      <c r="C1690">
        <f>Inputs!$B$3&gt;=15</f>
        <v/>
      </c>
      <c r="D1690">
        <f>IF(Skills!C21=1,60+Inputs!$B$25+Inputs!$B$29,IF(Skills!C21=2,90+Inputs!$B$26+Inputs!$B$29,IF(Skills!C21=3,120+Inputs!$B$27+Inputs!$B$29,MAX(0,(Inputs!$B$3-100)*3)+Inputs!$B$28+Inputs!$B$29)))</f>
        <v/>
      </c>
      <c r="E1690">
        <f>INDEX(FactorTable!$B$2:$Y$301, MATCH(ROUND(MIN(300,MAX(1,D1690)),0), FactorTable!$A$2:$A$301,0), Skills!M21+1)</f>
        <v/>
      </c>
      <c r="F1690">
        <f>IF(Skills!N21=TRUE,(Skills!L21/10)*(E1690/1000),Skills!L21/10)+Skills!O21</f>
        <v/>
      </c>
      <c r="G1690">
        <f>Skills!G21*IF(Skills!H21&gt;0,Skills!I21/Skills!H21,1)</f>
        <v/>
      </c>
      <c r="H1690">
        <f>1-(1-Skills!J21/100)^Skills!K21</f>
        <v/>
      </c>
      <c r="I1690" t="inlineStr">
        <is>
          <t>1</t>
        </is>
      </c>
      <c r="J1690" t="inlineStr"/>
      <c r="K1690" t="inlineStr"/>
      <c r="L1690" t="inlineStr"/>
      <c r="M1690" t="inlineStr"/>
      <c r="N1690" t="inlineStr"/>
      <c r="O1690">
        <f>(1-Summary!$B$11)*T1690+Summary!$B$11*V1690</f>
        <v/>
      </c>
      <c r="P1690">
        <f>IF(B1713=0,0,O1690/B1713)</f>
        <v/>
      </c>
      <c r="Q1690" t="n">
        <v>0</v>
      </c>
      <c r="R1690" t="n">
        <v>0</v>
      </c>
      <c r="S1690">
        <f>IFERROR(O1690/N1690,0)</f>
        <v/>
      </c>
      <c r="T1690" t="n">
        <v>0</v>
      </c>
      <c r="V1690" t="n">
        <v>0</v>
      </c>
    </row>
    <row r="1691">
      <c r="A1691">
        <f>Skills!A22</f>
        <v/>
      </c>
      <c r="B1691">
        <f>Skills!B22</f>
        <v/>
      </c>
      <c r="C1691">
        <f>Inputs!$B$3&gt;=10</f>
        <v/>
      </c>
      <c r="D1691">
        <f>IF(Skills!C22=1,60+Inputs!$B$25+Inputs!$B$29,IF(Skills!C22=2,90+Inputs!$B$26+Inputs!$B$29,IF(Skills!C22=3,120+Inputs!$B$27+Inputs!$B$29,MAX(0,(Inputs!$B$3-100)*3)+Inputs!$B$28+Inputs!$B$29)))</f>
        <v/>
      </c>
      <c r="E1691">
        <f>INDEX(FactorTable!$B$2:$Y$301, MATCH(ROUND(MIN(300,MAX(1,D1691)),0), FactorTable!$A$2:$A$301,0), Skills!M22+1)</f>
        <v/>
      </c>
      <c r="F1691">
        <f>IF(Skills!N22=TRUE,(Skills!L22/10)*(E1691/1000),Skills!L22/10)+Skills!O22</f>
        <v/>
      </c>
      <c r="G1691">
        <f>Skills!G22*IF(Skills!H22&gt;0,Skills!I22/Skills!H22,1)</f>
        <v/>
      </c>
      <c r="H1691">
        <f>1-(1-Skills!J22/100)^Skills!K22</f>
        <v/>
      </c>
      <c r="I1691" t="inlineStr">
        <is>
          <t>1</t>
        </is>
      </c>
      <c r="J1691" t="inlineStr"/>
      <c r="K1691" t="inlineStr"/>
      <c r="L1691" t="inlineStr"/>
      <c r="M1691" t="inlineStr"/>
      <c r="N1691" t="inlineStr"/>
      <c r="O1691">
        <f>(1-Summary!$B$11)*T1691+Summary!$B$11*V1691</f>
        <v/>
      </c>
      <c r="P1691">
        <f>IF(B1713=0,0,O1691/B1713)</f>
        <v/>
      </c>
      <c r="Q1691" t="n">
        <v>0</v>
      </c>
      <c r="R1691" t="n">
        <v>0</v>
      </c>
      <c r="S1691">
        <f>IFERROR(O1691/N1691,0)</f>
        <v/>
      </c>
      <c r="T1691" t="n">
        <v>0</v>
      </c>
      <c r="V1691" t="n">
        <v>0</v>
      </c>
    </row>
    <row r="1692">
      <c r="A1692">
        <f>Skills!A23</f>
        <v/>
      </c>
      <c r="B1692">
        <f>Skills!B23</f>
        <v/>
      </c>
      <c r="C1692">
        <f>Inputs!$B$3&gt;=33</f>
        <v/>
      </c>
      <c r="D1692">
        <f>IF(Skills!C23=1,60+Inputs!$B$25+Inputs!$B$29,IF(Skills!C23=2,90+Inputs!$B$26+Inputs!$B$29,IF(Skills!C23=3,120+Inputs!$B$27+Inputs!$B$29,MAX(0,(Inputs!$B$3-100)*3)+Inputs!$B$28+Inputs!$B$29)))</f>
        <v/>
      </c>
      <c r="E1692">
        <f>INDEX(FactorTable!$B$2:$Y$301, MATCH(ROUND(MIN(300,MAX(1,D1692)),0), FactorTable!$A$2:$A$301,0), Skills!M23+1)</f>
        <v/>
      </c>
      <c r="F1692">
        <f>IF(Skills!N23=TRUE,(Skills!L23/10)*(E1692/1000),Skills!L23/10)+Skills!O23</f>
        <v/>
      </c>
      <c r="G1692">
        <f>Skills!G23*IF(Skills!H23&gt;0,Skills!I23/Skills!H23,1)</f>
        <v/>
      </c>
      <c r="H1692">
        <f>1-(1-Skills!J23/100)^Skills!K23</f>
        <v/>
      </c>
      <c r="I1692" t="inlineStr">
        <is>
          <t>1</t>
        </is>
      </c>
      <c r="J1692" t="inlineStr"/>
      <c r="K1692" t="inlineStr"/>
      <c r="L1692" t="inlineStr"/>
      <c r="M1692" t="inlineStr"/>
      <c r="N1692" t="inlineStr"/>
      <c r="O1692">
        <f>(1-Summary!$B$11)*T1692+Summary!$B$11*V1692</f>
        <v/>
      </c>
      <c r="P1692">
        <f>IF(B1713=0,0,O1692/B1713)</f>
        <v/>
      </c>
      <c r="Q1692" t="n">
        <v>0</v>
      </c>
      <c r="R1692" t="n">
        <v>0</v>
      </c>
      <c r="S1692">
        <f>IFERROR(O1692/N1692,0)</f>
        <v/>
      </c>
      <c r="T1692" t="n">
        <v>0</v>
      </c>
      <c r="V1692" t="n">
        <v>0</v>
      </c>
    </row>
    <row r="1693">
      <c r="A1693">
        <f>Skills!A24</f>
        <v/>
      </c>
      <c r="B1693">
        <f>Skills!B24</f>
        <v/>
      </c>
      <c r="C1693">
        <f>Inputs!$B$3&gt;=38</f>
        <v/>
      </c>
      <c r="D1693">
        <f>IF(Skills!C24=1,60+Inputs!$B$25+Inputs!$B$29,IF(Skills!C24=2,90+Inputs!$B$26+Inputs!$B$29,IF(Skills!C24=3,120+Inputs!$B$27+Inputs!$B$29,MAX(0,(Inputs!$B$3-100)*3)+Inputs!$B$28+Inputs!$B$29)))</f>
        <v/>
      </c>
      <c r="E1693">
        <f>INDEX(FactorTable!$B$2:$Y$301, MATCH(ROUND(MIN(300,MAX(1,D1693)),0), FactorTable!$A$2:$A$301,0), Skills!M24+1)</f>
        <v/>
      </c>
      <c r="F1693">
        <f>IF(Skills!N24=TRUE,(Skills!L24/10)*(E1693/1000),Skills!L24/10)+Skills!O24</f>
        <v/>
      </c>
      <c r="G1693">
        <f>Skills!G24*IF(Skills!H24&gt;0,Skills!I24/Skills!H24,1)</f>
        <v/>
      </c>
      <c r="H1693">
        <f>1-(1-Skills!J24/100)^Skills!K24</f>
        <v/>
      </c>
      <c r="I1693" t="inlineStr">
        <is>
          <t>1</t>
        </is>
      </c>
      <c r="J1693" t="inlineStr"/>
      <c r="K1693" t="inlineStr"/>
      <c r="L1693" t="inlineStr"/>
      <c r="M1693" t="inlineStr"/>
      <c r="N1693" t="inlineStr"/>
      <c r="O1693">
        <f>(1-Summary!$B$11)*T1693+Summary!$B$11*V1693</f>
        <v/>
      </c>
      <c r="P1693">
        <f>IF(B1713=0,0,O1693/B1713)</f>
        <v/>
      </c>
      <c r="Q1693" t="n">
        <v>0</v>
      </c>
      <c r="R1693" t="n">
        <v>0</v>
      </c>
      <c r="S1693">
        <f>IFERROR(O1693/N1693,0)</f>
        <v/>
      </c>
      <c r="T1693" t="n">
        <v>0</v>
      </c>
      <c r="V1693" t="n">
        <v>0</v>
      </c>
    </row>
    <row r="1694">
      <c r="A1694">
        <f>Skills!A25</f>
        <v/>
      </c>
      <c r="B1694">
        <f>Skills!B25</f>
        <v/>
      </c>
      <c r="C1694">
        <f>Inputs!$B$3&gt;=43</f>
        <v/>
      </c>
      <c r="D1694">
        <f>IF(Skills!C25=1,60+Inputs!$B$25+Inputs!$B$29,IF(Skills!C25=2,90+Inputs!$B$26+Inputs!$B$29,IF(Skills!C25=3,120+Inputs!$B$27+Inputs!$B$29,MAX(0,(Inputs!$B$3-100)*3)+Inputs!$B$28+Inputs!$B$29)))</f>
        <v/>
      </c>
      <c r="E1694">
        <f>INDEX(FactorTable!$B$2:$Y$301, MATCH(ROUND(MIN(300,MAX(1,D1694)),0), FactorTable!$A$2:$A$301,0), Skills!M25+1)</f>
        <v/>
      </c>
      <c r="F1694">
        <f>IF(Skills!N25=TRUE,(Skills!L25/10)*(E1694/1000),Skills!L25/10)+Skills!O25</f>
        <v/>
      </c>
      <c r="G1694">
        <f>Skills!G25*IF(Skills!H25&gt;0,Skills!I25/Skills!H25,1)</f>
        <v/>
      </c>
      <c r="H1694">
        <f>1-(1-Skills!J25/100)^Skills!K25</f>
        <v/>
      </c>
      <c r="I1694" t="inlineStr">
        <is>
          <t>1</t>
        </is>
      </c>
      <c r="J1694" t="inlineStr"/>
      <c r="K1694" t="inlineStr"/>
      <c r="L1694" t="inlineStr"/>
      <c r="M1694" t="inlineStr"/>
      <c r="N1694" t="inlineStr"/>
      <c r="O1694">
        <f>(1-Summary!$B$11)*T1694+Summary!$B$11*V1694</f>
        <v/>
      </c>
      <c r="P1694">
        <f>IF(B1713=0,0,O1694/B1713)</f>
        <v/>
      </c>
      <c r="Q1694" t="n">
        <v>0</v>
      </c>
      <c r="R1694" t="n">
        <v>0</v>
      </c>
      <c r="S1694">
        <f>IFERROR(O1694/N1694,0)</f>
        <v/>
      </c>
      <c r="T1694" t="n">
        <v>0</v>
      </c>
      <c r="V1694" t="n">
        <v>0</v>
      </c>
    </row>
    <row r="1695">
      <c r="A1695">
        <f>Skills!A26</f>
        <v/>
      </c>
      <c r="B1695">
        <f>Skills!B26</f>
        <v/>
      </c>
      <c r="C1695">
        <f>Inputs!$B$3&gt;=75</f>
        <v/>
      </c>
      <c r="D1695">
        <f>IF(Skills!C26=1,60+Inputs!$B$25+Inputs!$B$29,IF(Skills!C26=2,90+Inputs!$B$26+Inputs!$B$29,IF(Skills!C26=3,120+Inputs!$B$27+Inputs!$B$29,MAX(0,(Inputs!$B$3-100)*3)+Inputs!$B$28+Inputs!$B$29)))</f>
        <v/>
      </c>
      <c r="E1695">
        <f>INDEX(FactorTable!$B$2:$Y$301, MATCH(ROUND(MIN(300,MAX(1,D1695)),0), FactorTable!$A$2:$A$301,0), Skills!M26+1)</f>
        <v/>
      </c>
      <c r="F1695">
        <f>IF(Skills!N26=TRUE,(Skills!L26/10)*(E1695/1000),Skills!L26/10)+Skills!O26</f>
        <v/>
      </c>
      <c r="G1695">
        <f>Skills!G26*IF(Skills!H26&gt;0,Skills!I26/Skills!H26,1)</f>
        <v/>
      </c>
      <c r="H1695">
        <f>1-(1-Skills!J26/100)^Skills!K26</f>
        <v/>
      </c>
      <c r="I1695" t="inlineStr">
        <is>
          <t>1</t>
        </is>
      </c>
      <c r="J1695" t="inlineStr"/>
      <c r="K1695" t="inlineStr"/>
      <c r="L1695" t="inlineStr"/>
      <c r="M1695" t="inlineStr"/>
      <c r="N1695" t="inlineStr"/>
      <c r="O1695">
        <f>(1-Summary!$B$11)*T1695+Summary!$B$11*V1695</f>
        <v/>
      </c>
      <c r="P1695">
        <f>IF(B1713=0,0,O1695/B1713)</f>
        <v/>
      </c>
      <c r="Q1695" t="n">
        <v>0</v>
      </c>
      <c r="R1695" t="n">
        <v>0</v>
      </c>
      <c r="S1695">
        <f>IFERROR(O1695/N1695,0)</f>
        <v/>
      </c>
      <c r="T1695" t="n">
        <v>0</v>
      </c>
      <c r="V1695" t="n">
        <v>0</v>
      </c>
    </row>
    <row r="1696">
      <c r="A1696">
        <f>Skills!A27</f>
        <v/>
      </c>
      <c r="B1696">
        <f>Skills!B27</f>
        <v/>
      </c>
      <c r="C1696">
        <f>Inputs!$B$3&gt;=125</f>
        <v/>
      </c>
      <c r="D1696">
        <f>IF(Skills!C27=1,60+Inputs!$B$25+Inputs!$B$29,IF(Skills!C27=2,90+Inputs!$B$26+Inputs!$B$29,IF(Skills!C27=3,120+Inputs!$B$27+Inputs!$B$29,MAX(0,(Inputs!$B$3-100)*3)+Inputs!$B$28+Inputs!$B$29)))</f>
        <v/>
      </c>
      <c r="E1696">
        <f>INDEX(FactorTable!$B$2:$Y$301, MATCH(ROUND(MIN(300,MAX(1,D1696)),0), FactorTable!$A$2:$A$301,0), Skills!M27+1)</f>
        <v/>
      </c>
      <c r="F1696">
        <f>IF(Skills!N27=TRUE,(Skills!L27/10)*(E1696/1000),Skills!L27/10)+Skills!O27</f>
        <v/>
      </c>
      <c r="G1696">
        <f>Skills!G27*IF(Skills!H27&gt;0,Skills!I27/Skills!H27,1)</f>
        <v/>
      </c>
      <c r="H1696">
        <f>1-(1-Skills!J27/100)^Skills!K27</f>
        <v/>
      </c>
      <c r="I1696" t="inlineStr">
        <is>
          <t>1</t>
        </is>
      </c>
      <c r="J1696" t="inlineStr"/>
      <c r="K1696" t="inlineStr"/>
      <c r="L1696" t="inlineStr"/>
      <c r="M1696" t="inlineStr"/>
      <c r="N1696" t="inlineStr"/>
      <c r="O1696">
        <f>(1-Summary!$B$11)*T1696+Summary!$B$11*V1696</f>
        <v/>
      </c>
      <c r="P1696">
        <f>IF(B1713=0,0,O1696/B1713)</f>
        <v/>
      </c>
      <c r="Q1696" t="n">
        <v>0</v>
      </c>
      <c r="R1696" t="n">
        <v>0</v>
      </c>
      <c r="S1696">
        <f>IFERROR(O1696/N1696,0)</f>
        <v/>
      </c>
      <c r="T1696" t="n">
        <v>0</v>
      </c>
      <c r="V1696" t="n">
        <v>0</v>
      </c>
    </row>
    <row r="1697">
      <c r="A1697">
        <f>Skills!A28</f>
        <v/>
      </c>
      <c r="B1697">
        <f>Skills!B28</f>
        <v/>
      </c>
      <c r="C1697">
        <f>Inputs!$B$3&gt;=125</f>
        <v/>
      </c>
      <c r="D1697">
        <f>IF(Skills!C28=1,60+Inputs!$B$25+Inputs!$B$29,IF(Skills!C28=2,90+Inputs!$B$26+Inputs!$B$29,IF(Skills!C28=3,120+Inputs!$B$27+Inputs!$B$29,MAX(0,(Inputs!$B$3-100)*3)+Inputs!$B$28+Inputs!$B$29)))</f>
        <v/>
      </c>
      <c r="E1697">
        <f>INDEX(FactorTable!$B$2:$Y$301, MATCH(ROUND(MIN(300,MAX(1,D1697)),0), FactorTable!$A$2:$A$301,0), Skills!M28+1)</f>
        <v/>
      </c>
      <c r="F1697">
        <f>IF(Skills!N28=TRUE,(Skills!L28/10)*(E1697/1000),Skills!L28/10)+Skills!O28</f>
        <v/>
      </c>
      <c r="G1697">
        <f>Skills!G28*IF(Skills!H28&gt;0,Skills!I28/Skills!H28,1)</f>
        <v/>
      </c>
      <c r="H1697">
        <f>1-(1-Skills!J28/100)^Skills!K28</f>
        <v/>
      </c>
      <c r="I1697" t="inlineStr">
        <is>
          <t>1</t>
        </is>
      </c>
      <c r="J1697" t="inlineStr"/>
      <c r="K1697" t="inlineStr"/>
      <c r="L1697" t="inlineStr"/>
      <c r="M1697" t="inlineStr"/>
      <c r="N1697" t="inlineStr"/>
      <c r="O1697">
        <f>(1-Summary!$B$11)*T1697+Summary!$B$11*V1697</f>
        <v/>
      </c>
      <c r="P1697">
        <f>IF(B1713=0,0,O1697/B1713)</f>
        <v/>
      </c>
      <c r="Q1697" t="n">
        <v>0</v>
      </c>
      <c r="R1697" t="n">
        <v>0</v>
      </c>
      <c r="S1697">
        <f>IFERROR(O1697/N1697,0)</f>
        <v/>
      </c>
      <c r="T1697" t="n">
        <v>0</v>
      </c>
      <c r="V1697" t="n">
        <v>0</v>
      </c>
    </row>
    <row r="1698">
      <c r="A1698">
        <f>Skills!A29</f>
        <v/>
      </c>
      <c r="B1698">
        <f>Skills!B29</f>
        <v/>
      </c>
      <c r="C1698">
        <f>Inputs!$B$3&gt;=120</f>
        <v/>
      </c>
      <c r="D1698">
        <f>IF(Skills!C29=1,60+Inputs!$B$25+Inputs!$B$29,IF(Skills!C29=2,90+Inputs!$B$26+Inputs!$B$29,IF(Skills!C29=3,120+Inputs!$B$27+Inputs!$B$29,MAX(0,(Inputs!$B$3-100)*3)+Inputs!$B$28+Inputs!$B$29)))</f>
        <v/>
      </c>
      <c r="E1698">
        <f>INDEX(FactorTable!$B$2:$Y$301, MATCH(ROUND(MIN(300,MAX(1,D1698)),0), FactorTable!$A$2:$A$301,0), Skills!M29+1)</f>
        <v/>
      </c>
      <c r="F1698">
        <f>IF(Skills!N29=TRUE,(Skills!L29/10)*(E1698/1000),Skills!L29/10)+Skills!O29</f>
        <v/>
      </c>
      <c r="G1698">
        <f>Skills!G29*IF(Skills!H29&gt;0,Skills!I29/Skills!H29,1)</f>
        <v/>
      </c>
      <c r="H1698">
        <f>1-(1-Skills!J29/100)^Skills!K29</f>
        <v/>
      </c>
      <c r="I1698" t="inlineStr">
        <is>
          <t>1</t>
        </is>
      </c>
      <c r="J1698" t="inlineStr"/>
      <c r="K1698" t="inlineStr"/>
      <c r="L1698" t="inlineStr"/>
      <c r="M1698" t="inlineStr"/>
      <c r="N1698" t="inlineStr"/>
      <c r="O1698">
        <f>(1-Summary!$B$11)*T1698+Summary!$B$11*V1698</f>
        <v/>
      </c>
      <c r="P1698">
        <f>IF(B1713=0,0,O1698/B1713)</f>
        <v/>
      </c>
      <c r="Q1698" t="n">
        <v>0</v>
      </c>
      <c r="R1698" t="n">
        <v>0</v>
      </c>
      <c r="S1698">
        <f>IFERROR(O1698/N1698,0)</f>
        <v/>
      </c>
      <c r="T1698" t="n">
        <v>0</v>
      </c>
      <c r="V1698" t="n">
        <v>0</v>
      </c>
    </row>
    <row r="1699">
      <c r="A1699">
        <f>Skills!A30</f>
        <v/>
      </c>
      <c r="B1699">
        <f>Skills!B30</f>
        <v/>
      </c>
      <c r="C1699">
        <f>Inputs!$B$3&gt;=120</f>
        <v/>
      </c>
      <c r="D1699">
        <f>IF(Skills!C30=1,60+Inputs!$B$25+Inputs!$B$29,IF(Skills!C30=2,90+Inputs!$B$26+Inputs!$B$29,IF(Skills!C30=3,120+Inputs!$B$27+Inputs!$B$29,MAX(0,(Inputs!$B$3-100)*3)+Inputs!$B$28+Inputs!$B$29)))</f>
        <v/>
      </c>
      <c r="E1699">
        <f>INDEX(FactorTable!$B$2:$Y$301, MATCH(ROUND(MIN(300,MAX(1,D1699)),0), FactorTable!$A$2:$A$301,0), Skills!M30+1)</f>
        <v/>
      </c>
      <c r="F1699">
        <f>IF(Skills!N30=TRUE,(Skills!L30/10)*(E1699/1000),Skills!L30/10)+Skills!O30</f>
        <v/>
      </c>
      <c r="G1699">
        <f>Skills!G30*IF(Skills!H30&gt;0,Skills!I30/Skills!H30,1)</f>
        <v/>
      </c>
      <c r="H1699">
        <f>1-(1-Skills!J30/100)^Skills!K30</f>
        <v/>
      </c>
      <c r="I1699" t="inlineStr">
        <is>
          <t>1</t>
        </is>
      </c>
      <c r="J1699" t="inlineStr"/>
      <c r="K1699" t="inlineStr"/>
      <c r="L1699" t="inlineStr"/>
      <c r="M1699" t="inlineStr"/>
      <c r="N1699" t="inlineStr"/>
      <c r="O1699">
        <f>(1-Summary!$B$11)*T1699+Summary!$B$11*V1699</f>
        <v/>
      </c>
      <c r="P1699">
        <f>IF(B1713=0,0,O1699/B1713)</f>
        <v/>
      </c>
      <c r="Q1699" t="n">
        <v>0</v>
      </c>
      <c r="R1699" t="n">
        <v>0</v>
      </c>
      <c r="S1699">
        <f>IFERROR(O1699/N1699,0)</f>
        <v/>
      </c>
      <c r="T1699" t="n">
        <v>0</v>
      </c>
      <c r="V1699" t="n">
        <v>0</v>
      </c>
    </row>
    <row r="1700">
      <c r="A1700">
        <f>Skills!A31</f>
        <v/>
      </c>
      <c r="B1700">
        <f>Skills!B31</f>
        <v/>
      </c>
      <c r="C1700">
        <f>Inputs!$B$3&gt;=45</f>
        <v/>
      </c>
      <c r="D1700">
        <f>IF(Skills!C31=1,60+Inputs!$B$25+Inputs!$B$29,IF(Skills!C31=2,90+Inputs!$B$26+Inputs!$B$29,IF(Skills!C31=3,120+Inputs!$B$27+Inputs!$B$29,MAX(0,(Inputs!$B$3-100)*3)+Inputs!$B$28+Inputs!$B$29)))</f>
        <v/>
      </c>
      <c r="E1700">
        <f>INDEX(FactorTable!$B$2:$Y$301, MATCH(ROUND(MIN(300,MAX(1,D1700)),0), FactorTable!$A$2:$A$301,0), Skills!M31+1)</f>
        <v/>
      </c>
      <c r="F1700">
        <f>IF(Skills!N31=TRUE,(Skills!L31/10)*(E1700/1000),Skills!L31/10)+Skills!O31</f>
        <v/>
      </c>
      <c r="G1700">
        <f>Skills!G31*IF(Skills!H31&gt;0,Skills!I31/Skills!H31,1)</f>
        <v/>
      </c>
      <c r="H1700">
        <f>1-(1-Skills!J31/100)^Skills!K31</f>
        <v/>
      </c>
      <c r="I1700" t="inlineStr">
        <is>
          <t>1</t>
        </is>
      </c>
      <c r="J1700" t="inlineStr"/>
      <c r="K1700" t="inlineStr"/>
      <c r="L1700" t="inlineStr"/>
      <c r="M1700" t="inlineStr"/>
      <c r="N1700" t="inlineStr"/>
      <c r="O1700">
        <f>(1-Summary!$B$11)*T1700+Summary!$B$11*V1700</f>
        <v/>
      </c>
      <c r="P1700">
        <f>IF(B1713=0,0,O1700/B1713)</f>
        <v/>
      </c>
      <c r="Q1700" t="n">
        <v>0</v>
      </c>
      <c r="R1700" t="n">
        <v>0</v>
      </c>
      <c r="S1700">
        <f>IFERROR(O1700/N1700,0)</f>
        <v/>
      </c>
      <c r="T1700" t="n">
        <v>0</v>
      </c>
      <c r="V1700" t="n">
        <v>0</v>
      </c>
    </row>
    <row r="1702">
      <c r="A1702" t="inlineStr">
        <is>
          <t>Attack% Bucket Multiplier</t>
        </is>
      </c>
      <c r="B1702">
        <f>(1+(((C1683=TRUE)*F1683)+((C1684=TRUE)*IF(Inputs!$B$38="pvp",F1684,(1-Summary!$B$11)*(F1684)+Summary!$B$11*(0)))+((C1685=TRUE)*F1685*IF(AND(Inputs!$B$38&lt;&gt;"pvp",Inputs!$B$43&gt;0),(((R1685-1)*(Skills!T16*(1+Inputs!$B$34/100))+MIN((Skills!T16*(1+Inputs!$B$34/100)),MAX(0,Inputs!$B$43-((R1685-1)*Skills!D16))))/Inputs!$B$43),IF(Inputs!$B$38="pvp",MIN((Skills!T16*(1+Inputs!$B$34/100)),15)/15,(Skills!T16*(1+Inputs!$B$34/100))/Skills!D16)))+((C1700=TRUE)*(F1700-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03">
      <c r="A1703" t="inlineStr">
        <is>
          <t>Global Crit Rate Bonus %</t>
        </is>
      </c>
      <c r="B1703">
        <f>(C1686=TRUE)*20*IF(AND(Inputs!$B$38&lt;&gt;"pvp",Inputs!$B$43&gt;0),(((R1686-1)*(Skills!T17*(1+Inputs!$B$34/100))+MIN((Skills!T17*(1+Inputs!$B$34/100)),MAX(0,Inputs!$B$43-((R1686-1)*Skills!D17))))/Inputs!$B$43),IF(Inputs!$B$38="pvp",MIN((Skills!T17*(1+Inputs!$B$34/100)),15)/15,(Skills!T17*(1+Inputs!$B$34/100))/Skills!D17))</f>
        <v/>
      </c>
    </row>
    <row r="1704">
      <c r="A1704" t="inlineStr">
        <is>
          <t>Attack Speed Buff Bonus %</t>
        </is>
      </c>
      <c r="B1704">
        <f>((C1689=TRUE)*F1689*IF(AND(Inputs!$B$38&lt;&gt;"pvp",Inputs!$B$43&gt;0),(((R1689-1)*(Skills!T20*(1+Inputs!$B$34/100))+MIN((Skills!T20*(1+Inputs!$B$34/100)),MAX(0,Inputs!$B$43-((R1689-1)*Skills!D20))))/Inputs!$B$43),IF(Inputs!$B$38="pvp",MIN((Skills!T20*(1+Inputs!$B$34/100)),15)/15,(Skills!T20*(1+Inputs!$B$34/100))/Skills!D20)))</f>
        <v/>
      </c>
    </row>
    <row r="1705">
      <c r="A1705" t="inlineStr">
        <is>
          <t>Actions Per Second</t>
        </is>
      </c>
      <c r="B1705">
        <f>1+MIN(150,150*(1-(1-(Inputs!$B$11+((C1691=TRUE)*(F1691-Calc!F22))+((C1692=TRUE)*(F1692-Calc!F23)))/150)*(1-B1704/150)))/100</f>
        <v/>
      </c>
    </row>
    <row r="1706">
      <c r="A1706" t="inlineStr">
        <is>
          <t>Skill + Buff Cast Rate</t>
        </is>
      </c>
      <c r="B1706">
        <f>IF(AND(Inputs!$B$38&lt;&gt;"pvp",Inputs!$B$43&gt;0),SUMPRODUCT((Skills!E2:E31=TRUE)*(C1671:C1700=TRUE)*R1671:R1700*Skills!F2:F31)/Inputs!$B$43,SUMPRODUCT((Skills!E2:E31=TRUE)*(C1671:C1700=TRUE)*Q1671:Q1700*Skills!F2:F31))</f>
        <v/>
      </c>
    </row>
    <row r="1707">
      <c r="A1707" t="inlineStr">
        <is>
          <t>Arrow Stream Casts Per Second</t>
        </is>
      </c>
      <c r="B1707">
        <f>MAX(0,B1705-B1706)</f>
        <v/>
      </c>
    </row>
    <row r="1708">
      <c r="A1708" t="inlineStr">
        <is>
          <t>Global Critical Damage Bonus % (Sharp Eyes + Concentration)</t>
        </is>
      </c>
      <c r="B1708">
        <f>(C1686=TRUE)*F1686*IF(AND(Inputs!$B$38&lt;&gt;"pvp",Inputs!$B$43&gt;0),(((R1686-1)*(Skills!T17*(1+Inputs!$B$34/100))+MIN((Skills!T17*(1+Inputs!$B$34/100)),MAX(0,Inputs!$B$43-((R1686-1)*Skills!D17))))/Inputs!$B$43),IF(Inputs!$B$38="pvp",MIN((Skills!T17*(1+Inputs!$B$34/100)),15)/15,(Skills!T17*(1+Inputs!$B$34/100))/Skills!D17))+(C1687=TRUE)*30</f>
        <v/>
      </c>
    </row>
    <row r="1709">
      <c r="A1709" t="inlineStr">
        <is>
          <t>Global Final Damage Bonus % (Mortal Blow)</t>
        </is>
      </c>
      <c r="B1709">
        <f>(C1688=TRUE)*F1688</f>
        <v/>
      </c>
    </row>
    <row r="1710">
      <c r="A1710" t="inlineStr">
        <is>
          <t>Buff-Casting Startup Delay (s, fixed-duration only)</t>
        </is>
      </c>
      <c r="B1710">
        <f>IF(AND(Inputs!$B$38&lt;&gt;"pvp",Inputs!$B$43&gt;0),SUMPRODUCT((Skills!T2:T31&gt;0)*(Skills!E2:E31=TRUE)*(C1671:C1700=TRUE))/B1705,0)</f>
        <v/>
      </c>
    </row>
    <row r="1711">
      <c r="A1711" t="inlineStr">
        <is>
          <t>Boss-Only Total DPS (this block's swept value)</t>
        </is>
      </c>
      <c r="B1711">
        <f>SUM(T1671:T1700)</f>
        <v/>
      </c>
    </row>
    <row r="1712">
      <c r="A1712" t="inlineStr">
        <is>
          <t>Normal-Only Total DPS (this block's swept value)</t>
        </is>
      </c>
      <c r="B1712">
        <f>SUM(V1671:V1700)</f>
        <v/>
      </c>
    </row>
    <row r="1713">
      <c r="A1713" s="6" t="inlineStr">
        <is>
          <t>TOTAL DPS</t>
        </is>
      </c>
      <c r="B1713" s="6">
        <f>SUM(O1671:O1700)</f>
        <v/>
      </c>
    </row>
    <row r="1716">
      <c r="A1716" s="6" t="inlineStr">
        <is>
          <t>Stat: Athena Pierce's Old Gloves (Equip)</t>
        </is>
      </c>
    </row>
    <row r="1717">
      <c r="A1717" s="5" t="inlineStr">
        <is>
          <t>Key</t>
        </is>
      </c>
      <c r="B1717" s="5" t="inlineStr">
        <is>
          <t>Name</t>
        </is>
      </c>
      <c r="C1717" s="5" t="inlineStr">
        <is>
          <t>Unlocked</t>
        </is>
      </c>
      <c r="D1717" s="5" t="inlineStr">
        <is>
          <t>InputLevel</t>
        </is>
      </c>
      <c r="E1717" s="5" t="inlineStr">
        <is>
          <t>Factor</t>
        </is>
      </c>
      <c r="F1717" s="5" t="inlineStr">
        <is>
          <t>CoefficientPercent</t>
        </is>
      </c>
      <c r="G1717" s="5" t="inlineStr">
        <is>
          <t>EffectiveHits</t>
        </is>
      </c>
      <c r="H1717" s="5" t="inlineStr">
        <is>
          <t>ProcProbability</t>
        </is>
      </c>
      <c r="I1717" s="5" t="inlineStr">
        <is>
          <t>MapleHeroMultiplier</t>
        </is>
      </c>
      <c r="J1717" s="5" t="inlineStr">
        <is>
          <t>BaseDamage</t>
        </is>
      </c>
      <c r="K1717" s="5" t="inlineStr">
        <is>
          <t>BaseHitDamage</t>
        </is>
      </c>
      <c r="L1717" s="5" t="inlineStr">
        <is>
          <t>NonCritAvg</t>
        </is>
      </c>
      <c r="M1717" s="5" t="inlineStr">
        <is>
          <t>CritAvg</t>
        </is>
      </c>
      <c r="N1717" s="5" t="inlineStr">
        <is>
          <t>ExpectedDamage(perHit)</t>
        </is>
      </c>
      <c r="O1717" s="5" t="inlineStr">
        <is>
          <t>DPS</t>
        </is>
      </c>
      <c r="P1717" s="5" t="inlineStr">
        <is>
          <t>% of Total</t>
        </is>
      </c>
      <c r="Q1717" s="5" t="inlineStr">
        <is>
          <t>InvCooldown</t>
        </is>
      </c>
      <c r="R1717" s="5" t="inlineStr">
        <is>
          <t>CastsInFight</t>
        </is>
      </c>
      <c r="S1717" s="5" t="inlineStr">
        <is>
          <t>HitRate(perSec)</t>
        </is>
      </c>
      <c r="U1717" t="inlineStr">
        <is>
          <t>helpers</t>
        </is>
      </c>
    </row>
    <row r="1718">
      <c r="A1718">
        <f>Skills!A2</f>
        <v/>
      </c>
      <c r="B1718">
        <f>Skills!B2</f>
        <v/>
      </c>
      <c r="C1718">
        <f>Inputs!$B$3&gt;=100</f>
        <v/>
      </c>
      <c r="D1718" t="inlineStr"/>
      <c r="E1718" t="inlineStr"/>
      <c r="F1718">
        <f>U1720+Skills!O2</f>
        <v/>
      </c>
      <c r="G1718">
        <f>Skills!G2*IF(Skills!H2&gt;0,Skills!I2/Skills!H2,1)</f>
        <v/>
      </c>
      <c r="H1718">
        <f>1-(1-Skills!J2/100)^Skills!K2</f>
        <v/>
      </c>
      <c r="I1718" t="inlineStr">
        <is>
          <t>1</t>
        </is>
      </c>
      <c r="J1718">
        <f>((Inputs!$B$6*(1+Inputs!$B$7/100))+(((Inputs!$B$12*(1+Inputs!$B$13/100))-(Inputs!$B$12*(1+Inputs!$B$13/100)))+0.25*(Inputs!$B$14-Inputs!$B$14))*(1+Inputs!$B$7/100))*(F1718/100)</f>
        <v/>
      </c>
      <c r="K1718">
        <f>J1718*(1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1718)</f>
        <v/>
      </c>
      <c r="L1718">
        <f>K1718*(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18">
        <f>L1718*(1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8">
        <f>L1718*(1-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1718*(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8">
        <f>(1-Summary!$B$11)*T1718+Summary!$B$11*V1718</f>
        <v/>
      </c>
      <c r="P1718">
        <f>IF(B1760=0,0,O1718/B1760)</f>
        <v/>
      </c>
      <c r="Q1718" t="n">
        <v>0</v>
      </c>
      <c r="R1718" t="n">
        <v>0</v>
      </c>
      <c r="S1718">
        <f>IFERROR(O1718/N1718,0)</f>
        <v/>
      </c>
      <c r="T1718">
        <f>IF(C1718,(Skills!G2*N1718*B1754)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1718*(1-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1718*(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1718*(1-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1718*(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8">
        <f>MAX(0,(Inputs!$B$3-100)*3)+Inputs!$B$28+Inputs!$B$29</f>
        <v/>
      </c>
      <c r="V1718">
        <f>IF(C1718,(Skills!G2*N1718*B1754)*IF(Inputs!$B$38="pvp",1,(1+(Inputs!$B$21+Skills!Q2+(IF(ArtifactsInput!$M$33,CHOOSE(ArtifactsInput!$N$33+1,30,36,42,48,54,60),0))+(IF(AND(ArtifactsInput!$M$35,Inputs!$B$4&lt;&gt;"Chapter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9">
      <c r="A1719">
        <f>Skills!A3</f>
        <v/>
      </c>
      <c r="B1719">
        <f>Skills!B3</f>
        <v/>
      </c>
      <c r="C1719">
        <f>Inputs!$B$3&gt;=50</f>
        <v/>
      </c>
      <c r="D1719">
        <f>IF(Skills!C3=1,60+Inputs!$B$25+Inputs!$B$29,IF(Skills!C3=2,90+Inputs!$B$26+Inputs!$B$29,IF(Skills!C3=3,120+Inputs!$B$27+Inputs!$B$29,MAX(0,(Inputs!$B$3-100)*3)+Inputs!$B$28+Inputs!$B$29)))</f>
        <v/>
      </c>
      <c r="E1719">
        <f>INDEX(FactorTable!$B$2:$Y$301, MATCH(ROUND(MIN(300,MAX(1,D1719)),0), FactorTable!$A$2:$A$301,0), Skills!M3+1)</f>
        <v/>
      </c>
      <c r="F1719">
        <f>IF(Skills!N3=TRUE,(Skills!L3/10)*(E1719/1000),Skills!L3/10)+Skills!O3</f>
        <v/>
      </c>
      <c r="G1719">
        <f>Skills!G3*IF(Skills!H3&gt;0,Skills!I3/Skills!H3,1)</f>
        <v/>
      </c>
      <c r="H1719">
        <f>1-(1-Skills!J3/100)^Skills!K3</f>
        <v/>
      </c>
      <c r="I1719" t="inlineStr">
        <is>
          <t>1</t>
        </is>
      </c>
      <c r="J1719">
        <f>((Inputs!$B$6*(1+Inputs!$B$7/100))+(((Inputs!$B$12*(1+Inputs!$B$13/100))-(Inputs!$B$12*(1+Inputs!$B$13/100)))+0.25*(Inputs!$B$14-Inputs!$B$14))*(1+Inputs!$B$7/100))*(F1719/100)</f>
        <v/>
      </c>
      <c r="K1719">
        <f>J1719*(1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1720=TRUE,F1720,0)/100)*(1+(IF(Skills!A3="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1719)</f>
        <v/>
      </c>
      <c r="L1719">
        <f>K1719*(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19">
        <f>L1719*(1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9">
        <f>L1719*(1-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1719*(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9">
        <f>(1-Summary!$B$11)*T1719+Summary!$B$11*V1719</f>
        <v/>
      </c>
      <c r="P1719">
        <f>IF(B1760=0,0,O1719/B1760)</f>
        <v/>
      </c>
      <c r="Q1719">
        <f>IFERROR(1/(IF(Inputs!$B$38="pvp",15,MAX(0.1,Skills!D3-IF(Skills!E3=TRUE,Inputs!$B$32,0)))*(1-IF(AND(ArtifactsInput!$M$27,Inputs!$B$4="Chapter Hunt"),CHOOSE(ArtifactsInput!$N$27+1,20,24,28,32,36,40),0)/100)),0)</f>
        <v/>
      </c>
      <c r="R1719">
        <f>IF(AND(Inputs!$B$38&lt;&gt;"pvp",Inputs!$B$43&gt;0),IF(MAX(0,Inputs!$B$43-B1757)&lt;=0,0,(INT(MAX(0,Inputs!$B$43-B1757)/(IF(Inputs!$B$38="pvp",15,MAX(0.1,Skills!D3-IF(Skills!E3=TRUE,Inputs!$B$32,0)))*(1-IF(AND(ArtifactsInput!$M$27,Inputs!$B$4="Chapter Hunt"),CHOOSE(ArtifactsInput!$N$27+1,20,24,28,32,36,40),0)/100)))+1)),0)</f>
        <v/>
      </c>
      <c r="S1719">
        <f>IFERROR(O1719/N1719,0)</f>
        <v/>
      </c>
      <c r="T1719">
        <f>IF(C1719,(H1719*N1719*IF(AND(Inputs!$B$38&lt;&gt;"pvp",Inputs!$B$43&gt;0),((Skills!G3*((R1719-1)*IF(Skills!H3&gt;0,Skills!I3/Skills!H3,1)+IF(Skills!H3&gt;0,MIN(Skills!I3,MAX(0,MAX(0,Inputs!$B$43-B1757)-((R1719-1)*(IF(Inputs!$B$38="pvp",15,MAX(0.1,Skills!D3-IF(Skills!E3=TRUE,Inputs!$B$32,0)))*(1-IF(AND(ArtifactsInput!$M$27,Inputs!$B$4="Chapter Hunt"),CHOOSE(ArtifactsInput!$N$27+1,20,24,28,32,36,40),0)/100)))))/Skills!H3,1)))/Inputs!$B$43),G1719*Q1719))*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1719*(1-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1719*(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1719*(1-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1719*(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9">
        <f>INDEX(FactorTable!$B$2:$Y$301, MATCH(ROUND(MIN(300,MAX(1,U1718)),0), FactorTable!$A$2:$A$301,0), 22)</f>
        <v/>
      </c>
      <c r="V1719">
        <f>IF(C1719,(H1719*N1719*IF(AND(Inputs!$B$38&lt;&gt;"pvp",Inputs!$B$43&gt;0),((Skills!G3*((R1719-1)*IF(Skills!H3&gt;0,Skills!I3/Skills!H3,1)+IF(Skills!H3&gt;0,MIN(Skills!I3,MAX(0,MAX(0,Inputs!$B$43-B1757)-((R1719-1)*(IF(Inputs!$B$38="pvp",15,MAX(0.1,Skills!D3-IF(Skills!E3=TRUE,Inputs!$B$32,0)))*(1-IF(AND(ArtifactsInput!$M$27,Inputs!$B$4="Chapter Hunt"),CHOOSE(ArtifactsInput!$N$27+1,20,24,28,32,36,40),0)/100)))))/Skills!H3,1)))/Inputs!$B$43),G1719*Q1719))*IF(Inputs!$B$38="pvp",1,(1+(Inputs!$B$21+Skills!Q3+(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0">
      <c r="A1720">
        <f>Skills!A4</f>
        <v/>
      </c>
      <c r="B1720">
        <f>Skills!B4</f>
        <v/>
      </c>
      <c r="C1720">
        <f>Inputs!$B$3&gt;=105</f>
        <v/>
      </c>
      <c r="D1720">
        <f>IF(Skills!C4=1,60+Inputs!$B$25+Inputs!$B$29,IF(Skills!C4=2,90+Inputs!$B$26+Inputs!$B$29,IF(Skills!C4=3,120+Inputs!$B$27+Inputs!$B$29,MAX(0,(Inputs!$B$3-100)*3)+Inputs!$B$28+Inputs!$B$29)))</f>
        <v/>
      </c>
      <c r="E1720">
        <f>INDEX(FactorTable!$B$2:$Y$301, MATCH(ROUND(MIN(300,MAX(1,D1720)),0), FactorTable!$A$2:$A$301,0), Skills!M4+1)</f>
        <v/>
      </c>
      <c r="F1720">
        <f>IF(Skills!N4=TRUE,(Skills!L4/10)*(E1720/1000),Skills!L4/10)+Skills!O4</f>
        <v/>
      </c>
      <c r="G1720" t="inlineStr"/>
      <c r="H1720" t="inlineStr"/>
      <c r="I1720" t="inlineStr">
        <is>
          <t>1</t>
        </is>
      </c>
      <c r="J1720" t="inlineStr"/>
      <c r="K1720" t="inlineStr"/>
      <c r="L1720" t="inlineStr"/>
      <c r="M1720" t="inlineStr"/>
      <c r="N1720" t="inlineStr"/>
      <c r="O1720" t="inlineStr"/>
      <c r="P1720" t="inlineStr"/>
      <c r="Q1720" t="inlineStr"/>
      <c r="R1720" t="inlineStr"/>
      <c r="S1720" t="inlineStr"/>
      <c r="T1720" t="inlineStr"/>
      <c r="U1720">
        <f>290*U1719/1000</f>
        <v/>
      </c>
      <c r="V1720" t="inlineStr"/>
    </row>
    <row r="1721">
      <c r="A1721">
        <f>Skills!A5</f>
        <v/>
      </c>
      <c r="B1721">
        <f>Skills!B5</f>
        <v/>
      </c>
      <c r="C1721">
        <f>Inputs!$B$3&gt;=35</f>
        <v/>
      </c>
      <c r="D1721">
        <f>IF(Skills!C5=1,60+Inputs!$B$25+Inputs!$B$29,IF(Skills!C5=2,90+Inputs!$B$26+Inputs!$B$29,IF(Skills!C5=3,120+Inputs!$B$27+Inputs!$B$29,MAX(0,(Inputs!$B$3-100)*3)+Inputs!$B$28+Inputs!$B$29)))</f>
        <v/>
      </c>
      <c r="E1721">
        <f>INDEX(FactorTable!$B$2:$Y$301, MATCH(ROUND(MIN(300,MAX(1,D1721)),0), FactorTable!$A$2:$A$301,0), Skills!M5+1)</f>
        <v/>
      </c>
      <c r="F1721">
        <f>IF(Skills!N5=TRUE,(Skills!L5/10)*(E1721/1000),Skills!L5/10)+Skills!O5</f>
        <v/>
      </c>
      <c r="G1721">
        <f>Skills!G5*IF(Skills!H5&gt;0,Skills!I5/Skills!H5,1)</f>
        <v/>
      </c>
      <c r="H1721">
        <f>1-(1-Skills!J5/100)^Skills!K5</f>
        <v/>
      </c>
      <c r="I1721" t="inlineStr">
        <is>
          <t>1</t>
        </is>
      </c>
      <c r="J1721">
        <f>((Inputs!$B$6*(1+Inputs!$B$7/100))+(((Inputs!$B$12*(1+Inputs!$B$13/100))-(Inputs!$B$12*(1+Inputs!$B$13/100)))+0.25*(Inputs!$B$14-Inputs!$B$14))*(1+Inputs!$B$7/100))*(F1721/100)</f>
        <v/>
      </c>
      <c r="K1721">
        <f>J1721*(1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1727=TRUE,F1727,0)/100)*(1+(IF(Skills!A5="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1721)</f>
        <v/>
      </c>
      <c r="L1721">
        <f>K1721*(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1">
        <f>L1721*(1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1">
        <f>L1721*(1-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1">
        <f>(1-Summary!$B$11)*T1721+Summary!$B$11*V1721</f>
        <v/>
      </c>
      <c r="P1721">
        <f>IF(B1760=0,0,O1721/B1760)</f>
        <v/>
      </c>
      <c r="Q1721">
        <f>IFERROR(1/(IF(Inputs!$B$38="pvp",15,MAX(0.1,Skills!D5-IF(Skills!E5=TRUE,Inputs!$B$32,0)))*(1-IF(AND(ArtifactsInput!$M$27,Inputs!$B$4="Chapter Hunt"),CHOOSE(ArtifactsInput!$N$27+1,20,24,28,32,36,40),0)/100)),0)</f>
        <v/>
      </c>
      <c r="R1721">
        <f>IF(AND(Inputs!$B$38&lt;&gt;"pvp",Inputs!$B$43&gt;0),IF(MAX(0,Inputs!$B$43-B1757)&lt;=0,0,(INT(MAX(0,Inputs!$B$43-B1757)/(IF(Inputs!$B$38="pvp",15,MAX(0.1,Skills!D5-IF(Skills!E5=TRUE,Inputs!$B$32,0)))*(1-IF(AND(ArtifactsInput!$M$27,Inputs!$B$4="Chapter Hunt"),CHOOSE(ArtifactsInput!$N$27+1,20,24,28,32,36,40),0)/100)))+1)),0)</f>
        <v/>
      </c>
      <c r="S1721">
        <f>IFERROR(O1721/N1721,0)</f>
        <v/>
      </c>
      <c r="T1721">
        <f>IF(C1721,(H1721*N1721*IF(AND(Inputs!$B$38&lt;&gt;"pvp",Inputs!$B$43&gt;0),((Skills!G5*((R1721-1)*IF(Skills!H5&gt;0,Skills!I5/Skills!H5,1)+IF(Skills!H5&gt;0,MIN(Skills!I5,MAX(0,MAX(0,Inputs!$B$43-B1757)-((R1721-1)*(IF(Inputs!$B$38="pvp",15,MAX(0.1,Skills!D5-IF(Skills!E5=TRUE,Inputs!$B$32,0)))*(1-IF(AND(ArtifactsInput!$M$27,Inputs!$B$4="Chapter Hunt"),CHOOSE(ArtifactsInput!$N$27+1,20,24,28,32,36,40),0)/100)))))/Skills!H5,1)))/Inputs!$B$43),G1721*Q1721)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1721*(1-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1">
        <f>IF(C1721,(H1721*N1721*IF(AND(Inputs!$B$38&lt;&gt;"pvp",Inputs!$B$43&gt;0),((Skills!G5*((R1721-1)*IF(Skills!H5&gt;0,Skills!I5/Skills!H5,1)+IF(Skills!H5&gt;0,MIN(Skills!I5,MAX(0,MAX(0,Inputs!$B$43-B1757)-((R1721-1)*(IF(Inputs!$B$38="pvp",15,MAX(0.1,Skills!D5-IF(Skills!E5=TRUE,Inputs!$B$32,0)))*(1-IF(AND(ArtifactsInput!$M$27,Inputs!$B$4="Chapter Hunt"),CHOOSE(ArtifactsInput!$N$27+1,20,24,28,32,36,40),0)/100)))))/Skills!H5,1)))/Inputs!$B$43),G1721*Q1721))*IF(Inputs!$B$38="pvp",1,(1+(Inputs!$B$21+Skills!Q5+(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2">
      <c r="A1722">
        <f>Skills!A6</f>
        <v/>
      </c>
      <c r="B1722">
        <f>Skills!B6</f>
        <v/>
      </c>
      <c r="C1722">
        <f>Inputs!$B$3&gt;=40</f>
        <v/>
      </c>
      <c r="D1722">
        <f>IF(Skills!C6=1,60+Inputs!$B$25+Inputs!$B$29,IF(Skills!C6=2,90+Inputs!$B$26+Inputs!$B$29,IF(Skills!C6=3,120+Inputs!$B$27+Inputs!$B$29,MAX(0,(Inputs!$B$3-100)*3)+Inputs!$B$28+Inputs!$B$29)))</f>
        <v/>
      </c>
      <c r="E1722">
        <f>INDEX(FactorTable!$B$2:$Y$301, MATCH(ROUND(MIN(300,MAX(1,D1722)),0), FactorTable!$A$2:$A$301,0), Skills!M6+1)</f>
        <v/>
      </c>
      <c r="F1722">
        <f>IF(Skills!N6=TRUE,(Skills!L6/10)*(E1722/1000),Skills!L6/10)+Skills!O6</f>
        <v/>
      </c>
      <c r="G1722">
        <f>Skills!G6*IF(Skills!H6&gt;0,Skills!I6/Skills!H6,1)</f>
        <v/>
      </c>
      <c r="H1722">
        <f>1-(1-Skills!J6/100)^Skills!K6</f>
        <v/>
      </c>
      <c r="I1722" t="inlineStr">
        <is>
          <t>1</t>
        </is>
      </c>
      <c r="J1722">
        <f>((Inputs!$B$6*(1+Inputs!$B$7/100))+(((Inputs!$B$12*(1+Inputs!$B$13/100))-(Inputs!$B$12*(1+Inputs!$B$13/100)))+0.25*(Inputs!$B$14-Inputs!$B$14))*(1+Inputs!$B$7/100))*(F1722/100)</f>
        <v/>
      </c>
      <c r="K1722">
        <f>J1722*(1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1723=TRUE,F1723,0)/100)*(1+(IF(Skills!A6="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1722)</f>
        <v/>
      </c>
      <c r="L1722">
        <f>K1722*(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2">
        <f>L1722*(1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2">
        <f>L1722*(1-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1722*(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2">
        <f>(1-Summary!$B$11)*T1722+Summary!$B$11*V1722</f>
        <v/>
      </c>
      <c r="P1722">
        <f>IF(B1760=0,0,O1722/B1760)</f>
        <v/>
      </c>
      <c r="Q1722">
        <f>IFERROR(1/(IF(Inputs!$B$38="pvp",15,MAX(0.1,Skills!D6-IF(Skills!E6=TRUE,Inputs!$B$32,0)))*(1-IF(AND(ArtifactsInput!$M$27,Inputs!$B$4="Chapter Hunt"),CHOOSE(ArtifactsInput!$N$27+1,20,24,28,32,36,40),0)/100)),0)</f>
        <v/>
      </c>
      <c r="R1722">
        <f>IF(AND(Inputs!$B$38&lt;&gt;"pvp",Inputs!$B$43&gt;0),IF(MAX(0,Inputs!$B$43-B1757)&lt;=0,0,(INT(MAX(0,Inputs!$B$43-B1757)/(IF(Inputs!$B$38="pvp",15,MAX(0.1,Skills!D6-IF(Skills!E6=TRUE,Inputs!$B$32,0)))*(1-IF(AND(ArtifactsInput!$M$27,Inputs!$B$4="Chapter Hunt"),CHOOSE(ArtifactsInput!$N$27+1,20,24,28,32,36,40),0)/100)))+1)),0)</f>
        <v/>
      </c>
      <c r="S1722">
        <f>IFERROR(O1722/N1722,0)</f>
        <v/>
      </c>
      <c r="T1722">
        <f>IF(C1722,(H1722*N1722*IF(AND(Inputs!$B$38&lt;&gt;"pvp",Inputs!$B$43&gt;0),((Skills!G6*((R1722-1)*IF(Skills!H6&gt;0,Skills!I6/Skills!H6,1)+IF(Skills!H6&gt;0,MIN(Skills!I6,MAX(0,MAX(0,Inputs!$B$43-B1757)-((R1722-1)*(IF(Inputs!$B$38="pvp",15,MAX(0.1,Skills!D6-IF(Skills!E6=TRUE,Inputs!$B$32,0)))*(1-IF(AND(ArtifactsInput!$M$27,Inputs!$B$4="Chapter Hunt"),CHOOSE(ArtifactsInput!$N$27+1,20,24,28,32,36,40),0)/100)))))/Skills!H6,1)))/Inputs!$B$43),G1722*Q1722)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1722*(1-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1722*(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1722*(1-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1722*(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2">
        <f>IF(C1722,(H1722*N1722*IF(AND(Inputs!$B$38&lt;&gt;"pvp",Inputs!$B$43&gt;0),((Skills!G6*((R1722-1)*IF(Skills!H6&gt;0,Skills!I6/Skills!H6,1)+IF(Skills!H6&gt;0,MIN(Skills!I6,MAX(0,MAX(0,Inputs!$B$43-B1757)-((R1722-1)*(IF(Inputs!$B$38="pvp",15,MAX(0.1,Skills!D6-IF(Skills!E6=TRUE,Inputs!$B$32,0)))*(1-IF(AND(ArtifactsInput!$M$27,Inputs!$B$4="Chapter Hunt"),CHOOSE(ArtifactsInput!$N$27+1,20,24,28,32,36,40),0)/100)))))/Skills!H6,1)))/Inputs!$B$43),G1722*Q1722))*IF(Inputs!$B$38="pvp",1,(1+(Inputs!$B$21+Skills!Q6+(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3">
      <c r="A1723">
        <f>Skills!A7</f>
        <v/>
      </c>
      <c r="B1723">
        <f>Skills!B7</f>
        <v/>
      </c>
      <c r="C1723">
        <f>Inputs!$B$3&gt;=107</f>
        <v/>
      </c>
      <c r="D1723">
        <f>IF(Skills!C7=1,60+Inputs!$B$25+Inputs!$B$29,IF(Skills!C7=2,90+Inputs!$B$26+Inputs!$B$29,IF(Skills!C7=3,120+Inputs!$B$27+Inputs!$B$29,MAX(0,(Inputs!$B$3-100)*3)+Inputs!$B$28+Inputs!$B$29)))</f>
        <v/>
      </c>
      <c r="E1723">
        <f>INDEX(FactorTable!$B$2:$Y$301, MATCH(ROUND(MIN(300,MAX(1,D1723)),0), FactorTable!$A$2:$A$301,0), Skills!M7+1)</f>
        <v/>
      </c>
      <c r="F1723">
        <f>IF(Skills!N7=TRUE,(Skills!L7/10)*(E1723/1000),Skills!L7/10)+Skills!O7</f>
        <v/>
      </c>
      <c r="G1723" t="inlineStr"/>
      <c r="H1723" t="inlineStr"/>
      <c r="I1723" t="inlineStr">
        <is>
          <t>1</t>
        </is>
      </c>
      <c r="J1723" t="inlineStr"/>
      <c r="K1723" t="inlineStr"/>
      <c r="L1723" t="inlineStr"/>
      <c r="M1723" t="inlineStr"/>
      <c r="N1723" t="inlineStr"/>
      <c r="O1723" t="inlineStr"/>
      <c r="P1723" t="inlineStr"/>
      <c r="Q1723" t="inlineStr"/>
      <c r="R1723" t="inlineStr"/>
      <c r="S1723" t="inlineStr"/>
      <c r="T1723" t="inlineStr"/>
      <c r="V1723" t="inlineStr"/>
    </row>
    <row r="1724">
      <c r="A1724">
        <f>Skills!A8</f>
        <v/>
      </c>
      <c r="B1724">
        <f>Skills!B8</f>
        <v/>
      </c>
      <c r="C1724">
        <f>Inputs!$B$3&gt;=69</f>
        <v/>
      </c>
      <c r="D1724">
        <f>IF(Skills!C8=1,60+Inputs!$B$25+Inputs!$B$29,IF(Skills!C8=2,90+Inputs!$B$26+Inputs!$B$29,IF(Skills!C8=3,120+Inputs!$B$27+Inputs!$B$29,MAX(0,(Inputs!$B$3-100)*3)+Inputs!$B$28+Inputs!$B$29)))</f>
        <v/>
      </c>
      <c r="E1724">
        <f>INDEX(FactorTable!$B$2:$Y$301, MATCH(ROUND(MIN(300,MAX(1,D1724)),0), FactorTable!$A$2:$A$301,0), Skills!M8+1)</f>
        <v/>
      </c>
      <c r="F1724">
        <f>IF(Skills!N8=TRUE,(Skills!L8/10)*(E1724/1000),Skills!L8/10)+Skills!O8</f>
        <v/>
      </c>
      <c r="G1724">
        <f>Skills!G8*IF(Skills!H8&gt;0,Skills!I8/Skills!H8,1)</f>
        <v/>
      </c>
      <c r="H1724">
        <f>1-(1-Skills!J8/100)^Skills!K8</f>
        <v/>
      </c>
      <c r="I1724" t="inlineStr">
        <is>
          <t>1</t>
        </is>
      </c>
      <c r="J1724">
        <f>((Inputs!$B$6*(1+Inputs!$B$7/100))+(((Inputs!$B$12*(1+Inputs!$B$13/100))-(Inputs!$B$12*(1+Inputs!$B$13/100)))+0.25*(Inputs!$B$14-Inputs!$B$14))*(1+Inputs!$B$7/100))*(F1724/100)</f>
        <v/>
      </c>
      <c r="K1724">
        <f>J1724*(1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1727=TRUE,F1727,0)/100)*(1+(IF(Skills!A8="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1724)</f>
        <v/>
      </c>
      <c r="L1724">
        <f>K1724*(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4">
        <f>L1724*(1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4">
        <f>L1724*(1-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1724*(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4">
        <f>(1-Summary!$B$11)*T1724+Summary!$B$11*V1724</f>
        <v/>
      </c>
      <c r="P1724">
        <f>IF(B1760=0,0,O1724/B1760)</f>
        <v/>
      </c>
      <c r="Q1724">
        <f>IFERROR(1/(IF(Inputs!$B$38="pvp",15,MAX(0.1,Skills!D8-IF(Skills!E8=TRUE,Inputs!$B$32,0)))*(1-IF(AND(ArtifactsInput!$M$27,Inputs!$B$4="Chapter Hunt"),CHOOSE(ArtifactsInput!$N$27+1,20,24,28,32,36,40),0)/100)),0)</f>
        <v/>
      </c>
      <c r="R1724">
        <f>IF(AND(Inputs!$B$38&lt;&gt;"pvp",Inputs!$B$43&gt;0),IF(MAX(0,Inputs!$B$43-B1757)&lt;=0,0,(INT(MAX(0,Inputs!$B$43-B1757)/(IF(Inputs!$B$38="pvp",15,MAX(0.1,Skills!D8-IF(Skills!E8=TRUE,Inputs!$B$32,0)))*(1-IF(AND(ArtifactsInput!$M$27,Inputs!$B$4="Chapter Hunt"),CHOOSE(ArtifactsInput!$N$27+1,20,24,28,32,36,40),0)/100)))+1)),0)</f>
        <v/>
      </c>
      <c r="S1724">
        <f>IFERROR(O1724/N1724,0)</f>
        <v/>
      </c>
      <c r="T1724">
        <f>IF(C1724,(H1724*N1724*IF(AND(Inputs!$B$38&lt;&gt;"pvp",Inputs!$B$43&gt;0),((Skills!G8*((R1724-1)*IF(Skills!H8&gt;0,Skills!I8/Skills!H8,1)+IF(Skills!H8&gt;0,MIN(Skills!I8,MAX(0,MAX(0,Inputs!$B$43-B1757)-((R1724-1)*(IF(Inputs!$B$38="pvp",15,MAX(0.1,Skills!D8-IF(Skills!E8=TRUE,Inputs!$B$32,0)))*(1-IF(AND(ArtifactsInput!$M$27,Inputs!$B$4="Chapter Hunt"),CHOOSE(ArtifactsInput!$N$27+1,20,24,28,32,36,40),0)/100)))))/Skills!H8,1)))/Inputs!$B$43),G1724*Q1724)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1724*(1-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1724*(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1724*(1-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1724*(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4">
        <f>IF(C1724,(H1724*N1724*IF(AND(Inputs!$B$38&lt;&gt;"pvp",Inputs!$B$43&gt;0),((Skills!G8*((R1724-1)*IF(Skills!H8&gt;0,Skills!I8/Skills!H8,1)+IF(Skills!H8&gt;0,MIN(Skills!I8,MAX(0,MAX(0,Inputs!$B$43-B1757)-((R1724-1)*(IF(Inputs!$B$38="pvp",15,MAX(0.1,Skills!D8-IF(Skills!E8=TRUE,Inputs!$B$32,0)))*(1-IF(AND(ArtifactsInput!$M$27,Inputs!$B$4="Chapter Hunt"),CHOOSE(ArtifactsInput!$N$27+1,20,24,28,32,36,40),0)/100)))))/Skills!H8,1)))/Inputs!$B$43),G1724*Q1724))*IF(Inputs!$B$38="pvp",1,(1+(Inputs!$B$21+Skills!Q8+(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5">
      <c r="A1725">
        <f>Skills!A9</f>
        <v/>
      </c>
      <c r="B1725">
        <f>Skills!B9</f>
        <v/>
      </c>
      <c r="C1725">
        <f>Inputs!$B$3&gt;=63</f>
        <v/>
      </c>
      <c r="D1725">
        <f>IF(Skills!C9=1,60+Inputs!$B$25+Inputs!$B$29,IF(Skills!C9=2,90+Inputs!$B$26+Inputs!$B$29,IF(Skills!C9=3,120+Inputs!$B$27+Inputs!$B$29,MAX(0,(Inputs!$B$3-100)*3)+Inputs!$B$28+Inputs!$B$29)))</f>
        <v/>
      </c>
      <c r="E1725">
        <f>INDEX(FactorTable!$B$2:$Y$301, MATCH(ROUND(MIN(300,MAX(1,D1725)),0), FactorTable!$A$2:$A$301,0), Skills!M9+1)</f>
        <v/>
      </c>
      <c r="F1725">
        <f>IF(Skills!N9=TRUE,(Skills!L9/10)*(E1725/1000),Skills!L9/10)+Skills!O9</f>
        <v/>
      </c>
      <c r="G1725">
        <f>Skills!G9*IF(Skills!H9&gt;0,Skills!I9/Skills!H9,1)</f>
        <v/>
      </c>
      <c r="H1725">
        <f>1-(1-Skills!J9/100)^Skills!K9</f>
        <v/>
      </c>
      <c r="I1725" t="inlineStr">
        <is>
          <t>1</t>
        </is>
      </c>
      <c r="J1725">
        <f>((Inputs!$B$6*(1+Inputs!$B$7/100))+(((Inputs!$B$12*(1+Inputs!$B$13/100))-(Inputs!$B$12*(1+Inputs!$B$13/100)))+0.25*(Inputs!$B$14-Inputs!$B$14))*(1+Inputs!$B$7/100))*(F1725/100)</f>
        <v/>
      </c>
      <c r="K1725">
        <f>J1725*(1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1727=TRUE,F1727,0)/100)*(1+(IF(Skills!A9="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1725)</f>
        <v/>
      </c>
      <c r="L1725">
        <f>K1725*(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5">
        <f>L1725*(1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5">
        <f>L1725*(1-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1725*(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5">
        <f>(1-Summary!$B$11)*T1725+Summary!$B$11*V1725</f>
        <v/>
      </c>
      <c r="P1725">
        <f>IF(B1760=0,0,O1725/B1760)</f>
        <v/>
      </c>
      <c r="Q1725">
        <f>IFERROR(1/(IF(Inputs!$B$38="pvp",15,MAX(0.1,Skills!D9-IF(Skills!E9=TRUE,Inputs!$B$32,0)))*(1-IF(AND(ArtifactsInput!$M$27,Inputs!$B$4="Chapter Hunt"),CHOOSE(ArtifactsInput!$N$27+1,20,24,28,32,36,40),0)/100)),0)</f>
        <v/>
      </c>
      <c r="R1725">
        <f>IF(AND(Inputs!$B$38&lt;&gt;"pvp",Inputs!$B$43&gt;0),IF(MAX(0,Inputs!$B$43-B1757)&lt;=0,0,(INT(MAX(0,Inputs!$B$43-B1757)/(IF(Inputs!$B$38="pvp",15,MAX(0.1,Skills!D9-IF(Skills!E9=TRUE,Inputs!$B$32,0)))*(1-IF(AND(ArtifactsInput!$M$27,Inputs!$B$4="Chapter Hunt"),CHOOSE(ArtifactsInput!$N$27+1,20,24,28,32,36,40),0)/100)))+1)),0)</f>
        <v/>
      </c>
      <c r="S1725">
        <f>IFERROR(O1725/N1725,0)</f>
        <v/>
      </c>
      <c r="T1725">
        <f>IF(C1725,(H1725*N1725*IF(AND(Inputs!$B$38&lt;&gt;"pvp",Inputs!$B$43&gt;0),((Skills!G9*((R1725-1)*IF(Skills!H9&gt;0,Skills!I9/Skills!H9,1)+IF(Skills!H9&gt;0,MIN(Skills!I9,MAX(0,MAX(0,Inputs!$B$43-B1757)-((R1725-1)*(IF(Inputs!$B$38="pvp",15,MAX(0.1,Skills!D9-IF(Skills!E9=TRUE,Inputs!$B$32,0)))*(1-IF(AND(ArtifactsInput!$M$27,Inputs!$B$4="Chapter Hunt"),CHOOSE(ArtifactsInput!$N$27+1,20,24,28,32,36,40),0)/100)))))/Skills!H9,1)))/Inputs!$B$43),G1725*Q1725)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1725*(1-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1725*(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1725*(1-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1725*(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5">
        <f>IF(C1725,(H1725*N1725*IF(AND(Inputs!$B$38&lt;&gt;"pvp",Inputs!$B$43&gt;0),((Skills!G9*((R1725-1)*IF(Skills!H9&gt;0,Skills!I9/Skills!H9,1)+IF(Skills!H9&gt;0,MIN(Skills!I9,MAX(0,MAX(0,Inputs!$B$43-B1757)-((R1725-1)*(IF(Inputs!$B$38="pvp",15,MAX(0.1,Skills!D9-IF(Skills!E9=TRUE,Inputs!$B$32,0)))*(1-IF(AND(ArtifactsInput!$M$27,Inputs!$B$4="Chapter Hunt"),CHOOSE(ArtifactsInput!$N$27+1,20,24,28,32,36,40),0)/100)))))/Skills!H9,1)))/Inputs!$B$43),G1725*Q1725))*IF(Inputs!$B$38="pvp",1,(1+(Inputs!$B$21+Skills!Q9+(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6">
      <c r="A1726">
        <f>Skills!A10</f>
        <v/>
      </c>
      <c r="B1726">
        <f>Skills!B10</f>
        <v/>
      </c>
      <c r="C1726">
        <f>Inputs!$B$3&gt;=103</f>
        <v/>
      </c>
      <c r="D1726">
        <f>IF(Skills!C10=1,60+Inputs!$B$25+Inputs!$B$29,IF(Skills!C10=2,90+Inputs!$B$26+Inputs!$B$29,IF(Skills!C10=3,120+Inputs!$B$27+Inputs!$B$29,MAX(0,(Inputs!$B$3-100)*3)+Inputs!$B$28+Inputs!$B$29)))</f>
        <v/>
      </c>
      <c r="E1726">
        <f>INDEX(FactorTable!$B$2:$Y$301, MATCH(ROUND(MIN(300,MAX(1,D1726)),0), FactorTable!$A$2:$A$301,0), Skills!M10+1)</f>
        <v/>
      </c>
      <c r="F1726">
        <f>IF(Skills!N10=TRUE,(Skills!L10/10)*(E1726/1000),Skills!L10/10)+Skills!O10</f>
        <v/>
      </c>
      <c r="G1726">
        <f>Skills!G10*IF(Skills!H10&gt;0,Skills!I10/Skills!H10,1)</f>
        <v/>
      </c>
      <c r="H1726">
        <f>1-(1-Skills!J10/100)^Skills!K10</f>
        <v/>
      </c>
      <c r="I1726" t="inlineStr">
        <is>
          <t>1</t>
        </is>
      </c>
      <c r="J1726">
        <f>((Inputs!$B$6*(1+Inputs!$B$7/100))+(((Inputs!$B$12*(1+Inputs!$B$13/100))-(Inputs!$B$12*(1+Inputs!$B$13/100)))+0.25*(Inputs!$B$14-Inputs!$B$14))*(1+Inputs!$B$7/100))*(F1726/100)</f>
        <v/>
      </c>
      <c r="K1726">
        <f>J1726*(1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1726)</f>
        <v/>
      </c>
      <c r="L1726">
        <f>K1726*(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6">
        <f>L1726*(1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6">
        <f>L1726*(1-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1726*(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6">
        <f>(1-Summary!$B$11)*T1726+Summary!$B$11*V1726</f>
        <v/>
      </c>
      <c r="P1726">
        <f>IF(B1760=0,0,O1726/B1760)</f>
        <v/>
      </c>
      <c r="Q1726">
        <f>IFERROR(1/(IF(Inputs!$B$38="pvp",15,MAX(0.1,Skills!D10-IF(Skills!E10=TRUE,Inputs!$B$32,0)))*(1-IF(AND(ArtifactsInput!$M$27,Inputs!$B$4="Chapter Hunt"),CHOOSE(ArtifactsInput!$N$27+1,20,24,28,32,36,40),0)/100)),0)</f>
        <v/>
      </c>
      <c r="R1726">
        <f>IF(AND(Inputs!$B$38&lt;&gt;"pvp",Inputs!$B$43&gt;0),IF(MAX(0,Inputs!$B$43-B1757)&lt;=0,0,(INT(MAX(0,Inputs!$B$43-B1757)/(IF(Inputs!$B$38="pvp",15,MAX(0.1,Skills!D10-IF(Skills!E10=TRUE,Inputs!$B$32,0)))*(1-IF(AND(ArtifactsInput!$M$27,Inputs!$B$4="Chapter Hunt"),CHOOSE(ArtifactsInput!$N$27+1,20,24,28,32,36,40),0)/100)))+1)),0)</f>
        <v/>
      </c>
      <c r="S1726">
        <f>IFERROR(O1726/N1726,0)</f>
        <v/>
      </c>
      <c r="T1726">
        <f>IF(C1726,(H1726*N1726*IF(AND(Inputs!$B$38&lt;&gt;"pvp",Inputs!$B$43&gt;0),((Skills!G10*((R1726-1)*IF(Skills!H10&gt;0,Skills!I10/Skills!H10,1)+IF(Skills!H10&gt;0,MIN(Skills!I10,MAX(0,MAX(0,Inputs!$B$43-B1757)-((R1726-1)*(IF(Inputs!$B$38="pvp",15,MAX(0.1,Skills!D10-IF(Skills!E10=TRUE,Inputs!$B$32,0)))*(1-IF(AND(ArtifactsInput!$M$27,Inputs!$B$4="Chapter Hunt"),CHOOSE(ArtifactsInput!$N$27+1,20,24,28,32,36,40),0)/100)))))/Skills!H10,1)))/Inputs!$B$43),G1726*Q1726)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1726*(1-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1726*(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1726*(1-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1726*(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6">
        <f>IF(C1726,(H1726*N1726*IF(AND(Inputs!$B$38&lt;&gt;"pvp",Inputs!$B$43&gt;0),((Skills!G10*((R1726-1)*IF(Skills!H10&gt;0,Skills!I10/Skills!H10,1)+IF(Skills!H10&gt;0,MIN(Skills!I10,MAX(0,MAX(0,Inputs!$B$43-B1757)-((R1726-1)*(IF(Inputs!$B$38="pvp",15,MAX(0.1,Skills!D10-IF(Skills!E10=TRUE,Inputs!$B$32,0)))*(1-IF(AND(ArtifactsInput!$M$27,Inputs!$B$4="Chapter Hunt"),CHOOSE(ArtifactsInput!$N$27+1,20,24,28,32,36,40),0)/100)))))/Skills!H10,1)))/Inputs!$B$43),G1726*Q1726))*IF(Inputs!$B$38="pvp",1,(1+(Inputs!$B$21+Skills!Q10+(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7">
      <c r="A1727">
        <f>Skills!A11</f>
        <v/>
      </c>
      <c r="B1727">
        <f>Skills!B11</f>
        <v/>
      </c>
      <c r="C1727">
        <f>Inputs!$B$3&gt;=100</f>
        <v/>
      </c>
      <c r="D1727">
        <f>IF(Skills!C11=1,60+Inputs!$B$25+Inputs!$B$29,IF(Skills!C11=2,90+Inputs!$B$26+Inputs!$B$29,IF(Skills!C11=3,120+Inputs!$B$27+Inputs!$B$29,MAX(0,(Inputs!$B$3-100)*3)+Inputs!$B$28+Inputs!$B$29)))</f>
        <v/>
      </c>
      <c r="E1727">
        <f>INDEX(FactorTable!$B$2:$Y$301, MATCH(ROUND(MIN(300,MAX(1,D1727)),0), FactorTable!$A$2:$A$301,0), Skills!M11+1)</f>
        <v/>
      </c>
      <c r="F1727">
        <f>IF(Skills!N11=TRUE,(Skills!L11/10)*(E1727/1000),Skills!L11/10)+Skills!O11</f>
        <v/>
      </c>
      <c r="G1727" t="inlineStr"/>
      <c r="H1727" t="inlineStr"/>
      <c r="I1727" t="inlineStr">
        <is>
          <t>1</t>
        </is>
      </c>
      <c r="J1727" t="inlineStr"/>
      <c r="K1727" t="inlineStr"/>
      <c r="L1727" t="inlineStr"/>
      <c r="M1727" t="inlineStr"/>
      <c r="N1727" t="inlineStr"/>
      <c r="O1727" t="inlineStr"/>
      <c r="P1727" t="inlineStr"/>
      <c r="Q1727" t="inlineStr"/>
      <c r="R1727" t="inlineStr"/>
      <c r="S1727" t="inlineStr"/>
      <c r="T1727" t="inlineStr"/>
      <c r="V1727" t="inlineStr"/>
    </row>
    <row r="1728">
      <c r="A1728">
        <f>Skills!A12</f>
        <v/>
      </c>
      <c r="B1728">
        <f>Skills!B12</f>
        <v/>
      </c>
      <c r="C1728">
        <f>Inputs!$B$3&gt;=60</f>
        <v/>
      </c>
      <c r="D1728">
        <f>IF(Skills!C12=1,60+Inputs!$B$25+Inputs!$B$29,IF(Skills!C12=2,90+Inputs!$B$26+Inputs!$B$29,IF(Skills!C12=3,120+Inputs!$B$27+Inputs!$B$29,MAX(0,(Inputs!$B$3-100)*3)+Inputs!$B$28+Inputs!$B$29)))</f>
        <v/>
      </c>
      <c r="E1728">
        <f>INDEX(FactorTable!$B$2:$Y$301, MATCH(ROUND(MIN(300,MAX(1,D1728)),0), FactorTable!$A$2:$A$301,0), Skills!M12+1)</f>
        <v/>
      </c>
      <c r="F1728">
        <f>IF(Skills!N12=TRUE,(Skills!L12/10)*(E1728/1000),Skills!L12/10)+Skills!O12</f>
        <v/>
      </c>
      <c r="G1728">
        <f>Skills!G12*IF(Skills!H12&gt;0,Skills!I12/Skills!H12,1)</f>
        <v/>
      </c>
      <c r="H1728">
        <f>1-(1-Skills!J12/100)^Skills!K12</f>
        <v/>
      </c>
      <c r="I1728" t="inlineStr">
        <is>
          <t>1</t>
        </is>
      </c>
      <c r="J1728">
        <f>((Inputs!$B$6*(1+Inputs!$B$7/100))+(((Inputs!$B$12*(1+Inputs!$B$13/100))-(Inputs!$B$12*(1+Inputs!$B$13/100)))+0.25*(Inputs!$B$14-Inputs!$B$14))*(1+Inputs!$B$7/100))*(F1728/100)</f>
        <v/>
      </c>
      <c r="K1728">
        <f>J1728*(1+((Inputs!$B$12*(1+Inputs!$B$13/100))*0.01+Inputs!$B$14*0.0025)/100)*(1+Inputs!$B$15/100)*(1+Inputs!$B$16/100)*(5000/(6000+Inputs!$B$42*(1-(100*(1-(1-(Inputs!$B$19+((C1744=TRUE)*(F1744-Calc!F28)))/100)*(1-CHOOSE(ArtifactsInput!$N$40+1,5,6,7,8,9,10)/100)^(ArtifactsInput!$M$40-ArtifactsInput!$M$40)))/100)))*(1+(Inputs!$B$24+((C1742=TRUE)*(F1742-Calc!F26))+((C1743=TRUE)*(F1743-Calc!F27))+B1756)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1729=TRUE,F1729,0)/100)*(1+(IF(Skills!A12="ARROW_STREAM",Inputs!$B$17+((C1740=TRUE)*(F1740-Calc!F24))+(((IF(AND(ArtifactsInput!$M$42,((Inputs!$B$9+((C1737=TRUE)*(F1737-Calc!F21))+B1750+(ArtifactsInput!$M$24-ArtifactsInput!$M$24)*CHOOSE(ArtifactsInput!$N$24+1,10,12,14,16,18,20)+IF(ArtifactsInput!$M$10,CHOOSE(ArtifactsInput!$N$10+1,15,18,21,24,27,30)*(IF(Inputs!$B$38="pvp",MIN(15,15)/15,IF(AND(Inputs!$B$38&lt;&gt;"pvp",Inputs!$B$43&gt;0),MIN(15,Inputs!$B$43)/(Inputs!$B$43),0))),0)))&gt;=100),MIN(100,((Inputs!$B$9+((C1737=TRUE)*(F1737-Calc!F21))+B1750+(ArtifactsInput!$M$24-ArtifactsInput!$M$24)*CHOOSE(ArtifactsInput!$N$24+1,10,12,14,16,18,20)+IF(ArtifactsInput!$M$10,CHOOSE(ArtifactsInput!$N$10+1,15,18,21,24,27,30)*(IF(Inputs!$B$38="pvp",MIN(15,15)/15,IF(AND(Inputs!$B$38&lt;&gt;"pvp",Inputs!$B$43&gt;0),MIN(15,Inputs!$B$43)/(Inputs!$B$43),0))),0)))-100),0))*CHOOSE(ArtifactsInput!$N$42+1,0.6,0.72,0.84,0.96,1.08,1.2))),Inputs!$B$18+((C1745=TRUE)*(F1745-Calc!F29))+(IF(AND(ArtifactsInput!$M$42,((Inputs!$B$9+((C1737=TRUE)*(F1737-Calc!F21))+B1750+(ArtifactsInput!$M$24-ArtifactsInput!$M$24)*CHOOSE(ArtifactsInput!$N$24+1,10,12,14,16,18,20)+IF(ArtifactsInput!$M$10,CHOOSE(ArtifactsInput!$N$10+1,15,18,21,24,27,30)*(IF(Inputs!$B$38="pvp",MIN(15,15)/15,IF(AND(Inputs!$B$38&lt;&gt;"pvp",Inputs!$B$43&gt;0),MIN(15,Inputs!$B$43)/(Inputs!$B$43),0))),0)))&gt;=100),CHOOSE(ArtifactsInput!$N$42+1,40,48,56,64,72,80),0))))/100)*((1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1728)</f>
        <v/>
      </c>
      <c r="L1728">
        <f>K1728*(MIN(Inputs!$B$22+((C1741=TRUE)*(F1741-Calc!F25)),(Inputs!$B$23+((C1746=TRUE)*(F1746-Calc!F30))+((IF(IF(ArtifactsInput!$M$15,FALSE,TRUE),1,-1)*CHOOSE(ArtifactsInput!$N$15+1,25,30,35,40,45,50)/100*IF(IF(ArtifactsInput!$M$15,FALSE,TRUE),(Inputs!$B$11+((C1738=TRUE)*(F1738-Calc!F22))+((C1739=TRUE)*(F1739-Calc!F23))+(IF(ArtifactsInput!$M$15,FALSE,TRUE)-ArtifactsInput!$M$15)*CHOOSE(ArtifactsInput!$N$15+1,8,9.6,11.2,12.8,14.4,16)),Inputs!$B$11)))))/100+(Inputs!$B$23+((C1746=TRUE)*(F1746-Calc!F30))+((IF(IF(ArtifactsInput!$M$15,FALSE,TRUE),1,-1)*CHOOSE(ArtifactsInput!$N$15+1,25,30,35,40,45,50)/100*IF(IF(ArtifactsInput!$M$15,FALSE,TRUE),(Inputs!$B$11+((C1738=TRUE)*(F1738-Calc!F22))+((C1739=TRUE)*(F1739-Calc!F23))+(IF(ArtifactsInput!$M$15,FALSE,TRUE)-ArtifactsInput!$M$15)*CHOOSE(ArtifactsInput!$N$15+1,8,9.6,11.2,12.8,14.4,16)),Inputs!$B$11))))/100)/2</f>
        <v/>
      </c>
      <c r="M1728">
        <f>L1728*(1+(Inputs!$B$10+0+B1755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8">
        <f>L1728*(1-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1728*(MIN((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8">
        <f>(1-Summary!$B$11)*T1728+Summary!$B$11*V1728</f>
        <v/>
      </c>
      <c r="P1728">
        <f>IF(B1760=0,0,O1728/B1760)</f>
        <v/>
      </c>
      <c r="Q1728">
        <f>IFERROR(1/(IF(Inputs!$B$38="pvp",15,MAX(0.1,Skills!D12-IF(Skills!E12=TRUE,Inputs!$B$32,0)))*(1-IF(AND(ArtifactsInput!$M$27,Inputs!$B$4="Chapter Hunt"),CHOOSE(ArtifactsInput!$N$27+1,20,24,28,32,36,40),0)/100)),0)</f>
        <v/>
      </c>
      <c r="R1728">
        <f>IF(AND(Inputs!$B$38&lt;&gt;"pvp",Inputs!$B$43&gt;0),IF(MAX(0,Inputs!$B$43-B1757)&lt;=0,0,(INT(MAX(0,Inputs!$B$43-B1757)/(IF(Inputs!$B$38="pvp",15,MAX(0.1,Skills!D12-IF(Skills!E12=TRUE,Inputs!$B$32,0)))*(1-IF(AND(ArtifactsInput!$M$27,Inputs!$B$4="Chapter Hunt"),CHOOSE(ArtifactsInput!$N$27+1,20,24,28,32,36,40),0)/100)))+1)),0)</f>
        <v/>
      </c>
      <c r="S1728">
        <f>IFERROR(O1728/N1728,0)</f>
        <v/>
      </c>
      <c r="T1728">
        <f>IF(C1728,(H1728*N1728*IF(AND(Inputs!$B$38&lt;&gt;"pvp",Inputs!$B$43&gt;0),((Skills!G12*((R1728-1)*IF(Skills!H12&gt;0,Skills!I12/Skills!H12,1)+IF(Skills!H12&gt;0,MIN(Skills!I12,MAX(0,MAX(0,Inputs!$B$43-B1757)-((R1728-1)*(IF(Inputs!$B$38="pvp",15,MAX(0.1,Skills!D12-IF(Skills!E12=TRUE,Inputs!$B$32,0)))*(1-IF(AND(ArtifactsInput!$M$27,Inputs!$B$4="Chapter Hunt"),CHOOSE(ArtifactsInput!$N$27+1,20,24,28,32,36,40),0)/100)))))/Skills!H12,1)))/Inputs!$B$43),G1728*Q1728))*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(5000/(6000+Inputs!$B$42*(1-(100*(1-(1-(100*(1-(1-(Inputs!$B$19+((C1744=TRUE)*(F1744-Calc!F28)))/100)*(1-CHOOSE(ArtifactsInput!$N$40+1,5,6,7,8,9,10)/100)^(ArtifactsInput!$M$40-ArtifactsInput!$M$40)))/100)*(1-IF(ArtifactsInput!$M$40,CHOOSE(ArtifactsInput!$N$40+1,5,6,7,8,9,10),0)/100)^IF(Inputs!$B$38="pvp",1,2)))/100)))/(5000/(6000+Inputs!$B$42*(1-(100*(1-(1-(Inputs!$B$19+((C1744=TRUE)*(F1744-Calc!F28)))/100)*(1-CHOOSE(ArtifactsInput!$N$40+1,5,6,7,8,9,10)/100)^(ArtifactsInput!$M$40-ArtifactsInput!$M$40)))/100))))*((L1728*(1-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1728*(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1728*(1-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1728*(MIN(100,(Inputs!$B$9+((C1737=TRUE)*(F1737-Calc!F21))+B1750+(ArtifactsInput!$M$24-ArtifactsInput!$M$24)*CHOOSE(ArtifactsInput!$N$24+1,10,12,14,16,18,20)+(IF(AND(ArtifactsInput!$M$42,((Inputs!$B$9+((C1737=TRUE)*(F1737-Calc!F21))+B1750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8">
        <f>IF(C1728,(H1728*N1728*IF(AND(Inputs!$B$38&lt;&gt;"pvp",Inputs!$B$43&gt;0),((Skills!G12*((R1728-1)*IF(Skills!H12&gt;0,Skills!I12/Skills!H12,1)+IF(Skills!H12&gt;0,MIN(Skills!I12,MAX(0,MAX(0,Inputs!$B$43-B1757)-((R1728-1)*(IF(Inputs!$B$38="pvp",15,MAX(0.1,Skills!D12-IF(Skills!E12=TRUE,Inputs!$B$32,0)))*(1-IF(AND(ArtifactsInput!$M$27,Inputs!$B$4="Chapter Hunt"),CHOOSE(ArtifactsInput!$N$27+1,20,24,28,32,36,40),0)/100)))))/Skills!H12,1)))/Inputs!$B$43),G1728*Q1728))*IF(Inputs!$B$38="pvp",1,(1+(Inputs!$B$21+Skills!Q12+(IF(ArtifactsInput!$M$33,CHOOSE(ArtifactsInput!$N$33+1,30,36,42,48,54,60),0))+(IF(AND(ArtifactsInput!$M$35,Inputs!$B$4&lt;&gt;"Chapter Hunt"),CHOOSE(ArtifactsInput!$N$35+1,15,18,21,24,27,30)*(1-EXP(-(0.2*B1752)*5)),0)+IF(AND(ArtifactsInput!$M$22,Inputs!$B$4&lt;&gt;"Chapter Hunt"),CHOOSE(ArtifactsInput!$N$22+1,10,12,14,16,18,20)*((0*(((0.15*B1752*5))^0/1)+1*(((0.15*B1752*5))^1/1)+2*(((0.15*B1752*5))^2/2)+3*(((0.15*B1752*5))^3/6)+4*(((0.15*B1752*5))^4/24)+5*(((0.15*B1752*5))^5/120))/((((0.15*B1752*5))^0/1)+(((0.15*B1752*5))^1/1)+(((0.15*B1752*5))^2/2)+(((0.15*B1752*5))^3/6)+(((0.15*B1752*5))^4/24)+(((0.15*B1752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9">
      <c r="A1729">
        <f>Skills!A13</f>
        <v/>
      </c>
      <c r="B1729">
        <f>Skills!B13</f>
        <v/>
      </c>
      <c r="C1729">
        <f>Inputs!$B$3&gt;=110</f>
        <v/>
      </c>
      <c r="D1729">
        <f>IF(Skills!C13=1,60+Inputs!$B$25+Inputs!$B$29,IF(Skills!C13=2,90+Inputs!$B$26+Inputs!$B$29,IF(Skills!C13=3,120+Inputs!$B$27+Inputs!$B$29,MAX(0,(Inputs!$B$3-100)*3)+Inputs!$B$28+Inputs!$B$29)))</f>
        <v/>
      </c>
      <c r="E1729">
        <f>INDEX(FactorTable!$B$2:$Y$301, MATCH(ROUND(MIN(300,MAX(1,D1729)),0), FactorTable!$A$2:$A$301,0), Skills!M13+1)</f>
        <v/>
      </c>
      <c r="F1729">
        <f>IF(Skills!N13=TRUE,(Skills!L13/10)*(E1729/1000),Skills!L13/10)+Skills!O13</f>
        <v/>
      </c>
      <c r="G1729" t="inlineStr"/>
      <c r="H1729" t="inlineStr"/>
      <c r="I1729" t="inlineStr">
        <is>
          <t>1</t>
        </is>
      </c>
      <c r="J1729" t="inlineStr"/>
      <c r="K1729" t="inlineStr"/>
      <c r="L1729" t="inlineStr"/>
      <c r="M1729" t="inlineStr"/>
      <c r="N1729" t="inlineStr"/>
      <c r="O1729" t="inlineStr"/>
      <c r="P1729" t="inlineStr"/>
      <c r="Q1729" t="inlineStr"/>
      <c r="R1729" t="inlineStr"/>
      <c r="S1729" t="inlineStr"/>
      <c r="T1729" t="inlineStr"/>
      <c r="V1729" t="inlineStr"/>
    </row>
    <row r="1730">
      <c r="A1730">
        <f>Skills!A14</f>
        <v/>
      </c>
      <c r="B1730">
        <f>Skills!B14</f>
        <v/>
      </c>
      <c r="C1730">
        <f>Inputs!$B$3&gt;=74</f>
        <v/>
      </c>
      <c r="D1730">
        <f>IF(Skills!C14=1,60+Inputs!$B$25+Inputs!$B$29,IF(Skills!C14=2,90+Inputs!$B$26+Inputs!$B$29,IF(Skills!C14=3,120+Inputs!$B$27+Inputs!$B$29,MAX(0,(Inputs!$B$3-100)*3)+Inputs!$B$28+Inputs!$B$29)))</f>
        <v/>
      </c>
      <c r="E1730">
        <f>INDEX(FactorTable!$B$2:$Y$301, MATCH(ROUND(MIN(300,MAX(1,D1730)),0), FactorTable!$A$2:$A$301,0), Skills!M14+1)</f>
        <v/>
      </c>
      <c r="F1730">
        <f>IF(Skills!N14=TRUE,(Skills!L14/10)*(E1730/1000),Skills!L14/10)+Skills!O14</f>
        <v/>
      </c>
      <c r="G1730">
        <f>Skills!G14*IF(Skills!H14&gt;0,Skills!I14/Skills!H14,1)</f>
        <v/>
      </c>
      <c r="H1730">
        <f>1-(1-Skills!J14/100)^Skills!K14</f>
        <v/>
      </c>
      <c r="I1730" t="inlineStr">
        <is>
          <t>1</t>
        </is>
      </c>
      <c r="J1730" t="inlineStr"/>
      <c r="K1730" t="inlineStr"/>
      <c r="L1730" t="inlineStr"/>
      <c r="M1730" t="inlineStr"/>
      <c r="N1730" t="inlineStr"/>
      <c r="O1730">
        <f>(1-Summary!$B$11)*T1730+Summary!$B$11*V1730</f>
        <v/>
      </c>
      <c r="P1730">
        <f>IF(B1760=0,0,O1730/B1760)</f>
        <v/>
      </c>
      <c r="Q1730" t="n">
        <v>0</v>
      </c>
      <c r="R1730" t="n">
        <v>0</v>
      </c>
      <c r="S1730">
        <f>IFERROR(O1730/N1730,0)</f>
        <v/>
      </c>
      <c r="T1730" t="n">
        <v>0</v>
      </c>
      <c r="V1730" t="n">
        <v>0</v>
      </c>
    </row>
    <row r="1731">
      <c r="A1731">
        <f>Skills!A15</f>
        <v/>
      </c>
      <c r="B1731">
        <f>Skills!B15</f>
        <v/>
      </c>
      <c r="C1731">
        <f>Inputs!$B$3&gt;=74</f>
        <v/>
      </c>
      <c r="D1731">
        <f>IF(Skills!C15=1,60+Inputs!$B$25+Inputs!$B$29,IF(Skills!C15=2,90+Inputs!$B$26+Inputs!$B$29,IF(Skills!C15=3,120+Inputs!$B$27+Inputs!$B$29,MAX(0,(Inputs!$B$3-100)*3)+Inputs!$B$28+Inputs!$B$29)))</f>
        <v/>
      </c>
      <c r="E1731">
        <f>INDEX(FactorTable!$B$2:$Y$301, MATCH(ROUND(MIN(300,MAX(1,D1731)),0), FactorTable!$A$2:$A$301,0), Skills!M15+1)</f>
        <v/>
      </c>
      <c r="F1731">
        <f>IF(Skills!N15=TRUE,(Skills!L15/10)*(E1731/1000),Skills!L15/10)+Skills!O15</f>
        <v/>
      </c>
      <c r="G1731">
        <f>Skills!G15*IF(Skills!H15&gt;0,Skills!I15/Skills!H15,1)</f>
        <v/>
      </c>
      <c r="H1731">
        <f>1-(1-Skills!J15/100)^Skills!K15</f>
        <v/>
      </c>
      <c r="I1731" t="inlineStr">
        <is>
          <t>1</t>
        </is>
      </c>
      <c r="J1731" t="inlineStr"/>
      <c r="K1731" t="inlineStr"/>
      <c r="L1731" t="inlineStr"/>
      <c r="M1731" t="inlineStr"/>
      <c r="N1731" t="inlineStr"/>
      <c r="O1731">
        <f>(1-Summary!$B$11)*T1731+Summary!$B$11*V1731</f>
        <v/>
      </c>
      <c r="P1731">
        <f>IF(B1760=0,0,O1731/B1760)</f>
        <v/>
      </c>
      <c r="Q1731" t="n">
        <v>0</v>
      </c>
      <c r="R1731" t="n">
        <v>0</v>
      </c>
      <c r="S1731">
        <f>IFERROR(O1731/N1731,0)</f>
        <v/>
      </c>
      <c r="T1731" t="n">
        <v>0</v>
      </c>
      <c r="V1731" t="n">
        <v>0</v>
      </c>
    </row>
    <row r="1732">
      <c r="A1732">
        <f>Skills!A16</f>
        <v/>
      </c>
      <c r="B1732">
        <f>Skills!B16</f>
        <v/>
      </c>
      <c r="C1732">
        <f>Inputs!$B$3&gt;=117</f>
        <v/>
      </c>
      <c r="D1732">
        <f>IF(Skills!C16=1,60+Inputs!$B$25+Inputs!$B$29,IF(Skills!C16=2,90+Inputs!$B$26+Inputs!$B$29,IF(Skills!C16=3,120+Inputs!$B$27+Inputs!$B$29,MAX(0,(Inputs!$B$3-100)*3)+Inputs!$B$28+Inputs!$B$29)))</f>
        <v/>
      </c>
      <c r="E1732">
        <f>INDEX(FactorTable!$B$2:$Y$301, MATCH(ROUND(MIN(300,MAX(1,D1732)),0), FactorTable!$A$2:$A$301,0), Skills!M16+1)</f>
        <v/>
      </c>
      <c r="F1732">
        <f>IF(Skills!N16=TRUE,(Skills!L16/10)*(E1732/1000),Skills!L16/10)+Skills!O16</f>
        <v/>
      </c>
      <c r="G1732">
        <f>Skills!G16*IF(Skills!H16&gt;0,Skills!I16/Skills!H16,1)</f>
        <v/>
      </c>
      <c r="H1732">
        <f>1-(1-Skills!J16/100)^Skills!K16</f>
        <v/>
      </c>
      <c r="I1732" t="inlineStr">
        <is>
          <t>1</t>
        </is>
      </c>
      <c r="J1732" t="inlineStr"/>
      <c r="K1732" t="inlineStr"/>
      <c r="L1732" t="inlineStr"/>
      <c r="M1732" t="inlineStr"/>
      <c r="N1732" t="inlineStr"/>
      <c r="O1732">
        <f>(1-Summary!$B$11)*T1732+Summary!$B$11*V1732</f>
        <v/>
      </c>
      <c r="P1732">
        <f>IF(B1760=0,0,O1732/B1760)</f>
        <v/>
      </c>
      <c r="Q1732">
        <f>IFERROR(1/(IF(Inputs!$B$38="pvp",15,MAX(0.1,Skills!D16-IF(Skills!E16=TRUE,Inputs!$B$32,0)))*(1-IF(AND(ArtifactsInput!$M$27,Inputs!$B$4="Chapter Hunt"),CHOOSE(ArtifactsInput!$N$27+1,20,24,28,32,36,40),0)/100)),0)</f>
        <v/>
      </c>
      <c r="R1732">
        <f>IF(AND(Inputs!$B$38&lt;&gt;"pvp",Inputs!$B$43&gt;0),IF(Inputs!$B$43&lt;=0,0,(INT(Inputs!$B$43/(IF(Inputs!$B$38="pvp",15,MAX(0.1,Skills!D16-IF(Skills!E16=TRUE,Inputs!$B$32,0)))*(1-IF(AND(ArtifactsInput!$M$27,Inputs!$B$4="Chapter Hunt"),CHOOSE(ArtifactsInput!$N$27+1,20,24,28,32,36,40),0)/100)))+1)),0)</f>
        <v/>
      </c>
      <c r="S1732">
        <f>IFERROR(O1732/N1732,0)</f>
        <v/>
      </c>
      <c r="T1732" t="n">
        <v>0</v>
      </c>
      <c r="V1732" t="n">
        <v>0</v>
      </c>
    </row>
    <row r="1733">
      <c r="A1733">
        <f>Skills!A17</f>
        <v/>
      </c>
      <c r="B1733">
        <f>Skills!B17</f>
        <v/>
      </c>
      <c r="C1733">
        <f>Inputs!$B$3&gt;=115</f>
        <v/>
      </c>
      <c r="D1733">
        <f>IF(Skills!C17=1,60+Inputs!$B$25+Inputs!$B$29,IF(Skills!C17=2,90+Inputs!$B$26+Inputs!$B$29,IF(Skills!C17=3,120+Inputs!$B$27+Inputs!$B$29,MAX(0,(Inputs!$B$3-100)*3)+Inputs!$B$28+Inputs!$B$29)))</f>
        <v/>
      </c>
      <c r="E1733">
        <f>INDEX(FactorTable!$B$2:$Y$301, MATCH(ROUND(MIN(300,MAX(1,D1733)),0), FactorTable!$A$2:$A$301,0), Skills!M17+1)</f>
        <v/>
      </c>
      <c r="F1733">
        <f>IF(Skills!N17=TRUE,(Skills!L17/10)*(E1733/1000),Skills!L17/10)+Skills!O17</f>
        <v/>
      </c>
      <c r="G1733">
        <f>Skills!G17*IF(Skills!H17&gt;0,Skills!I17/Skills!H17,1)</f>
        <v/>
      </c>
      <c r="H1733">
        <f>1-(1-Skills!J17/100)^Skills!K17</f>
        <v/>
      </c>
      <c r="I1733" t="inlineStr">
        <is>
          <t>1</t>
        </is>
      </c>
      <c r="J1733" t="inlineStr"/>
      <c r="K1733" t="inlineStr"/>
      <c r="L1733" t="inlineStr"/>
      <c r="M1733" t="inlineStr"/>
      <c r="N1733" t="inlineStr"/>
      <c r="O1733">
        <f>(1-Summary!$B$11)*T1733+Summary!$B$11*V1733</f>
        <v/>
      </c>
      <c r="P1733">
        <f>IF(B1760=0,0,O1733/B1760)</f>
        <v/>
      </c>
      <c r="Q1733">
        <f>IFERROR(1/(IF(Inputs!$B$38="pvp",15,MAX(0.1,Skills!D17-IF(Skills!E17=TRUE,Inputs!$B$32,0)))*(1-IF(AND(ArtifactsInput!$M$27,Inputs!$B$4="Chapter Hunt"),CHOOSE(ArtifactsInput!$N$27+1,20,24,28,32,36,40),0)/100)),0)</f>
        <v/>
      </c>
      <c r="R1733">
        <f>IF(AND(Inputs!$B$38&lt;&gt;"pvp",Inputs!$B$43&gt;0),IF(Inputs!$B$43&lt;=0,0,(INT(Inputs!$B$43/(IF(Inputs!$B$38="pvp",15,MAX(0.1,Skills!D17-IF(Skills!E17=TRUE,Inputs!$B$32,0)))*(1-IF(AND(ArtifactsInput!$M$27,Inputs!$B$4="Chapter Hunt"),CHOOSE(ArtifactsInput!$N$27+1,20,24,28,32,36,40),0)/100)))+1)),0)</f>
        <v/>
      </c>
      <c r="S1733">
        <f>IFERROR(O1733/N1733,0)</f>
        <v/>
      </c>
      <c r="T1733" t="n">
        <v>0</v>
      </c>
      <c r="V1733" t="n">
        <v>0</v>
      </c>
    </row>
    <row r="1734">
      <c r="A1734">
        <f>Skills!A18</f>
        <v/>
      </c>
      <c r="B1734">
        <f>Skills!B18</f>
        <v/>
      </c>
      <c r="C1734">
        <f>Inputs!$B$3&gt;=66</f>
        <v/>
      </c>
      <c r="D1734">
        <f>IF(Skills!C18=1,60+Inputs!$B$25+Inputs!$B$29,IF(Skills!C18=2,90+Inputs!$B$26+Inputs!$B$29,IF(Skills!C18=3,120+Inputs!$B$27+Inputs!$B$29,MAX(0,(Inputs!$B$3-100)*3)+Inputs!$B$28+Inputs!$B$29)))</f>
        <v/>
      </c>
      <c r="E1734">
        <f>INDEX(FactorTable!$B$2:$Y$301, MATCH(ROUND(MIN(300,MAX(1,D1734)),0), FactorTable!$A$2:$A$301,0), Skills!M18+1)</f>
        <v/>
      </c>
      <c r="F1734">
        <f>IF(Skills!N18=TRUE,(Skills!L18/10)*(E1734/1000),Skills!L18/10)+Skills!O18</f>
        <v/>
      </c>
      <c r="G1734">
        <f>Skills!G18*IF(Skills!H18&gt;0,Skills!I18/Skills!H18,1)</f>
        <v/>
      </c>
      <c r="H1734">
        <f>1-(1-Skills!J18/100)^Skills!K18</f>
        <v/>
      </c>
      <c r="I1734" t="inlineStr">
        <is>
          <t>1</t>
        </is>
      </c>
      <c r="J1734" t="inlineStr"/>
      <c r="K1734" t="inlineStr"/>
      <c r="L1734" t="inlineStr"/>
      <c r="M1734" t="inlineStr"/>
      <c r="N1734" t="inlineStr"/>
      <c r="O1734">
        <f>(1-Summary!$B$11)*T1734+Summary!$B$11*V1734</f>
        <v/>
      </c>
      <c r="P1734">
        <f>IF(B1760=0,0,O1734/B1760)</f>
        <v/>
      </c>
      <c r="Q1734" t="n">
        <v>0</v>
      </c>
      <c r="R1734" t="n">
        <v>0</v>
      </c>
      <c r="S1734">
        <f>IFERROR(O1734/N1734,0)</f>
        <v/>
      </c>
      <c r="T1734" t="n">
        <v>0</v>
      </c>
      <c r="V1734" t="n">
        <v>0</v>
      </c>
    </row>
    <row r="1735">
      <c r="A1735">
        <f>Skills!A19</f>
        <v/>
      </c>
      <c r="B1735">
        <f>Skills!B19</f>
        <v/>
      </c>
      <c r="C1735">
        <f>Inputs!$B$3&gt;=72</f>
        <v/>
      </c>
      <c r="D1735">
        <f>IF(Skills!C19=1,60+Inputs!$B$25+Inputs!$B$29,IF(Skills!C19=2,90+Inputs!$B$26+Inputs!$B$29,IF(Skills!C19=3,120+Inputs!$B$27+Inputs!$B$29,MAX(0,(Inputs!$B$3-100)*3)+Inputs!$B$28+Inputs!$B$29)))</f>
        <v/>
      </c>
      <c r="E1735">
        <f>INDEX(FactorTable!$B$2:$Y$301, MATCH(ROUND(MIN(300,MAX(1,D1735)),0), FactorTable!$A$2:$A$301,0), Skills!M19+1)</f>
        <v/>
      </c>
      <c r="F1735">
        <f>IF(Skills!N19=TRUE,(Skills!L19/10)*(E1735/1000),Skills!L19/10)+Skills!O19</f>
        <v/>
      </c>
      <c r="G1735">
        <f>Skills!G19*IF(Skills!H19&gt;0,Skills!I19/Skills!H19,1)</f>
        <v/>
      </c>
      <c r="H1735">
        <f>1-(1-Skills!J19/100)^Skills!K19</f>
        <v/>
      </c>
      <c r="I1735" t="inlineStr">
        <is>
          <t>1</t>
        </is>
      </c>
      <c r="J1735" t="inlineStr"/>
      <c r="K1735" t="inlineStr"/>
      <c r="L1735" t="inlineStr"/>
      <c r="M1735" t="inlineStr"/>
      <c r="N1735" t="inlineStr"/>
      <c r="O1735">
        <f>(1-Summary!$B$11)*T1735+Summary!$B$11*V1735</f>
        <v/>
      </c>
      <c r="P1735">
        <f>IF(B1760=0,0,O1735/B1760)</f>
        <v/>
      </c>
      <c r="Q1735" t="n">
        <v>0</v>
      </c>
      <c r="R1735" t="n">
        <v>0</v>
      </c>
      <c r="S1735">
        <f>IFERROR(O1735/N1735,0)</f>
        <v/>
      </c>
      <c r="T1735" t="n">
        <v>0</v>
      </c>
      <c r="V1735" t="n">
        <v>0</v>
      </c>
    </row>
    <row r="1736">
      <c r="A1736">
        <f>Skills!A20</f>
        <v/>
      </c>
      <c r="B1736">
        <f>Skills!B20</f>
        <v/>
      </c>
      <c r="C1736">
        <f>TRUE</f>
        <v/>
      </c>
      <c r="D1736">
        <f>IF(Skills!C20=1,60+Inputs!$B$25+Inputs!$B$29,IF(Skills!C20=2,90+Inputs!$B$26+Inputs!$B$29,IF(Skills!C20=3,120+Inputs!$B$27+Inputs!$B$29,MAX(0,(Inputs!$B$3-100)*3)+Inputs!$B$28+Inputs!$B$29)))</f>
        <v/>
      </c>
      <c r="E1736">
        <f>INDEX(FactorTable!$B$2:$Y$301, MATCH(ROUND(MIN(300,MAX(1,D1736)),0), FactorTable!$A$2:$A$301,0), Skills!M20+1)</f>
        <v/>
      </c>
      <c r="F1736">
        <f>IF(Skills!N20=TRUE,(Skills!L20/10)*(E1736/1000),Skills!L20/10)+Skills!O20</f>
        <v/>
      </c>
      <c r="G1736">
        <f>Skills!G20*IF(Skills!H20&gt;0,Skills!I20/Skills!H20,1)</f>
        <v/>
      </c>
      <c r="H1736">
        <f>1-(1-Skills!J20/100)^Skills!K20</f>
        <v/>
      </c>
      <c r="I1736" t="inlineStr">
        <is>
          <t>1</t>
        </is>
      </c>
      <c r="J1736" t="inlineStr"/>
      <c r="K1736" t="inlineStr"/>
      <c r="L1736" t="inlineStr"/>
      <c r="M1736" t="inlineStr"/>
      <c r="N1736" t="inlineStr"/>
      <c r="O1736">
        <f>(1-Summary!$B$11)*T1736+Summary!$B$11*V1736</f>
        <v/>
      </c>
      <c r="P1736">
        <f>IF(B1760=0,0,O1736/B1760)</f>
        <v/>
      </c>
      <c r="Q1736">
        <f>IFERROR(1/(IF(Inputs!$B$38="pvp",15,MAX(0.1,Skills!D20-IF(Skills!E20=TRUE,Inputs!$B$32,0)))*(1-IF(AND(ArtifactsInput!$M$27,Inputs!$B$4="Chapter Hunt"),CHOOSE(ArtifactsInput!$N$27+1,20,24,28,32,36,40),0)/100)),0)</f>
        <v/>
      </c>
      <c r="R1736">
        <f>IF(AND(Inputs!$B$38&lt;&gt;"pvp",Inputs!$B$43&gt;0),IF(Inputs!$B$43&lt;=0,0,(INT(Inputs!$B$43/(IF(Inputs!$B$38="pvp",15,MAX(0.1,Skills!D20-IF(Skills!E20=TRUE,Inputs!$B$32,0)))*(1-IF(AND(ArtifactsInput!$M$27,Inputs!$B$4="Chapter Hunt"),CHOOSE(ArtifactsInput!$N$27+1,20,24,28,32,36,40),0)/100)))+1)),0)</f>
        <v/>
      </c>
      <c r="S1736">
        <f>IFERROR(O1736/N1736,0)</f>
        <v/>
      </c>
      <c r="T1736" t="n">
        <v>0</v>
      </c>
      <c r="V1736" t="n">
        <v>0</v>
      </c>
    </row>
    <row r="1737">
      <c r="A1737">
        <f>Skills!A21</f>
        <v/>
      </c>
      <c r="B1737">
        <f>Skills!B21</f>
        <v/>
      </c>
      <c r="C1737">
        <f>Inputs!$B$3&gt;=15</f>
        <v/>
      </c>
      <c r="D1737">
        <f>IF(Skills!C21=1,60+Inputs!$B$25+Inputs!$B$29,IF(Skills!C21=2,90+Inputs!$B$26+Inputs!$B$29,IF(Skills!C21=3,120+Inputs!$B$27+Inputs!$B$29,MAX(0,(Inputs!$B$3-100)*3)+Inputs!$B$28+Inputs!$B$29)))</f>
        <v/>
      </c>
      <c r="E1737">
        <f>INDEX(FactorTable!$B$2:$Y$301, MATCH(ROUND(MIN(300,MAX(1,D1737)),0), FactorTable!$A$2:$A$301,0), Skills!M21+1)</f>
        <v/>
      </c>
      <c r="F1737">
        <f>IF(Skills!N21=TRUE,(Skills!L21/10)*(E1737/1000),Skills!L21/10)+Skills!O21</f>
        <v/>
      </c>
      <c r="G1737">
        <f>Skills!G21*IF(Skills!H21&gt;0,Skills!I21/Skills!H21,1)</f>
        <v/>
      </c>
      <c r="H1737">
        <f>1-(1-Skills!J21/100)^Skills!K21</f>
        <v/>
      </c>
      <c r="I1737" t="inlineStr">
        <is>
          <t>1</t>
        </is>
      </c>
      <c r="J1737" t="inlineStr"/>
      <c r="K1737" t="inlineStr"/>
      <c r="L1737" t="inlineStr"/>
      <c r="M1737" t="inlineStr"/>
      <c r="N1737" t="inlineStr"/>
      <c r="O1737">
        <f>(1-Summary!$B$11)*T1737+Summary!$B$11*V1737</f>
        <v/>
      </c>
      <c r="P1737">
        <f>IF(B1760=0,0,O1737/B1760)</f>
        <v/>
      </c>
      <c r="Q1737" t="n">
        <v>0</v>
      </c>
      <c r="R1737" t="n">
        <v>0</v>
      </c>
      <c r="S1737">
        <f>IFERROR(O1737/N1737,0)</f>
        <v/>
      </c>
      <c r="T1737" t="n">
        <v>0</v>
      </c>
      <c r="V1737" t="n">
        <v>0</v>
      </c>
    </row>
    <row r="1738">
      <c r="A1738">
        <f>Skills!A22</f>
        <v/>
      </c>
      <c r="B1738">
        <f>Skills!B22</f>
        <v/>
      </c>
      <c r="C1738">
        <f>Inputs!$B$3&gt;=10</f>
        <v/>
      </c>
      <c r="D1738">
        <f>IF(Skills!C22=1,60+Inputs!$B$25+Inputs!$B$29,IF(Skills!C22=2,90+Inputs!$B$26+Inputs!$B$29,IF(Skills!C22=3,120+Inputs!$B$27+Inputs!$B$29,MAX(0,(Inputs!$B$3-100)*3)+Inputs!$B$28+Inputs!$B$29)))</f>
        <v/>
      </c>
      <c r="E1738">
        <f>INDEX(FactorTable!$B$2:$Y$301, MATCH(ROUND(MIN(300,MAX(1,D1738)),0), FactorTable!$A$2:$A$301,0), Skills!M22+1)</f>
        <v/>
      </c>
      <c r="F1738">
        <f>IF(Skills!N22=TRUE,(Skills!L22/10)*(E1738/1000),Skills!L22/10)+Skills!O22</f>
        <v/>
      </c>
      <c r="G1738">
        <f>Skills!G22*IF(Skills!H22&gt;0,Skills!I22/Skills!H22,1)</f>
        <v/>
      </c>
      <c r="H1738">
        <f>1-(1-Skills!J22/100)^Skills!K22</f>
        <v/>
      </c>
      <c r="I1738" t="inlineStr">
        <is>
          <t>1</t>
        </is>
      </c>
      <c r="J1738" t="inlineStr"/>
      <c r="K1738" t="inlineStr"/>
      <c r="L1738" t="inlineStr"/>
      <c r="M1738" t="inlineStr"/>
      <c r="N1738" t="inlineStr"/>
      <c r="O1738">
        <f>(1-Summary!$B$11)*T1738+Summary!$B$11*V1738</f>
        <v/>
      </c>
      <c r="P1738">
        <f>IF(B1760=0,0,O1738/B1760)</f>
        <v/>
      </c>
      <c r="Q1738" t="n">
        <v>0</v>
      </c>
      <c r="R1738" t="n">
        <v>0</v>
      </c>
      <c r="S1738">
        <f>IFERROR(O1738/N1738,0)</f>
        <v/>
      </c>
      <c r="T1738" t="n">
        <v>0</v>
      </c>
      <c r="V1738" t="n">
        <v>0</v>
      </c>
    </row>
    <row r="1739">
      <c r="A1739">
        <f>Skills!A23</f>
        <v/>
      </c>
      <c r="B1739">
        <f>Skills!B23</f>
        <v/>
      </c>
      <c r="C1739">
        <f>Inputs!$B$3&gt;=33</f>
        <v/>
      </c>
      <c r="D1739">
        <f>IF(Skills!C23=1,60+Inputs!$B$25+Inputs!$B$29,IF(Skills!C23=2,90+Inputs!$B$26+Inputs!$B$29,IF(Skills!C23=3,120+Inputs!$B$27+Inputs!$B$29,MAX(0,(Inputs!$B$3-100)*3)+Inputs!$B$28+Inputs!$B$29)))</f>
        <v/>
      </c>
      <c r="E1739">
        <f>INDEX(FactorTable!$B$2:$Y$301, MATCH(ROUND(MIN(300,MAX(1,D1739)),0), FactorTable!$A$2:$A$301,0), Skills!M23+1)</f>
        <v/>
      </c>
      <c r="F1739">
        <f>IF(Skills!N23=TRUE,(Skills!L23/10)*(E1739/1000),Skills!L23/10)+Skills!O23</f>
        <v/>
      </c>
      <c r="G1739">
        <f>Skills!G23*IF(Skills!H23&gt;0,Skills!I23/Skills!H23,1)</f>
        <v/>
      </c>
      <c r="H1739">
        <f>1-(1-Skills!J23/100)^Skills!K23</f>
        <v/>
      </c>
      <c r="I1739" t="inlineStr">
        <is>
          <t>1</t>
        </is>
      </c>
      <c r="J1739" t="inlineStr"/>
      <c r="K1739" t="inlineStr"/>
      <c r="L1739" t="inlineStr"/>
      <c r="M1739" t="inlineStr"/>
      <c r="N1739" t="inlineStr"/>
      <c r="O1739">
        <f>(1-Summary!$B$11)*T1739+Summary!$B$11*V1739</f>
        <v/>
      </c>
      <c r="P1739">
        <f>IF(B1760=0,0,O1739/B1760)</f>
        <v/>
      </c>
      <c r="Q1739" t="n">
        <v>0</v>
      </c>
      <c r="R1739" t="n">
        <v>0</v>
      </c>
      <c r="S1739">
        <f>IFERROR(O1739/N1739,0)</f>
        <v/>
      </c>
      <c r="T1739" t="n">
        <v>0</v>
      </c>
      <c r="V1739" t="n">
        <v>0</v>
      </c>
    </row>
    <row r="1740">
      <c r="A1740">
        <f>Skills!A24</f>
        <v/>
      </c>
      <c r="B1740">
        <f>Skills!B24</f>
        <v/>
      </c>
      <c r="C1740">
        <f>Inputs!$B$3&gt;=38</f>
        <v/>
      </c>
      <c r="D1740">
        <f>IF(Skills!C24=1,60+Inputs!$B$25+Inputs!$B$29,IF(Skills!C24=2,90+Inputs!$B$26+Inputs!$B$29,IF(Skills!C24=3,120+Inputs!$B$27+Inputs!$B$29,MAX(0,(Inputs!$B$3-100)*3)+Inputs!$B$28+Inputs!$B$29)))</f>
        <v/>
      </c>
      <c r="E1740">
        <f>INDEX(FactorTable!$B$2:$Y$301, MATCH(ROUND(MIN(300,MAX(1,D1740)),0), FactorTable!$A$2:$A$301,0), Skills!M24+1)</f>
        <v/>
      </c>
      <c r="F1740">
        <f>IF(Skills!N24=TRUE,(Skills!L24/10)*(E1740/1000),Skills!L24/10)+Skills!O24</f>
        <v/>
      </c>
      <c r="G1740">
        <f>Skills!G24*IF(Skills!H24&gt;0,Skills!I24/Skills!H24,1)</f>
        <v/>
      </c>
      <c r="H1740">
        <f>1-(1-Skills!J24/100)^Skills!K24</f>
        <v/>
      </c>
      <c r="I1740" t="inlineStr">
        <is>
          <t>1</t>
        </is>
      </c>
      <c r="J1740" t="inlineStr"/>
      <c r="K1740" t="inlineStr"/>
      <c r="L1740" t="inlineStr"/>
      <c r="M1740" t="inlineStr"/>
      <c r="N1740" t="inlineStr"/>
      <c r="O1740">
        <f>(1-Summary!$B$11)*T1740+Summary!$B$11*V1740</f>
        <v/>
      </c>
      <c r="P1740">
        <f>IF(B1760=0,0,O1740/B1760)</f>
        <v/>
      </c>
      <c r="Q1740" t="n">
        <v>0</v>
      </c>
      <c r="R1740" t="n">
        <v>0</v>
      </c>
      <c r="S1740">
        <f>IFERROR(O1740/N1740,0)</f>
        <v/>
      </c>
      <c r="T1740" t="n">
        <v>0</v>
      </c>
      <c r="V1740" t="n">
        <v>0</v>
      </c>
    </row>
    <row r="1741">
      <c r="A1741">
        <f>Skills!A25</f>
        <v/>
      </c>
      <c r="B1741">
        <f>Skills!B25</f>
        <v/>
      </c>
      <c r="C1741">
        <f>Inputs!$B$3&gt;=43</f>
        <v/>
      </c>
      <c r="D1741">
        <f>IF(Skills!C25=1,60+Inputs!$B$25+Inputs!$B$29,IF(Skills!C25=2,90+Inputs!$B$26+Inputs!$B$29,IF(Skills!C25=3,120+Inputs!$B$27+Inputs!$B$29,MAX(0,(Inputs!$B$3-100)*3)+Inputs!$B$28+Inputs!$B$29)))</f>
        <v/>
      </c>
      <c r="E1741">
        <f>INDEX(FactorTable!$B$2:$Y$301, MATCH(ROUND(MIN(300,MAX(1,D1741)),0), FactorTable!$A$2:$A$301,0), Skills!M25+1)</f>
        <v/>
      </c>
      <c r="F1741">
        <f>IF(Skills!N25=TRUE,(Skills!L25/10)*(E1741/1000),Skills!L25/10)+Skills!O25</f>
        <v/>
      </c>
      <c r="G1741">
        <f>Skills!G25*IF(Skills!H25&gt;0,Skills!I25/Skills!H25,1)</f>
        <v/>
      </c>
      <c r="H1741">
        <f>1-(1-Skills!J25/100)^Skills!K25</f>
        <v/>
      </c>
      <c r="I1741" t="inlineStr">
        <is>
          <t>1</t>
        </is>
      </c>
      <c r="J1741" t="inlineStr"/>
      <c r="K1741" t="inlineStr"/>
      <c r="L1741" t="inlineStr"/>
      <c r="M1741" t="inlineStr"/>
      <c r="N1741" t="inlineStr"/>
      <c r="O1741">
        <f>(1-Summary!$B$11)*T1741+Summary!$B$11*V1741</f>
        <v/>
      </c>
      <c r="P1741">
        <f>IF(B1760=0,0,O1741/B1760)</f>
        <v/>
      </c>
      <c r="Q1741" t="n">
        <v>0</v>
      </c>
      <c r="R1741" t="n">
        <v>0</v>
      </c>
      <c r="S1741">
        <f>IFERROR(O1741/N1741,0)</f>
        <v/>
      </c>
      <c r="T1741" t="n">
        <v>0</v>
      </c>
      <c r="V1741" t="n">
        <v>0</v>
      </c>
    </row>
    <row r="1742">
      <c r="A1742">
        <f>Skills!A26</f>
        <v/>
      </c>
      <c r="B1742">
        <f>Skills!B26</f>
        <v/>
      </c>
      <c r="C1742">
        <f>Inputs!$B$3&gt;=75</f>
        <v/>
      </c>
      <c r="D1742">
        <f>IF(Skills!C26=1,60+Inputs!$B$25+Inputs!$B$29,IF(Skills!C26=2,90+Inputs!$B$26+Inputs!$B$29,IF(Skills!C26=3,120+Inputs!$B$27+Inputs!$B$29,MAX(0,(Inputs!$B$3-100)*3)+Inputs!$B$28+Inputs!$B$29)))</f>
        <v/>
      </c>
      <c r="E1742">
        <f>INDEX(FactorTable!$B$2:$Y$301, MATCH(ROUND(MIN(300,MAX(1,D1742)),0), FactorTable!$A$2:$A$301,0), Skills!M26+1)</f>
        <v/>
      </c>
      <c r="F1742">
        <f>IF(Skills!N26=TRUE,(Skills!L26/10)*(E1742/1000),Skills!L26/10)+Skills!O26</f>
        <v/>
      </c>
      <c r="G1742">
        <f>Skills!G26*IF(Skills!H26&gt;0,Skills!I26/Skills!H26,1)</f>
        <v/>
      </c>
      <c r="H1742">
        <f>1-(1-Skills!J26/100)^Skills!K26</f>
        <v/>
      </c>
      <c r="I1742" t="inlineStr">
        <is>
          <t>1</t>
        </is>
      </c>
      <c r="J1742" t="inlineStr"/>
      <c r="K1742" t="inlineStr"/>
      <c r="L1742" t="inlineStr"/>
      <c r="M1742" t="inlineStr"/>
      <c r="N1742" t="inlineStr"/>
      <c r="O1742">
        <f>(1-Summary!$B$11)*T1742+Summary!$B$11*V1742</f>
        <v/>
      </c>
      <c r="P1742">
        <f>IF(B1760=0,0,O1742/B1760)</f>
        <v/>
      </c>
      <c r="Q1742" t="n">
        <v>0</v>
      </c>
      <c r="R1742" t="n">
        <v>0</v>
      </c>
      <c r="S1742">
        <f>IFERROR(O1742/N1742,0)</f>
        <v/>
      </c>
      <c r="T1742" t="n">
        <v>0</v>
      </c>
      <c r="V1742" t="n">
        <v>0</v>
      </c>
    </row>
    <row r="1743">
      <c r="A1743">
        <f>Skills!A27</f>
        <v/>
      </c>
      <c r="B1743">
        <f>Skills!B27</f>
        <v/>
      </c>
      <c r="C1743">
        <f>Inputs!$B$3&gt;=125</f>
        <v/>
      </c>
      <c r="D1743">
        <f>IF(Skills!C27=1,60+Inputs!$B$25+Inputs!$B$29,IF(Skills!C27=2,90+Inputs!$B$26+Inputs!$B$29,IF(Skills!C27=3,120+Inputs!$B$27+Inputs!$B$29,MAX(0,(Inputs!$B$3-100)*3)+Inputs!$B$28+Inputs!$B$29)))</f>
        <v/>
      </c>
      <c r="E1743">
        <f>INDEX(FactorTable!$B$2:$Y$301, MATCH(ROUND(MIN(300,MAX(1,D1743)),0), FactorTable!$A$2:$A$301,0), Skills!M27+1)</f>
        <v/>
      </c>
      <c r="F1743">
        <f>IF(Skills!N27=TRUE,(Skills!L27/10)*(E1743/1000),Skills!L27/10)+Skills!O27</f>
        <v/>
      </c>
      <c r="G1743">
        <f>Skills!G27*IF(Skills!H27&gt;0,Skills!I27/Skills!H27,1)</f>
        <v/>
      </c>
      <c r="H1743">
        <f>1-(1-Skills!J27/100)^Skills!K27</f>
        <v/>
      </c>
      <c r="I1743" t="inlineStr">
        <is>
          <t>1</t>
        </is>
      </c>
      <c r="J1743" t="inlineStr"/>
      <c r="K1743" t="inlineStr"/>
      <c r="L1743" t="inlineStr"/>
      <c r="M1743" t="inlineStr"/>
      <c r="N1743" t="inlineStr"/>
      <c r="O1743">
        <f>(1-Summary!$B$11)*T1743+Summary!$B$11*V1743</f>
        <v/>
      </c>
      <c r="P1743">
        <f>IF(B1760=0,0,O1743/B1760)</f>
        <v/>
      </c>
      <c r="Q1743" t="n">
        <v>0</v>
      </c>
      <c r="R1743" t="n">
        <v>0</v>
      </c>
      <c r="S1743">
        <f>IFERROR(O1743/N1743,0)</f>
        <v/>
      </c>
      <c r="T1743" t="n">
        <v>0</v>
      </c>
      <c r="V1743" t="n">
        <v>0</v>
      </c>
    </row>
    <row r="1744">
      <c r="A1744">
        <f>Skills!A28</f>
        <v/>
      </c>
      <c r="B1744">
        <f>Skills!B28</f>
        <v/>
      </c>
      <c r="C1744">
        <f>Inputs!$B$3&gt;=125</f>
        <v/>
      </c>
      <c r="D1744">
        <f>IF(Skills!C28=1,60+Inputs!$B$25+Inputs!$B$29,IF(Skills!C28=2,90+Inputs!$B$26+Inputs!$B$29,IF(Skills!C28=3,120+Inputs!$B$27+Inputs!$B$29,MAX(0,(Inputs!$B$3-100)*3)+Inputs!$B$28+Inputs!$B$29)))</f>
        <v/>
      </c>
      <c r="E1744">
        <f>INDEX(FactorTable!$B$2:$Y$301, MATCH(ROUND(MIN(300,MAX(1,D1744)),0), FactorTable!$A$2:$A$301,0), Skills!M28+1)</f>
        <v/>
      </c>
      <c r="F1744">
        <f>IF(Skills!N28=TRUE,(Skills!L28/10)*(E1744/1000),Skills!L28/10)+Skills!O28</f>
        <v/>
      </c>
      <c r="G1744">
        <f>Skills!G28*IF(Skills!H28&gt;0,Skills!I28/Skills!H28,1)</f>
        <v/>
      </c>
      <c r="H1744">
        <f>1-(1-Skills!J28/100)^Skills!K28</f>
        <v/>
      </c>
      <c r="I1744" t="inlineStr">
        <is>
          <t>1</t>
        </is>
      </c>
      <c r="J1744" t="inlineStr"/>
      <c r="K1744" t="inlineStr"/>
      <c r="L1744" t="inlineStr"/>
      <c r="M1744" t="inlineStr"/>
      <c r="N1744" t="inlineStr"/>
      <c r="O1744">
        <f>(1-Summary!$B$11)*T1744+Summary!$B$11*V1744</f>
        <v/>
      </c>
      <c r="P1744">
        <f>IF(B1760=0,0,O1744/B1760)</f>
        <v/>
      </c>
      <c r="Q1744" t="n">
        <v>0</v>
      </c>
      <c r="R1744" t="n">
        <v>0</v>
      </c>
      <c r="S1744">
        <f>IFERROR(O1744/N1744,0)</f>
        <v/>
      </c>
      <c r="T1744" t="n">
        <v>0</v>
      </c>
      <c r="V1744" t="n">
        <v>0</v>
      </c>
    </row>
    <row r="1745">
      <c r="A1745">
        <f>Skills!A29</f>
        <v/>
      </c>
      <c r="B1745">
        <f>Skills!B29</f>
        <v/>
      </c>
      <c r="C1745">
        <f>Inputs!$B$3&gt;=120</f>
        <v/>
      </c>
      <c r="D1745">
        <f>IF(Skills!C29=1,60+Inputs!$B$25+Inputs!$B$29,IF(Skills!C29=2,90+Inputs!$B$26+Inputs!$B$29,IF(Skills!C29=3,120+Inputs!$B$27+Inputs!$B$29,MAX(0,(Inputs!$B$3-100)*3)+Inputs!$B$28+Inputs!$B$29)))</f>
        <v/>
      </c>
      <c r="E1745">
        <f>INDEX(FactorTable!$B$2:$Y$301, MATCH(ROUND(MIN(300,MAX(1,D1745)),0), FactorTable!$A$2:$A$301,0), Skills!M29+1)</f>
        <v/>
      </c>
      <c r="F1745">
        <f>IF(Skills!N29=TRUE,(Skills!L29/10)*(E1745/1000),Skills!L29/10)+Skills!O29</f>
        <v/>
      </c>
      <c r="G1745">
        <f>Skills!G29*IF(Skills!H29&gt;0,Skills!I29/Skills!H29,1)</f>
        <v/>
      </c>
      <c r="H1745">
        <f>1-(1-Skills!J29/100)^Skills!K29</f>
        <v/>
      </c>
      <c r="I1745" t="inlineStr">
        <is>
          <t>1</t>
        </is>
      </c>
      <c r="J1745" t="inlineStr"/>
      <c r="K1745" t="inlineStr"/>
      <c r="L1745" t="inlineStr"/>
      <c r="M1745" t="inlineStr"/>
      <c r="N1745" t="inlineStr"/>
      <c r="O1745">
        <f>(1-Summary!$B$11)*T1745+Summary!$B$11*V1745</f>
        <v/>
      </c>
      <c r="P1745">
        <f>IF(B1760=0,0,O1745/B1760)</f>
        <v/>
      </c>
      <c r="Q1745" t="n">
        <v>0</v>
      </c>
      <c r="R1745" t="n">
        <v>0</v>
      </c>
      <c r="S1745">
        <f>IFERROR(O1745/N1745,0)</f>
        <v/>
      </c>
      <c r="T1745" t="n">
        <v>0</v>
      </c>
      <c r="V1745" t="n">
        <v>0</v>
      </c>
    </row>
    <row r="1746">
      <c r="A1746">
        <f>Skills!A30</f>
        <v/>
      </c>
      <c r="B1746">
        <f>Skills!B30</f>
        <v/>
      </c>
      <c r="C1746">
        <f>Inputs!$B$3&gt;=120</f>
        <v/>
      </c>
      <c r="D1746">
        <f>IF(Skills!C30=1,60+Inputs!$B$25+Inputs!$B$29,IF(Skills!C30=2,90+Inputs!$B$26+Inputs!$B$29,IF(Skills!C30=3,120+Inputs!$B$27+Inputs!$B$29,MAX(0,(Inputs!$B$3-100)*3)+Inputs!$B$28+Inputs!$B$29)))</f>
        <v/>
      </c>
      <c r="E1746">
        <f>INDEX(FactorTable!$B$2:$Y$301, MATCH(ROUND(MIN(300,MAX(1,D1746)),0), FactorTable!$A$2:$A$301,0), Skills!M30+1)</f>
        <v/>
      </c>
      <c r="F1746">
        <f>IF(Skills!N30=TRUE,(Skills!L30/10)*(E1746/1000),Skills!L30/10)+Skills!O30</f>
        <v/>
      </c>
      <c r="G1746">
        <f>Skills!G30*IF(Skills!H30&gt;0,Skills!I30/Skills!H30,1)</f>
        <v/>
      </c>
      <c r="H1746">
        <f>1-(1-Skills!J30/100)^Skills!K30</f>
        <v/>
      </c>
      <c r="I1746" t="inlineStr">
        <is>
          <t>1</t>
        </is>
      </c>
      <c r="J1746" t="inlineStr"/>
      <c r="K1746" t="inlineStr"/>
      <c r="L1746" t="inlineStr"/>
      <c r="M1746" t="inlineStr"/>
      <c r="N1746" t="inlineStr"/>
      <c r="O1746">
        <f>(1-Summary!$B$11)*T1746+Summary!$B$11*V1746</f>
        <v/>
      </c>
      <c r="P1746">
        <f>IF(B1760=0,0,O1746/B1760)</f>
        <v/>
      </c>
      <c r="Q1746" t="n">
        <v>0</v>
      </c>
      <c r="R1746" t="n">
        <v>0</v>
      </c>
      <c r="S1746">
        <f>IFERROR(O1746/N1746,0)</f>
        <v/>
      </c>
      <c r="T1746" t="n">
        <v>0</v>
      </c>
      <c r="V1746" t="n">
        <v>0</v>
      </c>
    </row>
    <row r="1747">
      <c r="A1747">
        <f>Skills!A31</f>
        <v/>
      </c>
      <c r="B1747">
        <f>Skills!B31</f>
        <v/>
      </c>
      <c r="C1747">
        <f>Inputs!$B$3&gt;=45</f>
        <v/>
      </c>
      <c r="D1747">
        <f>IF(Skills!C31=1,60+Inputs!$B$25+Inputs!$B$29,IF(Skills!C31=2,90+Inputs!$B$26+Inputs!$B$29,IF(Skills!C31=3,120+Inputs!$B$27+Inputs!$B$29,MAX(0,(Inputs!$B$3-100)*3)+Inputs!$B$28+Inputs!$B$29)))</f>
        <v/>
      </c>
      <c r="E1747">
        <f>INDEX(FactorTable!$B$2:$Y$301, MATCH(ROUND(MIN(300,MAX(1,D1747)),0), FactorTable!$A$2:$A$301,0), Skills!M31+1)</f>
        <v/>
      </c>
      <c r="F1747">
        <f>IF(Skills!N31=TRUE,(Skills!L31/10)*(E1747/1000),Skills!L31/10)+Skills!O31</f>
        <v/>
      </c>
      <c r="G1747">
        <f>Skills!G31*IF(Skills!H31&gt;0,Skills!I31/Skills!H31,1)</f>
        <v/>
      </c>
      <c r="H1747">
        <f>1-(1-Skills!J31/100)^Skills!K31</f>
        <v/>
      </c>
      <c r="I1747" t="inlineStr">
        <is>
          <t>1</t>
        </is>
      </c>
      <c r="J1747" t="inlineStr"/>
      <c r="K1747" t="inlineStr"/>
      <c r="L1747" t="inlineStr"/>
      <c r="M1747" t="inlineStr"/>
      <c r="N1747" t="inlineStr"/>
      <c r="O1747">
        <f>(1-Summary!$B$11)*T1747+Summary!$B$11*V1747</f>
        <v/>
      </c>
      <c r="P1747">
        <f>IF(B1760=0,0,O1747/B1760)</f>
        <v/>
      </c>
      <c r="Q1747" t="n">
        <v>0</v>
      </c>
      <c r="R1747" t="n">
        <v>0</v>
      </c>
      <c r="S1747">
        <f>IFERROR(O1747/N1747,0)</f>
        <v/>
      </c>
      <c r="T1747" t="n">
        <v>0</v>
      </c>
      <c r="V1747" t="n">
        <v>0</v>
      </c>
    </row>
    <row r="1749">
      <c r="A1749" t="inlineStr">
        <is>
          <t>Attack% Bucket Multiplier</t>
        </is>
      </c>
      <c r="B1749">
        <f>(1+(((C1730=TRUE)*F1730)+((C1731=TRUE)*IF(Inputs!$B$38="pvp",F1731,(1-Summary!$B$11)*(F1731)+Summary!$B$11*(0)))+((C1732=TRUE)*F1732*IF(AND(Inputs!$B$38&lt;&gt;"pvp",Inputs!$B$43&gt;0),(((R1732-1)*(Skills!T16*(1+Inputs!$B$34/100))+MIN((Skills!T16*(1+Inputs!$B$34/100)),MAX(0,Inputs!$B$43-((R1732-1)*Skills!D16))))/Inputs!$B$43),IF(Inputs!$B$38="pvp",MIN((Skills!T16*(1+Inputs!$B$34/100)),15)/15,(Skills!T16*(1+Inputs!$B$34/100))/Skills!D16)))+((C1747=TRUE)*(F1747-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50">
      <c r="A1750" t="inlineStr">
        <is>
          <t>Global Crit Rate Bonus %</t>
        </is>
      </c>
      <c r="B1750">
        <f>(C1733=TRUE)*20*IF(AND(Inputs!$B$38&lt;&gt;"pvp",Inputs!$B$43&gt;0),(((R1733-1)*(Skills!T17*(1+Inputs!$B$34/100))+MIN((Skills!T17*(1+Inputs!$B$34/100)),MAX(0,Inputs!$B$43-((R1733-1)*Skills!D17))))/Inputs!$B$43),IF(Inputs!$B$38="pvp",MIN((Skills!T17*(1+Inputs!$B$34/100)),15)/15,(Skills!T17*(1+Inputs!$B$34/100))/Skills!D17))</f>
        <v/>
      </c>
    </row>
    <row r="1751">
      <c r="A1751" t="inlineStr">
        <is>
          <t>Attack Speed Buff Bonus %</t>
        </is>
      </c>
      <c r="B1751">
        <f>((C1736=TRUE)*F1736*IF(AND(Inputs!$B$38&lt;&gt;"pvp",Inputs!$B$43&gt;0),(((R1736-1)*(Skills!T20*(1+Inputs!$B$34/100))+MIN((Skills!T20*(1+Inputs!$B$34/100)),MAX(0,Inputs!$B$43-((R1736-1)*Skills!D20))))/Inputs!$B$43),IF(Inputs!$B$38="pvp",MIN((Skills!T20*(1+Inputs!$B$34/100)),15)/15,(Skills!T20*(1+Inputs!$B$34/100))/Skills!D20)))</f>
        <v/>
      </c>
    </row>
    <row r="1752">
      <c r="A1752" t="inlineStr">
        <is>
          <t>Actions Per Second</t>
        </is>
      </c>
      <c r="B1752">
        <f>1+MIN(150,150*(1-(1-(Inputs!$B$11+((C1738=TRUE)*(F1738-Calc!F22))+((C1739=TRUE)*(F1739-Calc!F23)))/150)*(1-B1751/150)))/100</f>
        <v/>
      </c>
    </row>
    <row r="1753">
      <c r="A1753" t="inlineStr">
        <is>
          <t>Skill + Buff Cast Rate</t>
        </is>
      </c>
      <c r="B1753">
        <f>IF(AND(Inputs!$B$38&lt;&gt;"pvp",Inputs!$B$43&gt;0),SUMPRODUCT((Skills!E2:E31=TRUE)*(C1718:C1747=TRUE)*R1718:R1747*Skills!F2:F31)/Inputs!$B$43,SUMPRODUCT((Skills!E2:E31=TRUE)*(C1718:C1747=TRUE)*Q1718:Q1747*Skills!F2:F31))</f>
        <v/>
      </c>
    </row>
    <row r="1754">
      <c r="A1754" t="inlineStr">
        <is>
          <t>Arrow Stream Casts Per Second</t>
        </is>
      </c>
      <c r="B1754">
        <f>MAX(0,B1752-B1753)</f>
        <v/>
      </c>
    </row>
    <row r="1755">
      <c r="A1755" t="inlineStr">
        <is>
          <t>Global Critical Damage Bonus % (Sharp Eyes + Concentration)</t>
        </is>
      </c>
      <c r="B1755">
        <f>(C1733=TRUE)*F1733*IF(AND(Inputs!$B$38&lt;&gt;"pvp",Inputs!$B$43&gt;0),(((R1733-1)*(Skills!T17*(1+Inputs!$B$34/100))+MIN((Skills!T17*(1+Inputs!$B$34/100)),MAX(0,Inputs!$B$43-((R1733-1)*Skills!D17))))/Inputs!$B$43),IF(Inputs!$B$38="pvp",MIN((Skills!T17*(1+Inputs!$B$34/100)),15)/15,(Skills!T17*(1+Inputs!$B$34/100))/Skills!D17))+(C1734=TRUE)*30</f>
        <v/>
      </c>
    </row>
    <row r="1756">
      <c r="A1756" t="inlineStr">
        <is>
          <t>Global Final Damage Bonus % (Mortal Blow)</t>
        </is>
      </c>
      <c r="B1756">
        <f>(C1735=TRUE)*F1735</f>
        <v/>
      </c>
    </row>
    <row r="1757">
      <c r="A1757" t="inlineStr">
        <is>
          <t>Buff-Casting Startup Delay (s, fixed-duration only)</t>
        </is>
      </c>
      <c r="B1757">
        <f>IF(AND(Inputs!$B$38&lt;&gt;"pvp",Inputs!$B$43&gt;0),SUMPRODUCT((Skills!T2:T31&gt;0)*(Skills!E2:E31=TRUE)*(C1718:C1747=TRUE))/B1752,0)</f>
        <v/>
      </c>
    </row>
    <row r="1758">
      <c r="A1758" t="inlineStr">
        <is>
          <t>Boss-Only Total DPS (this block's swept value)</t>
        </is>
      </c>
      <c r="B1758">
        <f>SUM(T1718:T1747)</f>
        <v/>
      </c>
    </row>
    <row r="1759">
      <c r="A1759" t="inlineStr">
        <is>
          <t>Normal-Only Total DPS (this block's swept value)</t>
        </is>
      </c>
      <c r="B1759">
        <f>SUM(V1718:V1747)</f>
        <v/>
      </c>
    </row>
    <row r="1760">
      <c r="A1760" s="6" t="inlineStr">
        <is>
          <t>TOTAL DPS</t>
        </is>
      </c>
      <c r="B1760" s="6">
        <f>SUM(O1718:O1747)</f>
        <v/>
      </c>
    </row>
    <row r="1763">
      <c r="A1763" s="6" t="inlineStr">
        <is>
          <t>Stat: Zakum's Stone Piece (Equip)</t>
        </is>
      </c>
    </row>
    <row r="1764">
      <c r="A1764" s="5" t="inlineStr">
        <is>
          <t>Key</t>
        </is>
      </c>
      <c r="B1764" s="5" t="inlineStr">
        <is>
          <t>Name</t>
        </is>
      </c>
      <c r="C1764" s="5" t="inlineStr">
        <is>
          <t>Unlocked</t>
        </is>
      </c>
      <c r="D1764" s="5" t="inlineStr">
        <is>
          <t>InputLevel</t>
        </is>
      </c>
      <c r="E1764" s="5" t="inlineStr">
        <is>
          <t>Factor</t>
        </is>
      </c>
      <c r="F1764" s="5" t="inlineStr">
        <is>
          <t>CoefficientPercent</t>
        </is>
      </c>
      <c r="G1764" s="5" t="inlineStr">
        <is>
          <t>EffectiveHits</t>
        </is>
      </c>
      <c r="H1764" s="5" t="inlineStr">
        <is>
          <t>ProcProbability</t>
        </is>
      </c>
      <c r="I1764" s="5" t="inlineStr">
        <is>
          <t>MapleHeroMultiplier</t>
        </is>
      </c>
      <c r="J1764" s="5" t="inlineStr">
        <is>
          <t>BaseDamage</t>
        </is>
      </c>
      <c r="K1764" s="5" t="inlineStr">
        <is>
          <t>BaseHitDamage</t>
        </is>
      </c>
      <c r="L1764" s="5" t="inlineStr">
        <is>
          <t>NonCritAvg</t>
        </is>
      </c>
      <c r="M1764" s="5" t="inlineStr">
        <is>
          <t>CritAvg</t>
        </is>
      </c>
      <c r="N1764" s="5" t="inlineStr">
        <is>
          <t>ExpectedDamage(perHit)</t>
        </is>
      </c>
      <c r="O1764" s="5" t="inlineStr">
        <is>
          <t>DPS</t>
        </is>
      </c>
      <c r="P1764" s="5" t="inlineStr">
        <is>
          <t>% of Total</t>
        </is>
      </c>
      <c r="Q1764" s="5" t="inlineStr">
        <is>
          <t>InvCooldown</t>
        </is>
      </c>
      <c r="R1764" s="5" t="inlineStr">
        <is>
          <t>CastsInFight</t>
        </is>
      </c>
      <c r="S1764" s="5" t="inlineStr">
        <is>
          <t>HitRate(perSec)</t>
        </is>
      </c>
      <c r="U1764" t="inlineStr">
        <is>
          <t>helpers</t>
        </is>
      </c>
    </row>
    <row r="1765">
      <c r="A1765">
        <f>Skills!A2</f>
        <v/>
      </c>
      <c r="B1765">
        <f>Skills!B2</f>
        <v/>
      </c>
      <c r="C1765">
        <f>Inputs!$B$3&gt;=100</f>
        <v/>
      </c>
      <c r="D1765" t="inlineStr"/>
      <c r="E1765" t="inlineStr"/>
      <c r="F1765">
        <f>U1767+Skills!O2</f>
        <v/>
      </c>
      <c r="G1765">
        <f>Skills!G2*IF(Skills!H2&gt;0,Skills!I2/Skills!H2,1)</f>
        <v/>
      </c>
      <c r="H1765">
        <f>1-(1-Skills!J2/100)^Skills!K2</f>
        <v/>
      </c>
      <c r="I1765" t="inlineStr">
        <is>
          <t>1</t>
        </is>
      </c>
      <c r="J1765">
        <f>((Inputs!$B$6*(1+Inputs!$B$7/100))+(((Inputs!$B$12*(1+Inputs!$B$13/100))-(Inputs!$B$12*(1+Inputs!$B$13/100)))+0.25*(Inputs!$B$14-Inputs!$B$14))*(1+Inputs!$B$7/100))*(F1765/100)</f>
        <v/>
      </c>
      <c r="K1765">
        <f>J1765*(1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1765)</f>
        <v/>
      </c>
      <c r="L1765">
        <f>K1765*(MIN(Inputs!$B$22+((C1788=TRUE)*(F1788-Calc!F25)),(Inputs!$B$23+((C1793=TRUE)*(F1793-Calc!F30))+(IF(ArtifactsInput!$M$15,CHOOSE(ArtifactsInput!$N$15+1,25,30,35,40,45,50)/100*(Inputs!$B$11-Inputs!$B$11),0))))/100+(Inputs!$B$23+((C1793=TRUE)*(F1793-Calc!F30))+(IF(ArtifactsInput!$M$15,CHOOSE(ArtifactsInput!$N$15+1,25,30,35,40,45,50)/100*(Inputs!$B$11-Inputs!$B$11),0)))/100)/2</f>
        <v/>
      </c>
      <c r="M1765">
        <f>L1765*(1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5">
        <f>L1765*(1-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1765*(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5">
        <f>(1-Summary!$B$11)*T1765+Summary!$B$11*V1765</f>
        <v/>
      </c>
      <c r="P1765">
        <f>IF(B1807=0,0,O1765/B1807)</f>
        <v/>
      </c>
      <c r="Q1765" t="n">
        <v>0</v>
      </c>
      <c r="R1765" t="n">
        <v>0</v>
      </c>
      <c r="S1765">
        <f>IFERROR(O1765/N1765,0)</f>
        <v/>
      </c>
      <c r="T1765">
        <f>IF(C1765,(Skills!G2*N1765*B1801)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1765*(1-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1765*(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1765*(1-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1765*(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5">
        <f>MAX(0,(Inputs!$B$3-100)*3)+Inputs!$B$28+Inputs!$B$29</f>
        <v/>
      </c>
      <c r="V1765">
        <f>IF(C1765,(Skills!G2*N1765*B1801)*IF(Inputs!$B$38="pvp",1,(1+(Inputs!$B$21+Skills!Q2+(IF(ArtifactsInput!$M$33,CHOOSE(ArtifactsInput!$N$33+1,30,36,42,48,54,60),0))+(IF(AND(ArtifactsInput!$M$35,Inputs!$B$4&lt;&gt;"Chapter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6">
      <c r="A1766">
        <f>Skills!A3</f>
        <v/>
      </c>
      <c r="B1766">
        <f>Skills!B3</f>
        <v/>
      </c>
      <c r="C1766">
        <f>Inputs!$B$3&gt;=50</f>
        <v/>
      </c>
      <c r="D1766">
        <f>IF(Skills!C3=1,60+Inputs!$B$25+Inputs!$B$29,IF(Skills!C3=2,90+Inputs!$B$26+Inputs!$B$29,IF(Skills!C3=3,120+Inputs!$B$27+Inputs!$B$29,MAX(0,(Inputs!$B$3-100)*3)+Inputs!$B$28+Inputs!$B$29)))</f>
        <v/>
      </c>
      <c r="E1766">
        <f>INDEX(FactorTable!$B$2:$Y$301, MATCH(ROUND(MIN(300,MAX(1,D1766)),0), FactorTable!$A$2:$A$301,0), Skills!M3+1)</f>
        <v/>
      </c>
      <c r="F1766">
        <f>IF(Skills!N3=TRUE,(Skills!L3/10)*(E1766/1000),Skills!L3/10)+Skills!O3</f>
        <v/>
      </c>
      <c r="G1766">
        <f>Skills!G3*IF(Skills!H3&gt;0,Skills!I3/Skills!H3,1)</f>
        <v/>
      </c>
      <c r="H1766">
        <f>1-(1-Skills!J3/100)^Skills!K3</f>
        <v/>
      </c>
      <c r="I1766" t="inlineStr">
        <is>
          <t>1</t>
        </is>
      </c>
      <c r="J1766">
        <f>((Inputs!$B$6*(1+Inputs!$B$7/100))+(((Inputs!$B$12*(1+Inputs!$B$13/100))-(Inputs!$B$12*(1+Inputs!$B$13/100)))+0.25*(Inputs!$B$14-Inputs!$B$14))*(1+Inputs!$B$7/100))*(F1766/100)</f>
        <v/>
      </c>
      <c r="K1766">
        <f>J1766*(1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1767=TRUE,F1767,0)/100)*(1+(IF(Skills!A3="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1766)</f>
        <v/>
      </c>
      <c r="L1766">
        <f>K1766*(MIN(Inputs!$B$22+((C1788=TRUE)*(F1788-Calc!F25)),(Inputs!$B$23+((C1793=TRUE)*(F1793-Calc!F30))+(IF(ArtifactsInput!$M$15,CHOOSE(ArtifactsInput!$N$15+1,25,30,35,40,45,50)/100*(Inputs!$B$11-Inputs!$B$11),0))))/100+(Inputs!$B$23+((C1793=TRUE)*(F1793-Calc!F30))+(IF(ArtifactsInput!$M$15,CHOOSE(ArtifactsInput!$N$15+1,25,30,35,40,45,50)/100*(Inputs!$B$11-Inputs!$B$11),0)))/100)/2</f>
        <v/>
      </c>
      <c r="M1766">
        <f>L1766*(1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6">
        <f>L1766*(1-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1766*(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6">
        <f>(1-Summary!$B$11)*T1766+Summary!$B$11*V1766</f>
        <v/>
      </c>
      <c r="P1766">
        <f>IF(B1807=0,0,O1766/B1807)</f>
        <v/>
      </c>
      <c r="Q1766">
        <f>IFERROR(1/(IF(Inputs!$B$38="pvp",15,MAX(0.1,Skills!D3-IF(Skills!E3=TRUE,Inputs!$B$32,0)))*(1-IF(AND(ArtifactsInput!$M$27,Inputs!$B$4="Chapter Hunt"),CHOOSE(ArtifactsInput!$N$27+1,20,24,28,32,36,40),0)/100)),0)</f>
        <v/>
      </c>
      <c r="R1766">
        <f>IF(AND(Inputs!$B$38&lt;&gt;"pvp",Inputs!$B$43&gt;0),IF(MAX(0,Inputs!$B$43-B1804)&lt;=0,0,(INT(MAX(0,Inputs!$B$43-B1804)/(IF(Inputs!$B$38="pvp",15,MAX(0.1,Skills!D3-IF(Skills!E3=TRUE,Inputs!$B$32,0)))*(1-IF(AND(ArtifactsInput!$M$27,Inputs!$B$4="Chapter Hunt"),CHOOSE(ArtifactsInput!$N$27+1,20,24,28,32,36,40),0)/100)))+1)),0)</f>
        <v/>
      </c>
      <c r="S1766">
        <f>IFERROR(O1766/N1766,0)</f>
        <v/>
      </c>
      <c r="T1766">
        <f>IF(C1766,(H1766*N1766*IF(AND(Inputs!$B$38&lt;&gt;"pvp",Inputs!$B$43&gt;0),((Skills!G3*((R1766-1)*IF(Skills!H3&gt;0,Skills!I3/Skills!H3,1)+IF(Skills!H3&gt;0,MIN(Skills!I3,MAX(0,MAX(0,Inputs!$B$43-B1804)-((R1766-1)*(IF(Inputs!$B$38="pvp",15,MAX(0.1,Skills!D3-IF(Skills!E3=TRUE,Inputs!$B$32,0)))*(1-IF(AND(ArtifactsInput!$M$27,Inputs!$B$4="Chapter Hunt"),CHOOSE(ArtifactsInput!$N$27+1,20,24,28,32,36,40),0)/100)))))/Skills!H3,1)))/Inputs!$B$43),G1766*Q1766)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1766*(1-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1766*(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1766*(1-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1766*(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6">
        <f>INDEX(FactorTable!$B$2:$Y$301, MATCH(ROUND(MIN(300,MAX(1,U1765)),0), FactorTable!$A$2:$A$301,0), 22)</f>
        <v/>
      </c>
      <c r="V1766">
        <f>IF(C1766,(H1766*N1766*IF(AND(Inputs!$B$38&lt;&gt;"pvp",Inputs!$B$43&gt;0),((Skills!G3*((R1766-1)*IF(Skills!H3&gt;0,Skills!I3/Skills!H3,1)+IF(Skills!H3&gt;0,MIN(Skills!I3,MAX(0,MAX(0,Inputs!$B$43-B1804)-((R1766-1)*(IF(Inputs!$B$38="pvp",15,MAX(0.1,Skills!D3-IF(Skills!E3=TRUE,Inputs!$B$32,0)))*(1-IF(AND(ArtifactsInput!$M$27,Inputs!$B$4="Chapter Hunt"),CHOOSE(ArtifactsInput!$N$27+1,20,24,28,32,36,40),0)/100)))))/Skills!H3,1)))/Inputs!$B$43),G1766*Q1766))*IF(Inputs!$B$38="pvp",1,(1+(Inputs!$B$21+Skills!Q3+(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7">
      <c r="A1767">
        <f>Skills!A4</f>
        <v/>
      </c>
      <c r="B1767">
        <f>Skills!B4</f>
        <v/>
      </c>
      <c r="C1767">
        <f>Inputs!$B$3&gt;=105</f>
        <v/>
      </c>
      <c r="D1767">
        <f>IF(Skills!C4=1,60+Inputs!$B$25+Inputs!$B$29,IF(Skills!C4=2,90+Inputs!$B$26+Inputs!$B$29,IF(Skills!C4=3,120+Inputs!$B$27+Inputs!$B$29,MAX(0,(Inputs!$B$3-100)*3)+Inputs!$B$28+Inputs!$B$29)))</f>
        <v/>
      </c>
      <c r="E1767">
        <f>INDEX(FactorTable!$B$2:$Y$301, MATCH(ROUND(MIN(300,MAX(1,D1767)),0), FactorTable!$A$2:$A$301,0), Skills!M4+1)</f>
        <v/>
      </c>
      <c r="F1767">
        <f>IF(Skills!N4=TRUE,(Skills!L4/10)*(E1767/1000),Skills!L4/10)+Skills!O4</f>
        <v/>
      </c>
      <c r="G1767" t="inlineStr"/>
      <c r="H1767" t="inlineStr"/>
      <c r="I1767" t="inlineStr">
        <is>
          <t>1</t>
        </is>
      </c>
      <c r="J1767" t="inlineStr"/>
      <c r="K1767" t="inlineStr"/>
      <c r="L1767" t="inlineStr"/>
      <c r="M1767" t="inlineStr"/>
      <c r="N1767" t="inlineStr"/>
      <c r="O1767" t="inlineStr"/>
      <c r="P1767" t="inlineStr"/>
      <c r="Q1767" t="inlineStr"/>
      <c r="R1767" t="inlineStr"/>
      <c r="S1767" t="inlineStr"/>
      <c r="T1767" t="inlineStr"/>
      <c r="U1767">
        <f>290*U1766/1000</f>
        <v/>
      </c>
      <c r="V1767" t="inlineStr"/>
    </row>
    <row r="1768">
      <c r="A1768">
        <f>Skills!A5</f>
        <v/>
      </c>
      <c r="B1768">
        <f>Skills!B5</f>
        <v/>
      </c>
      <c r="C1768">
        <f>Inputs!$B$3&gt;=35</f>
        <v/>
      </c>
      <c r="D1768">
        <f>IF(Skills!C5=1,60+Inputs!$B$25+Inputs!$B$29,IF(Skills!C5=2,90+Inputs!$B$26+Inputs!$B$29,IF(Skills!C5=3,120+Inputs!$B$27+Inputs!$B$29,MAX(0,(Inputs!$B$3-100)*3)+Inputs!$B$28+Inputs!$B$29)))</f>
        <v/>
      </c>
      <c r="E1768">
        <f>INDEX(FactorTable!$B$2:$Y$301, MATCH(ROUND(MIN(300,MAX(1,D1768)),0), FactorTable!$A$2:$A$301,0), Skills!M5+1)</f>
        <v/>
      </c>
      <c r="F1768">
        <f>IF(Skills!N5=TRUE,(Skills!L5/10)*(E1768/1000),Skills!L5/10)+Skills!O5</f>
        <v/>
      </c>
      <c r="G1768">
        <f>Skills!G5*IF(Skills!H5&gt;0,Skills!I5/Skills!H5,1)</f>
        <v/>
      </c>
      <c r="H1768">
        <f>1-(1-Skills!J5/100)^Skills!K5</f>
        <v/>
      </c>
      <c r="I1768" t="inlineStr">
        <is>
          <t>1</t>
        </is>
      </c>
      <c r="J1768">
        <f>((Inputs!$B$6*(1+Inputs!$B$7/100))+(((Inputs!$B$12*(1+Inputs!$B$13/100))-(Inputs!$B$12*(1+Inputs!$B$13/100)))+0.25*(Inputs!$B$14-Inputs!$B$14))*(1+Inputs!$B$7/100))*(F1768/100)</f>
        <v/>
      </c>
      <c r="K1768">
        <f>J1768*(1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1774=TRUE,F1774,0)/100)*(1+(IF(Skills!A5="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1768)</f>
        <v/>
      </c>
      <c r="L1768">
        <f>K1768*(MIN(Inputs!$B$22+((C1788=TRUE)*(F1788-Calc!F25)),(Inputs!$B$23+((C1793=TRUE)*(F1793-Calc!F30))+(IF(ArtifactsInput!$M$15,CHOOSE(ArtifactsInput!$N$15+1,25,30,35,40,45,50)/100*(Inputs!$B$11-Inputs!$B$11),0))))/100+(Inputs!$B$23+((C1793=TRUE)*(F1793-Calc!F30))+(IF(ArtifactsInput!$M$15,CHOOSE(ArtifactsInput!$N$15+1,25,30,35,40,45,50)/100*(Inputs!$B$11-Inputs!$B$11),0)))/100)/2</f>
        <v/>
      </c>
      <c r="M1768">
        <f>L1768*(1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8">
        <f>L1768*(1-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1768*(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8">
        <f>(1-Summary!$B$11)*T1768+Summary!$B$11*V1768</f>
        <v/>
      </c>
      <c r="P1768">
        <f>IF(B1807=0,0,O1768/B1807)</f>
        <v/>
      </c>
      <c r="Q1768">
        <f>IFERROR(1/(IF(Inputs!$B$38="pvp",15,MAX(0.1,Skills!D5-IF(Skills!E5=TRUE,Inputs!$B$32,0)))*(1-IF(AND(ArtifactsInput!$M$27,Inputs!$B$4="Chapter Hunt"),CHOOSE(ArtifactsInput!$N$27+1,20,24,28,32,36,40),0)/100)),0)</f>
        <v/>
      </c>
      <c r="R1768">
        <f>IF(AND(Inputs!$B$38&lt;&gt;"pvp",Inputs!$B$43&gt;0),IF(MAX(0,Inputs!$B$43-B1804)&lt;=0,0,(INT(MAX(0,Inputs!$B$43-B1804)/(IF(Inputs!$B$38="pvp",15,MAX(0.1,Skills!D5-IF(Skills!E5=TRUE,Inputs!$B$32,0)))*(1-IF(AND(ArtifactsInput!$M$27,Inputs!$B$4="Chapter Hunt"),CHOOSE(ArtifactsInput!$N$27+1,20,24,28,32,36,40),0)/100)))+1)),0)</f>
        <v/>
      </c>
      <c r="S1768">
        <f>IFERROR(O1768/N1768,0)</f>
        <v/>
      </c>
      <c r="T1768">
        <f>IF(C1768,(H1768*N1768*IF(AND(Inputs!$B$38&lt;&gt;"pvp",Inputs!$B$43&gt;0),((Skills!G5*((R1768-1)*IF(Skills!H5&gt;0,Skills!I5/Skills!H5,1)+IF(Skills!H5&gt;0,MIN(Skills!I5,MAX(0,MAX(0,Inputs!$B$43-B1804)-((R1768-1)*(IF(Inputs!$B$38="pvp",15,MAX(0.1,Skills!D5-IF(Skills!E5=TRUE,Inputs!$B$32,0)))*(1-IF(AND(ArtifactsInput!$M$27,Inputs!$B$4="Chapter Hunt"),CHOOSE(ArtifactsInput!$N$27+1,20,24,28,32,36,40),0)/100)))))/Skills!H5,1)))/Inputs!$B$43),G1768*Q1768)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1768*(1-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1768*(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1768*(1-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1768*(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8">
        <f>IF(C1768,(H1768*N1768*IF(AND(Inputs!$B$38&lt;&gt;"pvp",Inputs!$B$43&gt;0),((Skills!G5*((R1768-1)*IF(Skills!H5&gt;0,Skills!I5/Skills!H5,1)+IF(Skills!H5&gt;0,MIN(Skills!I5,MAX(0,MAX(0,Inputs!$B$43-B1804)-((R1768-1)*(IF(Inputs!$B$38="pvp",15,MAX(0.1,Skills!D5-IF(Skills!E5=TRUE,Inputs!$B$32,0)))*(1-IF(AND(ArtifactsInput!$M$27,Inputs!$B$4="Chapter Hunt"),CHOOSE(ArtifactsInput!$N$27+1,20,24,28,32,36,40),0)/100)))))/Skills!H5,1)))/Inputs!$B$43),G1768*Q1768))*IF(Inputs!$B$38="pvp",1,(1+(Inputs!$B$21+Skills!Q5+(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9">
      <c r="A1769">
        <f>Skills!A6</f>
        <v/>
      </c>
      <c r="B1769">
        <f>Skills!B6</f>
        <v/>
      </c>
      <c r="C1769">
        <f>Inputs!$B$3&gt;=40</f>
        <v/>
      </c>
      <c r="D1769">
        <f>IF(Skills!C6=1,60+Inputs!$B$25+Inputs!$B$29,IF(Skills!C6=2,90+Inputs!$B$26+Inputs!$B$29,IF(Skills!C6=3,120+Inputs!$B$27+Inputs!$B$29,MAX(0,(Inputs!$B$3-100)*3)+Inputs!$B$28+Inputs!$B$29)))</f>
        <v/>
      </c>
      <c r="E1769">
        <f>INDEX(FactorTable!$B$2:$Y$301, MATCH(ROUND(MIN(300,MAX(1,D1769)),0), FactorTable!$A$2:$A$301,0), Skills!M6+1)</f>
        <v/>
      </c>
      <c r="F1769">
        <f>IF(Skills!N6=TRUE,(Skills!L6/10)*(E1769/1000),Skills!L6/10)+Skills!O6</f>
        <v/>
      </c>
      <c r="G1769">
        <f>Skills!G6*IF(Skills!H6&gt;0,Skills!I6/Skills!H6,1)</f>
        <v/>
      </c>
      <c r="H1769">
        <f>1-(1-Skills!J6/100)^Skills!K6</f>
        <v/>
      </c>
      <c r="I1769" t="inlineStr">
        <is>
          <t>1</t>
        </is>
      </c>
      <c r="J1769">
        <f>((Inputs!$B$6*(1+Inputs!$B$7/100))+(((Inputs!$B$12*(1+Inputs!$B$13/100))-(Inputs!$B$12*(1+Inputs!$B$13/100)))+0.25*(Inputs!$B$14-Inputs!$B$14))*(1+Inputs!$B$7/100))*(F1769/100)</f>
        <v/>
      </c>
      <c r="K1769">
        <f>J1769*(1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1770=TRUE,F1770,0)/100)*(1+(IF(Skills!A6="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1769)</f>
        <v/>
      </c>
      <c r="L1769">
        <f>K1769*(MIN(Inputs!$B$22+((C1788=TRUE)*(F1788-Calc!F25)),(Inputs!$B$23+((C1793=TRUE)*(F1793-Calc!F30))+(IF(ArtifactsInput!$M$15,CHOOSE(ArtifactsInput!$N$15+1,25,30,35,40,45,50)/100*(Inputs!$B$11-Inputs!$B$11),0))))/100+(Inputs!$B$23+((C1793=TRUE)*(F1793-Calc!F30))+(IF(ArtifactsInput!$M$15,CHOOSE(ArtifactsInput!$N$15+1,25,30,35,40,45,50)/100*(Inputs!$B$11-Inputs!$B$11),0)))/100)/2</f>
        <v/>
      </c>
      <c r="M1769">
        <f>L1769*(1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9">
        <f>L1769*(1-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1769*(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9">
        <f>(1-Summary!$B$11)*T1769+Summary!$B$11*V1769</f>
        <v/>
      </c>
      <c r="P1769">
        <f>IF(B1807=0,0,O1769/B1807)</f>
        <v/>
      </c>
      <c r="Q1769">
        <f>IFERROR(1/(IF(Inputs!$B$38="pvp",15,MAX(0.1,Skills!D6-IF(Skills!E6=TRUE,Inputs!$B$32,0)))*(1-IF(AND(ArtifactsInput!$M$27,Inputs!$B$4="Chapter Hunt"),CHOOSE(ArtifactsInput!$N$27+1,20,24,28,32,36,40),0)/100)),0)</f>
        <v/>
      </c>
      <c r="R1769">
        <f>IF(AND(Inputs!$B$38&lt;&gt;"pvp",Inputs!$B$43&gt;0),IF(MAX(0,Inputs!$B$43-B1804)&lt;=0,0,(INT(MAX(0,Inputs!$B$43-B1804)/(IF(Inputs!$B$38="pvp",15,MAX(0.1,Skills!D6-IF(Skills!E6=TRUE,Inputs!$B$32,0)))*(1-IF(AND(ArtifactsInput!$M$27,Inputs!$B$4="Chapter Hunt"),CHOOSE(ArtifactsInput!$N$27+1,20,24,28,32,36,40),0)/100)))+1)),0)</f>
        <v/>
      </c>
      <c r="S1769">
        <f>IFERROR(O1769/N1769,0)</f>
        <v/>
      </c>
      <c r="T1769">
        <f>IF(C1769,(H1769*N1769*IF(AND(Inputs!$B$38&lt;&gt;"pvp",Inputs!$B$43&gt;0),((Skills!G6*((R1769-1)*IF(Skills!H6&gt;0,Skills!I6/Skills!H6,1)+IF(Skills!H6&gt;0,MIN(Skills!I6,MAX(0,MAX(0,Inputs!$B$43-B1804)-((R1769-1)*(IF(Inputs!$B$38="pvp",15,MAX(0.1,Skills!D6-IF(Skills!E6=TRUE,Inputs!$B$32,0)))*(1-IF(AND(ArtifactsInput!$M$27,Inputs!$B$4="Chapter Hunt"),CHOOSE(ArtifactsInput!$N$27+1,20,24,28,32,36,40),0)/100)))))/Skills!H6,1)))/Inputs!$B$43),G1769*Q1769)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1769*(1-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1769*(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1769*(1-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1769*(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9">
        <f>IF(C1769,(H1769*N1769*IF(AND(Inputs!$B$38&lt;&gt;"pvp",Inputs!$B$43&gt;0),((Skills!G6*((R1769-1)*IF(Skills!H6&gt;0,Skills!I6/Skills!H6,1)+IF(Skills!H6&gt;0,MIN(Skills!I6,MAX(0,MAX(0,Inputs!$B$43-B1804)-((R1769-1)*(IF(Inputs!$B$38="pvp",15,MAX(0.1,Skills!D6-IF(Skills!E6=TRUE,Inputs!$B$32,0)))*(1-IF(AND(ArtifactsInput!$M$27,Inputs!$B$4="Chapter Hunt"),CHOOSE(ArtifactsInput!$N$27+1,20,24,28,32,36,40),0)/100)))))/Skills!H6,1)))/Inputs!$B$43),G1769*Q1769))*IF(Inputs!$B$38="pvp",1,(1+(Inputs!$B$21+Skills!Q6+(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0">
      <c r="A1770">
        <f>Skills!A7</f>
        <v/>
      </c>
      <c r="B1770">
        <f>Skills!B7</f>
        <v/>
      </c>
      <c r="C1770">
        <f>Inputs!$B$3&gt;=107</f>
        <v/>
      </c>
      <c r="D1770">
        <f>IF(Skills!C7=1,60+Inputs!$B$25+Inputs!$B$29,IF(Skills!C7=2,90+Inputs!$B$26+Inputs!$B$29,IF(Skills!C7=3,120+Inputs!$B$27+Inputs!$B$29,MAX(0,(Inputs!$B$3-100)*3)+Inputs!$B$28+Inputs!$B$29)))</f>
        <v/>
      </c>
      <c r="E1770">
        <f>INDEX(FactorTable!$B$2:$Y$301, MATCH(ROUND(MIN(300,MAX(1,D1770)),0), FactorTable!$A$2:$A$301,0), Skills!M7+1)</f>
        <v/>
      </c>
      <c r="F1770">
        <f>IF(Skills!N7=TRUE,(Skills!L7/10)*(E1770/1000),Skills!L7/10)+Skills!O7</f>
        <v/>
      </c>
      <c r="G1770" t="inlineStr"/>
      <c r="H1770" t="inlineStr"/>
      <c r="I1770" t="inlineStr">
        <is>
          <t>1</t>
        </is>
      </c>
      <c r="J1770" t="inlineStr"/>
      <c r="K1770" t="inlineStr"/>
      <c r="L1770" t="inlineStr"/>
      <c r="M1770" t="inlineStr"/>
      <c r="N1770" t="inlineStr"/>
      <c r="O1770" t="inlineStr"/>
      <c r="P1770" t="inlineStr"/>
      <c r="Q1770" t="inlineStr"/>
      <c r="R1770" t="inlineStr"/>
      <c r="S1770" t="inlineStr"/>
      <c r="T1770" t="inlineStr"/>
      <c r="V1770" t="inlineStr"/>
    </row>
    <row r="1771">
      <c r="A1771">
        <f>Skills!A8</f>
        <v/>
      </c>
      <c r="B1771">
        <f>Skills!B8</f>
        <v/>
      </c>
      <c r="C1771">
        <f>Inputs!$B$3&gt;=69</f>
        <v/>
      </c>
      <c r="D1771">
        <f>IF(Skills!C8=1,60+Inputs!$B$25+Inputs!$B$29,IF(Skills!C8=2,90+Inputs!$B$26+Inputs!$B$29,IF(Skills!C8=3,120+Inputs!$B$27+Inputs!$B$29,MAX(0,(Inputs!$B$3-100)*3)+Inputs!$B$28+Inputs!$B$29)))</f>
        <v/>
      </c>
      <c r="E1771">
        <f>INDEX(FactorTable!$B$2:$Y$301, MATCH(ROUND(MIN(300,MAX(1,D1771)),0), FactorTable!$A$2:$A$301,0), Skills!M8+1)</f>
        <v/>
      </c>
      <c r="F1771">
        <f>IF(Skills!N8=TRUE,(Skills!L8/10)*(E1771/1000),Skills!L8/10)+Skills!O8</f>
        <v/>
      </c>
      <c r="G1771">
        <f>Skills!G8*IF(Skills!H8&gt;0,Skills!I8/Skills!H8,1)</f>
        <v/>
      </c>
      <c r="H1771">
        <f>1-(1-Skills!J8/100)^Skills!K8</f>
        <v/>
      </c>
      <c r="I1771" t="inlineStr">
        <is>
          <t>1</t>
        </is>
      </c>
      <c r="J1771">
        <f>((Inputs!$B$6*(1+Inputs!$B$7/100))+(((Inputs!$B$12*(1+Inputs!$B$13/100))-(Inputs!$B$12*(1+Inputs!$B$13/100)))+0.25*(Inputs!$B$14-Inputs!$B$14))*(1+Inputs!$B$7/100))*(F1771/100)</f>
        <v/>
      </c>
      <c r="K1771">
        <f>J1771*(1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1774=TRUE,F1774,0)/100)*(1+(IF(Skills!A8="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1771)</f>
        <v/>
      </c>
      <c r="L1771">
        <f>K1771*(MIN(Inputs!$B$22+((C1788=TRUE)*(F1788-Calc!F25)),(Inputs!$B$23+((C1793=TRUE)*(F1793-Calc!F30))+(IF(ArtifactsInput!$M$15,CHOOSE(ArtifactsInput!$N$15+1,25,30,35,40,45,50)/100*(Inputs!$B$11-Inputs!$B$11),0))))/100+(Inputs!$B$23+((C1793=TRUE)*(F1793-Calc!F30))+(IF(ArtifactsInput!$M$15,CHOOSE(ArtifactsInput!$N$15+1,25,30,35,40,45,50)/100*(Inputs!$B$11-Inputs!$B$11),0)))/100)/2</f>
        <v/>
      </c>
      <c r="M1771">
        <f>L1771*(1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1">
        <f>L1771*(1-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1">
        <f>(1-Summary!$B$11)*T1771+Summary!$B$11*V1771</f>
        <v/>
      </c>
      <c r="P1771">
        <f>IF(B1807=0,0,O1771/B1807)</f>
        <v/>
      </c>
      <c r="Q1771">
        <f>IFERROR(1/(IF(Inputs!$B$38="pvp",15,MAX(0.1,Skills!D8-IF(Skills!E8=TRUE,Inputs!$B$32,0)))*(1-IF(AND(ArtifactsInput!$M$27,Inputs!$B$4="Chapter Hunt"),CHOOSE(ArtifactsInput!$N$27+1,20,24,28,32,36,40),0)/100)),0)</f>
        <v/>
      </c>
      <c r="R1771">
        <f>IF(AND(Inputs!$B$38&lt;&gt;"pvp",Inputs!$B$43&gt;0),IF(MAX(0,Inputs!$B$43-B1804)&lt;=0,0,(INT(MAX(0,Inputs!$B$43-B1804)/(IF(Inputs!$B$38="pvp",15,MAX(0.1,Skills!D8-IF(Skills!E8=TRUE,Inputs!$B$32,0)))*(1-IF(AND(ArtifactsInput!$M$27,Inputs!$B$4="Chapter Hunt"),CHOOSE(ArtifactsInput!$N$27+1,20,24,28,32,36,40),0)/100)))+1)),0)</f>
        <v/>
      </c>
      <c r="S1771">
        <f>IFERROR(O1771/N1771,0)</f>
        <v/>
      </c>
      <c r="T1771">
        <f>IF(C1771,(H1771*N1771*IF(AND(Inputs!$B$38&lt;&gt;"pvp",Inputs!$B$43&gt;0),((Skills!G8*((R1771-1)*IF(Skills!H8&gt;0,Skills!I8/Skills!H8,1)+IF(Skills!H8&gt;0,MIN(Skills!I8,MAX(0,MAX(0,Inputs!$B$43-B1804)-((R1771-1)*(IF(Inputs!$B$38="pvp",15,MAX(0.1,Skills!D8-IF(Skills!E8=TRUE,Inputs!$B$32,0)))*(1-IF(AND(ArtifactsInput!$M$27,Inputs!$B$4="Chapter Hunt"),CHOOSE(ArtifactsInput!$N$27+1,20,24,28,32,36,40),0)/100)))))/Skills!H8,1)))/Inputs!$B$43),G1771*Q1771)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1771*(1-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1771*(1-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1">
        <f>IF(C1771,(H1771*N1771*IF(AND(Inputs!$B$38&lt;&gt;"pvp",Inputs!$B$43&gt;0),((Skills!G8*((R1771-1)*IF(Skills!H8&gt;0,Skills!I8/Skills!H8,1)+IF(Skills!H8&gt;0,MIN(Skills!I8,MAX(0,MAX(0,Inputs!$B$43-B1804)-((R1771-1)*(IF(Inputs!$B$38="pvp",15,MAX(0.1,Skills!D8-IF(Skills!E8=TRUE,Inputs!$B$32,0)))*(1-IF(AND(ArtifactsInput!$M$27,Inputs!$B$4="Chapter Hunt"),CHOOSE(ArtifactsInput!$N$27+1,20,24,28,32,36,40),0)/100)))))/Skills!H8,1)))/Inputs!$B$43),G1771*Q1771))*IF(Inputs!$B$38="pvp",1,(1+(Inputs!$B$21+Skills!Q8+(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2">
      <c r="A1772">
        <f>Skills!A9</f>
        <v/>
      </c>
      <c r="B1772">
        <f>Skills!B9</f>
        <v/>
      </c>
      <c r="C1772">
        <f>Inputs!$B$3&gt;=63</f>
        <v/>
      </c>
      <c r="D1772">
        <f>IF(Skills!C9=1,60+Inputs!$B$25+Inputs!$B$29,IF(Skills!C9=2,90+Inputs!$B$26+Inputs!$B$29,IF(Skills!C9=3,120+Inputs!$B$27+Inputs!$B$29,MAX(0,(Inputs!$B$3-100)*3)+Inputs!$B$28+Inputs!$B$29)))</f>
        <v/>
      </c>
      <c r="E1772">
        <f>INDEX(FactorTable!$B$2:$Y$301, MATCH(ROUND(MIN(300,MAX(1,D1772)),0), FactorTable!$A$2:$A$301,0), Skills!M9+1)</f>
        <v/>
      </c>
      <c r="F1772">
        <f>IF(Skills!N9=TRUE,(Skills!L9/10)*(E1772/1000),Skills!L9/10)+Skills!O9</f>
        <v/>
      </c>
      <c r="G1772">
        <f>Skills!G9*IF(Skills!H9&gt;0,Skills!I9/Skills!H9,1)</f>
        <v/>
      </c>
      <c r="H1772">
        <f>1-(1-Skills!J9/100)^Skills!K9</f>
        <v/>
      </c>
      <c r="I1772" t="inlineStr">
        <is>
          <t>1</t>
        </is>
      </c>
      <c r="J1772">
        <f>((Inputs!$B$6*(1+Inputs!$B$7/100))+(((Inputs!$B$12*(1+Inputs!$B$13/100))-(Inputs!$B$12*(1+Inputs!$B$13/100)))+0.25*(Inputs!$B$14-Inputs!$B$14))*(1+Inputs!$B$7/100))*(F1772/100)</f>
        <v/>
      </c>
      <c r="K1772">
        <f>J1772*(1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1774=TRUE,F1774,0)/100)*(1+(IF(Skills!A9="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1772)</f>
        <v/>
      </c>
      <c r="L1772">
        <f>K1772*(MIN(Inputs!$B$22+((C1788=TRUE)*(F1788-Calc!F25)),(Inputs!$B$23+((C1793=TRUE)*(F1793-Calc!F30))+(IF(ArtifactsInput!$M$15,CHOOSE(ArtifactsInput!$N$15+1,25,30,35,40,45,50)/100*(Inputs!$B$11-Inputs!$B$11),0))))/100+(Inputs!$B$23+((C1793=TRUE)*(F1793-Calc!F30))+(IF(ArtifactsInput!$M$15,CHOOSE(ArtifactsInput!$N$15+1,25,30,35,40,45,50)/100*(Inputs!$B$11-Inputs!$B$11),0)))/100)/2</f>
        <v/>
      </c>
      <c r="M1772">
        <f>L1772*(1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2">
        <f>L1772*(1-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1772*(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2">
        <f>(1-Summary!$B$11)*T1772+Summary!$B$11*V1772</f>
        <v/>
      </c>
      <c r="P1772">
        <f>IF(B1807=0,0,O1772/B1807)</f>
        <v/>
      </c>
      <c r="Q1772">
        <f>IFERROR(1/(IF(Inputs!$B$38="pvp",15,MAX(0.1,Skills!D9-IF(Skills!E9=TRUE,Inputs!$B$32,0)))*(1-IF(AND(ArtifactsInput!$M$27,Inputs!$B$4="Chapter Hunt"),CHOOSE(ArtifactsInput!$N$27+1,20,24,28,32,36,40),0)/100)),0)</f>
        <v/>
      </c>
      <c r="R1772">
        <f>IF(AND(Inputs!$B$38&lt;&gt;"pvp",Inputs!$B$43&gt;0),IF(MAX(0,Inputs!$B$43-B1804)&lt;=0,0,(INT(MAX(0,Inputs!$B$43-B1804)/(IF(Inputs!$B$38="pvp",15,MAX(0.1,Skills!D9-IF(Skills!E9=TRUE,Inputs!$B$32,0)))*(1-IF(AND(ArtifactsInput!$M$27,Inputs!$B$4="Chapter Hunt"),CHOOSE(ArtifactsInput!$N$27+1,20,24,28,32,36,40),0)/100)))+1)),0)</f>
        <v/>
      </c>
      <c r="S1772">
        <f>IFERROR(O1772/N1772,0)</f>
        <v/>
      </c>
      <c r="T1772">
        <f>IF(C1772,(H1772*N1772*IF(AND(Inputs!$B$38&lt;&gt;"pvp",Inputs!$B$43&gt;0),((Skills!G9*((R1772-1)*IF(Skills!H9&gt;0,Skills!I9/Skills!H9,1)+IF(Skills!H9&gt;0,MIN(Skills!I9,MAX(0,MAX(0,Inputs!$B$43-B1804)-((R1772-1)*(IF(Inputs!$B$38="pvp",15,MAX(0.1,Skills!D9-IF(Skills!E9=TRUE,Inputs!$B$32,0)))*(1-IF(AND(ArtifactsInput!$M$27,Inputs!$B$4="Chapter Hunt"),CHOOSE(ArtifactsInput!$N$27+1,20,24,28,32,36,40),0)/100)))))/Skills!H9,1)))/Inputs!$B$43),G1772*Q1772)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1772*(1-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1772*(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1772*(1-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1772*(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2">
        <f>IF(C1772,(H1772*N1772*IF(AND(Inputs!$B$38&lt;&gt;"pvp",Inputs!$B$43&gt;0),((Skills!G9*((R1772-1)*IF(Skills!H9&gt;0,Skills!I9/Skills!H9,1)+IF(Skills!H9&gt;0,MIN(Skills!I9,MAX(0,MAX(0,Inputs!$B$43-B1804)-((R1772-1)*(IF(Inputs!$B$38="pvp",15,MAX(0.1,Skills!D9-IF(Skills!E9=TRUE,Inputs!$B$32,0)))*(1-IF(AND(ArtifactsInput!$M$27,Inputs!$B$4="Chapter Hunt"),CHOOSE(ArtifactsInput!$N$27+1,20,24,28,32,36,40),0)/100)))))/Skills!H9,1)))/Inputs!$B$43),G1772*Q1772))*IF(Inputs!$B$38="pvp",1,(1+(Inputs!$B$21+Skills!Q9+(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3">
      <c r="A1773">
        <f>Skills!A10</f>
        <v/>
      </c>
      <c r="B1773">
        <f>Skills!B10</f>
        <v/>
      </c>
      <c r="C1773">
        <f>Inputs!$B$3&gt;=103</f>
        <v/>
      </c>
      <c r="D1773">
        <f>IF(Skills!C10=1,60+Inputs!$B$25+Inputs!$B$29,IF(Skills!C10=2,90+Inputs!$B$26+Inputs!$B$29,IF(Skills!C10=3,120+Inputs!$B$27+Inputs!$B$29,MAX(0,(Inputs!$B$3-100)*3)+Inputs!$B$28+Inputs!$B$29)))</f>
        <v/>
      </c>
      <c r="E1773">
        <f>INDEX(FactorTable!$B$2:$Y$301, MATCH(ROUND(MIN(300,MAX(1,D1773)),0), FactorTable!$A$2:$A$301,0), Skills!M10+1)</f>
        <v/>
      </c>
      <c r="F1773">
        <f>IF(Skills!N10=TRUE,(Skills!L10/10)*(E1773/1000),Skills!L10/10)+Skills!O10</f>
        <v/>
      </c>
      <c r="G1773">
        <f>Skills!G10*IF(Skills!H10&gt;0,Skills!I10/Skills!H10,1)</f>
        <v/>
      </c>
      <c r="H1773">
        <f>1-(1-Skills!J10/100)^Skills!K10</f>
        <v/>
      </c>
      <c r="I1773" t="inlineStr">
        <is>
          <t>1</t>
        </is>
      </c>
      <c r="J1773">
        <f>((Inputs!$B$6*(1+Inputs!$B$7/100))+(((Inputs!$B$12*(1+Inputs!$B$13/100))-(Inputs!$B$12*(1+Inputs!$B$13/100)))+0.25*(Inputs!$B$14-Inputs!$B$14))*(1+Inputs!$B$7/100))*(F1773/100)</f>
        <v/>
      </c>
      <c r="K1773">
        <f>J1773*(1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1773)</f>
        <v/>
      </c>
      <c r="L1773">
        <f>K1773*(MIN(Inputs!$B$22+((C1788=TRUE)*(F1788-Calc!F25)),(Inputs!$B$23+((C1793=TRUE)*(F1793-Calc!F30))+(IF(ArtifactsInput!$M$15,CHOOSE(ArtifactsInput!$N$15+1,25,30,35,40,45,50)/100*(Inputs!$B$11-Inputs!$B$11),0))))/100+(Inputs!$B$23+((C1793=TRUE)*(F1793-Calc!F30))+(IF(ArtifactsInput!$M$15,CHOOSE(ArtifactsInput!$N$15+1,25,30,35,40,45,50)/100*(Inputs!$B$11-Inputs!$B$11),0)))/100)/2</f>
        <v/>
      </c>
      <c r="M1773">
        <f>L1773*(1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3">
        <f>L1773*(1-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1773*(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3">
        <f>(1-Summary!$B$11)*T1773+Summary!$B$11*V1773</f>
        <v/>
      </c>
      <c r="P1773">
        <f>IF(B1807=0,0,O1773/B1807)</f>
        <v/>
      </c>
      <c r="Q1773">
        <f>IFERROR(1/(IF(Inputs!$B$38="pvp",15,MAX(0.1,Skills!D10-IF(Skills!E10=TRUE,Inputs!$B$32,0)))*(1-IF(AND(ArtifactsInput!$M$27,Inputs!$B$4="Chapter Hunt"),CHOOSE(ArtifactsInput!$N$27+1,20,24,28,32,36,40),0)/100)),0)</f>
        <v/>
      </c>
      <c r="R1773">
        <f>IF(AND(Inputs!$B$38&lt;&gt;"pvp",Inputs!$B$43&gt;0),IF(MAX(0,Inputs!$B$43-B1804)&lt;=0,0,(INT(MAX(0,Inputs!$B$43-B1804)/(IF(Inputs!$B$38="pvp",15,MAX(0.1,Skills!D10-IF(Skills!E10=TRUE,Inputs!$B$32,0)))*(1-IF(AND(ArtifactsInput!$M$27,Inputs!$B$4="Chapter Hunt"),CHOOSE(ArtifactsInput!$N$27+1,20,24,28,32,36,40),0)/100)))+1)),0)</f>
        <v/>
      </c>
      <c r="S1773">
        <f>IFERROR(O1773/N1773,0)</f>
        <v/>
      </c>
      <c r="T1773">
        <f>IF(C1773,(H1773*N1773*IF(AND(Inputs!$B$38&lt;&gt;"pvp",Inputs!$B$43&gt;0),((Skills!G10*((R1773-1)*IF(Skills!H10&gt;0,Skills!I10/Skills!H10,1)+IF(Skills!H10&gt;0,MIN(Skills!I10,MAX(0,MAX(0,Inputs!$B$43-B1804)-((R1773-1)*(IF(Inputs!$B$38="pvp",15,MAX(0.1,Skills!D10-IF(Skills!E10=TRUE,Inputs!$B$32,0)))*(1-IF(AND(ArtifactsInput!$M$27,Inputs!$B$4="Chapter Hunt"),CHOOSE(ArtifactsInput!$N$27+1,20,24,28,32,36,40),0)/100)))))/Skills!H10,1)))/Inputs!$B$43),G1773*Q1773)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1773*(1-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1773*(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1773*(1-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1773*(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3">
        <f>IF(C1773,(H1773*N1773*IF(AND(Inputs!$B$38&lt;&gt;"pvp",Inputs!$B$43&gt;0),((Skills!G10*((R1773-1)*IF(Skills!H10&gt;0,Skills!I10/Skills!H10,1)+IF(Skills!H10&gt;0,MIN(Skills!I10,MAX(0,MAX(0,Inputs!$B$43-B1804)-((R1773-1)*(IF(Inputs!$B$38="pvp",15,MAX(0.1,Skills!D10-IF(Skills!E10=TRUE,Inputs!$B$32,0)))*(1-IF(AND(ArtifactsInput!$M$27,Inputs!$B$4="Chapter Hunt"),CHOOSE(ArtifactsInput!$N$27+1,20,24,28,32,36,40),0)/100)))))/Skills!H10,1)))/Inputs!$B$43),G1773*Q1773))*IF(Inputs!$B$38="pvp",1,(1+(Inputs!$B$21+Skills!Q10+(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4">
      <c r="A1774">
        <f>Skills!A11</f>
        <v/>
      </c>
      <c r="B1774">
        <f>Skills!B11</f>
        <v/>
      </c>
      <c r="C1774">
        <f>Inputs!$B$3&gt;=100</f>
        <v/>
      </c>
      <c r="D1774">
        <f>IF(Skills!C11=1,60+Inputs!$B$25+Inputs!$B$29,IF(Skills!C11=2,90+Inputs!$B$26+Inputs!$B$29,IF(Skills!C11=3,120+Inputs!$B$27+Inputs!$B$29,MAX(0,(Inputs!$B$3-100)*3)+Inputs!$B$28+Inputs!$B$29)))</f>
        <v/>
      </c>
      <c r="E1774">
        <f>INDEX(FactorTable!$B$2:$Y$301, MATCH(ROUND(MIN(300,MAX(1,D1774)),0), FactorTable!$A$2:$A$301,0), Skills!M11+1)</f>
        <v/>
      </c>
      <c r="F1774">
        <f>IF(Skills!N11=TRUE,(Skills!L11/10)*(E1774/1000),Skills!L11/10)+Skills!O11</f>
        <v/>
      </c>
      <c r="G1774" t="inlineStr"/>
      <c r="H1774" t="inlineStr"/>
      <c r="I1774" t="inlineStr">
        <is>
          <t>1</t>
        </is>
      </c>
      <c r="J1774" t="inlineStr"/>
      <c r="K1774" t="inlineStr"/>
      <c r="L1774" t="inlineStr"/>
      <c r="M1774" t="inlineStr"/>
      <c r="N1774" t="inlineStr"/>
      <c r="O1774" t="inlineStr"/>
      <c r="P1774" t="inlineStr"/>
      <c r="Q1774" t="inlineStr"/>
      <c r="R1774" t="inlineStr"/>
      <c r="S1774" t="inlineStr"/>
      <c r="T1774" t="inlineStr"/>
      <c r="V1774" t="inlineStr"/>
    </row>
    <row r="1775">
      <c r="A1775">
        <f>Skills!A12</f>
        <v/>
      </c>
      <c r="B1775">
        <f>Skills!B12</f>
        <v/>
      </c>
      <c r="C1775">
        <f>Inputs!$B$3&gt;=60</f>
        <v/>
      </c>
      <c r="D1775">
        <f>IF(Skills!C12=1,60+Inputs!$B$25+Inputs!$B$29,IF(Skills!C12=2,90+Inputs!$B$26+Inputs!$B$29,IF(Skills!C12=3,120+Inputs!$B$27+Inputs!$B$29,MAX(0,(Inputs!$B$3-100)*3)+Inputs!$B$28+Inputs!$B$29)))</f>
        <v/>
      </c>
      <c r="E1775">
        <f>INDEX(FactorTable!$B$2:$Y$301, MATCH(ROUND(MIN(300,MAX(1,D1775)),0), FactorTable!$A$2:$A$301,0), Skills!M12+1)</f>
        <v/>
      </c>
      <c r="F1775">
        <f>IF(Skills!N12=TRUE,(Skills!L12/10)*(E1775/1000),Skills!L12/10)+Skills!O12</f>
        <v/>
      </c>
      <c r="G1775">
        <f>Skills!G12*IF(Skills!H12&gt;0,Skills!I12/Skills!H12,1)</f>
        <v/>
      </c>
      <c r="H1775">
        <f>1-(1-Skills!J12/100)^Skills!K12</f>
        <v/>
      </c>
      <c r="I1775" t="inlineStr">
        <is>
          <t>1</t>
        </is>
      </c>
      <c r="J1775">
        <f>((Inputs!$B$6*(1+Inputs!$B$7/100))+(((Inputs!$B$12*(1+Inputs!$B$13/100))-(Inputs!$B$12*(1+Inputs!$B$13/100)))+0.25*(Inputs!$B$14-Inputs!$B$14))*(1+Inputs!$B$7/100))*(F1775/100)</f>
        <v/>
      </c>
      <c r="K1775">
        <f>J1775*(1+((Inputs!$B$12*(1+Inputs!$B$13/100))*0.01+Inputs!$B$14*0.0025)/100)*(1+Inputs!$B$15/100)*(1+Inputs!$B$16/100)*(5000/(6000+Inputs!$B$42*(1-(100*(1-(1-(Inputs!$B$19+((C1791=TRUE)*(F1791-Calc!F28)))/100)*(1-CHOOSE(ArtifactsInput!$N$40+1,5,6,7,8,9,10)/100)^(ArtifactsInput!$M$40-ArtifactsInput!$M$40)))/100)))*(1+(Inputs!$B$24+((C1789=TRUE)*(F1789-Calc!F26))+((C1790=TRUE)*(F1790-Calc!F27))+B1803)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1776=TRUE,F1776,0)/100)*(1+(IF(Skills!A12="ARROW_STREAM",Inputs!$B$17+((C1787=TRUE)*(F1787-Calc!F24))+(((IF(AND(ArtifactsInput!$M$42,((Inputs!$B$9+((C1784=TRUE)*(F1784-Calc!F21))+B1797+(ArtifactsInput!$M$24-ArtifactsInput!$M$24)*CHOOSE(ArtifactsInput!$N$24+1,10,12,14,16,18,20)+IF(ArtifactsInput!$M$10,CHOOSE(ArtifactsInput!$N$10+1,15,18,21,24,27,30)*(IF(Inputs!$B$38="pvp",MIN(15,15)/15,IF(AND(Inputs!$B$38&lt;&gt;"pvp",Inputs!$B$43&gt;0),MIN(15,Inputs!$B$43)/(Inputs!$B$43),0))),0)))&gt;=100),MIN(100,((Inputs!$B$9+((C1784=TRUE)*(F1784-Calc!F21))+B1797+(ArtifactsInput!$M$24-ArtifactsInput!$M$24)*CHOOSE(ArtifactsInput!$N$24+1,10,12,14,16,18,20)+IF(ArtifactsInput!$M$10,CHOOSE(ArtifactsInput!$N$10+1,15,18,21,24,27,30)*(IF(Inputs!$B$38="pvp",MIN(15,15)/15,IF(AND(Inputs!$B$38&lt;&gt;"pvp",Inputs!$B$43&gt;0),MIN(15,Inputs!$B$43)/(Inputs!$B$43),0))),0)))-100),0))*CHOOSE(ArtifactsInput!$N$42+1,0.6,0.72,0.84,0.96,1.08,1.2))),Inputs!$B$18+((C1792=TRUE)*(F1792-Calc!F29))+(IF(AND(ArtifactsInput!$M$42,((Inputs!$B$9+((C1784=TRUE)*(F1784-Calc!F21))+B1797+(ArtifactsInput!$M$24-ArtifactsInput!$M$24)*CHOOSE(ArtifactsInput!$N$24+1,10,12,14,16,18,20)+IF(ArtifactsInput!$M$10,CHOOSE(ArtifactsInput!$N$10+1,15,18,21,24,27,30)*(IF(Inputs!$B$38="pvp",MIN(15,15)/15,IF(AND(Inputs!$B$38&lt;&gt;"pvp",Inputs!$B$43&gt;0),MIN(15,Inputs!$B$43)/(Inputs!$B$43),0))),0)))&gt;=100),CHOOSE(ArtifactsInput!$N$42+1,40,48,56,64,72,80),0))))/100)*((1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1775)</f>
        <v/>
      </c>
      <c r="L1775">
        <f>K1775*(MIN(Inputs!$B$22+((C1788=TRUE)*(F1788-Calc!F25)),(Inputs!$B$23+((C1793=TRUE)*(F1793-Calc!F30))+(IF(ArtifactsInput!$M$15,CHOOSE(ArtifactsInput!$N$15+1,25,30,35,40,45,50)/100*(Inputs!$B$11-Inputs!$B$11),0))))/100+(Inputs!$B$23+((C1793=TRUE)*(F1793-Calc!F30))+(IF(ArtifactsInput!$M$15,CHOOSE(ArtifactsInput!$N$15+1,25,30,35,40,45,50)/100*(Inputs!$B$11-Inputs!$B$11),0)))/100)/2</f>
        <v/>
      </c>
      <c r="M1775">
        <f>L1775*(1+(Inputs!$B$10+0+B1802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5">
        <f>L1775*(1-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1775*(MIN((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5">
        <f>(1-Summary!$B$11)*T1775+Summary!$B$11*V1775</f>
        <v/>
      </c>
      <c r="P1775">
        <f>IF(B1807=0,0,O1775/B1807)</f>
        <v/>
      </c>
      <c r="Q1775">
        <f>IFERROR(1/(IF(Inputs!$B$38="pvp",15,MAX(0.1,Skills!D12-IF(Skills!E12=TRUE,Inputs!$B$32,0)))*(1-IF(AND(ArtifactsInput!$M$27,Inputs!$B$4="Chapter Hunt"),CHOOSE(ArtifactsInput!$N$27+1,20,24,28,32,36,40),0)/100)),0)</f>
        <v/>
      </c>
      <c r="R1775">
        <f>IF(AND(Inputs!$B$38&lt;&gt;"pvp",Inputs!$B$43&gt;0),IF(MAX(0,Inputs!$B$43-B1804)&lt;=0,0,(INT(MAX(0,Inputs!$B$43-B1804)/(IF(Inputs!$B$38="pvp",15,MAX(0.1,Skills!D12-IF(Skills!E12=TRUE,Inputs!$B$32,0)))*(1-IF(AND(ArtifactsInput!$M$27,Inputs!$B$4="Chapter Hunt"),CHOOSE(ArtifactsInput!$N$27+1,20,24,28,32,36,40),0)/100)))+1)),0)</f>
        <v/>
      </c>
      <c r="S1775">
        <f>IFERROR(O1775/N1775,0)</f>
        <v/>
      </c>
      <c r="T1775">
        <f>IF(C1775,(H1775*N1775*IF(AND(Inputs!$B$38&lt;&gt;"pvp",Inputs!$B$43&gt;0),((Skills!G12*((R1775-1)*IF(Skills!H12&gt;0,Skills!I12/Skills!H12,1)+IF(Skills!H12&gt;0,MIN(Skills!I12,MAX(0,MAX(0,Inputs!$B$43-B1804)-((R1775-1)*(IF(Inputs!$B$38="pvp",15,MAX(0.1,Skills!D12-IF(Skills!E12=TRUE,Inputs!$B$32,0)))*(1-IF(AND(ArtifactsInput!$M$27,Inputs!$B$4="Chapter Hunt"),CHOOSE(ArtifactsInput!$N$27+1,20,24,28,32,36,40),0)/100)))))/Skills!H12,1)))/Inputs!$B$43),G1775*Q1775)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(5000/(6000+Inputs!$B$42*(1-(100*(1-(1-(100*(1-(1-(Inputs!$B$19+((C1791=TRUE)*(F1791-Calc!F28)))/100)*(1-CHOOSE(ArtifactsInput!$N$40+1,5,6,7,8,9,10)/100)^(ArtifactsInput!$M$40-ArtifactsInput!$M$40)))/100)*(1-IF(ArtifactsInput!$M$40,CHOOSE(ArtifactsInput!$N$40+1,5,6,7,8,9,10),0)/100)^IF(Inputs!$B$38="pvp",1,2)))/100)))/(5000/(6000+Inputs!$B$42*(1-(100*(1-(1-(Inputs!$B$19+((C1791=TRUE)*(F1791-Calc!F28)))/100)*(1-CHOOSE(ArtifactsInput!$N$40+1,5,6,7,8,9,10)/100)^(ArtifactsInput!$M$40-ArtifactsInput!$M$40)))/100))))*((L1775*(1-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1775*(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1775*(1-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1775*(MIN(100,(Inputs!$B$9+((C1784=TRUE)*(F1784-Calc!F21))+B1797+(ArtifactsInput!$M$24-ArtifactsInput!$M$24)*CHOOSE(ArtifactsInput!$N$24+1,10,12,14,16,18,20)+(IF(AND(ArtifactsInput!$M$42,((Inputs!$B$9+((C1784=TRUE)*(F1784-Calc!F21))+B1797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5">
        <f>IF(C1775,(H1775*N1775*IF(AND(Inputs!$B$38&lt;&gt;"pvp",Inputs!$B$43&gt;0),((Skills!G12*((R1775-1)*IF(Skills!H12&gt;0,Skills!I12/Skills!H12,1)+IF(Skills!H12&gt;0,MIN(Skills!I12,MAX(0,MAX(0,Inputs!$B$43-B1804)-((R1775-1)*(IF(Inputs!$B$38="pvp",15,MAX(0.1,Skills!D12-IF(Skills!E12=TRUE,Inputs!$B$32,0)))*(1-IF(AND(ArtifactsInput!$M$27,Inputs!$B$4="Chapter Hunt"),CHOOSE(ArtifactsInput!$N$27+1,20,24,28,32,36,40),0)/100)))))/Skills!H12,1)))/Inputs!$B$43),G1775*Q1775))*IF(Inputs!$B$38="pvp",1,(1+(Inputs!$B$21+Skills!Q12+(IF(ArtifactsInput!$M$33,CHOOSE(ArtifactsInput!$N$33+1,30,36,42,48,54,60),0))+(IF(AND(ArtifactsInput!$M$35,Inputs!$B$4&lt;&gt;"Chapter Hunt"),CHOOSE(ArtifactsInput!$N$35+1,15,18,21,24,27,30)*(1-EXP(-(0.2*B1799)*5)),0)+IF(AND(ArtifactsInput!$M$22,Inputs!$B$4&lt;&gt;"Chapter Hunt"),CHOOSE(ArtifactsInput!$N$22+1,10,12,14,16,18,20)*((0*(((0.15*B1799*5))^0/1)+1*(((0.15*B1799*5))^1/1)+2*(((0.15*B1799*5))^2/2)+3*(((0.15*B1799*5))^3/6)+4*(((0.15*B1799*5))^4/24)+5*(((0.15*B1799*5))^5/120))/((((0.15*B1799*5))^0/1)+(((0.15*B1799*5))^1/1)+(((0.15*B1799*5))^2/2)+(((0.15*B1799*5))^3/6)+(((0.15*B1799*5))^4/24)+(((0.15*B1799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6">
      <c r="A1776">
        <f>Skills!A13</f>
        <v/>
      </c>
      <c r="B1776">
        <f>Skills!B13</f>
        <v/>
      </c>
      <c r="C1776">
        <f>Inputs!$B$3&gt;=110</f>
        <v/>
      </c>
      <c r="D1776">
        <f>IF(Skills!C13=1,60+Inputs!$B$25+Inputs!$B$29,IF(Skills!C13=2,90+Inputs!$B$26+Inputs!$B$29,IF(Skills!C13=3,120+Inputs!$B$27+Inputs!$B$29,MAX(0,(Inputs!$B$3-100)*3)+Inputs!$B$28+Inputs!$B$29)))</f>
        <v/>
      </c>
      <c r="E1776">
        <f>INDEX(FactorTable!$B$2:$Y$301, MATCH(ROUND(MIN(300,MAX(1,D1776)),0), FactorTable!$A$2:$A$301,0), Skills!M13+1)</f>
        <v/>
      </c>
      <c r="F1776">
        <f>IF(Skills!N13=TRUE,(Skills!L13/10)*(E1776/1000),Skills!L13/10)+Skills!O13</f>
        <v/>
      </c>
      <c r="G1776" t="inlineStr"/>
      <c r="H1776" t="inlineStr"/>
      <c r="I1776" t="inlineStr">
        <is>
          <t>1</t>
        </is>
      </c>
      <c r="J1776" t="inlineStr"/>
      <c r="K1776" t="inlineStr"/>
      <c r="L1776" t="inlineStr"/>
      <c r="M1776" t="inlineStr"/>
      <c r="N1776" t="inlineStr"/>
      <c r="O1776" t="inlineStr"/>
      <c r="P1776" t="inlineStr"/>
      <c r="Q1776" t="inlineStr"/>
      <c r="R1776" t="inlineStr"/>
      <c r="S1776" t="inlineStr"/>
      <c r="T1776" t="inlineStr"/>
      <c r="V1776" t="inlineStr"/>
    </row>
    <row r="1777">
      <c r="A1777">
        <f>Skills!A14</f>
        <v/>
      </c>
      <c r="B1777">
        <f>Skills!B14</f>
        <v/>
      </c>
      <c r="C1777">
        <f>Inputs!$B$3&gt;=74</f>
        <v/>
      </c>
      <c r="D1777">
        <f>IF(Skills!C14=1,60+Inputs!$B$25+Inputs!$B$29,IF(Skills!C14=2,90+Inputs!$B$26+Inputs!$B$29,IF(Skills!C14=3,120+Inputs!$B$27+Inputs!$B$29,MAX(0,(Inputs!$B$3-100)*3)+Inputs!$B$28+Inputs!$B$29)))</f>
        <v/>
      </c>
      <c r="E1777">
        <f>INDEX(FactorTable!$B$2:$Y$301, MATCH(ROUND(MIN(300,MAX(1,D1777)),0), FactorTable!$A$2:$A$301,0), Skills!M14+1)</f>
        <v/>
      </c>
      <c r="F1777">
        <f>IF(Skills!N14=TRUE,(Skills!L14/10)*(E1777/1000),Skills!L14/10)+Skills!O14</f>
        <v/>
      </c>
      <c r="G1777">
        <f>Skills!G14*IF(Skills!H14&gt;0,Skills!I14/Skills!H14,1)</f>
        <v/>
      </c>
      <c r="H1777">
        <f>1-(1-Skills!J14/100)^Skills!K14</f>
        <v/>
      </c>
      <c r="I1777" t="inlineStr">
        <is>
          <t>1</t>
        </is>
      </c>
      <c r="J1777" t="inlineStr"/>
      <c r="K1777" t="inlineStr"/>
      <c r="L1777" t="inlineStr"/>
      <c r="M1777" t="inlineStr"/>
      <c r="N1777" t="inlineStr"/>
      <c r="O1777">
        <f>(1-Summary!$B$11)*T1777+Summary!$B$11*V1777</f>
        <v/>
      </c>
      <c r="P1777">
        <f>IF(B1807=0,0,O1777/B1807)</f>
        <v/>
      </c>
      <c r="Q1777" t="n">
        <v>0</v>
      </c>
      <c r="R1777" t="n">
        <v>0</v>
      </c>
      <c r="S1777">
        <f>IFERROR(O1777/N1777,0)</f>
        <v/>
      </c>
      <c r="T1777" t="n">
        <v>0</v>
      </c>
      <c r="V1777" t="n">
        <v>0</v>
      </c>
    </row>
    <row r="1778">
      <c r="A1778">
        <f>Skills!A15</f>
        <v/>
      </c>
      <c r="B1778">
        <f>Skills!B15</f>
        <v/>
      </c>
      <c r="C1778">
        <f>Inputs!$B$3&gt;=74</f>
        <v/>
      </c>
      <c r="D1778">
        <f>IF(Skills!C15=1,60+Inputs!$B$25+Inputs!$B$29,IF(Skills!C15=2,90+Inputs!$B$26+Inputs!$B$29,IF(Skills!C15=3,120+Inputs!$B$27+Inputs!$B$29,MAX(0,(Inputs!$B$3-100)*3)+Inputs!$B$28+Inputs!$B$29)))</f>
        <v/>
      </c>
      <c r="E1778">
        <f>INDEX(FactorTable!$B$2:$Y$301, MATCH(ROUND(MIN(300,MAX(1,D1778)),0), FactorTable!$A$2:$A$301,0), Skills!M15+1)</f>
        <v/>
      </c>
      <c r="F1778">
        <f>IF(Skills!N15=TRUE,(Skills!L15/10)*(E1778/1000),Skills!L15/10)+Skills!O15</f>
        <v/>
      </c>
      <c r="G1778">
        <f>Skills!G15*IF(Skills!H15&gt;0,Skills!I15/Skills!H15,1)</f>
        <v/>
      </c>
      <c r="H1778">
        <f>1-(1-Skills!J15/100)^Skills!K15</f>
        <v/>
      </c>
      <c r="I1778" t="inlineStr">
        <is>
          <t>1</t>
        </is>
      </c>
      <c r="J1778" t="inlineStr"/>
      <c r="K1778" t="inlineStr"/>
      <c r="L1778" t="inlineStr"/>
      <c r="M1778" t="inlineStr"/>
      <c r="N1778" t="inlineStr"/>
      <c r="O1778">
        <f>(1-Summary!$B$11)*T1778+Summary!$B$11*V1778</f>
        <v/>
      </c>
      <c r="P1778">
        <f>IF(B1807=0,0,O1778/B1807)</f>
        <v/>
      </c>
      <c r="Q1778" t="n">
        <v>0</v>
      </c>
      <c r="R1778" t="n">
        <v>0</v>
      </c>
      <c r="S1778">
        <f>IFERROR(O1778/N1778,0)</f>
        <v/>
      </c>
      <c r="T1778" t="n">
        <v>0</v>
      </c>
      <c r="V1778" t="n">
        <v>0</v>
      </c>
    </row>
    <row r="1779">
      <c r="A1779">
        <f>Skills!A16</f>
        <v/>
      </c>
      <c r="B1779">
        <f>Skills!B16</f>
        <v/>
      </c>
      <c r="C1779">
        <f>Inputs!$B$3&gt;=117</f>
        <v/>
      </c>
      <c r="D1779">
        <f>IF(Skills!C16=1,60+Inputs!$B$25+Inputs!$B$29,IF(Skills!C16=2,90+Inputs!$B$26+Inputs!$B$29,IF(Skills!C16=3,120+Inputs!$B$27+Inputs!$B$29,MAX(0,(Inputs!$B$3-100)*3)+Inputs!$B$28+Inputs!$B$29)))</f>
        <v/>
      </c>
      <c r="E1779">
        <f>INDEX(FactorTable!$B$2:$Y$301, MATCH(ROUND(MIN(300,MAX(1,D1779)),0), FactorTable!$A$2:$A$301,0), Skills!M16+1)</f>
        <v/>
      </c>
      <c r="F1779">
        <f>IF(Skills!N16=TRUE,(Skills!L16/10)*(E1779/1000),Skills!L16/10)+Skills!O16</f>
        <v/>
      </c>
      <c r="G1779">
        <f>Skills!G16*IF(Skills!H16&gt;0,Skills!I16/Skills!H16,1)</f>
        <v/>
      </c>
      <c r="H1779">
        <f>1-(1-Skills!J16/100)^Skills!K16</f>
        <v/>
      </c>
      <c r="I1779" t="inlineStr">
        <is>
          <t>1</t>
        </is>
      </c>
      <c r="J1779" t="inlineStr"/>
      <c r="K1779" t="inlineStr"/>
      <c r="L1779" t="inlineStr"/>
      <c r="M1779" t="inlineStr"/>
      <c r="N1779" t="inlineStr"/>
      <c r="O1779">
        <f>(1-Summary!$B$11)*T1779+Summary!$B$11*V1779</f>
        <v/>
      </c>
      <c r="P1779">
        <f>IF(B1807=0,0,O1779/B1807)</f>
        <v/>
      </c>
      <c r="Q1779">
        <f>IFERROR(1/(IF(Inputs!$B$38="pvp",15,MAX(0.1,Skills!D16-IF(Skills!E16=TRUE,Inputs!$B$32,0)))*(1-IF(AND(ArtifactsInput!$M$27,Inputs!$B$4="Chapter Hunt"),CHOOSE(ArtifactsInput!$N$27+1,20,24,28,32,36,40),0)/100)),0)</f>
        <v/>
      </c>
      <c r="R1779">
        <f>IF(AND(Inputs!$B$38&lt;&gt;"pvp",Inputs!$B$43&gt;0),IF(Inputs!$B$43&lt;=0,0,(INT(Inputs!$B$43/(IF(Inputs!$B$38="pvp",15,MAX(0.1,Skills!D16-IF(Skills!E16=TRUE,Inputs!$B$32,0)))*(1-IF(AND(ArtifactsInput!$M$27,Inputs!$B$4="Chapter Hunt"),CHOOSE(ArtifactsInput!$N$27+1,20,24,28,32,36,40),0)/100)))+1)),0)</f>
        <v/>
      </c>
      <c r="S1779">
        <f>IFERROR(O1779/N1779,0)</f>
        <v/>
      </c>
      <c r="T1779" t="n">
        <v>0</v>
      </c>
      <c r="V1779" t="n">
        <v>0</v>
      </c>
    </row>
    <row r="1780">
      <c r="A1780">
        <f>Skills!A17</f>
        <v/>
      </c>
      <c r="B1780">
        <f>Skills!B17</f>
        <v/>
      </c>
      <c r="C1780">
        <f>Inputs!$B$3&gt;=115</f>
        <v/>
      </c>
      <c r="D1780">
        <f>IF(Skills!C17=1,60+Inputs!$B$25+Inputs!$B$29,IF(Skills!C17=2,90+Inputs!$B$26+Inputs!$B$29,IF(Skills!C17=3,120+Inputs!$B$27+Inputs!$B$29,MAX(0,(Inputs!$B$3-100)*3)+Inputs!$B$28+Inputs!$B$29)))</f>
        <v/>
      </c>
      <c r="E1780">
        <f>INDEX(FactorTable!$B$2:$Y$301, MATCH(ROUND(MIN(300,MAX(1,D1780)),0), FactorTable!$A$2:$A$301,0), Skills!M17+1)</f>
        <v/>
      </c>
      <c r="F1780">
        <f>IF(Skills!N17=TRUE,(Skills!L17/10)*(E1780/1000),Skills!L17/10)+Skills!O17</f>
        <v/>
      </c>
      <c r="G1780">
        <f>Skills!G17*IF(Skills!H17&gt;0,Skills!I17/Skills!H17,1)</f>
        <v/>
      </c>
      <c r="H1780">
        <f>1-(1-Skills!J17/100)^Skills!K17</f>
        <v/>
      </c>
      <c r="I1780" t="inlineStr">
        <is>
          <t>1</t>
        </is>
      </c>
      <c r="J1780" t="inlineStr"/>
      <c r="K1780" t="inlineStr"/>
      <c r="L1780" t="inlineStr"/>
      <c r="M1780" t="inlineStr"/>
      <c r="N1780" t="inlineStr"/>
      <c r="O1780">
        <f>(1-Summary!$B$11)*T1780+Summary!$B$11*V1780</f>
        <v/>
      </c>
      <c r="P1780">
        <f>IF(B1807=0,0,O1780/B1807)</f>
        <v/>
      </c>
      <c r="Q1780">
        <f>IFERROR(1/(IF(Inputs!$B$38="pvp",15,MAX(0.1,Skills!D17-IF(Skills!E17=TRUE,Inputs!$B$32,0)))*(1-IF(AND(ArtifactsInput!$M$27,Inputs!$B$4="Chapter Hunt"),CHOOSE(ArtifactsInput!$N$27+1,20,24,28,32,36,40),0)/100)),0)</f>
        <v/>
      </c>
      <c r="R1780">
        <f>IF(AND(Inputs!$B$38&lt;&gt;"pvp",Inputs!$B$43&gt;0),IF(Inputs!$B$43&lt;=0,0,(INT(Inputs!$B$43/(IF(Inputs!$B$38="pvp",15,MAX(0.1,Skills!D17-IF(Skills!E17=TRUE,Inputs!$B$32,0)))*(1-IF(AND(ArtifactsInput!$M$27,Inputs!$B$4="Chapter Hunt"),CHOOSE(ArtifactsInput!$N$27+1,20,24,28,32,36,40),0)/100)))+1)),0)</f>
        <v/>
      </c>
      <c r="S1780">
        <f>IFERROR(O1780/N1780,0)</f>
        <v/>
      </c>
      <c r="T1780" t="n">
        <v>0</v>
      </c>
      <c r="V1780" t="n">
        <v>0</v>
      </c>
    </row>
    <row r="1781">
      <c r="A1781">
        <f>Skills!A18</f>
        <v/>
      </c>
      <c r="B1781">
        <f>Skills!B18</f>
        <v/>
      </c>
      <c r="C1781">
        <f>Inputs!$B$3&gt;=66</f>
        <v/>
      </c>
      <c r="D1781">
        <f>IF(Skills!C18=1,60+Inputs!$B$25+Inputs!$B$29,IF(Skills!C18=2,90+Inputs!$B$26+Inputs!$B$29,IF(Skills!C18=3,120+Inputs!$B$27+Inputs!$B$29,MAX(0,(Inputs!$B$3-100)*3)+Inputs!$B$28+Inputs!$B$29)))</f>
        <v/>
      </c>
      <c r="E1781">
        <f>INDEX(FactorTable!$B$2:$Y$301, MATCH(ROUND(MIN(300,MAX(1,D1781)),0), FactorTable!$A$2:$A$301,0), Skills!M18+1)</f>
        <v/>
      </c>
      <c r="F1781">
        <f>IF(Skills!N18=TRUE,(Skills!L18/10)*(E1781/1000),Skills!L18/10)+Skills!O18</f>
        <v/>
      </c>
      <c r="G1781">
        <f>Skills!G18*IF(Skills!H18&gt;0,Skills!I18/Skills!H18,1)</f>
        <v/>
      </c>
      <c r="H1781">
        <f>1-(1-Skills!J18/100)^Skills!K18</f>
        <v/>
      </c>
      <c r="I1781" t="inlineStr">
        <is>
          <t>1</t>
        </is>
      </c>
      <c r="J1781" t="inlineStr"/>
      <c r="K1781" t="inlineStr"/>
      <c r="L1781" t="inlineStr"/>
      <c r="M1781" t="inlineStr"/>
      <c r="N1781" t="inlineStr"/>
      <c r="O1781">
        <f>(1-Summary!$B$11)*T1781+Summary!$B$11*V1781</f>
        <v/>
      </c>
      <c r="P1781">
        <f>IF(B1807=0,0,O1781/B1807)</f>
        <v/>
      </c>
      <c r="Q1781" t="n">
        <v>0</v>
      </c>
      <c r="R1781" t="n">
        <v>0</v>
      </c>
      <c r="S1781">
        <f>IFERROR(O1781/N1781,0)</f>
        <v/>
      </c>
      <c r="T1781" t="n">
        <v>0</v>
      </c>
      <c r="V1781" t="n">
        <v>0</v>
      </c>
    </row>
    <row r="1782">
      <c r="A1782">
        <f>Skills!A19</f>
        <v/>
      </c>
      <c r="B1782">
        <f>Skills!B19</f>
        <v/>
      </c>
      <c r="C1782">
        <f>Inputs!$B$3&gt;=72</f>
        <v/>
      </c>
      <c r="D1782">
        <f>IF(Skills!C19=1,60+Inputs!$B$25+Inputs!$B$29,IF(Skills!C19=2,90+Inputs!$B$26+Inputs!$B$29,IF(Skills!C19=3,120+Inputs!$B$27+Inputs!$B$29,MAX(0,(Inputs!$B$3-100)*3)+Inputs!$B$28+Inputs!$B$29)))</f>
        <v/>
      </c>
      <c r="E1782">
        <f>INDEX(FactorTable!$B$2:$Y$301, MATCH(ROUND(MIN(300,MAX(1,D1782)),0), FactorTable!$A$2:$A$301,0), Skills!M19+1)</f>
        <v/>
      </c>
      <c r="F1782">
        <f>IF(Skills!N19=TRUE,(Skills!L19/10)*(E1782/1000),Skills!L19/10)+Skills!O19</f>
        <v/>
      </c>
      <c r="G1782">
        <f>Skills!G19*IF(Skills!H19&gt;0,Skills!I19/Skills!H19,1)</f>
        <v/>
      </c>
      <c r="H1782">
        <f>1-(1-Skills!J19/100)^Skills!K19</f>
        <v/>
      </c>
      <c r="I1782" t="inlineStr">
        <is>
          <t>1</t>
        </is>
      </c>
      <c r="J1782" t="inlineStr"/>
      <c r="K1782" t="inlineStr"/>
      <c r="L1782" t="inlineStr"/>
      <c r="M1782" t="inlineStr"/>
      <c r="N1782" t="inlineStr"/>
      <c r="O1782">
        <f>(1-Summary!$B$11)*T1782+Summary!$B$11*V1782</f>
        <v/>
      </c>
      <c r="P1782">
        <f>IF(B1807=0,0,O1782/B1807)</f>
        <v/>
      </c>
      <c r="Q1782" t="n">
        <v>0</v>
      </c>
      <c r="R1782" t="n">
        <v>0</v>
      </c>
      <c r="S1782">
        <f>IFERROR(O1782/N1782,0)</f>
        <v/>
      </c>
      <c r="T1782" t="n">
        <v>0</v>
      </c>
      <c r="V1782" t="n">
        <v>0</v>
      </c>
    </row>
    <row r="1783">
      <c r="A1783">
        <f>Skills!A20</f>
        <v/>
      </c>
      <c r="B1783">
        <f>Skills!B20</f>
        <v/>
      </c>
      <c r="C1783">
        <f>TRUE</f>
        <v/>
      </c>
      <c r="D1783">
        <f>IF(Skills!C20=1,60+Inputs!$B$25+Inputs!$B$29,IF(Skills!C20=2,90+Inputs!$B$26+Inputs!$B$29,IF(Skills!C20=3,120+Inputs!$B$27+Inputs!$B$29,MAX(0,(Inputs!$B$3-100)*3)+Inputs!$B$28+Inputs!$B$29)))</f>
        <v/>
      </c>
      <c r="E1783">
        <f>INDEX(FactorTable!$B$2:$Y$301, MATCH(ROUND(MIN(300,MAX(1,D1783)),0), FactorTable!$A$2:$A$301,0), Skills!M20+1)</f>
        <v/>
      </c>
      <c r="F1783">
        <f>IF(Skills!N20=TRUE,(Skills!L20/10)*(E1783/1000),Skills!L20/10)+Skills!O20</f>
        <v/>
      </c>
      <c r="G1783">
        <f>Skills!G20*IF(Skills!H20&gt;0,Skills!I20/Skills!H20,1)</f>
        <v/>
      </c>
      <c r="H1783">
        <f>1-(1-Skills!J20/100)^Skills!K20</f>
        <v/>
      </c>
      <c r="I1783" t="inlineStr">
        <is>
          <t>1</t>
        </is>
      </c>
      <c r="J1783" t="inlineStr"/>
      <c r="K1783" t="inlineStr"/>
      <c r="L1783" t="inlineStr"/>
      <c r="M1783" t="inlineStr"/>
      <c r="N1783" t="inlineStr"/>
      <c r="O1783">
        <f>(1-Summary!$B$11)*T1783+Summary!$B$11*V1783</f>
        <v/>
      </c>
      <c r="P1783">
        <f>IF(B1807=0,0,O1783/B1807)</f>
        <v/>
      </c>
      <c r="Q1783">
        <f>IFERROR(1/(IF(Inputs!$B$38="pvp",15,MAX(0.1,Skills!D20-IF(Skills!E20=TRUE,Inputs!$B$32,0)))*(1-IF(AND(ArtifactsInput!$M$27,Inputs!$B$4="Chapter Hunt"),CHOOSE(ArtifactsInput!$N$27+1,20,24,28,32,36,40),0)/100)),0)</f>
        <v/>
      </c>
      <c r="R1783">
        <f>IF(AND(Inputs!$B$38&lt;&gt;"pvp",Inputs!$B$43&gt;0),IF(Inputs!$B$43&lt;=0,0,(INT(Inputs!$B$43/(IF(Inputs!$B$38="pvp",15,MAX(0.1,Skills!D20-IF(Skills!E20=TRUE,Inputs!$B$32,0)))*(1-IF(AND(ArtifactsInput!$M$27,Inputs!$B$4="Chapter Hunt"),CHOOSE(ArtifactsInput!$N$27+1,20,24,28,32,36,40),0)/100)))+1)),0)</f>
        <v/>
      </c>
      <c r="S1783">
        <f>IFERROR(O1783/N1783,0)</f>
        <v/>
      </c>
      <c r="T1783" t="n">
        <v>0</v>
      </c>
      <c r="V1783" t="n">
        <v>0</v>
      </c>
    </row>
    <row r="1784">
      <c r="A1784">
        <f>Skills!A21</f>
        <v/>
      </c>
      <c r="B1784">
        <f>Skills!B21</f>
        <v/>
      </c>
      <c r="C1784">
        <f>Inputs!$B$3&gt;=15</f>
        <v/>
      </c>
      <c r="D1784">
        <f>IF(Skills!C21=1,60+Inputs!$B$25+Inputs!$B$29,IF(Skills!C21=2,90+Inputs!$B$26+Inputs!$B$29,IF(Skills!C21=3,120+Inputs!$B$27+Inputs!$B$29,MAX(0,(Inputs!$B$3-100)*3)+Inputs!$B$28+Inputs!$B$29)))</f>
        <v/>
      </c>
      <c r="E1784">
        <f>INDEX(FactorTable!$B$2:$Y$301, MATCH(ROUND(MIN(300,MAX(1,D1784)),0), FactorTable!$A$2:$A$301,0), Skills!M21+1)</f>
        <v/>
      </c>
      <c r="F1784">
        <f>IF(Skills!N21=TRUE,(Skills!L21/10)*(E1784/1000),Skills!L21/10)+Skills!O21</f>
        <v/>
      </c>
      <c r="G1784">
        <f>Skills!G21*IF(Skills!H21&gt;0,Skills!I21/Skills!H21,1)</f>
        <v/>
      </c>
      <c r="H1784">
        <f>1-(1-Skills!J21/100)^Skills!K21</f>
        <v/>
      </c>
      <c r="I1784" t="inlineStr">
        <is>
          <t>1</t>
        </is>
      </c>
      <c r="J1784" t="inlineStr"/>
      <c r="K1784" t="inlineStr"/>
      <c r="L1784" t="inlineStr"/>
      <c r="M1784" t="inlineStr"/>
      <c r="N1784" t="inlineStr"/>
      <c r="O1784">
        <f>(1-Summary!$B$11)*T1784+Summary!$B$11*V1784</f>
        <v/>
      </c>
      <c r="P1784">
        <f>IF(B1807=0,0,O1784/B1807)</f>
        <v/>
      </c>
      <c r="Q1784" t="n">
        <v>0</v>
      </c>
      <c r="R1784" t="n">
        <v>0</v>
      </c>
      <c r="S1784">
        <f>IFERROR(O1784/N1784,0)</f>
        <v/>
      </c>
      <c r="T1784" t="n">
        <v>0</v>
      </c>
      <c r="V1784" t="n">
        <v>0</v>
      </c>
    </row>
    <row r="1785">
      <c r="A1785">
        <f>Skills!A22</f>
        <v/>
      </c>
      <c r="B1785">
        <f>Skills!B22</f>
        <v/>
      </c>
      <c r="C1785">
        <f>Inputs!$B$3&gt;=10</f>
        <v/>
      </c>
      <c r="D1785">
        <f>IF(Skills!C22=1,60+Inputs!$B$25+Inputs!$B$29,IF(Skills!C22=2,90+Inputs!$B$26+Inputs!$B$29,IF(Skills!C22=3,120+Inputs!$B$27+Inputs!$B$29,MAX(0,(Inputs!$B$3-100)*3)+Inputs!$B$28+Inputs!$B$29)))</f>
        <v/>
      </c>
      <c r="E1785">
        <f>INDEX(FactorTable!$B$2:$Y$301, MATCH(ROUND(MIN(300,MAX(1,D1785)),0), FactorTable!$A$2:$A$301,0), Skills!M22+1)</f>
        <v/>
      </c>
      <c r="F1785">
        <f>IF(Skills!N22=TRUE,(Skills!L22/10)*(E1785/1000),Skills!L22/10)+Skills!O22</f>
        <v/>
      </c>
      <c r="G1785">
        <f>Skills!G22*IF(Skills!H22&gt;0,Skills!I22/Skills!H22,1)</f>
        <v/>
      </c>
      <c r="H1785">
        <f>1-(1-Skills!J22/100)^Skills!K22</f>
        <v/>
      </c>
      <c r="I1785" t="inlineStr">
        <is>
          <t>1</t>
        </is>
      </c>
      <c r="J1785" t="inlineStr"/>
      <c r="K1785" t="inlineStr"/>
      <c r="L1785" t="inlineStr"/>
      <c r="M1785" t="inlineStr"/>
      <c r="N1785" t="inlineStr"/>
      <c r="O1785">
        <f>(1-Summary!$B$11)*T1785+Summary!$B$11*V1785</f>
        <v/>
      </c>
      <c r="P1785">
        <f>IF(B1807=0,0,O1785/B1807)</f>
        <v/>
      </c>
      <c r="Q1785" t="n">
        <v>0</v>
      </c>
      <c r="R1785" t="n">
        <v>0</v>
      </c>
      <c r="S1785">
        <f>IFERROR(O1785/N1785,0)</f>
        <v/>
      </c>
      <c r="T1785" t="n">
        <v>0</v>
      </c>
      <c r="V1785" t="n">
        <v>0</v>
      </c>
    </row>
    <row r="1786">
      <c r="A1786">
        <f>Skills!A23</f>
        <v/>
      </c>
      <c r="B1786">
        <f>Skills!B23</f>
        <v/>
      </c>
      <c r="C1786">
        <f>Inputs!$B$3&gt;=33</f>
        <v/>
      </c>
      <c r="D1786">
        <f>IF(Skills!C23=1,60+Inputs!$B$25+Inputs!$B$29,IF(Skills!C23=2,90+Inputs!$B$26+Inputs!$B$29,IF(Skills!C23=3,120+Inputs!$B$27+Inputs!$B$29,MAX(0,(Inputs!$B$3-100)*3)+Inputs!$B$28+Inputs!$B$29)))</f>
        <v/>
      </c>
      <c r="E1786">
        <f>INDEX(FactorTable!$B$2:$Y$301, MATCH(ROUND(MIN(300,MAX(1,D1786)),0), FactorTable!$A$2:$A$301,0), Skills!M23+1)</f>
        <v/>
      </c>
      <c r="F1786">
        <f>IF(Skills!N23=TRUE,(Skills!L23/10)*(E1786/1000),Skills!L23/10)+Skills!O23</f>
        <v/>
      </c>
      <c r="G1786">
        <f>Skills!G23*IF(Skills!H23&gt;0,Skills!I23/Skills!H23,1)</f>
        <v/>
      </c>
      <c r="H1786">
        <f>1-(1-Skills!J23/100)^Skills!K23</f>
        <v/>
      </c>
      <c r="I1786" t="inlineStr">
        <is>
          <t>1</t>
        </is>
      </c>
      <c r="J1786" t="inlineStr"/>
      <c r="K1786" t="inlineStr"/>
      <c r="L1786" t="inlineStr"/>
      <c r="M1786" t="inlineStr"/>
      <c r="N1786" t="inlineStr"/>
      <c r="O1786">
        <f>(1-Summary!$B$11)*T1786+Summary!$B$11*V1786</f>
        <v/>
      </c>
      <c r="P1786">
        <f>IF(B1807=0,0,O1786/B1807)</f>
        <v/>
      </c>
      <c r="Q1786" t="n">
        <v>0</v>
      </c>
      <c r="R1786" t="n">
        <v>0</v>
      </c>
      <c r="S1786">
        <f>IFERROR(O1786/N1786,0)</f>
        <v/>
      </c>
      <c r="T1786" t="n">
        <v>0</v>
      </c>
      <c r="V1786" t="n">
        <v>0</v>
      </c>
    </row>
    <row r="1787">
      <c r="A1787">
        <f>Skills!A24</f>
        <v/>
      </c>
      <c r="B1787">
        <f>Skills!B24</f>
        <v/>
      </c>
      <c r="C1787">
        <f>Inputs!$B$3&gt;=38</f>
        <v/>
      </c>
      <c r="D1787">
        <f>IF(Skills!C24=1,60+Inputs!$B$25+Inputs!$B$29,IF(Skills!C24=2,90+Inputs!$B$26+Inputs!$B$29,IF(Skills!C24=3,120+Inputs!$B$27+Inputs!$B$29,MAX(0,(Inputs!$B$3-100)*3)+Inputs!$B$28+Inputs!$B$29)))</f>
        <v/>
      </c>
      <c r="E1787">
        <f>INDEX(FactorTable!$B$2:$Y$301, MATCH(ROUND(MIN(300,MAX(1,D1787)),0), FactorTable!$A$2:$A$301,0), Skills!M24+1)</f>
        <v/>
      </c>
      <c r="F1787">
        <f>IF(Skills!N24=TRUE,(Skills!L24/10)*(E1787/1000),Skills!L24/10)+Skills!O24</f>
        <v/>
      </c>
      <c r="G1787">
        <f>Skills!G24*IF(Skills!H24&gt;0,Skills!I24/Skills!H24,1)</f>
        <v/>
      </c>
      <c r="H1787">
        <f>1-(1-Skills!J24/100)^Skills!K24</f>
        <v/>
      </c>
      <c r="I1787" t="inlineStr">
        <is>
          <t>1</t>
        </is>
      </c>
      <c r="J1787" t="inlineStr"/>
      <c r="K1787" t="inlineStr"/>
      <c r="L1787" t="inlineStr"/>
      <c r="M1787" t="inlineStr"/>
      <c r="N1787" t="inlineStr"/>
      <c r="O1787">
        <f>(1-Summary!$B$11)*T1787+Summary!$B$11*V1787</f>
        <v/>
      </c>
      <c r="P1787">
        <f>IF(B1807=0,0,O1787/B1807)</f>
        <v/>
      </c>
      <c r="Q1787" t="n">
        <v>0</v>
      </c>
      <c r="R1787" t="n">
        <v>0</v>
      </c>
      <c r="S1787">
        <f>IFERROR(O1787/N1787,0)</f>
        <v/>
      </c>
      <c r="T1787" t="n">
        <v>0</v>
      </c>
      <c r="V1787" t="n">
        <v>0</v>
      </c>
    </row>
    <row r="1788">
      <c r="A1788">
        <f>Skills!A25</f>
        <v/>
      </c>
      <c r="B1788">
        <f>Skills!B25</f>
        <v/>
      </c>
      <c r="C1788">
        <f>Inputs!$B$3&gt;=43</f>
        <v/>
      </c>
      <c r="D1788">
        <f>IF(Skills!C25=1,60+Inputs!$B$25+Inputs!$B$29,IF(Skills!C25=2,90+Inputs!$B$26+Inputs!$B$29,IF(Skills!C25=3,120+Inputs!$B$27+Inputs!$B$29,MAX(0,(Inputs!$B$3-100)*3)+Inputs!$B$28+Inputs!$B$29)))</f>
        <v/>
      </c>
      <c r="E1788">
        <f>INDEX(FactorTable!$B$2:$Y$301, MATCH(ROUND(MIN(300,MAX(1,D1788)),0), FactorTable!$A$2:$A$301,0), Skills!M25+1)</f>
        <v/>
      </c>
      <c r="F1788">
        <f>IF(Skills!N25=TRUE,(Skills!L25/10)*(E1788/1000),Skills!L25/10)+Skills!O25</f>
        <v/>
      </c>
      <c r="G1788">
        <f>Skills!G25*IF(Skills!H25&gt;0,Skills!I25/Skills!H25,1)</f>
        <v/>
      </c>
      <c r="H1788">
        <f>1-(1-Skills!J25/100)^Skills!K25</f>
        <v/>
      </c>
      <c r="I1788" t="inlineStr">
        <is>
          <t>1</t>
        </is>
      </c>
      <c r="J1788" t="inlineStr"/>
      <c r="K1788" t="inlineStr"/>
      <c r="L1788" t="inlineStr"/>
      <c r="M1788" t="inlineStr"/>
      <c r="N1788" t="inlineStr"/>
      <c r="O1788">
        <f>(1-Summary!$B$11)*T1788+Summary!$B$11*V1788</f>
        <v/>
      </c>
      <c r="P1788">
        <f>IF(B1807=0,0,O1788/B1807)</f>
        <v/>
      </c>
      <c r="Q1788" t="n">
        <v>0</v>
      </c>
      <c r="R1788" t="n">
        <v>0</v>
      </c>
      <c r="S1788">
        <f>IFERROR(O1788/N1788,0)</f>
        <v/>
      </c>
      <c r="T1788" t="n">
        <v>0</v>
      </c>
      <c r="V1788" t="n">
        <v>0</v>
      </c>
    </row>
    <row r="1789">
      <c r="A1789">
        <f>Skills!A26</f>
        <v/>
      </c>
      <c r="B1789">
        <f>Skills!B26</f>
        <v/>
      </c>
      <c r="C1789">
        <f>Inputs!$B$3&gt;=75</f>
        <v/>
      </c>
      <c r="D1789">
        <f>IF(Skills!C26=1,60+Inputs!$B$25+Inputs!$B$29,IF(Skills!C26=2,90+Inputs!$B$26+Inputs!$B$29,IF(Skills!C26=3,120+Inputs!$B$27+Inputs!$B$29,MAX(0,(Inputs!$B$3-100)*3)+Inputs!$B$28+Inputs!$B$29)))</f>
        <v/>
      </c>
      <c r="E1789">
        <f>INDEX(FactorTable!$B$2:$Y$301, MATCH(ROUND(MIN(300,MAX(1,D1789)),0), FactorTable!$A$2:$A$301,0), Skills!M26+1)</f>
        <v/>
      </c>
      <c r="F1789">
        <f>IF(Skills!N26=TRUE,(Skills!L26/10)*(E1789/1000),Skills!L26/10)+Skills!O26</f>
        <v/>
      </c>
      <c r="G1789">
        <f>Skills!G26*IF(Skills!H26&gt;0,Skills!I26/Skills!H26,1)</f>
        <v/>
      </c>
      <c r="H1789">
        <f>1-(1-Skills!J26/100)^Skills!K26</f>
        <v/>
      </c>
      <c r="I1789" t="inlineStr">
        <is>
          <t>1</t>
        </is>
      </c>
      <c r="J1789" t="inlineStr"/>
      <c r="K1789" t="inlineStr"/>
      <c r="L1789" t="inlineStr"/>
      <c r="M1789" t="inlineStr"/>
      <c r="N1789" t="inlineStr"/>
      <c r="O1789">
        <f>(1-Summary!$B$11)*T1789+Summary!$B$11*V1789</f>
        <v/>
      </c>
      <c r="P1789">
        <f>IF(B1807=0,0,O1789/B1807)</f>
        <v/>
      </c>
      <c r="Q1789" t="n">
        <v>0</v>
      </c>
      <c r="R1789" t="n">
        <v>0</v>
      </c>
      <c r="S1789">
        <f>IFERROR(O1789/N1789,0)</f>
        <v/>
      </c>
      <c r="T1789" t="n">
        <v>0</v>
      </c>
      <c r="V1789" t="n">
        <v>0</v>
      </c>
    </row>
    <row r="1790">
      <c r="A1790">
        <f>Skills!A27</f>
        <v/>
      </c>
      <c r="B1790">
        <f>Skills!B27</f>
        <v/>
      </c>
      <c r="C1790">
        <f>Inputs!$B$3&gt;=125</f>
        <v/>
      </c>
      <c r="D1790">
        <f>IF(Skills!C27=1,60+Inputs!$B$25+Inputs!$B$29,IF(Skills!C27=2,90+Inputs!$B$26+Inputs!$B$29,IF(Skills!C27=3,120+Inputs!$B$27+Inputs!$B$29,MAX(0,(Inputs!$B$3-100)*3)+Inputs!$B$28+Inputs!$B$29)))</f>
        <v/>
      </c>
      <c r="E1790">
        <f>INDEX(FactorTable!$B$2:$Y$301, MATCH(ROUND(MIN(300,MAX(1,D1790)),0), FactorTable!$A$2:$A$301,0), Skills!M27+1)</f>
        <v/>
      </c>
      <c r="F1790">
        <f>IF(Skills!N27=TRUE,(Skills!L27/10)*(E1790/1000),Skills!L27/10)+Skills!O27</f>
        <v/>
      </c>
      <c r="G1790">
        <f>Skills!G27*IF(Skills!H27&gt;0,Skills!I27/Skills!H27,1)</f>
        <v/>
      </c>
      <c r="H1790">
        <f>1-(1-Skills!J27/100)^Skills!K27</f>
        <v/>
      </c>
      <c r="I1790" t="inlineStr">
        <is>
          <t>1</t>
        </is>
      </c>
      <c r="J1790" t="inlineStr"/>
      <c r="K1790" t="inlineStr"/>
      <c r="L1790" t="inlineStr"/>
      <c r="M1790" t="inlineStr"/>
      <c r="N1790" t="inlineStr"/>
      <c r="O1790">
        <f>(1-Summary!$B$11)*T1790+Summary!$B$11*V1790</f>
        <v/>
      </c>
      <c r="P1790">
        <f>IF(B1807=0,0,O1790/B1807)</f>
        <v/>
      </c>
      <c r="Q1790" t="n">
        <v>0</v>
      </c>
      <c r="R1790" t="n">
        <v>0</v>
      </c>
      <c r="S1790">
        <f>IFERROR(O1790/N1790,0)</f>
        <v/>
      </c>
      <c r="T1790" t="n">
        <v>0</v>
      </c>
      <c r="V1790" t="n">
        <v>0</v>
      </c>
    </row>
    <row r="1791">
      <c r="A1791">
        <f>Skills!A28</f>
        <v/>
      </c>
      <c r="B1791">
        <f>Skills!B28</f>
        <v/>
      </c>
      <c r="C1791">
        <f>Inputs!$B$3&gt;=125</f>
        <v/>
      </c>
      <c r="D1791">
        <f>IF(Skills!C28=1,60+Inputs!$B$25+Inputs!$B$29,IF(Skills!C28=2,90+Inputs!$B$26+Inputs!$B$29,IF(Skills!C28=3,120+Inputs!$B$27+Inputs!$B$29,MAX(0,(Inputs!$B$3-100)*3)+Inputs!$B$28+Inputs!$B$29)))</f>
        <v/>
      </c>
      <c r="E1791">
        <f>INDEX(FactorTable!$B$2:$Y$301, MATCH(ROUND(MIN(300,MAX(1,D1791)),0), FactorTable!$A$2:$A$301,0), Skills!M28+1)</f>
        <v/>
      </c>
      <c r="F1791">
        <f>IF(Skills!N28=TRUE,(Skills!L28/10)*(E1791/1000),Skills!L28/10)+Skills!O28</f>
        <v/>
      </c>
      <c r="G1791">
        <f>Skills!G28*IF(Skills!H28&gt;0,Skills!I28/Skills!H28,1)</f>
        <v/>
      </c>
      <c r="H1791">
        <f>1-(1-Skills!J28/100)^Skills!K28</f>
        <v/>
      </c>
      <c r="I1791" t="inlineStr">
        <is>
          <t>1</t>
        </is>
      </c>
      <c r="J1791" t="inlineStr"/>
      <c r="K1791" t="inlineStr"/>
      <c r="L1791" t="inlineStr"/>
      <c r="M1791" t="inlineStr"/>
      <c r="N1791" t="inlineStr"/>
      <c r="O1791">
        <f>(1-Summary!$B$11)*T1791+Summary!$B$11*V1791</f>
        <v/>
      </c>
      <c r="P1791">
        <f>IF(B1807=0,0,O1791/B1807)</f>
        <v/>
      </c>
      <c r="Q1791" t="n">
        <v>0</v>
      </c>
      <c r="R1791" t="n">
        <v>0</v>
      </c>
      <c r="S1791">
        <f>IFERROR(O1791/N1791,0)</f>
        <v/>
      </c>
      <c r="T1791" t="n">
        <v>0</v>
      </c>
      <c r="V1791" t="n">
        <v>0</v>
      </c>
    </row>
    <row r="1792">
      <c r="A1792">
        <f>Skills!A29</f>
        <v/>
      </c>
      <c r="B1792">
        <f>Skills!B29</f>
        <v/>
      </c>
      <c r="C1792">
        <f>Inputs!$B$3&gt;=120</f>
        <v/>
      </c>
      <c r="D1792">
        <f>IF(Skills!C29=1,60+Inputs!$B$25+Inputs!$B$29,IF(Skills!C29=2,90+Inputs!$B$26+Inputs!$B$29,IF(Skills!C29=3,120+Inputs!$B$27+Inputs!$B$29,MAX(0,(Inputs!$B$3-100)*3)+Inputs!$B$28+Inputs!$B$29)))</f>
        <v/>
      </c>
      <c r="E1792">
        <f>INDEX(FactorTable!$B$2:$Y$301, MATCH(ROUND(MIN(300,MAX(1,D1792)),0), FactorTable!$A$2:$A$301,0), Skills!M29+1)</f>
        <v/>
      </c>
      <c r="F1792">
        <f>IF(Skills!N29=TRUE,(Skills!L29/10)*(E1792/1000),Skills!L29/10)+Skills!O29</f>
        <v/>
      </c>
      <c r="G1792">
        <f>Skills!G29*IF(Skills!H29&gt;0,Skills!I29/Skills!H29,1)</f>
        <v/>
      </c>
      <c r="H1792">
        <f>1-(1-Skills!J29/100)^Skills!K29</f>
        <v/>
      </c>
      <c r="I1792" t="inlineStr">
        <is>
          <t>1</t>
        </is>
      </c>
      <c r="J1792" t="inlineStr"/>
      <c r="K1792" t="inlineStr"/>
      <c r="L1792" t="inlineStr"/>
      <c r="M1792" t="inlineStr"/>
      <c r="N1792" t="inlineStr"/>
      <c r="O1792">
        <f>(1-Summary!$B$11)*T1792+Summary!$B$11*V1792</f>
        <v/>
      </c>
      <c r="P1792">
        <f>IF(B1807=0,0,O1792/B1807)</f>
        <v/>
      </c>
      <c r="Q1792" t="n">
        <v>0</v>
      </c>
      <c r="R1792" t="n">
        <v>0</v>
      </c>
      <c r="S1792">
        <f>IFERROR(O1792/N1792,0)</f>
        <v/>
      </c>
      <c r="T1792" t="n">
        <v>0</v>
      </c>
      <c r="V1792" t="n">
        <v>0</v>
      </c>
    </row>
    <row r="1793">
      <c r="A1793">
        <f>Skills!A30</f>
        <v/>
      </c>
      <c r="B1793">
        <f>Skills!B30</f>
        <v/>
      </c>
      <c r="C1793">
        <f>Inputs!$B$3&gt;=120</f>
        <v/>
      </c>
      <c r="D1793">
        <f>IF(Skills!C30=1,60+Inputs!$B$25+Inputs!$B$29,IF(Skills!C30=2,90+Inputs!$B$26+Inputs!$B$29,IF(Skills!C30=3,120+Inputs!$B$27+Inputs!$B$29,MAX(0,(Inputs!$B$3-100)*3)+Inputs!$B$28+Inputs!$B$29)))</f>
        <v/>
      </c>
      <c r="E1793">
        <f>INDEX(FactorTable!$B$2:$Y$301, MATCH(ROUND(MIN(300,MAX(1,D1793)),0), FactorTable!$A$2:$A$301,0), Skills!M30+1)</f>
        <v/>
      </c>
      <c r="F1793">
        <f>IF(Skills!N30=TRUE,(Skills!L30/10)*(E1793/1000),Skills!L30/10)+Skills!O30</f>
        <v/>
      </c>
      <c r="G1793">
        <f>Skills!G30*IF(Skills!H30&gt;0,Skills!I30/Skills!H30,1)</f>
        <v/>
      </c>
      <c r="H1793">
        <f>1-(1-Skills!J30/100)^Skills!K30</f>
        <v/>
      </c>
      <c r="I1793" t="inlineStr">
        <is>
          <t>1</t>
        </is>
      </c>
      <c r="J1793" t="inlineStr"/>
      <c r="K1793" t="inlineStr"/>
      <c r="L1793" t="inlineStr"/>
      <c r="M1793" t="inlineStr"/>
      <c r="N1793" t="inlineStr"/>
      <c r="O1793">
        <f>(1-Summary!$B$11)*T1793+Summary!$B$11*V1793</f>
        <v/>
      </c>
      <c r="P1793">
        <f>IF(B1807=0,0,O1793/B1807)</f>
        <v/>
      </c>
      <c r="Q1793" t="n">
        <v>0</v>
      </c>
      <c r="R1793" t="n">
        <v>0</v>
      </c>
      <c r="S1793">
        <f>IFERROR(O1793/N1793,0)</f>
        <v/>
      </c>
      <c r="T1793" t="n">
        <v>0</v>
      </c>
      <c r="V1793" t="n">
        <v>0</v>
      </c>
    </row>
    <row r="1794">
      <c r="A1794">
        <f>Skills!A31</f>
        <v/>
      </c>
      <c r="B1794">
        <f>Skills!B31</f>
        <v/>
      </c>
      <c r="C1794">
        <f>Inputs!$B$3&gt;=45</f>
        <v/>
      </c>
      <c r="D1794">
        <f>IF(Skills!C31=1,60+Inputs!$B$25+Inputs!$B$29,IF(Skills!C31=2,90+Inputs!$B$26+Inputs!$B$29,IF(Skills!C31=3,120+Inputs!$B$27+Inputs!$B$29,MAX(0,(Inputs!$B$3-100)*3)+Inputs!$B$28+Inputs!$B$29)))</f>
        <v/>
      </c>
      <c r="E1794">
        <f>INDEX(FactorTable!$B$2:$Y$301, MATCH(ROUND(MIN(300,MAX(1,D1794)),0), FactorTable!$A$2:$A$301,0), Skills!M31+1)</f>
        <v/>
      </c>
      <c r="F1794">
        <f>IF(Skills!N31=TRUE,(Skills!L31/10)*(E1794/1000),Skills!L31/10)+Skills!O31</f>
        <v/>
      </c>
      <c r="G1794">
        <f>Skills!G31*IF(Skills!H31&gt;0,Skills!I31/Skills!H31,1)</f>
        <v/>
      </c>
      <c r="H1794">
        <f>1-(1-Skills!J31/100)^Skills!K31</f>
        <v/>
      </c>
      <c r="I1794" t="inlineStr">
        <is>
          <t>1</t>
        </is>
      </c>
      <c r="J1794" t="inlineStr"/>
      <c r="K1794" t="inlineStr"/>
      <c r="L1794" t="inlineStr"/>
      <c r="M1794" t="inlineStr"/>
      <c r="N1794" t="inlineStr"/>
      <c r="O1794">
        <f>(1-Summary!$B$11)*T1794+Summary!$B$11*V1794</f>
        <v/>
      </c>
      <c r="P1794">
        <f>IF(B1807=0,0,O1794/B1807)</f>
        <v/>
      </c>
      <c r="Q1794" t="n">
        <v>0</v>
      </c>
      <c r="R1794" t="n">
        <v>0</v>
      </c>
      <c r="S1794">
        <f>IFERROR(O1794/N1794,0)</f>
        <v/>
      </c>
      <c r="T1794" t="n">
        <v>0</v>
      </c>
      <c r="V1794" t="n">
        <v>0</v>
      </c>
    </row>
    <row r="1796">
      <c r="A1796" t="inlineStr">
        <is>
          <t>Attack% Bucket Multiplier</t>
        </is>
      </c>
      <c r="B1796">
        <f>(1+(((C1777=TRUE)*F1777)+((C1778=TRUE)*IF(Inputs!$B$38="pvp",F1778,(1-Summary!$B$11)*(F1778)+Summary!$B$11*(0)))+((C1779=TRUE)*F1779*IF(AND(Inputs!$B$38&lt;&gt;"pvp",Inputs!$B$43&gt;0),(((R1779-1)*(Skills!T16*(1+Inputs!$B$34/100))+MIN((Skills!T16*(1+Inputs!$B$34/100)),MAX(0,Inputs!$B$43-((R1779-1)*Skills!D16))))/Inputs!$B$43),IF(Inputs!$B$38="pvp",MIN((Skills!T16*(1+Inputs!$B$34/100)),15)/15,(Skills!T16*(1+Inputs!$B$34/100))/Skills!D16)))+((C1794=TRUE)*(F1794-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97">
      <c r="A1797" t="inlineStr">
        <is>
          <t>Global Crit Rate Bonus %</t>
        </is>
      </c>
      <c r="B1797">
        <f>(C1780=TRUE)*20*IF(AND(Inputs!$B$38&lt;&gt;"pvp",Inputs!$B$43&gt;0),(((R1780-1)*(Skills!T17*(1+Inputs!$B$34/100))+MIN((Skills!T17*(1+Inputs!$B$34/100)),MAX(0,Inputs!$B$43-((R1780-1)*Skills!D17))))/Inputs!$B$43),IF(Inputs!$B$38="pvp",MIN((Skills!T17*(1+Inputs!$B$34/100)),15)/15,(Skills!T17*(1+Inputs!$B$34/100))/Skills!D17))</f>
        <v/>
      </c>
    </row>
    <row r="1798">
      <c r="A1798" t="inlineStr">
        <is>
          <t>Attack Speed Buff Bonus %</t>
        </is>
      </c>
      <c r="B1798">
        <f>((C1783=TRUE)*F1783*IF(AND(Inputs!$B$38&lt;&gt;"pvp",Inputs!$B$43&gt;0),(((R1783-1)*(Skills!T20*(1+Inputs!$B$34/100))+MIN((Skills!T20*(1+Inputs!$B$34/100)),MAX(0,Inputs!$B$43-((R1783-1)*Skills!D20))))/Inputs!$B$43),IF(Inputs!$B$38="pvp",MIN((Skills!T20*(1+Inputs!$B$34/100)),15)/15,(Skills!T20*(1+Inputs!$B$34/100))/Skills!D20)))</f>
        <v/>
      </c>
    </row>
    <row r="1799">
      <c r="A1799" t="inlineStr">
        <is>
          <t>Actions Per Second</t>
        </is>
      </c>
      <c r="B1799">
        <f>1+MIN(150,150*(1-(1-(Inputs!$B$11+((C1785=TRUE)*(F1785-Calc!F22))+((C1786=TRUE)*(F1786-Calc!F23)))/150)*(1-B1798/150)))/100</f>
        <v/>
      </c>
    </row>
    <row r="1800">
      <c r="A1800" t="inlineStr">
        <is>
          <t>Skill + Buff Cast Rate</t>
        </is>
      </c>
      <c r="B1800">
        <f>IF(AND(Inputs!$B$38&lt;&gt;"pvp",Inputs!$B$43&gt;0),SUMPRODUCT((Skills!E2:E31=TRUE)*(C1765:C1794=TRUE)*R1765:R1794*Skills!F2:F31)/Inputs!$B$43,SUMPRODUCT((Skills!E2:E31=TRUE)*(C1765:C1794=TRUE)*Q1765:Q1794*Skills!F2:F31))</f>
        <v/>
      </c>
    </row>
    <row r="1801">
      <c r="A1801" t="inlineStr">
        <is>
          <t>Arrow Stream Casts Per Second</t>
        </is>
      </c>
      <c r="B1801">
        <f>MAX(0,B1799-B1800)</f>
        <v/>
      </c>
    </row>
    <row r="1802">
      <c r="A1802" t="inlineStr">
        <is>
          <t>Global Critical Damage Bonus % (Sharp Eyes + Concentration)</t>
        </is>
      </c>
      <c r="B1802">
        <f>(C1780=TRUE)*F1780*IF(AND(Inputs!$B$38&lt;&gt;"pvp",Inputs!$B$43&gt;0),(((R1780-1)*(Skills!T17*(1+Inputs!$B$34/100))+MIN((Skills!T17*(1+Inputs!$B$34/100)),MAX(0,Inputs!$B$43-((R1780-1)*Skills!D17))))/Inputs!$B$43),IF(Inputs!$B$38="pvp",MIN((Skills!T17*(1+Inputs!$B$34/100)),15)/15,(Skills!T17*(1+Inputs!$B$34/100))/Skills!D17))+(C1781=TRUE)*30</f>
        <v/>
      </c>
    </row>
    <row r="1803">
      <c r="A1803" t="inlineStr">
        <is>
          <t>Global Final Damage Bonus % (Mortal Blow)</t>
        </is>
      </c>
      <c r="B1803">
        <f>(C1782=TRUE)*F1782</f>
        <v/>
      </c>
    </row>
    <row r="1804">
      <c r="A1804" t="inlineStr">
        <is>
          <t>Buff-Casting Startup Delay (s, fixed-duration only)</t>
        </is>
      </c>
      <c r="B1804">
        <f>IF(AND(Inputs!$B$38&lt;&gt;"pvp",Inputs!$B$43&gt;0),SUMPRODUCT((Skills!T2:T31&gt;0)*(Skills!E2:E31=TRUE)*(C1765:C1794=TRUE))/B1799,0)</f>
        <v/>
      </c>
    </row>
    <row r="1805">
      <c r="A1805" t="inlineStr">
        <is>
          <t>Boss-Only Total DPS (this block's swept value)</t>
        </is>
      </c>
      <c r="B1805">
        <f>SUM(T1765:T1794)</f>
        <v/>
      </c>
    </row>
    <row r="1806">
      <c r="A1806" t="inlineStr">
        <is>
          <t>Normal-Only Total DPS (this block's swept value)</t>
        </is>
      </c>
      <c r="B1806">
        <f>SUM(V1765:V1794)</f>
        <v/>
      </c>
    </row>
    <row r="1807">
      <c r="A1807" s="6" t="inlineStr">
        <is>
          <t>TOTAL DPS</t>
        </is>
      </c>
      <c r="B1807" s="6">
        <f>SUM(O1765:O1794)</f>
        <v/>
      </c>
    </row>
    <row r="1810">
      <c r="A1810" s="6" t="inlineStr">
        <is>
          <t>Stat: Horntail's Scale (Equip)</t>
        </is>
      </c>
    </row>
    <row r="1811">
      <c r="A1811" s="5" t="inlineStr">
        <is>
          <t>Key</t>
        </is>
      </c>
      <c r="B1811" s="5" t="inlineStr">
        <is>
          <t>Name</t>
        </is>
      </c>
      <c r="C1811" s="5" t="inlineStr">
        <is>
          <t>Unlocked</t>
        </is>
      </c>
      <c r="D1811" s="5" t="inlineStr">
        <is>
          <t>InputLevel</t>
        </is>
      </c>
      <c r="E1811" s="5" t="inlineStr">
        <is>
          <t>Factor</t>
        </is>
      </c>
      <c r="F1811" s="5" t="inlineStr">
        <is>
          <t>CoefficientPercent</t>
        </is>
      </c>
      <c r="G1811" s="5" t="inlineStr">
        <is>
          <t>EffectiveHits</t>
        </is>
      </c>
      <c r="H1811" s="5" t="inlineStr">
        <is>
          <t>ProcProbability</t>
        </is>
      </c>
      <c r="I1811" s="5" t="inlineStr">
        <is>
          <t>MapleHeroMultiplier</t>
        </is>
      </c>
      <c r="J1811" s="5" t="inlineStr">
        <is>
          <t>BaseDamage</t>
        </is>
      </c>
      <c r="K1811" s="5" t="inlineStr">
        <is>
          <t>BaseHitDamage</t>
        </is>
      </c>
      <c r="L1811" s="5" t="inlineStr">
        <is>
          <t>NonCritAvg</t>
        </is>
      </c>
      <c r="M1811" s="5" t="inlineStr">
        <is>
          <t>CritAvg</t>
        </is>
      </c>
      <c r="N1811" s="5" t="inlineStr">
        <is>
          <t>ExpectedDamage(perHit)</t>
        </is>
      </c>
      <c r="O1811" s="5" t="inlineStr">
        <is>
          <t>DPS</t>
        </is>
      </c>
      <c r="P1811" s="5" t="inlineStr">
        <is>
          <t>% of Total</t>
        </is>
      </c>
      <c r="Q1811" s="5" t="inlineStr">
        <is>
          <t>InvCooldown</t>
        </is>
      </c>
      <c r="R1811" s="5" t="inlineStr">
        <is>
          <t>CastsInFight</t>
        </is>
      </c>
      <c r="S1811" s="5" t="inlineStr">
        <is>
          <t>HitRate(perSec)</t>
        </is>
      </c>
      <c r="U1811" t="inlineStr">
        <is>
          <t>helpers</t>
        </is>
      </c>
    </row>
    <row r="1812">
      <c r="A1812">
        <f>Skills!A2</f>
        <v/>
      </c>
      <c r="B1812">
        <f>Skills!B2</f>
        <v/>
      </c>
      <c r="C1812">
        <f>Inputs!$B$3&gt;=100</f>
        <v/>
      </c>
      <c r="D1812" t="inlineStr"/>
      <c r="E1812" t="inlineStr"/>
      <c r="F1812">
        <f>U1814+Skills!O2</f>
        <v/>
      </c>
      <c r="G1812">
        <f>Skills!G2*IF(Skills!H2&gt;0,Skills!I2/Skills!H2,1)</f>
        <v/>
      </c>
      <c r="H1812">
        <f>1-(1-Skills!J2/100)^Skills!K2</f>
        <v/>
      </c>
      <c r="I1812" t="inlineStr">
        <is>
          <t>1</t>
        </is>
      </c>
      <c r="J1812">
        <f>((Inputs!$B$6*(1+Inputs!$B$7/100))+(((Inputs!$B$12*(1+Inputs!$B$13/100))-(Inputs!$B$12*(1+Inputs!$B$13/100)))+0.25*(Inputs!$B$14-Inputs!$B$14))*(1+Inputs!$B$7/100))*(F1812/100)</f>
        <v/>
      </c>
      <c r="K1812">
        <f>J1812*(1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1812)</f>
        <v/>
      </c>
      <c r="L1812">
        <f>K1812*(MIN(Inputs!$B$22+((C1835=TRUE)*(F1835-Calc!F25)),(Inputs!$B$23+((C1840=TRUE)*(F1840-Calc!F30))+(IF(ArtifactsInput!$M$15,CHOOSE(ArtifactsInput!$N$15+1,25,30,35,40,45,50)/100*(Inputs!$B$11-Inputs!$B$11),0))))/100+(Inputs!$B$23+((C1840=TRUE)*(F1840-Calc!F30))+(IF(ArtifactsInput!$M$15,CHOOSE(ArtifactsInput!$N$15+1,25,30,35,40,45,50)/100*(Inputs!$B$11-Inputs!$B$11),0)))/100)/2</f>
        <v/>
      </c>
      <c r="M1812">
        <f>L1812*(1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2">
        <f>L1812*(1-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1812*(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2">
        <f>(1-Summary!$B$11)*T1812+Summary!$B$11*V1812</f>
        <v/>
      </c>
      <c r="P1812">
        <f>IF(B1854=0,0,O1812/B1854)</f>
        <v/>
      </c>
      <c r="Q1812" t="n">
        <v>0</v>
      </c>
      <c r="R1812" t="n">
        <v>0</v>
      </c>
      <c r="S1812">
        <f>IFERROR(O1812/N1812,0)</f>
        <v/>
      </c>
      <c r="T1812">
        <f>IF(C1812,(Skills!G2*N1812*B1848)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1812*(1-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1812*(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1812*(1-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1812*(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12">
        <f>MAX(0,(Inputs!$B$3-100)*3)+Inputs!$B$28+Inputs!$B$29</f>
        <v/>
      </c>
      <c r="V1812">
        <f>IF(C1812,(Skills!G2*N1812*B1848)*IF(Inputs!$B$38="pvp",1,(1+(Inputs!$B$21+Skills!Q2+(IF(ArtifactsInput!$M$33,CHOOSE(ArtifactsInput!$N$33+1,30,36,42,48,54,60),0))+(IF(AND(ArtifactsInput!$M$35,Inputs!$B$4&lt;&gt;"Chapter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3">
      <c r="A1813">
        <f>Skills!A3</f>
        <v/>
      </c>
      <c r="B1813">
        <f>Skills!B3</f>
        <v/>
      </c>
      <c r="C1813">
        <f>Inputs!$B$3&gt;=50</f>
        <v/>
      </c>
      <c r="D1813">
        <f>IF(Skills!C3=1,60+Inputs!$B$25+Inputs!$B$29,IF(Skills!C3=2,90+Inputs!$B$26+Inputs!$B$29,IF(Skills!C3=3,120+Inputs!$B$27+Inputs!$B$29,MAX(0,(Inputs!$B$3-100)*3)+Inputs!$B$28+Inputs!$B$29)))</f>
        <v/>
      </c>
      <c r="E1813">
        <f>INDEX(FactorTable!$B$2:$Y$301, MATCH(ROUND(MIN(300,MAX(1,D1813)),0), FactorTable!$A$2:$A$301,0), Skills!M3+1)</f>
        <v/>
      </c>
      <c r="F1813">
        <f>IF(Skills!N3=TRUE,(Skills!L3/10)*(E1813/1000),Skills!L3/10)+Skills!O3</f>
        <v/>
      </c>
      <c r="G1813">
        <f>Skills!G3*IF(Skills!H3&gt;0,Skills!I3/Skills!H3,1)</f>
        <v/>
      </c>
      <c r="H1813">
        <f>1-(1-Skills!J3/100)^Skills!K3</f>
        <v/>
      </c>
      <c r="I1813" t="inlineStr">
        <is>
          <t>1</t>
        </is>
      </c>
      <c r="J1813">
        <f>((Inputs!$B$6*(1+Inputs!$B$7/100))+(((Inputs!$B$12*(1+Inputs!$B$13/100))-(Inputs!$B$12*(1+Inputs!$B$13/100)))+0.25*(Inputs!$B$14-Inputs!$B$14))*(1+Inputs!$B$7/100))*(F1813/100)</f>
        <v/>
      </c>
      <c r="K1813">
        <f>J1813*(1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1814=TRUE,F1814,0)/100)*(1+(IF(Skills!A3="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1813)</f>
        <v/>
      </c>
      <c r="L1813">
        <f>K1813*(MIN(Inputs!$B$22+((C1835=TRUE)*(F1835-Calc!F25)),(Inputs!$B$23+((C1840=TRUE)*(F1840-Calc!F30))+(IF(ArtifactsInput!$M$15,CHOOSE(ArtifactsInput!$N$15+1,25,30,35,40,45,50)/100*(Inputs!$B$11-Inputs!$B$11),0))))/100+(Inputs!$B$23+((C1840=TRUE)*(F1840-Calc!F30))+(IF(ArtifactsInput!$M$15,CHOOSE(ArtifactsInput!$N$15+1,25,30,35,40,45,50)/100*(Inputs!$B$11-Inputs!$B$11),0)))/100)/2</f>
        <v/>
      </c>
      <c r="M1813">
        <f>L1813*(1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3">
        <f>L1813*(1-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1813*(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3">
        <f>(1-Summary!$B$11)*T1813+Summary!$B$11*V1813</f>
        <v/>
      </c>
      <c r="P1813">
        <f>IF(B1854=0,0,O1813/B1854)</f>
        <v/>
      </c>
      <c r="Q1813">
        <f>IFERROR(1/(IF(Inputs!$B$38="pvp",15,MAX(0.1,Skills!D3-IF(Skills!E3=TRUE,Inputs!$B$32,0)))*(1-IF(AND(ArtifactsInput!$M$27,Inputs!$B$4="Chapter Hunt"),CHOOSE(ArtifactsInput!$N$27+1,20,24,28,32,36,40),0)/100)),0)</f>
        <v/>
      </c>
      <c r="R1813">
        <f>IF(AND(Inputs!$B$38&lt;&gt;"pvp",Inputs!$B$43&gt;0),IF(MAX(0,Inputs!$B$43-B1851)&lt;=0,0,(INT(MAX(0,Inputs!$B$43-B1851)/(IF(Inputs!$B$38="pvp",15,MAX(0.1,Skills!D3-IF(Skills!E3=TRUE,Inputs!$B$32,0)))*(1-IF(AND(ArtifactsInput!$M$27,Inputs!$B$4="Chapter Hunt"),CHOOSE(ArtifactsInput!$N$27+1,20,24,28,32,36,40),0)/100)))+1)),0)</f>
        <v/>
      </c>
      <c r="S1813">
        <f>IFERROR(O1813/N1813,0)</f>
        <v/>
      </c>
      <c r="T1813">
        <f>IF(C1813,(H1813*N1813*IF(AND(Inputs!$B$38&lt;&gt;"pvp",Inputs!$B$43&gt;0),((Skills!G3*((R1813-1)*IF(Skills!H3&gt;0,Skills!I3/Skills!H3,1)+IF(Skills!H3&gt;0,MIN(Skills!I3,MAX(0,MAX(0,Inputs!$B$43-B1851)-((R1813-1)*(IF(Inputs!$B$38="pvp",15,MAX(0.1,Skills!D3-IF(Skills!E3=TRUE,Inputs!$B$32,0)))*(1-IF(AND(ArtifactsInput!$M$27,Inputs!$B$4="Chapter Hunt"),CHOOSE(ArtifactsInput!$N$27+1,20,24,28,32,36,40),0)/100)))))/Skills!H3,1)))/Inputs!$B$43),G1813*Q1813)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1813*(1-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1813*(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1813*(1-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1813*(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13">
        <f>INDEX(FactorTable!$B$2:$Y$301, MATCH(ROUND(MIN(300,MAX(1,U1812)),0), FactorTable!$A$2:$A$301,0), 22)</f>
        <v/>
      </c>
      <c r="V1813">
        <f>IF(C1813,(H1813*N1813*IF(AND(Inputs!$B$38&lt;&gt;"pvp",Inputs!$B$43&gt;0),((Skills!G3*((R1813-1)*IF(Skills!H3&gt;0,Skills!I3/Skills!H3,1)+IF(Skills!H3&gt;0,MIN(Skills!I3,MAX(0,MAX(0,Inputs!$B$43-B1851)-((R1813-1)*(IF(Inputs!$B$38="pvp",15,MAX(0.1,Skills!D3-IF(Skills!E3=TRUE,Inputs!$B$32,0)))*(1-IF(AND(ArtifactsInput!$M$27,Inputs!$B$4="Chapter Hunt"),CHOOSE(ArtifactsInput!$N$27+1,20,24,28,32,36,40),0)/100)))))/Skills!H3,1)))/Inputs!$B$43),G1813*Q1813))*IF(Inputs!$B$38="pvp",1,(1+(Inputs!$B$21+Skills!Q3+(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4">
      <c r="A1814">
        <f>Skills!A4</f>
        <v/>
      </c>
      <c r="B1814">
        <f>Skills!B4</f>
        <v/>
      </c>
      <c r="C1814">
        <f>Inputs!$B$3&gt;=105</f>
        <v/>
      </c>
      <c r="D1814">
        <f>IF(Skills!C4=1,60+Inputs!$B$25+Inputs!$B$29,IF(Skills!C4=2,90+Inputs!$B$26+Inputs!$B$29,IF(Skills!C4=3,120+Inputs!$B$27+Inputs!$B$29,MAX(0,(Inputs!$B$3-100)*3)+Inputs!$B$28+Inputs!$B$29)))</f>
        <v/>
      </c>
      <c r="E1814">
        <f>INDEX(FactorTable!$B$2:$Y$301, MATCH(ROUND(MIN(300,MAX(1,D1814)),0), FactorTable!$A$2:$A$301,0), Skills!M4+1)</f>
        <v/>
      </c>
      <c r="F1814">
        <f>IF(Skills!N4=TRUE,(Skills!L4/10)*(E1814/1000),Skills!L4/10)+Skills!O4</f>
        <v/>
      </c>
      <c r="G1814" t="inlineStr"/>
      <c r="H1814" t="inlineStr"/>
      <c r="I1814" t="inlineStr">
        <is>
          <t>1</t>
        </is>
      </c>
      <c r="J1814" t="inlineStr"/>
      <c r="K1814" t="inlineStr"/>
      <c r="L1814" t="inlineStr"/>
      <c r="M1814" t="inlineStr"/>
      <c r="N1814" t="inlineStr"/>
      <c r="O1814" t="inlineStr"/>
      <c r="P1814" t="inlineStr"/>
      <c r="Q1814" t="inlineStr"/>
      <c r="R1814" t="inlineStr"/>
      <c r="S1814" t="inlineStr"/>
      <c r="T1814" t="inlineStr"/>
      <c r="U1814">
        <f>290*U1813/1000</f>
        <v/>
      </c>
      <c r="V1814" t="inlineStr"/>
    </row>
    <row r="1815">
      <c r="A1815">
        <f>Skills!A5</f>
        <v/>
      </c>
      <c r="B1815">
        <f>Skills!B5</f>
        <v/>
      </c>
      <c r="C1815">
        <f>Inputs!$B$3&gt;=35</f>
        <v/>
      </c>
      <c r="D1815">
        <f>IF(Skills!C5=1,60+Inputs!$B$25+Inputs!$B$29,IF(Skills!C5=2,90+Inputs!$B$26+Inputs!$B$29,IF(Skills!C5=3,120+Inputs!$B$27+Inputs!$B$29,MAX(0,(Inputs!$B$3-100)*3)+Inputs!$B$28+Inputs!$B$29)))</f>
        <v/>
      </c>
      <c r="E1815">
        <f>INDEX(FactorTable!$B$2:$Y$301, MATCH(ROUND(MIN(300,MAX(1,D1815)),0), FactorTable!$A$2:$A$301,0), Skills!M5+1)</f>
        <v/>
      </c>
      <c r="F1815">
        <f>IF(Skills!N5=TRUE,(Skills!L5/10)*(E1815/1000),Skills!L5/10)+Skills!O5</f>
        <v/>
      </c>
      <c r="G1815">
        <f>Skills!G5*IF(Skills!H5&gt;0,Skills!I5/Skills!H5,1)</f>
        <v/>
      </c>
      <c r="H1815">
        <f>1-(1-Skills!J5/100)^Skills!K5</f>
        <v/>
      </c>
      <c r="I1815" t="inlineStr">
        <is>
          <t>1</t>
        </is>
      </c>
      <c r="J1815">
        <f>((Inputs!$B$6*(1+Inputs!$B$7/100))+(((Inputs!$B$12*(1+Inputs!$B$13/100))-(Inputs!$B$12*(1+Inputs!$B$13/100)))+0.25*(Inputs!$B$14-Inputs!$B$14))*(1+Inputs!$B$7/100))*(F1815/100)</f>
        <v/>
      </c>
      <c r="K1815">
        <f>J1815*(1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1821=TRUE,F1821,0)/100)*(1+(IF(Skills!A5="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1815)</f>
        <v/>
      </c>
      <c r="L1815">
        <f>K1815*(MIN(Inputs!$B$22+((C1835=TRUE)*(F1835-Calc!F25)),(Inputs!$B$23+((C1840=TRUE)*(F1840-Calc!F30))+(IF(ArtifactsInput!$M$15,CHOOSE(ArtifactsInput!$N$15+1,25,30,35,40,45,50)/100*(Inputs!$B$11-Inputs!$B$11),0))))/100+(Inputs!$B$23+((C1840=TRUE)*(F1840-Calc!F30))+(IF(ArtifactsInput!$M$15,CHOOSE(ArtifactsInput!$N$15+1,25,30,35,40,45,50)/100*(Inputs!$B$11-Inputs!$B$11),0)))/100)/2</f>
        <v/>
      </c>
      <c r="M1815">
        <f>L1815*(1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5">
        <f>L1815*(1-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1815*(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5">
        <f>(1-Summary!$B$11)*T1815+Summary!$B$11*V1815</f>
        <v/>
      </c>
      <c r="P1815">
        <f>IF(B1854=0,0,O1815/B1854)</f>
        <v/>
      </c>
      <c r="Q1815">
        <f>IFERROR(1/(IF(Inputs!$B$38="pvp",15,MAX(0.1,Skills!D5-IF(Skills!E5=TRUE,Inputs!$B$32,0)))*(1-IF(AND(ArtifactsInput!$M$27,Inputs!$B$4="Chapter Hunt"),CHOOSE(ArtifactsInput!$N$27+1,20,24,28,32,36,40),0)/100)),0)</f>
        <v/>
      </c>
      <c r="R1815">
        <f>IF(AND(Inputs!$B$38&lt;&gt;"pvp",Inputs!$B$43&gt;0),IF(MAX(0,Inputs!$B$43-B1851)&lt;=0,0,(INT(MAX(0,Inputs!$B$43-B1851)/(IF(Inputs!$B$38="pvp",15,MAX(0.1,Skills!D5-IF(Skills!E5=TRUE,Inputs!$B$32,0)))*(1-IF(AND(ArtifactsInput!$M$27,Inputs!$B$4="Chapter Hunt"),CHOOSE(ArtifactsInput!$N$27+1,20,24,28,32,36,40),0)/100)))+1)),0)</f>
        <v/>
      </c>
      <c r="S1815">
        <f>IFERROR(O1815/N1815,0)</f>
        <v/>
      </c>
      <c r="T1815">
        <f>IF(C1815,(H1815*N1815*IF(AND(Inputs!$B$38&lt;&gt;"pvp",Inputs!$B$43&gt;0),((Skills!G5*((R1815-1)*IF(Skills!H5&gt;0,Skills!I5/Skills!H5,1)+IF(Skills!H5&gt;0,MIN(Skills!I5,MAX(0,MAX(0,Inputs!$B$43-B1851)-((R1815-1)*(IF(Inputs!$B$38="pvp",15,MAX(0.1,Skills!D5-IF(Skills!E5=TRUE,Inputs!$B$32,0)))*(1-IF(AND(ArtifactsInput!$M$27,Inputs!$B$4="Chapter Hunt"),CHOOSE(ArtifactsInput!$N$27+1,20,24,28,32,36,40),0)/100)))))/Skills!H5,1)))/Inputs!$B$43),G1815*Q1815)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1815*(1-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1815*(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1815*(1-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1815*(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15">
        <f>IF(C1815,(H1815*N1815*IF(AND(Inputs!$B$38&lt;&gt;"pvp",Inputs!$B$43&gt;0),((Skills!G5*((R1815-1)*IF(Skills!H5&gt;0,Skills!I5/Skills!H5,1)+IF(Skills!H5&gt;0,MIN(Skills!I5,MAX(0,MAX(0,Inputs!$B$43-B1851)-((R1815-1)*(IF(Inputs!$B$38="pvp",15,MAX(0.1,Skills!D5-IF(Skills!E5=TRUE,Inputs!$B$32,0)))*(1-IF(AND(ArtifactsInput!$M$27,Inputs!$B$4="Chapter Hunt"),CHOOSE(ArtifactsInput!$N$27+1,20,24,28,32,36,40),0)/100)))))/Skills!H5,1)))/Inputs!$B$43),G1815*Q1815))*IF(Inputs!$B$38="pvp",1,(1+(Inputs!$B$21+Skills!Q5+(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6">
      <c r="A1816">
        <f>Skills!A6</f>
        <v/>
      </c>
      <c r="B1816">
        <f>Skills!B6</f>
        <v/>
      </c>
      <c r="C1816">
        <f>Inputs!$B$3&gt;=40</f>
        <v/>
      </c>
      <c r="D1816">
        <f>IF(Skills!C6=1,60+Inputs!$B$25+Inputs!$B$29,IF(Skills!C6=2,90+Inputs!$B$26+Inputs!$B$29,IF(Skills!C6=3,120+Inputs!$B$27+Inputs!$B$29,MAX(0,(Inputs!$B$3-100)*3)+Inputs!$B$28+Inputs!$B$29)))</f>
        <v/>
      </c>
      <c r="E1816">
        <f>INDEX(FactorTable!$B$2:$Y$301, MATCH(ROUND(MIN(300,MAX(1,D1816)),0), FactorTable!$A$2:$A$301,0), Skills!M6+1)</f>
        <v/>
      </c>
      <c r="F1816">
        <f>IF(Skills!N6=TRUE,(Skills!L6/10)*(E1816/1000),Skills!L6/10)+Skills!O6</f>
        <v/>
      </c>
      <c r="G1816">
        <f>Skills!G6*IF(Skills!H6&gt;0,Skills!I6/Skills!H6,1)</f>
        <v/>
      </c>
      <c r="H1816">
        <f>1-(1-Skills!J6/100)^Skills!K6</f>
        <v/>
      </c>
      <c r="I1816" t="inlineStr">
        <is>
          <t>1</t>
        </is>
      </c>
      <c r="J1816">
        <f>((Inputs!$B$6*(1+Inputs!$B$7/100))+(((Inputs!$B$12*(1+Inputs!$B$13/100))-(Inputs!$B$12*(1+Inputs!$B$13/100)))+0.25*(Inputs!$B$14-Inputs!$B$14))*(1+Inputs!$B$7/100))*(F1816/100)</f>
        <v/>
      </c>
      <c r="K1816">
        <f>J1816*(1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1817=TRUE,F1817,0)/100)*(1+(IF(Skills!A6="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1816)</f>
        <v/>
      </c>
      <c r="L1816">
        <f>K1816*(MIN(Inputs!$B$22+((C1835=TRUE)*(F1835-Calc!F25)),(Inputs!$B$23+((C1840=TRUE)*(F1840-Calc!F30))+(IF(ArtifactsInput!$M$15,CHOOSE(ArtifactsInput!$N$15+1,25,30,35,40,45,50)/100*(Inputs!$B$11-Inputs!$B$11),0))))/100+(Inputs!$B$23+((C1840=TRUE)*(F1840-Calc!F30))+(IF(ArtifactsInput!$M$15,CHOOSE(ArtifactsInput!$N$15+1,25,30,35,40,45,50)/100*(Inputs!$B$11-Inputs!$B$11),0)))/100)/2</f>
        <v/>
      </c>
      <c r="M1816">
        <f>L1816*(1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6">
        <f>L1816*(1-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1816*(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6">
        <f>(1-Summary!$B$11)*T1816+Summary!$B$11*V1816</f>
        <v/>
      </c>
      <c r="P1816">
        <f>IF(B1854=0,0,O1816/B1854)</f>
        <v/>
      </c>
      <c r="Q1816">
        <f>IFERROR(1/(IF(Inputs!$B$38="pvp",15,MAX(0.1,Skills!D6-IF(Skills!E6=TRUE,Inputs!$B$32,0)))*(1-IF(AND(ArtifactsInput!$M$27,Inputs!$B$4="Chapter Hunt"),CHOOSE(ArtifactsInput!$N$27+1,20,24,28,32,36,40),0)/100)),0)</f>
        <v/>
      </c>
      <c r="R1816">
        <f>IF(AND(Inputs!$B$38&lt;&gt;"pvp",Inputs!$B$43&gt;0),IF(MAX(0,Inputs!$B$43-B1851)&lt;=0,0,(INT(MAX(0,Inputs!$B$43-B1851)/(IF(Inputs!$B$38="pvp",15,MAX(0.1,Skills!D6-IF(Skills!E6=TRUE,Inputs!$B$32,0)))*(1-IF(AND(ArtifactsInput!$M$27,Inputs!$B$4="Chapter Hunt"),CHOOSE(ArtifactsInput!$N$27+1,20,24,28,32,36,40),0)/100)))+1)),0)</f>
        <v/>
      </c>
      <c r="S1816">
        <f>IFERROR(O1816/N1816,0)</f>
        <v/>
      </c>
      <c r="T1816">
        <f>IF(C1816,(H1816*N1816*IF(AND(Inputs!$B$38&lt;&gt;"pvp",Inputs!$B$43&gt;0),((Skills!G6*((R1816-1)*IF(Skills!H6&gt;0,Skills!I6/Skills!H6,1)+IF(Skills!H6&gt;0,MIN(Skills!I6,MAX(0,MAX(0,Inputs!$B$43-B1851)-((R1816-1)*(IF(Inputs!$B$38="pvp",15,MAX(0.1,Skills!D6-IF(Skills!E6=TRUE,Inputs!$B$32,0)))*(1-IF(AND(ArtifactsInput!$M$27,Inputs!$B$4="Chapter Hunt"),CHOOSE(ArtifactsInput!$N$27+1,20,24,28,32,36,40),0)/100)))))/Skills!H6,1)))/Inputs!$B$43),G1816*Q1816)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1816*(1-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1816*(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1816*(1-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1816*(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16">
        <f>IF(C1816,(H1816*N1816*IF(AND(Inputs!$B$38&lt;&gt;"pvp",Inputs!$B$43&gt;0),((Skills!G6*((R1816-1)*IF(Skills!H6&gt;0,Skills!I6/Skills!H6,1)+IF(Skills!H6&gt;0,MIN(Skills!I6,MAX(0,MAX(0,Inputs!$B$43-B1851)-((R1816-1)*(IF(Inputs!$B$38="pvp",15,MAX(0.1,Skills!D6-IF(Skills!E6=TRUE,Inputs!$B$32,0)))*(1-IF(AND(ArtifactsInput!$M$27,Inputs!$B$4="Chapter Hunt"),CHOOSE(ArtifactsInput!$N$27+1,20,24,28,32,36,40),0)/100)))))/Skills!H6,1)))/Inputs!$B$43),G1816*Q1816))*IF(Inputs!$B$38="pvp",1,(1+(Inputs!$B$21+Skills!Q6+(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7">
      <c r="A1817">
        <f>Skills!A7</f>
        <v/>
      </c>
      <c r="B1817">
        <f>Skills!B7</f>
        <v/>
      </c>
      <c r="C1817">
        <f>Inputs!$B$3&gt;=107</f>
        <v/>
      </c>
      <c r="D1817">
        <f>IF(Skills!C7=1,60+Inputs!$B$25+Inputs!$B$29,IF(Skills!C7=2,90+Inputs!$B$26+Inputs!$B$29,IF(Skills!C7=3,120+Inputs!$B$27+Inputs!$B$29,MAX(0,(Inputs!$B$3-100)*3)+Inputs!$B$28+Inputs!$B$29)))</f>
        <v/>
      </c>
      <c r="E1817">
        <f>INDEX(FactorTable!$B$2:$Y$301, MATCH(ROUND(MIN(300,MAX(1,D1817)),0), FactorTable!$A$2:$A$301,0), Skills!M7+1)</f>
        <v/>
      </c>
      <c r="F1817">
        <f>IF(Skills!N7=TRUE,(Skills!L7/10)*(E1817/1000),Skills!L7/10)+Skills!O7</f>
        <v/>
      </c>
      <c r="G1817" t="inlineStr"/>
      <c r="H1817" t="inlineStr"/>
      <c r="I1817" t="inlineStr">
        <is>
          <t>1</t>
        </is>
      </c>
      <c r="J1817" t="inlineStr"/>
      <c r="K1817" t="inlineStr"/>
      <c r="L1817" t="inlineStr"/>
      <c r="M1817" t="inlineStr"/>
      <c r="N1817" t="inlineStr"/>
      <c r="O1817" t="inlineStr"/>
      <c r="P1817" t="inlineStr"/>
      <c r="Q1817" t="inlineStr"/>
      <c r="R1817" t="inlineStr"/>
      <c r="S1817" t="inlineStr"/>
      <c r="T1817" t="inlineStr"/>
      <c r="V1817" t="inlineStr"/>
    </row>
    <row r="1818">
      <c r="A1818">
        <f>Skills!A8</f>
        <v/>
      </c>
      <c r="B1818">
        <f>Skills!B8</f>
        <v/>
      </c>
      <c r="C1818">
        <f>Inputs!$B$3&gt;=69</f>
        <v/>
      </c>
      <c r="D1818">
        <f>IF(Skills!C8=1,60+Inputs!$B$25+Inputs!$B$29,IF(Skills!C8=2,90+Inputs!$B$26+Inputs!$B$29,IF(Skills!C8=3,120+Inputs!$B$27+Inputs!$B$29,MAX(0,(Inputs!$B$3-100)*3)+Inputs!$B$28+Inputs!$B$29)))</f>
        <v/>
      </c>
      <c r="E1818">
        <f>INDEX(FactorTable!$B$2:$Y$301, MATCH(ROUND(MIN(300,MAX(1,D1818)),0), FactorTable!$A$2:$A$301,0), Skills!M8+1)</f>
        <v/>
      </c>
      <c r="F1818">
        <f>IF(Skills!N8=TRUE,(Skills!L8/10)*(E1818/1000),Skills!L8/10)+Skills!O8</f>
        <v/>
      </c>
      <c r="G1818">
        <f>Skills!G8*IF(Skills!H8&gt;0,Skills!I8/Skills!H8,1)</f>
        <v/>
      </c>
      <c r="H1818">
        <f>1-(1-Skills!J8/100)^Skills!K8</f>
        <v/>
      </c>
      <c r="I1818" t="inlineStr">
        <is>
          <t>1</t>
        </is>
      </c>
      <c r="J1818">
        <f>((Inputs!$B$6*(1+Inputs!$B$7/100))+(((Inputs!$B$12*(1+Inputs!$B$13/100))-(Inputs!$B$12*(1+Inputs!$B$13/100)))+0.25*(Inputs!$B$14-Inputs!$B$14))*(1+Inputs!$B$7/100))*(F1818/100)</f>
        <v/>
      </c>
      <c r="K1818">
        <f>J1818*(1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1821=TRUE,F1821,0)/100)*(1+(IF(Skills!A8="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1818)</f>
        <v/>
      </c>
      <c r="L1818">
        <f>K1818*(MIN(Inputs!$B$22+((C1835=TRUE)*(F1835-Calc!F25)),(Inputs!$B$23+((C1840=TRUE)*(F1840-Calc!F30))+(IF(ArtifactsInput!$M$15,CHOOSE(ArtifactsInput!$N$15+1,25,30,35,40,45,50)/100*(Inputs!$B$11-Inputs!$B$11),0))))/100+(Inputs!$B$23+((C1840=TRUE)*(F1840-Calc!F30))+(IF(ArtifactsInput!$M$15,CHOOSE(ArtifactsInput!$N$15+1,25,30,35,40,45,50)/100*(Inputs!$B$11-Inputs!$B$11),0)))/100)/2</f>
        <v/>
      </c>
      <c r="M1818">
        <f>L1818*(1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8">
        <f>L1818*(1-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1818*(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8">
        <f>(1-Summary!$B$11)*T1818+Summary!$B$11*V1818</f>
        <v/>
      </c>
      <c r="P1818">
        <f>IF(B1854=0,0,O1818/B1854)</f>
        <v/>
      </c>
      <c r="Q1818">
        <f>IFERROR(1/(IF(Inputs!$B$38="pvp",15,MAX(0.1,Skills!D8-IF(Skills!E8=TRUE,Inputs!$B$32,0)))*(1-IF(AND(ArtifactsInput!$M$27,Inputs!$B$4="Chapter Hunt"),CHOOSE(ArtifactsInput!$N$27+1,20,24,28,32,36,40),0)/100)),0)</f>
        <v/>
      </c>
      <c r="R1818">
        <f>IF(AND(Inputs!$B$38&lt;&gt;"pvp",Inputs!$B$43&gt;0),IF(MAX(0,Inputs!$B$43-B1851)&lt;=0,0,(INT(MAX(0,Inputs!$B$43-B1851)/(IF(Inputs!$B$38="pvp",15,MAX(0.1,Skills!D8-IF(Skills!E8=TRUE,Inputs!$B$32,0)))*(1-IF(AND(ArtifactsInput!$M$27,Inputs!$B$4="Chapter Hunt"),CHOOSE(ArtifactsInput!$N$27+1,20,24,28,32,36,40),0)/100)))+1)),0)</f>
        <v/>
      </c>
      <c r="S1818">
        <f>IFERROR(O1818/N1818,0)</f>
        <v/>
      </c>
      <c r="T1818">
        <f>IF(C1818,(H1818*N1818*IF(AND(Inputs!$B$38&lt;&gt;"pvp",Inputs!$B$43&gt;0),((Skills!G8*((R1818-1)*IF(Skills!H8&gt;0,Skills!I8/Skills!H8,1)+IF(Skills!H8&gt;0,MIN(Skills!I8,MAX(0,MAX(0,Inputs!$B$43-B1851)-((R1818-1)*(IF(Inputs!$B$38="pvp",15,MAX(0.1,Skills!D8-IF(Skills!E8=TRUE,Inputs!$B$32,0)))*(1-IF(AND(ArtifactsInput!$M$27,Inputs!$B$4="Chapter Hunt"),CHOOSE(ArtifactsInput!$N$27+1,20,24,28,32,36,40),0)/100)))))/Skills!H8,1)))/Inputs!$B$43),G1818*Q1818)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1818*(1-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1818*(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1818*(1-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1818*(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18">
        <f>IF(C1818,(H1818*N1818*IF(AND(Inputs!$B$38&lt;&gt;"pvp",Inputs!$B$43&gt;0),((Skills!G8*((R1818-1)*IF(Skills!H8&gt;0,Skills!I8/Skills!H8,1)+IF(Skills!H8&gt;0,MIN(Skills!I8,MAX(0,MAX(0,Inputs!$B$43-B1851)-((R1818-1)*(IF(Inputs!$B$38="pvp",15,MAX(0.1,Skills!D8-IF(Skills!E8=TRUE,Inputs!$B$32,0)))*(1-IF(AND(ArtifactsInput!$M$27,Inputs!$B$4="Chapter Hunt"),CHOOSE(ArtifactsInput!$N$27+1,20,24,28,32,36,40),0)/100)))))/Skills!H8,1)))/Inputs!$B$43),G1818*Q1818))*IF(Inputs!$B$38="pvp",1,(1+(Inputs!$B$21+Skills!Q8+(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9">
      <c r="A1819">
        <f>Skills!A9</f>
        <v/>
      </c>
      <c r="B1819">
        <f>Skills!B9</f>
        <v/>
      </c>
      <c r="C1819">
        <f>Inputs!$B$3&gt;=63</f>
        <v/>
      </c>
      <c r="D1819">
        <f>IF(Skills!C9=1,60+Inputs!$B$25+Inputs!$B$29,IF(Skills!C9=2,90+Inputs!$B$26+Inputs!$B$29,IF(Skills!C9=3,120+Inputs!$B$27+Inputs!$B$29,MAX(0,(Inputs!$B$3-100)*3)+Inputs!$B$28+Inputs!$B$29)))</f>
        <v/>
      </c>
      <c r="E1819">
        <f>INDEX(FactorTable!$B$2:$Y$301, MATCH(ROUND(MIN(300,MAX(1,D1819)),0), FactorTable!$A$2:$A$301,0), Skills!M9+1)</f>
        <v/>
      </c>
      <c r="F1819">
        <f>IF(Skills!N9=TRUE,(Skills!L9/10)*(E1819/1000),Skills!L9/10)+Skills!O9</f>
        <v/>
      </c>
      <c r="G1819">
        <f>Skills!G9*IF(Skills!H9&gt;0,Skills!I9/Skills!H9,1)</f>
        <v/>
      </c>
      <c r="H1819">
        <f>1-(1-Skills!J9/100)^Skills!K9</f>
        <v/>
      </c>
      <c r="I1819" t="inlineStr">
        <is>
          <t>1</t>
        </is>
      </c>
      <c r="J1819">
        <f>((Inputs!$B$6*(1+Inputs!$B$7/100))+(((Inputs!$B$12*(1+Inputs!$B$13/100))-(Inputs!$B$12*(1+Inputs!$B$13/100)))+0.25*(Inputs!$B$14-Inputs!$B$14))*(1+Inputs!$B$7/100))*(F1819/100)</f>
        <v/>
      </c>
      <c r="K1819">
        <f>J1819*(1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1821=TRUE,F1821,0)/100)*(1+(IF(Skills!A9="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1819)</f>
        <v/>
      </c>
      <c r="L1819">
        <f>K1819*(MIN(Inputs!$B$22+((C1835=TRUE)*(F1835-Calc!F25)),(Inputs!$B$23+((C1840=TRUE)*(F1840-Calc!F30))+(IF(ArtifactsInput!$M$15,CHOOSE(ArtifactsInput!$N$15+1,25,30,35,40,45,50)/100*(Inputs!$B$11-Inputs!$B$11),0))))/100+(Inputs!$B$23+((C1840=TRUE)*(F1840-Calc!F30))+(IF(ArtifactsInput!$M$15,CHOOSE(ArtifactsInput!$N$15+1,25,30,35,40,45,50)/100*(Inputs!$B$11-Inputs!$B$11),0)))/100)/2</f>
        <v/>
      </c>
      <c r="M1819">
        <f>L1819*(1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9">
        <f>L1819*(1-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1819*(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9">
        <f>(1-Summary!$B$11)*T1819+Summary!$B$11*V1819</f>
        <v/>
      </c>
      <c r="P1819">
        <f>IF(B1854=0,0,O1819/B1854)</f>
        <v/>
      </c>
      <c r="Q1819">
        <f>IFERROR(1/(IF(Inputs!$B$38="pvp",15,MAX(0.1,Skills!D9-IF(Skills!E9=TRUE,Inputs!$B$32,0)))*(1-IF(AND(ArtifactsInput!$M$27,Inputs!$B$4="Chapter Hunt"),CHOOSE(ArtifactsInput!$N$27+1,20,24,28,32,36,40),0)/100)),0)</f>
        <v/>
      </c>
      <c r="R1819">
        <f>IF(AND(Inputs!$B$38&lt;&gt;"pvp",Inputs!$B$43&gt;0),IF(MAX(0,Inputs!$B$43-B1851)&lt;=0,0,(INT(MAX(0,Inputs!$B$43-B1851)/(IF(Inputs!$B$38="pvp",15,MAX(0.1,Skills!D9-IF(Skills!E9=TRUE,Inputs!$B$32,0)))*(1-IF(AND(ArtifactsInput!$M$27,Inputs!$B$4="Chapter Hunt"),CHOOSE(ArtifactsInput!$N$27+1,20,24,28,32,36,40),0)/100)))+1)),0)</f>
        <v/>
      </c>
      <c r="S1819">
        <f>IFERROR(O1819/N1819,0)</f>
        <v/>
      </c>
      <c r="T1819">
        <f>IF(C1819,(H1819*N1819*IF(AND(Inputs!$B$38&lt;&gt;"pvp",Inputs!$B$43&gt;0),((Skills!G9*((R1819-1)*IF(Skills!H9&gt;0,Skills!I9/Skills!H9,1)+IF(Skills!H9&gt;0,MIN(Skills!I9,MAX(0,MAX(0,Inputs!$B$43-B1851)-((R1819-1)*(IF(Inputs!$B$38="pvp",15,MAX(0.1,Skills!D9-IF(Skills!E9=TRUE,Inputs!$B$32,0)))*(1-IF(AND(ArtifactsInput!$M$27,Inputs!$B$4="Chapter Hunt"),CHOOSE(ArtifactsInput!$N$27+1,20,24,28,32,36,40),0)/100)))))/Skills!H9,1)))/Inputs!$B$43),G1819*Q1819)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1819*(1-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1819*(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1819*(1-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1819*(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19">
        <f>IF(C1819,(H1819*N1819*IF(AND(Inputs!$B$38&lt;&gt;"pvp",Inputs!$B$43&gt;0),((Skills!G9*((R1819-1)*IF(Skills!H9&gt;0,Skills!I9/Skills!H9,1)+IF(Skills!H9&gt;0,MIN(Skills!I9,MAX(0,MAX(0,Inputs!$B$43-B1851)-((R1819-1)*(IF(Inputs!$B$38="pvp",15,MAX(0.1,Skills!D9-IF(Skills!E9=TRUE,Inputs!$B$32,0)))*(1-IF(AND(ArtifactsInput!$M$27,Inputs!$B$4="Chapter Hunt"),CHOOSE(ArtifactsInput!$N$27+1,20,24,28,32,36,40),0)/100)))))/Skills!H9,1)))/Inputs!$B$43),G1819*Q1819))*IF(Inputs!$B$38="pvp",1,(1+(Inputs!$B$21+Skills!Q9+(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0">
      <c r="A1820">
        <f>Skills!A10</f>
        <v/>
      </c>
      <c r="B1820">
        <f>Skills!B10</f>
        <v/>
      </c>
      <c r="C1820">
        <f>Inputs!$B$3&gt;=103</f>
        <v/>
      </c>
      <c r="D1820">
        <f>IF(Skills!C10=1,60+Inputs!$B$25+Inputs!$B$29,IF(Skills!C10=2,90+Inputs!$B$26+Inputs!$B$29,IF(Skills!C10=3,120+Inputs!$B$27+Inputs!$B$29,MAX(0,(Inputs!$B$3-100)*3)+Inputs!$B$28+Inputs!$B$29)))</f>
        <v/>
      </c>
      <c r="E1820">
        <f>INDEX(FactorTable!$B$2:$Y$301, MATCH(ROUND(MIN(300,MAX(1,D1820)),0), FactorTable!$A$2:$A$301,0), Skills!M10+1)</f>
        <v/>
      </c>
      <c r="F1820">
        <f>IF(Skills!N10=TRUE,(Skills!L10/10)*(E1820/1000),Skills!L10/10)+Skills!O10</f>
        <v/>
      </c>
      <c r="G1820">
        <f>Skills!G10*IF(Skills!H10&gt;0,Skills!I10/Skills!H10,1)</f>
        <v/>
      </c>
      <c r="H1820">
        <f>1-(1-Skills!J10/100)^Skills!K10</f>
        <v/>
      </c>
      <c r="I1820" t="inlineStr">
        <is>
          <t>1</t>
        </is>
      </c>
      <c r="J1820">
        <f>((Inputs!$B$6*(1+Inputs!$B$7/100))+(((Inputs!$B$12*(1+Inputs!$B$13/100))-(Inputs!$B$12*(1+Inputs!$B$13/100)))+0.25*(Inputs!$B$14-Inputs!$B$14))*(1+Inputs!$B$7/100))*(F1820/100)</f>
        <v/>
      </c>
      <c r="K1820">
        <f>J1820*(1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1820)</f>
        <v/>
      </c>
      <c r="L1820">
        <f>K1820*(MIN(Inputs!$B$22+((C1835=TRUE)*(F1835-Calc!F25)),(Inputs!$B$23+((C1840=TRUE)*(F1840-Calc!F30))+(IF(ArtifactsInput!$M$15,CHOOSE(ArtifactsInput!$N$15+1,25,30,35,40,45,50)/100*(Inputs!$B$11-Inputs!$B$11),0))))/100+(Inputs!$B$23+((C1840=TRUE)*(F1840-Calc!F30))+(IF(ArtifactsInput!$M$15,CHOOSE(ArtifactsInput!$N$15+1,25,30,35,40,45,50)/100*(Inputs!$B$11-Inputs!$B$11),0)))/100)/2</f>
        <v/>
      </c>
      <c r="M1820">
        <f>L1820*(1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0">
        <f>L1820*(1-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1820*(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0">
        <f>(1-Summary!$B$11)*T1820+Summary!$B$11*V1820</f>
        <v/>
      </c>
      <c r="P1820">
        <f>IF(B1854=0,0,O1820/B1854)</f>
        <v/>
      </c>
      <c r="Q1820">
        <f>IFERROR(1/(IF(Inputs!$B$38="pvp",15,MAX(0.1,Skills!D10-IF(Skills!E10=TRUE,Inputs!$B$32,0)))*(1-IF(AND(ArtifactsInput!$M$27,Inputs!$B$4="Chapter Hunt"),CHOOSE(ArtifactsInput!$N$27+1,20,24,28,32,36,40),0)/100)),0)</f>
        <v/>
      </c>
      <c r="R1820">
        <f>IF(AND(Inputs!$B$38&lt;&gt;"pvp",Inputs!$B$43&gt;0),IF(MAX(0,Inputs!$B$43-B1851)&lt;=0,0,(INT(MAX(0,Inputs!$B$43-B1851)/(IF(Inputs!$B$38="pvp",15,MAX(0.1,Skills!D10-IF(Skills!E10=TRUE,Inputs!$B$32,0)))*(1-IF(AND(ArtifactsInput!$M$27,Inputs!$B$4="Chapter Hunt"),CHOOSE(ArtifactsInput!$N$27+1,20,24,28,32,36,40),0)/100)))+1)),0)</f>
        <v/>
      </c>
      <c r="S1820">
        <f>IFERROR(O1820/N1820,0)</f>
        <v/>
      </c>
      <c r="T1820">
        <f>IF(C1820,(H1820*N1820*IF(AND(Inputs!$B$38&lt;&gt;"pvp",Inputs!$B$43&gt;0),((Skills!G10*((R1820-1)*IF(Skills!H10&gt;0,Skills!I10/Skills!H10,1)+IF(Skills!H10&gt;0,MIN(Skills!I10,MAX(0,MAX(0,Inputs!$B$43-B1851)-((R1820-1)*(IF(Inputs!$B$38="pvp",15,MAX(0.1,Skills!D10-IF(Skills!E10=TRUE,Inputs!$B$32,0)))*(1-IF(AND(ArtifactsInput!$M$27,Inputs!$B$4="Chapter Hunt"),CHOOSE(ArtifactsInput!$N$27+1,20,24,28,32,36,40),0)/100)))))/Skills!H10,1)))/Inputs!$B$43),G1820*Q1820)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1820*(1-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1820*(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1820*(1-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1820*(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0">
        <f>IF(C1820,(H1820*N1820*IF(AND(Inputs!$B$38&lt;&gt;"pvp",Inputs!$B$43&gt;0),((Skills!G10*((R1820-1)*IF(Skills!H10&gt;0,Skills!I10/Skills!H10,1)+IF(Skills!H10&gt;0,MIN(Skills!I10,MAX(0,MAX(0,Inputs!$B$43-B1851)-((R1820-1)*(IF(Inputs!$B$38="pvp",15,MAX(0.1,Skills!D10-IF(Skills!E10=TRUE,Inputs!$B$32,0)))*(1-IF(AND(ArtifactsInput!$M$27,Inputs!$B$4="Chapter Hunt"),CHOOSE(ArtifactsInput!$N$27+1,20,24,28,32,36,40),0)/100)))))/Skills!H10,1)))/Inputs!$B$43),G1820*Q1820))*IF(Inputs!$B$38="pvp",1,(1+(Inputs!$B$21+Skills!Q10+(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1">
      <c r="A1821">
        <f>Skills!A11</f>
        <v/>
      </c>
      <c r="B1821">
        <f>Skills!B11</f>
        <v/>
      </c>
      <c r="C1821">
        <f>Inputs!$B$3&gt;=100</f>
        <v/>
      </c>
      <c r="D1821">
        <f>IF(Skills!C11=1,60+Inputs!$B$25+Inputs!$B$29,IF(Skills!C11=2,90+Inputs!$B$26+Inputs!$B$29,IF(Skills!C11=3,120+Inputs!$B$27+Inputs!$B$29,MAX(0,(Inputs!$B$3-100)*3)+Inputs!$B$28+Inputs!$B$29)))</f>
        <v/>
      </c>
      <c r="E1821">
        <f>INDEX(FactorTable!$B$2:$Y$301, MATCH(ROUND(MIN(300,MAX(1,D1821)),0), FactorTable!$A$2:$A$301,0), Skills!M11+1)</f>
        <v/>
      </c>
      <c r="F1821">
        <f>IF(Skills!N11=TRUE,(Skills!L11/10)*(E1821/1000),Skills!L11/10)+Skills!O11</f>
        <v/>
      </c>
      <c r="G1821" t="inlineStr"/>
      <c r="H1821" t="inlineStr"/>
      <c r="I1821" t="inlineStr">
        <is>
          <t>1</t>
        </is>
      </c>
      <c r="J1821" t="inlineStr"/>
      <c r="K1821" t="inlineStr"/>
      <c r="L1821" t="inlineStr"/>
      <c r="M1821" t="inlineStr"/>
      <c r="N1821" t="inlineStr"/>
      <c r="O1821" t="inlineStr"/>
      <c r="P1821" t="inlineStr"/>
      <c r="Q1821" t="inlineStr"/>
      <c r="R1821" t="inlineStr"/>
      <c r="S1821" t="inlineStr"/>
      <c r="T1821" t="inlineStr"/>
      <c r="V1821" t="inlineStr"/>
    </row>
    <row r="1822">
      <c r="A1822">
        <f>Skills!A12</f>
        <v/>
      </c>
      <c r="B1822">
        <f>Skills!B12</f>
        <v/>
      </c>
      <c r="C1822">
        <f>Inputs!$B$3&gt;=60</f>
        <v/>
      </c>
      <c r="D1822">
        <f>IF(Skills!C12=1,60+Inputs!$B$25+Inputs!$B$29,IF(Skills!C12=2,90+Inputs!$B$26+Inputs!$B$29,IF(Skills!C12=3,120+Inputs!$B$27+Inputs!$B$29,MAX(0,(Inputs!$B$3-100)*3)+Inputs!$B$28+Inputs!$B$29)))</f>
        <v/>
      </c>
      <c r="E1822">
        <f>INDEX(FactorTable!$B$2:$Y$301, MATCH(ROUND(MIN(300,MAX(1,D1822)),0), FactorTable!$A$2:$A$301,0), Skills!M12+1)</f>
        <v/>
      </c>
      <c r="F1822">
        <f>IF(Skills!N12=TRUE,(Skills!L12/10)*(E1822/1000),Skills!L12/10)+Skills!O12</f>
        <v/>
      </c>
      <c r="G1822">
        <f>Skills!G12*IF(Skills!H12&gt;0,Skills!I12/Skills!H12,1)</f>
        <v/>
      </c>
      <c r="H1822">
        <f>1-(1-Skills!J12/100)^Skills!K12</f>
        <v/>
      </c>
      <c r="I1822" t="inlineStr">
        <is>
          <t>1</t>
        </is>
      </c>
      <c r="J1822">
        <f>((Inputs!$B$6*(1+Inputs!$B$7/100))+(((Inputs!$B$12*(1+Inputs!$B$13/100))-(Inputs!$B$12*(1+Inputs!$B$13/100)))+0.25*(Inputs!$B$14-Inputs!$B$14))*(1+Inputs!$B$7/100))*(F1822/100)</f>
        <v/>
      </c>
      <c r="K1822">
        <f>J1822*(1+((Inputs!$B$12*(1+Inputs!$B$13/100))*0.01+Inputs!$B$14*0.0025)/100)*(1+Inputs!$B$15/100)*(1+Inputs!$B$16/100)*(5000/(6000+Inputs!$B$42*(1-(100*(1-(1-(Inputs!$B$19+((C1838=TRUE)*(F1838-Calc!F28)))/100)*(1-CHOOSE(ArtifactsInput!$N$40+1,5,6,7,8,9,10)/100)^(ArtifactsInput!$M$40-ArtifactsInput!$M$40)))/100)))*(1+(Inputs!$B$24+((C1836=TRUE)*(F1836-Calc!F26))+((C1837=TRUE)*(F1837-Calc!F27))+B1850)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1823=TRUE,F1823,0)/100)*(1+(IF(Skills!A12="ARROW_STREAM",Inputs!$B$17+((C1834=TRUE)*(F1834-Calc!F24))+(((IF(AND(ArtifactsInput!$M$42,((Inputs!$B$9+((C1831=TRUE)*(F1831-Calc!F21))+B1844+(ArtifactsInput!$M$24-ArtifactsInput!$M$24)*CHOOSE(ArtifactsInput!$N$24+1,10,12,14,16,18,20)+IF(ArtifactsInput!$M$10,CHOOSE(ArtifactsInput!$N$10+1,15,18,21,24,27,30)*(IF(Inputs!$B$38="pvp",MIN(15,15)/15,IF(AND(Inputs!$B$38&lt;&gt;"pvp",Inputs!$B$43&gt;0),MIN(15,Inputs!$B$43)/(Inputs!$B$43),0))),0)))&gt;=100),MIN(100,((Inputs!$B$9+((C1831=TRUE)*(F1831-Calc!F21))+B1844+(ArtifactsInput!$M$24-ArtifactsInput!$M$24)*CHOOSE(ArtifactsInput!$N$24+1,10,12,14,16,18,20)+IF(ArtifactsInput!$M$10,CHOOSE(ArtifactsInput!$N$10+1,15,18,21,24,27,30)*(IF(Inputs!$B$38="pvp",MIN(15,15)/15,IF(AND(Inputs!$B$38&lt;&gt;"pvp",Inputs!$B$43&gt;0),MIN(15,Inputs!$B$43)/(Inputs!$B$43),0))),0)))-100),0))*CHOOSE(ArtifactsInput!$N$42+1,0.6,0.72,0.84,0.96,1.08,1.2))),Inputs!$B$18+((C1839=TRUE)*(F1839-Calc!F29))+(IF(AND(ArtifactsInput!$M$42,((Inputs!$B$9+((C1831=TRUE)*(F1831-Calc!F21))+B1844+(ArtifactsInput!$M$24-ArtifactsInput!$M$24)*CHOOSE(ArtifactsInput!$N$24+1,10,12,14,16,18,20)+IF(ArtifactsInput!$M$10,CHOOSE(ArtifactsInput!$N$10+1,15,18,21,24,27,30)*(IF(Inputs!$B$38="pvp",MIN(15,15)/15,IF(AND(Inputs!$B$38&lt;&gt;"pvp",Inputs!$B$43&gt;0),MIN(15,Inputs!$B$43)/(Inputs!$B$43),0))),0)))&gt;=100),CHOOSE(ArtifactsInput!$N$42+1,40,48,56,64,72,80),0))))/100)*((1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1822)</f>
        <v/>
      </c>
      <c r="L1822">
        <f>K1822*(MIN(Inputs!$B$22+((C1835=TRUE)*(F1835-Calc!F25)),(Inputs!$B$23+((C1840=TRUE)*(F1840-Calc!F30))+(IF(ArtifactsInput!$M$15,CHOOSE(ArtifactsInput!$N$15+1,25,30,35,40,45,50)/100*(Inputs!$B$11-Inputs!$B$11),0))))/100+(Inputs!$B$23+((C1840=TRUE)*(F1840-Calc!F30))+(IF(ArtifactsInput!$M$15,CHOOSE(ArtifactsInput!$N$15+1,25,30,35,40,45,50)/100*(Inputs!$B$11-Inputs!$B$11),0)))/100)/2</f>
        <v/>
      </c>
      <c r="M1822">
        <f>L1822*(1+(Inputs!$B$10+0+B1849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2">
        <f>L1822*(1-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1822*(MIN((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2">
        <f>(1-Summary!$B$11)*T1822+Summary!$B$11*V1822</f>
        <v/>
      </c>
      <c r="P1822">
        <f>IF(B1854=0,0,O1822/B1854)</f>
        <v/>
      </c>
      <c r="Q1822">
        <f>IFERROR(1/(IF(Inputs!$B$38="pvp",15,MAX(0.1,Skills!D12-IF(Skills!E12=TRUE,Inputs!$B$32,0)))*(1-IF(AND(ArtifactsInput!$M$27,Inputs!$B$4="Chapter Hunt"),CHOOSE(ArtifactsInput!$N$27+1,20,24,28,32,36,40),0)/100)),0)</f>
        <v/>
      </c>
      <c r="R1822">
        <f>IF(AND(Inputs!$B$38&lt;&gt;"pvp",Inputs!$B$43&gt;0),IF(MAX(0,Inputs!$B$43-B1851)&lt;=0,0,(INT(MAX(0,Inputs!$B$43-B1851)/(IF(Inputs!$B$38="pvp",15,MAX(0.1,Skills!D12-IF(Skills!E12=TRUE,Inputs!$B$32,0)))*(1-IF(AND(ArtifactsInput!$M$27,Inputs!$B$4="Chapter Hunt"),CHOOSE(ArtifactsInput!$N$27+1,20,24,28,32,36,40),0)/100)))+1)),0)</f>
        <v/>
      </c>
      <c r="S1822">
        <f>IFERROR(O1822/N1822,0)</f>
        <v/>
      </c>
      <c r="T1822">
        <f>IF(C1822,(H1822*N1822*IF(AND(Inputs!$B$38&lt;&gt;"pvp",Inputs!$B$43&gt;0),((Skills!G12*((R1822-1)*IF(Skills!H12&gt;0,Skills!I12/Skills!H12,1)+IF(Skills!H12&gt;0,MIN(Skills!I12,MAX(0,MAX(0,Inputs!$B$43-B1851)-((R1822-1)*(IF(Inputs!$B$38="pvp",15,MAX(0.1,Skills!D12-IF(Skills!E12=TRUE,Inputs!$B$32,0)))*(1-IF(AND(ArtifactsInput!$M$27,Inputs!$B$4="Chapter Hunt"),CHOOSE(ArtifactsInput!$N$27+1,20,24,28,32,36,40),0)/100)))))/Skills!H12,1)))/Inputs!$B$43),G1822*Q1822)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(5000/(6000+Inputs!$B$42*(1-(100*(1-(1-(100*(1-(1-(Inputs!$B$19+((C1838=TRUE)*(F1838-Calc!F28)))/100)*(1-CHOOSE(ArtifactsInput!$N$40+1,5,6,7,8,9,10)/100)^(ArtifactsInput!$M$40-ArtifactsInput!$M$40)))/100)*(1-IF(ArtifactsInput!$M$40,CHOOSE(ArtifactsInput!$N$40+1,5,6,7,8,9,10),0)/100)^IF(Inputs!$B$38="pvp",1,2)))/100)))/(5000/(6000+Inputs!$B$42*(1-(100*(1-(1-(Inputs!$B$19+((C1838=TRUE)*(F1838-Calc!F28)))/100)*(1-CHOOSE(ArtifactsInput!$N$40+1,5,6,7,8,9,10)/100)^(ArtifactsInput!$M$40-ArtifactsInput!$M$40)))/100))))*((L1822*(1-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1822*(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1822*(1-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1822*(MIN(100,(Inputs!$B$9+((C1831=TRUE)*(F1831-Calc!F21))+B1844+(ArtifactsInput!$M$24-ArtifactsInput!$M$24)*CHOOSE(ArtifactsInput!$N$24+1,10,12,14,16,18,20)+(IF(AND(ArtifactsInput!$M$42,((Inputs!$B$9+((C1831=TRUE)*(F1831-Calc!F21))+B1844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2">
        <f>IF(C1822,(H1822*N1822*IF(AND(Inputs!$B$38&lt;&gt;"pvp",Inputs!$B$43&gt;0),((Skills!G12*((R1822-1)*IF(Skills!H12&gt;0,Skills!I12/Skills!H12,1)+IF(Skills!H12&gt;0,MIN(Skills!I12,MAX(0,MAX(0,Inputs!$B$43-B1851)-((R1822-1)*(IF(Inputs!$B$38="pvp",15,MAX(0.1,Skills!D12-IF(Skills!E12=TRUE,Inputs!$B$32,0)))*(1-IF(AND(ArtifactsInput!$M$27,Inputs!$B$4="Chapter Hunt"),CHOOSE(ArtifactsInput!$N$27+1,20,24,28,32,36,40),0)/100)))))/Skills!H12,1)))/Inputs!$B$43),G1822*Q1822))*IF(Inputs!$B$38="pvp",1,(1+(Inputs!$B$21+Skills!Q12+(IF(ArtifactsInput!$M$33,CHOOSE(ArtifactsInput!$N$33+1,30,36,42,48,54,60),0))+(IF(AND(ArtifactsInput!$M$35,Inputs!$B$4&lt;&gt;"Chapter Hunt"),CHOOSE(ArtifactsInput!$N$35+1,15,18,21,24,27,30)*(1-EXP(-(0.2*B1846)*5)),0)+IF(AND(ArtifactsInput!$M$22,Inputs!$B$4&lt;&gt;"Chapter Hunt"),CHOOSE(ArtifactsInput!$N$22+1,10,12,14,16,18,20)*((0*(((0.15*B1846*5))^0/1)+1*(((0.15*B1846*5))^1/1)+2*(((0.15*B1846*5))^2/2)+3*(((0.15*B1846*5))^3/6)+4*(((0.15*B1846*5))^4/24)+5*(((0.15*B1846*5))^5/120))/((((0.15*B1846*5))^0/1)+(((0.15*B1846*5))^1/1)+(((0.15*B1846*5))^2/2)+(((0.15*B1846*5))^3/6)+(((0.15*B1846*5))^4/24)+(((0.15*B1846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3">
      <c r="A1823">
        <f>Skills!A13</f>
        <v/>
      </c>
      <c r="B1823">
        <f>Skills!B13</f>
        <v/>
      </c>
      <c r="C1823">
        <f>Inputs!$B$3&gt;=110</f>
        <v/>
      </c>
      <c r="D1823">
        <f>IF(Skills!C13=1,60+Inputs!$B$25+Inputs!$B$29,IF(Skills!C13=2,90+Inputs!$B$26+Inputs!$B$29,IF(Skills!C13=3,120+Inputs!$B$27+Inputs!$B$29,MAX(0,(Inputs!$B$3-100)*3)+Inputs!$B$28+Inputs!$B$29)))</f>
        <v/>
      </c>
      <c r="E1823">
        <f>INDEX(FactorTable!$B$2:$Y$301, MATCH(ROUND(MIN(300,MAX(1,D1823)),0), FactorTable!$A$2:$A$301,0), Skills!M13+1)</f>
        <v/>
      </c>
      <c r="F1823">
        <f>IF(Skills!N13=TRUE,(Skills!L13/10)*(E1823/1000),Skills!L13/10)+Skills!O13</f>
        <v/>
      </c>
      <c r="G1823" t="inlineStr"/>
      <c r="H1823" t="inlineStr"/>
      <c r="I1823" t="inlineStr">
        <is>
          <t>1</t>
        </is>
      </c>
      <c r="J1823" t="inlineStr"/>
      <c r="K1823" t="inlineStr"/>
      <c r="L1823" t="inlineStr"/>
      <c r="M1823" t="inlineStr"/>
      <c r="N1823" t="inlineStr"/>
      <c r="O1823" t="inlineStr"/>
      <c r="P1823" t="inlineStr"/>
      <c r="Q1823" t="inlineStr"/>
      <c r="R1823" t="inlineStr"/>
      <c r="S1823" t="inlineStr"/>
      <c r="T1823" t="inlineStr"/>
      <c r="V1823" t="inlineStr"/>
    </row>
    <row r="1824">
      <c r="A1824">
        <f>Skills!A14</f>
        <v/>
      </c>
      <c r="B1824">
        <f>Skills!B14</f>
        <v/>
      </c>
      <c r="C1824">
        <f>Inputs!$B$3&gt;=74</f>
        <v/>
      </c>
      <c r="D1824">
        <f>IF(Skills!C14=1,60+Inputs!$B$25+Inputs!$B$29,IF(Skills!C14=2,90+Inputs!$B$26+Inputs!$B$29,IF(Skills!C14=3,120+Inputs!$B$27+Inputs!$B$29,MAX(0,(Inputs!$B$3-100)*3)+Inputs!$B$28+Inputs!$B$29)))</f>
        <v/>
      </c>
      <c r="E1824">
        <f>INDEX(FactorTable!$B$2:$Y$301, MATCH(ROUND(MIN(300,MAX(1,D1824)),0), FactorTable!$A$2:$A$301,0), Skills!M14+1)</f>
        <v/>
      </c>
      <c r="F1824">
        <f>IF(Skills!N14=TRUE,(Skills!L14/10)*(E1824/1000),Skills!L14/10)+Skills!O14</f>
        <v/>
      </c>
      <c r="G1824">
        <f>Skills!G14*IF(Skills!H14&gt;0,Skills!I14/Skills!H14,1)</f>
        <v/>
      </c>
      <c r="H1824">
        <f>1-(1-Skills!J14/100)^Skills!K14</f>
        <v/>
      </c>
      <c r="I1824" t="inlineStr">
        <is>
          <t>1</t>
        </is>
      </c>
      <c r="J1824" t="inlineStr"/>
      <c r="K1824" t="inlineStr"/>
      <c r="L1824" t="inlineStr"/>
      <c r="M1824" t="inlineStr"/>
      <c r="N1824" t="inlineStr"/>
      <c r="O1824">
        <f>(1-Summary!$B$11)*T1824+Summary!$B$11*V1824</f>
        <v/>
      </c>
      <c r="P1824">
        <f>IF(B1854=0,0,O1824/B1854)</f>
        <v/>
      </c>
      <c r="Q1824" t="n">
        <v>0</v>
      </c>
      <c r="R1824" t="n">
        <v>0</v>
      </c>
      <c r="S1824">
        <f>IFERROR(O1824/N1824,0)</f>
        <v/>
      </c>
      <c r="T1824" t="n">
        <v>0</v>
      </c>
      <c r="V1824" t="n">
        <v>0</v>
      </c>
    </row>
    <row r="1825">
      <c r="A1825">
        <f>Skills!A15</f>
        <v/>
      </c>
      <c r="B1825">
        <f>Skills!B15</f>
        <v/>
      </c>
      <c r="C1825">
        <f>Inputs!$B$3&gt;=74</f>
        <v/>
      </c>
      <c r="D1825">
        <f>IF(Skills!C15=1,60+Inputs!$B$25+Inputs!$B$29,IF(Skills!C15=2,90+Inputs!$B$26+Inputs!$B$29,IF(Skills!C15=3,120+Inputs!$B$27+Inputs!$B$29,MAX(0,(Inputs!$B$3-100)*3)+Inputs!$B$28+Inputs!$B$29)))</f>
        <v/>
      </c>
      <c r="E1825">
        <f>INDEX(FactorTable!$B$2:$Y$301, MATCH(ROUND(MIN(300,MAX(1,D1825)),0), FactorTable!$A$2:$A$301,0), Skills!M15+1)</f>
        <v/>
      </c>
      <c r="F1825">
        <f>IF(Skills!N15=TRUE,(Skills!L15/10)*(E1825/1000),Skills!L15/10)+Skills!O15</f>
        <v/>
      </c>
      <c r="G1825">
        <f>Skills!G15*IF(Skills!H15&gt;0,Skills!I15/Skills!H15,1)</f>
        <v/>
      </c>
      <c r="H1825">
        <f>1-(1-Skills!J15/100)^Skills!K15</f>
        <v/>
      </c>
      <c r="I1825" t="inlineStr">
        <is>
          <t>1</t>
        </is>
      </c>
      <c r="J1825" t="inlineStr"/>
      <c r="K1825" t="inlineStr"/>
      <c r="L1825" t="inlineStr"/>
      <c r="M1825" t="inlineStr"/>
      <c r="N1825" t="inlineStr"/>
      <c r="O1825">
        <f>(1-Summary!$B$11)*T1825+Summary!$B$11*V1825</f>
        <v/>
      </c>
      <c r="P1825">
        <f>IF(B1854=0,0,O1825/B1854)</f>
        <v/>
      </c>
      <c r="Q1825" t="n">
        <v>0</v>
      </c>
      <c r="R1825" t="n">
        <v>0</v>
      </c>
      <c r="S1825">
        <f>IFERROR(O1825/N1825,0)</f>
        <v/>
      </c>
      <c r="T1825" t="n">
        <v>0</v>
      </c>
      <c r="V1825" t="n">
        <v>0</v>
      </c>
    </row>
    <row r="1826">
      <c r="A1826">
        <f>Skills!A16</f>
        <v/>
      </c>
      <c r="B1826">
        <f>Skills!B16</f>
        <v/>
      </c>
      <c r="C1826">
        <f>Inputs!$B$3&gt;=117</f>
        <v/>
      </c>
      <c r="D1826">
        <f>IF(Skills!C16=1,60+Inputs!$B$25+Inputs!$B$29,IF(Skills!C16=2,90+Inputs!$B$26+Inputs!$B$29,IF(Skills!C16=3,120+Inputs!$B$27+Inputs!$B$29,MAX(0,(Inputs!$B$3-100)*3)+Inputs!$B$28+Inputs!$B$29)))</f>
        <v/>
      </c>
      <c r="E1826">
        <f>INDEX(FactorTable!$B$2:$Y$301, MATCH(ROUND(MIN(300,MAX(1,D1826)),0), FactorTable!$A$2:$A$301,0), Skills!M16+1)</f>
        <v/>
      </c>
      <c r="F1826">
        <f>IF(Skills!N16=TRUE,(Skills!L16/10)*(E1826/1000),Skills!L16/10)+Skills!O16</f>
        <v/>
      </c>
      <c r="G1826">
        <f>Skills!G16*IF(Skills!H16&gt;0,Skills!I16/Skills!H16,1)</f>
        <v/>
      </c>
      <c r="H1826">
        <f>1-(1-Skills!J16/100)^Skills!K16</f>
        <v/>
      </c>
      <c r="I1826" t="inlineStr">
        <is>
          <t>1</t>
        </is>
      </c>
      <c r="J1826" t="inlineStr"/>
      <c r="K1826" t="inlineStr"/>
      <c r="L1826" t="inlineStr"/>
      <c r="M1826" t="inlineStr"/>
      <c r="N1826" t="inlineStr"/>
      <c r="O1826">
        <f>(1-Summary!$B$11)*T1826+Summary!$B$11*V1826</f>
        <v/>
      </c>
      <c r="P1826">
        <f>IF(B1854=0,0,O1826/B1854)</f>
        <v/>
      </c>
      <c r="Q1826">
        <f>IFERROR(1/(IF(Inputs!$B$38="pvp",15,MAX(0.1,Skills!D16-IF(Skills!E16=TRUE,Inputs!$B$32,0)))*(1-IF(AND(ArtifactsInput!$M$27,Inputs!$B$4="Chapter Hunt"),CHOOSE(ArtifactsInput!$N$27+1,20,24,28,32,36,40),0)/100)),0)</f>
        <v/>
      </c>
      <c r="R1826">
        <f>IF(AND(Inputs!$B$38&lt;&gt;"pvp",Inputs!$B$43&gt;0),IF(Inputs!$B$43&lt;=0,0,(INT(Inputs!$B$43/(IF(Inputs!$B$38="pvp",15,MAX(0.1,Skills!D16-IF(Skills!E16=TRUE,Inputs!$B$32,0)))*(1-IF(AND(ArtifactsInput!$M$27,Inputs!$B$4="Chapter Hunt"),CHOOSE(ArtifactsInput!$N$27+1,20,24,28,32,36,40),0)/100)))+1)),0)</f>
        <v/>
      </c>
      <c r="S1826">
        <f>IFERROR(O1826/N1826,0)</f>
        <v/>
      </c>
      <c r="T1826" t="n">
        <v>0</v>
      </c>
      <c r="V1826" t="n">
        <v>0</v>
      </c>
    </row>
    <row r="1827">
      <c r="A1827">
        <f>Skills!A17</f>
        <v/>
      </c>
      <c r="B1827">
        <f>Skills!B17</f>
        <v/>
      </c>
      <c r="C1827">
        <f>Inputs!$B$3&gt;=115</f>
        <v/>
      </c>
      <c r="D1827">
        <f>IF(Skills!C17=1,60+Inputs!$B$25+Inputs!$B$29,IF(Skills!C17=2,90+Inputs!$B$26+Inputs!$B$29,IF(Skills!C17=3,120+Inputs!$B$27+Inputs!$B$29,MAX(0,(Inputs!$B$3-100)*3)+Inputs!$B$28+Inputs!$B$29)))</f>
        <v/>
      </c>
      <c r="E1827">
        <f>INDEX(FactorTable!$B$2:$Y$301, MATCH(ROUND(MIN(300,MAX(1,D1827)),0), FactorTable!$A$2:$A$301,0), Skills!M17+1)</f>
        <v/>
      </c>
      <c r="F1827">
        <f>IF(Skills!N17=TRUE,(Skills!L17/10)*(E1827/1000),Skills!L17/10)+Skills!O17</f>
        <v/>
      </c>
      <c r="G1827">
        <f>Skills!G17*IF(Skills!H17&gt;0,Skills!I17/Skills!H17,1)</f>
        <v/>
      </c>
      <c r="H1827">
        <f>1-(1-Skills!J17/100)^Skills!K17</f>
        <v/>
      </c>
      <c r="I1827" t="inlineStr">
        <is>
          <t>1</t>
        </is>
      </c>
      <c r="J1827" t="inlineStr"/>
      <c r="K1827" t="inlineStr"/>
      <c r="L1827" t="inlineStr"/>
      <c r="M1827" t="inlineStr"/>
      <c r="N1827" t="inlineStr"/>
      <c r="O1827">
        <f>(1-Summary!$B$11)*T1827+Summary!$B$11*V1827</f>
        <v/>
      </c>
      <c r="P1827">
        <f>IF(B1854=0,0,O1827/B1854)</f>
        <v/>
      </c>
      <c r="Q1827">
        <f>IFERROR(1/(IF(Inputs!$B$38="pvp",15,MAX(0.1,Skills!D17-IF(Skills!E17=TRUE,Inputs!$B$32,0)))*(1-IF(AND(ArtifactsInput!$M$27,Inputs!$B$4="Chapter Hunt"),CHOOSE(ArtifactsInput!$N$27+1,20,24,28,32,36,40),0)/100)),0)</f>
        <v/>
      </c>
      <c r="R1827">
        <f>IF(AND(Inputs!$B$38&lt;&gt;"pvp",Inputs!$B$43&gt;0),IF(Inputs!$B$43&lt;=0,0,(INT(Inputs!$B$43/(IF(Inputs!$B$38="pvp",15,MAX(0.1,Skills!D17-IF(Skills!E17=TRUE,Inputs!$B$32,0)))*(1-IF(AND(ArtifactsInput!$M$27,Inputs!$B$4="Chapter Hunt"),CHOOSE(ArtifactsInput!$N$27+1,20,24,28,32,36,40),0)/100)))+1)),0)</f>
        <v/>
      </c>
      <c r="S1827">
        <f>IFERROR(O1827/N1827,0)</f>
        <v/>
      </c>
      <c r="T1827" t="n">
        <v>0</v>
      </c>
      <c r="V1827" t="n">
        <v>0</v>
      </c>
    </row>
    <row r="1828">
      <c r="A1828">
        <f>Skills!A18</f>
        <v/>
      </c>
      <c r="B1828">
        <f>Skills!B18</f>
        <v/>
      </c>
      <c r="C1828">
        <f>Inputs!$B$3&gt;=66</f>
        <v/>
      </c>
      <c r="D1828">
        <f>IF(Skills!C18=1,60+Inputs!$B$25+Inputs!$B$29,IF(Skills!C18=2,90+Inputs!$B$26+Inputs!$B$29,IF(Skills!C18=3,120+Inputs!$B$27+Inputs!$B$29,MAX(0,(Inputs!$B$3-100)*3)+Inputs!$B$28+Inputs!$B$29)))</f>
        <v/>
      </c>
      <c r="E1828">
        <f>INDEX(FactorTable!$B$2:$Y$301, MATCH(ROUND(MIN(300,MAX(1,D1828)),0), FactorTable!$A$2:$A$301,0), Skills!M18+1)</f>
        <v/>
      </c>
      <c r="F1828">
        <f>IF(Skills!N18=TRUE,(Skills!L18/10)*(E1828/1000),Skills!L18/10)+Skills!O18</f>
        <v/>
      </c>
      <c r="G1828">
        <f>Skills!G18*IF(Skills!H18&gt;0,Skills!I18/Skills!H18,1)</f>
        <v/>
      </c>
      <c r="H1828">
        <f>1-(1-Skills!J18/100)^Skills!K18</f>
        <v/>
      </c>
      <c r="I1828" t="inlineStr">
        <is>
          <t>1</t>
        </is>
      </c>
      <c r="J1828" t="inlineStr"/>
      <c r="K1828" t="inlineStr"/>
      <c r="L1828" t="inlineStr"/>
      <c r="M1828" t="inlineStr"/>
      <c r="N1828" t="inlineStr"/>
      <c r="O1828">
        <f>(1-Summary!$B$11)*T1828+Summary!$B$11*V1828</f>
        <v/>
      </c>
      <c r="P1828">
        <f>IF(B1854=0,0,O1828/B1854)</f>
        <v/>
      </c>
      <c r="Q1828" t="n">
        <v>0</v>
      </c>
      <c r="R1828" t="n">
        <v>0</v>
      </c>
      <c r="S1828">
        <f>IFERROR(O1828/N1828,0)</f>
        <v/>
      </c>
      <c r="T1828" t="n">
        <v>0</v>
      </c>
      <c r="V1828" t="n">
        <v>0</v>
      </c>
    </row>
    <row r="1829">
      <c r="A1829">
        <f>Skills!A19</f>
        <v/>
      </c>
      <c r="B1829">
        <f>Skills!B19</f>
        <v/>
      </c>
      <c r="C1829">
        <f>Inputs!$B$3&gt;=72</f>
        <v/>
      </c>
      <c r="D1829">
        <f>IF(Skills!C19=1,60+Inputs!$B$25+Inputs!$B$29,IF(Skills!C19=2,90+Inputs!$B$26+Inputs!$B$29,IF(Skills!C19=3,120+Inputs!$B$27+Inputs!$B$29,MAX(0,(Inputs!$B$3-100)*3)+Inputs!$B$28+Inputs!$B$29)))</f>
        <v/>
      </c>
      <c r="E1829">
        <f>INDEX(FactorTable!$B$2:$Y$301, MATCH(ROUND(MIN(300,MAX(1,D1829)),0), FactorTable!$A$2:$A$301,0), Skills!M19+1)</f>
        <v/>
      </c>
      <c r="F1829">
        <f>IF(Skills!N19=TRUE,(Skills!L19/10)*(E1829/1000),Skills!L19/10)+Skills!O19</f>
        <v/>
      </c>
      <c r="G1829">
        <f>Skills!G19*IF(Skills!H19&gt;0,Skills!I19/Skills!H19,1)</f>
        <v/>
      </c>
      <c r="H1829">
        <f>1-(1-Skills!J19/100)^Skills!K19</f>
        <v/>
      </c>
      <c r="I1829" t="inlineStr">
        <is>
          <t>1</t>
        </is>
      </c>
      <c r="J1829" t="inlineStr"/>
      <c r="K1829" t="inlineStr"/>
      <c r="L1829" t="inlineStr"/>
      <c r="M1829" t="inlineStr"/>
      <c r="N1829" t="inlineStr"/>
      <c r="O1829">
        <f>(1-Summary!$B$11)*T1829+Summary!$B$11*V1829</f>
        <v/>
      </c>
      <c r="P1829">
        <f>IF(B1854=0,0,O1829/B1854)</f>
        <v/>
      </c>
      <c r="Q1829" t="n">
        <v>0</v>
      </c>
      <c r="R1829" t="n">
        <v>0</v>
      </c>
      <c r="S1829">
        <f>IFERROR(O1829/N1829,0)</f>
        <v/>
      </c>
      <c r="T1829" t="n">
        <v>0</v>
      </c>
      <c r="V1829" t="n">
        <v>0</v>
      </c>
    </row>
    <row r="1830">
      <c r="A1830">
        <f>Skills!A20</f>
        <v/>
      </c>
      <c r="B1830">
        <f>Skills!B20</f>
        <v/>
      </c>
      <c r="C1830">
        <f>TRUE</f>
        <v/>
      </c>
      <c r="D1830">
        <f>IF(Skills!C20=1,60+Inputs!$B$25+Inputs!$B$29,IF(Skills!C20=2,90+Inputs!$B$26+Inputs!$B$29,IF(Skills!C20=3,120+Inputs!$B$27+Inputs!$B$29,MAX(0,(Inputs!$B$3-100)*3)+Inputs!$B$28+Inputs!$B$29)))</f>
        <v/>
      </c>
      <c r="E1830">
        <f>INDEX(FactorTable!$B$2:$Y$301, MATCH(ROUND(MIN(300,MAX(1,D1830)),0), FactorTable!$A$2:$A$301,0), Skills!M20+1)</f>
        <v/>
      </c>
      <c r="F1830">
        <f>IF(Skills!N20=TRUE,(Skills!L20/10)*(E1830/1000),Skills!L20/10)+Skills!O20</f>
        <v/>
      </c>
      <c r="G1830">
        <f>Skills!G20*IF(Skills!H20&gt;0,Skills!I20/Skills!H20,1)</f>
        <v/>
      </c>
      <c r="H1830">
        <f>1-(1-Skills!J20/100)^Skills!K20</f>
        <v/>
      </c>
      <c r="I1830" t="inlineStr">
        <is>
          <t>1</t>
        </is>
      </c>
      <c r="J1830" t="inlineStr"/>
      <c r="K1830" t="inlineStr"/>
      <c r="L1830" t="inlineStr"/>
      <c r="M1830" t="inlineStr"/>
      <c r="N1830" t="inlineStr"/>
      <c r="O1830">
        <f>(1-Summary!$B$11)*T1830+Summary!$B$11*V1830</f>
        <v/>
      </c>
      <c r="P1830">
        <f>IF(B1854=0,0,O1830/B1854)</f>
        <v/>
      </c>
      <c r="Q1830">
        <f>IFERROR(1/(IF(Inputs!$B$38="pvp",15,MAX(0.1,Skills!D20-IF(Skills!E20=TRUE,Inputs!$B$32,0)))*(1-IF(AND(ArtifactsInput!$M$27,Inputs!$B$4="Chapter Hunt"),CHOOSE(ArtifactsInput!$N$27+1,20,24,28,32,36,40),0)/100)),0)</f>
        <v/>
      </c>
      <c r="R1830">
        <f>IF(AND(Inputs!$B$38&lt;&gt;"pvp",Inputs!$B$43&gt;0),IF(Inputs!$B$43&lt;=0,0,(INT(Inputs!$B$43/(IF(Inputs!$B$38="pvp",15,MAX(0.1,Skills!D20-IF(Skills!E20=TRUE,Inputs!$B$32,0)))*(1-IF(AND(ArtifactsInput!$M$27,Inputs!$B$4="Chapter Hunt"),CHOOSE(ArtifactsInput!$N$27+1,20,24,28,32,36,40),0)/100)))+1)),0)</f>
        <v/>
      </c>
      <c r="S1830">
        <f>IFERROR(O1830/N1830,0)</f>
        <v/>
      </c>
      <c r="T1830" t="n">
        <v>0</v>
      </c>
      <c r="V1830" t="n">
        <v>0</v>
      </c>
    </row>
    <row r="1831">
      <c r="A1831">
        <f>Skills!A21</f>
        <v/>
      </c>
      <c r="B1831">
        <f>Skills!B21</f>
        <v/>
      </c>
      <c r="C1831">
        <f>Inputs!$B$3&gt;=15</f>
        <v/>
      </c>
      <c r="D1831">
        <f>IF(Skills!C21=1,60+Inputs!$B$25+Inputs!$B$29,IF(Skills!C21=2,90+Inputs!$B$26+Inputs!$B$29,IF(Skills!C21=3,120+Inputs!$B$27+Inputs!$B$29,MAX(0,(Inputs!$B$3-100)*3)+Inputs!$B$28+Inputs!$B$29)))</f>
        <v/>
      </c>
      <c r="E1831">
        <f>INDEX(FactorTable!$B$2:$Y$301, MATCH(ROUND(MIN(300,MAX(1,D1831)),0), FactorTable!$A$2:$A$301,0), Skills!M21+1)</f>
        <v/>
      </c>
      <c r="F1831">
        <f>IF(Skills!N21=TRUE,(Skills!L21/10)*(E1831/1000),Skills!L21/10)+Skills!O21</f>
        <v/>
      </c>
      <c r="G1831">
        <f>Skills!G21*IF(Skills!H21&gt;0,Skills!I21/Skills!H21,1)</f>
        <v/>
      </c>
      <c r="H1831">
        <f>1-(1-Skills!J21/100)^Skills!K21</f>
        <v/>
      </c>
      <c r="I1831" t="inlineStr">
        <is>
          <t>1</t>
        </is>
      </c>
      <c r="J1831" t="inlineStr"/>
      <c r="K1831" t="inlineStr"/>
      <c r="L1831" t="inlineStr"/>
      <c r="M1831" t="inlineStr"/>
      <c r="N1831" t="inlineStr"/>
      <c r="O1831">
        <f>(1-Summary!$B$11)*T1831+Summary!$B$11*V1831</f>
        <v/>
      </c>
      <c r="P1831">
        <f>IF(B1854=0,0,O1831/B1854)</f>
        <v/>
      </c>
      <c r="Q1831" t="n">
        <v>0</v>
      </c>
      <c r="R1831" t="n">
        <v>0</v>
      </c>
      <c r="S1831">
        <f>IFERROR(O1831/N1831,0)</f>
        <v/>
      </c>
      <c r="T1831" t="n">
        <v>0</v>
      </c>
      <c r="V1831" t="n">
        <v>0</v>
      </c>
    </row>
    <row r="1832">
      <c r="A1832">
        <f>Skills!A22</f>
        <v/>
      </c>
      <c r="B1832">
        <f>Skills!B22</f>
        <v/>
      </c>
      <c r="C1832">
        <f>Inputs!$B$3&gt;=10</f>
        <v/>
      </c>
      <c r="D1832">
        <f>IF(Skills!C22=1,60+Inputs!$B$25+Inputs!$B$29,IF(Skills!C22=2,90+Inputs!$B$26+Inputs!$B$29,IF(Skills!C22=3,120+Inputs!$B$27+Inputs!$B$29,MAX(0,(Inputs!$B$3-100)*3)+Inputs!$B$28+Inputs!$B$29)))</f>
        <v/>
      </c>
      <c r="E1832">
        <f>INDEX(FactorTable!$B$2:$Y$301, MATCH(ROUND(MIN(300,MAX(1,D1832)),0), FactorTable!$A$2:$A$301,0), Skills!M22+1)</f>
        <v/>
      </c>
      <c r="F1832">
        <f>IF(Skills!N22=TRUE,(Skills!L22/10)*(E1832/1000),Skills!L22/10)+Skills!O22</f>
        <v/>
      </c>
      <c r="G1832">
        <f>Skills!G22*IF(Skills!H22&gt;0,Skills!I22/Skills!H22,1)</f>
        <v/>
      </c>
      <c r="H1832">
        <f>1-(1-Skills!J22/100)^Skills!K22</f>
        <v/>
      </c>
      <c r="I1832" t="inlineStr">
        <is>
          <t>1</t>
        </is>
      </c>
      <c r="J1832" t="inlineStr"/>
      <c r="K1832" t="inlineStr"/>
      <c r="L1832" t="inlineStr"/>
      <c r="M1832" t="inlineStr"/>
      <c r="N1832" t="inlineStr"/>
      <c r="O1832">
        <f>(1-Summary!$B$11)*T1832+Summary!$B$11*V1832</f>
        <v/>
      </c>
      <c r="P1832">
        <f>IF(B1854=0,0,O1832/B1854)</f>
        <v/>
      </c>
      <c r="Q1832" t="n">
        <v>0</v>
      </c>
      <c r="R1832" t="n">
        <v>0</v>
      </c>
      <c r="S1832">
        <f>IFERROR(O1832/N1832,0)</f>
        <v/>
      </c>
      <c r="T1832" t="n">
        <v>0</v>
      </c>
      <c r="V1832" t="n">
        <v>0</v>
      </c>
    </row>
    <row r="1833">
      <c r="A1833">
        <f>Skills!A23</f>
        <v/>
      </c>
      <c r="B1833">
        <f>Skills!B23</f>
        <v/>
      </c>
      <c r="C1833">
        <f>Inputs!$B$3&gt;=33</f>
        <v/>
      </c>
      <c r="D1833">
        <f>IF(Skills!C23=1,60+Inputs!$B$25+Inputs!$B$29,IF(Skills!C23=2,90+Inputs!$B$26+Inputs!$B$29,IF(Skills!C23=3,120+Inputs!$B$27+Inputs!$B$29,MAX(0,(Inputs!$B$3-100)*3)+Inputs!$B$28+Inputs!$B$29)))</f>
        <v/>
      </c>
      <c r="E1833">
        <f>INDEX(FactorTable!$B$2:$Y$301, MATCH(ROUND(MIN(300,MAX(1,D1833)),0), FactorTable!$A$2:$A$301,0), Skills!M23+1)</f>
        <v/>
      </c>
      <c r="F1833">
        <f>IF(Skills!N23=TRUE,(Skills!L23/10)*(E1833/1000),Skills!L23/10)+Skills!O23</f>
        <v/>
      </c>
      <c r="G1833">
        <f>Skills!G23*IF(Skills!H23&gt;0,Skills!I23/Skills!H23,1)</f>
        <v/>
      </c>
      <c r="H1833">
        <f>1-(1-Skills!J23/100)^Skills!K23</f>
        <v/>
      </c>
      <c r="I1833" t="inlineStr">
        <is>
          <t>1</t>
        </is>
      </c>
      <c r="J1833" t="inlineStr"/>
      <c r="K1833" t="inlineStr"/>
      <c r="L1833" t="inlineStr"/>
      <c r="M1833" t="inlineStr"/>
      <c r="N1833" t="inlineStr"/>
      <c r="O1833">
        <f>(1-Summary!$B$11)*T1833+Summary!$B$11*V1833</f>
        <v/>
      </c>
      <c r="P1833">
        <f>IF(B1854=0,0,O1833/B1854)</f>
        <v/>
      </c>
      <c r="Q1833" t="n">
        <v>0</v>
      </c>
      <c r="R1833" t="n">
        <v>0</v>
      </c>
      <c r="S1833">
        <f>IFERROR(O1833/N1833,0)</f>
        <v/>
      </c>
      <c r="T1833" t="n">
        <v>0</v>
      </c>
      <c r="V1833" t="n">
        <v>0</v>
      </c>
    </row>
    <row r="1834">
      <c r="A1834">
        <f>Skills!A24</f>
        <v/>
      </c>
      <c r="B1834">
        <f>Skills!B24</f>
        <v/>
      </c>
      <c r="C1834">
        <f>Inputs!$B$3&gt;=38</f>
        <v/>
      </c>
      <c r="D1834">
        <f>IF(Skills!C24=1,60+Inputs!$B$25+Inputs!$B$29,IF(Skills!C24=2,90+Inputs!$B$26+Inputs!$B$29,IF(Skills!C24=3,120+Inputs!$B$27+Inputs!$B$29,MAX(0,(Inputs!$B$3-100)*3)+Inputs!$B$28+Inputs!$B$29)))</f>
        <v/>
      </c>
      <c r="E1834">
        <f>INDEX(FactorTable!$B$2:$Y$301, MATCH(ROUND(MIN(300,MAX(1,D1834)),0), FactorTable!$A$2:$A$301,0), Skills!M24+1)</f>
        <v/>
      </c>
      <c r="F1834">
        <f>IF(Skills!N24=TRUE,(Skills!L24/10)*(E1834/1000),Skills!L24/10)+Skills!O24</f>
        <v/>
      </c>
      <c r="G1834">
        <f>Skills!G24*IF(Skills!H24&gt;0,Skills!I24/Skills!H24,1)</f>
        <v/>
      </c>
      <c r="H1834">
        <f>1-(1-Skills!J24/100)^Skills!K24</f>
        <v/>
      </c>
      <c r="I1834" t="inlineStr">
        <is>
          <t>1</t>
        </is>
      </c>
      <c r="J1834" t="inlineStr"/>
      <c r="K1834" t="inlineStr"/>
      <c r="L1834" t="inlineStr"/>
      <c r="M1834" t="inlineStr"/>
      <c r="N1834" t="inlineStr"/>
      <c r="O1834">
        <f>(1-Summary!$B$11)*T1834+Summary!$B$11*V1834</f>
        <v/>
      </c>
      <c r="P1834">
        <f>IF(B1854=0,0,O1834/B1854)</f>
        <v/>
      </c>
      <c r="Q1834" t="n">
        <v>0</v>
      </c>
      <c r="R1834" t="n">
        <v>0</v>
      </c>
      <c r="S1834">
        <f>IFERROR(O1834/N1834,0)</f>
        <v/>
      </c>
      <c r="T1834" t="n">
        <v>0</v>
      </c>
      <c r="V1834" t="n">
        <v>0</v>
      </c>
    </row>
    <row r="1835">
      <c r="A1835">
        <f>Skills!A25</f>
        <v/>
      </c>
      <c r="B1835">
        <f>Skills!B25</f>
        <v/>
      </c>
      <c r="C1835">
        <f>Inputs!$B$3&gt;=43</f>
        <v/>
      </c>
      <c r="D1835">
        <f>IF(Skills!C25=1,60+Inputs!$B$25+Inputs!$B$29,IF(Skills!C25=2,90+Inputs!$B$26+Inputs!$B$29,IF(Skills!C25=3,120+Inputs!$B$27+Inputs!$B$29,MAX(0,(Inputs!$B$3-100)*3)+Inputs!$B$28+Inputs!$B$29)))</f>
        <v/>
      </c>
      <c r="E1835">
        <f>INDEX(FactorTable!$B$2:$Y$301, MATCH(ROUND(MIN(300,MAX(1,D1835)),0), FactorTable!$A$2:$A$301,0), Skills!M25+1)</f>
        <v/>
      </c>
      <c r="F1835">
        <f>IF(Skills!N25=TRUE,(Skills!L25/10)*(E1835/1000),Skills!L25/10)+Skills!O25</f>
        <v/>
      </c>
      <c r="G1835">
        <f>Skills!G25*IF(Skills!H25&gt;0,Skills!I25/Skills!H25,1)</f>
        <v/>
      </c>
      <c r="H1835">
        <f>1-(1-Skills!J25/100)^Skills!K25</f>
        <v/>
      </c>
      <c r="I1835" t="inlineStr">
        <is>
          <t>1</t>
        </is>
      </c>
      <c r="J1835" t="inlineStr"/>
      <c r="K1835" t="inlineStr"/>
      <c r="L1835" t="inlineStr"/>
      <c r="M1835" t="inlineStr"/>
      <c r="N1835" t="inlineStr"/>
      <c r="O1835">
        <f>(1-Summary!$B$11)*T1835+Summary!$B$11*V1835</f>
        <v/>
      </c>
      <c r="P1835">
        <f>IF(B1854=0,0,O1835/B1854)</f>
        <v/>
      </c>
      <c r="Q1835" t="n">
        <v>0</v>
      </c>
      <c r="R1835" t="n">
        <v>0</v>
      </c>
      <c r="S1835">
        <f>IFERROR(O1835/N1835,0)</f>
        <v/>
      </c>
      <c r="T1835" t="n">
        <v>0</v>
      </c>
      <c r="V1835" t="n">
        <v>0</v>
      </c>
    </row>
    <row r="1836">
      <c r="A1836">
        <f>Skills!A26</f>
        <v/>
      </c>
      <c r="B1836">
        <f>Skills!B26</f>
        <v/>
      </c>
      <c r="C1836">
        <f>Inputs!$B$3&gt;=75</f>
        <v/>
      </c>
      <c r="D1836">
        <f>IF(Skills!C26=1,60+Inputs!$B$25+Inputs!$B$29,IF(Skills!C26=2,90+Inputs!$B$26+Inputs!$B$29,IF(Skills!C26=3,120+Inputs!$B$27+Inputs!$B$29,MAX(0,(Inputs!$B$3-100)*3)+Inputs!$B$28+Inputs!$B$29)))</f>
        <v/>
      </c>
      <c r="E1836">
        <f>INDEX(FactorTable!$B$2:$Y$301, MATCH(ROUND(MIN(300,MAX(1,D1836)),0), FactorTable!$A$2:$A$301,0), Skills!M26+1)</f>
        <v/>
      </c>
      <c r="F1836">
        <f>IF(Skills!N26=TRUE,(Skills!L26/10)*(E1836/1000),Skills!L26/10)+Skills!O26</f>
        <v/>
      </c>
      <c r="G1836">
        <f>Skills!G26*IF(Skills!H26&gt;0,Skills!I26/Skills!H26,1)</f>
        <v/>
      </c>
      <c r="H1836">
        <f>1-(1-Skills!J26/100)^Skills!K26</f>
        <v/>
      </c>
      <c r="I1836" t="inlineStr">
        <is>
          <t>1</t>
        </is>
      </c>
      <c r="J1836" t="inlineStr"/>
      <c r="K1836" t="inlineStr"/>
      <c r="L1836" t="inlineStr"/>
      <c r="M1836" t="inlineStr"/>
      <c r="N1836" t="inlineStr"/>
      <c r="O1836">
        <f>(1-Summary!$B$11)*T1836+Summary!$B$11*V1836</f>
        <v/>
      </c>
      <c r="P1836">
        <f>IF(B1854=0,0,O1836/B1854)</f>
        <v/>
      </c>
      <c r="Q1836" t="n">
        <v>0</v>
      </c>
      <c r="R1836" t="n">
        <v>0</v>
      </c>
      <c r="S1836">
        <f>IFERROR(O1836/N1836,0)</f>
        <v/>
      </c>
      <c r="T1836" t="n">
        <v>0</v>
      </c>
      <c r="V1836" t="n">
        <v>0</v>
      </c>
    </row>
    <row r="1837">
      <c r="A1837">
        <f>Skills!A27</f>
        <v/>
      </c>
      <c r="B1837">
        <f>Skills!B27</f>
        <v/>
      </c>
      <c r="C1837">
        <f>Inputs!$B$3&gt;=125</f>
        <v/>
      </c>
      <c r="D1837">
        <f>IF(Skills!C27=1,60+Inputs!$B$25+Inputs!$B$29,IF(Skills!C27=2,90+Inputs!$B$26+Inputs!$B$29,IF(Skills!C27=3,120+Inputs!$B$27+Inputs!$B$29,MAX(0,(Inputs!$B$3-100)*3)+Inputs!$B$28+Inputs!$B$29)))</f>
        <v/>
      </c>
      <c r="E1837">
        <f>INDEX(FactorTable!$B$2:$Y$301, MATCH(ROUND(MIN(300,MAX(1,D1837)),0), FactorTable!$A$2:$A$301,0), Skills!M27+1)</f>
        <v/>
      </c>
      <c r="F1837">
        <f>IF(Skills!N27=TRUE,(Skills!L27/10)*(E1837/1000),Skills!L27/10)+Skills!O27</f>
        <v/>
      </c>
      <c r="G1837">
        <f>Skills!G27*IF(Skills!H27&gt;0,Skills!I27/Skills!H27,1)</f>
        <v/>
      </c>
      <c r="H1837">
        <f>1-(1-Skills!J27/100)^Skills!K27</f>
        <v/>
      </c>
      <c r="I1837" t="inlineStr">
        <is>
          <t>1</t>
        </is>
      </c>
      <c r="J1837" t="inlineStr"/>
      <c r="K1837" t="inlineStr"/>
      <c r="L1837" t="inlineStr"/>
      <c r="M1837" t="inlineStr"/>
      <c r="N1837" t="inlineStr"/>
      <c r="O1837">
        <f>(1-Summary!$B$11)*T1837+Summary!$B$11*V1837</f>
        <v/>
      </c>
      <c r="P1837">
        <f>IF(B1854=0,0,O1837/B1854)</f>
        <v/>
      </c>
      <c r="Q1837" t="n">
        <v>0</v>
      </c>
      <c r="R1837" t="n">
        <v>0</v>
      </c>
      <c r="S1837">
        <f>IFERROR(O1837/N1837,0)</f>
        <v/>
      </c>
      <c r="T1837" t="n">
        <v>0</v>
      </c>
      <c r="V1837" t="n">
        <v>0</v>
      </c>
    </row>
    <row r="1838">
      <c r="A1838">
        <f>Skills!A28</f>
        <v/>
      </c>
      <c r="B1838">
        <f>Skills!B28</f>
        <v/>
      </c>
      <c r="C1838">
        <f>Inputs!$B$3&gt;=125</f>
        <v/>
      </c>
      <c r="D1838">
        <f>IF(Skills!C28=1,60+Inputs!$B$25+Inputs!$B$29,IF(Skills!C28=2,90+Inputs!$B$26+Inputs!$B$29,IF(Skills!C28=3,120+Inputs!$B$27+Inputs!$B$29,MAX(0,(Inputs!$B$3-100)*3)+Inputs!$B$28+Inputs!$B$29)))</f>
        <v/>
      </c>
      <c r="E1838">
        <f>INDEX(FactorTable!$B$2:$Y$301, MATCH(ROUND(MIN(300,MAX(1,D1838)),0), FactorTable!$A$2:$A$301,0), Skills!M28+1)</f>
        <v/>
      </c>
      <c r="F1838">
        <f>IF(Skills!N28=TRUE,(Skills!L28/10)*(E1838/1000),Skills!L28/10)+Skills!O28</f>
        <v/>
      </c>
      <c r="G1838">
        <f>Skills!G28*IF(Skills!H28&gt;0,Skills!I28/Skills!H28,1)</f>
        <v/>
      </c>
      <c r="H1838">
        <f>1-(1-Skills!J28/100)^Skills!K28</f>
        <v/>
      </c>
      <c r="I1838" t="inlineStr">
        <is>
          <t>1</t>
        </is>
      </c>
      <c r="J1838" t="inlineStr"/>
      <c r="K1838" t="inlineStr"/>
      <c r="L1838" t="inlineStr"/>
      <c r="M1838" t="inlineStr"/>
      <c r="N1838" t="inlineStr"/>
      <c r="O1838">
        <f>(1-Summary!$B$11)*T1838+Summary!$B$11*V1838</f>
        <v/>
      </c>
      <c r="P1838">
        <f>IF(B1854=0,0,O1838/B1854)</f>
        <v/>
      </c>
      <c r="Q1838" t="n">
        <v>0</v>
      </c>
      <c r="R1838" t="n">
        <v>0</v>
      </c>
      <c r="S1838">
        <f>IFERROR(O1838/N1838,0)</f>
        <v/>
      </c>
      <c r="T1838" t="n">
        <v>0</v>
      </c>
      <c r="V1838" t="n">
        <v>0</v>
      </c>
    </row>
    <row r="1839">
      <c r="A1839">
        <f>Skills!A29</f>
        <v/>
      </c>
      <c r="B1839">
        <f>Skills!B29</f>
        <v/>
      </c>
      <c r="C1839">
        <f>Inputs!$B$3&gt;=120</f>
        <v/>
      </c>
      <c r="D1839">
        <f>IF(Skills!C29=1,60+Inputs!$B$25+Inputs!$B$29,IF(Skills!C29=2,90+Inputs!$B$26+Inputs!$B$29,IF(Skills!C29=3,120+Inputs!$B$27+Inputs!$B$29,MAX(0,(Inputs!$B$3-100)*3)+Inputs!$B$28+Inputs!$B$29)))</f>
        <v/>
      </c>
      <c r="E1839">
        <f>INDEX(FactorTable!$B$2:$Y$301, MATCH(ROUND(MIN(300,MAX(1,D1839)),0), FactorTable!$A$2:$A$301,0), Skills!M29+1)</f>
        <v/>
      </c>
      <c r="F1839">
        <f>IF(Skills!N29=TRUE,(Skills!L29/10)*(E1839/1000),Skills!L29/10)+Skills!O29</f>
        <v/>
      </c>
      <c r="G1839">
        <f>Skills!G29*IF(Skills!H29&gt;0,Skills!I29/Skills!H29,1)</f>
        <v/>
      </c>
      <c r="H1839">
        <f>1-(1-Skills!J29/100)^Skills!K29</f>
        <v/>
      </c>
      <c r="I1839" t="inlineStr">
        <is>
          <t>1</t>
        </is>
      </c>
      <c r="J1839" t="inlineStr"/>
      <c r="K1839" t="inlineStr"/>
      <c r="L1839" t="inlineStr"/>
      <c r="M1839" t="inlineStr"/>
      <c r="N1839" t="inlineStr"/>
      <c r="O1839">
        <f>(1-Summary!$B$11)*T1839+Summary!$B$11*V1839</f>
        <v/>
      </c>
      <c r="P1839">
        <f>IF(B1854=0,0,O1839/B1854)</f>
        <v/>
      </c>
      <c r="Q1839" t="n">
        <v>0</v>
      </c>
      <c r="R1839" t="n">
        <v>0</v>
      </c>
      <c r="S1839">
        <f>IFERROR(O1839/N1839,0)</f>
        <v/>
      </c>
      <c r="T1839" t="n">
        <v>0</v>
      </c>
      <c r="V1839" t="n">
        <v>0</v>
      </c>
    </row>
    <row r="1840">
      <c r="A1840">
        <f>Skills!A30</f>
        <v/>
      </c>
      <c r="B1840">
        <f>Skills!B30</f>
        <v/>
      </c>
      <c r="C1840">
        <f>Inputs!$B$3&gt;=120</f>
        <v/>
      </c>
      <c r="D1840">
        <f>IF(Skills!C30=1,60+Inputs!$B$25+Inputs!$B$29,IF(Skills!C30=2,90+Inputs!$B$26+Inputs!$B$29,IF(Skills!C30=3,120+Inputs!$B$27+Inputs!$B$29,MAX(0,(Inputs!$B$3-100)*3)+Inputs!$B$28+Inputs!$B$29)))</f>
        <v/>
      </c>
      <c r="E1840">
        <f>INDEX(FactorTable!$B$2:$Y$301, MATCH(ROUND(MIN(300,MAX(1,D1840)),0), FactorTable!$A$2:$A$301,0), Skills!M30+1)</f>
        <v/>
      </c>
      <c r="F1840">
        <f>IF(Skills!N30=TRUE,(Skills!L30/10)*(E1840/1000),Skills!L30/10)+Skills!O30</f>
        <v/>
      </c>
      <c r="G1840">
        <f>Skills!G30*IF(Skills!H30&gt;0,Skills!I30/Skills!H30,1)</f>
        <v/>
      </c>
      <c r="H1840">
        <f>1-(1-Skills!J30/100)^Skills!K30</f>
        <v/>
      </c>
      <c r="I1840" t="inlineStr">
        <is>
          <t>1</t>
        </is>
      </c>
      <c r="J1840" t="inlineStr"/>
      <c r="K1840" t="inlineStr"/>
      <c r="L1840" t="inlineStr"/>
      <c r="M1840" t="inlineStr"/>
      <c r="N1840" t="inlineStr"/>
      <c r="O1840">
        <f>(1-Summary!$B$11)*T1840+Summary!$B$11*V1840</f>
        <v/>
      </c>
      <c r="P1840">
        <f>IF(B1854=0,0,O1840/B1854)</f>
        <v/>
      </c>
      <c r="Q1840" t="n">
        <v>0</v>
      </c>
      <c r="R1840" t="n">
        <v>0</v>
      </c>
      <c r="S1840">
        <f>IFERROR(O1840/N1840,0)</f>
        <v/>
      </c>
      <c r="T1840" t="n">
        <v>0</v>
      </c>
      <c r="V1840" t="n">
        <v>0</v>
      </c>
    </row>
    <row r="1841">
      <c r="A1841">
        <f>Skills!A31</f>
        <v/>
      </c>
      <c r="B1841">
        <f>Skills!B31</f>
        <v/>
      </c>
      <c r="C1841">
        <f>Inputs!$B$3&gt;=45</f>
        <v/>
      </c>
      <c r="D1841">
        <f>IF(Skills!C31=1,60+Inputs!$B$25+Inputs!$B$29,IF(Skills!C31=2,90+Inputs!$B$26+Inputs!$B$29,IF(Skills!C31=3,120+Inputs!$B$27+Inputs!$B$29,MAX(0,(Inputs!$B$3-100)*3)+Inputs!$B$28+Inputs!$B$29)))</f>
        <v/>
      </c>
      <c r="E1841">
        <f>INDEX(FactorTable!$B$2:$Y$301, MATCH(ROUND(MIN(300,MAX(1,D1841)),0), FactorTable!$A$2:$A$301,0), Skills!M31+1)</f>
        <v/>
      </c>
      <c r="F1841">
        <f>IF(Skills!N31=TRUE,(Skills!L31/10)*(E1841/1000),Skills!L31/10)+Skills!O31</f>
        <v/>
      </c>
      <c r="G1841">
        <f>Skills!G31*IF(Skills!H31&gt;0,Skills!I31/Skills!H31,1)</f>
        <v/>
      </c>
      <c r="H1841">
        <f>1-(1-Skills!J31/100)^Skills!K31</f>
        <v/>
      </c>
      <c r="I1841" t="inlineStr">
        <is>
          <t>1</t>
        </is>
      </c>
      <c r="J1841" t="inlineStr"/>
      <c r="K1841" t="inlineStr"/>
      <c r="L1841" t="inlineStr"/>
      <c r="M1841" t="inlineStr"/>
      <c r="N1841" t="inlineStr"/>
      <c r="O1841">
        <f>(1-Summary!$B$11)*T1841+Summary!$B$11*V1841</f>
        <v/>
      </c>
      <c r="P1841">
        <f>IF(B1854=0,0,O1841/B1854)</f>
        <v/>
      </c>
      <c r="Q1841" t="n">
        <v>0</v>
      </c>
      <c r="R1841" t="n">
        <v>0</v>
      </c>
      <c r="S1841">
        <f>IFERROR(O1841/N1841,0)</f>
        <v/>
      </c>
      <c r="T1841" t="n">
        <v>0</v>
      </c>
      <c r="V1841" t="n">
        <v>0</v>
      </c>
    </row>
    <row r="1843">
      <c r="A1843" t="inlineStr">
        <is>
          <t>Attack% Bucket Multiplier</t>
        </is>
      </c>
      <c r="B1843">
        <f>(1+(((C1824=TRUE)*F1824)+((C1825=TRUE)*IF(Inputs!$B$38="pvp",F1825,(1-Summary!$B$11)*(F1825)+Summary!$B$11*(0)))+((C1826=TRUE)*F1826*IF(AND(Inputs!$B$38&lt;&gt;"pvp",Inputs!$B$43&gt;0),(((R1826-1)*(Skills!T16*(1+Inputs!$B$34/100))+MIN((Skills!T16*(1+Inputs!$B$34/100)),MAX(0,Inputs!$B$43-((R1826-1)*Skills!D16))))/Inputs!$B$43),IF(Inputs!$B$38="pvp",MIN((Skills!T16*(1+Inputs!$B$34/100)),15)/15,(Skills!T16*(1+Inputs!$B$34/100))/Skills!D16)))+((C1841=TRUE)*(F1841-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44">
      <c r="A1844" t="inlineStr">
        <is>
          <t>Global Crit Rate Bonus %</t>
        </is>
      </c>
      <c r="B1844">
        <f>(C1827=TRUE)*20*IF(AND(Inputs!$B$38&lt;&gt;"pvp",Inputs!$B$43&gt;0),(((R1827-1)*(Skills!T17*(1+Inputs!$B$34/100))+MIN((Skills!T17*(1+Inputs!$B$34/100)),MAX(0,Inputs!$B$43-((R1827-1)*Skills!D17))))/Inputs!$B$43),IF(Inputs!$B$38="pvp",MIN((Skills!T17*(1+Inputs!$B$34/100)),15)/15,(Skills!T17*(1+Inputs!$B$34/100))/Skills!D17))</f>
        <v/>
      </c>
    </row>
    <row r="1845">
      <c r="A1845" t="inlineStr">
        <is>
          <t>Attack Speed Buff Bonus %</t>
        </is>
      </c>
      <c r="B1845">
        <f>((C1830=TRUE)*F1830*IF(AND(Inputs!$B$38&lt;&gt;"pvp",Inputs!$B$43&gt;0),(((R1830-1)*(Skills!T20*(1+Inputs!$B$34/100))+MIN((Skills!T20*(1+Inputs!$B$34/100)),MAX(0,Inputs!$B$43-((R1830-1)*Skills!D20))))/Inputs!$B$43),IF(Inputs!$B$38="pvp",MIN((Skills!T20*(1+Inputs!$B$34/100)),15)/15,(Skills!T20*(1+Inputs!$B$34/100))/Skills!D20)))</f>
        <v/>
      </c>
    </row>
    <row r="1846">
      <c r="A1846" t="inlineStr">
        <is>
          <t>Actions Per Second</t>
        </is>
      </c>
      <c r="B1846">
        <f>1+MIN(150,150*(1-(1-(Inputs!$B$11+((C1832=TRUE)*(F1832-Calc!F22))+((C1833=TRUE)*(F1833-Calc!F23)))/150)*(1-B1845/150)))/100</f>
        <v/>
      </c>
    </row>
    <row r="1847">
      <c r="A1847" t="inlineStr">
        <is>
          <t>Skill + Buff Cast Rate</t>
        </is>
      </c>
      <c r="B1847">
        <f>IF(AND(Inputs!$B$38&lt;&gt;"pvp",Inputs!$B$43&gt;0),SUMPRODUCT((Skills!E2:E31=TRUE)*(C1812:C1841=TRUE)*R1812:R1841*Skills!F2:F31)/Inputs!$B$43,SUMPRODUCT((Skills!E2:E31=TRUE)*(C1812:C1841=TRUE)*Q1812:Q1841*Skills!F2:F31))</f>
        <v/>
      </c>
    </row>
    <row r="1848">
      <c r="A1848" t="inlineStr">
        <is>
          <t>Arrow Stream Casts Per Second</t>
        </is>
      </c>
      <c r="B1848">
        <f>MAX(0,B1846-B1847)</f>
        <v/>
      </c>
    </row>
    <row r="1849">
      <c r="A1849" t="inlineStr">
        <is>
          <t>Global Critical Damage Bonus % (Sharp Eyes + Concentration)</t>
        </is>
      </c>
      <c r="B1849">
        <f>(C1827=TRUE)*F1827*IF(AND(Inputs!$B$38&lt;&gt;"pvp",Inputs!$B$43&gt;0),(((R1827-1)*(Skills!T17*(1+Inputs!$B$34/100))+MIN((Skills!T17*(1+Inputs!$B$34/100)),MAX(0,Inputs!$B$43-((R1827-1)*Skills!D17))))/Inputs!$B$43),IF(Inputs!$B$38="pvp",MIN((Skills!T17*(1+Inputs!$B$34/100)),15)/15,(Skills!T17*(1+Inputs!$B$34/100))/Skills!D17))+(C1828=TRUE)*30</f>
        <v/>
      </c>
    </row>
    <row r="1850">
      <c r="A1850" t="inlineStr">
        <is>
          <t>Global Final Damage Bonus % (Mortal Blow)</t>
        </is>
      </c>
      <c r="B1850">
        <f>(C1829=TRUE)*F1829</f>
        <v/>
      </c>
    </row>
    <row r="1851">
      <c r="A1851" t="inlineStr">
        <is>
          <t>Buff-Casting Startup Delay (s, fixed-duration only)</t>
        </is>
      </c>
      <c r="B1851">
        <f>IF(AND(Inputs!$B$38&lt;&gt;"pvp",Inputs!$B$43&gt;0),SUMPRODUCT((Skills!T2:T31&gt;0)*(Skills!E2:E31=TRUE)*(C1812:C1841=TRUE))/B1846,0)</f>
        <v/>
      </c>
    </row>
    <row r="1852">
      <c r="A1852" t="inlineStr">
        <is>
          <t>Boss-Only Total DPS (this block's swept value)</t>
        </is>
      </c>
      <c r="B1852">
        <f>SUM(T1812:T1841)</f>
        <v/>
      </c>
    </row>
    <row r="1853">
      <c r="A1853" t="inlineStr">
        <is>
          <t>Normal-Only Total DPS (this block's swept value)</t>
        </is>
      </c>
      <c r="B1853">
        <f>SUM(V1812:V1841)</f>
        <v/>
      </c>
    </row>
    <row r="1854">
      <c r="A1854" s="6" t="inlineStr">
        <is>
          <t>TOTAL DPS</t>
        </is>
      </c>
      <c r="B1854" s="6">
        <f>SUM(O1812:O1841)</f>
        <v/>
      </c>
    </row>
    <row r="1857">
      <c r="A1857" s="6" t="inlineStr">
        <is>
          <t>Stat: Pink Bean's Giant Rib (Equip)</t>
        </is>
      </c>
    </row>
    <row r="1858">
      <c r="A1858" s="5" t="inlineStr">
        <is>
          <t>Key</t>
        </is>
      </c>
      <c r="B1858" s="5" t="inlineStr">
        <is>
          <t>Name</t>
        </is>
      </c>
      <c r="C1858" s="5" t="inlineStr">
        <is>
          <t>Unlocked</t>
        </is>
      </c>
      <c r="D1858" s="5" t="inlineStr">
        <is>
          <t>InputLevel</t>
        </is>
      </c>
      <c r="E1858" s="5" t="inlineStr">
        <is>
          <t>Factor</t>
        </is>
      </c>
      <c r="F1858" s="5" t="inlineStr">
        <is>
          <t>CoefficientPercent</t>
        </is>
      </c>
      <c r="G1858" s="5" t="inlineStr">
        <is>
          <t>EffectiveHits</t>
        </is>
      </c>
      <c r="H1858" s="5" t="inlineStr">
        <is>
          <t>ProcProbability</t>
        </is>
      </c>
      <c r="I1858" s="5" t="inlineStr">
        <is>
          <t>MapleHeroMultiplier</t>
        </is>
      </c>
      <c r="J1858" s="5" t="inlineStr">
        <is>
          <t>BaseDamage</t>
        </is>
      </c>
      <c r="K1858" s="5" t="inlineStr">
        <is>
          <t>BaseHitDamage</t>
        </is>
      </c>
      <c r="L1858" s="5" t="inlineStr">
        <is>
          <t>NonCritAvg</t>
        </is>
      </c>
      <c r="M1858" s="5" t="inlineStr">
        <is>
          <t>CritAvg</t>
        </is>
      </c>
      <c r="N1858" s="5" t="inlineStr">
        <is>
          <t>ExpectedDamage(perHit)</t>
        </is>
      </c>
      <c r="O1858" s="5" t="inlineStr">
        <is>
          <t>DPS</t>
        </is>
      </c>
      <c r="P1858" s="5" t="inlineStr">
        <is>
          <t>% of Total</t>
        </is>
      </c>
      <c r="Q1858" s="5" t="inlineStr">
        <is>
          <t>InvCooldown</t>
        </is>
      </c>
      <c r="R1858" s="5" t="inlineStr">
        <is>
          <t>CastsInFight</t>
        </is>
      </c>
      <c r="S1858" s="5" t="inlineStr">
        <is>
          <t>HitRate(perSec)</t>
        </is>
      </c>
      <c r="U1858" t="inlineStr">
        <is>
          <t>helpers</t>
        </is>
      </c>
    </row>
    <row r="1859">
      <c r="A1859">
        <f>Skills!A2</f>
        <v/>
      </c>
      <c r="B1859">
        <f>Skills!B2</f>
        <v/>
      </c>
      <c r="C1859">
        <f>Inputs!$B$3&gt;=100</f>
        <v/>
      </c>
      <c r="D1859" t="inlineStr"/>
      <c r="E1859" t="inlineStr"/>
      <c r="F1859">
        <f>U1861+Skills!O2</f>
        <v/>
      </c>
      <c r="G1859">
        <f>Skills!G2*IF(Skills!H2&gt;0,Skills!I2/Skills!H2,1)</f>
        <v/>
      </c>
      <c r="H1859">
        <f>1-(1-Skills!J2/100)^Skills!K2</f>
        <v/>
      </c>
      <c r="I1859" t="inlineStr">
        <is>
          <t>1</t>
        </is>
      </c>
      <c r="J1859">
        <f>((Inputs!$B$6*(1+Inputs!$B$7/100))+(((Inputs!$B$12*(1+Inputs!$B$13/100))-(Inputs!$B$12*(1+Inputs!$B$13/100)))+0.25*(Inputs!$B$14-Inputs!$B$14))*(1+Inputs!$B$7/100))*(F1859/100)</f>
        <v/>
      </c>
      <c r="K1859">
        <f>J1859*(1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1859)</f>
        <v/>
      </c>
      <c r="L1859">
        <f>K1859*(MIN(Inputs!$B$22+((C1882=TRUE)*(F1882-Calc!F25)),(Inputs!$B$23+((C1887=TRUE)*(F1887-Calc!F30))+(IF(ArtifactsInput!$M$15,CHOOSE(ArtifactsInput!$N$15+1,25,30,35,40,45,50)/100*(Inputs!$B$11-Inputs!$B$11),0))))/100+(Inputs!$B$23+((C1887=TRUE)*(F1887-Calc!F30))+(IF(ArtifactsInput!$M$15,CHOOSE(ArtifactsInput!$N$15+1,25,30,35,40,45,50)/100*(Inputs!$B$11-Inputs!$B$11),0)))/100)/2</f>
        <v/>
      </c>
      <c r="M1859">
        <f>L1859*(1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59">
        <f>L1859*(1-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1859*(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59">
        <f>(1-Summary!$B$11)*T1859+Summary!$B$11*V1859</f>
        <v/>
      </c>
      <c r="P1859">
        <f>IF(B1901=0,0,O1859/B1901)</f>
        <v/>
      </c>
      <c r="Q1859" t="n">
        <v>0</v>
      </c>
      <c r="R1859" t="n">
        <v>0</v>
      </c>
      <c r="S1859">
        <f>IFERROR(O1859/N1859,0)</f>
        <v/>
      </c>
      <c r="T1859">
        <f>IF(C1859,(Skills!G2*N1859*B1895)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1859*(1-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1859*(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1859*(1-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1859*(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59">
        <f>MAX(0,(Inputs!$B$3-100)*3)+Inputs!$B$28+Inputs!$B$29</f>
        <v/>
      </c>
      <c r="V1859">
        <f>IF(C1859,(Skills!G2*N1859*B1895)*IF(Inputs!$B$38="pvp",1,(1+(Inputs!$B$21+Skills!Q2+(IF(ArtifactsInput!$M$33,CHOOSE(ArtifactsInput!$N$33+1,30,36,42,48,54,60),0))+(IF(AND(ArtifactsInput!$M$35,Inputs!$B$4&lt;&gt;"Chapter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0">
      <c r="A1860">
        <f>Skills!A3</f>
        <v/>
      </c>
      <c r="B1860">
        <f>Skills!B3</f>
        <v/>
      </c>
      <c r="C1860">
        <f>Inputs!$B$3&gt;=50</f>
        <v/>
      </c>
      <c r="D1860">
        <f>IF(Skills!C3=1,60+Inputs!$B$25+Inputs!$B$29,IF(Skills!C3=2,90+Inputs!$B$26+Inputs!$B$29,IF(Skills!C3=3,120+Inputs!$B$27+Inputs!$B$29,MAX(0,(Inputs!$B$3-100)*3)+Inputs!$B$28+Inputs!$B$29)))</f>
        <v/>
      </c>
      <c r="E1860">
        <f>INDEX(FactorTable!$B$2:$Y$301, MATCH(ROUND(MIN(300,MAX(1,D1860)),0), FactorTable!$A$2:$A$301,0), Skills!M3+1)</f>
        <v/>
      </c>
      <c r="F1860">
        <f>IF(Skills!N3=TRUE,(Skills!L3/10)*(E1860/1000),Skills!L3/10)+Skills!O3</f>
        <v/>
      </c>
      <c r="G1860">
        <f>Skills!G3*IF(Skills!H3&gt;0,Skills!I3/Skills!H3,1)</f>
        <v/>
      </c>
      <c r="H1860">
        <f>1-(1-Skills!J3/100)^Skills!K3</f>
        <v/>
      </c>
      <c r="I1860" t="inlineStr">
        <is>
          <t>1</t>
        </is>
      </c>
      <c r="J1860">
        <f>((Inputs!$B$6*(1+Inputs!$B$7/100))+(((Inputs!$B$12*(1+Inputs!$B$13/100))-(Inputs!$B$12*(1+Inputs!$B$13/100)))+0.25*(Inputs!$B$14-Inputs!$B$14))*(1+Inputs!$B$7/100))*(F1860/100)</f>
        <v/>
      </c>
      <c r="K1860">
        <f>J1860*(1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1861=TRUE,F1861,0)/100)*(1+(IF(Skills!A3="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1860)</f>
        <v/>
      </c>
      <c r="L1860">
        <f>K1860*(MIN(Inputs!$B$22+((C1882=TRUE)*(F1882-Calc!F25)),(Inputs!$B$23+((C1887=TRUE)*(F1887-Calc!F30))+(IF(ArtifactsInput!$M$15,CHOOSE(ArtifactsInput!$N$15+1,25,30,35,40,45,50)/100*(Inputs!$B$11-Inputs!$B$11),0))))/100+(Inputs!$B$23+((C1887=TRUE)*(F1887-Calc!F30))+(IF(ArtifactsInput!$M$15,CHOOSE(ArtifactsInput!$N$15+1,25,30,35,40,45,50)/100*(Inputs!$B$11-Inputs!$B$11),0)))/100)/2</f>
        <v/>
      </c>
      <c r="M1860">
        <f>L1860*(1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0">
        <f>L1860*(1-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1860*(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0">
        <f>(1-Summary!$B$11)*T1860+Summary!$B$11*V1860</f>
        <v/>
      </c>
      <c r="P1860">
        <f>IF(B1901=0,0,O1860/B1901)</f>
        <v/>
      </c>
      <c r="Q1860">
        <f>IFERROR(1/(IF(Inputs!$B$38="pvp",15,MAX(0.1,Skills!D3-IF(Skills!E3=TRUE,Inputs!$B$32,0)))*(1-IF(AND(ArtifactsInput!$M$27,Inputs!$B$4="Chapter Hunt"),CHOOSE(ArtifactsInput!$N$27+1,20,24,28,32,36,40),0)/100)),0)</f>
        <v/>
      </c>
      <c r="R1860">
        <f>IF(AND(Inputs!$B$38&lt;&gt;"pvp",Inputs!$B$43&gt;0),IF(MAX(0,Inputs!$B$43-B1898)&lt;=0,0,(INT(MAX(0,Inputs!$B$43-B1898)/(IF(Inputs!$B$38="pvp",15,MAX(0.1,Skills!D3-IF(Skills!E3=TRUE,Inputs!$B$32,0)))*(1-IF(AND(ArtifactsInput!$M$27,Inputs!$B$4="Chapter Hunt"),CHOOSE(ArtifactsInput!$N$27+1,20,24,28,32,36,40),0)/100)))+1)),0)</f>
        <v/>
      </c>
      <c r="S1860">
        <f>IFERROR(O1860/N1860,0)</f>
        <v/>
      </c>
      <c r="T1860">
        <f>IF(C1860,(H1860*N1860*IF(AND(Inputs!$B$38&lt;&gt;"pvp",Inputs!$B$43&gt;0),((Skills!G3*((R1860-1)*IF(Skills!H3&gt;0,Skills!I3/Skills!H3,1)+IF(Skills!H3&gt;0,MIN(Skills!I3,MAX(0,MAX(0,Inputs!$B$43-B1898)-((R1860-1)*(IF(Inputs!$B$38="pvp",15,MAX(0.1,Skills!D3-IF(Skills!E3=TRUE,Inputs!$B$32,0)))*(1-IF(AND(ArtifactsInput!$M$27,Inputs!$B$4="Chapter Hunt"),CHOOSE(ArtifactsInput!$N$27+1,20,24,28,32,36,40),0)/100)))))/Skills!H3,1)))/Inputs!$B$43),G1860*Q1860)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1860*(1-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1860*(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1860*(1-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1860*(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60">
        <f>INDEX(FactorTable!$B$2:$Y$301, MATCH(ROUND(MIN(300,MAX(1,U1859)),0), FactorTable!$A$2:$A$301,0), 22)</f>
        <v/>
      </c>
      <c r="V1860">
        <f>IF(C1860,(H1860*N1860*IF(AND(Inputs!$B$38&lt;&gt;"pvp",Inputs!$B$43&gt;0),((Skills!G3*((R1860-1)*IF(Skills!H3&gt;0,Skills!I3/Skills!H3,1)+IF(Skills!H3&gt;0,MIN(Skills!I3,MAX(0,MAX(0,Inputs!$B$43-B1898)-((R1860-1)*(IF(Inputs!$B$38="pvp",15,MAX(0.1,Skills!D3-IF(Skills!E3=TRUE,Inputs!$B$32,0)))*(1-IF(AND(ArtifactsInput!$M$27,Inputs!$B$4="Chapter Hunt"),CHOOSE(ArtifactsInput!$N$27+1,20,24,28,32,36,40),0)/100)))))/Skills!H3,1)))/Inputs!$B$43),G1860*Q1860))*IF(Inputs!$B$38="pvp",1,(1+(Inputs!$B$21+Skills!Q3+(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1">
      <c r="A1861">
        <f>Skills!A4</f>
        <v/>
      </c>
      <c r="B1861">
        <f>Skills!B4</f>
        <v/>
      </c>
      <c r="C1861">
        <f>Inputs!$B$3&gt;=105</f>
        <v/>
      </c>
      <c r="D1861">
        <f>IF(Skills!C4=1,60+Inputs!$B$25+Inputs!$B$29,IF(Skills!C4=2,90+Inputs!$B$26+Inputs!$B$29,IF(Skills!C4=3,120+Inputs!$B$27+Inputs!$B$29,MAX(0,(Inputs!$B$3-100)*3)+Inputs!$B$28+Inputs!$B$29)))</f>
        <v/>
      </c>
      <c r="E1861">
        <f>INDEX(FactorTable!$B$2:$Y$301, MATCH(ROUND(MIN(300,MAX(1,D1861)),0), FactorTable!$A$2:$A$301,0), Skills!M4+1)</f>
        <v/>
      </c>
      <c r="F1861">
        <f>IF(Skills!N4=TRUE,(Skills!L4/10)*(E1861/1000),Skills!L4/10)+Skills!O4</f>
        <v/>
      </c>
      <c r="G1861" t="inlineStr"/>
      <c r="H1861" t="inlineStr"/>
      <c r="I1861" t="inlineStr">
        <is>
          <t>1</t>
        </is>
      </c>
      <c r="J1861" t="inlineStr"/>
      <c r="K1861" t="inlineStr"/>
      <c r="L1861" t="inlineStr"/>
      <c r="M1861" t="inlineStr"/>
      <c r="N1861" t="inlineStr"/>
      <c r="O1861" t="inlineStr"/>
      <c r="P1861" t="inlineStr"/>
      <c r="Q1861" t="inlineStr"/>
      <c r="R1861" t="inlineStr"/>
      <c r="S1861" t="inlineStr"/>
      <c r="T1861" t="inlineStr"/>
      <c r="U1861">
        <f>290*U1860/1000</f>
        <v/>
      </c>
      <c r="V1861" t="inlineStr"/>
    </row>
    <row r="1862">
      <c r="A1862">
        <f>Skills!A5</f>
        <v/>
      </c>
      <c r="B1862">
        <f>Skills!B5</f>
        <v/>
      </c>
      <c r="C1862">
        <f>Inputs!$B$3&gt;=35</f>
        <v/>
      </c>
      <c r="D1862">
        <f>IF(Skills!C5=1,60+Inputs!$B$25+Inputs!$B$29,IF(Skills!C5=2,90+Inputs!$B$26+Inputs!$B$29,IF(Skills!C5=3,120+Inputs!$B$27+Inputs!$B$29,MAX(0,(Inputs!$B$3-100)*3)+Inputs!$B$28+Inputs!$B$29)))</f>
        <v/>
      </c>
      <c r="E1862">
        <f>INDEX(FactorTable!$B$2:$Y$301, MATCH(ROUND(MIN(300,MAX(1,D1862)),0), FactorTable!$A$2:$A$301,0), Skills!M5+1)</f>
        <v/>
      </c>
      <c r="F1862">
        <f>IF(Skills!N5=TRUE,(Skills!L5/10)*(E1862/1000),Skills!L5/10)+Skills!O5</f>
        <v/>
      </c>
      <c r="G1862">
        <f>Skills!G5*IF(Skills!H5&gt;0,Skills!I5/Skills!H5,1)</f>
        <v/>
      </c>
      <c r="H1862">
        <f>1-(1-Skills!J5/100)^Skills!K5</f>
        <v/>
      </c>
      <c r="I1862" t="inlineStr">
        <is>
          <t>1</t>
        </is>
      </c>
      <c r="J1862">
        <f>((Inputs!$B$6*(1+Inputs!$B$7/100))+(((Inputs!$B$12*(1+Inputs!$B$13/100))-(Inputs!$B$12*(1+Inputs!$B$13/100)))+0.25*(Inputs!$B$14-Inputs!$B$14))*(1+Inputs!$B$7/100))*(F1862/100)</f>
        <v/>
      </c>
      <c r="K1862">
        <f>J1862*(1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1868=TRUE,F1868,0)/100)*(1+(IF(Skills!A5="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1862)</f>
        <v/>
      </c>
      <c r="L1862">
        <f>K1862*(MIN(Inputs!$B$22+((C1882=TRUE)*(F1882-Calc!F25)),(Inputs!$B$23+((C1887=TRUE)*(F1887-Calc!F30))+(IF(ArtifactsInput!$M$15,CHOOSE(ArtifactsInput!$N$15+1,25,30,35,40,45,50)/100*(Inputs!$B$11-Inputs!$B$11),0))))/100+(Inputs!$B$23+((C1887=TRUE)*(F1887-Calc!F30))+(IF(ArtifactsInput!$M$15,CHOOSE(ArtifactsInput!$N$15+1,25,30,35,40,45,50)/100*(Inputs!$B$11-Inputs!$B$11),0)))/100)/2</f>
        <v/>
      </c>
      <c r="M1862">
        <f>L1862*(1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2">
        <f>L1862*(1-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1862*(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2">
        <f>(1-Summary!$B$11)*T1862+Summary!$B$11*V1862</f>
        <v/>
      </c>
      <c r="P1862">
        <f>IF(B1901=0,0,O1862/B1901)</f>
        <v/>
      </c>
      <c r="Q1862">
        <f>IFERROR(1/(IF(Inputs!$B$38="pvp",15,MAX(0.1,Skills!D5-IF(Skills!E5=TRUE,Inputs!$B$32,0)))*(1-IF(AND(ArtifactsInput!$M$27,Inputs!$B$4="Chapter Hunt"),CHOOSE(ArtifactsInput!$N$27+1,20,24,28,32,36,40),0)/100)),0)</f>
        <v/>
      </c>
      <c r="R1862">
        <f>IF(AND(Inputs!$B$38&lt;&gt;"pvp",Inputs!$B$43&gt;0),IF(MAX(0,Inputs!$B$43-B1898)&lt;=0,0,(INT(MAX(0,Inputs!$B$43-B1898)/(IF(Inputs!$B$38="pvp",15,MAX(0.1,Skills!D5-IF(Skills!E5=TRUE,Inputs!$B$32,0)))*(1-IF(AND(ArtifactsInput!$M$27,Inputs!$B$4="Chapter Hunt"),CHOOSE(ArtifactsInput!$N$27+1,20,24,28,32,36,40),0)/100)))+1)),0)</f>
        <v/>
      </c>
      <c r="S1862">
        <f>IFERROR(O1862/N1862,0)</f>
        <v/>
      </c>
      <c r="T1862">
        <f>IF(C1862,(H1862*N1862*IF(AND(Inputs!$B$38&lt;&gt;"pvp",Inputs!$B$43&gt;0),((Skills!G5*((R1862-1)*IF(Skills!H5&gt;0,Skills!I5/Skills!H5,1)+IF(Skills!H5&gt;0,MIN(Skills!I5,MAX(0,MAX(0,Inputs!$B$43-B1898)-((R1862-1)*(IF(Inputs!$B$38="pvp",15,MAX(0.1,Skills!D5-IF(Skills!E5=TRUE,Inputs!$B$32,0)))*(1-IF(AND(ArtifactsInput!$M$27,Inputs!$B$4="Chapter Hunt"),CHOOSE(ArtifactsInput!$N$27+1,20,24,28,32,36,40),0)/100)))))/Skills!H5,1)))/Inputs!$B$43),G1862*Q1862)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1862*(1-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1862*(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1862*(1-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1862*(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2">
        <f>IF(C1862,(H1862*N1862*IF(AND(Inputs!$B$38&lt;&gt;"pvp",Inputs!$B$43&gt;0),((Skills!G5*((R1862-1)*IF(Skills!H5&gt;0,Skills!I5/Skills!H5,1)+IF(Skills!H5&gt;0,MIN(Skills!I5,MAX(0,MAX(0,Inputs!$B$43-B1898)-((R1862-1)*(IF(Inputs!$B$38="pvp",15,MAX(0.1,Skills!D5-IF(Skills!E5=TRUE,Inputs!$B$32,0)))*(1-IF(AND(ArtifactsInput!$M$27,Inputs!$B$4="Chapter Hunt"),CHOOSE(ArtifactsInput!$N$27+1,20,24,28,32,36,40),0)/100)))))/Skills!H5,1)))/Inputs!$B$43),G1862*Q1862))*IF(Inputs!$B$38="pvp",1,(1+(Inputs!$B$21+Skills!Q5+(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3">
      <c r="A1863">
        <f>Skills!A6</f>
        <v/>
      </c>
      <c r="B1863">
        <f>Skills!B6</f>
        <v/>
      </c>
      <c r="C1863">
        <f>Inputs!$B$3&gt;=40</f>
        <v/>
      </c>
      <c r="D1863">
        <f>IF(Skills!C6=1,60+Inputs!$B$25+Inputs!$B$29,IF(Skills!C6=2,90+Inputs!$B$26+Inputs!$B$29,IF(Skills!C6=3,120+Inputs!$B$27+Inputs!$B$29,MAX(0,(Inputs!$B$3-100)*3)+Inputs!$B$28+Inputs!$B$29)))</f>
        <v/>
      </c>
      <c r="E1863">
        <f>INDEX(FactorTable!$B$2:$Y$301, MATCH(ROUND(MIN(300,MAX(1,D1863)),0), FactorTable!$A$2:$A$301,0), Skills!M6+1)</f>
        <v/>
      </c>
      <c r="F1863">
        <f>IF(Skills!N6=TRUE,(Skills!L6/10)*(E1863/1000),Skills!L6/10)+Skills!O6</f>
        <v/>
      </c>
      <c r="G1863">
        <f>Skills!G6*IF(Skills!H6&gt;0,Skills!I6/Skills!H6,1)</f>
        <v/>
      </c>
      <c r="H1863">
        <f>1-(1-Skills!J6/100)^Skills!K6</f>
        <v/>
      </c>
      <c r="I1863" t="inlineStr">
        <is>
          <t>1</t>
        </is>
      </c>
      <c r="J1863">
        <f>((Inputs!$B$6*(1+Inputs!$B$7/100))+(((Inputs!$B$12*(1+Inputs!$B$13/100))-(Inputs!$B$12*(1+Inputs!$B$13/100)))+0.25*(Inputs!$B$14-Inputs!$B$14))*(1+Inputs!$B$7/100))*(F1863/100)</f>
        <v/>
      </c>
      <c r="K1863">
        <f>J1863*(1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1864=TRUE,F1864,0)/100)*(1+(IF(Skills!A6="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1863)</f>
        <v/>
      </c>
      <c r="L1863">
        <f>K1863*(MIN(Inputs!$B$22+((C1882=TRUE)*(F1882-Calc!F25)),(Inputs!$B$23+((C1887=TRUE)*(F1887-Calc!F30))+(IF(ArtifactsInput!$M$15,CHOOSE(ArtifactsInput!$N$15+1,25,30,35,40,45,50)/100*(Inputs!$B$11-Inputs!$B$11),0))))/100+(Inputs!$B$23+((C1887=TRUE)*(F1887-Calc!F30))+(IF(ArtifactsInput!$M$15,CHOOSE(ArtifactsInput!$N$15+1,25,30,35,40,45,50)/100*(Inputs!$B$11-Inputs!$B$11),0)))/100)/2</f>
        <v/>
      </c>
      <c r="M1863">
        <f>L1863*(1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3">
        <f>L1863*(1-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1863*(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3">
        <f>(1-Summary!$B$11)*T1863+Summary!$B$11*V1863</f>
        <v/>
      </c>
      <c r="P1863">
        <f>IF(B1901=0,0,O1863/B1901)</f>
        <v/>
      </c>
      <c r="Q1863">
        <f>IFERROR(1/(IF(Inputs!$B$38="pvp",15,MAX(0.1,Skills!D6-IF(Skills!E6=TRUE,Inputs!$B$32,0)))*(1-IF(AND(ArtifactsInput!$M$27,Inputs!$B$4="Chapter Hunt"),CHOOSE(ArtifactsInput!$N$27+1,20,24,28,32,36,40),0)/100)),0)</f>
        <v/>
      </c>
      <c r="R1863">
        <f>IF(AND(Inputs!$B$38&lt;&gt;"pvp",Inputs!$B$43&gt;0),IF(MAX(0,Inputs!$B$43-B1898)&lt;=0,0,(INT(MAX(0,Inputs!$B$43-B1898)/(IF(Inputs!$B$38="pvp",15,MAX(0.1,Skills!D6-IF(Skills!E6=TRUE,Inputs!$B$32,0)))*(1-IF(AND(ArtifactsInput!$M$27,Inputs!$B$4="Chapter Hunt"),CHOOSE(ArtifactsInput!$N$27+1,20,24,28,32,36,40),0)/100)))+1)),0)</f>
        <v/>
      </c>
      <c r="S1863">
        <f>IFERROR(O1863/N1863,0)</f>
        <v/>
      </c>
      <c r="T1863">
        <f>IF(C1863,(H1863*N1863*IF(AND(Inputs!$B$38&lt;&gt;"pvp",Inputs!$B$43&gt;0),((Skills!G6*((R1863-1)*IF(Skills!H6&gt;0,Skills!I6/Skills!H6,1)+IF(Skills!H6&gt;0,MIN(Skills!I6,MAX(0,MAX(0,Inputs!$B$43-B1898)-((R1863-1)*(IF(Inputs!$B$38="pvp",15,MAX(0.1,Skills!D6-IF(Skills!E6=TRUE,Inputs!$B$32,0)))*(1-IF(AND(ArtifactsInput!$M$27,Inputs!$B$4="Chapter Hunt"),CHOOSE(ArtifactsInput!$N$27+1,20,24,28,32,36,40),0)/100)))))/Skills!H6,1)))/Inputs!$B$43),G1863*Q1863)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1863*(1-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1863*(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1863*(1-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1863*(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3">
        <f>IF(C1863,(H1863*N1863*IF(AND(Inputs!$B$38&lt;&gt;"pvp",Inputs!$B$43&gt;0),((Skills!G6*((R1863-1)*IF(Skills!H6&gt;0,Skills!I6/Skills!H6,1)+IF(Skills!H6&gt;0,MIN(Skills!I6,MAX(0,MAX(0,Inputs!$B$43-B1898)-((R1863-1)*(IF(Inputs!$B$38="pvp",15,MAX(0.1,Skills!D6-IF(Skills!E6=TRUE,Inputs!$B$32,0)))*(1-IF(AND(ArtifactsInput!$M$27,Inputs!$B$4="Chapter Hunt"),CHOOSE(ArtifactsInput!$N$27+1,20,24,28,32,36,40),0)/100)))))/Skills!H6,1)))/Inputs!$B$43),G1863*Q1863))*IF(Inputs!$B$38="pvp",1,(1+(Inputs!$B$21+Skills!Q6+(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4">
      <c r="A1864">
        <f>Skills!A7</f>
        <v/>
      </c>
      <c r="B1864">
        <f>Skills!B7</f>
        <v/>
      </c>
      <c r="C1864">
        <f>Inputs!$B$3&gt;=107</f>
        <v/>
      </c>
      <c r="D1864">
        <f>IF(Skills!C7=1,60+Inputs!$B$25+Inputs!$B$29,IF(Skills!C7=2,90+Inputs!$B$26+Inputs!$B$29,IF(Skills!C7=3,120+Inputs!$B$27+Inputs!$B$29,MAX(0,(Inputs!$B$3-100)*3)+Inputs!$B$28+Inputs!$B$29)))</f>
        <v/>
      </c>
      <c r="E1864">
        <f>INDEX(FactorTable!$B$2:$Y$301, MATCH(ROUND(MIN(300,MAX(1,D1864)),0), FactorTable!$A$2:$A$301,0), Skills!M7+1)</f>
        <v/>
      </c>
      <c r="F1864">
        <f>IF(Skills!N7=TRUE,(Skills!L7/10)*(E1864/1000),Skills!L7/10)+Skills!O7</f>
        <v/>
      </c>
      <c r="G1864" t="inlineStr"/>
      <c r="H1864" t="inlineStr"/>
      <c r="I1864" t="inlineStr">
        <is>
          <t>1</t>
        </is>
      </c>
      <c r="J1864" t="inlineStr"/>
      <c r="K1864" t="inlineStr"/>
      <c r="L1864" t="inlineStr"/>
      <c r="M1864" t="inlineStr"/>
      <c r="N1864" t="inlineStr"/>
      <c r="O1864" t="inlineStr"/>
      <c r="P1864" t="inlineStr"/>
      <c r="Q1864" t="inlineStr"/>
      <c r="R1864" t="inlineStr"/>
      <c r="S1864" t="inlineStr"/>
      <c r="T1864" t="inlineStr"/>
      <c r="V1864" t="inlineStr"/>
    </row>
    <row r="1865">
      <c r="A1865">
        <f>Skills!A8</f>
        <v/>
      </c>
      <c r="B1865">
        <f>Skills!B8</f>
        <v/>
      </c>
      <c r="C1865">
        <f>Inputs!$B$3&gt;=69</f>
        <v/>
      </c>
      <c r="D1865">
        <f>IF(Skills!C8=1,60+Inputs!$B$25+Inputs!$B$29,IF(Skills!C8=2,90+Inputs!$B$26+Inputs!$B$29,IF(Skills!C8=3,120+Inputs!$B$27+Inputs!$B$29,MAX(0,(Inputs!$B$3-100)*3)+Inputs!$B$28+Inputs!$B$29)))</f>
        <v/>
      </c>
      <c r="E1865">
        <f>INDEX(FactorTable!$B$2:$Y$301, MATCH(ROUND(MIN(300,MAX(1,D1865)),0), FactorTable!$A$2:$A$301,0), Skills!M8+1)</f>
        <v/>
      </c>
      <c r="F1865">
        <f>IF(Skills!N8=TRUE,(Skills!L8/10)*(E1865/1000),Skills!L8/10)+Skills!O8</f>
        <v/>
      </c>
      <c r="G1865">
        <f>Skills!G8*IF(Skills!H8&gt;0,Skills!I8/Skills!H8,1)</f>
        <v/>
      </c>
      <c r="H1865">
        <f>1-(1-Skills!J8/100)^Skills!K8</f>
        <v/>
      </c>
      <c r="I1865" t="inlineStr">
        <is>
          <t>1</t>
        </is>
      </c>
      <c r="J1865">
        <f>((Inputs!$B$6*(1+Inputs!$B$7/100))+(((Inputs!$B$12*(1+Inputs!$B$13/100))-(Inputs!$B$12*(1+Inputs!$B$13/100)))+0.25*(Inputs!$B$14-Inputs!$B$14))*(1+Inputs!$B$7/100))*(F1865/100)</f>
        <v/>
      </c>
      <c r="K1865">
        <f>J1865*(1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1868=TRUE,F1868,0)/100)*(1+(IF(Skills!A8="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1865)</f>
        <v/>
      </c>
      <c r="L1865">
        <f>K1865*(MIN(Inputs!$B$22+((C1882=TRUE)*(F1882-Calc!F25)),(Inputs!$B$23+((C1887=TRUE)*(F1887-Calc!F30))+(IF(ArtifactsInput!$M$15,CHOOSE(ArtifactsInput!$N$15+1,25,30,35,40,45,50)/100*(Inputs!$B$11-Inputs!$B$11),0))))/100+(Inputs!$B$23+((C1887=TRUE)*(F1887-Calc!F30))+(IF(ArtifactsInput!$M$15,CHOOSE(ArtifactsInput!$N$15+1,25,30,35,40,45,50)/100*(Inputs!$B$11-Inputs!$B$11),0)))/100)/2</f>
        <v/>
      </c>
      <c r="M1865">
        <f>L1865*(1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5">
        <f>L1865*(1-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1865*(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5">
        <f>(1-Summary!$B$11)*T1865+Summary!$B$11*V1865</f>
        <v/>
      </c>
      <c r="P1865">
        <f>IF(B1901=0,0,O1865/B1901)</f>
        <v/>
      </c>
      <c r="Q1865">
        <f>IFERROR(1/(IF(Inputs!$B$38="pvp",15,MAX(0.1,Skills!D8-IF(Skills!E8=TRUE,Inputs!$B$32,0)))*(1-IF(AND(ArtifactsInput!$M$27,Inputs!$B$4="Chapter Hunt"),CHOOSE(ArtifactsInput!$N$27+1,20,24,28,32,36,40),0)/100)),0)</f>
        <v/>
      </c>
      <c r="R1865">
        <f>IF(AND(Inputs!$B$38&lt;&gt;"pvp",Inputs!$B$43&gt;0),IF(MAX(0,Inputs!$B$43-B1898)&lt;=0,0,(INT(MAX(0,Inputs!$B$43-B1898)/(IF(Inputs!$B$38="pvp",15,MAX(0.1,Skills!D8-IF(Skills!E8=TRUE,Inputs!$B$32,0)))*(1-IF(AND(ArtifactsInput!$M$27,Inputs!$B$4="Chapter Hunt"),CHOOSE(ArtifactsInput!$N$27+1,20,24,28,32,36,40),0)/100)))+1)),0)</f>
        <v/>
      </c>
      <c r="S1865">
        <f>IFERROR(O1865/N1865,0)</f>
        <v/>
      </c>
      <c r="T1865">
        <f>IF(C1865,(H1865*N1865*IF(AND(Inputs!$B$38&lt;&gt;"pvp",Inputs!$B$43&gt;0),((Skills!G8*((R1865-1)*IF(Skills!H8&gt;0,Skills!I8/Skills!H8,1)+IF(Skills!H8&gt;0,MIN(Skills!I8,MAX(0,MAX(0,Inputs!$B$43-B1898)-((R1865-1)*(IF(Inputs!$B$38="pvp",15,MAX(0.1,Skills!D8-IF(Skills!E8=TRUE,Inputs!$B$32,0)))*(1-IF(AND(ArtifactsInput!$M$27,Inputs!$B$4="Chapter Hunt"),CHOOSE(ArtifactsInput!$N$27+1,20,24,28,32,36,40),0)/100)))))/Skills!H8,1)))/Inputs!$B$43),G1865*Q1865)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1865*(1-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1865*(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1865*(1-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1865*(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5">
        <f>IF(C1865,(H1865*N1865*IF(AND(Inputs!$B$38&lt;&gt;"pvp",Inputs!$B$43&gt;0),((Skills!G8*((R1865-1)*IF(Skills!H8&gt;0,Skills!I8/Skills!H8,1)+IF(Skills!H8&gt;0,MIN(Skills!I8,MAX(0,MAX(0,Inputs!$B$43-B1898)-((R1865-1)*(IF(Inputs!$B$38="pvp",15,MAX(0.1,Skills!D8-IF(Skills!E8=TRUE,Inputs!$B$32,0)))*(1-IF(AND(ArtifactsInput!$M$27,Inputs!$B$4="Chapter Hunt"),CHOOSE(ArtifactsInput!$N$27+1,20,24,28,32,36,40),0)/100)))))/Skills!H8,1)))/Inputs!$B$43),G1865*Q1865))*IF(Inputs!$B$38="pvp",1,(1+(Inputs!$B$21+Skills!Q8+(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6">
      <c r="A1866">
        <f>Skills!A9</f>
        <v/>
      </c>
      <c r="B1866">
        <f>Skills!B9</f>
        <v/>
      </c>
      <c r="C1866">
        <f>Inputs!$B$3&gt;=63</f>
        <v/>
      </c>
      <c r="D1866">
        <f>IF(Skills!C9=1,60+Inputs!$B$25+Inputs!$B$29,IF(Skills!C9=2,90+Inputs!$B$26+Inputs!$B$29,IF(Skills!C9=3,120+Inputs!$B$27+Inputs!$B$29,MAX(0,(Inputs!$B$3-100)*3)+Inputs!$B$28+Inputs!$B$29)))</f>
        <v/>
      </c>
      <c r="E1866">
        <f>INDEX(FactorTable!$B$2:$Y$301, MATCH(ROUND(MIN(300,MAX(1,D1866)),0), FactorTable!$A$2:$A$301,0), Skills!M9+1)</f>
        <v/>
      </c>
      <c r="F1866">
        <f>IF(Skills!N9=TRUE,(Skills!L9/10)*(E1866/1000),Skills!L9/10)+Skills!O9</f>
        <v/>
      </c>
      <c r="G1866">
        <f>Skills!G9*IF(Skills!H9&gt;0,Skills!I9/Skills!H9,1)</f>
        <v/>
      </c>
      <c r="H1866">
        <f>1-(1-Skills!J9/100)^Skills!K9</f>
        <v/>
      </c>
      <c r="I1866" t="inlineStr">
        <is>
          <t>1</t>
        </is>
      </c>
      <c r="J1866">
        <f>((Inputs!$B$6*(1+Inputs!$B$7/100))+(((Inputs!$B$12*(1+Inputs!$B$13/100))-(Inputs!$B$12*(1+Inputs!$B$13/100)))+0.25*(Inputs!$B$14-Inputs!$B$14))*(1+Inputs!$B$7/100))*(F1866/100)</f>
        <v/>
      </c>
      <c r="K1866">
        <f>J1866*(1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1868=TRUE,F1868,0)/100)*(1+(IF(Skills!A9="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1866)</f>
        <v/>
      </c>
      <c r="L1866">
        <f>K1866*(MIN(Inputs!$B$22+((C1882=TRUE)*(F1882-Calc!F25)),(Inputs!$B$23+((C1887=TRUE)*(F1887-Calc!F30))+(IF(ArtifactsInput!$M$15,CHOOSE(ArtifactsInput!$N$15+1,25,30,35,40,45,50)/100*(Inputs!$B$11-Inputs!$B$11),0))))/100+(Inputs!$B$23+((C1887=TRUE)*(F1887-Calc!F30))+(IF(ArtifactsInput!$M$15,CHOOSE(ArtifactsInput!$N$15+1,25,30,35,40,45,50)/100*(Inputs!$B$11-Inputs!$B$11),0)))/100)/2</f>
        <v/>
      </c>
      <c r="M1866">
        <f>L1866*(1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6">
        <f>L1866*(1-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1866*(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6">
        <f>(1-Summary!$B$11)*T1866+Summary!$B$11*V1866</f>
        <v/>
      </c>
      <c r="P1866">
        <f>IF(B1901=0,0,O1866/B1901)</f>
        <v/>
      </c>
      <c r="Q1866">
        <f>IFERROR(1/(IF(Inputs!$B$38="pvp",15,MAX(0.1,Skills!D9-IF(Skills!E9=TRUE,Inputs!$B$32,0)))*(1-IF(AND(ArtifactsInput!$M$27,Inputs!$B$4="Chapter Hunt"),CHOOSE(ArtifactsInput!$N$27+1,20,24,28,32,36,40),0)/100)),0)</f>
        <v/>
      </c>
      <c r="R1866">
        <f>IF(AND(Inputs!$B$38&lt;&gt;"pvp",Inputs!$B$43&gt;0),IF(MAX(0,Inputs!$B$43-B1898)&lt;=0,0,(INT(MAX(0,Inputs!$B$43-B1898)/(IF(Inputs!$B$38="pvp",15,MAX(0.1,Skills!D9-IF(Skills!E9=TRUE,Inputs!$B$32,0)))*(1-IF(AND(ArtifactsInput!$M$27,Inputs!$B$4="Chapter Hunt"),CHOOSE(ArtifactsInput!$N$27+1,20,24,28,32,36,40),0)/100)))+1)),0)</f>
        <v/>
      </c>
      <c r="S1866">
        <f>IFERROR(O1866/N1866,0)</f>
        <v/>
      </c>
      <c r="T1866">
        <f>IF(C1866,(H1866*N1866*IF(AND(Inputs!$B$38&lt;&gt;"pvp",Inputs!$B$43&gt;0),((Skills!G9*((R1866-1)*IF(Skills!H9&gt;0,Skills!I9/Skills!H9,1)+IF(Skills!H9&gt;0,MIN(Skills!I9,MAX(0,MAX(0,Inputs!$B$43-B1898)-((R1866-1)*(IF(Inputs!$B$38="pvp",15,MAX(0.1,Skills!D9-IF(Skills!E9=TRUE,Inputs!$B$32,0)))*(1-IF(AND(ArtifactsInput!$M$27,Inputs!$B$4="Chapter Hunt"),CHOOSE(ArtifactsInput!$N$27+1,20,24,28,32,36,40),0)/100)))))/Skills!H9,1)))/Inputs!$B$43),G1866*Q1866)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1866*(1-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1866*(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1866*(1-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1866*(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6">
        <f>IF(C1866,(H1866*N1866*IF(AND(Inputs!$B$38&lt;&gt;"pvp",Inputs!$B$43&gt;0),((Skills!G9*((R1866-1)*IF(Skills!H9&gt;0,Skills!I9/Skills!H9,1)+IF(Skills!H9&gt;0,MIN(Skills!I9,MAX(0,MAX(0,Inputs!$B$43-B1898)-((R1866-1)*(IF(Inputs!$B$38="pvp",15,MAX(0.1,Skills!D9-IF(Skills!E9=TRUE,Inputs!$B$32,0)))*(1-IF(AND(ArtifactsInput!$M$27,Inputs!$B$4="Chapter Hunt"),CHOOSE(ArtifactsInput!$N$27+1,20,24,28,32,36,40),0)/100)))))/Skills!H9,1)))/Inputs!$B$43),G1866*Q1866))*IF(Inputs!$B$38="pvp",1,(1+(Inputs!$B$21+Skills!Q9+(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7">
      <c r="A1867">
        <f>Skills!A10</f>
        <v/>
      </c>
      <c r="B1867">
        <f>Skills!B10</f>
        <v/>
      </c>
      <c r="C1867">
        <f>Inputs!$B$3&gt;=103</f>
        <v/>
      </c>
      <c r="D1867">
        <f>IF(Skills!C10=1,60+Inputs!$B$25+Inputs!$B$29,IF(Skills!C10=2,90+Inputs!$B$26+Inputs!$B$29,IF(Skills!C10=3,120+Inputs!$B$27+Inputs!$B$29,MAX(0,(Inputs!$B$3-100)*3)+Inputs!$B$28+Inputs!$B$29)))</f>
        <v/>
      </c>
      <c r="E1867">
        <f>INDEX(FactorTable!$B$2:$Y$301, MATCH(ROUND(MIN(300,MAX(1,D1867)),0), FactorTable!$A$2:$A$301,0), Skills!M10+1)</f>
        <v/>
      </c>
      <c r="F1867">
        <f>IF(Skills!N10=TRUE,(Skills!L10/10)*(E1867/1000),Skills!L10/10)+Skills!O10</f>
        <v/>
      </c>
      <c r="G1867">
        <f>Skills!G10*IF(Skills!H10&gt;0,Skills!I10/Skills!H10,1)</f>
        <v/>
      </c>
      <c r="H1867">
        <f>1-(1-Skills!J10/100)^Skills!K10</f>
        <v/>
      </c>
      <c r="I1867" t="inlineStr">
        <is>
          <t>1</t>
        </is>
      </c>
      <c r="J1867">
        <f>((Inputs!$B$6*(1+Inputs!$B$7/100))+(((Inputs!$B$12*(1+Inputs!$B$13/100))-(Inputs!$B$12*(1+Inputs!$B$13/100)))+0.25*(Inputs!$B$14-Inputs!$B$14))*(1+Inputs!$B$7/100))*(F1867/100)</f>
        <v/>
      </c>
      <c r="K1867">
        <f>J1867*(1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1867)</f>
        <v/>
      </c>
      <c r="L1867">
        <f>K1867*(MIN(Inputs!$B$22+((C1882=TRUE)*(F1882-Calc!F25)),(Inputs!$B$23+((C1887=TRUE)*(F1887-Calc!F30))+(IF(ArtifactsInput!$M$15,CHOOSE(ArtifactsInput!$N$15+1,25,30,35,40,45,50)/100*(Inputs!$B$11-Inputs!$B$11),0))))/100+(Inputs!$B$23+((C1887=TRUE)*(F1887-Calc!F30))+(IF(ArtifactsInput!$M$15,CHOOSE(ArtifactsInput!$N$15+1,25,30,35,40,45,50)/100*(Inputs!$B$11-Inputs!$B$11),0)))/100)/2</f>
        <v/>
      </c>
      <c r="M1867">
        <f>L1867*(1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7">
        <f>L1867*(1-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1867*(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7">
        <f>(1-Summary!$B$11)*T1867+Summary!$B$11*V1867</f>
        <v/>
      </c>
      <c r="P1867">
        <f>IF(B1901=0,0,O1867/B1901)</f>
        <v/>
      </c>
      <c r="Q1867">
        <f>IFERROR(1/(IF(Inputs!$B$38="pvp",15,MAX(0.1,Skills!D10-IF(Skills!E10=TRUE,Inputs!$B$32,0)))*(1-IF(AND(ArtifactsInput!$M$27,Inputs!$B$4="Chapter Hunt"),CHOOSE(ArtifactsInput!$N$27+1,20,24,28,32,36,40),0)/100)),0)</f>
        <v/>
      </c>
      <c r="R1867">
        <f>IF(AND(Inputs!$B$38&lt;&gt;"pvp",Inputs!$B$43&gt;0),IF(MAX(0,Inputs!$B$43-B1898)&lt;=0,0,(INT(MAX(0,Inputs!$B$43-B1898)/(IF(Inputs!$B$38="pvp",15,MAX(0.1,Skills!D10-IF(Skills!E10=TRUE,Inputs!$B$32,0)))*(1-IF(AND(ArtifactsInput!$M$27,Inputs!$B$4="Chapter Hunt"),CHOOSE(ArtifactsInput!$N$27+1,20,24,28,32,36,40),0)/100)))+1)),0)</f>
        <v/>
      </c>
      <c r="S1867">
        <f>IFERROR(O1867/N1867,0)</f>
        <v/>
      </c>
      <c r="T1867">
        <f>IF(C1867,(H1867*N1867*IF(AND(Inputs!$B$38&lt;&gt;"pvp",Inputs!$B$43&gt;0),((Skills!G10*((R1867-1)*IF(Skills!H10&gt;0,Skills!I10/Skills!H10,1)+IF(Skills!H10&gt;0,MIN(Skills!I10,MAX(0,MAX(0,Inputs!$B$43-B1898)-((R1867-1)*(IF(Inputs!$B$38="pvp",15,MAX(0.1,Skills!D10-IF(Skills!E10=TRUE,Inputs!$B$32,0)))*(1-IF(AND(ArtifactsInput!$M$27,Inputs!$B$4="Chapter Hunt"),CHOOSE(ArtifactsInput!$N$27+1,20,24,28,32,36,40),0)/100)))))/Skills!H10,1)))/Inputs!$B$43),G1867*Q1867)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1867*(1-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1867*(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1867*(1-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1867*(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7">
        <f>IF(C1867,(H1867*N1867*IF(AND(Inputs!$B$38&lt;&gt;"pvp",Inputs!$B$43&gt;0),((Skills!G10*((R1867-1)*IF(Skills!H10&gt;0,Skills!I10/Skills!H10,1)+IF(Skills!H10&gt;0,MIN(Skills!I10,MAX(0,MAX(0,Inputs!$B$43-B1898)-((R1867-1)*(IF(Inputs!$B$38="pvp",15,MAX(0.1,Skills!D10-IF(Skills!E10=TRUE,Inputs!$B$32,0)))*(1-IF(AND(ArtifactsInput!$M$27,Inputs!$B$4="Chapter Hunt"),CHOOSE(ArtifactsInput!$N$27+1,20,24,28,32,36,40),0)/100)))))/Skills!H10,1)))/Inputs!$B$43),G1867*Q1867))*IF(Inputs!$B$38="pvp",1,(1+(Inputs!$B$21+Skills!Q10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8">
      <c r="A1868">
        <f>Skills!A11</f>
        <v/>
      </c>
      <c r="B1868">
        <f>Skills!B11</f>
        <v/>
      </c>
      <c r="C1868">
        <f>Inputs!$B$3&gt;=100</f>
        <v/>
      </c>
      <c r="D1868">
        <f>IF(Skills!C11=1,60+Inputs!$B$25+Inputs!$B$29,IF(Skills!C11=2,90+Inputs!$B$26+Inputs!$B$29,IF(Skills!C11=3,120+Inputs!$B$27+Inputs!$B$29,MAX(0,(Inputs!$B$3-100)*3)+Inputs!$B$28+Inputs!$B$29)))</f>
        <v/>
      </c>
      <c r="E1868">
        <f>INDEX(FactorTable!$B$2:$Y$301, MATCH(ROUND(MIN(300,MAX(1,D1868)),0), FactorTable!$A$2:$A$301,0), Skills!M11+1)</f>
        <v/>
      </c>
      <c r="F1868">
        <f>IF(Skills!N11=TRUE,(Skills!L11/10)*(E1868/1000),Skills!L11/10)+Skills!O11</f>
        <v/>
      </c>
      <c r="G1868" t="inlineStr"/>
      <c r="H1868" t="inlineStr"/>
      <c r="I1868" t="inlineStr">
        <is>
          <t>1</t>
        </is>
      </c>
      <c r="J1868" t="inlineStr"/>
      <c r="K1868" t="inlineStr"/>
      <c r="L1868" t="inlineStr"/>
      <c r="M1868" t="inlineStr"/>
      <c r="N1868" t="inlineStr"/>
      <c r="O1868" t="inlineStr"/>
      <c r="P1868" t="inlineStr"/>
      <c r="Q1868" t="inlineStr"/>
      <c r="R1868" t="inlineStr"/>
      <c r="S1868" t="inlineStr"/>
      <c r="T1868" t="inlineStr"/>
      <c r="V1868" t="inlineStr"/>
    </row>
    <row r="1869">
      <c r="A1869">
        <f>Skills!A12</f>
        <v/>
      </c>
      <c r="B1869">
        <f>Skills!B12</f>
        <v/>
      </c>
      <c r="C1869">
        <f>Inputs!$B$3&gt;=60</f>
        <v/>
      </c>
      <c r="D1869">
        <f>IF(Skills!C12=1,60+Inputs!$B$25+Inputs!$B$29,IF(Skills!C12=2,90+Inputs!$B$26+Inputs!$B$29,IF(Skills!C12=3,120+Inputs!$B$27+Inputs!$B$29,MAX(0,(Inputs!$B$3-100)*3)+Inputs!$B$28+Inputs!$B$29)))</f>
        <v/>
      </c>
      <c r="E1869">
        <f>INDEX(FactorTable!$B$2:$Y$301, MATCH(ROUND(MIN(300,MAX(1,D1869)),0), FactorTable!$A$2:$A$301,0), Skills!M12+1)</f>
        <v/>
      </c>
      <c r="F1869">
        <f>IF(Skills!N12=TRUE,(Skills!L12/10)*(E1869/1000),Skills!L12/10)+Skills!O12</f>
        <v/>
      </c>
      <c r="G1869">
        <f>Skills!G12*IF(Skills!H12&gt;0,Skills!I12/Skills!H12,1)</f>
        <v/>
      </c>
      <c r="H1869">
        <f>1-(1-Skills!J12/100)^Skills!K12</f>
        <v/>
      </c>
      <c r="I1869" t="inlineStr">
        <is>
          <t>1</t>
        </is>
      </c>
      <c r="J1869">
        <f>((Inputs!$B$6*(1+Inputs!$B$7/100))+(((Inputs!$B$12*(1+Inputs!$B$13/100))-(Inputs!$B$12*(1+Inputs!$B$13/100)))+0.25*(Inputs!$B$14-Inputs!$B$14))*(1+Inputs!$B$7/100))*(F1869/100)</f>
        <v/>
      </c>
      <c r="K1869">
        <f>J1869*(1+((Inputs!$B$12*(1+Inputs!$B$13/100))*0.01+Inputs!$B$14*0.0025)/100)*(1+Inputs!$B$15/100)*(1+Inputs!$B$16/100)*(5000/(6000+Inputs!$B$42*(1-(100*(1-(1-(Inputs!$B$19+((C1885=TRUE)*(F1885-Calc!F28)))/100)*(1-CHOOSE(ArtifactsInput!$N$40+1,5,6,7,8,9,10)/100)^(ArtifactsInput!$M$40-ArtifactsInput!$M$40)))/100)))*(1+(Inputs!$B$24+((C1883=TRUE)*(F1883-Calc!F26))+((C1884=TRUE)*(F1884-Calc!F27))+B1897)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1870=TRUE,F1870,0)/100)*(1+(IF(Skills!A12="ARROW_STREAM",Inputs!$B$17+((C1881=TRUE)*(F1881-Calc!F24))+(((IF(AND(ArtifactsInput!$M$42,((Inputs!$B$9+((C1878=TRUE)*(F1878-Calc!F21))+B1891+(ArtifactsInput!$M$24-ArtifactsInput!$M$24)*CHOOSE(ArtifactsInput!$N$24+1,10,12,14,16,18,20)+IF(ArtifactsInput!$M$10,CHOOSE(ArtifactsInput!$N$10+1,15,18,21,24,27,30)*(IF(Inputs!$B$38="pvp",MIN(15,15)/15,IF(AND(Inputs!$B$38&lt;&gt;"pvp",Inputs!$B$43&gt;0),MIN(15,Inputs!$B$43)/(Inputs!$B$43),0))),0)))&gt;=100),MIN(100,((Inputs!$B$9+((C1878=TRUE)*(F1878-Calc!F21))+B1891+(ArtifactsInput!$M$24-ArtifactsInput!$M$24)*CHOOSE(ArtifactsInput!$N$24+1,10,12,14,16,18,20)+IF(ArtifactsInput!$M$10,CHOOSE(ArtifactsInput!$N$10+1,15,18,21,24,27,30)*(IF(Inputs!$B$38="pvp",MIN(15,15)/15,IF(AND(Inputs!$B$38&lt;&gt;"pvp",Inputs!$B$43&gt;0),MIN(15,Inputs!$B$43)/(Inputs!$B$43),0))),0)))-100),0))*CHOOSE(ArtifactsInput!$N$42+1,0.6,0.72,0.84,0.96,1.08,1.2))),Inputs!$B$18+((C1886=TRUE)*(F1886-Calc!F29))+(IF(AND(ArtifactsInput!$M$42,((Inputs!$B$9+((C1878=TRUE)*(F1878-Calc!F21))+B1891+(ArtifactsInput!$M$24-ArtifactsInput!$M$24)*CHOOSE(ArtifactsInput!$N$24+1,10,12,14,16,18,20)+IF(ArtifactsInput!$M$10,CHOOSE(ArtifactsInput!$N$10+1,15,18,21,24,27,30)*(IF(Inputs!$B$38="pvp",MIN(15,15)/15,IF(AND(Inputs!$B$38&lt;&gt;"pvp",Inputs!$B$43&gt;0),MIN(15,Inputs!$B$43)/(Inputs!$B$43),0))),0)))&gt;=100),CHOOSE(ArtifactsInput!$N$42+1,40,48,56,64,72,80),0))))/100)*((1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1869)</f>
        <v/>
      </c>
      <c r="L1869">
        <f>K1869*(MIN(Inputs!$B$22+((C1882=TRUE)*(F1882-Calc!F25)),(Inputs!$B$23+((C1887=TRUE)*(F1887-Calc!F30))+(IF(ArtifactsInput!$M$15,CHOOSE(ArtifactsInput!$N$15+1,25,30,35,40,45,50)/100*(Inputs!$B$11-Inputs!$B$11),0))))/100+(Inputs!$B$23+((C1887=TRUE)*(F1887-Calc!F30))+(IF(ArtifactsInput!$M$15,CHOOSE(ArtifactsInput!$N$15+1,25,30,35,40,45,50)/100*(Inputs!$B$11-Inputs!$B$11),0)))/100)/2</f>
        <v/>
      </c>
      <c r="M1869">
        <f>L1869*(1+(Inputs!$B$10+0+B1896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9">
        <f>L1869*(1-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1869*(MIN((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9">
        <f>(1-Summary!$B$11)*T1869+Summary!$B$11*V1869</f>
        <v/>
      </c>
      <c r="P1869">
        <f>IF(B1901=0,0,O1869/B1901)</f>
        <v/>
      </c>
      <c r="Q1869">
        <f>IFERROR(1/(IF(Inputs!$B$38="pvp",15,MAX(0.1,Skills!D12-IF(Skills!E12=TRUE,Inputs!$B$32,0)))*(1-IF(AND(ArtifactsInput!$M$27,Inputs!$B$4="Chapter Hunt"),CHOOSE(ArtifactsInput!$N$27+1,20,24,28,32,36,40),0)/100)),0)</f>
        <v/>
      </c>
      <c r="R1869">
        <f>IF(AND(Inputs!$B$38&lt;&gt;"pvp",Inputs!$B$43&gt;0),IF(MAX(0,Inputs!$B$43-B1898)&lt;=0,0,(INT(MAX(0,Inputs!$B$43-B1898)/(IF(Inputs!$B$38="pvp",15,MAX(0.1,Skills!D12-IF(Skills!E12=TRUE,Inputs!$B$32,0)))*(1-IF(AND(ArtifactsInput!$M$27,Inputs!$B$4="Chapter Hunt"),CHOOSE(ArtifactsInput!$N$27+1,20,24,28,32,36,40),0)/100)))+1)),0)</f>
        <v/>
      </c>
      <c r="S1869">
        <f>IFERROR(O1869/N1869,0)</f>
        <v/>
      </c>
      <c r="T1869">
        <f>IF(C1869,(H1869*N1869*IF(AND(Inputs!$B$38&lt;&gt;"pvp",Inputs!$B$43&gt;0),((Skills!G12*((R1869-1)*IF(Skills!H12&gt;0,Skills!I12/Skills!H12,1)+IF(Skills!H12&gt;0,MIN(Skills!I12,MAX(0,MAX(0,Inputs!$B$43-B1898)-((R1869-1)*(IF(Inputs!$B$38="pvp",15,MAX(0.1,Skills!D12-IF(Skills!E12=TRUE,Inputs!$B$32,0)))*(1-IF(AND(ArtifactsInput!$M$27,Inputs!$B$4="Chapter Hunt"),CHOOSE(ArtifactsInput!$N$27+1,20,24,28,32,36,40),0)/100)))))/Skills!H12,1)))/Inputs!$B$43),G1869*Q1869)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$42*(1-(100*(1-(1-(100*(1-(1-(Inputs!$B$19+((C1885=TRUE)*(F1885-Calc!F28)))/100)*(1-CHOOSE(ArtifactsInput!$N$40+1,5,6,7,8,9,10)/100)^(ArtifactsInput!$M$40-ArtifactsInput!$M$40)))/100)*(1-IF(ArtifactsInput!$M$40,CHOOSE(ArtifactsInput!$N$40+1,5,6,7,8,9,10),0)/100)^IF(Inputs!$B$38="pvp",1,2)))/100)))/(5000/(6000+Inputs!$B$42*(1-(100*(1-(1-(Inputs!$B$19+((C1885=TRUE)*(F1885-Calc!F28)))/100)*(1-CHOOSE(ArtifactsInput!$N$40+1,5,6,7,8,9,10)/100)^(ArtifactsInput!$M$40-ArtifactsInput!$M$40)))/100))))*((L1869*(1-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1869*(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1869*(1-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1869*(MIN(100,(Inputs!$B$9+((C1878=TRUE)*(F1878-Calc!F21))+B1891+(ArtifactsInput!$M$24-ArtifactsInput!$M$24)*CHOOSE(ArtifactsInput!$N$24+1,10,12,14,16,18,20)+(IF(AND(ArtifactsInput!$M$42,((Inputs!$B$9+((C1878=TRUE)*(F1878-Calc!F21))+B1891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69">
        <f>IF(C1869,(H1869*N1869*IF(AND(Inputs!$B$38&lt;&gt;"pvp",Inputs!$B$43&gt;0),((Skills!G12*((R1869-1)*IF(Skills!H12&gt;0,Skills!I12/Skills!H12,1)+IF(Skills!H12&gt;0,MIN(Skills!I12,MAX(0,MAX(0,Inputs!$B$43-B1898)-((R1869-1)*(IF(Inputs!$B$38="pvp",15,MAX(0.1,Skills!D12-IF(Skills!E12=TRUE,Inputs!$B$32,0)))*(1-IF(AND(ArtifactsInput!$M$27,Inputs!$B$4="Chapter Hunt"),CHOOSE(ArtifactsInput!$N$27+1,20,24,28,32,36,40),0)/100)))))/Skills!H12,1)))/Inputs!$B$43),G1869*Q1869))*IF(Inputs!$B$38="pvp",1,(1+(Inputs!$B$21+Skills!Q12+(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0">
      <c r="A1870">
        <f>Skills!A13</f>
        <v/>
      </c>
      <c r="B1870">
        <f>Skills!B13</f>
        <v/>
      </c>
      <c r="C1870">
        <f>Inputs!$B$3&gt;=110</f>
        <v/>
      </c>
      <c r="D1870">
        <f>IF(Skills!C13=1,60+Inputs!$B$25+Inputs!$B$29,IF(Skills!C13=2,90+Inputs!$B$26+Inputs!$B$29,IF(Skills!C13=3,120+Inputs!$B$27+Inputs!$B$29,MAX(0,(Inputs!$B$3-100)*3)+Inputs!$B$28+Inputs!$B$29)))</f>
        <v/>
      </c>
      <c r="E1870">
        <f>INDEX(FactorTable!$B$2:$Y$301, MATCH(ROUND(MIN(300,MAX(1,D1870)),0), FactorTable!$A$2:$A$301,0), Skills!M13+1)</f>
        <v/>
      </c>
      <c r="F1870">
        <f>IF(Skills!N13=TRUE,(Skills!L13/10)*(E1870/1000),Skills!L13/10)+Skills!O13</f>
        <v/>
      </c>
      <c r="G1870" t="inlineStr"/>
      <c r="H1870" t="inlineStr"/>
      <c r="I1870" t="inlineStr">
        <is>
          <t>1</t>
        </is>
      </c>
      <c r="J1870" t="inlineStr"/>
      <c r="K1870" t="inlineStr"/>
      <c r="L1870" t="inlineStr"/>
      <c r="M1870" t="inlineStr"/>
      <c r="N1870" t="inlineStr"/>
      <c r="O1870" t="inlineStr"/>
      <c r="P1870" t="inlineStr"/>
      <c r="Q1870" t="inlineStr"/>
      <c r="R1870" t="inlineStr"/>
      <c r="S1870" t="inlineStr"/>
      <c r="T1870" t="inlineStr"/>
      <c r="V1870" t="inlineStr"/>
    </row>
    <row r="1871">
      <c r="A1871">
        <f>Skills!A14</f>
        <v/>
      </c>
      <c r="B1871">
        <f>Skills!B14</f>
        <v/>
      </c>
      <c r="C1871">
        <f>Inputs!$B$3&gt;=74</f>
        <v/>
      </c>
      <c r="D1871">
        <f>IF(Skills!C14=1,60+Inputs!$B$25+Inputs!$B$29,IF(Skills!C14=2,90+Inputs!$B$26+Inputs!$B$29,IF(Skills!C14=3,120+Inputs!$B$27+Inputs!$B$29,MAX(0,(Inputs!$B$3-100)*3)+Inputs!$B$28+Inputs!$B$29)))</f>
        <v/>
      </c>
      <c r="E1871">
        <f>INDEX(FactorTable!$B$2:$Y$301, MATCH(ROUND(MIN(300,MAX(1,D1871)),0), FactorTable!$A$2:$A$301,0), Skills!M14+1)</f>
        <v/>
      </c>
      <c r="F1871">
        <f>IF(Skills!N14=TRUE,(Skills!L14/10)*(E1871/1000),Skills!L14/10)+Skills!O14</f>
        <v/>
      </c>
      <c r="G1871">
        <f>Skills!G14*IF(Skills!H14&gt;0,Skills!I14/Skills!H14,1)</f>
        <v/>
      </c>
      <c r="H1871">
        <f>1-(1-Skills!J14/100)^Skills!K14</f>
        <v/>
      </c>
      <c r="I1871" t="inlineStr">
        <is>
          <t>1</t>
        </is>
      </c>
      <c r="J1871" t="inlineStr"/>
      <c r="K1871" t="inlineStr"/>
      <c r="L1871" t="inlineStr"/>
      <c r="M1871" t="inlineStr"/>
      <c r="N1871" t="inlineStr"/>
      <c r="O1871">
        <f>(1-Summary!$B$11)*T1871+Summary!$B$11*V1871</f>
        <v/>
      </c>
      <c r="P1871">
        <f>IF(B1901=0,0,O1871/B1901)</f>
        <v/>
      </c>
      <c r="Q1871" t="n">
        <v>0</v>
      </c>
      <c r="R1871" t="n">
        <v>0</v>
      </c>
      <c r="S1871">
        <f>IFERROR(O1871/N1871,0)</f>
        <v/>
      </c>
      <c r="T1871" t="n">
        <v>0</v>
      </c>
      <c r="V1871" t="n">
        <v>0</v>
      </c>
    </row>
    <row r="1872">
      <c r="A1872">
        <f>Skills!A15</f>
        <v/>
      </c>
      <c r="B1872">
        <f>Skills!B15</f>
        <v/>
      </c>
      <c r="C1872">
        <f>Inputs!$B$3&gt;=74</f>
        <v/>
      </c>
      <c r="D1872">
        <f>IF(Skills!C15=1,60+Inputs!$B$25+Inputs!$B$29,IF(Skills!C15=2,90+Inputs!$B$26+Inputs!$B$29,IF(Skills!C15=3,120+Inputs!$B$27+Inputs!$B$29,MAX(0,(Inputs!$B$3-100)*3)+Inputs!$B$28+Inputs!$B$29)))</f>
        <v/>
      </c>
      <c r="E1872">
        <f>INDEX(FactorTable!$B$2:$Y$301, MATCH(ROUND(MIN(300,MAX(1,D1872)),0), FactorTable!$A$2:$A$301,0), Skills!M15+1)</f>
        <v/>
      </c>
      <c r="F1872">
        <f>IF(Skills!N15=TRUE,(Skills!L15/10)*(E1872/1000),Skills!L15/10)+Skills!O15</f>
        <v/>
      </c>
      <c r="G1872">
        <f>Skills!G15*IF(Skills!H15&gt;0,Skills!I15/Skills!H15,1)</f>
        <v/>
      </c>
      <c r="H1872">
        <f>1-(1-Skills!J15/100)^Skills!K15</f>
        <v/>
      </c>
      <c r="I1872" t="inlineStr">
        <is>
          <t>1</t>
        </is>
      </c>
      <c r="J1872" t="inlineStr"/>
      <c r="K1872" t="inlineStr"/>
      <c r="L1872" t="inlineStr"/>
      <c r="M1872" t="inlineStr"/>
      <c r="N1872" t="inlineStr"/>
      <c r="O1872">
        <f>(1-Summary!$B$11)*T1872+Summary!$B$11*V1872</f>
        <v/>
      </c>
      <c r="P1872">
        <f>IF(B1901=0,0,O1872/B1901)</f>
        <v/>
      </c>
      <c r="Q1872" t="n">
        <v>0</v>
      </c>
      <c r="R1872" t="n">
        <v>0</v>
      </c>
      <c r="S1872">
        <f>IFERROR(O1872/N1872,0)</f>
        <v/>
      </c>
      <c r="T1872" t="n">
        <v>0</v>
      </c>
      <c r="V1872" t="n">
        <v>0</v>
      </c>
    </row>
    <row r="1873">
      <c r="A1873">
        <f>Skills!A16</f>
        <v/>
      </c>
      <c r="B1873">
        <f>Skills!B16</f>
        <v/>
      </c>
      <c r="C1873">
        <f>Inputs!$B$3&gt;=117</f>
        <v/>
      </c>
      <c r="D1873">
        <f>IF(Skills!C16=1,60+Inputs!$B$25+Inputs!$B$29,IF(Skills!C16=2,90+Inputs!$B$26+Inputs!$B$29,IF(Skills!C16=3,120+Inputs!$B$27+Inputs!$B$29,MAX(0,(Inputs!$B$3-100)*3)+Inputs!$B$28+Inputs!$B$29)))</f>
        <v/>
      </c>
      <c r="E1873">
        <f>INDEX(FactorTable!$B$2:$Y$301, MATCH(ROUND(MIN(300,MAX(1,D1873)),0), FactorTable!$A$2:$A$301,0), Skills!M16+1)</f>
        <v/>
      </c>
      <c r="F1873">
        <f>IF(Skills!N16=TRUE,(Skills!L16/10)*(E1873/1000),Skills!L16/10)+Skills!O16</f>
        <v/>
      </c>
      <c r="G1873">
        <f>Skills!G16*IF(Skills!H16&gt;0,Skills!I16/Skills!H16,1)</f>
        <v/>
      </c>
      <c r="H1873">
        <f>1-(1-Skills!J16/100)^Skills!K16</f>
        <v/>
      </c>
      <c r="I1873" t="inlineStr">
        <is>
          <t>1</t>
        </is>
      </c>
      <c r="J1873" t="inlineStr"/>
      <c r="K1873" t="inlineStr"/>
      <c r="L1873" t="inlineStr"/>
      <c r="M1873" t="inlineStr"/>
      <c r="N1873" t="inlineStr"/>
      <c r="O1873">
        <f>(1-Summary!$B$11)*T1873+Summary!$B$11*V1873</f>
        <v/>
      </c>
      <c r="P1873">
        <f>IF(B1901=0,0,O1873/B1901)</f>
        <v/>
      </c>
      <c r="Q1873">
        <f>IFERROR(1/(IF(Inputs!$B$38="pvp",15,MAX(0.1,Skills!D16-IF(Skills!E16=TRUE,Inputs!$B$32,0)))*(1-IF(AND(ArtifactsInput!$M$27,Inputs!$B$4="Chapter Hunt"),CHOOSE(ArtifactsInput!$N$27+1,20,24,28,32,36,40),0)/100)),0)</f>
        <v/>
      </c>
      <c r="R1873">
        <f>IF(AND(Inputs!$B$38&lt;&gt;"pvp",Inputs!$B$43&gt;0),IF(Inputs!$B$43&lt;=0,0,(INT(Inputs!$B$43/(IF(Inputs!$B$38="pvp",15,MAX(0.1,Skills!D16-IF(Skills!E16=TRUE,Inputs!$B$32,0)))*(1-IF(AND(ArtifactsInput!$M$27,Inputs!$B$4="Chapter Hunt"),CHOOSE(ArtifactsInput!$N$27+1,20,24,28,32,36,40),0)/100)))+1)),0)</f>
        <v/>
      </c>
      <c r="S1873">
        <f>IFERROR(O1873/N1873,0)</f>
        <v/>
      </c>
      <c r="T1873" t="n">
        <v>0</v>
      </c>
      <c r="V1873" t="n">
        <v>0</v>
      </c>
    </row>
    <row r="1874">
      <c r="A1874">
        <f>Skills!A17</f>
        <v/>
      </c>
      <c r="B1874">
        <f>Skills!B17</f>
        <v/>
      </c>
      <c r="C1874">
        <f>Inputs!$B$3&gt;=115</f>
        <v/>
      </c>
      <c r="D1874">
        <f>IF(Skills!C17=1,60+Inputs!$B$25+Inputs!$B$29,IF(Skills!C17=2,90+Inputs!$B$26+Inputs!$B$29,IF(Skills!C17=3,120+Inputs!$B$27+Inputs!$B$29,MAX(0,(Inputs!$B$3-100)*3)+Inputs!$B$28+Inputs!$B$29)))</f>
        <v/>
      </c>
      <c r="E1874">
        <f>INDEX(FactorTable!$B$2:$Y$301, MATCH(ROUND(MIN(300,MAX(1,D1874)),0), FactorTable!$A$2:$A$301,0), Skills!M17+1)</f>
        <v/>
      </c>
      <c r="F1874">
        <f>IF(Skills!N17=TRUE,(Skills!L17/10)*(E1874/1000),Skills!L17/10)+Skills!O17</f>
        <v/>
      </c>
      <c r="G1874">
        <f>Skills!G17*IF(Skills!H17&gt;0,Skills!I17/Skills!H17,1)</f>
        <v/>
      </c>
      <c r="H1874">
        <f>1-(1-Skills!J17/100)^Skills!K17</f>
        <v/>
      </c>
      <c r="I1874" t="inlineStr">
        <is>
          <t>1</t>
        </is>
      </c>
      <c r="J1874" t="inlineStr"/>
      <c r="K1874" t="inlineStr"/>
      <c r="L1874" t="inlineStr"/>
      <c r="M1874" t="inlineStr"/>
      <c r="N1874" t="inlineStr"/>
      <c r="O1874">
        <f>(1-Summary!$B$11)*T1874+Summary!$B$11*V1874</f>
        <v/>
      </c>
      <c r="P1874">
        <f>IF(B1901=0,0,O1874/B1901)</f>
        <v/>
      </c>
      <c r="Q1874">
        <f>IFERROR(1/(IF(Inputs!$B$38="pvp",15,MAX(0.1,Skills!D17-IF(Skills!E17=TRUE,Inputs!$B$32,0)))*(1-IF(AND(ArtifactsInput!$M$27,Inputs!$B$4="Chapter Hunt"),CHOOSE(ArtifactsInput!$N$27+1,20,24,28,32,36,40),0)/100)),0)</f>
        <v/>
      </c>
      <c r="R1874">
        <f>IF(AND(Inputs!$B$38&lt;&gt;"pvp",Inputs!$B$43&gt;0),IF(Inputs!$B$43&lt;=0,0,(INT(Inputs!$B$43/(IF(Inputs!$B$38="pvp",15,MAX(0.1,Skills!D17-IF(Skills!E17=TRUE,Inputs!$B$32,0)))*(1-IF(AND(ArtifactsInput!$M$27,Inputs!$B$4="Chapter Hunt"),CHOOSE(ArtifactsInput!$N$27+1,20,24,28,32,36,40),0)/100)))+1)),0)</f>
        <v/>
      </c>
      <c r="S1874">
        <f>IFERROR(O1874/N1874,0)</f>
        <v/>
      </c>
      <c r="T1874" t="n">
        <v>0</v>
      </c>
      <c r="V1874" t="n">
        <v>0</v>
      </c>
    </row>
    <row r="1875">
      <c r="A1875">
        <f>Skills!A18</f>
        <v/>
      </c>
      <c r="B1875">
        <f>Skills!B18</f>
        <v/>
      </c>
      <c r="C1875">
        <f>Inputs!$B$3&gt;=66</f>
        <v/>
      </c>
      <c r="D1875">
        <f>IF(Skills!C18=1,60+Inputs!$B$25+Inputs!$B$29,IF(Skills!C18=2,90+Inputs!$B$26+Inputs!$B$29,IF(Skills!C18=3,120+Inputs!$B$27+Inputs!$B$29,MAX(0,(Inputs!$B$3-100)*3)+Inputs!$B$28+Inputs!$B$29)))</f>
        <v/>
      </c>
      <c r="E1875">
        <f>INDEX(FactorTable!$B$2:$Y$301, MATCH(ROUND(MIN(300,MAX(1,D1875)),0), FactorTable!$A$2:$A$301,0), Skills!M18+1)</f>
        <v/>
      </c>
      <c r="F1875">
        <f>IF(Skills!N18=TRUE,(Skills!L18/10)*(E1875/1000),Skills!L18/10)+Skills!O18</f>
        <v/>
      </c>
      <c r="G1875">
        <f>Skills!G18*IF(Skills!H18&gt;0,Skills!I18/Skills!H18,1)</f>
        <v/>
      </c>
      <c r="H1875">
        <f>1-(1-Skills!J18/100)^Skills!K18</f>
        <v/>
      </c>
      <c r="I1875" t="inlineStr">
        <is>
          <t>1</t>
        </is>
      </c>
      <c r="J1875" t="inlineStr"/>
      <c r="K1875" t="inlineStr"/>
      <c r="L1875" t="inlineStr"/>
      <c r="M1875" t="inlineStr"/>
      <c r="N1875" t="inlineStr"/>
      <c r="O1875">
        <f>(1-Summary!$B$11)*T1875+Summary!$B$11*V1875</f>
        <v/>
      </c>
      <c r="P1875">
        <f>IF(B1901=0,0,O1875/B1901)</f>
        <v/>
      </c>
      <c r="Q1875" t="n">
        <v>0</v>
      </c>
      <c r="R1875" t="n">
        <v>0</v>
      </c>
      <c r="S1875">
        <f>IFERROR(O1875/N1875,0)</f>
        <v/>
      </c>
      <c r="T1875" t="n">
        <v>0</v>
      </c>
      <c r="V1875" t="n">
        <v>0</v>
      </c>
    </row>
    <row r="1876">
      <c r="A1876">
        <f>Skills!A19</f>
        <v/>
      </c>
      <c r="B1876">
        <f>Skills!B19</f>
        <v/>
      </c>
      <c r="C1876">
        <f>Inputs!$B$3&gt;=72</f>
        <v/>
      </c>
      <c r="D1876">
        <f>IF(Skills!C19=1,60+Inputs!$B$25+Inputs!$B$29,IF(Skills!C19=2,90+Inputs!$B$26+Inputs!$B$29,IF(Skills!C19=3,120+Inputs!$B$27+Inputs!$B$29,MAX(0,(Inputs!$B$3-100)*3)+Inputs!$B$28+Inputs!$B$29)))</f>
        <v/>
      </c>
      <c r="E1876">
        <f>INDEX(FactorTable!$B$2:$Y$301, MATCH(ROUND(MIN(300,MAX(1,D1876)),0), FactorTable!$A$2:$A$301,0), Skills!M19+1)</f>
        <v/>
      </c>
      <c r="F1876">
        <f>IF(Skills!N19=TRUE,(Skills!L19/10)*(E1876/1000),Skills!L19/10)+Skills!O19</f>
        <v/>
      </c>
      <c r="G1876">
        <f>Skills!G19*IF(Skills!H19&gt;0,Skills!I19/Skills!H19,1)</f>
        <v/>
      </c>
      <c r="H1876">
        <f>1-(1-Skills!J19/100)^Skills!K19</f>
        <v/>
      </c>
      <c r="I1876" t="inlineStr">
        <is>
          <t>1</t>
        </is>
      </c>
      <c r="J1876" t="inlineStr"/>
      <c r="K1876" t="inlineStr"/>
      <c r="L1876" t="inlineStr"/>
      <c r="M1876" t="inlineStr"/>
      <c r="N1876" t="inlineStr"/>
      <c r="O1876">
        <f>(1-Summary!$B$11)*T1876+Summary!$B$11*V1876</f>
        <v/>
      </c>
      <c r="P1876">
        <f>IF(B1901=0,0,O1876/B1901)</f>
        <v/>
      </c>
      <c r="Q1876" t="n">
        <v>0</v>
      </c>
      <c r="R1876" t="n">
        <v>0</v>
      </c>
      <c r="S1876">
        <f>IFERROR(O1876/N1876,0)</f>
        <v/>
      </c>
      <c r="T1876" t="n">
        <v>0</v>
      </c>
      <c r="V1876" t="n">
        <v>0</v>
      </c>
    </row>
    <row r="1877">
      <c r="A1877">
        <f>Skills!A20</f>
        <v/>
      </c>
      <c r="B1877">
        <f>Skills!B20</f>
        <v/>
      </c>
      <c r="C1877">
        <f>TRUE</f>
        <v/>
      </c>
      <c r="D1877">
        <f>IF(Skills!C20=1,60+Inputs!$B$25+Inputs!$B$29,IF(Skills!C20=2,90+Inputs!$B$26+Inputs!$B$29,IF(Skills!C20=3,120+Inputs!$B$27+Inputs!$B$29,MAX(0,(Inputs!$B$3-100)*3)+Inputs!$B$28+Inputs!$B$29)))</f>
        <v/>
      </c>
      <c r="E1877">
        <f>INDEX(FactorTable!$B$2:$Y$301, MATCH(ROUND(MIN(300,MAX(1,D1877)),0), FactorTable!$A$2:$A$301,0), Skills!M20+1)</f>
        <v/>
      </c>
      <c r="F1877">
        <f>IF(Skills!N20=TRUE,(Skills!L20/10)*(E1877/1000),Skills!L20/10)+Skills!O20</f>
        <v/>
      </c>
      <c r="G1877">
        <f>Skills!G20*IF(Skills!H20&gt;0,Skills!I20/Skills!H20,1)</f>
        <v/>
      </c>
      <c r="H1877">
        <f>1-(1-Skills!J20/100)^Skills!K20</f>
        <v/>
      </c>
      <c r="I1877" t="inlineStr">
        <is>
          <t>1</t>
        </is>
      </c>
      <c r="J1877" t="inlineStr"/>
      <c r="K1877" t="inlineStr"/>
      <c r="L1877" t="inlineStr"/>
      <c r="M1877" t="inlineStr"/>
      <c r="N1877" t="inlineStr"/>
      <c r="O1877">
        <f>(1-Summary!$B$11)*T1877+Summary!$B$11*V1877</f>
        <v/>
      </c>
      <c r="P1877">
        <f>IF(B1901=0,0,O1877/B1901)</f>
        <v/>
      </c>
      <c r="Q1877">
        <f>IFERROR(1/(IF(Inputs!$B$38="pvp",15,MAX(0.1,Skills!D20-IF(Skills!E20=TRUE,Inputs!$B$32,0)))*(1-IF(AND(ArtifactsInput!$M$27,Inputs!$B$4="Chapter Hunt"),CHOOSE(ArtifactsInput!$N$27+1,20,24,28,32,36,40),0)/100)),0)</f>
        <v/>
      </c>
      <c r="R1877">
        <f>IF(AND(Inputs!$B$38&lt;&gt;"pvp",Inputs!$B$43&gt;0),IF(Inputs!$B$43&lt;=0,0,(INT(Inputs!$B$43/(IF(Inputs!$B$38="pvp",15,MAX(0.1,Skills!D20-IF(Skills!E20=TRUE,Inputs!$B$32,0)))*(1-IF(AND(ArtifactsInput!$M$27,Inputs!$B$4="Chapter Hunt"),CHOOSE(ArtifactsInput!$N$27+1,20,24,28,32,36,40),0)/100)))+1)),0)</f>
        <v/>
      </c>
      <c r="S1877">
        <f>IFERROR(O1877/N1877,0)</f>
        <v/>
      </c>
      <c r="T1877" t="n">
        <v>0</v>
      </c>
      <c r="V1877" t="n">
        <v>0</v>
      </c>
    </row>
    <row r="1878">
      <c r="A1878">
        <f>Skills!A21</f>
        <v/>
      </c>
      <c r="B1878">
        <f>Skills!B21</f>
        <v/>
      </c>
      <c r="C1878">
        <f>Inputs!$B$3&gt;=15</f>
        <v/>
      </c>
      <c r="D1878">
        <f>IF(Skills!C21=1,60+Inputs!$B$25+Inputs!$B$29,IF(Skills!C21=2,90+Inputs!$B$26+Inputs!$B$29,IF(Skills!C21=3,120+Inputs!$B$27+Inputs!$B$29,MAX(0,(Inputs!$B$3-100)*3)+Inputs!$B$28+Inputs!$B$29)))</f>
        <v/>
      </c>
      <c r="E1878">
        <f>INDEX(FactorTable!$B$2:$Y$301, MATCH(ROUND(MIN(300,MAX(1,D1878)),0), FactorTable!$A$2:$A$301,0), Skills!M21+1)</f>
        <v/>
      </c>
      <c r="F1878">
        <f>IF(Skills!N21=TRUE,(Skills!L21/10)*(E1878/1000),Skills!L21/10)+Skills!O21</f>
        <v/>
      </c>
      <c r="G1878">
        <f>Skills!G21*IF(Skills!H21&gt;0,Skills!I21/Skills!H21,1)</f>
        <v/>
      </c>
      <c r="H1878">
        <f>1-(1-Skills!J21/100)^Skills!K21</f>
        <v/>
      </c>
      <c r="I1878" t="inlineStr">
        <is>
          <t>1</t>
        </is>
      </c>
      <c r="J1878" t="inlineStr"/>
      <c r="K1878" t="inlineStr"/>
      <c r="L1878" t="inlineStr"/>
      <c r="M1878" t="inlineStr"/>
      <c r="N1878" t="inlineStr"/>
      <c r="O1878">
        <f>(1-Summary!$B$11)*T1878+Summary!$B$11*V1878</f>
        <v/>
      </c>
      <c r="P1878">
        <f>IF(B1901=0,0,O1878/B1901)</f>
        <v/>
      </c>
      <c r="Q1878" t="n">
        <v>0</v>
      </c>
      <c r="R1878" t="n">
        <v>0</v>
      </c>
      <c r="S1878">
        <f>IFERROR(O1878/N1878,0)</f>
        <v/>
      </c>
      <c r="T1878" t="n">
        <v>0</v>
      </c>
      <c r="V1878" t="n">
        <v>0</v>
      </c>
    </row>
    <row r="1879">
      <c r="A1879">
        <f>Skills!A22</f>
        <v/>
      </c>
      <c r="B1879">
        <f>Skills!B22</f>
        <v/>
      </c>
      <c r="C1879">
        <f>Inputs!$B$3&gt;=10</f>
        <v/>
      </c>
      <c r="D1879">
        <f>IF(Skills!C22=1,60+Inputs!$B$25+Inputs!$B$29,IF(Skills!C22=2,90+Inputs!$B$26+Inputs!$B$29,IF(Skills!C22=3,120+Inputs!$B$27+Inputs!$B$29,MAX(0,(Inputs!$B$3-100)*3)+Inputs!$B$28+Inputs!$B$29)))</f>
        <v/>
      </c>
      <c r="E1879">
        <f>INDEX(FactorTable!$B$2:$Y$301, MATCH(ROUND(MIN(300,MAX(1,D1879)),0), FactorTable!$A$2:$A$301,0), Skills!M22+1)</f>
        <v/>
      </c>
      <c r="F1879">
        <f>IF(Skills!N22=TRUE,(Skills!L22/10)*(E1879/1000),Skills!L22/10)+Skills!O22</f>
        <v/>
      </c>
      <c r="G1879">
        <f>Skills!G22*IF(Skills!H22&gt;0,Skills!I22/Skills!H22,1)</f>
        <v/>
      </c>
      <c r="H1879">
        <f>1-(1-Skills!J22/100)^Skills!K22</f>
        <v/>
      </c>
      <c r="I1879" t="inlineStr">
        <is>
          <t>1</t>
        </is>
      </c>
      <c r="J1879" t="inlineStr"/>
      <c r="K1879" t="inlineStr"/>
      <c r="L1879" t="inlineStr"/>
      <c r="M1879" t="inlineStr"/>
      <c r="N1879" t="inlineStr"/>
      <c r="O1879">
        <f>(1-Summary!$B$11)*T1879+Summary!$B$11*V1879</f>
        <v/>
      </c>
      <c r="P1879">
        <f>IF(B1901=0,0,O1879/B1901)</f>
        <v/>
      </c>
      <c r="Q1879" t="n">
        <v>0</v>
      </c>
      <c r="R1879" t="n">
        <v>0</v>
      </c>
      <c r="S1879">
        <f>IFERROR(O1879/N1879,0)</f>
        <v/>
      </c>
      <c r="T1879" t="n">
        <v>0</v>
      </c>
      <c r="V1879" t="n">
        <v>0</v>
      </c>
    </row>
    <row r="1880">
      <c r="A1880">
        <f>Skills!A23</f>
        <v/>
      </c>
      <c r="B1880">
        <f>Skills!B23</f>
        <v/>
      </c>
      <c r="C1880">
        <f>Inputs!$B$3&gt;=33</f>
        <v/>
      </c>
      <c r="D1880">
        <f>IF(Skills!C23=1,60+Inputs!$B$25+Inputs!$B$29,IF(Skills!C23=2,90+Inputs!$B$26+Inputs!$B$29,IF(Skills!C23=3,120+Inputs!$B$27+Inputs!$B$29,MAX(0,(Inputs!$B$3-100)*3)+Inputs!$B$28+Inputs!$B$29)))</f>
        <v/>
      </c>
      <c r="E1880">
        <f>INDEX(FactorTable!$B$2:$Y$301, MATCH(ROUND(MIN(300,MAX(1,D1880)),0), FactorTable!$A$2:$A$301,0), Skills!M23+1)</f>
        <v/>
      </c>
      <c r="F1880">
        <f>IF(Skills!N23=TRUE,(Skills!L23/10)*(E1880/1000),Skills!L23/10)+Skills!O23</f>
        <v/>
      </c>
      <c r="G1880">
        <f>Skills!G23*IF(Skills!H23&gt;0,Skills!I23/Skills!H23,1)</f>
        <v/>
      </c>
      <c r="H1880">
        <f>1-(1-Skills!J23/100)^Skills!K23</f>
        <v/>
      </c>
      <c r="I1880" t="inlineStr">
        <is>
          <t>1</t>
        </is>
      </c>
      <c r="J1880" t="inlineStr"/>
      <c r="K1880" t="inlineStr"/>
      <c r="L1880" t="inlineStr"/>
      <c r="M1880" t="inlineStr"/>
      <c r="N1880" t="inlineStr"/>
      <c r="O1880">
        <f>(1-Summary!$B$11)*T1880+Summary!$B$11*V1880</f>
        <v/>
      </c>
      <c r="P1880">
        <f>IF(B1901=0,0,O1880/B1901)</f>
        <v/>
      </c>
      <c r="Q1880" t="n">
        <v>0</v>
      </c>
      <c r="R1880" t="n">
        <v>0</v>
      </c>
      <c r="S1880">
        <f>IFERROR(O1880/N1880,0)</f>
        <v/>
      </c>
      <c r="T1880" t="n">
        <v>0</v>
      </c>
      <c r="V1880" t="n">
        <v>0</v>
      </c>
    </row>
    <row r="1881">
      <c r="A1881">
        <f>Skills!A24</f>
        <v/>
      </c>
      <c r="B1881">
        <f>Skills!B24</f>
        <v/>
      </c>
      <c r="C1881">
        <f>Inputs!$B$3&gt;=38</f>
        <v/>
      </c>
      <c r="D1881">
        <f>IF(Skills!C24=1,60+Inputs!$B$25+Inputs!$B$29,IF(Skills!C24=2,90+Inputs!$B$26+Inputs!$B$29,IF(Skills!C24=3,120+Inputs!$B$27+Inputs!$B$29,MAX(0,(Inputs!$B$3-100)*3)+Inputs!$B$28+Inputs!$B$29)))</f>
        <v/>
      </c>
      <c r="E1881">
        <f>INDEX(FactorTable!$B$2:$Y$301, MATCH(ROUND(MIN(300,MAX(1,D1881)),0), FactorTable!$A$2:$A$301,0), Skills!M24+1)</f>
        <v/>
      </c>
      <c r="F1881">
        <f>IF(Skills!N24=TRUE,(Skills!L24/10)*(E1881/1000),Skills!L24/10)+Skills!O24</f>
        <v/>
      </c>
      <c r="G1881">
        <f>Skills!G24*IF(Skills!H24&gt;0,Skills!I24/Skills!H24,1)</f>
        <v/>
      </c>
      <c r="H1881">
        <f>1-(1-Skills!J24/100)^Skills!K24</f>
        <v/>
      </c>
      <c r="I1881" t="inlineStr">
        <is>
          <t>1</t>
        </is>
      </c>
      <c r="J1881" t="inlineStr"/>
      <c r="K1881" t="inlineStr"/>
      <c r="L1881" t="inlineStr"/>
      <c r="M1881" t="inlineStr"/>
      <c r="N1881" t="inlineStr"/>
      <c r="O1881">
        <f>(1-Summary!$B$11)*T1881+Summary!$B$11*V1881</f>
        <v/>
      </c>
      <c r="P1881">
        <f>IF(B1901=0,0,O1881/B1901)</f>
        <v/>
      </c>
      <c r="Q1881" t="n">
        <v>0</v>
      </c>
      <c r="R1881" t="n">
        <v>0</v>
      </c>
      <c r="S1881">
        <f>IFERROR(O1881/N1881,0)</f>
        <v/>
      </c>
      <c r="T1881" t="n">
        <v>0</v>
      </c>
      <c r="V1881" t="n">
        <v>0</v>
      </c>
    </row>
    <row r="1882">
      <c r="A1882">
        <f>Skills!A25</f>
        <v/>
      </c>
      <c r="B1882">
        <f>Skills!B25</f>
        <v/>
      </c>
      <c r="C1882">
        <f>Inputs!$B$3&gt;=43</f>
        <v/>
      </c>
      <c r="D1882">
        <f>IF(Skills!C25=1,60+Inputs!$B$25+Inputs!$B$29,IF(Skills!C25=2,90+Inputs!$B$26+Inputs!$B$29,IF(Skills!C25=3,120+Inputs!$B$27+Inputs!$B$29,MAX(0,(Inputs!$B$3-100)*3)+Inputs!$B$28+Inputs!$B$29)))</f>
        <v/>
      </c>
      <c r="E1882">
        <f>INDEX(FactorTable!$B$2:$Y$301, MATCH(ROUND(MIN(300,MAX(1,D1882)),0), FactorTable!$A$2:$A$301,0), Skills!M25+1)</f>
        <v/>
      </c>
      <c r="F1882">
        <f>IF(Skills!N25=TRUE,(Skills!L25/10)*(E1882/1000),Skills!L25/10)+Skills!O25</f>
        <v/>
      </c>
      <c r="G1882">
        <f>Skills!G25*IF(Skills!H25&gt;0,Skills!I25/Skills!H25,1)</f>
        <v/>
      </c>
      <c r="H1882">
        <f>1-(1-Skills!J25/100)^Skills!K25</f>
        <v/>
      </c>
      <c r="I1882" t="inlineStr">
        <is>
          <t>1</t>
        </is>
      </c>
      <c r="J1882" t="inlineStr"/>
      <c r="K1882" t="inlineStr"/>
      <c r="L1882" t="inlineStr"/>
      <c r="M1882" t="inlineStr"/>
      <c r="N1882" t="inlineStr"/>
      <c r="O1882">
        <f>(1-Summary!$B$11)*T1882+Summary!$B$11*V1882</f>
        <v/>
      </c>
      <c r="P1882">
        <f>IF(B1901=0,0,O1882/B1901)</f>
        <v/>
      </c>
      <c r="Q1882" t="n">
        <v>0</v>
      </c>
      <c r="R1882" t="n">
        <v>0</v>
      </c>
      <c r="S1882">
        <f>IFERROR(O1882/N1882,0)</f>
        <v/>
      </c>
      <c r="T1882" t="n">
        <v>0</v>
      </c>
      <c r="V1882" t="n">
        <v>0</v>
      </c>
    </row>
    <row r="1883">
      <c r="A1883">
        <f>Skills!A26</f>
        <v/>
      </c>
      <c r="B1883">
        <f>Skills!B26</f>
        <v/>
      </c>
      <c r="C1883">
        <f>Inputs!$B$3&gt;=75</f>
        <v/>
      </c>
      <c r="D1883">
        <f>IF(Skills!C26=1,60+Inputs!$B$25+Inputs!$B$29,IF(Skills!C26=2,90+Inputs!$B$26+Inputs!$B$29,IF(Skills!C26=3,120+Inputs!$B$27+Inputs!$B$29,MAX(0,(Inputs!$B$3-100)*3)+Inputs!$B$28+Inputs!$B$29)))</f>
        <v/>
      </c>
      <c r="E1883">
        <f>INDEX(FactorTable!$B$2:$Y$301, MATCH(ROUND(MIN(300,MAX(1,D1883)),0), FactorTable!$A$2:$A$301,0), Skills!M26+1)</f>
        <v/>
      </c>
      <c r="F1883">
        <f>IF(Skills!N26=TRUE,(Skills!L26/10)*(E1883/1000),Skills!L26/10)+Skills!O26</f>
        <v/>
      </c>
      <c r="G1883">
        <f>Skills!G26*IF(Skills!H26&gt;0,Skills!I26/Skills!H26,1)</f>
        <v/>
      </c>
      <c r="H1883">
        <f>1-(1-Skills!J26/100)^Skills!K26</f>
        <v/>
      </c>
      <c r="I1883" t="inlineStr">
        <is>
          <t>1</t>
        </is>
      </c>
      <c r="J1883" t="inlineStr"/>
      <c r="K1883" t="inlineStr"/>
      <c r="L1883" t="inlineStr"/>
      <c r="M1883" t="inlineStr"/>
      <c r="N1883" t="inlineStr"/>
      <c r="O1883">
        <f>(1-Summary!$B$11)*T1883+Summary!$B$11*V1883</f>
        <v/>
      </c>
      <c r="P1883">
        <f>IF(B1901=0,0,O1883/B1901)</f>
        <v/>
      </c>
      <c r="Q1883" t="n">
        <v>0</v>
      </c>
      <c r="R1883" t="n">
        <v>0</v>
      </c>
      <c r="S1883">
        <f>IFERROR(O1883/N1883,0)</f>
        <v/>
      </c>
      <c r="T1883" t="n">
        <v>0</v>
      </c>
      <c r="V1883" t="n">
        <v>0</v>
      </c>
    </row>
    <row r="1884">
      <c r="A1884">
        <f>Skills!A27</f>
        <v/>
      </c>
      <c r="B1884">
        <f>Skills!B27</f>
        <v/>
      </c>
      <c r="C1884">
        <f>Inputs!$B$3&gt;=125</f>
        <v/>
      </c>
      <c r="D1884">
        <f>IF(Skills!C27=1,60+Inputs!$B$25+Inputs!$B$29,IF(Skills!C27=2,90+Inputs!$B$26+Inputs!$B$29,IF(Skills!C27=3,120+Inputs!$B$27+Inputs!$B$29,MAX(0,(Inputs!$B$3-100)*3)+Inputs!$B$28+Inputs!$B$29)))</f>
        <v/>
      </c>
      <c r="E1884">
        <f>INDEX(FactorTable!$B$2:$Y$301, MATCH(ROUND(MIN(300,MAX(1,D1884)),0), FactorTable!$A$2:$A$301,0), Skills!M27+1)</f>
        <v/>
      </c>
      <c r="F1884">
        <f>IF(Skills!N27=TRUE,(Skills!L27/10)*(E1884/1000),Skills!L27/10)+Skills!O27</f>
        <v/>
      </c>
      <c r="G1884">
        <f>Skills!G27*IF(Skills!H27&gt;0,Skills!I27/Skills!H27,1)</f>
        <v/>
      </c>
      <c r="H1884">
        <f>1-(1-Skills!J27/100)^Skills!K27</f>
        <v/>
      </c>
      <c r="I1884" t="inlineStr">
        <is>
          <t>1</t>
        </is>
      </c>
      <c r="J1884" t="inlineStr"/>
      <c r="K1884" t="inlineStr"/>
      <c r="L1884" t="inlineStr"/>
      <c r="M1884" t="inlineStr"/>
      <c r="N1884" t="inlineStr"/>
      <c r="O1884">
        <f>(1-Summary!$B$11)*T1884+Summary!$B$11*V1884</f>
        <v/>
      </c>
      <c r="P1884">
        <f>IF(B1901=0,0,O1884/B1901)</f>
        <v/>
      </c>
      <c r="Q1884" t="n">
        <v>0</v>
      </c>
      <c r="R1884" t="n">
        <v>0</v>
      </c>
      <c r="S1884">
        <f>IFERROR(O1884/N1884,0)</f>
        <v/>
      </c>
      <c r="T1884" t="n">
        <v>0</v>
      </c>
      <c r="V1884" t="n">
        <v>0</v>
      </c>
    </row>
    <row r="1885">
      <c r="A1885">
        <f>Skills!A28</f>
        <v/>
      </c>
      <c r="B1885">
        <f>Skills!B28</f>
        <v/>
      </c>
      <c r="C1885">
        <f>Inputs!$B$3&gt;=125</f>
        <v/>
      </c>
      <c r="D1885">
        <f>IF(Skills!C28=1,60+Inputs!$B$25+Inputs!$B$29,IF(Skills!C28=2,90+Inputs!$B$26+Inputs!$B$29,IF(Skills!C28=3,120+Inputs!$B$27+Inputs!$B$29,MAX(0,(Inputs!$B$3-100)*3)+Inputs!$B$28+Inputs!$B$29)))</f>
        <v/>
      </c>
      <c r="E1885">
        <f>INDEX(FactorTable!$B$2:$Y$301, MATCH(ROUND(MIN(300,MAX(1,D1885)),0), FactorTable!$A$2:$A$301,0), Skills!M28+1)</f>
        <v/>
      </c>
      <c r="F1885">
        <f>IF(Skills!N28=TRUE,(Skills!L28/10)*(E1885/1000),Skills!L28/10)+Skills!O28</f>
        <v/>
      </c>
      <c r="G1885">
        <f>Skills!G28*IF(Skills!H28&gt;0,Skills!I28/Skills!H28,1)</f>
        <v/>
      </c>
      <c r="H1885">
        <f>1-(1-Skills!J28/100)^Skills!K28</f>
        <v/>
      </c>
      <c r="I1885" t="inlineStr">
        <is>
          <t>1</t>
        </is>
      </c>
      <c r="J1885" t="inlineStr"/>
      <c r="K1885" t="inlineStr"/>
      <c r="L1885" t="inlineStr"/>
      <c r="M1885" t="inlineStr"/>
      <c r="N1885" t="inlineStr"/>
      <c r="O1885">
        <f>(1-Summary!$B$11)*T1885+Summary!$B$11*V1885</f>
        <v/>
      </c>
      <c r="P1885">
        <f>IF(B1901=0,0,O1885/B1901)</f>
        <v/>
      </c>
      <c r="Q1885" t="n">
        <v>0</v>
      </c>
      <c r="R1885" t="n">
        <v>0</v>
      </c>
      <c r="S1885">
        <f>IFERROR(O1885/N1885,0)</f>
        <v/>
      </c>
      <c r="T1885" t="n">
        <v>0</v>
      </c>
      <c r="V1885" t="n">
        <v>0</v>
      </c>
    </row>
    <row r="1886">
      <c r="A1886">
        <f>Skills!A29</f>
        <v/>
      </c>
      <c r="B1886">
        <f>Skills!B29</f>
        <v/>
      </c>
      <c r="C1886">
        <f>Inputs!$B$3&gt;=120</f>
        <v/>
      </c>
      <c r="D1886">
        <f>IF(Skills!C29=1,60+Inputs!$B$25+Inputs!$B$29,IF(Skills!C29=2,90+Inputs!$B$26+Inputs!$B$29,IF(Skills!C29=3,120+Inputs!$B$27+Inputs!$B$29,MAX(0,(Inputs!$B$3-100)*3)+Inputs!$B$28+Inputs!$B$29)))</f>
        <v/>
      </c>
      <c r="E1886">
        <f>INDEX(FactorTable!$B$2:$Y$301, MATCH(ROUND(MIN(300,MAX(1,D1886)),0), FactorTable!$A$2:$A$301,0), Skills!M29+1)</f>
        <v/>
      </c>
      <c r="F1886">
        <f>IF(Skills!N29=TRUE,(Skills!L29/10)*(E1886/1000),Skills!L29/10)+Skills!O29</f>
        <v/>
      </c>
      <c r="G1886">
        <f>Skills!G29*IF(Skills!H29&gt;0,Skills!I29/Skills!H29,1)</f>
        <v/>
      </c>
      <c r="H1886">
        <f>1-(1-Skills!J29/100)^Skills!K29</f>
        <v/>
      </c>
      <c r="I1886" t="inlineStr">
        <is>
          <t>1</t>
        </is>
      </c>
      <c r="J1886" t="inlineStr"/>
      <c r="K1886" t="inlineStr"/>
      <c r="L1886" t="inlineStr"/>
      <c r="M1886" t="inlineStr"/>
      <c r="N1886" t="inlineStr"/>
      <c r="O1886">
        <f>(1-Summary!$B$11)*T1886+Summary!$B$11*V1886</f>
        <v/>
      </c>
      <c r="P1886">
        <f>IF(B1901=0,0,O1886/B1901)</f>
        <v/>
      </c>
      <c r="Q1886" t="n">
        <v>0</v>
      </c>
      <c r="R1886" t="n">
        <v>0</v>
      </c>
      <c r="S1886">
        <f>IFERROR(O1886/N1886,0)</f>
        <v/>
      </c>
      <c r="T1886" t="n">
        <v>0</v>
      </c>
      <c r="V1886" t="n">
        <v>0</v>
      </c>
    </row>
    <row r="1887">
      <c r="A1887">
        <f>Skills!A30</f>
        <v/>
      </c>
      <c r="B1887">
        <f>Skills!B30</f>
        <v/>
      </c>
      <c r="C1887">
        <f>Inputs!$B$3&gt;=120</f>
        <v/>
      </c>
      <c r="D1887">
        <f>IF(Skills!C30=1,60+Inputs!$B$25+Inputs!$B$29,IF(Skills!C30=2,90+Inputs!$B$26+Inputs!$B$29,IF(Skills!C30=3,120+Inputs!$B$27+Inputs!$B$29,MAX(0,(Inputs!$B$3-100)*3)+Inputs!$B$28+Inputs!$B$29)))</f>
        <v/>
      </c>
      <c r="E1887">
        <f>INDEX(FactorTable!$B$2:$Y$301, MATCH(ROUND(MIN(300,MAX(1,D1887)),0), FactorTable!$A$2:$A$301,0), Skills!M30+1)</f>
        <v/>
      </c>
      <c r="F1887">
        <f>IF(Skills!N30=TRUE,(Skills!L30/10)*(E1887/1000),Skills!L30/10)+Skills!O30</f>
        <v/>
      </c>
      <c r="G1887">
        <f>Skills!G30*IF(Skills!H30&gt;0,Skills!I30/Skills!H30,1)</f>
        <v/>
      </c>
      <c r="H1887">
        <f>1-(1-Skills!J30/100)^Skills!K30</f>
        <v/>
      </c>
      <c r="I1887" t="inlineStr">
        <is>
          <t>1</t>
        </is>
      </c>
      <c r="J1887" t="inlineStr"/>
      <c r="K1887" t="inlineStr"/>
      <c r="L1887" t="inlineStr"/>
      <c r="M1887" t="inlineStr"/>
      <c r="N1887" t="inlineStr"/>
      <c r="O1887">
        <f>(1-Summary!$B$11)*T1887+Summary!$B$11*V1887</f>
        <v/>
      </c>
      <c r="P1887">
        <f>IF(B1901=0,0,O1887/B1901)</f>
        <v/>
      </c>
      <c r="Q1887" t="n">
        <v>0</v>
      </c>
      <c r="R1887" t="n">
        <v>0</v>
      </c>
      <c r="S1887">
        <f>IFERROR(O1887/N1887,0)</f>
        <v/>
      </c>
      <c r="T1887" t="n">
        <v>0</v>
      </c>
      <c r="V1887" t="n">
        <v>0</v>
      </c>
    </row>
    <row r="1888">
      <c r="A1888">
        <f>Skills!A31</f>
        <v/>
      </c>
      <c r="B1888">
        <f>Skills!B31</f>
        <v/>
      </c>
      <c r="C1888">
        <f>Inputs!$B$3&gt;=45</f>
        <v/>
      </c>
      <c r="D1888">
        <f>IF(Skills!C31=1,60+Inputs!$B$25+Inputs!$B$29,IF(Skills!C31=2,90+Inputs!$B$26+Inputs!$B$29,IF(Skills!C31=3,120+Inputs!$B$27+Inputs!$B$29,MAX(0,(Inputs!$B$3-100)*3)+Inputs!$B$28+Inputs!$B$29)))</f>
        <v/>
      </c>
      <c r="E1888">
        <f>INDEX(FactorTable!$B$2:$Y$301, MATCH(ROUND(MIN(300,MAX(1,D1888)),0), FactorTable!$A$2:$A$301,0), Skills!M31+1)</f>
        <v/>
      </c>
      <c r="F1888">
        <f>IF(Skills!N31=TRUE,(Skills!L31/10)*(E1888/1000),Skills!L31/10)+Skills!O31</f>
        <v/>
      </c>
      <c r="G1888">
        <f>Skills!G31*IF(Skills!H31&gt;0,Skills!I31/Skills!H31,1)</f>
        <v/>
      </c>
      <c r="H1888">
        <f>1-(1-Skills!J31/100)^Skills!K31</f>
        <v/>
      </c>
      <c r="I1888" t="inlineStr">
        <is>
          <t>1</t>
        </is>
      </c>
      <c r="J1888" t="inlineStr"/>
      <c r="K1888" t="inlineStr"/>
      <c r="L1888" t="inlineStr"/>
      <c r="M1888" t="inlineStr"/>
      <c r="N1888" t="inlineStr"/>
      <c r="O1888">
        <f>(1-Summary!$B$11)*T1888+Summary!$B$11*V1888</f>
        <v/>
      </c>
      <c r="P1888">
        <f>IF(B1901=0,0,O1888/B1901)</f>
        <v/>
      </c>
      <c r="Q1888" t="n">
        <v>0</v>
      </c>
      <c r="R1888" t="n">
        <v>0</v>
      </c>
      <c r="S1888">
        <f>IFERROR(O1888/N1888,0)</f>
        <v/>
      </c>
      <c r="T1888" t="n">
        <v>0</v>
      </c>
      <c r="V1888" t="n">
        <v>0</v>
      </c>
    </row>
    <row r="1890">
      <c r="A1890" t="inlineStr">
        <is>
          <t>Attack% Bucket Multiplier</t>
        </is>
      </c>
      <c r="B1890">
        <f>(1+(((C1871=TRUE)*F1871)+((C1872=TRUE)*IF(Inputs!$B$38="pvp",F1872,(1-Summary!$B$11)*(F1872)+Summary!$B$11*(0)))+((C1873=TRUE)*F1873*IF(AND(Inputs!$B$38&lt;&gt;"pvp",Inputs!$B$43&gt;0),(((R1873-1)*(Skills!T16*(1+Inputs!$B$34/100))+MIN((Skills!T16*(1+Inputs!$B$34/100)),MAX(0,Inputs!$B$43-((R1873-1)*Skills!D16))))/Inputs!$B$43),IF(Inputs!$B$38="pvp",MIN((Skills!T16*(1+Inputs!$B$34/100)),15)/15,(Skills!T16*(1+Inputs!$B$34/100))/Skills!D16)))+((C1888=TRUE)*(F1888-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91">
      <c r="A1891" t="inlineStr">
        <is>
          <t>Global Crit Rate Bonus %</t>
        </is>
      </c>
      <c r="B1891">
        <f>(C1874=TRUE)*20*IF(AND(Inputs!$B$38&lt;&gt;"pvp",Inputs!$B$43&gt;0),(((R1874-1)*(Skills!T17*(1+Inputs!$B$34/100))+MIN((Skills!T17*(1+Inputs!$B$34/100)),MAX(0,Inputs!$B$43-((R1874-1)*Skills!D17))))/Inputs!$B$43),IF(Inputs!$B$38="pvp",MIN((Skills!T17*(1+Inputs!$B$34/100)),15)/15,(Skills!T17*(1+Inputs!$B$34/100))/Skills!D17))</f>
        <v/>
      </c>
    </row>
    <row r="1892">
      <c r="A1892" t="inlineStr">
        <is>
          <t>Attack Speed Buff Bonus %</t>
        </is>
      </c>
      <c r="B1892">
        <f>((C1877=TRUE)*F1877*IF(AND(Inputs!$B$38&lt;&gt;"pvp",Inputs!$B$43&gt;0),(((R1877-1)*(Skills!T20*(1+Inputs!$B$34/100))+MIN((Skills!T20*(1+Inputs!$B$34/100)),MAX(0,Inputs!$B$43-((R1877-1)*Skills!D20))))/Inputs!$B$43),IF(Inputs!$B$38="pvp",MIN((Skills!T20*(1+Inputs!$B$34/100)),15)/15,(Skills!T20*(1+Inputs!$B$34/100))/Skills!D20)))</f>
        <v/>
      </c>
    </row>
    <row r="1893">
      <c r="A1893" t="inlineStr">
        <is>
          <t>Actions Per Second</t>
        </is>
      </c>
      <c r="B1893">
        <f>1+MIN(150,150*(1-(1-(Inputs!$B$11+((C1879=TRUE)*(F1879-Calc!F22))+((C1880=TRUE)*(F1880-Calc!F23)))/150)*(1-B1892/150)))/100</f>
        <v/>
      </c>
    </row>
    <row r="1894">
      <c r="A1894" t="inlineStr">
        <is>
          <t>Skill + Buff Cast Rate</t>
        </is>
      </c>
      <c r="B1894">
        <f>IF(AND(Inputs!$B$38&lt;&gt;"pvp",Inputs!$B$43&gt;0),SUMPRODUCT((Skills!E2:E31=TRUE)*(C1859:C1888=TRUE)*R1859:R1888*Skills!F2:F31)/Inputs!$B$43,SUMPRODUCT((Skills!E2:E31=TRUE)*(C1859:C1888=TRUE)*Q1859:Q1888*Skills!F2:F31))</f>
        <v/>
      </c>
    </row>
    <row r="1895">
      <c r="A1895" t="inlineStr">
        <is>
          <t>Arrow Stream Casts Per Second</t>
        </is>
      </c>
      <c r="B1895">
        <f>MAX(0,B1893-B1894)</f>
        <v/>
      </c>
    </row>
    <row r="1896">
      <c r="A1896" t="inlineStr">
        <is>
          <t>Global Critical Damage Bonus % (Sharp Eyes + Concentration)</t>
        </is>
      </c>
      <c r="B1896">
        <f>(C1874=TRUE)*F1874*IF(AND(Inputs!$B$38&lt;&gt;"pvp",Inputs!$B$43&gt;0),(((R1874-1)*(Skills!T17*(1+Inputs!$B$34/100))+MIN((Skills!T17*(1+Inputs!$B$34/100)),MAX(0,Inputs!$B$43-((R1874-1)*Skills!D17))))/Inputs!$B$43),IF(Inputs!$B$38="pvp",MIN((Skills!T17*(1+Inputs!$B$34/100)),15)/15,(Skills!T17*(1+Inputs!$B$34/100))/Skills!D17))+(C1875=TRUE)*30</f>
        <v/>
      </c>
    </row>
    <row r="1897">
      <c r="A1897" t="inlineStr">
        <is>
          <t>Global Final Damage Bonus % (Mortal Blow)</t>
        </is>
      </c>
      <c r="B1897">
        <f>(C1876=TRUE)*F1876</f>
        <v/>
      </c>
    </row>
    <row r="1898">
      <c r="A1898" t="inlineStr">
        <is>
          <t>Buff-Casting Startup Delay (s, fixed-duration only)</t>
        </is>
      </c>
      <c r="B1898">
        <f>IF(AND(Inputs!$B$38&lt;&gt;"pvp",Inputs!$B$43&gt;0),SUMPRODUCT((Skills!T2:T31&gt;0)*(Skills!E2:E31=TRUE)*(C1859:C1888=TRUE))/B1893,0)</f>
        <v/>
      </c>
    </row>
    <row r="1899">
      <c r="A1899" t="inlineStr">
        <is>
          <t>Boss-Only Total DPS (this block's swept value)</t>
        </is>
      </c>
      <c r="B1899">
        <f>SUM(T1859:T1888)</f>
        <v/>
      </c>
    </row>
    <row r="1900">
      <c r="A1900" t="inlineStr">
        <is>
          <t>Normal-Only Total DPS (this block's swept value)</t>
        </is>
      </c>
      <c r="B1900">
        <f>SUM(V1859:V1888)</f>
        <v/>
      </c>
    </row>
    <row r="1901">
      <c r="A1901" s="6" t="inlineStr">
        <is>
          <t>TOTAL DPS</t>
        </is>
      </c>
      <c r="B1901" s="6">
        <f>SUM(O1859:O1888)</f>
        <v/>
      </c>
    </row>
    <row r="1904">
      <c r="A1904" s="6" t="inlineStr">
        <is>
          <t>Stat: Chalice (Equip)</t>
        </is>
      </c>
    </row>
    <row r="1905">
      <c r="A1905" s="5" t="inlineStr">
        <is>
          <t>Key</t>
        </is>
      </c>
      <c r="B1905" s="5" t="inlineStr">
        <is>
          <t>Name</t>
        </is>
      </c>
      <c r="C1905" s="5" t="inlineStr">
        <is>
          <t>Unlocked</t>
        </is>
      </c>
      <c r="D1905" s="5" t="inlineStr">
        <is>
          <t>InputLevel</t>
        </is>
      </c>
      <c r="E1905" s="5" t="inlineStr">
        <is>
          <t>Factor</t>
        </is>
      </c>
      <c r="F1905" s="5" t="inlineStr">
        <is>
          <t>CoefficientPercent</t>
        </is>
      </c>
      <c r="G1905" s="5" t="inlineStr">
        <is>
          <t>EffectiveHits</t>
        </is>
      </c>
      <c r="H1905" s="5" t="inlineStr">
        <is>
          <t>ProcProbability</t>
        </is>
      </c>
      <c r="I1905" s="5" t="inlineStr">
        <is>
          <t>MapleHeroMultiplier</t>
        </is>
      </c>
      <c r="J1905" s="5" t="inlineStr">
        <is>
          <t>BaseDamage</t>
        </is>
      </c>
      <c r="K1905" s="5" t="inlineStr">
        <is>
          <t>BaseHitDamage</t>
        </is>
      </c>
      <c r="L1905" s="5" t="inlineStr">
        <is>
          <t>NonCritAvg</t>
        </is>
      </c>
      <c r="M1905" s="5" t="inlineStr">
        <is>
          <t>CritAvg</t>
        </is>
      </c>
      <c r="N1905" s="5" t="inlineStr">
        <is>
          <t>ExpectedDamage(perHit)</t>
        </is>
      </c>
      <c r="O1905" s="5" t="inlineStr">
        <is>
          <t>DPS</t>
        </is>
      </c>
      <c r="P1905" s="5" t="inlineStr">
        <is>
          <t>% of Total</t>
        </is>
      </c>
      <c r="Q1905" s="5" t="inlineStr">
        <is>
          <t>InvCooldown</t>
        </is>
      </c>
      <c r="R1905" s="5" t="inlineStr">
        <is>
          <t>CastsInFight</t>
        </is>
      </c>
      <c r="S1905" s="5" t="inlineStr">
        <is>
          <t>HitRate(perSec)</t>
        </is>
      </c>
      <c r="U1905" t="inlineStr">
        <is>
          <t>helpers</t>
        </is>
      </c>
    </row>
    <row r="1906">
      <c r="A1906">
        <f>Skills!A2</f>
        <v/>
      </c>
      <c r="B1906">
        <f>Skills!B2</f>
        <v/>
      </c>
      <c r="C1906">
        <f>Inputs!$B$3&gt;=100</f>
        <v/>
      </c>
      <c r="D1906" t="inlineStr"/>
      <c r="E1906" t="inlineStr"/>
      <c r="F1906">
        <f>U1908+Skills!O2</f>
        <v/>
      </c>
      <c r="G1906">
        <f>Skills!G2*IF(Skills!H2&gt;0,Skills!I2/Skills!H2,1)</f>
        <v/>
      </c>
      <c r="H1906">
        <f>1-(1-Skills!J2/100)^Skills!K2</f>
        <v/>
      </c>
      <c r="I1906" t="inlineStr">
        <is>
          <t>1</t>
        </is>
      </c>
      <c r="J1906">
        <f>((Inputs!$B$6*(1+Inputs!$B$7/100))+(((Inputs!$B$12*(1+Inputs!$B$13/100))-(Inputs!$B$12*(1+Inputs!$B$13/100)))+0.25*(Inputs!$B$14-Inputs!$B$14))*(1+Inputs!$B$7/100))*(F1906/100)</f>
        <v/>
      </c>
      <c r="K1906">
        <f>J1906*(1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1906)</f>
        <v/>
      </c>
      <c r="L1906">
        <f>K1906*(MIN(Inputs!$B$22+((C1929=TRUE)*(F1929-Calc!F25)),(Inputs!$B$23+((C1934=TRUE)*(F1934-Calc!F30))+(IF(ArtifactsInput!$M$15,CHOOSE(ArtifactsInput!$N$15+1,25,30,35,40,45,50)/100*(Inputs!$B$11-Inputs!$B$11),0))))/100+(Inputs!$B$23+((C1934=TRUE)*(F1934-Calc!F30))+(IF(ArtifactsInput!$M$15,CHOOSE(ArtifactsInput!$N$15+1,25,30,35,40,45,50)/100*(Inputs!$B$11-Inputs!$B$11),0)))/100)/2</f>
        <v/>
      </c>
      <c r="M1906">
        <f>L1906*(1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06">
        <f>L1906*(1-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1906*(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06">
        <f>(1-Summary!$B$11)*T1906+Summary!$B$11*V1906</f>
        <v/>
      </c>
      <c r="P1906">
        <f>IF(B1948=0,0,O1906/B1948)</f>
        <v/>
      </c>
      <c r="Q1906" t="n">
        <v>0</v>
      </c>
      <c r="R1906" t="n">
        <v>0</v>
      </c>
      <c r="S1906">
        <f>IFERROR(O1906/N1906,0)</f>
        <v/>
      </c>
      <c r="T1906">
        <f>IF(C1906,(Skills!G2*N1906*B1942)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1906*(1-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1906*(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1906*(1-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1906*(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06">
        <f>MAX(0,(Inputs!$B$3-100)*3)+Inputs!$B$28+Inputs!$B$29</f>
        <v/>
      </c>
      <c r="V1906">
        <f>IF(C1906,(Skills!G2*N1906*B1942)*IF(Inputs!$B$38="pvp",1,(1+(Inputs!$B$21+Skills!Q2+(IF(ArtifactsInput!$M$33,CHOOSE(ArtifactsInput!$N$33+1,30,36,42,48,54,60),0))+(IF(AND(ArtifactsInput!$M$35,Inputs!$B$4&lt;&gt;"Chapter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07">
      <c r="A1907">
        <f>Skills!A3</f>
        <v/>
      </c>
      <c r="B1907">
        <f>Skills!B3</f>
        <v/>
      </c>
      <c r="C1907">
        <f>Inputs!$B$3&gt;=50</f>
        <v/>
      </c>
      <c r="D1907">
        <f>IF(Skills!C3=1,60+Inputs!$B$25+Inputs!$B$29,IF(Skills!C3=2,90+Inputs!$B$26+Inputs!$B$29,IF(Skills!C3=3,120+Inputs!$B$27+Inputs!$B$29,MAX(0,(Inputs!$B$3-100)*3)+Inputs!$B$28+Inputs!$B$29)))</f>
        <v/>
      </c>
      <c r="E1907">
        <f>INDEX(FactorTable!$B$2:$Y$301, MATCH(ROUND(MIN(300,MAX(1,D1907)),0), FactorTable!$A$2:$A$301,0), Skills!M3+1)</f>
        <v/>
      </c>
      <c r="F1907">
        <f>IF(Skills!N3=TRUE,(Skills!L3/10)*(E1907/1000),Skills!L3/10)+Skills!O3</f>
        <v/>
      </c>
      <c r="G1907">
        <f>Skills!G3*IF(Skills!H3&gt;0,Skills!I3/Skills!H3,1)</f>
        <v/>
      </c>
      <c r="H1907">
        <f>1-(1-Skills!J3/100)^Skills!K3</f>
        <v/>
      </c>
      <c r="I1907" t="inlineStr">
        <is>
          <t>1</t>
        </is>
      </c>
      <c r="J1907">
        <f>((Inputs!$B$6*(1+Inputs!$B$7/100))+(((Inputs!$B$12*(1+Inputs!$B$13/100))-(Inputs!$B$12*(1+Inputs!$B$13/100)))+0.25*(Inputs!$B$14-Inputs!$B$14))*(1+Inputs!$B$7/100))*(F1907/100)</f>
        <v/>
      </c>
      <c r="K1907">
        <f>J1907*(1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1908=TRUE,F1908,0)/100)*(1+(IF(Skills!A3="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1907)</f>
        <v/>
      </c>
      <c r="L1907">
        <f>K1907*(MIN(Inputs!$B$22+((C1929=TRUE)*(F1929-Calc!F25)),(Inputs!$B$23+((C1934=TRUE)*(F1934-Calc!F30))+(IF(ArtifactsInput!$M$15,CHOOSE(ArtifactsInput!$N$15+1,25,30,35,40,45,50)/100*(Inputs!$B$11-Inputs!$B$11),0))))/100+(Inputs!$B$23+((C1934=TRUE)*(F1934-Calc!F30))+(IF(ArtifactsInput!$M$15,CHOOSE(ArtifactsInput!$N$15+1,25,30,35,40,45,50)/100*(Inputs!$B$11-Inputs!$B$11),0)))/100)/2</f>
        <v/>
      </c>
      <c r="M1907">
        <f>L1907*(1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07">
        <f>L1907*(1-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1907*(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07">
        <f>(1-Summary!$B$11)*T1907+Summary!$B$11*V1907</f>
        <v/>
      </c>
      <c r="P1907">
        <f>IF(B1948=0,0,O1907/B1948)</f>
        <v/>
      </c>
      <c r="Q1907">
        <f>IFERROR(1/(IF(Inputs!$B$38="pvp",15,MAX(0.1,Skills!D3-IF(Skills!E3=TRUE,Inputs!$B$32,0)))*(1-IF(AND(ArtifactsInput!$M$27,Inputs!$B$4="Chapter Hunt"),CHOOSE(ArtifactsInput!$N$27+1,20,24,28,32,36,40),0)/100)),0)</f>
        <v/>
      </c>
      <c r="R1907">
        <f>IF(AND(Inputs!$B$38&lt;&gt;"pvp",Inputs!$B$43&gt;0),IF(MAX(0,Inputs!$B$43-B1945)&lt;=0,0,(INT(MAX(0,Inputs!$B$43-B1945)/(IF(Inputs!$B$38="pvp",15,MAX(0.1,Skills!D3-IF(Skills!E3=TRUE,Inputs!$B$32,0)))*(1-IF(AND(ArtifactsInput!$M$27,Inputs!$B$4="Chapter Hunt"),CHOOSE(ArtifactsInput!$N$27+1,20,24,28,32,36,40),0)/100)))+1)),0)</f>
        <v/>
      </c>
      <c r="S1907">
        <f>IFERROR(O1907/N1907,0)</f>
        <v/>
      </c>
      <c r="T1907">
        <f>IF(C1907,(H1907*N1907*IF(AND(Inputs!$B$38&lt;&gt;"pvp",Inputs!$B$43&gt;0),((Skills!G3*((R1907-1)*IF(Skills!H3&gt;0,Skills!I3/Skills!H3,1)+IF(Skills!H3&gt;0,MIN(Skills!I3,MAX(0,MAX(0,Inputs!$B$43-B1945)-((R1907-1)*(IF(Inputs!$B$38="pvp",15,MAX(0.1,Skills!D3-IF(Skills!E3=TRUE,Inputs!$B$32,0)))*(1-IF(AND(ArtifactsInput!$M$27,Inputs!$B$4="Chapter Hunt"),CHOOSE(ArtifactsInput!$N$27+1,20,24,28,32,36,40),0)/100)))))/Skills!H3,1)))/Inputs!$B$43),G1907*Q1907)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1907*(1-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1907*(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1907*(1-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1907*(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07">
        <f>INDEX(FactorTable!$B$2:$Y$301, MATCH(ROUND(MIN(300,MAX(1,U1906)),0), FactorTable!$A$2:$A$301,0), 22)</f>
        <v/>
      </c>
      <c r="V1907">
        <f>IF(C1907,(H1907*N1907*IF(AND(Inputs!$B$38&lt;&gt;"pvp",Inputs!$B$43&gt;0),((Skills!G3*((R1907-1)*IF(Skills!H3&gt;0,Skills!I3/Skills!H3,1)+IF(Skills!H3&gt;0,MIN(Skills!I3,MAX(0,MAX(0,Inputs!$B$43-B1945)-((R1907-1)*(IF(Inputs!$B$38="pvp",15,MAX(0.1,Skills!D3-IF(Skills!E3=TRUE,Inputs!$B$32,0)))*(1-IF(AND(ArtifactsInput!$M$27,Inputs!$B$4="Chapter Hunt"),CHOOSE(ArtifactsInput!$N$27+1,20,24,28,32,36,40),0)/100)))))/Skills!H3,1)))/Inputs!$B$43),G1907*Q1907))*IF(Inputs!$B$38="pvp",1,(1+(Inputs!$B$21+Skills!Q3+(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08">
      <c r="A1908">
        <f>Skills!A4</f>
        <v/>
      </c>
      <c r="B1908">
        <f>Skills!B4</f>
        <v/>
      </c>
      <c r="C1908">
        <f>Inputs!$B$3&gt;=105</f>
        <v/>
      </c>
      <c r="D1908">
        <f>IF(Skills!C4=1,60+Inputs!$B$25+Inputs!$B$29,IF(Skills!C4=2,90+Inputs!$B$26+Inputs!$B$29,IF(Skills!C4=3,120+Inputs!$B$27+Inputs!$B$29,MAX(0,(Inputs!$B$3-100)*3)+Inputs!$B$28+Inputs!$B$29)))</f>
        <v/>
      </c>
      <c r="E1908">
        <f>INDEX(FactorTable!$B$2:$Y$301, MATCH(ROUND(MIN(300,MAX(1,D1908)),0), FactorTable!$A$2:$A$301,0), Skills!M4+1)</f>
        <v/>
      </c>
      <c r="F1908">
        <f>IF(Skills!N4=TRUE,(Skills!L4/10)*(E1908/1000),Skills!L4/10)+Skills!O4</f>
        <v/>
      </c>
      <c r="G1908" t="inlineStr"/>
      <c r="H1908" t="inlineStr"/>
      <c r="I1908" t="inlineStr">
        <is>
          <t>1</t>
        </is>
      </c>
      <c r="J1908" t="inlineStr"/>
      <c r="K1908" t="inlineStr"/>
      <c r="L1908" t="inlineStr"/>
      <c r="M1908" t="inlineStr"/>
      <c r="N1908" t="inlineStr"/>
      <c r="O1908" t="inlineStr"/>
      <c r="P1908" t="inlineStr"/>
      <c r="Q1908" t="inlineStr"/>
      <c r="R1908" t="inlineStr"/>
      <c r="S1908" t="inlineStr"/>
      <c r="T1908" t="inlineStr"/>
      <c r="U1908">
        <f>290*U1907/1000</f>
        <v/>
      </c>
      <c r="V1908" t="inlineStr"/>
    </row>
    <row r="1909">
      <c r="A1909">
        <f>Skills!A5</f>
        <v/>
      </c>
      <c r="B1909">
        <f>Skills!B5</f>
        <v/>
      </c>
      <c r="C1909">
        <f>Inputs!$B$3&gt;=35</f>
        <v/>
      </c>
      <c r="D1909">
        <f>IF(Skills!C5=1,60+Inputs!$B$25+Inputs!$B$29,IF(Skills!C5=2,90+Inputs!$B$26+Inputs!$B$29,IF(Skills!C5=3,120+Inputs!$B$27+Inputs!$B$29,MAX(0,(Inputs!$B$3-100)*3)+Inputs!$B$28+Inputs!$B$29)))</f>
        <v/>
      </c>
      <c r="E1909">
        <f>INDEX(FactorTable!$B$2:$Y$301, MATCH(ROUND(MIN(300,MAX(1,D1909)),0), FactorTable!$A$2:$A$301,0), Skills!M5+1)</f>
        <v/>
      </c>
      <c r="F1909">
        <f>IF(Skills!N5=TRUE,(Skills!L5/10)*(E1909/1000),Skills!L5/10)+Skills!O5</f>
        <v/>
      </c>
      <c r="G1909">
        <f>Skills!G5*IF(Skills!H5&gt;0,Skills!I5/Skills!H5,1)</f>
        <v/>
      </c>
      <c r="H1909">
        <f>1-(1-Skills!J5/100)^Skills!K5</f>
        <v/>
      </c>
      <c r="I1909" t="inlineStr">
        <is>
          <t>1</t>
        </is>
      </c>
      <c r="J1909">
        <f>((Inputs!$B$6*(1+Inputs!$B$7/100))+(((Inputs!$B$12*(1+Inputs!$B$13/100))-(Inputs!$B$12*(1+Inputs!$B$13/100)))+0.25*(Inputs!$B$14-Inputs!$B$14))*(1+Inputs!$B$7/100))*(F1909/100)</f>
        <v/>
      </c>
      <c r="K1909">
        <f>J1909*(1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1915=TRUE,F1915,0)/100)*(1+(IF(Skills!A5="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1909)</f>
        <v/>
      </c>
      <c r="L1909">
        <f>K1909*(MIN(Inputs!$B$22+((C1929=TRUE)*(F1929-Calc!F25)),(Inputs!$B$23+((C1934=TRUE)*(F1934-Calc!F30))+(IF(ArtifactsInput!$M$15,CHOOSE(ArtifactsInput!$N$15+1,25,30,35,40,45,50)/100*(Inputs!$B$11-Inputs!$B$11),0))))/100+(Inputs!$B$23+((C1934=TRUE)*(F1934-Calc!F30))+(IF(ArtifactsInput!$M$15,CHOOSE(ArtifactsInput!$N$15+1,25,30,35,40,45,50)/100*(Inputs!$B$11-Inputs!$B$11),0)))/100)/2</f>
        <v/>
      </c>
      <c r="M1909">
        <f>L1909*(1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09">
        <f>L1909*(1-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1909*(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09">
        <f>(1-Summary!$B$11)*T1909+Summary!$B$11*V1909</f>
        <v/>
      </c>
      <c r="P1909">
        <f>IF(B1948=0,0,O1909/B1948)</f>
        <v/>
      </c>
      <c r="Q1909">
        <f>IFERROR(1/(IF(Inputs!$B$38="pvp",15,MAX(0.1,Skills!D5-IF(Skills!E5=TRUE,Inputs!$B$32,0)))*(1-IF(AND(ArtifactsInput!$M$27,Inputs!$B$4="Chapter Hunt"),CHOOSE(ArtifactsInput!$N$27+1,20,24,28,32,36,40),0)/100)),0)</f>
        <v/>
      </c>
      <c r="R1909">
        <f>IF(AND(Inputs!$B$38&lt;&gt;"pvp",Inputs!$B$43&gt;0),IF(MAX(0,Inputs!$B$43-B1945)&lt;=0,0,(INT(MAX(0,Inputs!$B$43-B1945)/(IF(Inputs!$B$38="pvp",15,MAX(0.1,Skills!D5-IF(Skills!E5=TRUE,Inputs!$B$32,0)))*(1-IF(AND(ArtifactsInput!$M$27,Inputs!$B$4="Chapter Hunt"),CHOOSE(ArtifactsInput!$N$27+1,20,24,28,32,36,40),0)/100)))+1)),0)</f>
        <v/>
      </c>
      <c r="S1909">
        <f>IFERROR(O1909/N1909,0)</f>
        <v/>
      </c>
      <c r="T1909">
        <f>IF(C1909,(H1909*N1909*IF(AND(Inputs!$B$38&lt;&gt;"pvp",Inputs!$B$43&gt;0),((Skills!G5*((R1909-1)*IF(Skills!H5&gt;0,Skills!I5/Skills!H5,1)+IF(Skills!H5&gt;0,MIN(Skills!I5,MAX(0,MAX(0,Inputs!$B$43-B1945)-((R1909-1)*(IF(Inputs!$B$38="pvp",15,MAX(0.1,Skills!D5-IF(Skills!E5=TRUE,Inputs!$B$32,0)))*(1-IF(AND(ArtifactsInput!$M$27,Inputs!$B$4="Chapter Hunt"),CHOOSE(ArtifactsInput!$N$27+1,20,24,28,32,36,40),0)/100)))))/Skills!H5,1)))/Inputs!$B$43),G1909*Q1909)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1909*(1-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1909*(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1909*(1-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1909*(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09">
        <f>IF(C1909,(H1909*N1909*IF(AND(Inputs!$B$38&lt;&gt;"pvp",Inputs!$B$43&gt;0),((Skills!G5*((R1909-1)*IF(Skills!H5&gt;0,Skills!I5/Skills!H5,1)+IF(Skills!H5&gt;0,MIN(Skills!I5,MAX(0,MAX(0,Inputs!$B$43-B1945)-((R1909-1)*(IF(Inputs!$B$38="pvp",15,MAX(0.1,Skills!D5-IF(Skills!E5=TRUE,Inputs!$B$32,0)))*(1-IF(AND(ArtifactsInput!$M$27,Inputs!$B$4="Chapter Hunt"),CHOOSE(ArtifactsInput!$N$27+1,20,24,28,32,36,40),0)/100)))))/Skills!H5,1)))/Inputs!$B$43),G1909*Q1909))*IF(Inputs!$B$38="pvp",1,(1+(Inputs!$B$21+Skills!Q5+(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0">
      <c r="A1910">
        <f>Skills!A6</f>
        <v/>
      </c>
      <c r="B1910">
        <f>Skills!B6</f>
        <v/>
      </c>
      <c r="C1910">
        <f>Inputs!$B$3&gt;=40</f>
        <v/>
      </c>
      <c r="D1910">
        <f>IF(Skills!C6=1,60+Inputs!$B$25+Inputs!$B$29,IF(Skills!C6=2,90+Inputs!$B$26+Inputs!$B$29,IF(Skills!C6=3,120+Inputs!$B$27+Inputs!$B$29,MAX(0,(Inputs!$B$3-100)*3)+Inputs!$B$28+Inputs!$B$29)))</f>
        <v/>
      </c>
      <c r="E1910">
        <f>INDEX(FactorTable!$B$2:$Y$301, MATCH(ROUND(MIN(300,MAX(1,D1910)),0), FactorTable!$A$2:$A$301,0), Skills!M6+1)</f>
        <v/>
      </c>
      <c r="F1910">
        <f>IF(Skills!N6=TRUE,(Skills!L6/10)*(E1910/1000),Skills!L6/10)+Skills!O6</f>
        <v/>
      </c>
      <c r="G1910">
        <f>Skills!G6*IF(Skills!H6&gt;0,Skills!I6/Skills!H6,1)</f>
        <v/>
      </c>
      <c r="H1910">
        <f>1-(1-Skills!J6/100)^Skills!K6</f>
        <v/>
      </c>
      <c r="I1910" t="inlineStr">
        <is>
          <t>1</t>
        </is>
      </c>
      <c r="J1910">
        <f>((Inputs!$B$6*(1+Inputs!$B$7/100))+(((Inputs!$B$12*(1+Inputs!$B$13/100))-(Inputs!$B$12*(1+Inputs!$B$13/100)))+0.25*(Inputs!$B$14-Inputs!$B$14))*(1+Inputs!$B$7/100))*(F1910/100)</f>
        <v/>
      </c>
      <c r="K1910">
        <f>J1910*(1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1911=TRUE,F1911,0)/100)*(1+(IF(Skills!A6="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1910)</f>
        <v/>
      </c>
      <c r="L1910">
        <f>K1910*(MIN(Inputs!$B$22+((C1929=TRUE)*(F1929-Calc!F25)),(Inputs!$B$23+((C1934=TRUE)*(F1934-Calc!F30))+(IF(ArtifactsInput!$M$15,CHOOSE(ArtifactsInput!$N$15+1,25,30,35,40,45,50)/100*(Inputs!$B$11-Inputs!$B$11),0))))/100+(Inputs!$B$23+((C1934=TRUE)*(F1934-Calc!F30))+(IF(ArtifactsInput!$M$15,CHOOSE(ArtifactsInput!$N$15+1,25,30,35,40,45,50)/100*(Inputs!$B$11-Inputs!$B$11),0)))/100)/2</f>
        <v/>
      </c>
      <c r="M1910">
        <f>L1910*(1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0">
        <f>L1910*(1-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1910*(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0">
        <f>(1-Summary!$B$11)*T1910+Summary!$B$11*V1910</f>
        <v/>
      </c>
      <c r="P1910">
        <f>IF(B1948=0,0,O1910/B1948)</f>
        <v/>
      </c>
      <c r="Q1910">
        <f>IFERROR(1/(IF(Inputs!$B$38="pvp",15,MAX(0.1,Skills!D6-IF(Skills!E6=TRUE,Inputs!$B$32,0)))*(1-IF(AND(ArtifactsInput!$M$27,Inputs!$B$4="Chapter Hunt"),CHOOSE(ArtifactsInput!$N$27+1,20,24,28,32,36,40),0)/100)),0)</f>
        <v/>
      </c>
      <c r="R1910">
        <f>IF(AND(Inputs!$B$38&lt;&gt;"pvp",Inputs!$B$43&gt;0),IF(MAX(0,Inputs!$B$43-B1945)&lt;=0,0,(INT(MAX(0,Inputs!$B$43-B1945)/(IF(Inputs!$B$38="pvp",15,MAX(0.1,Skills!D6-IF(Skills!E6=TRUE,Inputs!$B$32,0)))*(1-IF(AND(ArtifactsInput!$M$27,Inputs!$B$4="Chapter Hunt"),CHOOSE(ArtifactsInput!$N$27+1,20,24,28,32,36,40),0)/100)))+1)),0)</f>
        <v/>
      </c>
      <c r="S1910">
        <f>IFERROR(O1910/N1910,0)</f>
        <v/>
      </c>
      <c r="T1910">
        <f>IF(C1910,(H1910*N1910*IF(AND(Inputs!$B$38&lt;&gt;"pvp",Inputs!$B$43&gt;0),((Skills!G6*((R1910-1)*IF(Skills!H6&gt;0,Skills!I6/Skills!H6,1)+IF(Skills!H6&gt;0,MIN(Skills!I6,MAX(0,MAX(0,Inputs!$B$43-B1945)-((R1910-1)*(IF(Inputs!$B$38="pvp",15,MAX(0.1,Skills!D6-IF(Skills!E6=TRUE,Inputs!$B$32,0)))*(1-IF(AND(ArtifactsInput!$M$27,Inputs!$B$4="Chapter Hunt"),CHOOSE(ArtifactsInput!$N$27+1,20,24,28,32,36,40),0)/100)))))/Skills!H6,1)))/Inputs!$B$43),G1910*Q1910)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1910*(1-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1910*(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1910*(1-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1910*(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0">
        <f>IF(C1910,(H1910*N1910*IF(AND(Inputs!$B$38&lt;&gt;"pvp",Inputs!$B$43&gt;0),((Skills!G6*((R1910-1)*IF(Skills!H6&gt;0,Skills!I6/Skills!H6,1)+IF(Skills!H6&gt;0,MIN(Skills!I6,MAX(0,MAX(0,Inputs!$B$43-B1945)-((R1910-1)*(IF(Inputs!$B$38="pvp",15,MAX(0.1,Skills!D6-IF(Skills!E6=TRUE,Inputs!$B$32,0)))*(1-IF(AND(ArtifactsInput!$M$27,Inputs!$B$4="Chapter Hunt"),CHOOSE(ArtifactsInput!$N$27+1,20,24,28,32,36,40),0)/100)))))/Skills!H6,1)))/Inputs!$B$43),G1910*Q1910))*IF(Inputs!$B$38="pvp",1,(1+(Inputs!$B$21+Skills!Q6+(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1">
      <c r="A1911">
        <f>Skills!A7</f>
        <v/>
      </c>
      <c r="B1911">
        <f>Skills!B7</f>
        <v/>
      </c>
      <c r="C1911">
        <f>Inputs!$B$3&gt;=107</f>
        <v/>
      </c>
      <c r="D1911">
        <f>IF(Skills!C7=1,60+Inputs!$B$25+Inputs!$B$29,IF(Skills!C7=2,90+Inputs!$B$26+Inputs!$B$29,IF(Skills!C7=3,120+Inputs!$B$27+Inputs!$B$29,MAX(0,(Inputs!$B$3-100)*3)+Inputs!$B$28+Inputs!$B$29)))</f>
        <v/>
      </c>
      <c r="E1911">
        <f>INDEX(FactorTable!$B$2:$Y$301, MATCH(ROUND(MIN(300,MAX(1,D1911)),0), FactorTable!$A$2:$A$301,0), Skills!M7+1)</f>
        <v/>
      </c>
      <c r="F1911">
        <f>IF(Skills!N7=TRUE,(Skills!L7/10)*(E1911/1000),Skills!L7/10)+Skills!O7</f>
        <v/>
      </c>
      <c r="G1911" t="inlineStr"/>
      <c r="H1911" t="inlineStr"/>
      <c r="I1911" t="inlineStr">
        <is>
          <t>1</t>
        </is>
      </c>
      <c r="J1911" t="inlineStr"/>
      <c r="K1911" t="inlineStr"/>
      <c r="L1911" t="inlineStr"/>
      <c r="M1911" t="inlineStr"/>
      <c r="N1911" t="inlineStr"/>
      <c r="O1911" t="inlineStr"/>
      <c r="P1911" t="inlineStr"/>
      <c r="Q1911" t="inlineStr"/>
      <c r="R1911" t="inlineStr"/>
      <c r="S1911" t="inlineStr"/>
      <c r="T1911" t="inlineStr"/>
      <c r="V1911" t="inlineStr"/>
    </row>
    <row r="1912">
      <c r="A1912">
        <f>Skills!A8</f>
        <v/>
      </c>
      <c r="B1912">
        <f>Skills!B8</f>
        <v/>
      </c>
      <c r="C1912">
        <f>Inputs!$B$3&gt;=69</f>
        <v/>
      </c>
      <c r="D1912">
        <f>IF(Skills!C8=1,60+Inputs!$B$25+Inputs!$B$29,IF(Skills!C8=2,90+Inputs!$B$26+Inputs!$B$29,IF(Skills!C8=3,120+Inputs!$B$27+Inputs!$B$29,MAX(0,(Inputs!$B$3-100)*3)+Inputs!$B$28+Inputs!$B$29)))</f>
        <v/>
      </c>
      <c r="E1912">
        <f>INDEX(FactorTable!$B$2:$Y$301, MATCH(ROUND(MIN(300,MAX(1,D1912)),0), FactorTable!$A$2:$A$301,0), Skills!M8+1)</f>
        <v/>
      </c>
      <c r="F1912">
        <f>IF(Skills!N8=TRUE,(Skills!L8/10)*(E1912/1000),Skills!L8/10)+Skills!O8</f>
        <v/>
      </c>
      <c r="G1912">
        <f>Skills!G8*IF(Skills!H8&gt;0,Skills!I8/Skills!H8,1)</f>
        <v/>
      </c>
      <c r="H1912">
        <f>1-(1-Skills!J8/100)^Skills!K8</f>
        <v/>
      </c>
      <c r="I1912" t="inlineStr">
        <is>
          <t>1</t>
        </is>
      </c>
      <c r="J1912">
        <f>((Inputs!$B$6*(1+Inputs!$B$7/100))+(((Inputs!$B$12*(1+Inputs!$B$13/100))-(Inputs!$B$12*(1+Inputs!$B$13/100)))+0.25*(Inputs!$B$14-Inputs!$B$14))*(1+Inputs!$B$7/100))*(F1912/100)</f>
        <v/>
      </c>
      <c r="K1912">
        <f>J1912*(1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1915=TRUE,F1915,0)/100)*(1+(IF(Skills!A8="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1912)</f>
        <v/>
      </c>
      <c r="L1912">
        <f>K1912*(MIN(Inputs!$B$22+((C1929=TRUE)*(F1929-Calc!F25)),(Inputs!$B$23+((C1934=TRUE)*(F1934-Calc!F30))+(IF(ArtifactsInput!$M$15,CHOOSE(ArtifactsInput!$N$15+1,25,30,35,40,45,50)/100*(Inputs!$B$11-Inputs!$B$11),0))))/100+(Inputs!$B$23+((C1934=TRUE)*(F1934-Calc!F30))+(IF(ArtifactsInput!$M$15,CHOOSE(ArtifactsInput!$N$15+1,25,30,35,40,45,50)/100*(Inputs!$B$11-Inputs!$B$11),0)))/100)/2</f>
        <v/>
      </c>
      <c r="M1912">
        <f>L1912*(1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2">
        <f>L1912*(1-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1912*(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2">
        <f>(1-Summary!$B$11)*T1912+Summary!$B$11*V1912</f>
        <v/>
      </c>
      <c r="P1912">
        <f>IF(B1948=0,0,O1912/B1948)</f>
        <v/>
      </c>
      <c r="Q1912">
        <f>IFERROR(1/(IF(Inputs!$B$38="pvp",15,MAX(0.1,Skills!D8-IF(Skills!E8=TRUE,Inputs!$B$32,0)))*(1-IF(AND(ArtifactsInput!$M$27,Inputs!$B$4="Chapter Hunt"),CHOOSE(ArtifactsInput!$N$27+1,20,24,28,32,36,40),0)/100)),0)</f>
        <v/>
      </c>
      <c r="R1912">
        <f>IF(AND(Inputs!$B$38&lt;&gt;"pvp",Inputs!$B$43&gt;0),IF(MAX(0,Inputs!$B$43-B1945)&lt;=0,0,(INT(MAX(0,Inputs!$B$43-B1945)/(IF(Inputs!$B$38="pvp",15,MAX(0.1,Skills!D8-IF(Skills!E8=TRUE,Inputs!$B$32,0)))*(1-IF(AND(ArtifactsInput!$M$27,Inputs!$B$4="Chapter Hunt"),CHOOSE(ArtifactsInput!$N$27+1,20,24,28,32,36,40),0)/100)))+1)),0)</f>
        <v/>
      </c>
      <c r="S1912">
        <f>IFERROR(O1912/N1912,0)</f>
        <v/>
      </c>
      <c r="T1912">
        <f>IF(C1912,(H1912*N1912*IF(AND(Inputs!$B$38&lt;&gt;"pvp",Inputs!$B$43&gt;0),((Skills!G8*((R1912-1)*IF(Skills!H8&gt;0,Skills!I8/Skills!H8,1)+IF(Skills!H8&gt;0,MIN(Skills!I8,MAX(0,MAX(0,Inputs!$B$43-B1945)-((R1912-1)*(IF(Inputs!$B$38="pvp",15,MAX(0.1,Skills!D8-IF(Skills!E8=TRUE,Inputs!$B$32,0)))*(1-IF(AND(ArtifactsInput!$M$27,Inputs!$B$4="Chapter Hunt"),CHOOSE(ArtifactsInput!$N$27+1,20,24,28,32,36,40),0)/100)))))/Skills!H8,1)))/Inputs!$B$43),G1912*Q1912)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1912*(1-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1912*(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1912*(1-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1912*(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2">
        <f>IF(C1912,(H1912*N1912*IF(AND(Inputs!$B$38&lt;&gt;"pvp",Inputs!$B$43&gt;0),((Skills!G8*((R1912-1)*IF(Skills!H8&gt;0,Skills!I8/Skills!H8,1)+IF(Skills!H8&gt;0,MIN(Skills!I8,MAX(0,MAX(0,Inputs!$B$43-B1945)-((R1912-1)*(IF(Inputs!$B$38="pvp",15,MAX(0.1,Skills!D8-IF(Skills!E8=TRUE,Inputs!$B$32,0)))*(1-IF(AND(ArtifactsInput!$M$27,Inputs!$B$4="Chapter Hunt"),CHOOSE(ArtifactsInput!$N$27+1,20,24,28,32,36,40),0)/100)))))/Skills!H8,1)))/Inputs!$B$43),G1912*Q1912))*IF(Inputs!$B$38="pvp",1,(1+(Inputs!$B$21+Skills!Q8+(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3">
      <c r="A1913">
        <f>Skills!A9</f>
        <v/>
      </c>
      <c r="B1913">
        <f>Skills!B9</f>
        <v/>
      </c>
      <c r="C1913">
        <f>Inputs!$B$3&gt;=63</f>
        <v/>
      </c>
      <c r="D1913">
        <f>IF(Skills!C9=1,60+Inputs!$B$25+Inputs!$B$29,IF(Skills!C9=2,90+Inputs!$B$26+Inputs!$B$29,IF(Skills!C9=3,120+Inputs!$B$27+Inputs!$B$29,MAX(0,(Inputs!$B$3-100)*3)+Inputs!$B$28+Inputs!$B$29)))</f>
        <v/>
      </c>
      <c r="E1913">
        <f>INDEX(FactorTable!$B$2:$Y$301, MATCH(ROUND(MIN(300,MAX(1,D1913)),0), FactorTable!$A$2:$A$301,0), Skills!M9+1)</f>
        <v/>
      </c>
      <c r="F1913">
        <f>IF(Skills!N9=TRUE,(Skills!L9/10)*(E1913/1000),Skills!L9/10)+Skills!O9</f>
        <v/>
      </c>
      <c r="G1913">
        <f>Skills!G9*IF(Skills!H9&gt;0,Skills!I9/Skills!H9,1)</f>
        <v/>
      </c>
      <c r="H1913">
        <f>1-(1-Skills!J9/100)^Skills!K9</f>
        <v/>
      </c>
      <c r="I1913" t="inlineStr">
        <is>
          <t>1</t>
        </is>
      </c>
      <c r="J1913">
        <f>((Inputs!$B$6*(1+Inputs!$B$7/100))+(((Inputs!$B$12*(1+Inputs!$B$13/100))-(Inputs!$B$12*(1+Inputs!$B$13/100)))+0.25*(Inputs!$B$14-Inputs!$B$14))*(1+Inputs!$B$7/100))*(F1913/100)</f>
        <v/>
      </c>
      <c r="K1913">
        <f>J1913*(1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1915=TRUE,F1915,0)/100)*(1+(IF(Skills!A9="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1913)</f>
        <v/>
      </c>
      <c r="L1913">
        <f>K1913*(MIN(Inputs!$B$22+((C1929=TRUE)*(F1929-Calc!F25)),(Inputs!$B$23+((C1934=TRUE)*(F1934-Calc!F30))+(IF(ArtifactsInput!$M$15,CHOOSE(ArtifactsInput!$N$15+1,25,30,35,40,45,50)/100*(Inputs!$B$11-Inputs!$B$11),0))))/100+(Inputs!$B$23+((C1934=TRUE)*(F1934-Calc!F30))+(IF(ArtifactsInput!$M$15,CHOOSE(ArtifactsInput!$N$15+1,25,30,35,40,45,50)/100*(Inputs!$B$11-Inputs!$B$11),0)))/100)/2</f>
        <v/>
      </c>
      <c r="M1913">
        <f>L1913*(1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3">
        <f>L1913*(1-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1913*(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3">
        <f>(1-Summary!$B$11)*T1913+Summary!$B$11*V1913</f>
        <v/>
      </c>
      <c r="P1913">
        <f>IF(B1948=0,0,O1913/B1948)</f>
        <v/>
      </c>
      <c r="Q1913">
        <f>IFERROR(1/(IF(Inputs!$B$38="pvp",15,MAX(0.1,Skills!D9-IF(Skills!E9=TRUE,Inputs!$B$32,0)))*(1-IF(AND(ArtifactsInput!$M$27,Inputs!$B$4="Chapter Hunt"),CHOOSE(ArtifactsInput!$N$27+1,20,24,28,32,36,40),0)/100)),0)</f>
        <v/>
      </c>
      <c r="R1913">
        <f>IF(AND(Inputs!$B$38&lt;&gt;"pvp",Inputs!$B$43&gt;0),IF(MAX(0,Inputs!$B$43-B1945)&lt;=0,0,(INT(MAX(0,Inputs!$B$43-B1945)/(IF(Inputs!$B$38="pvp",15,MAX(0.1,Skills!D9-IF(Skills!E9=TRUE,Inputs!$B$32,0)))*(1-IF(AND(ArtifactsInput!$M$27,Inputs!$B$4="Chapter Hunt"),CHOOSE(ArtifactsInput!$N$27+1,20,24,28,32,36,40),0)/100)))+1)),0)</f>
        <v/>
      </c>
      <c r="S1913">
        <f>IFERROR(O1913/N1913,0)</f>
        <v/>
      </c>
      <c r="T1913">
        <f>IF(C1913,(H1913*N1913*IF(AND(Inputs!$B$38&lt;&gt;"pvp",Inputs!$B$43&gt;0),((Skills!G9*((R1913-1)*IF(Skills!H9&gt;0,Skills!I9/Skills!H9,1)+IF(Skills!H9&gt;0,MIN(Skills!I9,MAX(0,MAX(0,Inputs!$B$43-B1945)-((R1913-1)*(IF(Inputs!$B$38="pvp",15,MAX(0.1,Skills!D9-IF(Skills!E9=TRUE,Inputs!$B$32,0)))*(1-IF(AND(ArtifactsInput!$M$27,Inputs!$B$4="Chapter Hunt"),CHOOSE(ArtifactsInput!$N$27+1,20,24,28,32,36,40),0)/100)))))/Skills!H9,1)))/Inputs!$B$43),G1913*Q1913)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1913*(1-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1913*(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1913*(1-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1913*(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3">
        <f>IF(C1913,(H1913*N1913*IF(AND(Inputs!$B$38&lt;&gt;"pvp",Inputs!$B$43&gt;0),((Skills!G9*((R1913-1)*IF(Skills!H9&gt;0,Skills!I9/Skills!H9,1)+IF(Skills!H9&gt;0,MIN(Skills!I9,MAX(0,MAX(0,Inputs!$B$43-B1945)-((R1913-1)*(IF(Inputs!$B$38="pvp",15,MAX(0.1,Skills!D9-IF(Skills!E9=TRUE,Inputs!$B$32,0)))*(1-IF(AND(ArtifactsInput!$M$27,Inputs!$B$4="Chapter Hunt"),CHOOSE(ArtifactsInput!$N$27+1,20,24,28,32,36,40),0)/100)))))/Skills!H9,1)))/Inputs!$B$43),G1913*Q1913))*IF(Inputs!$B$38="pvp",1,(1+(Inputs!$B$21+Skills!Q9+(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4">
      <c r="A1914">
        <f>Skills!A10</f>
        <v/>
      </c>
      <c r="B1914">
        <f>Skills!B10</f>
        <v/>
      </c>
      <c r="C1914">
        <f>Inputs!$B$3&gt;=103</f>
        <v/>
      </c>
      <c r="D1914">
        <f>IF(Skills!C10=1,60+Inputs!$B$25+Inputs!$B$29,IF(Skills!C10=2,90+Inputs!$B$26+Inputs!$B$29,IF(Skills!C10=3,120+Inputs!$B$27+Inputs!$B$29,MAX(0,(Inputs!$B$3-100)*3)+Inputs!$B$28+Inputs!$B$29)))</f>
        <v/>
      </c>
      <c r="E1914">
        <f>INDEX(FactorTable!$B$2:$Y$301, MATCH(ROUND(MIN(300,MAX(1,D1914)),0), FactorTable!$A$2:$A$301,0), Skills!M10+1)</f>
        <v/>
      </c>
      <c r="F1914">
        <f>IF(Skills!N10=TRUE,(Skills!L10/10)*(E1914/1000),Skills!L10/10)+Skills!O10</f>
        <v/>
      </c>
      <c r="G1914">
        <f>Skills!G10*IF(Skills!H10&gt;0,Skills!I10/Skills!H10,1)</f>
        <v/>
      </c>
      <c r="H1914">
        <f>1-(1-Skills!J10/100)^Skills!K10</f>
        <v/>
      </c>
      <c r="I1914" t="inlineStr">
        <is>
          <t>1</t>
        </is>
      </c>
      <c r="J1914">
        <f>((Inputs!$B$6*(1+Inputs!$B$7/100))+(((Inputs!$B$12*(1+Inputs!$B$13/100))-(Inputs!$B$12*(1+Inputs!$B$13/100)))+0.25*(Inputs!$B$14-Inputs!$B$14))*(1+Inputs!$B$7/100))*(F1914/100)</f>
        <v/>
      </c>
      <c r="K1914">
        <f>J1914*(1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1914)</f>
        <v/>
      </c>
      <c r="L1914">
        <f>K1914*(MIN(Inputs!$B$22+((C1929=TRUE)*(F1929-Calc!F25)),(Inputs!$B$23+((C1934=TRUE)*(F1934-Calc!F30))+(IF(ArtifactsInput!$M$15,CHOOSE(ArtifactsInput!$N$15+1,25,30,35,40,45,50)/100*(Inputs!$B$11-Inputs!$B$11),0))))/100+(Inputs!$B$23+((C1934=TRUE)*(F1934-Calc!F30))+(IF(ArtifactsInput!$M$15,CHOOSE(ArtifactsInput!$N$15+1,25,30,35,40,45,50)/100*(Inputs!$B$11-Inputs!$B$11),0)))/100)/2</f>
        <v/>
      </c>
      <c r="M1914">
        <f>L1914*(1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4">
        <f>L1914*(1-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1914*(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4">
        <f>(1-Summary!$B$11)*T1914+Summary!$B$11*V1914</f>
        <v/>
      </c>
      <c r="P1914">
        <f>IF(B1948=0,0,O1914/B1948)</f>
        <v/>
      </c>
      <c r="Q1914">
        <f>IFERROR(1/(IF(Inputs!$B$38="pvp",15,MAX(0.1,Skills!D10-IF(Skills!E10=TRUE,Inputs!$B$32,0)))*(1-IF(AND(ArtifactsInput!$M$27,Inputs!$B$4="Chapter Hunt"),CHOOSE(ArtifactsInput!$N$27+1,20,24,28,32,36,40),0)/100)),0)</f>
        <v/>
      </c>
      <c r="R1914">
        <f>IF(AND(Inputs!$B$38&lt;&gt;"pvp",Inputs!$B$43&gt;0),IF(MAX(0,Inputs!$B$43-B1945)&lt;=0,0,(INT(MAX(0,Inputs!$B$43-B1945)/(IF(Inputs!$B$38="pvp",15,MAX(0.1,Skills!D10-IF(Skills!E10=TRUE,Inputs!$B$32,0)))*(1-IF(AND(ArtifactsInput!$M$27,Inputs!$B$4="Chapter Hunt"),CHOOSE(ArtifactsInput!$N$27+1,20,24,28,32,36,40),0)/100)))+1)),0)</f>
        <v/>
      </c>
      <c r="S1914">
        <f>IFERROR(O1914/N1914,0)</f>
        <v/>
      </c>
      <c r="T1914">
        <f>IF(C1914,(H1914*N1914*IF(AND(Inputs!$B$38&lt;&gt;"pvp",Inputs!$B$43&gt;0),((Skills!G10*((R1914-1)*IF(Skills!H10&gt;0,Skills!I10/Skills!H10,1)+IF(Skills!H10&gt;0,MIN(Skills!I10,MAX(0,MAX(0,Inputs!$B$43-B1945)-((R1914-1)*(IF(Inputs!$B$38="pvp",15,MAX(0.1,Skills!D10-IF(Skills!E10=TRUE,Inputs!$B$32,0)))*(1-IF(AND(ArtifactsInput!$M$27,Inputs!$B$4="Chapter Hunt"),CHOOSE(ArtifactsInput!$N$27+1,20,24,28,32,36,40),0)/100)))))/Skills!H10,1)))/Inputs!$B$43),G1914*Q1914)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1914*(1-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1914*(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1914*(1-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1914*(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4">
        <f>IF(C1914,(H1914*N1914*IF(AND(Inputs!$B$38&lt;&gt;"pvp",Inputs!$B$43&gt;0),((Skills!G10*((R1914-1)*IF(Skills!H10&gt;0,Skills!I10/Skills!H10,1)+IF(Skills!H10&gt;0,MIN(Skills!I10,MAX(0,MAX(0,Inputs!$B$43-B1945)-((R1914-1)*(IF(Inputs!$B$38="pvp",15,MAX(0.1,Skills!D10-IF(Skills!E10=TRUE,Inputs!$B$32,0)))*(1-IF(AND(ArtifactsInput!$M$27,Inputs!$B$4="Chapter Hunt"),CHOOSE(ArtifactsInput!$N$27+1,20,24,28,32,36,40),0)/100)))))/Skills!H10,1)))/Inputs!$B$43),G1914*Q1914))*IF(Inputs!$B$38="pvp",1,(1+(Inputs!$B$21+Skills!Q10+(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5">
      <c r="A1915">
        <f>Skills!A11</f>
        <v/>
      </c>
      <c r="B1915">
        <f>Skills!B11</f>
        <v/>
      </c>
      <c r="C1915">
        <f>Inputs!$B$3&gt;=100</f>
        <v/>
      </c>
      <c r="D1915">
        <f>IF(Skills!C11=1,60+Inputs!$B$25+Inputs!$B$29,IF(Skills!C11=2,90+Inputs!$B$26+Inputs!$B$29,IF(Skills!C11=3,120+Inputs!$B$27+Inputs!$B$29,MAX(0,(Inputs!$B$3-100)*3)+Inputs!$B$28+Inputs!$B$29)))</f>
        <v/>
      </c>
      <c r="E1915">
        <f>INDEX(FactorTable!$B$2:$Y$301, MATCH(ROUND(MIN(300,MAX(1,D1915)),0), FactorTable!$A$2:$A$301,0), Skills!M11+1)</f>
        <v/>
      </c>
      <c r="F1915">
        <f>IF(Skills!N11=TRUE,(Skills!L11/10)*(E1915/1000),Skills!L11/10)+Skills!O11</f>
        <v/>
      </c>
      <c r="G1915" t="inlineStr"/>
      <c r="H1915" t="inlineStr"/>
      <c r="I1915" t="inlineStr">
        <is>
          <t>1</t>
        </is>
      </c>
      <c r="J1915" t="inlineStr"/>
      <c r="K1915" t="inlineStr"/>
      <c r="L1915" t="inlineStr"/>
      <c r="M1915" t="inlineStr"/>
      <c r="N1915" t="inlineStr"/>
      <c r="O1915" t="inlineStr"/>
      <c r="P1915" t="inlineStr"/>
      <c r="Q1915" t="inlineStr"/>
      <c r="R1915" t="inlineStr"/>
      <c r="S1915" t="inlineStr"/>
      <c r="T1915" t="inlineStr"/>
      <c r="V1915" t="inlineStr"/>
    </row>
    <row r="1916">
      <c r="A1916">
        <f>Skills!A12</f>
        <v/>
      </c>
      <c r="B1916">
        <f>Skills!B12</f>
        <v/>
      </c>
      <c r="C1916">
        <f>Inputs!$B$3&gt;=60</f>
        <v/>
      </c>
      <c r="D1916">
        <f>IF(Skills!C12=1,60+Inputs!$B$25+Inputs!$B$29,IF(Skills!C12=2,90+Inputs!$B$26+Inputs!$B$29,IF(Skills!C12=3,120+Inputs!$B$27+Inputs!$B$29,MAX(0,(Inputs!$B$3-100)*3)+Inputs!$B$28+Inputs!$B$29)))</f>
        <v/>
      </c>
      <c r="E1916">
        <f>INDEX(FactorTable!$B$2:$Y$301, MATCH(ROUND(MIN(300,MAX(1,D1916)),0), FactorTable!$A$2:$A$301,0), Skills!M12+1)</f>
        <v/>
      </c>
      <c r="F1916">
        <f>IF(Skills!N12=TRUE,(Skills!L12/10)*(E1916/1000),Skills!L12/10)+Skills!O12</f>
        <v/>
      </c>
      <c r="G1916">
        <f>Skills!G12*IF(Skills!H12&gt;0,Skills!I12/Skills!H12,1)</f>
        <v/>
      </c>
      <c r="H1916">
        <f>1-(1-Skills!J12/100)^Skills!K12</f>
        <v/>
      </c>
      <c r="I1916" t="inlineStr">
        <is>
          <t>1</t>
        </is>
      </c>
      <c r="J1916">
        <f>((Inputs!$B$6*(1+Inputs!$B$7/100))+(((Inputs!$B$12*(1+Inputs!$B$13/100))-(Inputs!$B$12*(1+Inputs!$B$13/100)))+0.25*(Inputs!$B$14-Inputs!$B$14))*(1+Inputs!$B$7/100))*(F1916/100)</f>
        <v/>
      </c>
      <c r="K1916">
        <f>J1916*(1+((Inputs!$B$12*(1+Inputs!$B$13/100))*0.01+Inputs!$B$14*0.0025)/100)*(1+Inputs!$B$15/100)*(1+Inputs!$B$16/100)*(5000/(6000+Inputs!$B$42*(1-(100*(1-(1-(Inputs!$B$19+((C1932=TRUE)*(F1932-Calc!F28)))/100)*(1-CHOOSE(ArtifactsInput!$N$40+1,5,6,7,8,9,10)/100)^(ArtifactsInput!$M$40-ArtifactsInput!$M$40)))/100)))*(1+(Inputs!$B$24+((C1930=TRUE)*(F1930-Calc!F26))+((C1931=TRUE)*(F1931-Calc!F27))+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1917=TRUE,F1917,0)/100)*(1+(IF(Skills!A12="ARROW_STREAM",Inputs!$B$17+((C1928=TRUE)*(F1928-Calc!F24))+(((IF(AND(ArtifactsInput!$M$42,((Inputs!$B$9+((C1925=TRUE)*(F1925-Calc!F21))+B1938+(ArtifactsInput!$M$24-ArtifactsInput!$M$24)*CHOOSE(ArtifactsInput!$N$24+1,10,12,14,16,18,20)+IF(ArtifactsInput!$M$10,CHOOSE(ArtifactsInput!$N$10+1,15,18,21,24,27,30)*(IF(Inputs!$B$38="pvp",MIN(15,15)/15,IF(AND(Inputs!$B$38&lt;&gt;"pvp",Inputs!$B$43&gt;0),MIN(15,Inputs!$B$43)/(Inputs!$B$43),0))),0)))&gt;=100),MIN(100,((Inputs!$B$9+((C1925=TRUE)*(F1925-Calc!F21))+B1938+(ArtifactsInput!$M$24-ArtifactsInput!$M$24)*CHOOSE(ArtifactsInput!$N$24+1,10,12,14,16,18,20)+IF(ArtifactsInput!$M$10,CHOOSE(ArtifactsInput!$N$10+1,15,18,21,24,27,30)*(IF(Inputs!$B$38="pvp",MIN(15,15)/15,IF(AND(Inputs!$B$38&lt;&gt;"pvp",Inputs!$B$43&gt;0),MIN(15,Inputs!$B$43)/(Inputs!$B$43),0))),0)))-100),0))*CHOOSE(ArtifactsInput!$N$42+1,0.6,0.72,0.84,0.96,1.08,1.2))),Inputs!$B$18+((C1933=TRUE)*(F1933-Calc!F29))+(IF(AND(ArtifactsInput!$M$42,((Inputs!$B$9+((C1925=TRUE)*(F1925-Calc!F21))+B1938+(ArtifactsInput!$M$24-ArtifactsInput!$M$24)*CHOOSE(ArtifactsInput!$N$24+1,10,12,14,16,18,20)+IF(ArtifactsInput!$M$10,CHOOSE(ArtifactsInput!$N$10+1,15,18,21,24,27,30)*(IF(Inputs!$B$38="pvp",MIN(15,15)/15,IF(AND(Inputs!$B$38&lt;&gt;"pvp",Inputs!$B$43&gt;0),MIN(15,Inputs!$B$43)/(Inputs!$B$43),0))),0)))&gt;=100),CHOOSE(ArtifactsInput!$N$42+1,40,48,56,64,72,80),0))))/100)*((1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1916)</f>
        <v/>
      </c>
      <c r="L1916">
        <f>K1916*(MIN(Inputs!$B$22+((C1929=TRUE)*(F1929-Calc!F25)),(Inputs!$B$23+((C1934=TRUE)*(F1934-Calc!F30))+(IF(ArtifactsInput!$M$15,CHOOSE(ArtifactsInput!$N$15+1,25,30,35,40,45,50)/100*(Inputs!$B$11-Inputs!$B$11),0))))/100+(Inputs!$B$23+((C1934=TRUE)*(F1934-Calc!F30))+(IF(ArtifactsInput!$M$15,CHOOSE(ArtifactsInput!$N$15+1,25,30,35,40,45,50)/100*(Inputs!$B$11-Inputs!$B$11),0)))/100)/2</f>
        <v/>
      </c>
      <c r="M1916">
        <f>L1916*(1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6">
        <f>L1916*(1-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1916*(MIN((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6">
        <f>(1-Summary!$B$11)*T1916+Summary!$B$11*V1916</f>
        <v/>
      </c>
      <c r="P1916">
        <f>IF(B1948=0,0,O1916/B1948)</f>
        <v/>
      </c>
      <c r="Q1916">
        <f>IFERROR(1/(IF(Inputs!$B$38="pvp",15,MAX(0.1,Skills!D12-IF(Skills!E12=TRUE,Inputs!$B$32,0)))*(1-IF(AND(ArtifactsInput!$M$27,Inputs!$B$4="Chapter Hunt"),CHOOSE(ArtifactsInput!$N$27+1,20,24,28,32,36,40),0)/100)),0)</f>
        <v/>
      </c>
      <c r="R1916">
        <f>IF(AND(Inputs!$B$38&lt;&gt;"pvp",Inputs!$B$43&gt;0),IF(MAX(0,Inputs!$B$43-B1945)&lt;=0,0,(INT(MAX(0,Inputs!$B$43-B1945)/(IF(Inputs!$B$38="pvp",15,MAX(0.1,Skills!D12-IF(Skills!E12=TRUE,Inputs!$B$32,0)))*(1-IF(AND(ArtifactsInput!$M$27,Inputs!$B$4="Chapter Hunt"),CHOOSE(ArtifactsInput!$N$27+1,20,24,28,32,36,40),0)/100)))+1)),0)</f>
        <v/>
      </c>
      <c r="S1916">
        <f>IFERROR(O1916/N1916,0)</f>
        <v/>
      </c>
      <c r="T1916">
        <f>IF(C1916,(H1916*N1916*IF(AND(Inputs!$B$38&lt;&gt;"pvp",Inputs!$B$43&gt;0),((Skills!G12*((R1916-1)*IF(Skills!H12&gt;0,Skills!I12/Skills!H12,1)+IF(Skills!H12&gt;0,MIN(Skills!I12,MAX(0,MAX(0,Inputs!$B$43-B1945)-((R1916-1)*(IF(Inputs!$B$38="pvp",15,MAX(0.1,Skills!D12-IF(Skills!E12=TRUE,Inputs!$B$32,0)))*(1-IF(AND(ArtifactsInput!$M$27,Inputs!$B$4="Chapter Hunt"),CHOOSE(ArtifactsInput!$N$27+1,20,24,28,32,36,40),0)/100)))))/Skills!H12,1)))/Inputs!$B$43),G1916*Q1916)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(5000/(6000+Inputs!$B$42*(1-(100*(1-(1-(100*(1-(1-(Inputs!$B$19+((C1932=TRUE)*(F1932-Calc!F28)))/100)*(1-CHOOSE(ArtifactsInput!$N$40+1,5,6,7,8,9,10)/100)^(ArtifactsInput!$M$40-ArtifactsInput!$M$40)))/100)*(1-IF(ArtifactsInput!$M$40,CHOOSE(ArtifactsInput!$N$40+1,5,6,7,8,9,10),0)/100)^IF(Inputs!$B$38="pvp",1,2)))/100)))/(5000/(6000+Inputs!$B$42*(1-(100*(1-(1-(Inputs!$B$19+((C1932=TRUE)*(F1932-Calc!F28)))/100)*(1-CHOOSE(ArtifactsInput!$N$40+1,5,6,7,8,9,10)/100)^(ArtifactsInput!$M$40-ArtifactsInput!$M$40)))/100))))*((L1916*(1-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1916*(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1916*(1-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1916*(MIN(100,(Inputs!$B$9+((C1925=TRUE)*(F1925-Calc!F21))+B1938+(ArtifactsInput!$M$24-ArtifactsInput!$M$24)*CHOOSE(ArtifactsInput!$N$24+1,10,12,14,16,18,20)+(IF(AND(ArtifactsInput!$M$42,((Inputs!$B$9+((C1925=TRUE)*(F1925-Calc!F21))+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6">
        <f>IF(C1916,(H1916*N1916*IF(AND(Inputs!$B$38&lt;&gt;"pvp",Inputs!$B$43&gt;0),((Skills!G12*((R1916-1)*IF(Skills!H12&gt;0,Skills!I12/Skills!H12,1)+IF(Skills!H12&gt;0,MIN(Skills!I12,MAX(0,MAX(0,Inputs!$B$43-B1945)-((R1916-1)*(IF(Inputs!$B$38="pvp",15,MAX(0.1,Skills!D12-IF(Skills!E12=TRUE,Inputs!$B$32,0)))*(1-IF(AND(ArtifactsInput!$M$27,Inputs!$B$4="Chapter Hunt"),CHOOSE(ArtifactsInput!$N$27+1,20,24,28,32,36,40),0)/100)))))/Skills!H12,1)))/Inputs!$B$43),G1916*Q1916))*IF(Inputs!$B$38="pvp",1,(1+(Inputs!$B$21+Skills!Q12+(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7">
      <c r="A1917">
        <f>Skills!A13</f>
        <v/>
      </c>
      <c r="B1917">
        <f>Skills!B13</f>
        <v/>
      </c>
      <c r="C1917">
        <f>Inputs!$B$3&gt;=110</f>
        <v/>
      </c>
      <c r="D1917">
        <f>IF(Skills!C13=1,60+Inputs!$B$25+Inputs!$B$29,IF(Skills!C13=2,90+Inputs!$B$26+Inputs!$B$29,IF(Skills!C13=3,120+Inputs!$B$27+Inputs!$B$29,MAX(0,(Inputs!$B$3-100)*3)+Inputs!$B$28+Inputs!$B$29)))</f>
        <v/>
      </c>
      <c r="E1917">
        <f>INDEX(FactorTable!$B$2:$Y$301, MATCH(ROUND(MIN(300,MAX(1,D1917)),0), FactorTable!$A$2:$A$301,0), Skills!M13+1)</f>
        <v/>
      </c>
      <c r="F1917">
        <f>IF(Skills!N13=TRUE,(Skills!L13/10)*(E1917/1000),Skills!L13/10)+Skills!O13</f>
        <v/>
      </c>
      <c r="G1917" t="inlineStr"/>
      <c r="H1917" t="inlineStr"/>
      <c r="I1917" t="inlineStr">
        <is>
          <t>1</t>
        </is>
      </c>
      <c r="J1917" t="inlineStr"/>
      <c r="K1917" t="inlineStr"/>
      <c r="L1917" t="inlineStr"/>
      <c r="M1917" t="inlineStr"/>
      <c r="N1917" t="inlineStr"/>
      <c r="O1917" t="inlineStr"/>
      <c r="P1917" t="inlineStr"/>
      <c r="Q1917" t="inlineStr"/>
      <c r="R1917" t="inlineStr"/>
      <c r="S1917" t="inlineStr"/>
      <c r="T1917" t="inlineStr"/>
      <c r="V1917" t="inlineStr"/>
    </row>
    <row r="1918">
      <c r="A1918">
        <f>Skills!A14</f>
        <v/>
      </c>
      <c r="B1918">
        <f>Skills!B14</f>
        <v/>
      </c>
      <c r="C1918">
        <f>Inputs!$B$3&gt;=74</f>
        <v/>
      </c>
      <c r="D1918">
        <f>IF(Skills!C14=1,60+Inputs!$B$25+Inputs!$B$29,IF(Skills!C14=2,90+Inputs!$B$26+Inputs!$B$29,IF(Skills!C14=3,120+Inputs!$B$27+Inputs!$B$29,MAX(0,(Inputs!$B$3-100)*3)+Inputs!$B$28+Inputs!$B$29)))</f>
        <v/>
      </c>
      <c r="E1918">
        <f>INDEX(FactorTable!$B$2:$Y$301, MATCH(ROUND(MIN(300,MAX(1,D1918)),0), FactorTable!$A$2:$A$301,0), Skills!M14+1)</f>
        <v/>
      </c>
      <c r="F1918">
        <f>IF(Skills!N14=TRUE,(Skills!L14/10)*(E1918/1000),Skills!L14/10)+Skills!O14</f>
        <v/>
      </c>
      <c r="G1918">
        <f>Skills!G14*IF(Skills!H14&gt;0,Skills!I14/Skills!H14,1)</f>
        <v/>
      </c>
      <c r="H1918">
        <f>1-(1-Skills!J14/100)^Skills!K14</f>
        <v/>
      </c>
      <c r="I1918" t="inlineStr">
        <is>
          <t>1</t>
        </is>
      </c>
      <c r="J1918" t="inlineStr"/>
      <c r="K1918" t="inlineStr"/>
      <c r="L1918" t="inlineStr"/>
      <c r="M1918" t="inlineStr"/>
      <c r="N1918" t="inlineStr"/>
      <c r="O1918">
        <f>(1-Summary!$B$11)*T1918+Summary!$B$11*V1918</f>
        <v/>
      </c>
      <c r="P1918">
        <f>IF(B1948=0,0,O1918/B1948)</f>
        <v/>
      </c>
      <c r="Q1918" t="n">
        <v>0</v>
      </c>
      <c r="R1918" t="n">
        <v>0</v>
      </c>
      <c r="S1918">
        <f>IFERROR(O1918/N1918,0)</f>
        <v/>
      </c>
      <c r="T1918" t="n">
        <v>0</v>
      </c>
      <c r="V1918" t="n">
        <v>0</v>
      </c>
    </row>
    <row r="1919">
      <c r="A1919">
        <f>Skills!A15</f>
        <v/>
      </c>
      <c r="B1919">
        <f>Skills!B15</f>
        <v/>
      </c>
      <c r="C1919">
        <f>Inputs!$B$3&gt;=74</f>
        <v/>
      </c>
      <c r="D1919">
        <f>IF(Skills!C15=1,60+Inputs!$B$25+Inputs!$B$29,IF(Skills!C15=2,90+Inputs!$B$26+Inputs!$B$29,IF(Skills!C15=3,120+Inputs!$B$27+Inputs!$B$29,MAX(0,(Inputs!$B$3-100)*3)+Inputs!$B$28+Inputs!$B$29)))</f>
        <v/>
      </c>
      <c r="E1919">
        <f>INDEX(FactorTable!$B$2:$Y$301, MATCH(ROUND(MIN(300,MAX(1,D1919)),0), FactorTable!$A$2:$A$301,0), Skills!M15+1)</f>
        <v/>
      </c>
      <c r="F1919">
        <f>IF(Skills!N15=TRUE,(Skills!L15/10)*(E1919/1000),Skills!L15/10)+Skills!O15</f>
        <v/>
      </c>
      <c r="G1919">
        <f>Skills!G15*IF(Skills!H15&gt;0,Skills!I15/Skills!H15,1)</f>
        <v/>
      </c>
      <c r="H1919">
        <f>1-(1-Skills!J15/100)^Skills!K15</f>
        <v/>
      </c>
      <c r="I1919" t="inlineStr">
        <is>
          <t>1</t>
        </is>
      </c>
      <c r="J1919" t="inlineStr"/>
      <c r="K1919" t="inlineStr"/>
      <c r="L1919" t="inlineStr"/>
      <c r="M1919" t="inlineStr"/>
      <c r="N1919" t="inlineStr"/>
      <c r="O1919">
        <f>(1-Summary!$B$11)*T1919+Summary!$B$11*V1919</f>
        <v/>
      </c>
      <c r="P1919">
        <f>IF(B1948=0,0,O1919/B1948)</f>
        <v/>
      </c>
      <c r="Q1919" t="n">
        <v>0</v>
      </c>
      <c r="R1919" t="n">
        <v>0</v>
      </c>
      <c r="S1919">
        <f>IFERROR(O1919/N1919,0)</f>
        <v/>
      </c>
      <c r="T1919" t="n">
        <v>0</v>
      </c>
      <c r="V1919" t="n">
        <v>0</v>
      </c>
    </row>
    <row r="1920">
      <c r="A1920">
        <f>Skills!A16</f>
        <v/>
      </c>
      <c r="B1920">
        <f>Skills!B16</f>
        <v/>
      </c>
      <c r="C1920">
        <f>Inputs!$B$3&gt;=117</f>
        <v/>
      </c>
      <c r="D1920">
        <f>IF(Skills!C16=1,60+Inputs!$B$25+Inputs!$B$29,IF(Skills!C16=2,90+Inputs!$B$26+Inputs!$B$29,IF(Skills!C16=3,120+Inputs!$B$27+Inputs!$B$29,MAX(0,(Inputs!$B$3-100)*3)+Inputs!$B$28+Inputs!$B$29)))</f>
        <v/>
      </c>
      <c r="E1920">
        <f>INDEX(FactorTable!$B$2:$Y$301, MATCH(ROUND(MIN(300,MAX(1,D1920)),0), FactorTable!$A$2:$A$301,0), Skills!M16+1)</f>
        <v/>
      </c>
      <c r="F1920">
        <f>IF(Skills!N16=TRUE,(Skills!L16/10)*(E1920/1000),Skills!L16/10)+Skills!O16</f>
        <v/>
      </c>
      <c r="G1920">
        <f>Skills!G16*IF(Skills!H16&gt;0,Skills!I16/Skills!H16,1)</f>
        <v/>
      </c>
      <c r="H1920">
        <f>1-(1-Skills!J16/100)^Skills!K16</f>
        <v/>
      </c>
      <c r="I1920" t="inlineStr">
        <is>
          <t>1</t>
        </is>
      </c>
      <c r="J1920" t="inlineStr"/>
      <c r="K1920" t="inlineStr"/>
      <c r="L1920" t="inlineStr"/>
      <c r="M1920" t="inlineStr"/>
      <c r="N1920" t="inlineStr"/>
      <c r="O1920">
        <f>(1-Summary!$B$11)*T1920+Summary!$B$11*V1920</f>
        <v/>
      </c>
      <c r="P1920">
        <f>IF(B1948=0,0,O1920/B1948)</f>
        <v/>
      </c>
      <c r="Q1920">
        <f>IFERROR(1/(IF(Inputs!$B$38="pvp",15,MAX(0.1,Skills!D16-IF(Skills!E16=TRUE,Inputs!$B$32,0)))*(1-IF(AND(ArtifactsInput!$M$27,Inputs!$B$4="Chapter Hunt"),CHOOSE(ArtifactsInput!$N$27+1,20,24,28,32,36,40),0)/100)),0)</f>
        <v/>
      </c>
      <c r="R1920">
        <f>IF(AND(Inputs!$B$38&lt;&gt;"pvp",Inputs!$B$43&gt;0),IF(Inputs!$B$43&lt;=0,0,(INT(Inputs!$B$43/(IF(Inputs!$B$38="pvp",15,MAX(0.1,Skills!D16-IF(Skills!E16=TRUE,Inputs!$B$32,0)))*(1-IF(AND(ArtifactsInput!$M$27,Inputs!$B$4="Chapter Hunt"),CHOOSE(ArtifactsInput!$N$27+1,20,24,28,32,36,40),0)/100)))+1)),0)</f>
        <v/>
      </c>
      <c r="S1920">
        <f>IFERROR(O1920/N1920,0)</f>
        <v/>
      </c>
      <c r="T1920" t="n">
        <v>0</v>
      </c>
      <c r="V1920" t="n">
        <v>0</v>
      </c>
    </row>
    <row r="1921">
      <c r="A1921">
        <f>Skills!A17</f>
        <v/>
      </c>
      <c r="B1921">
        <f>Skills!B17</f>
        <v/>
      </c>
      <c r="C1921">
        <f>Inputs!$B$3&gt;=115</f>
        <v/>
      </c>
      <c r="D1921">
        <f>IF(Skills!C17=1,60+Inputs!$B$25+Inputs!$B$29,IF(Skills!C17=2,90+Inputs!$B$26+Inputs!$B$29,IF(Skills!C17=3,120+Inputs!$B$27+Inputs!$B$29,MAX(0,(Inputs!$B$3-100)*3)+Inputs!$B$28+Inputs!$B$29)))</f>
        <v/>
      </c>
      <c r="E1921">
        <f>INDEX(FactorTable!$B$2:$Y$301, MATCH(ROUND(MIN(300,MAX(1,D1921)),0), FactorTable!$A$2:$A$301,0), Skills!M17+1)</f>
        <v/>
      </c>
      <c r="F1921">
        <f>IF(Skills!N17=TRUE,(Skills!L17/10)*(E1921/1000),Skills!L17/10)+Skills!O17</f>
        <v/>
      </c>
      <c r="G1921">
        <f>Skills!G17*IF(Skills!H17&gt;0,Skills!I17/Skills!H17,1)</f>
        <v/>
      </c>
      <c r="H1921">
        <f>1-(1-Skills!J17/100)^Skills!K17</f>
        <v/>
      </c>
      <c r="I1921" t="inlineStr">
        <is>
          <t>1</t>
        </is>
      </c>
      <c r="J1921" t="inlineStr"/>
      <c r="K1921" t="inlineStr"/>
      <c r="L1921" t="inlineStr"/>
      <c r="M1921" t="inlineStr"/>
      <c r="N1921" t="inlineStr"/>
      <c r="O1921">
        <f>(1-Summary!$B$11)*T1921+Summary!$B$11*V1921</f>
        <v/>
      </c>
      <c r="P1921">
        <f>IF(B1948=0,0,O1921/B1948)</f>
        <v/>
      </c>
      <c r="Q1921">
        <f>IFERROR(1/(IF(Inputs!$B$38="pvp",15,MAX(0.1,Skills!D17-IF(Skills!E17=TRUE,Inputs!$B$32,0)))*(1-IF(AND(ArtifactsInput!$M$27,Inputs!$B$4="Chapter Hunt"),CHOOSE(ArtifactsInput!$N$27+1,20,24,28,32,36,40),0)/100)),0)</f>
        <v/>
      </c>
      <c r="R1921">
        <f>IF(AND(Inputs!$B$38&lt;&gt;"pvp",Inputs!$B$43&gt;0),IF(Inputs!$B$43&lt;=0,0,(INT(Inputs!$B$43/(IF(Inputs!$B$38="pvp",15,MAX(0.1,Skills!D17-IF(Skills!E17=TRUE,Inputs!$B$32,0)))*(1-IF(AND(ArtifactsInput!$M$27,Inputs!$B$4="Chapter Hunt"),CHOOSE(ArtifactsInput!$N$27+1,20,24,28,32,36,40),0)/100)))+1)),0)</f>
        <v/>
      </c>
      <c r="S1921">
        <f>IFERROR(O1921/N1921,0)</f>
        <v/>
      </c>
      <c r="T1921" t="n">
        <v>0</v>
      </c>
      <c r="V1921" t="n">
        <v>0</v>
      </c>
    </row>
    <row r="1922">
      <c r="A1922">
        <f>Skills!A18</f>
        <v/>
      </c>
      <c r="B1922">
        <f>Skills!B18</f>
        <v/>
      </c>
      <c r="C1922">
        <f>Inputs!$B$3&gt;=66</f>
        <v/>
      </c>
      <c r="D1922">
        <f>IF(Skills!C18=1,60+Inputs!$B$25+Inputs!$B$29,IF(Skills!C18=2,90+Inputs!$B$26+Inputs!$B$29,IF(Skills!C18=3,120+Inputs!$B$27+Inputs!$B$29,MAX(0,(Inputs!$B$3-100)*3)+Inputs!$B$28+Inputs!$B$29)))</f>
        <v/>
      </c>
      <c r="E1922">
        <f>INDEX(FactorTable!$B$2:$Y$301, MATCH(ROUND(MIN(300,MAX(1,D1922)),0), FactorTable!$A$2:$A$301,0), Skills!M18+1)</f>
        <v/>
      </c>
      <c r="F1922">
        <f>IF(Skills!N18=TRUE,(Skills!L18/10)*(E1922/1000),Skills!L18/10)+Skills!O18</f>
        <v/>
      </c>
      <c r="G1922">
        <f>Skills!G18*IF(Skills!H18&gt;0,Skills!I18/Skills!H18,1)</f>
        <v/>
      </c>
      <c r="H1922">
        <f>1-(1-Skills!J18/100)^Skills!K18</f>
        <v/>
      </c>
      <c r="I1922" t="inlineStr">
        <is>
          <t>1</t>
        </is>
      </c>
      <c r="J1922" t="inlineStr"/>
      <c r="K1922" t="inlineStr"/>
      <c r="L1922" t="inlineStr"/>
      <c r="M1922" t="inlineStr"/>
      <c r="N1922" t="inlineStr"/>
      <c r="O1922">
        <f>(1-Summary!$B$11)*T1922+Summary!$B$11*V1922</f>
        <v/>
      </c>
      <c r="P1922">
        <f>IF(B1948=0,0,O1922/B1948)</f>
        <v/>
      </c>
      <c r="Q1922" t="n">
        <v>0</v>
      </c>
      <c r="R1922" t="n">
        <v>0</v>
      </c>
      <c r="S1922">
        <f>IFERROR(O1922/N1922,0)</f>
        <v/>
      </c>
      <c r="T1922" t="n">
        <v>0</v>
      </c>
      <c r="V1922" t="n">
        <v>0</v>
      </c>
    </row>
    <row r="1923">
      <c r="A1923">
        <f>Skills!A19</f>
        <v/>
      </c>
      <c r="B1923">
        <f>Skills!B19</f>
        <v/>
      </c>
      <c r="C1923">
        <f>Inputs!$B$3&gt;=72</f>
        <v/>
      </c>
      <c r="D1923">
        <f>IF(Skills!C19=1,60+Inputs!$B$25+Inputs!$B$29,IF(Skills!C19=2,90+Inputs!$B$26+Inputs!$B$29,IF(Skills!C19=3,120+Inputs!$B$27+Inputs!$B$29,MAX(0,(Inputs!$B$3-100)*3)+Inputs!$B$28+Inputs!$B$29)))</f>
        <v/>
      </c>
      <c r="E1923">
        <f>INDEX(FactorTable!$B$2:$Y$301, MATCH(ROUND(MIN(300,MAX(1,D1923)),0), FactorTable!$A$2:$A$301,0), Skills!M19+1)</f>
        <v/>
      </c>
      <c r="F1923">
        <f>IF(Skills!N19=TRUE,(Skills!L19/10)*(E1923/1000),Skills!L19/10)+Skills!O19</f>
        <v/>
      </c>
      <c r="G1923">
        <f>Skills!G19*IF(Skills!H19&gt;0,Skills!I19/Skills!H19,1)</f>
        <v/>
      </c>
      <c r="H1923">
        <f>1-(1-Skills!J19/100)^Skills!K19</f>
        <v/>
      </c>
      <c r="I1923" t="inlineStr">
        <is>
          <t>1</t>
        </is>
      </c>
      <c r="J1923" t="inlineStr"/>
      <c r="K1923" t="inlineStr"/>
      <c r="L1923" t="inlineStr"/>
      <c r="M1923" t="inlineStr"/>
      <c r="N1923" t="inlineStr"/>
      <c r="O1923">
        <f>(1-Summary!$B$11)*T1923+Summary!$B$11*V1923</f>
        <v/>
      </c>
      <c r="P1923">
        <f>IF(B1948=0,0,O1923/B1948)</f>
        <v/>
      </c>
      <c r="Q1923" t="n">
        <v>0</v>
      </c>
      <c r="R1923" t="n">
        <v>0</v>
      </c>
      <c r="S1923">
        <f>IFERROR(O1923/N1923,0)</f>
        <v/>
      </c>
      <c r="T1923" t="n">
        <v>0</v>
      </c>
      <c r="V1923" t="n">
        <v>0</v>
      </c>
    </row>
    <row r="1924">
      <c r="A1924">
        <f>Skills!A20</f>
        <v/>
      </c>
      <c r="B1924">
        <f>Skills!B20</f>
        <v/>
      </c>
      <c r="C1924">
        <f>TRUE</f>
        <v/>
      </c>
      <c r="D1924">
        <f>IF(Skills!C20=1,60+Inputs!$B$25+Inputs!$B$29,IF(Skills!C20=2,90+Inputs!$B$26+Inputs!$B$29,IF(Skills!C20=3,120+Inputs!$B$27+Inputs!$B$29,MAX(0,(Inputs!$B$3-100)*3)+Inputs!$B$28+Inputs!$B$29)))</f>
        <v/>
      </c>
      <c r="E1924">
        <f>INDEX(FactorTable!$B$2:$Y$301, MATCH(ROUND(MIN(300,MAX(1,D1924)),0), FactorTable!$A$2:$A$301,0), Skills!M20+1)</f>
        <v/>
      </c>
      <c r="F1924">
        <f>IF(Skills!N20=TRUE,(Skills!L20/10)*(E1924/1000),Skills!L20/10)+Skills!O20</f>
        <v/>
      </c>
      <c r="G1924">
        <f>Skills!G20*IF(Skills!H20&gt;0,Skills!I20/Skills!H20,1)</f>
        <v/>
      </c>
      <c r="H1924">
        <f>1-(1-Skills!J20/100)^Skills!K20</f>
        <v/>
      </c>
      <c r="I1924" t="inlineStr">
        <is>
          <t>1</t>
        </is>
      </c>
      <c r="J1924" t="inlineStr"/>
      <c r="K1924" t="inlineStr"/>
      <c r="L1924" t="inlineStr"/>
      <c r="M1924" t="inlineStr"/>
      <c r="N1924" t="inlineStr"/>
      <c r="O1924">
        <f>(1-Summary!$B$11)*T1924+Summary!$B$11*V1924</f>
        <v/>
      </c>
      <c r="P1924">
        <f>IF(B1948=0,0,O1924/B1948)</f>
        <v/>
      </c>
      <c r="Q1924">
        <f>IFERROR(1/(IF(Inputs!$B$38="pvp",15,MAX(0.1,Skills!D20-IF(Skills!E20=TRUE,Inputs!$B$32,0)))*(1-IF(AND(ArtifactsInput!$M$27,Inputs!$B$4="Chapter Hunt"),CHOOSE(ArtifactsInput!$N$27+1,20,24,28,32,36,40),0)/100)),0)</f>
        <v/>
      </c>
      <c r="R1924">
        <f>IF(AND(Inputs!$B$38&lt;&gt;"pvp",Inputs!$B$43&gt;0),IF(Inputs!$B$43&lt;=0,0,(INT(Inputs!$B$43/(IF(Inputs!$B$38="pvp",15,MAX(0.1,Skills!D20-IF(Skills!E20=TRUE,Inputs!$B$32,0)))*(1-IF(AND(ArtifactsInput!$M$27,Inputs!$B$4="Chapter Hunt"),CHOOSE(ArtifactsInput!$N$27+1,20,24,28,32,36,40),0)/100)))+1)),0)</f>
        <v/>
      </c>
      <c r="S1924">
        <f>IFERROR(O1924/N1924,0)</f>
        <v/>
      </c>
      <c r="T1924" t="n">
        <v>0</v>
      </c>
      <c r="V1924" t="n">
        <v>0</v>
      </c>
    </row>
    <row r="1925">
      <c r="A1925">
        <f>Skills!A21</f>
        <v/>
      </c>
      <c r="B1925">
        <f>Skills!B21</f>
        <v/>
      </c>
      <c r="C1925">
        <f>Inputs!$B$3&gt;=15</f>
        <v/>
      </c>
      <c r="D1925">
        <f>IF(Skills!C21=1,60+Inputs!$B$25+Inputs!$B$29,IF(Skills!C21=2,90+Inputs!$B$26+Inputs!$B$29,IF(Skills!C21=3,120+Inputs!$B$27+Inputs!$B$29,MAX(0,(Inputs!$B$3-100)*3)+Inputs!$B$28+Inputs!$B$29)))</f>
        <v/>
      </c>
      <c r="E1925">
        <f>INDEX(FactorTable!$B$2:$Y$301, MATCH(ROUND(MIN(300,MAX(1,D1925)),0), FactorTable!$A$2:$A$301,0), Skills!M21+1)</f>
        <v/>
      </c>
      <c r="F1925">
        <f>IF(Skills!N21=TRUE,(Skills!L21/10)*(E1925/1000),Skills!L21/10)+Skills!O21</f>
        <v/>
      </c>
      <c r="G1925">
        <f>Skills!G21*IF(Skills!H21&gt;0,Skills!I21/Skills!H21,1)</f>
        <v/>
      </c>
      <c r="H1925">
        <f>1-(1-Skills!J21/100)^Skills!K21</f>
        <v/>
      </c>
      <c r="I1925" t="inlineStr">
        <is>
          <t>1</t>
        </is>
      </c>
      <c r="J1925" t="inlineStr"/>
      <c r="K1925" t="inlineStr"/>
      <c r="L1925" t="inlineStr"/>
      <c r="M1925" t="inlineStr"/>
      <c r="N1925" t="inlineStr"/>
      <c r="O1925">
        <f>(1-Summary!$B$11)*T1925+Summary!$B$11*V1925</f>
        <v/>
      </c>
      <c r="P1925">
        <f>IF(B1948=0,0,O1925/B1948)</f>
        <v/>
      </c>
      <c r="Q1925" t="n">
        <v>0</v>
      </c>
      <c r="R1925" t="n">
        <v>0</v>
      </c>
      <c r="S1925">
        <f>IFERROR(O1925/N1925,0)</f>
        <v/>
      </c>
      <c r="T1925" t="n">
        <v>0</v>
      </c>
      <c r="V1925" t="n">
        <v>0</v>
      </c>
    </row>
    <row r="1926">
      <c r="A1926">
        <f>Skills!A22</f>
        <v/>
      </c>
      <c r="B1926">
        <f>Skills!B22</f>
        <v/>
      </c>
      <c r="C1926">
        <f>Inputs!$B$3&gt;=10</f>
        <v/>
      </c>
      <c r="D1926">
        <f>IF(Skills!C22=1,60+Inputs!$B$25+Inputs!$B$29,IF(Skills!C22=2,90+Inputs!$B$26+Inputs!$B$29,IF(Skills!C22=3,120+Inputs!$B$27+Inputs!$B$29,MAX(0,(Inputs!$B$3-100)*3)+Inputs!$B$28+Inputs!$B$29)))</f>
        <v/>
      </c>
      <c r="E1926">
        <f>INDEX(FactorTable!$B$2:$Y$301, MATCH(ROUND(MIN(300,MAX(1,D1926)),0), FactorTable!$A$2:$A$301,0), Skills!M22+1)</f>
        <v/>
      </c>
      <c r="F1926">
        <f>IF(Skills!N22=TRUE,(Skills!L22/10)*(E1926/1000),Skills!L22/10)+Skills!O22</f>
        <v/>
      </c>
      <c r="G1926">
        <f>Skills!G22*IF(Skills!H22&gt;0,Skills!I22/Skills!H22,1)</f>
        <v/>
      </c>
      <c r="H1926">
        <f>1-(1-Skills!J22/100)^Skills!K22</f>
        <v/>
      </c>
      <c r="I1926" t="inlineStr">
        <is>
          <t>1</t>
        </is>
      </c>
      <c r="J1926" t="inlineStr"/>
      <c r="K1926" t="inlineStr"/>
      <c r="L1926" t="inlineStr"/>
      <c r="M1926" t="inlineStr"/>
      <c r="N1926" t="inlineStr"/>
      <c r="O1926">
        <f>(1-Summary!$B$11)*T1926+Summary!$B$11*V1926</f>
        <v/>
      </c>
      <c r="P1926">
        <f>IF(B1948=0,0,O1926/B1948)</f>
        <v/>
      </c>
      <c r="Q1926" t="n">
        <v>0</v>
      </c>
      <c r="R1926" t="n">
        <v>0</v>
      </c>
      <c r="S1926">
        <f>IFERROR(O1926/N1926,0)</f>
        <v/>
      </c>
      <c r="T1926" t="n">
        <v>0</v>
      </c>
      <c r="V1926" t="n">
        <v>0</v>
      </c>
    </row>
    <row r="1927">
      <c r="A1927">
        <f>Skills!A23</f>
        <v/>
      </c>
      <c r="B1927">
        <f>Skills!B23</f>
        <v/>
      </c>
      <c r="C1927">
        <f>Inputs!$B$3&gt;=33</f>
        <v/>
      </c>
      <c r="D1927">
        <f>IF(Skills!C23=1,60+Inputs!$B$25+Inputs!$B$29,IF(Skills!C23=2,90+Inputs!$B$26+Inputs!$B$29,IF(Skills!C23=3,120+Inputs!$B$27+Inputs!$B$29,MAX(0,(Inputs!$B$3-100)*3)+Inputs!$B$28+Inputs!$B$29)))</f>
        <v/>
      </c>
      <c r="E1927">
        <f>INDEX(FactorTable!$B$2:$Y$301, MATCH(ROUND(MIN(300,MAX(1,D1927)),0), FactorTable!$A$2:$A$301,0), Skills!M23+1)</f>
        <v/>
      </c>
      <c r="F1927">
        <f>IF(Skills!N23=TRUE,(Skills!L23/10)*(E1927/1000),Skills!L23/10)+Skills!O23</f>
        <v/>
      </c>
      <c r="G1927">
        <f>Skills!G23*IF(Skills!H23&gt;0,Skills!I23/Skills!H23,1)</f>
        <v/>
      </c>
      <c r="H1927">
        <f>1-(1-Skills!J23/100)^Skills!K23</f>
        <v/>
      </c>
      <c r="I1927" t="inlineStr">
        <is>
          <t>1</t>
        </is>
      </c>
      <c r="J1927" t="inlineStr"/>
      <c r="K1927" t="inlineStr"/>
      <c r="L1927" t="inlineStr"/>
      <c r="M1927" t="inlineStr"/>
      <c r="N1927" t="inlineStr"/>
      <c r="O1927">
        <f>(1-Summary!$B$11)*T1927+Summary!$B$11*V1927</f>
        <v/>
      </c>
      <c r="P1927">
        <f>IF(B1948=0,0,O1927/B1948)</f>
        <v/>
      </c>
      <c r="Q1927" t="n">
        <v>0</v>
      </c>
      <c r="R1927" t="n">
        <v>0</v>
      </c>
      <c r="S1927">
        <f>IFERROR(O1927/N1927,0)</f>
        <v/>
      </c>
      <c r="T1927" t="n">
        <v>0</v>
      </c>
      <c r="V1927" t="n">
        <v>0</v>
      </c>
    </row>
    <row r="1928">
      <c r="A1928">
        <f>Skills!A24</f>
        <v/>
      </c>
      <c r="B1928">
        <f>Skills!B24</f>
        <v/>
      </c>
      <c r="C1928">
        <f>Inputs!$B$3&gt;=38</f>
        <v/>
      </c>
      <c r="D1928">
        <f>IF(Skills!C24=1,60+Inputs!$B$25+Inputs!$B$29,IF(Skills!C24=2,90+Inputs!$B$26+Inputs!$B$29,IF(Skills!C24=3,120+Inputs!$B$27+Inputs!$B$29,MAX(0,(Inputs!$B$3-100)*3)+Inputs!$B$28+Inputs!$B$29)))</f>
        <v/>
      </c>
      <c r="E1928">
        <f>INDEX(FactorTable!$B$2:$Y$301, MATCH(ROUND(MIN(300,MAX(1,D1928)),0), FactorTable!$A$2:$A$301,0), Skills!M24+1)</f>
        <v/>
      </c>
      <c r="F1928">
        <f>IF(Skills!N24=TRUE,(Skills!L24/10)*(E1928/1000),Skills!L24/10)+Skills!O24</f>
        <v/>
      </c>
      <c r="G1928">
        <f>Skills!G24*IF(Skills!H24&gt;0,Skills!I24/Skills!H24,1)</f>
        <v/>
      </c>
      <c r="H1928">
        <f>1-(1-Skills!J24/100)^Skills!K24</f>
        <v/>
      </c>
      <c r="I1928" t="inlineStr">
        <is>
          <t>1</t>
        </is>
      </c>
      <c r="J1928" t="inlineStr"/>
      <c r="K1928" t="inlineStr"/>
      <c r="L1928" t="inlineStr"/>
      <c r="M1928" t="inlineStr"/>
      <c r="N1928" t="inlineStr"/>
      <c r="O1928">
        <f>(1-Summary!$B$11)*T1928+Summary!$B$11*V1928</f>
        <v/>
      </c>
      <c r="P1928">
        <f>IF(B1948=0,0,O1928/B1948)</f>
        <v/>
      </c>
      <c r="Q1928" t="n">
        <v>0</v>
      </c>
      <c r="R1928" t="n">
        <v>0</v>
      </c>
      <c r="S1928">
        <f>IFERROR(O1928/N1928,0)</f>
        <v/>
      </c>
      <c r="T1928" t="n">
        <v>0</v>
      </c>
      <c r="V1928" t="n">
        <v>0</v>
      </c>
    </row>
    <row r="1929">
      <c r="A1929">
        <f>Skills!A25</f>
        <v/>
      </c>
      <c r="B1929">
        <f>Skills!B25</f>
        <v/>
      </c>
      <c r="C1929">
        <f>Inputs!$B$3&gt;=43</f>
        <v/>
      </c>
      <c r="D1929">
        <f>IF(Skills!C25=1,60+Inputs!$B$25+Inputs!$B$29,IF(Skills!C25=2,90+Inputs!$B$26+Inputs!$B$29,IF(Skills!C25=3,120+Inputs!$B$27+Inputs!$B$29,MAX(0,(Inputs!$B$3-100)*3)+Inputs!$B$28+Inputs!$B$29)))</f>
        <v/>
      </c>
      <c r="E1929">
        <f>INDEX(FactorTable!$B$2:$Y$301, MATCH(ROUND(MIN(300,MAX(1,D1929)),0), FactorTable!$A$2:$A$301,0), Skills!M25+1)</f>
        <v/>
      </c>
      <c r="F1929">
        <f>IF(Skills!N25=TRUE,(Skills!L25/10)*(E1929/1000),Skills!L25/10)+Skills!O25</f>
        <v/>
      </c>
      <c r="G1929">
        <f>Skills!G25*IF(Skills!H25&gt;0,Skills!I25/Skills!H25,1)</f>
        <v/>
      </c>
      <c r="H1929">
        <f>1-(1-Skills!J25/100)^Skills!K25</f>
        <v/>
      </c>
      <c r="I1929" t="inlineStr">
        <is>
          <t>1</t>
        </is>
      </c>
      <c r="J1929" t="inlineStr"/>
      <c r="K1929" t="inlineStr"/>
      <c r="L1929" t="inlineStr"/>
      <c r="M1929" t="inlineStr"/>
      <c r="N1929" t="inlineStr"/>
      <c r="O1929">
        <f>(1-Summary!$B$11)*T1929+Summary!$B$11*V1929</f>
        <v/>
      </c>
      <c r="P1929">
        <f>IF(B1948=0,0,O1929/B1948)</f>
        <v/>
      </c>
      <c r="Q1929" t="n">
        <v>0</v>
      </c>
      <c r="R1929" t="n">
        <v>0</v>
      </c>
      <c r="S1929">
        <f>IFERROR(O1929/N1929,0)</f>
        <v/>
      </c>
      <c r="T1929" t="n">
        <v>0</v>
      </c>
      <c r="V1929" t="n">
        <v>0</v>
      </c>
    </row>
    <row r="1930">
      <c r="A1930">
        <f>Skills!A26</f>
        <v/>
      </c>
      <c r="B1930">
        <f>Skills!B26</f>
        <v/>
      </c>
      <c r="C1930">
        <f>Inputs!$B$3&gt;=75</f>
        <v/>
      </c>
      <c r="D1930">
        <f>IF(Skills!C26=1,60+Inputs!$B$25+Inputs!$B$29,IF(Skills!C26=2,90+Inputs!$B$26+Inputs!$B$29,IF(Skills!C26=3,120+Inputs!$B$27+Inputs!$B$29,MAX(0,(Inputs!$B$3-100)*3)+Inputs!$B$28+Inputs!$B$29)))</f>
        <v/>
      </c>
      <c r="E1930">
        <f>INDEX(FactorTable!$B$2:$Y$301, MATCH(ROUND(MIN(300,MAX(1,D1930)),0), FactorTable!$A$2:$A$301,0), Skills!M26+1)</f>
        <v/>
      </c>
      <c r="F1930">
        <f>IF(Skills!N26=TRUE,(Skills!L26/10)*(E1930/1000),Skills!L26/10)+Skills!O26</f>
        <v/>
      </c>
      <c r="G1930">
        <f>Skills!G26*IF(Skills!H26&gt;0,Skills!I26/Skills!H26,1)</f>
        <v/>
      </c>
      <c r="H1930">
        <f>1-(1-Skills!J26/100)^Skills!K26</f>
        <v/>
      </c>
      <c r="I1930" t="inlineStr">
        <is>
          <t>1</t>
        </is>
      </c>
      <c r="J1930" t="inlineStr"/>
      <c r="K1930" t="inlineStr"/>
      <c r="L1930" t="inlineStr"/>
      <c r="M1930" t="inlineStr"/>
      <c r="N1930" t="inlineStr"/>
      <c r="O1930">
        <f>(1-Summary!$B$11)*T1930+Summary!$B$11*V1930</f>
        <v/>
      </c>
      <c r="P1930">
        <f>IF(B1948=0,0,O1930/B1948)</f>
        <v/>
      </c>
      <c r="Q1930" t="n">
        <v>0</v>
      </c>
      <c r="R1930" t="n">
        <v>0</v>
      </c>
      <c r="S1930">
        <f>IFERROR(O1930/N1930,0)</f>
        <v/>
      </c>
      <c r="T1930" t="n">
        <v>0</v>
      </c>
      <c r="V1930" t="n">
        <v>0</v>
      </c>
    </row>
    <row r="1931">
      <c r="A1931">
        <f>Skills!A27</f>
        <v/>
      </c>
      <c r="B1931">
        <f>Skills!B27</f>
        <v/>
      </c>
      <c r="C1931">
        <f>Inputs!$B$3&gt;=125</f>
        <v/>
      </c>
      <c r="D1931">
        <f>IF(Skills!C27=1,60+Inputs!$B$25+Inputs!$B$29,IF(Skills!C27=2,90+Inputs!$B$26+Inputs!$B$29,IF(Skills!C27=3,120+Inputs!$B$27+Inputs!$B$29,MAX(0,(Inputs!$B$3-100)*3)+Inputs!$B$28+Inputs!$B$29)))</f>
        <v/>
      </c>
      <c r="E1931">
        <f>INDEX(FactorTable!$B$2:$Y$301, MATCH(ROUND(MIN(300,MAX(1,D1931)),0), FactorTable!$A$2:$A$301,0), Skills!M27+1)</f>
        <v/>
      </c>
      <c r="F1931">
        <f>IF(Skills!N27=TRUE,(Skills!L27/10)*(E1931/1000),Skills!L27/10)+Skills!O27</f>
        <v/>
      </c>
      <c r="G1931">
        <f>Skills!G27*IF(Skills!H27&gt;0,Skills!I27/Skills!H27,1)</f>
        <v/>
      </c>
      <c r="H1931">
        <f>1-(1-Skills!J27/100)^Skills!K27</f>
        <v/>
      </c>
      <c r="I1931" t="inlineStr">
        <is>
          <t>1</t>
        </is>
      </c>
      <c r="J1931" t="inlineStr"/>
      <c r="K1931" t="inlineStr"/>
      <c r="L1931" t="inlineStr"/>
      <c r="M1931" t="inlineStr"/>
      <c r="N1931" t="inlineStr"/>
      <c r="O1931">
        <f>(1-Summary!$B$11)*T1931+Summary!$B$11*V1931</f>
        <v/>
      </c>
      <c r="P1931">
        <f>IF(B1948=0,0,O1931/B1948)</f>
        <v/>
      </c>
      <c r="Q1931" t="n">
        <v>0</v>
      </c>
      <c r="R1931" t="n">
        <v>0</v>
      </c>
      <c r="S1931">
        <f>IFERROR(O1931/N1931,0)</f>
        <v/>
      </c>
      <c r="T1931" t="n">
        <v>0</v>
      </c>
      <c r="V1931" t="n">
        <v>0</v>
      </c>
    </row>
    <row r="1932">
      <c r="A1932">
        <f>Skills!A28</f>
        <v/>
      </c>
      <c r="B1932">
        <f>Skills!B28</f>
        <v/>
      </c>
      <c r="C1932">
        <f>Inputs!$B$3&gt;=125</f>
        <v/>
      </c>
      <c r="D1932">
        <f>IF(Skills!C28=1,60+Inputs!$B$25+Inputs!$B$29,IF(Skills!C28=2,90+Inputs!$B$26+Inputs!$B$29,IF(Skills!C28=3,120+Inputs!$B$27+Inputs!$B$29,MAX(0,(Inputs!$B$3-100)*3)+Inputs!$B$28+Inputs!$B$29)))</f>
        <v/>
      </c>
      <c r="E1932">
        <f>INDEX(FactorTable!$B$2:$Y$301, MATCH(ROUND(MIN(300,MAX(1,D1932)),0), FactorTable!$A$2:$A$301,0), Skills!M28+1)</f>
        <v/>
      </c>
      <c r="F1932">
        <f>IF(Skills!N28=TRUE,(Skills!L28/10)*(E1932/1000),Skills!L28/10)+Skills!O28</f>
        <v/>
      </c>
      <c r="G1932">
        <f>Skills!G28*IF(Skills!H28&gt;0,Skills!I28/Skills!H28,1)</f>
        <v/>
      </c>
      <c r="H1932">
        <f>1-(1-Skills!J28/100)^Skills!K28</f>
        <v/>
      </c>
      <c r="I1932" t="inlineStr">
        <is>
          <t>1</t>
        </is>
      </c>
      <c r="J1932" t="inlineStr"/>
      <c r="K1932" t="inlineStr"/>
      <c r="L1932" t="inlineStr"/>
      <c r="M1932" t="inlineStr"/>
      <c r="N1932" t="inlineStr"/>
      <c r="O1932">
        <f>(1-Summary!$B$11)*T1932+Summary!$B$11*V1932</f>
        <v/>
      </c>
      <c r="P1932">
        <f>IF(B1948=0,0,O1932/B1948)</f>
        <v/>
      </c>
      <c r="Q1932" t="n">
        <v>0</v>
      </c>
      <c r="R1932" t="n">
        <v>0</v>
      </c>
      <c r="S1932">
        <f>IFERROR(O1932/N1932,0)</f>
        <v/>
      </c>
      <c r="T1932" t="n">
        <v>0</v>
      </c>
      <c r="V1932" t="n">
        <v>0</v>
      </c>
    </row>
    <row r="1933">
      <c r="A1933">
        <f>Skills!A29</f>
        <v/>
      </c>
      <c r="B1933">
        <f>Skills!B29</f>
        <v/>
      </c>
      <c r="C1933">
        <f>Inputs!$B$3&gt;=120</f>
        <v/>
      </c>
      <c r="D1933">
        <f>IF(Skills!C29=1,60+Inputs!$B$25+Inputs!$B$29,IF(Skills!C29=2,90+Inputs!$B$26+Inputs!$B$29,IF(Skills!C29=3,120+Inputs!$B$27+Inputs!$B$29,MAX(0,(Inputs!$B$3-100)*3)+Inputs!$B$28+Inputs!$B$29)))</f>
        <v/>
      </c>
      <c r="E1933">
        <f>INDEX(FactorTable!$B$2:$Y$301, MATCH(ROUND(MIN(300,MAX(1,D1933)),0), FactorTable!$A$2:$A$301,0), Skills!M29+1)</f>
        <v/>
      </c>
      <c r="F1933">
        <f>IF(Skills!N29=TRUE,(Skills!L29/10)*(E1933/1000),Skills!L29/10)+Skills!O29</f>
        <v/>
      </c>
      <c r="G1933">
        <f>Skills!G29*IF(Skills!H29&gt;0,Skills!I29/Skills!H29,1)</f>
        <v/>
      </c>
      <c r="H1933">
        <f>1-(1-Skills!J29/100)^Skills!K29</f>
        <v/>
      </c>
      <c r="I1933" t="inlineStr">
        <is>
          <t>1</t>
        </is>
      </c>
      <c r="J1933" t="inlineStr"/>
      <c r="K1933" t="inlineStr"/>
      <c r="L1933" t="inlineStr"/>
      <c r="M1933" t="inlineStr"/>
      <c r="N1933" t="inlineStr"/>
      <c r="O1933">
        <f>(1-Summary!$B$11)*T1933+Summary!$B$11*V1933</f>
        <v/>
      </c>
      <c r="P1933">
        <f>IF(B1948=0,0,O1933/B1948)</f>
        <v/>
      </c>
      <c r="Q1933" t="n">
        <v>0</v>
      </c>
      <c r="R1933" t="n">
        <v>0</v>
      </c>
      <c r="S1933">
        <f>IFERROR(O1933/N1933,0)</f>
        <v/>
      </c>
      <c r="T1933" t="n">
        <v>0</v>
      </c>
      <c r="V1933" t="n">
        <v>0</v>
      </c>
    </row>
    <row r="1934">
      <c r="A1934">
        <f>Skills!A30</f>
        <v/>
      </c>
      <c r="B1934">
        <f>Skills!B30</f>
        <v/>
      </c>
      <c r="C1934">
        <f>Inputs!$B$3&gt;=120</f>
        <v/>
      </c>
      <c r="D1934">
        <f>IF(Skills!C30=1,60+Inputs!$B$25+Inputs!$B$29,IF(Skills!C30=2,90+Inputs!$B$26+Inputs!$B$29,IF(Skills!C30=3,120+Inputs!$B$27+Inputs!$B$29,MAX(0,(Inputs!$B$3-100)*3)+Inputs!$B$28+Inputs!$B$29)))</f>
        <v/>
      </c>
      <c r="E1934">
        <f>INDEX(FactorTable!$B$2:$Y$301, MATCH(ROUND(MIN(300,MAX(1,D1934)),0), FactorTable!$A$2:$A$301,0), Skills!M30+1)</f>
        <v/>
      </c>
      <c r="F1934">
        <f>IF(Skills!N30=TRUE,(Skills!L30/10)*(E1934/1000),Skills!L30/10)+Skills!O30</f>
        <v/>
      </c>
      <c r="G1934">
        <f>Skills!G30*IF(Skills!H30&gt;0,Skills!I30/Skills!H30,1)</f>
        <v/>
      </c>
      <c r="H1934">
        <f>1-(1-Skills!J30/100)^Skills!K30</f>
        <v/>
      </c>
      <c r="I1934" t="inlineStr">
        <is>
          <t>1</t>
        </is>
      </c>
      <c r="J1934" t="inlineStr"/>
      <c r="K1934" t="inlineStr"/>
      <c r="L1934" t="inlineStr"/>
      <c r="M1934" t="inlineStr"/>
      <c r="N1934" t="inlineStr"/>
      <c r="O1934">
        <f>(1-Summary!$B$11)*T1934+Summary!$B$11*V1934</f>
        <v/>
      </c>
      <c r="P1934">
        <f>IF(B1948=0,0,O1934/B1948)</f>
        <v/>
      </c>
      <c r="Q1934" t="n">
        <v>0</v>
      </c>
      <c r="R1934" t="n">
        <v>0</v>
      </c>
      <c r="S1934">
        <f>IFERROR(O1934/N1934,0)</f>
        <v/>
      </c>
      <c r="T1934" t="n">
        <v>0</v>
      </c>
      <c r="V1934" t="n">
        <v>0</v>
      </c>
    </row>
    <row r="1935">
      <c r="A1935">
        <f>Skills!A31</f>
        <v/>
      </c>
      <c r="B1935">
        <f>Skills!B31</f>
        <v/>
      </c>
      <c r="C1935">
        <f>Inputs!$B$3&gt;=45</f>
        <v/>
      </c>
      <c r="D1935">
        <f>IF(Skills!C31=1,60+Inputs!$B$25+Inputs!$B$29,IF(Skills!C31=2,90+Inputs!$B$26+Inputs!$B$29,IF(Skills!C31=3,120+Inputs!$B$27+Inputs!$B$29,MAX(0,(Inputs!$B$3-100)*3)+Inputs!$B$28+Inputs!$B$29)))</f>
        <v/>
      </c>
      <c r="E1935">
        <f>INDEX(FactorTable!$B$2:$Y$301, MATCH(ROUND(MIN(300,MAX(1,D1935)),0), FactorTable!$A$2:$A$301,0), Skills!M31+1)</f>
        <v/>
      </c>
      <c r="F1935">
        <f>IF(Skills!N31=TRUE,(Skills!L31/10)*(E1935/1000),Skills!L31/10)+Skills!O31</f>
        <v/>
      </c>
      <c r="G1935">
        <f>Skills!G31*IF(Skills!H31&gt;0,Skills!I31/Skills!H31,1)</f>
        <v/>
      </c>
      <c r="H1935">
        <f>1-(1-Skills!J31/100)^Skills!K31</f>
        <v/>
      </c>
      <c r="I1935" t="inlineStr">
        <is>
          <t>1</t>
        </is>
      </c>
      <c r="J1935" t="inlineStr"/>
      <c r="K1935" t="inlineStr"/>
      <c r="L1935" t="inlineStr"/>
      <c r="M1935" t="inlineStr"/>
      <c r="N1935" t="inlineStr"/>
      <c r="O1935">
        <f>(1-Summary!$B$11)*T1935+Summary!$B$11*V1935</f>
        <v/>
      </c>
      <c r="P1935">
        <f>IF(B1948=0,0,O1935/B1948)</f>
        <v/>
      </c>
      <c r="Q1935" t="n">
        <v>0</v>
      </c>
      <c r="R1935" t="n">
        <v>0</v>
      </c>
      <c r="S1935">
        <f>IFERROR(O1935/N1935,0)</f>
        <v/>
      </c>
      <c r="T1935" t="n">
        <v>0</v>
      </c>
      <c r="V1935" t="n">
        <v>0</v>
      </c>
    </row>
    <row r="1937">
      <c r="A1937" t="inlineStr">
        <is>
          <t>Attack% Bucket Multiplier</t>
        </is>
      </c>
      <c r="B1937">
        <f>(1+(((C1918=TRUE)*F1918)+((C1919=TRUE)*IF(Inputs!$B$38="pvp",F1919,(1-Summary!$B$11)*(F1919)+Summary!$B$11*(0)))+((C1920=TRUE)*F1920*IF(AND(Inputs!$B$38&lt;&gt;"pvp",Inputs!$B$43&gt;0),(((R1920-1)*(Skills!T16*(1+Inputs!$B$34/100))+MIN((Skills!T16*(1+Inputs!$B$34/100)),MAX(0,Inputs!$B$43-((R1920-1)*Skills!D16))))/Inputs!$B$43),IF(Inputs!$B$38="pvp",MIN((Skills!T16*(1+Inputs!$B$34/100)),15)/15,(Skills!T16*(1+Inputs!$B$34/100))/Skills!D16)))+((C1935=TRUE)*(F1935-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38">
      <c r="A1938" t="inlineStr">
        <is>
          <t>Global Crit Rate Bonus %</t>
        </is>
      </c>
      <c r="B1938">
        <f>(C1921=TRUE)*20*IF(AND(Inputs!$B$38&lt;&gt;"pvp",Inputs!$B$43&gt;0),(((R1921-1)*(Skills!T17*(1+Inputs!$B$34/100))+MIN((Skills!T17*(1+Inputs!$B$34/100)),MAX(0,Inputs!$B$43-((R1921-1)*Skills!D17))))/Inputs!$B$43),IF(Inputs!$B$38="pvp",MIN((Skills!T17*(1+Inputs!$B$34/100)),15)/15,(Skills!T17*(1+Inputs!$B$34/100))/Skills!D17))</f>
        <v/>
      </c>
    </row>
    <row r="1939">
      <c r="A1939" t="inlineStr">
        <is>
          <t>Attack Speed Buff Bonus %</t>
        </is>
      </c>
      <c r="B1939">
        <f>((C1924=TRUE)*F1924*IF(AND(Inputs!$B$38&lt;&gt;"pvp",Inputs!$B$43&gt;0),(((R1924-1)*(Skills!T20*(1+Inputs!$B$34/100))+MIN((Skills!T20*(1+Inputs!$B$34/100)),MAX(0,Inputs!$B$43-((R1924-1)*Skills!D20))))/Inputs!$B$43),IF(Inputs!$B$38="pvp",MIN((Skills!T20*(1+Inputs!$B$34/100)),15)/15,(Skills!T20*(1+Inputs!$B$34/100))/Skills!D20)))</f>
        <v/>
      </c>
    </row>
    <row r="1940">
      <c r="A1940" t="inlineStr">
        <is>
          <t>Actions Per Second</t>
        </is>
      </c>
      <c r="B1940">
        <f>1+MIN(150,150*(1-(1-(Inputs!$B$11+((C1926=TRUE)*(F1926-Calc!F22))+((C1927=TRUE)*(F1927-Calc!F23)))/150)*(1-B1939/150)))/100</f>
        <v/>
      </c>
    </row>
    <row r="1941">
      <c r="A1941" t="inlineStr">
        <is>
          <t>Skill + Buff Cast Rate</t>
        </is>
      </c>
      <c r="B1941">
        <f>IF(AND(Inputs!$B$38&lt;&gt;"pvp",Inputs!$B$43&gt;0),SUMPRODUCT((Skills!E2:E31=TRUE)*(C1906:C1935=TRUE)*R1906:R1935*Skills!F2:F31)/Inputs!$B$43,SUMPRODUCT((Skills!E2:E31=TRUE)*(C1906:C1935=TRUE)*Q1906:Q1935*Skills!F2:F31))</f>
        <v/>
      </c>
    </row>
    <row r="1942">
      <c r="A1942" t="inlineStr">
        <is>
          <t>Arrow Stream Casts Per Second</t>
        </is>
      </c>
      <c r="B1942">
        <f>MAX(0,B1940-B1941)</f>
        <v/>
      </c>
    </row>
    <row r="1943">
      <c r="A1943" t="inlineStr">
        <is>
          <t>Global Critical Damage Bonus % (Sharp Eyes + Concentration)</t>
        </is>
      </c>
      <c r="B1943">
        <f>(C1921=TRUE)*F1921*IF(AND(Inputs!$B$38&lt;&gt;"pvp",Inputs!$B$43&gt;0),(((R1921-1)*(Skills!T17*(1+Inputs!$B$34/100))+MIN((Skills!T17*(1+Inputs!$B$34/100)),MAX(0,Inputs!$B$43-((R1921-1)*Skills!D17))))/Inputs!$B$43),IF(Inputs!$B$38="pvp",MIN((Skills!T17*(1+Inputs!$B$34/100)),15)/15,(Skills!T17*(1+Inputs!$B$34/100))/Skills!D17))+(C1922=TRUE)*30</f>
        <v/>
      </c>
    </row>
    <row r="1944">
      <c r="A1944" t="inlineStr">
        <is>
          <t>Global Final Damage Bonus % (Mortal Blow)</t>
        </is>
      </c>
      <c r="B1944">
        <f>(C1923=TRUE)*F1923</f>
        <v/>
      </c>
    </row>
    <row r="1945">
      <c r="A1945" t="inlineStr">
        <is>
          <t>Buff-Casting Startup Delay (s, fixed-duration only)</t>
        </is>
      </c>
      <c r="B1945">
        <f>IF(AND(Inputs!$B$38&lt;&gt;"pvp",Inputs!$B$43&gt;0),SUMPRODUCT((Skills!T2:T31&gt;0)*(Skills!E2:E31=TRUE)*(C1906:C1935=TRUE))/B1940,0)</f>
        <v/>
      </c>
    </row>
    <row r="1946">
      <c r="A1946" t="inlineStr">
        <is>
          <t>Boss-Only Total DPS (this block's swept value)</t>
        </is>
      </c>
      <c r="B1946">
        <f>SUM(T1906:T1935)</f>
        <v/>
      </c>
    </row>
    <row r="1947">
      <c r="A1947" t="inlineStr">
        <is>
          <t>Normal-Only Total DPS (this block's swept value)</t>
        </is>
      </c>
      <c r="B1947">
        <f>SUM(V1906:V1935)</f>
        <v/>
      </c>
    </row>
    <row r="1948">
      <c r="A1948" s="6" t="inlineStr">
        <is>
          <t>TOTAL DPS</t>
        </is>
      </c>
      <c r="B1948" s="6">
        <f>SUM(O1906:O1935)</f>
        <v/>
      </c>
    </row>
    <row r="1951">
      <c r="A1951" s="6" t="inlineStr">
        <is>
          <t>Stat: Old Music Box (Equip)</t>
        </is>
      </c>
    </row>
    <row r="1952">
      <c r="A1952" s="5" t="inlineStr">
        <is>
          <t>Key</t>
        </is>
      </c>
      <c r="B1952" s="5" t="inlineStr">
        <is>
          <t>Name</t>
        </is>
      </c>
      <c r="C1952" s="5" t="inlineStr">
        <is>
          <t>Unlocked</t>
        </is>
      </c>
      <c r="D1952" s="5" t="inlineStr">
        <is>
          <t>InputLevel</t>
        </is>
      </c>
      <c r="E1952" s="5" t="inlineStr">
        <is>
          <t>Factor</t>
        </is>
      </c>
      <c r="F1952" s="5" t="inlineStr">
        <is>
          <t>CoefficientPercent</t>
        </is>
      </c>
      <c r="G1952" s="5" t="inlineStr">
        <is>
          <t>EffectiveHits</t>
        </is>
      </c>
      <c r="H1952" s="5" t="inlineStr">
        <is>
          <t>ProcProbability</t>
        </is>
      </c>
      <c r="I1952" s="5" t="inlineStr">
        <is>
          <t>MapleHeroMultiplier</t>
        </is>
      </c>
      <c r="J1952" s="5" t="inlineStr">
        <is>
          <t>BaseDamage</t>
        </is>
      </c>
      <c r="K1952" s="5" t="inlineStr">
        <is>
          <t>BaseHitDamage</t>
        </is>
      </c>
      <c r="L1952" s="5" t="inlineStr">
        <is>
          <t>NonCritAvg</t>
        </is>
      </c>
      <c r="M1952" s="5" t="inlineStr">
        <is>
          <t>CritAvg</t>
        </is>
      </c>
      <c r="N1952" s="5" t="inlineStr">
        <is>
          <t>ExpectedDamage(perHit)</t>
        </is>
      </c>
      <c r="O1952" s="5" t="inlineStr">
        <is>
          <t>DPS</t>
        </is>
      </c>
      <c r="P1952" s="5" t="inlineStr">
        <is>
          <t>% of Total</t>
        </is>
      </c>
      <c r="Q1952" s="5" t="inlineStr">
        <is>
          <t>InvCooldown</t>
        </is>
      </c>
      <c r="R1952" s="5" t="inlineStr">
        <is>
          <t>CastsInFight</t>
        </is>
      </c>
      <c r="S1952" s="5" t="inlineStr">
        <is>
          <t>HitRate(perSec)</t>
        </is>
      </c>
      <c r="U1952" t="inlineStr">
        <is>
          <t>helpers</t>
        </is>
      </c>
    </row>
    <row r="1953">
      <c r="A1953">
        <f>Skills!A2</f>
        <v/>
      </c>
      <c r="B1953">
        <f>Skills!B2</f>
        <v/>
      </c>
      <c r="C1953">
        <f>Inputs!$B$3&gt;=100</f>
        <v/>
      </c>
      <c r="D1953" t="inlineStr"/>
      <c r="E1953" t="inlineStr"/>
      <c r="F1953">
        <f>U1955+Skills!O2</f>
        <v/>
      </c>
      <c r="G1953">
        <f>Skills!G2*IF(Skills!H2&gt;0,Skills!I2/Skills!H2,1)</f>
        <v/>
      </c>
      <c r="H1953">
        <f>1-(1-Skills!J2/100)^Skills!K2</f>
        <v/>
      </c>
      <c r="I1953" t="inlineStr">
        <is>
          <t>1</t>
        </is>
      </c>
      <c r="J1953">
        <f>((Inputs!$B$6*(1+Inputs!$B$7/100))+(((Inputs!$B$12*(1+Inputs!$B$13/100))-(Inputs!$B$12*(1+Inputs!$B$13/100)))+0.25*(Inputs!$B$14-Inputs!$B$14))*(1+Inputs!$B$7/100))*(F1953/100)</f>
        <v/>
      </c>
      <c r="K1953">
        <f>J1953*(1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1953)</f>
        <v/>
      </c>
      <c r="L1953">
        <f>K1953*(MIN(Inputs!$B$22+((C1976=TRUE)*(F1976-Calc!F25)),(Inputs!$B$23+((C1981=TRUE)*(F1981-Calc!F30))+(IF(ArtifactsInput!$M$15,CHOOSE(ArtifactsInput!$N$15+1,25,30,35,40,45,50)/100*(Inputs!$B$11-Inputs!$B$11),0))))/100+(Inputs!$B$23+((C1981=TRUE)*(F1981-Calc!F30))+(IF(ArtifactsInput!$M$15,CHOOSE(ArtifactsInput!$N$15+1,25,30,35,40,45,50)/100*(Inputs!$B$11-Inputs!$B$11),0)))/100)/2</f>
        <v/>
      </c>
      <c r="M1953">
        <f>L1953*(1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3">
        <f>L1953*(1-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1953*(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3">
        <f>(1-Summary!$B$11)*T1953+Summary!$B$11*V1953</f>
        <v/>
      </c>
      <c r="P1953">
        <f>IF(B1995=0,0,O1953/B1995)</f>
        <v/>
      </c>
      <c r="Q1953" t="n">
        <v>0</v>
      </c>
      <c r="R1953" t="n">
        <v>0</v>
      </c>
      <c r="S1953">
        <f>IFERROR(O1953/N1953,0)</f>
        <v/>
      </c>
      <c r="T1953">
        <f>IF(C1953,(Skills!G2*N1953*B1989)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1953*(1-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1953*(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1953*(1-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1953*(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3">
        <f>MAX(0,(Inputs!$B$3-100)*3)+Inputs!$B$28+Inputs!$B$29</f>
        <v/>
      </c>
      <c r="V1953">
        <f>IF(C1953,(Skills!G2*N1953*B1989)*IF(Inputs!$B$38="pvp",1,(1+(Inputs!$B$21+Skills!Q2+(IF(ArtifactsInput!$M$33,CHOOSE(ArtifactsInput!$N$33+1,30,36,42,48,54,60),0))+(IF(AND(ArtifactsInput!$M$35,Inputs!$B$4&lt;&gt;"Chapter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4">
      <c r="A1954">
        <f>Skills!A3</f>
        <v/>
      </c>
      <c r="B1954">
        <f>Skills!B3</f>
        <v/>
      </c>
      <c r="C1954">
        <f>Inputs!$B$3&gt;=50</f>
        <v/>
      </c>
      <c r="D1954">
        <f>IF(Skills!C3=1,60+Inputs!$B$25+Inputs!$B$29,IF(Skills!C3=2,90+Inputs!$B$26+Inputs!$B$29,IF(Skills!C3=3,120+Inputs!$B$27+Inputs!$B$29,MAX(0,(Inputs!$B$3-100)*3)+Inputs!$B$28+Inputs!$B$29)))</f>
        <v/>
      </c>
      <c r="E1954">
        <f>INDEX(FactorTable!$B$2:$Y$301, MATCH(ROUND(MIN(300,MAX(1,D1954)),0), FactorTable!$A$2:$A$301,0), Skills!M3+1)</f>
        <v/>
      </c>
      <c r="F1954">
        <f>IF(Skills!N3=TRUE,(Skills!L3/10)*(E1954/1000),Skills!L3/10)+Skills!O3</f>
        <v/>
      </c>
      <c r="G1954">
        <f>Skills!G3*IF(Skills!H3&gt;0,Skills!I3/Skills!H3,1)</f>
        <v/>
      </c>
      <c r="H1954">
        <f>1-(1-Skills!J3/100)^Skills!K3</f>
        <v/>
      </c>
      <c r="I1954" t="inlineStr">
        <is>
          <t>1</t>
        </is>
      </c>
      <c r="J1954">
        <f>((Inputs!$B$6*(1+Inputs!$B$7/100))+(((Inputs!$B$12*(1+Inputs!$B$13/100))-(Inputs!$B$12*(1+Inputs!$B$13/100)))+0.25*(Inputs!$B$14-Inputs!$B$14))*(1+Inputs!$B$7/100))*(F1954/100)</f>
        <v/>
      </c>
      <c r="K1954">
        <f>J1954*(1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1955=TRUE,F1955,0)/100)*(1+(IF(Skills!A3="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1954)</f>
        <v/>
      </c>
      <c r="L1954">
        <f>K1954*(MIN(Inputs!$B$22+((C1976=TRUE)*(F1976-Calc!F25)),(Inputs!$B$23+((C1981=TRUE)*(F1981-Calc!F30))+(IF(ArtifactsInput!$M$15,CHOOSE(ArtifactsInput!$N$15+1,25,30,35,40,45,50)/100*(Inputs!$B$11-Inputs!$B$11),0))))/100+(Inputs!$B$23+((C1981=TRUE)*(F1981-Calc!F30))+(IF(ArtifactsInput!$M$15,CHOOSE(ArtifactsInput!$N$15+1,25,30,35,40,45,50)/100*(Inputs!$B$11-Inputs!$B$11),0)))/100)/2</f>
        <v/>
      </c>
      <c r="M1954">
        <f>L1954*(1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4">
        <f>L1954*(1-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1954*(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4">
        <f>(1-Summary!$B$11)*T1954+Summary!$B$11*V1954</f>
        <v/>
      </c>
      <c r="P1954">
        <f>IF(B1995=0,0,O1954/B1995)</f>
        <v/>
      </c>
      <c r="Q1954">
        <f>IFERROR(1/(IF(Inputs!$B$38="pvp",15,MAX(0.1,Skills!D3-IF(Skills!E3=TRUE,Inputs!$B$32,0)))*(1-IF(AND(ArtifactsInput!$M$27,Inputs!$B$4="Chapter Hunt"),CHOOSE(ArtifactsInput!$N$27+1,20,24,28,32,36,40),0)/100)),0)</f>
        <v/>
      </c>
      <c r="R1954">
        <f>IF(AND(Inputs!$B$38&lt;&gt;"pvp",Inputs!$B$43&gt;0),IF(MAX(0,Inputs!$B$43-B1992)&lt;=0,0,(INT(MAX(0,Inputs!$B$43-B1992)/(IF(Inputs!$B$38="pvp",15,MAX(0.1,Skills!D3-IF(Skills!E3=TRUE,Inputs!$B$32,0)))*(1-IF(AND(ArtifactsInput!$M$27,Inputs!$B$4="Chapter Hunt"),CHOOSE(ArtifactsInput!$N$27+1,20,24,28,32,36,40),0)/100)))+1)),0)</f>
        <v/>
      </c>
      <c r="S1954">
        <f>IFERROR(O1954/N1954,0)</f>
        <v/>
      </c>
      <c r="T1954">
        <f>IF(C1954,(H1954*N1954*IF(AND(Inputs!$B$38&lt;&gt;"pvp",Inputs!$B$43&gt;0),((Skills!G3*((R1954-1)*IF(Skills!H3&gt;0,Skills!I3/Skills!H3,1)+IF(Skills!H3&gt;0,MIN(Skills!I3,MAX(0,MAX(0,Inputs!$B$43-B1992)-((R1954-1)*(IF(Inputs!$B$38="pvp",15,MAX(0.1,Skills!D3-IF(Skills!E3=TRUE,Inputs!$B$32,0)))*(1-IF(AND(ArtifactsInput!$M$27,Inputs!$B$4="Chapter Hunt"),CHOOSE(ArtifactsInput!$N$27+1,20,24,28,32,36,40),0)/100)))))/Skills!H3,1)))/Inputs!$B$43),G1954*Q1954)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1954*(1-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1954*(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1954*(1-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1954*(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4">
        <f>INDEX(FactorTable!$B$2:$Y$301, MATCH(ROUND(MIN(300,MAX(1,U1953)),0), FactorTable!$A$2:$A$301,0), 22)</f>
        <v/>
      </c>
      <c r="V1954">
        <f>IF(C1954,(H1954*N1954*IF(AND(Inputs!$B$38&lt;&gt;"pvp",Inputs!$B$43&gt;0),((Skills!G3*((R1954-1)*IF(Skills!H3&gt;0,Skills!I3/Skills!H3,1)+IF(Skills!H3&gt;0,MIN(Skills!I3,MAX(0,MAX(0,Inputs!$B$43-B1992)-((R1954-1)*(IF(Inputs!$B$38="pvp",15,MAX(0.1,Skills!D3-IF(Skills!E3=TRUE,Inputs!$B$32,0)))*(1-IF(AND(ArtifactsInput!$M$27,Inputs!$B$4="Chapter Hunt"),CHOOSE(ArtifactsInput!$N$27+1,20,24,28,32,36,40),0)/100)))))/Skills!H3,1)))/Inputs!$B$43),G1954*Q1954))*IF(Inputs!$B$38="pvp",1,(1+(Inputs!$B$21+Skills!Q3+(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5">
      <c r="A1955">
        <f>Skills!A4</f>
        <v/>
      </c>
      <c r="B1955">
        <f>Skills!B4</f>
        <v/>
      </c>
      <c r="C1955">
        <f>Inputs!$B$3&gt;=105</f>
        <v/>
      </c>
      <c r="D1955">
        <f>IF(Skills!C4=1,60+Inputs!$B$25+Inputs!$B$29,IF(Skills!C4=2,90+Inputs!$B$26+Inputs!$B$29,IF(Skills!C4=3,120+Inputs!$B$27+Inputs!$B$29,MAX(0,(Inputs!$B$3-100)*3)+Inputs!$B$28+Inputs!$B$29)))</f>
        <v/>
      </c>
      <c r="E1955">
        <f>INDEX(FactorTable!$B$2:$Y$301, MATCH(ROUND(MIN(300,MAX(1,D1955)),0), FactorTable!$A$2:$A$301,0), Skills!M4+1)</f>
        <v/>
      </c>
      <c r="F1955">
        <f>IF(Skills!N4=TRUE,(Skills!L4/10)*(E1955/1000),Skills!L4/10)+Skills!O4</f>
        <v/>
      </c>
      <c r="G1955" t="inlineStr"/>
      <c r="H1955" t="inlineStr"/>
      <c r="I1955" t="inlineStr">
        <is>
          <t>1</t>
        </is>
      </c>
      <c r="J1955" t="inlineStr"/>
      <c r="K1955" t="inlineStr"/>
      <c r="L1955" t="inlineStr"/>
      <c r="M1955" t="inlineStr"/>
      <c r="N1955" t="inlineStr"/>
      <c r="O1955" t="inlineStr"/>
      <c r="P1955" t="inlineStr"/>
      <c r="Q1955" t="inlineStr"/>
      <c r="R1955" t="inlineStr"/>
      <c r="S1955" t="inlineStr"/>
      <c r="T1955" t="inlineStr"/>
      <c r="U1955">
        <f>290*U1954/1000</f>
        <v/>
      </c>
      <c r="V1955" t="inlineStr"/>
    </row>
    <row r="1956">
      <c r="A1956">
        <f>Skills!A5</f>
        <v/>
      </c>
      <c r="B1956">
        <f>Skills!B5</f>
        <v/>
      </c>
      <c r="C1956">
        <f>Inputs!$B$3&gt;=35</f>
        <v/>
      </c>
      <c r="D1956">
        <f>IF(Skills!C5=1,60+Inputs!$B$25+Inputs!$B$29,IF(Skills!C5=2,90+Inputs!$B$26+Inputs!$B$29,IF(Skills!C5=3,120+Inputs!$B$27+Inputs!$B$29,MAX(0,(Inputs!$B$3-100)*3)+Inputs!$B$28+Inputs!$B$29)))</f>
        <v/>
      </c>
      <c r="E1956">
        <f>INDEX(FactorTable!$B$2:$Y$301, MATCH(ROUND(MIN(300,MAX(1,D1956)),0), FactorTable!$A$2:$A$301,0), Skills!M5+1)</f>
        <v/>
      </c>
      <c r="F1956">
        <f>IF(Skills!N5=TRUE,(Skills!L5/10)*(E1956/1000),Skills!L5/10)+Skills!O5</f>
        <v/>
      </c>
      <c r="G1956">
        <f>Skills!G5*IF(Skills!H5&gt;0,Skills!I5/Skills!H5,1)</f>
        <v/>
      </c>
      <c r="H1956">
        <f>1-(1-Skills!J5/100)^Skills!K5</f>
        <v/>
      </c>
      <c r="I1956" t="inlineStr">
        <is>
          <t>1</t>
        </is>
      </c>
      <c r="J1956">
        <f>((Inputs!$B$6*(1+Inputs!$B$7/100))+(((Inputs!$B$12*(1+Inputs!$B$13/100))-(Inputs!$B$12*(1+Inputs!$B$13/100)))+0.25*(Inputs!$B$14-Inputs!$B$14))*(1+Inputs!$B$7/100))*(F1956/100)</f>
        <v/>
      </c>
      <c r="K1956">
        <f>J1956*(1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1962=TRUE,F1962,0)/100)*(1+(IF(Skills!A5="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1956)</f>
        <v/>
      </c>
      <c r="L1956">
        <f>K1956*(MIN(Inputs!$B$22+((C1976=TRUE)*(F1976-Calc!F25)),(Inputs!$B$23+((C1981=TRUE)*(F1981-Calc!F30))+(IF(ArtifactsInput!$M$15,CHOOSE(ArtifactsInput!$N$15+1,25,30,35,40,45,50)/100*(Inputs!$B$11-Inputs!$B$11),0))))/100+(Inputs!$B$23+((C1981=TRUE)*(F1981-Calc!F30))+(IF(ArtifactsInput!$M$15,CHOOSE(ArtifactsInput!$N$15+1,25,30,35,40,45,50)/100*(Inputs!$B$11-Inputs!$B$11),0)))/100)/2</f>
        <v/>
      </c>
      <c r="M1956">
        <f>L1956*(1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6">
        <f>L1956*(1-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1956*(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6">
        <f>(1-Summary!$B$11)*T1956+Summary!$B$11*V1956</f>
        <v/>
      </c>
      <c r="P1956">
        <f>IF(B1995=0,0,O1956/B1995)</f>
        <v/>
      </c>
      <c r="Q1956">
        <f>IFERROR(1/(IF(Inputs!$B$38="pvp",15,MAX(0.1,Skills!D5-IF(Skills!E5=TRUE,Inputs!$B$32,0)))*(1-IF(AND(ArtifactsInput!$M$27,Inputs!$B$4="Chapter Hunt"),CHOOSE(ArtifactsInput!$N$27+1,20,24,28,32,36,40),0)/100)),0)</f>
        <v/>
      </c>
      <c r="R1956">
        <f>IF(AND(Inputs!$B$38&lt;&gt;"pvp",Inputs!$B$43&gt;0),IF(MAX(0,Inputs!$B$43-B1992)&lt;=0,0,(INT(MAX(0,Inputs!$B$43-B1992)/(IF(Inputs!$B$38="pvp",15,MAX(0.1,Skills!D5-IF(Skills!E5=TRUE,Inputs!$B$32,0)))*(1-IF(AND(ArtifactsInput!$M$27,Inputs!$B$4="Chapter Hunt"),CHOOSE(ArtifactsInput!$N$27+1,20,24,28,32,36,40),0)/100)))+1)),0)</f>
        <v/>
      </c>
      <c r="S1956">
        <f>IFERROR(O1956/N1956,0)</f>
        <v/>
      </c>
      <c r="T1956">
        <f>IF(C1956,(H1956*N1956*IF(AND(Inputs!$B$38&lt;&gt;"pvp",Inputs!$B$43&gt;0),((Skills!G5*((R1956-1)*IF(Skills!H5&gt;0,Skills!I5/Skills!H5,1)+IF(Skills!H5&gt;0,MIN(Skills!I5,MAX(0,MAX(0,Inputs!$B$43-B1992)-((R1956-1)*(IF(Inputs!$B$38="pvp",15,MAX(0.1,Skills!D5-IF(Skills!E5=TRUE,Inputs!$B$32,0)))*(1-IF(AND(ArtifactsInput!$M$27,Inputs!$B$4="Chapter Hunt"),CHOOSE(ArtifactsInput!$N$27+1,20,24,28,32,36,40),0)/100)))))/Skills!H5,1)))/Inputs!$B$43),G1956*Q1956)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1956*(1-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1956*(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1956*(1-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1956*(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6">
        <f>IF(C1956,(H1956*N1956*IF(AND(Inputs!$B$38&lt;&gt;"pvp",Inputs!$B$43&gt;0),((Skills!G5*((R1956-1)*IF(Skills!H5&gt;0,Skills!I5/Skills!H5,1)+IF(Skills!H5&gt;0,MIN(Skills!I5,MAX(0,MAX(0,Inputs!$B$43-B1992)-((R1956-1)*(IF(Inputs!$B$38="pvp",15,MAX(0.1,Skills!D5-IF(Skills!E5=TRUE,Inputs!$B$32,0)))*(1-IF(AND(ArtifactsInput!$M$27,Inputs!$B$4="Chapter Hunt"),CHOOSE(ArtifactsInput!$N$27+1,20,24,28,32,36,40),0)/100)))))/Skills!H5,1)))/Inputs!$B$43),G1956*Q1956))*IF(Inputs!$B$38="pvp",1,(1+(Inputs!$B$21+Skills!Q5+(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7">
      <c r="A1957">
        <f>Skills!A6</f>
        <v/>
      </c>
      <c r="B1957">
        <f>Skills!B6</f>
        <v/>
      </c>
      <c r="C1957">
        <f>Inputs!$B$3&gt;=40</f>
        <v/>
      </c>
      <c r="D1957">
        <f>IF(Skills!C6=1,60+Inputs!$B$25+Inputs!$B$29,IF(Skills!C6=2,90+Inputs!$B$26+Inputs!$B$29,IF(Skills!C6=3,120+Inputs!$B$27+Inputs!$B$29,MAX(0,(Inputs!$B$3-100)*3)+Inputs!$B$28+Inputs!$B$29)))</f>
        <v/>
      </c>
      <c r="E1957">
        <f>INDEX(FactorTable!$B$2:$Y$301, MATCH(ROUND(MIN(300,MAX(1,D1957)),0), FactorTable!$A$2:$A$301,0), Skills!M6+1)</f>
        <v/>
      </c>
      <c r="F1957">
        <f>IF(Skills!N6=TRUE,(Skills!L6/10)*(E1957/1000),Skills!L6/10)+Skills!O6</f>
        <v/>
      </c>
      <c r="G1957">
        <f>Skills!G6*IF(Skills!H6&gt;0,Skills!I6/Skills!H6,1)</f>
        <v/>
      </c>
      <c r="H1957">
        <f>1-(1-Skills!J6/100)^Skills!K6</f>
        <v/>
      </c>
      <c r="I1957" t="inlineStr">
        <is>
          <t>1</t>
        </is>
      </c>
      <c r="J1957">
        <f>((Inputs!$B$6*(1+Inputs!$B$7/100))+(((Inputs!$B$12*(1+Inputs!$B$13/100))-(Inputs!$B$12*(1+Inputs!$B$13/100)))+0.25*(Inputs!$B$14-Inputs!$B$14))*(1+Inputs!$B$7/100))*(F1957/100)</f>
        <v/>
      </c>
      <c r="K1957">
        <f>J1957*(1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1958=TRUE,F1958,0)/100)*(1+(IF(Skills!A6="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1957)</f>
        <v/>
      </c>
      <c r="L1957">
        <f>K1957*(MIN(Inputs!$B$22+((C1976=TRUE)*(F1976-Calc!F25)),(Inputs!$B$23+((C1981=TRUE)*(F1981-Calc!F30))+(IF(ArtifactsInput!$M$15,CHOOSE(ArtifactsInput!$N$15+1,25,30,35,40,45,50)/100*(Inputs!$B$11-Inputs!$B$11),0))))/100+(Inputs!$B$23+((C1981=TRUE)*(F1981-Calc!F30))+(IF(ArtifactsInput!$M$15,CHOOSE(ArtifactsInput!$N$15+1,25,30,35,40,45,50)/100*(Inputs!$B$11-Inputs!$B$11),0)))/100)/2</f>
        <v/>
      </c>
      <c r="M1957">
        <f>L1957*(1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7">
        <f>L1957*(1-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1957*(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7">
        <f>(1-Summary!$B$11)*T1957+Summary!$B$11*V1957</f>
        <v/>
      </c>
      <c r="P1957">
        <f>IF(B1995=0,0,O1957/B1995)</f>
        <v/>
      </c>
      <c r="Q1957">
        <f>IFERROR(1/(IF(Inputs!$B$38="pvp",15,MAX(0.1,Skills!D6-IF(Skills!E6=TRUE,Inputs!$B$32,0)))*(1-IF(AND(ArtifactsInput!$M$27,Inputs!$B$4="Chapter Hunt"),CHOOSE(ArtifactsInput!$N$27+1,20,24,28,32,36,40),0)/100)),0)</f>
        <v/>
      </c>
      <c r="R1957">
        <f>IF(AND(Inputs!$B$38&lt;&gt;"pvp",Inputs!$B$43&gt;0),IF(MAX(0,Inputs!$B$43-B1992)&lt;=0,0,(INT(MAX(0,Inputs!$B$43-B1992)/(IF(Inputs!$B$38="pvp",15,MAX(0.1,Skills!D6-IF(Skills!E6=TRUE,Inputs!$B$32,0)))*(1-IF(AND(ArtifactsInput!$M$27,Inputs!$B$4="Chapter Hunt"),CHOOSE(ArtifactsInput!$N$27+1,20,24,28,32,36,40),0)/100)))+1)),0)</f>
        <v/>
      </c>
      <c r="S1957">
        <f>IFERROR(O1957/N1957,0)</f>
        <v/>
      </c>
      <c r="T1957">
        <f>IF(C1957,(H1957*N1957*IF(AND(Inputs!$B$38&lt;&gt;"pvp",Inputs!$B$43&gt;0),((Skills!G6*((R1957-1)*IF(Skills!H6&gt;0,Skills!I6/Skills!H6,1)+IF(Skills!H6&gt;0,MIN(Skills!I6,MAX(0,MAX(0,Inputs!$B$43-B1992)-((R1957-1)*(IF(Inputs!$B$38="pvp",15,MAX(0.1,Skills!D6-IF(Skills!E6=TRUE,Inputs!$B$32,0)))*(1-IF(AND(ArtifactsInput!$M$27,Inputs!$B$4="Chapter Hunt"),CHOOSE(ArtifactsInput!$N$27+1,20,24,28,32,36,40),0)/100)))))/Skills!H6,1)))/Inputs!$B$43),G1957*Q1957)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1957*(1-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1957*(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1957*(1-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1957*(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7">
        <f>IF(C1957,(H1957*N1957*IF(AND(Inputs!$B$38&lt;&gt;"pvp",Inputs!$B$43&gt;0),((Skills!G6*((R1957-1)*IF(Skills!H6&gt;0,Skills!I6/Skills!H6,1)+IF(Skills!H6&gt;0,MIN(Skills!I6,MAX(0,MAX(0,Inputs!$B$43-B1992)-((R1957-1)*(IF(Inputs!$B$38="pvp",15,MAX(0.1,Skills!D6-IF(Skills!E6=TRUE,Inputs!$B$32,0)))*(1-IF(AND(ArtifactsInput!$M$27,Inputs!$B$4="Chapter Hunt"),CHOOSE(ArtifactsInput!$N$27+1,20,24,28,32,36,40),0)/100)))))/Skills!H6,1)))/Inputs!$B$43),G1957*Q1957))*IF(Inputs!$B$38="pvp",1,(1+(Inputs!$B$21+Skills!Q6+(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8">
      <c r="A1958">
        <f>Skills!A7</f>
        <v/>
      </c>
      <c r="B1958">
        <f>Skills!B7</f>
        <v/>
      </c>
      <c r="C1958">
        <f>Inputs!$B$3&gt;=107</f>
        <v/>
      </c>
      <c r="D1958">
        <f>IF(Skills!C7=1,60+Inputs!$B$25+Inputs!$B$29,IF(Skills!C7=2,90+Inputs!$B$26+Inputs!$B$29,IF(Skills!C7=3,120+Inputs!$B$27+Inputs!$B$29,MAX(0,(Inputs!$B$3-100)*3)+Inputs!$B$28+Inputs!$B$29)))</f>
        <v/>
      </c>
      <c r="E1958">
        <f>INDEX(FactorTable!$B$2:$Y$301, MATCH(ROUND(MIN(300,MAX(1,D1958)),0), FactorTable!$A$2:$A$301,0), Skills!M7+1)</f>
        <v/>
      </c>
      <c r="F1958">
        <f>IF(Skills!N7=TRUE,(Skills!L7/10)*(E1958/1000),Skills!L7/10)+Skills!O7</f>
        <v/>
      </c>
      <c r="G1958" t="inlineStr"/>
      <c r="H1958" t="inlineStr"/>
      <c r="I1958" t="inlineStr">
        <is>
          <t>1</t>
        </is>
      </c>
      <c r="J1958" t="inlineStr"/>
      <c r="K1958" t="inlineStr"/>
      <c r="L1958" t="inlineStr"/>
      <c r="M1958" t="inlineStr"/>
      <c r="N1958" t="inlineStr"/>
      <c r="O1958" t="inlineStr"/>
      <c r="P1958" t="inlineStr"/>
      <c r="Q1958" t="inlineStr"/>
      <c r="R1958" t="inlineStr"/>
      <c r="S1958" t="inlineStr"/>
      <c r="T1958" t="inlineStr"/>
      <c r="V1958" t="inlineStr"/>
    </row>
    <row r="1959">
      <c r="A1959">
        <f>Skills!A8</f>
        <v/>
      </c>
      <c r="B1959">
        <f>Skills!B8</f>
        <v/>
      </c>
      <c r="C1959">
        <f>Inputs!$B$3&gt;=69</f>
        <v/>
      </c>
      <c r="D1959">
        <f>IF(Skills!C8=1,60+Inputs!$B$25+Inputs!$B$29,IF(Skills!C8=2,90+Inputs!$B$26+Inputs!$B$29,IF(Skills!C8=3,120+Inputs!$B$27+Inputs!$B$29,MAX(0,(Inputs!$B$3-100)*3)+Inputs!$B$28+Inputs!$B$29)))</f>
        <v/>
      </c>
      <c r="E1959">
        <f>INDEX(FactorTable!$B$2:$Y$301, MATCH(ROUND(MIN(300,MAX(1,D1959)),0), FactorTable!$A$2:$A$301,0), Skills!M8+1)</f>
        <v/>
      </c>
      <c r="F1959">
        <f>IF(Skills!N8=TRUE,(Skills!L8/10)*(E1959/1000),Skills!L8/10)+Skills!O8</f>
        <v/>
      </c>
      <c r="G1959">
        <f>Skills!G8*IF(Skills!H8&gt;0,Skills!I8/Skills!H8,1)</f>
        <v/>
      </c>
      <c r="H1959">
        <f>1-(1-Skills!J8/100)^Skills!K8</f>
        <v/>
      </c>
      <c r="I1959" t="inlineStr">
        <is>
          <t>1</t>
        </is>
      </c>
      <c r="J1959">
        <f>((Inputs!$B$6*(1+Inputs!$B$7/100))+(((Inputs!$B$12*(1+Inputs!$B$13/100))-(Inputs!$B$12*(1+Inputs!$B$13/100)))+0.25*(Inputs!$B$14-Inputs!$B$14))*(1+Inputs!$B$7/100))*(F1959/100)</f>
        <v/>
      </c>
      <c r="K1959">
        <f>J1959*(1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1962=TRUE,F1962,0)/100)*(1+(IF(Skills!A8="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1959)</f>
        <v/>
      </c>
      <c r="L1959">
        <f>K1959*(MIN(Inputs!$B$22+((C1976=TRUE)*(F1976-Calc!F25)),(Inputs!$B$23+((C1981=TRUE)*(F1981-Calc!F30))+(IF(ArtifactsInput!$M$15,CHOOSE(ArtifactsInput!$N$15+1,25,30,35,40,45,50)/100*(Inputs!$B$11-Inputs!$B$11),0))))/100+(Inputs!$B$23+((C1981=TRUE)*(F1981-Calc!F30))+(IF(ArtifactsInput!$M$15,CHOOSE(ArtifactsInput!$N$15+1,25,30,35,40,45,50)/100*(Inputs!$B$11-Inputs!$B$11),0)))/100)/2</f>
        <v/>
      </c>
      <c r="M1959">
        <f>L1959*(1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9">
        <f>L1959*(1-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1959*(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9">
        <f>(1-Summary!$B$11)*T1959+Summary!$B$11*V1959</f>
        <v/>
      </c>
      <c r="P1959">
        <f>IF(B1995=0,0,O1959/B1995)</f>
        <v/>
      </c>
      <c r="Q1959">
        <f>IFERROR(1/(IF(Inputs!$B$38="pvp",15,MAX(0.1,Skills!D8-IF(Skills!E8=TRUE,Inputs!$B$32,0)))*(1-IF(AND(ArtifactsInput!$M$27,Inputs!$B$4="Chapter Hunt"),CHOOSE(ArtifactsInput!$N$27+1,20,24,28,32,36,40),0)/100)),0)</f>
        <v/>
      </c>
      <c r="R1959">
        <f>IF(AND(Inputs!$B$38&lt;&gt;"pvp",Inputs!$B$43&gt;0),IF(MAX(0,Inputs!$B$43-B1992)&lt;=0,0,(INT(MAX(0,Inputs!$B$43-B1992)/(IF(Inputs!$B$38="pvp",15,MAX(0.1,Skills!D8-IF(Skills!E8=TRUE,Inputs!$B$32,0)))*(1-IF(AND(ArtifactsInput!$M$27,Inputs!$B$4="Chapter Hunt"),CHOOSE(ArtifactsInput!$N$27+1,20,24,28,32,36,40),0)/100)))+1)),0)</f>
        <v/>
      </c>
      <c r="S1959">
        <f>IFERROR(O1959/N1959,0)</f>
        <v/>
      </c>
      <c r="T1959">
        <f>IF(C1959,(H1959*N1959*IF(AND(Inputs!$B$38&lt;&gt;"pvp",Inputs!$B$43&gt;0),((Skills!G8*((R1959-1)*IF(Skills!H8&gt;0,Skills!I8/Skills!H8,1)+IF(Skills!H8&gt;0,MIN(Skills!I8,MAX(0,MAX(0,Inputs!$B$43-B1992)-((R1959-1)*(IF(Inputs!$B$38="pvp",15,MAX(0.1,Skills!D8-IF(Skills!E8=TRUE,Inputs!$B$32,0)))*(1-IF(AND(ArtifactsInput!$M$27,Inputs!$B$4="Chapter Hunt"),CHOOSE(ArtifactsInput!$N$27+1,20,24,28,32,36,40),0)/100)))))/Skills!H8,1)))/Inputs!$B$43),G1959*Q1959)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1959*(1-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1959*(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1959*(1-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1959*(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9">
        <f>IF(C1959,(H1959*N1959*IF(AND(Inputs!$B$38&lt;&gt;"pvp",Inputs!$B$43&gt;0),((Skills!G8*((R1959-1)*IF(Skills!H8&gt;0,Skills!I8/Skills!H8,1)+IF(Skills!H8&gt;0,MIN(Skills!I8,MAX(0,MAX(0,Inputs!$B$43-B1992)-((R1959-1)*(IF(Inputs!$B$38="pvp",15,MAX(0.1,Skills!D8-IF(Skills!E8=TRUE,Inputs!$B$32,0)))*(1-IF(AND(ArtifactsInput!$M$27,Inputs!$B$4="Chapter Hunt"),CHOOSE(ArtifactsInput!$N$27+1,20,24,28,32,36,40),0)/100)))))/Skills!H8,1)))/Inputs!$B$43),G1959*Q1959))*IF(Inputs!$B$38="pvp",1,(1+(Inputs!$B$21+Skills!Q8+(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0">
      <c r="A1960">
        <f>Skills!A9</f>
        <v/>
      </c>
      <c r="B1960">
        <f>Skills!B9</f>
        <v/>
      </c>
      <c r="C1960">
        <f>Inputs!$B$3&gt;=63</f>
        <v/>
      </c>
      <c r="D1960">
        <f>IF(Skills!C9=1,60+Inputs!$B$25+Inputs!$B$29,IF(Skills!C9=2,90+Inputs!$B$26+Inputs!$B$29,IF(Skills!C9=3,120+Inputs!$B$27+Inputs!$B$29,MAX(0,(Inputs!$B$3-100)*3)+Inputs!$B$28+Inputs!$B$29)))</f>
        <v/>
      </c>
      <c r="E1960">
        <f>INDEX(FactorTable!$B$2:$Y$301, MATCH(ROUND(MIN(300,MAX(1,D1960)),0), FactorTable!$A$2:$A$301,0), Skills!M9+1)</f>
        <v/>
      </c>
      <c r="F1960">
        <f>IF(Skills!N9=TRUE,(Skills!L9/10)*(E1960/1000),Skills!L9/10)+Skills!O9</f>
        <v/>
      </c>
      <c r="G1960">
        <f>Skills!G9*IF(Skills!H9&gt;0,Skills!I9/Skills!H9,1)</f>
        <v/>
      </c>
      <c r="H1960">
        <f>1-(1-Skills!J9/100)^Skills!K9</f>
        <v/>
      </c>
      <c r="I1960" t="inlineStr">
        <is>
          <t>1</t>
        </is>
      </c>
      <c r="J1960">
        <f>((Inputs!$B$6*(1+Inputs!$B$7/100))+(((Inputs!$B$12*(1+Inputs!$B$13/100))-(Inputs!$B$12*(1+Inputs!$B$13/100)))+0.25*(Inputs!$B$14-Inputs!$B$14))*(1+Inputs!$B$7/100))*(F1960/100)</f>
        <v/>
      </c>
      <c r="K1960">
        <f>J1960*(1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1962=TRUE,F1962,0)/100)*(1+(IF(Skills!A9="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1960)</f>
        <v/>
      </c>
      <c r="L1960">
        <f>K1960*(MIN(Inputs!$B$22+((C1976=TRUE)*(F1976-Calc!F25)),(Inputs!$B$23+((C1981=TRUE)*(F1981-Calc!F30))+(IF(ArtifactsInput!$M$15,CHOOSE(ArtifactsInput!$N$15+1,25,30,35,40,45,50)/100*(Inputs!$B$11-Inputs!$B$11),0))))/100+(Inputs!$B$23+((C1981=TRUE)*(F1981-Calc!F30))+(IF(ArtifactsInput!$M$15,CHOOSE(ArtifactsInput!$N$15+1,25,30,35,40,45,50)/100*(Inputs!$B$11-Inputs!$B$11),0)))/100)/2</f>
        <v/>
      </c>
      <c r="M1960">
        <f>L1960*(1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0">
        <f>L1960*(1-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1960*(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0">
        <f>(1-Summary!$B$11)*T1960+Summary!$B$11*V1960</f>
        <v/>
      </c>
      <c r="P1960">
        <f>IF(B1995=0,0,O1960/B1995)</f>
        <v/>
      </c>
      <c r="Q1960">
        <f>IFERROR(1/(IF(Inputs!$B$38="pvp",15,MAX(0.1,Skills!D9-IF(Skills!E9=TRUE,Inputs!$B$32,0)))*(1-IF(AND(ArtifactsInput!$M$27,Inputs!$B$4="Chapter Hunt"),CHOOSE(ArtifactsInput!$N$27+1,20,24,28,32,36,40),0)/100)),0)</f>
        <v/>
      </c>
      <c r="R1960">
        <f>IF(AND(Inputs!$B$38&lt;&gt;"pvp",Inputs!$B$43&gt;0),IF(MAX(0,Inputs!$B$43-B1992)&lt;=0,0,(INT(MAX(0,Inputs!$B$43-B1992)/(IF(Inputs!$B$38="pvp",15,MAX(0.1,Skills!D9-IF(Skills!E9=TRUE,Inputs!$B$32,0)))*(1-IF(AND(ArtifactsInput!$M$27,Inputs!$B$4="Chapter Hunt"),CHOOSE(ArtifactsInput!$N$27+1,20,24,28,32,36,40),0)/100)))+1)),0)</f>
        <v/>
      </c>
      <c r="S1960">
        <f>IFERROR(O1960/N1960,0)</f>
        <v/>
      </c>
      <c r="T1960">
        <f>IF(C1960,(H1960*N1960*IF(AND(Inputs!$B$38&lt;&gt;"pvp",Inputs!$B$43&gt;0),((Skills!G9*((R1960-1)*IF(Skills!H9&gt;0,Skills!I9/Skills!H9,1)+IF(Skills!H9&gt;0,MIN(Skills!I9,MAX(0,MAX(0,Inputs!$B$43-B1992)-((R1960-1)*(IF(Inputs!$B$38="pvp",15,MAX(0.1,Skills!D9-IF(Skills!E9=TRUE,Inputs!$B$32,0)))*(1-IF(AND(ArtifactsInput!$M$27,Inputs!$B$4="Chapter Hunt"),CHOOSE(ArtifactsInput!$N$27+1,20,24,28,32,36,40),0)/100)))))/Skills!H9,1)))/Inputs!$B$43),G1960*Q1960)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1960*(1-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1960*(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1960*(1-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1960*(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0">
        <f>IF(C1960,(H1960*N1960*IF(AND(Inputs!$B$38&lt;&gt;"pvp",Inputs!$B$43&gt;0),((Skills!G9*((R1960-1)*IF(Skills!H9&gt;0,Skills!I9/Skills!H9,1)+IF(Skills!H9&gt;0,MIN(Skills!I9,MAX(0,MAX(0,Inputs!$B$43-B1992)-((R1960-1)*(IF(Inputs!$B$38="pvp",15,MAX(0.1,Skills!D9-IF(Skills!E9=TRUE,Inputs!$B$32,0)))*(1-IF(AND(ArtifactsInput!$M$27,Inputs!$B$4="Chapter Hunt"),CHOOSE(ArtifactsInput!$N$27+1,20,24,28,32,36,40),0)/100)))))/Skills!H9,1)))/Inputs!$B$43),G1960*Q1960))*IF(Inputs!$B$38="pvp",1,(1+(Inputs!$B$21+Skills!Q9+(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1">
      <c r="A1961">
        <f>Skills!A10</f>
        <v/>
      </c>
      <c r="B1961">
        <f>Skills!B10</f>
        <v/>
      </c>
      <c r="C1961">
        <f>Inputs!$B$3&gt;=103</f>
        <v/>
      </c>
      <c r="D1961">
        <f>IF(Skills!C10=1,60+Inputs!$B$25+Inputs!$B$29,IF(Skills!C10=2,90+Inputs!$B$26+Inputs!$B$29,IF(Skills!C10=3,120+Inputs!$B$27+Inputs!$B$29,MAX(0,(Inputs!$B$3-100)*3)+Inputs!$B$28+Inputs!$B$29)))</f>
        <v/>
      </c>
      <c r="E1961">
        <f>INDEX(FactorTable!$B$2:$Y$301, MATCH(ROUND(MIN(300,MAX(1,D1961)),0), FactorTable!$A$2:$A$301,0), Skills!M10+1)</f>
        <v/>
      </c>
      <c r="F1961">
        <f>IF(Skills!N10=TRUE,(Skills!L10/10)*(E1961/1000),Skills!L10/10)+Skills!O10</f>
        <v/>
      </c>
      <c r="G1961">
        <f>Skills!G10*IF(Skills!H10&gt;0,Skills!I10/Skills!H10,1)</f>
        <v/>
      </c>
      <c r="H1961">
        <f>1-(1-Skills!J10/100)^Skills!K10</f>
        <v/>
      </c>
      <c r="I1961" t="inlineStr">
        <is>
          <t>1</t>
        </is>
      </c>
      <c r="J1961">
        <f>((Inputs!$B$6*(1+Inputs!$B$7/100))+(((Inputs!$B$12*(1+Inputs!$B$13/100))-(Inputs!$B$12*(1+Inputs!$B$13/100)))+0.25*(Inputs!$B$14-Inputs!$B$14))*(1+Inputs!$B$7/100))*(F1961/100)</f>
        <v/>
      </c>
      <c r="K1961">
        <f>J1961*(1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1961)</f>
        <v/>
      </c>
      <c r="L1961">
        <f>K1961*(MIN(Inputs!$B$22+((C1976=TRUE)*(F1976-Calc!F25)),(Inputs!$B$23+((C1981=TRUE)*(F1981-Calc!F30))+(IF(ArtifactsInput!$M$15,CHOOSE(ArtifactsInput!$N$15+1,25,30,35,40,45,50)/100*(Inputs!$B$11-Inputs!$B$11),0))))/100+(Inputs!$B$23+((C1981=TRUE)*(F1981-Calc!F30))+(IF(ArtifactsInput!$M$15,CHOOSE(ArtifactsInput!$N$15+1,25,30,35,40,45,50)/100*(Inputs!$B$11-Inputs!$B$11),0)))/100)/2</f>
        <v/>
      </c>
      <c r="M1961">
        <f>L1961*(1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1">
        <f>L1961*(1-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1">
        <f>(1-Summary!$B$11)*T1961+Summary!$B$11*V1961</f>
        <v/>
      </c>
      <c r="P1961">
        <f>IF(B1995=0,0,O1961/B1995)</f>
        <v/>
      </c>
      <c r="Q1961">
        <f>IFERROR(1/(IF(Inputs!$B$38="pvp",15,MAX(0.1,Skills!D10-IF(Skills!E10=TRUE,Inputs!$B$32,0)))*(1-IF(AND(ArtifactsInput!$M$27,Inputs!$B$4="Chapter Hunt"),CHOOSE(ArtifactsInput!$N$27+1,20,24,28,32,36,40),0)/100)),0)</f>
        <v/>
      </c>
      <c r="R1961">
        <f>IF(AND(Inputs!$B$38&lt;&gt;"pvp",Inputs!$B$43&gt;0),IF(MAX(0,Inputs!$B$43-B1992)&lt;=0,0,(INT(MAX(0,Inputs!$B$43-B1992)/(IF(Inputs!$B$38="pvp",15,MAX(0.1,Skills!D10-IF(Skills!E10=TRUE,Inputs!$B$32,0)))*(1-IF(AND(ArtifactsInput!$M$27,Inputs!$B$4="Chapter Hunt"),CHOOSE(ArtifactsInput!$N$27+1,20,24,28,32,36,40),0)/100)))+1)),0)</f>
        <v/>
      </c>
      <c r="S1961">
        <f>IFERROR(O1961/N1961,0)</f>
        <v/>
      </c>
      <c r="T1961">
        <f>IF(C1961,(H1961*N1961*IF(AND(Inputs!$B$38&lt;&gt;"pvp",Inputs!$B$43&gt;0),((Skills!G10*((R1961-1)*IF(Skills!H10&gt;0,Skills!I10/Skills!H10,1)+IF(Skills!H10&gt;0,MIN(Skills!I10,MAX(0,MAX(0,Inputs!$B$43-B1992)-((R1961-1)*(IF(Inputs!$B$38="pvp",15,MAX(0.1,Skills!D10-IF(Skills!E10=TRUE,Inputs!$B$32,0)))*(1-IF(AND(ArtifactsInput!$M$27,Inputs!$B$4="Chapter Hunt"),CHOOSE(ArtifactsInput!$N$27+1,20,24,28,32,36,40),0)/100)))))/Skills!H10,1)))/Inputs!$B$43),G1961*Q1961)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1961*(1-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1961*(1-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1">
        <f>IF(C1961,(H1961*N1961*IF(AND(Inputs!$B$38&lt;&gt;"pvp",Inputs!$B$43&gt;0),((Skills!G10*((R1961-1)*IF(Skills!H10&gt;0,Skills!I10/Skills!H10,1)+IF(Skills!H10&gt;0,MIN(Skills!I10,MAX(0,MAX(0,Inputs!$B$43-B1992)-((R1961-1)*(IF(Inputs!$B$38="pvp",15,MAX(0.1,Skills!D10-IF(Skills!E10=TRUE,Inputs!$B$32,0)))*(1-IF(AND(ArtifactsInput!$M$27,Inputs!$B$4="Chapter Hunt"),CHOOSE(ArtifactsInput!$N$27+1,20,24,28,32,36,40),0)/100)))))/Skills!H10,1)))/Inputs!$B$43),G1961*Q1961))*IF(Inputs!$B$38="pvp",1,(1+(Inputs!$B$21+Skills!Q10+(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2">
      <c r="A1962">
        <f>Skills!A11</f>
        <v/>
      </c>
      <c r="B1962">
        <f>Skills!B11</f>
        <v/>
      </c>
      <c r="C1962">
        <f>Inputs!$B$3&gt;=100</f>
        <v/>
      </c>
      <c r="D1962">
        <f>IF(Skills!C11=1,60+Inputs!$B$25+Inputs!$B$29,IF(Skills!C11=2,90+Inputs!$B$26+Inputs!$B$29,IF(Skills!C11=3,120+Inputs!$B$27+Inputs!$B$29,MAX(0,(Inputs!$B$3-100)*3)+Inputs!$B$28+Inputs!$B$29)))</f>
        <v/>
      </c>
      <c r="E1962">
        <f>INDEX(FactorTable!$B$2:$Y$301, MATCH(ROUND(MIN(300,MAX(1,D1962)),0), FactorTable!$A$2:$A$301,0), Skills!M11+1)</f>
        <v/>
      </c>
      <c r="F1962">
        <f>IF(Skills!N11=TRUE,(Skills!L11/10)*(E1962/1000),Skills!L11/10)+Skills!O11</f>
        <v/>
      </c>
      <c r="G1962" t="inlineStr"/>
      <c r="H1962" t="inlineStr"/>
      <c r="I1962" t="inlineStr">
        <is>
          <t>1</t>
        </is>
      </c>
      <c r="J1962" t="inlineStr"/>
      <c r="K1962" t="inlineStr"/>
      <c r="L1962" t="inlineStr"/>
      <c r="M1962" t="inlineStr"/>
      <c r="N1962" t="inlineStr"/>
      <c r="O1962" t="inlineStr"/>
      <c r="P1962" t="inlineStr"/>
      <c r="Q1962" t="inlineStr"/>
      <c r="R1962" t="inlineStr"/>
      <c r="S1962" t="inlineStr"/>
      <c r="T1962" t="inlineStr"/>
      <c r="V1962" t="inlineStr"/>
    </row>
    <row r="1963">
      <c r="A1963">
        <f>Skills!A12</f>
        <v/>
      </c>
      <c r="B1963">
        <f>Skills!B12</f>
        <v/>
      </c>
      <c r="C1963">
        <f>Inputs!$B$3&gt;=60</f>
        <v/>
      </c>
      <c r="D1963">
        <f>IF(Skills!C12=1,60+Inputs!$B$25+Inputs!$B$29,IF(Skills!C12=2,90+Inputs!$B$26+Inputs!$B$29,IF(Skills!C12=3,120+Inputs!$B$27+Inputs!$B$29,MAX(0,(Inputs!$B$3-100)*3)+Inputs!$B$28+Inputs!$B$29)))</f>
        <v/>
      </c>
      <c r="E1963">
        <f>INDEX(FactorTable!$B$2:$Y$301, MATCH(ROUND(MIN(300,MAX(1,D1963)),0), FactorTable!$A$2:$A$301,0), Skills!M12+1)</f>
        <v/>
      </c>
      <c r="F1963">
        <f>IF(Skills!N12=TRUE,(Skills!L12/10)*(E1963/1000),Skills!L12/10)+Skills!O12</f>
        <v/>
      </c>
      <c r="G1963">
        <f>Skills!G12*IF(Skills!H12&gt;0,Skills!I12/Skills!H12,1)</f>
        <v/>
      </c>
      <c r="H1963">
        <f>1-(1-Skills!J12/100)^Skills!K12</f>
        <v/>
      </c>
      <c r="I1963" t="inlineStr">
        <is>
          <t>1</t>
        </is>
      </c>
      <c r="J1963">
        <f>((Inputs!$B$6*(1+Inputs!$B$7/100))+(((Inputs!$B$12*(1+Inputs!$B$13/100))-(Inputs!$B$12*(1+Inputs!$B$13/100)))+0.25*(Inputs!$B$14-Inputs!$B$14))*(1+Inputs!$B$7/100))*(F1963/100)</f>
        <v/>
      </c>
      <c r="K1963">
        <f>J1963*(1+((Inputs!$B$12*(1+Inputs!$B$13/100))*0.01+Inputs!$B$14*0.0025)/100)*(1+Inputs!$B$15/100)*(1+Inputs!$B$16/100)*(5000/(6000+Inputs!$B$42*(1-(100*(1-(1-(Inputs!$B$19+((C1979=TRUE)*(F1979-Calc!F28)))/100)*(1-CHOOSE(ArtifactsInput!$N$40+1,5,6,7,8,9,10)/100)^(ArtifactsInput!$M$40-ArtifactsInput!$M$40)))/100)))*(1+(Inputs!$B$24+((C1977=TRUE)*(F1977-Calc!F26))+((C1978=TRUE)*(F1978-Calc!F27))+B1991)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1964=TRUE,F1964,0)/100)*(1+(IF(Skills!A12="ARROW_STREAM",Inputs!$B$17+((C1975=TRUE)*(F1975-Calc!F24))+(((IF(AND(ArtifactsInput!$M$42,((Inputs!$B$9+((C1972=TRUE)*(F1972-Calc!F21))+B1985+(ArtifactsInput!$M$24-ArtifactsInput!$M$24)*CHOOSE(ArtifactsInput!$N$24+1,10,12,14,16,18,20)+IF(ArtifactsInput!$M$10,CHOOSE(ArtifactsInput!$N$10+1,15,18,21,24,27,30)*(IF(Inputs!$B$38="pvp",MIN(15,15)/15,IF(AND(Inputs!$B$38&lt;&gt;"pvp",Inputs!$B$43&gt;0),MIN(15,Inputs!$B$43)/(Inputs!$B$43),0))),0)))&gt;=100),MIN(100,((Inputs!$B$9+((C1972=TRUE)*(F1972-Calc!F21))+B1985+(ArtifactsInput!$M$24-ArtifactsInput!$M$24)*CHOOSE(ArtifactsInput!$N$24+1,10,12,14,16,18,20)+IF(ArtifactsInput!$M$10,CHOOSE(ArtifactsInput!$N$10+1,15,18,21,24,27,30)*(IF(Inputs!$B$38="pvp",MIN(15,15)/15,IF(AND(Inputs!$B$38&lt;&gt;"pvp",Inputs!$B$43&gt;0),MIN(15,Inputs!$B$43)/(Inputs!$B$43),0))),0)))-100),0))*CHOOSE(ArtifactsInput!$N$42+1,0.6,0.72,0.84,0.96,1.08,1.2))),Inputs!$B$18+((C1980=TRUE)*(F1980-Calc!F29))+(IF(AND(ArtifactsInput!$M$42,((Inputs!$B$9+((C1972=TRUE)*(F1972-Calc!F21))+B1985+(ArtifactsInput!$M$24-ArtifactsInput!$M$24)*CHOOSE(ArtifactsInput!$N$24+1,10,12,14,16,18,20)+IF(ArtifactsInput!$M$10,CHOOSE(ArtifactsInput!$N$10+1,15,18,21,24,27,30)*(IF(Inputs!$B$38="pvp",MIN(15,15)/15,IF(AND(Inputs!$B$38&lt;&gt;"pvp",Inputs!$B$43&gt;0),MIN(15,Inputs!$B$43)/(Inputs!$B$43),0))),0)))&gt;=100),CHOOSE(ArtifactsInput!$N$42+1,40,48,56,64,72,80),0))))/100)*((1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1963)</f>
        <v/>
      </c>
      <c r="L1963">
        <f>K1963*(MIN(Inputs!$B$22+((C1976=TRUE)*(F1976-Calc!F25)),(Inputs!$B$23+((C1981=TRUE)*(F1981-Calc!F30))+(IF(ArtifactsInput!$M$15,CHOOSE(ArtifactsInput!$N$15+1,25,30,35,40,45,50)/100*(Inputs!$B$11-Inputs!$B$11),0))))/100+(Inputs!$B$23+((C1981=TRUE)*(F1981-Calc!F30))+(IF(ArtifactsInput!$M$15,CHOOSE(ArtifactsInput!$N$15+1,25,30,35,40,45,50)/100*(Inputs!$B$11-Inputs!$B$11),0)))/100)/2</f>
        <v/>
      </c>
      <c r="M1963">
        <f>L1963*(1+(Inputs!$B$10+0+B1990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(1-Summary!$B$11)*T1963+Summary!$B$11*V1963</f>
        <v/>
      </c>
      <c r="P1963">
        <f>IF(B1995=0,0,O1963/B1995)</f>
        <v/>
      </c>
      <c r="Q1963">
        <f>IFERROR(1/(IF(Inputs!$B$38="pvp",15,MAX(0.1,Skills!D12-IF(Skills!E12=TRUE,Inputs!$B$32,0)))*(1-IF(AND(ArtifactsInput!$M$27,Inputs!$B$4="Chapter Hunt"),CHOOSE(ArtifactsInput!$N$27+1,20,24,28,32,36,40),0)/100)),0)</f>
        <v/>
      </c>
      <c r="R1963">
        <f>IF(AND(Inputs!$B$38&lt;&gt;"pvp",Inputs!$B$43&gt;0),IF(MAX(0,Inputs!$B$43-B1992)&lt;=0,0,(INT(MAX(0,Inputs!$B$43-B1992)/(IF(Inputs!$B$38="pvp",15,MAX(0.1,Skills!D12-IF(Skills!E12=TRUE,Inputs!$B$32,0)))*(1-IF(AND(ArtifactsInput!$M$27,Inputs!$B$4="Chapter Hunt"),CHOOSE(ArtifactsInput!$N$27+1,20,24,28,32,36,40),0)/100)))+1)),0)</f>
        <v/>
      </c>
      <c r="S1963">
        <f>IFERROR(O1963/N1963,0)</f>
        <v/>
      </c>
      <c r="T1963">
        <f>IF(C1963,(H1963*N1963*IF(AND(Inputs!$B$38&lt;&gt;"pvp",Inputs!$B$43&gt;0),((Skills!G12*((R1963-1)*IF(Skills!H12&gt;0,Skills!I12/Skills!H12,1)+IF(Skills!H12&gt;0,MIN(Skills!I12,MAX(0,MAX(0,Inputs!$B$43-B1992)-((R1963-1)*(IF(Inputs!$B$38="pvp",15,MAX(0.1,Skills!D12-IF(Skills!E12=TRUE,Inputs!$B$32,0)))*(1-IF(AND(ArtifactsInput!$M$27,Inputs!$B$4="Chapter Hunt"),CHOOSE(ArtifactsInput!$N$27+1,20,24,28,32,36,40),0)/100)))))/Skills!H12,1)))/Inputs!$B$43),G1963*Q1963)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(5000/(6000+Inputs!$B$42*(1-(100*(1-(1-(100*(1-(1-(Inputs!$B$19+((C1979=TRUE)*(F1979-Calc!F28)))/100)*(1-CHOOSE(ArtifactsInput!$N$40+1,5,6,7,8,9,10)/100)^(ArtifactsInput!$M$40-ArtifactsInput!$M$40)))/100)*(1-IF(ArtifactsInput!$M$40,CHOOSE(ArtifactsInput!$N$40+1,5,6,7,8,9,10),0)/100)^IF(Inputs!$B$38="pvp",1,2)))/100)))/(5000/(6000+Inputs!$B$42*(1-(100*(1-(1-(Inputs!$B$19+((C1979=TRUE)*(F1979-Calc!F28)))/100)*(1-CHOOSE(ArtifactsInput!$N$40+1,5,6,7,8,9,10)/100)^(ArtifactsInput!$M$40-ArtifactsInput!$M$40)))/100))))*((L1963*(1-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C1972=TRUE)*(F1972-Calc!F21))+B1985+(ArtifactsInput!$M$24-ArtifactsInput!$M$24)*CHOOSE(ArtifactsInput!$N$24+1,10,12,14,16,18,20)+(IF(AND(ArtifactsInput!$M$42,((Inputs!$B$9+((C1972=TRUE)*(F1972-Calc!F21))+B1985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3">
        <f>IF(C1963,(H1963*N1963*IF(AND(Inputs!$B$38&lt;&gt;"pvp",Inputs!$B$43&gt;0),((Skills!G12*((R1963-1)*IF(Skills!H12&gt;0,Skills!I12/Skills!H12,1)+IF(Skills!H12&gt;0,MIN(Skills!I12,MAX(0,MAX(0,Inputs!$B$43-B1992)-((R1963-1)*(IF(Inputs!$B$38="pvp",15,MAX(0.1,Skills!D12-IF(Skills!E12=TRUE,Inputs!$B$32,0)))*(1-IF(AND(ArtifactsInput!$M$27,Inputs!$B$4="Chapter Hunt"),CHOOSE(ArtifactsInput!$N$27+1,20,24,28,32,36,40),0)/100)))))/Skills!H12,1)))/Inputs!$B$43),G1963*Q1963))*IF(Inputs!$B$38="pvp",1,(1+(Inputs!$B$21+Skills!Q12+(IF(ArtifactsInput!$M$33,CHOOSE(ArtifactsInput!$N$33+1,30,36,42,48,54,60)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Skills!A13</f>
        <v/>
      </c>
      <c r="B1964">
        <f>Skills!B13</f>
        <v/>
      </c>
      <c r="C1964">
        <f>Inputs!$B$3&gt;=110</f>
        <v/>
      </c>
      <c r="D1964">
        <f>IF(Skills!C13=1,60+Inputs!$B$25+Inputs!$B$29,IF(Skills!C13=2,90+Inputs!$B$26+Inputs!$B$29,IF(Skills!C13=3,120+Inputs!$B$27+Inputs!$B$29,MAX(0,(Inputs!$B$3-100)*3)+Inputs!$B$28+Inputs!$B$29)))</f>
        <v/>
      </c>
      <c r="E1964">
        <f>INDEX(FactorTable!$B$2:$Y$301, MATCH(ROUND(MIN(300,MAX(1,D1964)),0), FactorTable!$A$2:$A$301,0), Skills!M13+1)</f>
        <v/>
      </c>
      <c r="F1964">
        <f>IF(Skills!N13=TRUE,(Skills!L13/10)*(E1964/1000),Skills!L13/10)+Skills!O13</f>
        <v/>
      </c>
      <c r="G1964" t="inlineStr"/>
      <c r="H1964" t="inlineStr"/>
      <c r="I1964" t="inlineStr">
        <is>
          <t>1</t>
        </is>
      </c>
      <c r="J1964" t="inlineStr"/>
      <c r="K1964" t="inlineStr"/>
      <c r="L1964" t="inlineStr"/>
      <c r="M1964" t="inlineStr"/>
      <c r="N1964" t="inlineStr"/>
      <c r="O1964" t="inlineStr"/>
      <c r="P1964" t="inlineStr"/>
      <c r="Q1964" t="inlineStr"/>
      <c r="R1964" t="inlineStr"/>
      <c r="S1964" t="inlineStr"/>
      <c r="T1964" t="inlineStr"/>
      <c r="V1964" t="inlineStr"/>
    </row>
    <row r="1965">
      <c r="A1965">
        <f>Skills!A14</f>
        <v/>
      </c>
      <c r="B1965">
        <f>Skills!B14</f>
        <v/>
      </c>
      <c r="C1965">
        <f>Inputs!$B$3&gt;=74</f>
        <v/>
      </c>
      <c r="D1965">
        <f>IF(Skills!C14=1,60+Inputs!$B$25+Inputs!$B$29,IF(Skills!C14=2,90+Inputs!$B$26+Inputs!$B$29,IF(Skills!C14=3,120+Inputs!$B$27+Inputs!$B$29,MAX(0,(Inputs!$B$3-100)*3)+Inputs!$B$28+Inputs!$B$29)))</f>
        <v/>
      </c>
      <c r="E1965">
        <f>INDEX(FactorTable!$B$2:$Y$301, MATCH(ROUND(MIN(300,MAX(1,D1965)),0), FactorTable!$A$2:$A$301,0), Skills!M14+1)</f>
        <v/>
      </c>
      <c r="F1965">
        <f>IF(Skills!N14=TRUE,(Skills!L14/10)*(E1965/1000),Skills!L14/10)+Skills!O14</f>
        <v/>
      </c>
      <c r="G1965">
        <f>Skills!G14*IF(Skills!H14&gt;0,Skills!I14/Skills!H14,1)</f>
        <v/>
      </c>
      <c r="H1965">
        <f>1-(1-Skills!J14/100)^Skills!K14</f>
        <v/>
      </c>
      <c r="I1965" t="inlineStr">
        <is>
          <t>1</t>
        </is>
      </c>
      <c r="J1965" t="inlineStr"/>
      <c r="K1965" t="inlineStr"/>
      <c r="L1965" t="inlineStr"/>
      <c r="M1965" t="inlineStr"/>
      <c r="N1965" t="inlineStr"/>
      <c r="O1965">
        <f>(1-Summary!$B$11)*T1965+Summary!$B$11*V1965</f>
        <v/>
      </c>
      <c r="P1965">
        <f>IF(B1995=0,0,O1965/B1995)</f>
        <v/>
      </c>
      <c r="Q1965" t="n">
        <v>0</v>
      </c>
      <c r="R1965" t="n">
        <v>0</v>
      </c>
      <c r="S1965">
        <f>IFERROR(O1965/N1965,0)</f>
        <v/>
      </c>
      <c r="T1965" t="n">
        <v>0</v>
      </c>
      <c r="V1965" t="n">
        <v>0</v>
      </c>
    </row>
    <row r="1966">
      <c r="A1966">
        <f>Skills!A15</f>
        <v/>
      </c>
      <c r="B1966">
        <f>Skills!B15</f>
        <v/>
      </c>
      <c r="C1966">
        <f>Inputs!$B$3&gt;=74</f>
        <v/>
      </c>
      <c r="D1966">
        <f>IF(Skills!C15=1,60+Inputs!$B$25+Inputs!$B$29,IF(Skills!C15=2,90+Inputs!$B$26+Inputs!$B$29,IF(Skills!C15=3,120+Inputs!$B$27+Inputs!$B$29,MAX(0,(Inputs!$B$3-100)*3)+Inputs!$B$28+Inputs!$B$29)))</f>
        <v/>
      </c>
      <c r="E1966">
        <f>INDEX(FactorTable!$B$2:$Y$301, MATCH(ROUND(MIN(300,MAX(1,D1966)),0), FactorTable!$A$2:$A$301,0), Skills!M15+1)</f>
        <v/>
      </c>
      <c r="F1966">
        <f>IF(Skills!N15=TRUE,(Skills!L15/10)*(E1966/1000),Skills!L15/10)+Skills!O15</f>
        <v/>
      </c>
      <c r="G1966">
        <f>Skills!G15*IF(Skills!H15&gt;0,Skills!I15/Skills!H15,1)</f>
        <v/>
      </c>
      <c r="H1966">
        <f>1-(1-Skills!J15/100)^Skills!K15</f>
        <v/>
      </c>
      <c r="I1966" t="inlineStr">
        <is>
          <t>1</t>
        </is>
      </c>
      <c r="J1966" t="inlineStr"/>
      <c r="K1966" t="inlineStr"/>
      <c r="L1966" t="inlineStr"/>
      <c r="M1966" t="inlineStr"/>
      <c r="N1966" t="inlineStr"/>
      <c r="O1966">
        <f>(1-Summary!$B$11)*T1966+Summary!$B$11*V1966</f>
        <v/>
      </c>
      <c r="P1966">
        <f>IF(B1995=0,0,O1966/B1995)</f>
        <v/>
      </c>
      <c r="Q1966" t="n">
        <v>0</v>
      </c>
      <c r="R1966" t="n">
        <v>0</v>
      </c>
      <c r="S1966">
        <f>IFERROR(O1966/N1966,0)</f>
        <v/>
      </c>
      <c r="T1966" t="n">
        <v>0</v>
      </c>
      <c r="V1966" t="n">
        <v>0</v>
      </c>
    </row>
    <row r="1967">
      <c r="A1967">
        <f>Skills!A16</f>
        <v/>
      </c>
      <c r="B1967">
        <f>Skills!B16</f>
        <v/>
      </c>
      <c r="C1967">
        <f>Inputs!$B$3&gt;=117</f>
        <v/>
      </c>
      <c r="D1967">
        <f>IF(Skills!C16=1,60+Inputs!$B$25+Inputs!$B$29,IF(Skills!C16=2,90+Inputs!$B$26+Inputs!$B$29,IF(Skills!C16=3,120+Inputs!$B$27+Inputs!$B$29,MAX(0,(Inputs!$B$3-100)*3)+Inputs!$B$28+Inputs!$B$29)))</f>
        <v/>
      </c>
      <c r="E1967">
        <f>INDEX(FactorTable!$B$2:$Y$301, MATCH(ROUND(MIN(300,MAX(1,D1967)),0), FactorTable!$A$2:$A$301,0), Skills!M16+1)</f>
        <v/>
      </c>
      <c r="F1967">
        <f>IF(Skills!N16=TRUE,(Skills!L16/10)*(E1967/1000),Skills!L16/10)+Skills!O16</f>
        <v/>
      </c>
      <c r="G1967">
        <f>Skills!G16*IF(Skills!H16&gt;0,Skills!I16/Skills!H16,1)</f>
        <v/>
      </c>
      <c r="H1967">
        <f>1-(1-Skills!J16/100)^Skills!K16</f>
        <v/>
      </c>
      <c r="I1967" t="inlineStr">
        <is>
          <t>1</t>
        </is>
      </c>
      <c r="J1967" t="inlineStr"/>
      <c r="K1967" t="inlineStr"/>
      <c r="L1967" t="inlineStr"/>
      <c r="M1967" t="inlineStr"/>
      <c r="N1967" t="inlineStr"/>
      <c r="O1967">
        <f>(1-Summary!$B$11)*T1967+Summary!$B$11*V1967</f>
        <v/>
      </c>
      <c r="P1967">
        <f>IF(B1995=0,0,O1967/B1995)</f>
        <v/>
      </c>
      <c r="Q1967">
        <f>IFERROR(1/(IF(Inputs!$B$38="pvp",15,MAX(0.1,Skills!D16-IF(Skills!E16=TRUE,Inputs!$B$32,0)))*(1-IF(AND(ArtifactsInput!$M$27,Inputs!$B$4="Chapter Hunt"),CHOOSE(ArtifactsInput!$N$27+1,20,24,28,32,36,40),0)/100)),0)</f>
        <v/>
      </c>
      <c r="R1967">
        <f>IF(AND(Inputs!$B$38&lt;&gt;"pvp",Inputs!$B$43&gt;0),IF(Inputs!$B$43&lt;=0,0,(INT(Inputs!$B$43/(IF(Inputs!$B$38="pvp",15,MAX(0.1,Skills!D16-IF(Skills!E16=TRUE,Inputs!$B$32,0)))*(1-IF(AND(ArtifactsInput!$M$27,Inputs!$B$4="Chapter Hunt"),CHOOSE(ArtifactsInput!$N$27+1,20,24,28,32,36,40),0)/100)))+1)),0)</f>
        <v/>
      </c>
      <c r="S1967">
        <f>IFERROR(O1967/N1967,0)</f>
        <v/>
      </c>
      <c r="T1967" t="n">
        <v>0</v>
      </c>
      <c r="V1967" t="n">
        <v>0</v>
      </c>
    </row>
    <row r="1968">
      <c r="A1968">
        <f>Skills!A17</f>
        <v/>
      </c>
      <c r="B1968">
        <f>Skills!B17</f>
        <v/>
      </c>
      <c r="C1968">
        <f>Inputs!$B$3&gt;=115</f>
        <v/>
      </c>
      <c r="D1968">
        <f>IF(Skills!C17=1,60+Inputs!$B$25+Inputs!$B$29,IF(Skills!C17=2,90+Inputs!$B$26+Inputs!$B$29,IF(Skills!C17=3,120+Inputs!$B$27+Inputs!$B$29,MAX(0,(Inputs!$B$3-100)*3)+Inputs!$B$28+Inputs!$B$29)))</f>
        <v/>
      </c>
      <c r="E1968">
        <f>INDEX(FactorTable!$B$2:$Y$301, MATCH(ROUND(MIN(300,MAX(1,D1968)),0), FactorTable!$A$2:$A$301,0), Skills!M17+1)</f>
        <v/>
      </c>
      <c r="F1968">
        <f>IF(Skills!N17=TRUE,(Skills!L17/10)*(E1968/1000),Skills!L17/10)+Skills!O17</f>
        <v/>
      </c>
      <c r="G1968">
        <f>Skills!G17*IF(Skills!H17&gt;0,Skills!I17/Skills!H17,1)</f>
        <v/>
      </c>
      <c r="H1968">
        <f>1-(1-Skills!J17/100)^Skills!K17</f>
        <v/>
      </c>
      <c r="I1968" t="inlineStr">
        <is>
          <t>1</t>
        </is>
      </c>
      <c r="J1968" t="inlineStr"/>
      <c r="K1968" t="inlineStr"/>
      <c r="L1968" t="inlineStr"/>
      <c r="M1968" t="inlineStr"/>
      <c r="N1968" t="inlineStr"/>
      <c r="O1968">
        <f>(1-Summary!$B$11)*T1968+Summary!$B$11*V1968</f>
        <v/>
      </c>
      <c r="P1968">
        <f>IF(B1995=0,0,O1968/B1995)</f>
        <v/>
      </c>
      <c r="Q1968">
        <f>IFERROR(1/(IF(Inputs!$B$38="pvp",15,MAX(0.1,Skills!D17-IF(Skills!E17=TRUE,Inputs!$B$32,0)))*(1-IF(AND(ArtifactsInput!$M$27,Inputs!$B$4="Chapter Hunt"),CHOOSE(ArtifactsInput!$N$27+1,20,24,28,32,36,40),0)/100)),0)</f>
        <v/>
      </c>
      <c r="R1968">
        <f>IF(AND(Inputs!$B$38&lt;&gt;"pvp",Inputs!$B$43&gt;0),IF(Inputs!$B$43&lt;=0,0,(INT(Inputs!$B$43/(IF(Inputs!$B$38="pvp",15,MAX(0.1,Skills!D17-IF(Skills!E17=TRUE,Inputs!$B$32,0)))*(1-IF(AND(ArtifactsInput!$M$27,Inputs!$B$4="Chapter Hunt"),CHOOSE(ArtifactsInput!$N$27+1,20,24,28,32,36,40),0)/100)))+1)),0)</f>
        <v/>
      </c>
      <c r="S1968">
        <f>IFERROR(O1968/N1968,0)</f>
        <v/>
      </c>
      <c r="T1968" t="n">
        <v>0</v>
      </c>
      <c r="V1968" t="n">
        <v>0</v>
      </c>
    </row>
    <row r="1969">
      <c r="A1969">
        <f>Skills!A18</f>
        <v/>
      </c>
      <c r="B1969">
        <f>Skills!B18</f>
        <v/>
      </c>
      <c r="C1969">
        <f>Inputs!$B$3&gt;=66</f>
        <v/>
      </c>
      <c r="D1969">
        <f>IF(Skills!C18=1,60+Inputs!$B$25+Inputs!$B$29,IF(Skills!C18=2,90+Inputs!$B$26+Inputs!$B$29,IF(Skills!C18=3,120+Inputs!$B$27+Inputs!$B$29,MAX(0,(Inputs!$B$3-100)*3)+Inputs!$B$28+Inputs!$B$29)))</f>
        <v/>
      </c>
      <c r="E1969">
        <f>INDEX(FactorTable!$B$2:$Y$301, MATCH(ROUND(MIN(300,MAX(1,D1969)),0), FactorTable!$A$2:$A$301,0), Skills!M18+1)</f>
        <v/>
      </c>
      <c r="F1969">
        <f>IF(Skills!N18=TRUE,(Skills!L18/10)*(E1969/1000),Skills!L18/10)+Skills!O18</f>
        <v/>
      </c>
      <c r="G1969">
        <f>Skills!G18*IF(Skills!H18&gt;0,Skills!I18/Skills!H18,1)</f>
        <v/>
      </c>
      <c r="H1969">
        <f>1-(1-Skills!J18/100)^Skills!K18</f>
        <v/>
      </c>
      <c r="I1969" t="inlineStr">
        <is>
          <t>1</t>
        </is>
      </c>
      <c r="J1969" t="inlineStr"/>
      <c r="K1969" t="inlineStr"/>
      <c r="L1969" t="inlineStr"/>
      <c r="M1969" t="inlineStr"/>
      <c r="N1969" t="inlineStr"/>
      <c r="O1969">
        <f>(1-Summary!$B$11)*T1969+Summary!$B$11*V1969</f>
        <v/>
      </c>
      <c r="P1969">
        <f>IF(B1995=0,0,O1969/B1995)</f>
        <v/>
      </c>
      <c r="Q1969" t="n">
        <v>0</v>
      </c>
      <c r="R1969" t="n">
        <v>0</v>
      </c>
      <c r="S1969">
        <f>IFERROR(O1969/N1969,0)</f>
        <v/>
      </c>
      <c r="T1969" t="n">
        <v>0</v>
      </c>
      <c r="V1969" t="n">
        <v>0</v>
      </c>
    </row>
    <row r="1970">
      <c r="A1970">
        <f>Skills!A19</f>
        <v/>
      </c>
      <c r="B1970">
        <f>Skills!B19</f>
        <v/>
      </c>
      <c r="C1970">
        <f>Inputs!$B$3&gt;=72</f>
        <v/>
      </c>
      <c r="D1970">
        <f>IF(Skills!C19=1,60+Inputs!$B$25+Inputs!$B$29,IF(Skills!C19=2,90+Inputs!$B$26+Inputs!$B$29,IF(Skills!C19=3,120+Inputs!$B$27+Inputs!$B$29,MAX(0,(Inputs!$B$3-100)*3)+Inputs!$B$28+Inputs!$B$29)))</f>
        <v/>
      </c>
      <c r="E1970">
        <f>INDEX(FactorTable!$B$2:$Y$301, MATCH(ROUND(MIN(300,MAX(1,D1970)),0), FactorTable!$A$2:$A$301,0), Skills!M19+1)</f>
        <v/>
      </c>
      <c r="F1970">
        <f>IF(Skills!N19=TRUE,(Skills!L19/10)*(E1970/1000),Skills!L19/10)+Skills!O19</f>
        <v/>
      </c>
      <c r="G1970">
        <f>Skills!G19*IF(Skills!H19&gt;0,Skills!I19/Skills!H19,1)</f>
        <v/>
      </c>
      <c r="H1970">
        <f>1-(1-Skills!J19/100)^Skills!K19</f>
        <v/>
      </c>
      <c r="I1970" t="inlineStr">
        <is>
          <t>1</t>
        </is>
      </c>
      <c r="J1970" t="inlineStr"/>
      <c r="K1970" t="inlineStr"/>
      <c r="L1970" t="inlineStr"/>
      <c r="M1970" t="inlineStr"/>
      <c r="N1970" t="inlineStr"/>
      <c r="O1970">
        <f>(1-Summary!$B$11)*T1970+Summary!$B$11*V1970</f>
        <v/>
      </c>
      <c r="P1970">
        <f>IF(B1995=0,0,O1970/B1995)</f>
        <v/>
      </c>
      <c r="Q1970" t="n">
        <v>0</v>
      </c>
      <c r="R1970" t="n">
        <v>0</v>
      </c>
      <c r="S1970">
        <f>IFERROR(O1970/N1970,0)</f>
        <v/>
      </c>
      <c r="T1970" t="n">
        <v>0</v>
      </c>
      <c r="V1970" t="n">
        <v>0</v>
      </c>
    </row>
    <row r="1971">
      <c r="A1971">
        <f>Skills!A20</f>
        <v/>
      </c>
      <c r="B1971">
        <f>Skills!B20</f>
        <v/>
      </c>
      <c r="C1971">
        <f>TRUE</f>
        <v/>
      </c>
      <c r="D1971">
        <f>IF(Skills!C20=1,60+Inputs!$B$25+Inputs!$B$29,IF(Skills!C20=2,90+Inputs!$B$26+Inputs!$B$29,IF(Skills!C20=3,120+Inputs!$B$27+Inputs!$B$29,MAX(0,(Inputs!$B$3-100)*3)+Inputs!$B$28+Inputs!$B$29)))</f>
        <v/>
      </c>
      <c r="E1971">
        <f>INDEX(FactorTable!$B$2:$Y$301, MATCH(ROUND(MIN(300,MAX(1,D1971)),0), FactorTable!$A$2:$A$301,0), Skills!M20+1)</f>
        <v/>
      </c>
      <c r="F1971">
        <f>IF(Skills!N20=TRUE,(Skills!L20/10)*(E1971/1000),Skills!L20/10)+Skills!O20</f>
        <v/>
      </c>
      <c r="G1971">
        <f>Skills!G20*IF(Skills!H20&gt;0,Skills!I20/Skills!H20,1)</f>
        <v/>
      </c>
      <c r="H1971">
        <f>1-(1-Skills!J20/100)^Skills!K20</f>
        <v/>
      </c>
      <c r="I1971" t="inlineStr">
        <is>
          <t>1</t>
        </is>
      </c>
      <c r="J1971" t="inlineStr"/>
      <c r="K1971" t="inlineStr"/>
      <c r="L1971" t="inlineStr"/>
      <c r="M1971" t="inlineStr"/>
      <c r="N1971" t="inlineStr"/>
      <c r="O1971">
        <f>(1-Summary!$B$11)*T1971+Summary!$B$11*V1971</f>
        <v/>
      </c>
      <c r="P1971">
        <f>IF(B1995=0,0,O1971/B1995)</f>
        <v/>
      </c>
      <c r="Q1971">
        <f>IFERROR(1/(IF(Inputs!$B$38="pvp",15,MAX(0.1,Skills!D20-IF(Skills!E20=TRUE,Inputs!$B$32,0)))*(1-IF(AND(ArtifactsInput!$M$27,Inputs!$B$4="Chapter Hunt"),CHOOSE(ArtifactsInput!$N$27+1,20,24,28,32,36,40),0)/100)),0)</f>
        <v/>
      </c>
      <c r="R1971">
        <f>IF(AND(Inputs!$B$38&lt;&gt;"pvp",Inputs!$B$43&gt;0),IF(Inputs!$B$43&lt;=0,0,(INT(Inputs!$B$43/(IF(Inputs!$B$38="pvp",15,MAX(0.1,Skills!D20-IF(Skills!E20=TRUE,Inputs!$B$32,0)))*(1-IF(AND(ArtifactsInput!$M$27,Inputs!$B$4="Chapter Hunt"),CHOOSE(ArtifactsInput!$N$27+1,20,24,28,32,36,40),0)/100)))+1)),0)</f>
        <v/>
      </c>
      <c r="S1971">
        <f>IFERROR(O1971/N1971,0)</f>
        <v/>
      </c>
      <c r="T1971" t="n">
        <v>0</v>
      </c>
      <c r="V1971" t="n">
        <v>0</v>
      </c>
    </row>
    <row r="1972">
      <c r="A1972">
        <f>Skills!A21</f>
        <v/>
      </c>
      <c r="B1972">
        <f>Skills!B21</f>
        <v/>
      </c>
      <c r="C1972">
        <f>Inputs!$B$3&gt;=15</f>
        <v/>
      </c>
      <c r="D1972">
        <f>IF(Skills!C21=1,60+Inputs!$B$25+Inputs!$B$29,IF(Skills!C21=2,90+Inputs!$B$26+Inputs!$B$29,IF(Skills!C21=3,120+Inputs!$B$27+Inputs!$B$29,MAX(0,(Inputs!$B$3-100)*3)+Inputs!$B$28+Inputs!$B$29)))</f>
        <v/>
      </c>
      <c r="E1972">
        <f>INDEX(FactorTable!$B$2:$Y$301, MATCH(ROUND(MIN(300,MAX(1,D1972)),0), FactorTable!$A$2:$A$301,0), Skills!M21+1)</f>
        <v/>
      </c>
      <c r="F1972">
        <f>IF(Skills!N21=TRUE,(Skills!L21/10)*(E1972/1000),Skills!L21/10)+Skills!O21</f>
        <v/>
      </c>
      <c r="G1972">
        <f>Skills!G21*IF(Skills!H21&gt;0,Skills!I21/Skills!H21,1)</f>
        <v/>
      </c>
      <c r="H1972">
        <f>1-(1-Skills!J21/100)^Skills!K21</f>
        <v/>
      </c>
      <c r="I1972" t="inlineStr">
        <is>
          <t>1</t>
        </is>
      </c>
      <c r="J1972" t="inlineStr"/>
      <c r="K1972" t="inlineStr"/>
      <c r="L1972" t="inlineStr"/>
      <c r="M1972" t="inlineStr"/>
      <c r="N1972" t="inlineStr"/>
      <c r="O1972">
        <f>(1-Summary!$B$11)*T1972+Summary!$B$11*V1972</f>
        <v/>
      </c>
      <c r="P1972">
        <f>IF(B1995=0,0,O1972/B1995)</f>
        <v/>
      </c>
      <c r="Q1972" t="n">
        <v>0</v>
      </c>
      <c r="R1972" t="n">
        <v>0</v>
      </c>
      <c r="S1972">
        <f>IFERROR(O1972/N1972,0)</f>
        <v/>
      </c>
      <c r="T1972" t="n">
        <v>0</v>
      </c>
      <c r="V1972" t="n">
        <v>0</v>
      </c>
    </row>
    <row r="1973">
      <c r="A1973">
        <f>Skills!A22</f>
        <v/>
      </c>
      <c r="B1973">
        <f>Skills!B22</f>
        <v/>
      </c>
      <c r="C1973">
        <f>Inputs!$B$3&gt;=10</f>
        <v/>
      </c>
      <c r="D1973">
        <f>IF(Skills!C22=1,60+Inputs!$B$25+Inputs!$B$29,IF(Skills!C22=2,90+Inputs!$B$26+Inputs!$B$29,IF(Skills!C22=3,120+Inputs!$B$27+Inputs!$B$29,MAX(0,(Inputs!$B$3-100)*3)+Inputs!$B$28+Inputs!$B$29)))</f>
        <v/>
      </c>
      <c r="E1973">
        <f>INDEX(FactorTable!$B$2:$Y$301, MATCH(ROUND(MIN(300,MAX(1,D1973)),0), FactorTable!$A$2:$A$301,0), Skills!M22+1)</f>
        <v/>
      </c>
      <c r="F1973">
        <f>IF(Skills!N22=TRUE,(Skills!L22/10)*(E1973/1000),Skills!L22/10)+Skills!O22</f>
        <v/>
      </c>
      <c r="G1973">
        <f>Skills!G22*IF(Skills!H22&gt;0,Skills!I22/Skills!H22,1)</f>
        <v/>
      </c>
      <c r="H1973">
        <f>1-(1-Skills!J22/100)^Skills!K22</f>
        <v/>
      </c>
      <c r="I1973" t="inlineStr">
        <is>
          <t>1</t>
        </is>
      </c>
      <c r="J1973" t="inlineStr"/>
      <c r="K1973" t="inlineStr"/>
      <c r="L1973" t="inlineStr"/>
      <c r="M1973" t="inlineStr"/>
      <c r="N1973" t="inlineStr"/>
      <c r="O1973">
        <f>(1-Summary!$B$11)*T1973+Summary!$B$11*V1973</f>
        <v/>
      </c>
      <c r="P1973">
        <f>IF(B1995=0,0,O1973/B1995)</f>
        <v/>
      </c>
      <c r="Q1973" t="n">
        <v>0</v>
      </c>
      <c r="R1973" t="n">
        <v>0</v>
      </c>
      <c r="S1973">
        <f>IFERROR(O1973/N1973,0)</f>
        <v/>
      </c>
      <c r="T1973" t="n">
        <v>0</v>
      </c>
      <c r="V1973" t="n">
        <v>0</v>
      </c>
    </row>
    <row r="1974">
      <c r="A1974">
        <f>Skills!A23</f>
        <v/>
      </c>
      <c r="B1974">
        <f>Skills!B23</f>
        <v/>
      </c>
      <c r="C1974">
        <f>Inputs!$B$3&gt;=33</f>
        <v/>
      </c>
      <c r="D1974">
        <f>IF(Skills!C23=1,60+Inputs!$B$25+Inputs!$B$29,IF(Skills!C23=2,90+Inputs!$B$26+Inputs!$B$29,IF(Skills!C23=3,120+Inputs!$B$27+Inputs!$B$29,MAX(0,(Inputs!$B$3-100)*3)+Inputs!$B$28+Inputs!$B$29)))</f>
        <v/>
      </c>
      <c r="E1974">
        <f>INDEX(FactorTable!$B$2:$Y$301, MATCH(ROUND(MIN(300,MAX(1,D1974)),0), FactorTable!$A$2:$A$301,0), Skills!M23+1)</f>
        <v/>
      </c>
      <c r="F1974">
        <f>IF(Skills!N23=TRUE,(Skills!L23/10)*(E1974/1000),Skills!L23/10)+Skills!O23</f>
        <v/>
      </c>
      <c r="G1974">
        <f>Skills!G23*IF(Skills!H23&gt;0,Skills!I23/Skills!H23,1)</f>
        <v/>
      </c>
      <c r="H1974">
        <f>1-(1-Skills!J23/100)^Skills!K23</f>
        <v/>
      </c>
      <c r="I1974" t="inlineStr">
        <is>
          <t>1</t>
        </is>
      </c>
      <c r="J1974" t="inlineStr"/>
      <c r="K1974" t="inlineStr"/>
      <c r="L1974" t="inlineStr"/>
      <c r="M1974" t="inlineStr"/>
      <c r="N1974" t="inlineStr"/>
      <c r="O1974">
        <f>(1-Summary!$B$11)*T1974+Summary!$B$11*V1974</f>
        <v/>
      </c>
      <c r="P1974">
        <f>IF(B1995=0,0,O1974/B1995)</f>
        <v/>
      </c>
      <c r="Q1974" t="n">
        <v>0</v>
      </c>
      <c r="R1974" t="n">
        <v>0</v>
      </c>
      <c r="S1974">
        <f>IFERROR(O1974/N1974,0)</f>
        <v/>
      </c>
      <c r="T1974" t="n">
        <v>0</v>
      </c>
      <c r="V1974" t="n">
        <v>0</v>
      </c>
    </row>
    <row r="1975">
      <c r="A1975">
        <f>Skills!A24</f>
        <v/>
      </c>
      <c r="B1975">
        <f>Skills!B24</f>
        <v/>
      </c>
      <c r="C1975">
        <f>Inputs!$B$3&gt;=38</f>
        <v/>
      </c>
      <c r="D1975">
        <f>IF(Skills!C24=1,60+Inputs!$B$25+Inputs!$B$29,IF(Skills!C24=2,90+Inputs!$B$26+Inputs!$B$29,IF(Skills!C24=3,120+Inputs!$B$27+Inputs!$B$29,MAX(0,(Inputs!$B$3-100)*3)+Inputs!$B$28+Inputs!$B$29)))</f>
        <v/>
      </c>
      <c r="E1975">
        <f>INDEX(FactorTable!$B$2:$Y$301, MATCH(ROUND(MIN(300,MAX(1,D1975)),0), FactorTable!$A$2:$A$301,0), Skills!M24+1)</f>
        <v/>
      </c>
      <c r="F1975">
        <f>IF(Skills!N24=TRUE,(Skills!L24/10)*(E1975/1000),Skills!L24/10)+Skills!O24</f>
        <v/>
      </c>
      <c r="G1975">
        <f>Skills!G24*IF(Skills!H24&gt;0,Skills!I24/Skills!H24,1)</f>
        <v/>
      </c>
      <c r="H1975">
        <f>1-(1-Skills!J24/100)^Skills!K24</f>
        <v/>
      </c>
      <c r="I1975" t="inlineStr">
        <is>
          <t>1</t>
        </is>
      </c>
      <c r="J1975" t="inlineStr"/>
      <c r="K1975" t="inlineStr"/>
      <c r="L1975" t="inlineStr"/>
      <c r="M1975" t="inlineStr"/>
      <c r="N1975" t="inlineStr"/>
      <c r="O1975">
        <f>(1-Summary!$B$11)*T1975+Summary!$B$11*V1975</f>
        <v/>
      </c>
      <c r="P1975">
        <f>IF(B1995=0,0,O1975/B1995)</f>
        <v/>
      </c>
      <c r="Q1975" t="n">
        <v>0</v>
      </c>
      <c r="R1975" t="n">
        <v>0</v>
      </c>
      <c r="S1975">
        <f>IFERROR(O1975/N1975,0)</f>
        <v/>
      </c>
      <c r="T1975" t="n">
        <v>0</v>
      </c>
      <c r="V1975" t="n">
        <v>0</v>
      </c>
    </row>
    <row r="1976">
      <c r="A1976">
        <f>Skills!A25</f>
        <v/>
      </c>
      <c r="B1976">
        <f>Skills!B25</f>
        <v/>
      </c>
      <c r="C1976">
        <f>Inputs!$B$3&gt;=43</f>
        <v/>
      </c>
      <c r="D1976">
        <f>IF(Skills!C25=1,60+Inputs!$B$25+Inputs!$B$29,IF(Skills!C25=2,90+Inputs!$B$26+Inputs!$B$29,IF(Skills!C25=3,120+Inputs!$B$27+Inputs!$B$29,MAX(0,(Inputs!$B$3-100)*3)+Inputs!$B$28+Inputs!$B$29)))</f>
        <v/>
      </c>
      <c r="E1976">
        <f>INDEX(FactorTable!$B$2:$Y$301, MATCH(ROUND(MIN(300,MAX(1,D1976)),0), FactorTable!$A$2:$A$301,0), Skills!M25+1)</f>
        <v/>
      </c>
      <c r="F1976">
        <f>IF(Skills!N25=TRUE,(Skills!L25/10)*(E1976/1000),Skills!L25/10)+Skills!O25</f>
        <v/>
      </c>
      <c r="G1976">
        <f>Skills!G25*IF(Skills!H25&gt;0,Skills!I25/Skills!H25,1)</f>
        <v/>
      </c>
      <c r="H1976">
        <f>1-(1-Skills!J25/100)^Skills!K25</f>
        <v/>
      </c>
      <c r="I1976" t="inlineStr">
        <is>
          <t>1</t>
        </is>
      </c>
      <c r="J1976" t="inlineStr"/>
      <c r="K1976" t="inlineStr"/>
      <c r="L1976" t="inlineStr"/>
      <c r="M1976" t="inlineStr"/>
      <c r="N1976" t="inlineStr"/>
      <c r="O1976">
        <f>(1-Summary!$B$11)*T1976+Summary!$B$11*V1976</f>
        <v/>
      </c>
      <c r="P1976">
        <f>IF(B1995=0,0,O1976/B1995)</f>
        <v/>
      </c>
      <c r="Q1976" t="n">
        <v>0</v>
      </c>
      <c r="R1976" t="n">
        <v>0</v>
      </c>
      <c r="S1976">
        <f>IFERROR(O1976/N1976,0)</f>
        <v/>
      </c>
      <c r="T1976" t="n">
        <v>0</v>
      </c>
      <c r="V1976" t="n">
        <v>0</v>
      </c>
    </row>
    <row r="1977">
      <c r="A1977">
        <f>Skills!A26</f>
        <v/>
      </c>
      <c r="B1977">
        <f>Skills!B26</f>
        <v/>
      </c>
      <c r="C1977">
        <f>Inputs!$B$3&gt;=75</f>
        <v/>
      </c>
      <c r="D1977">
        <f>IF(Skills!C26=1,60+Inputs!$B$25+Inputs!$B$29,IF(Skills!C26=2,90+Inputs!$B$26+Inputs!$B$29,IF(Skills!C26=3,120+Inputs!$B$27+Inputs!$B$29,MAX(0,(Inputs!$B$3-100)*3)+Inputs!$B$28+Inputs!$B$29)))</f>
        <v/>
      </c>
      <c r="E1977">
        <f>INDEX(FactorTable!$B$2:$Y$301, MATCH(ROUND(MIN(300,MAX(1,D1977)),0), FactorTable!$A$2:$A$301,0), Skills!M26+1)</f>
        <v/>
      </c>
      <c r="F1977">
        <f>IF(Skills!N26=TRUE,(Skills!L26/10)*(E1977/1000),Skills!L26/10)+Skills!O26</f>
        <v/>
      </c>
      <c r="G1977">
        <f>Skills!G26*IF(Skills!H26&gt;0,Skills!I26/Skills!H26,1)</f>
        <v/>
      </c>
      <c r="H1977">
        <f>1-(1-Skills!J26/100)^Skills!K26</f>
        <v/>
      </c>
      <c r="I1977" t="inlineStr">
        <is>
          <t>1</t>
        </is>
      </c>
      <c r="J1977" t="inlineStr"/>
      <c r="K1977" t="inlineStr"/>
      <c r="L1977" t="inlineStr"/>
      <c r="M1977" t="inlineStr"/>
      <c r="N1977" t="inlineStr"/>
      <c r="O1977">
        <f>(1-Summary!$B$11)*T1977+Summary!$B$11*V1977</f>
        <v/>
      </c>
      <c r="P1977">
        <f>IF(B1995=0,0,O1977/B1995)</f>
        <v/>
      </c>
      <c r="Q1977" t="n">
        <v>0</v>
      </c>
      <c r="R1977" t="n">
        <v>0</v>
      </c>
      <c r="S1977">
        <f>IFERROR(O1977/N1977,0)</f>
        <v/>
      </c>
      <c r="T1977" t="n">
        <v>0</v>
      </c>
      <c r="V1977" t="n">
        <v>0</v>
      </c>
    </row>
    <row r="1978">
      <c r="A1978">
        <f>Skills!A27</f>
        <v/>
      </c>
      <c r="B1978">
        <f>Skills!B27</f>
        <v/>
      </c>
      <c r="C1978">
        <f>Inputs!$B$3&gt;=125</f>
        <v/>
      </c>
      <c r="D1978">
        <f>IF(Skills!C27=1,60+Inputs!$B$25+Inputs!$B$29,IF(Skills!C27=2,90+Inputs!$B$26+Inputs!$B$29,IF(Skills!C27=3,120+Inputs!$B$27+Inputs!$B$29,MAX(0,(Inputs!$B$3-100)*3)+Inputs!$B$28+Inputs!$B$29)))</f>
        <v/>
      </c>
      <c r="E1978">
        <f>INDEX(FactorTable!$B$2:$Y$301, MATCH(ROUND(MIN(300,MAX(1,D1978)),0), FactorTable!$A$2:$A$301,0), Skills!M27+1)</f>
        <v/>
      </c>
      <c r="F1978">
        <f>IF(Skills!N27=TRUE,(Skills!L27/10)*(E1978/1000),Skills!L27/10)+Skills!O27</f>
        <v/>
      </c>
      <c r="G1978">
        <f>Skills!G27*IF(Skills!H27&gt;0,Skills!I27/Skills!H27,1)</f>
        <v/>
      </c>
      <c r="H1978">
        <f>1-(1-Skills!J27/100)^Skills!K27</f>
        <v/>
      </c>
      <c r="I1978" t="inlineStr">
        <is>
          <t>1</t>
        </is>
      </c>
      <c r="J1978" t="inlineStr"/>
      <c r="K1978" t="inlineStr"/>
      <c r="L1978" t="inlineStr"/>
      <c r="M1978" t="inlineStr"/>
      <c r="N1978" t="inlineStr"/>
      <c r="O1978">
        <f>(1-Summary!$B$11)*T1978+Summary!$B$11*V1978</f>
        <v/>
      </c>
      <c r="P1978">
        <f>IF(B1995=0,0,O1978/B1995)</f>
        <v/>
      </c>
      <c r="Q1978" t="n">
        <v>0</v>
      </c>
      <c r="R1978" t="n">
        <v>0</v>
      </c>
      <c r="S1978">
        <f>IFERROR(O1978/N1978,0)</f>
        <v/>
      </c>
      <c r="T1978" t="n">
        <v>0</v>
      </c>
      <c r="V1978" t="n">
        <v>0</v>
      </c>
    </row>
    <row r="1979">
      <c r="A1979">
        <f>Skills!A28</f>
        <v/>
      </c>
      <c r="B1979">
        <f>Skills!B28</f>
        <v/>
      </c>
      <c r="C1979">
        <f>Inputs!$B$3&gt;=125</f>
        <v/>
      </c>
      <c r="D1979">
        <f>IF(Skills!C28=1,60+Inputs!$B$25+Inputs!$B$29,IF(Skills!C28=2,90+Inputs!$B$26+Inputs!$B$29,IF(Skills!C28=3,120+Inputs!$B$27+Inputs!$B$29,MAX(0,(Inputs!$B$3-100)*3)+Inputs!$B$28+Inputs!$B$29)))</f>
        <v/>
      </c>
      <c r="E1979">
        <f>INDEX(FactorTable!$B$2:$Y$301, MATCH(ROUND(MIN(300,MAX(1,D1979)),0), FactorTable!$A$2:$A$301,0), Skills!M28+1)</f>
        <v/>
      </c>
      <c r="F1979">
        <f>IF(Skills!N28=TRUE,(Skills!L28/10)*(E1979/1000),Skills!L28/10)+Skills!O28</f>
        <v/>
      </c>
      <c r="G1979">
        <f>Skills!G28*IF(Skills!H28&gt;0,Skills!I28/Skills!H28,1)</f>
        <v/>
      </c>
      <c r="H1979">
        <f>1-(1-Skills!J28/100)^Skills!K28</f>
        <v/>
      </c>
      <c r="I1979" t="inlineStr">
        <is>
          <t>1</t>
        </is>
      </c>
      <c r="J1979" t="inlineStr"/>
      <c r="K1979" t="inlineStr"/>
      <c r="L1979" t="inlineStr"/>
      <c r="M1979" t="inlineStr"/>
      <c r="N1979" t="inlineStr"/>
      <c r="O1979">
        <f>(1-Summary!$B$11)*T1979+Summary!$B$11*V1979</f>
        <v/>
      </c>
      <c r="P1979">
        <f>IF(B1995=0,0,O1979/B1995)</f>
        <v/>
      </c>
      <c r="Q1979" t="n">
        <v>0</v>
      </c>
      <c r="R1979" t="n">
        <v>0</v>
      </c>
      <c r="S1979">
        <f>IFERROR(O1979/N1979,0)</f>
        <v/>
      </c>
      <c r="T1979" t="n">
        <v>0</v>
      </c>
      <c r="V1979" t="n">
        <v>0</v>
      </c>
    </row>
    <row r="1980">
      <c r="A1980">
        <f>Skills!A29</f>
        <v/>
      </c>
      <c r="B1980">
        <f>Skills!B29</f>
        <v/>
      </c>
      <c r="C1980">
        <f>Inputs!$B$3&gt;=120</f>
        <v/>
      </c>
      <c r="D1980">
        <f>IF(Skills!C29=1,60+Inputs!$B$25+Inputs!$B$29,IF(Skills!C29=2,90+Inputs!$B$26+Inputs!$B$29,IF(Skills!C29=3,120+Inputs!$B$27+Inputs!$B$29,MAX(0,(Inputs!$B$3-100)*3)+Inputs!$B$28+Inputs!$B$29)))</f>
        <v/>
      </c>
      <c r="E1980">
        <f>INDEX(FactorTable!$B$2:$Y$301, MATCH(ROUND(MIN(300,MAX(1,D1980)),0), FactorTable!$A$2:$A$301,0), Skills!M29+1)</f>
        <v/>
      </c>
      <c r="F1980">
        <f>IF(Skills!N29=TRUE,(Skills!L29/10)*(E1980/1000),Skills!L29/10)+Skills!O29</f>
        <v/>
      </c>
      <c r="G1980">
        <f>Skills!G29*IF(Skills!H29&gt;0,Skills!I29/Skills!H29,1)</f>
        <v/>
      </c>
      <c r="H1980">
        <f>1-(1-Skills!J29/100)^Skills!K29</f>
        <v/>
      </c>
      <c r="I1980" t="inlineStr">
        <is>
          <t>1</t>
        </is>
      </c>
      <c r="J1980" t="inlineStr"/>
      <c r="K1980" t="inlineStr"/>
      <c r="L1980" t="inlineStr"/>
      <c r="M1980" t="inlineStr"/>
      <c r="N1980" t="inlineStr"/>
      <c r="O1980">
        <f>(1-Summary!$B$11)*T1980+Summary!$B$11*V1980</f>
        <v/>
      </c>
      <c r="P1980">
        <f>IF(B1995=0,0,O1980/B1995)</f>
        <v/>
      </c>
      <c r="Q1980" t="n">
        <v>0</v>
      </c>
      <c r="R1980" t="n">
        <v>0</v>
      </c>
      <c r="S1980">
        <f>IFERROR(O1980/N1980,0)</f>
        <v/>
      </c>
      <c r="T1980" t="n">
        <v>0</v>
      </c>
      <c r="V1980" t="n">
        <v>0</v>
      </c>
    </row>
    <row r="1981">
      <c r="A1981">
        <f>Skills!A30</f>
        <v/>
      </c>
      <c r="B1981">
        <f>Skills!B30</f>
        <v/>
      </c>
      <c r="C1981">
        <f>Inputs!$B$3&gt;=120</f>
        <v/>
      </c>
      <c r="D1981">
        <f>IF(Skills!C30=1,60+Inputs!$B$25+Inputs!$B$29,IF(Skills!C30=2,90+Inputs!$B$26+Inputs!$B$29,IF(Skills!C30=3,120+Inputs!$B$27+Inputs!$B$29,MAX(0,(Inputs!$B$3-100)*3)+Inputs!$B$28+Inputs!$B$29)))</f>
        <v/>
      </c>
      <c r="E1981">
        <f>INDEX(FactorTable!$B$2:$Y$301, MATCH(ROUND(MIN(300,MAX(1,D1981)),0), FactorTable!$A$2:$A$301,0), Skills!M30+1)</f>
        <v/>
      </c>
      <c r="F1981">
        <f>IF(Skills!N30=TRUE,(Skills!L30/10)*(E1981/1000),Skills!L30/10)+Skills!O30</f>
        <v/>
      </c>
      <c r="G1981">
        <f>Skills!G30*IF(Skills!H30&gt;0,Skills!I30/Skills!H30,1)</f>
        <v/>
      </c>
      <c r="H1981">
        <f>1-(1-Skills!J30/100)^Skills!K30</f>
        <v/>
      </c>
      <c r="I1981" t="inlineStr">
        <is>
          <t>1</t>
        </is>
      </c>
      <c r="J1981" t="inlineStr"/>
      <c r="K1981" t="inlineStr"/>
      <c r="L1981" t="inlineStr"/>
      <c r="M1981" t="inlineStr"/>
      <c r="N1981" t="inlineStr"/>
      <c r="O1981">
        <f>(1-Summary!$B$11)*T1981+Summary!$B$11*V1981</f>
        <v/>
      </c>
      <c r="P1981">
        <f>IF(B1995=0,0,O1981/B1995)</f>
        <v/>
      </c>
      <c r="Q1981" t="n">
        <v>0</v>
      </c>
      <c r="R1981" t="n">
        <v>0</v>
      </c>
      <c r="S1981">
        <f>IFERROR(O1981/N1981,0)</f>
        <v/>
      </c>
      <c r="T1981" t="n">
        <v>0</v>
      </c>
      <c r="V1981" t="n">
        <v>0</v>
      </c>
    </row>
    <row r="1982">
      <c r="A1982">
        <f>Skills!A31</f>
        <v/>
      </c>
      <c r="B1982">
        <f>Skills!B31</f>
        <v/>
      </c>
      <c r="C1982">
        <f>Inputs!$B$3&gt;=45</f>
        <v/>
      </c>
      <c r="D1982">
        <f>IF(Skills!C31=1,60+Inputs!$B$25+Inputs!$B$29,IF(Skills!C31=2,90+Inputs!$B$26+Inputs!$B$29,IF(Skills!C31=3,120+Inputs!$B$27+Inputs!$B$29,MAX(0,(Inputs!$B$3-100)*3)+Inputs!$B$28+Inputs!$B$29)))</f>
        <v/>
      </c>
      <c r="E1982">
        <f>INDEX(FactorTable!$B$2:$Y$301, MATCH(ROUND(MIN(300,MAX(1,D1982)),0), FactorTable!$A$2:$A$301,0), Skills!M31+1)</f>
        <v/>
      </c>
      <c r="F1982">
        <f>IF(Skills!N31=TRUE,(Skills!L31/10)*(E1982/1000),Skills!L31/10)+Skills!O31</f>
        <v/>
      </c>
      <c r="G1982">
        <f>Skills!G31*IF(Skills!H31&gt;0,Skills!I31/Skills!H31,1)</f>
        <v/>
      </c>
      <c r="H1982">
        <f>1-(1-Skills!J31/100)^Skills!K31</f>
        <v/>
      </c>
      <c r="I1982" t="inlineStr">
        <is>
          <t>1</t>
        </is>
      </c>
      <c r="J1982" t="inlineStr"/>
      <c r="K1982" t="inlineStr"/>
      <c r="L1982" t="inlineStr"/>
      <c r="M1982" t="inlineStr"/>
      <c r="N1982" t="inlineStr"/>
      <c r="O1982">
        <f>(1-Summary!$B$11)*T1982+Summary!$B$11*V1982</f>
        <v/>
      </c>
      <c r="P1982">
        <f>IF(B1995=0,0,O1982/B1995)</f>
        <v/>
      </c>
      <c r="Q1982" t="n">
        <v>0</v>
      </c>
      <c r="R1982" t="n">
        <v>0</v>
      </c>
      <c r="S1982">
        <f>IFERROR(O1982/N1982,0)</f>
        <v/>
      </c>
      <c r="T1982" t="n">
        <v>0</v>
      </c>
      <c r="V1982" t="n">
        <v>0</v>
      </c>
    </row>
    <row r="1984">
      <c r="A1984" t="inlineStr">
        <is>
          <t>Attack% Bucket Multiplier</t>
        </is>
      </c>
      <c r="B1984">
        <f>(1+(((C1965=TRUE)*F1965)+((C1966=TRUE)*IF(Inputs!$B$38="pvp",F1966,(1-Summary!$B$11)*(F1966)+Summary!$B$11*(0)))+((C1967=TRUE)*F1967*IF(AND(Inputs!$B$38&lt;&gt;"pvp",Inputs!$B$43&gt;0),(((R1967-1)*(Skills!T16*(1+Inputs!$B$34/100))+MIN((Skills!T16*(1+Inputs!$B$34/100)),MAX(0,Inputs!$B$43-((R1967-1)*Skills!D16))))/Inputs!$B$43),IF(Inputs!$B$38="pvp",MIN((Skills!T16*(1+Inputs!$B$34/100)),15)/15,(Skills!T16*(1+Inputs!$B$34/100))/Skills!D16)))+((C1982=TRUE)*(F1982-Calc!F31))+(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85">
      <c r="A1985" t="inlineStr">
        <is>
          <t>Global Crit Rate Bonus %</t>
        </is>
      </c>
      <c r="B1985">
        <f>(C1968=TRUE)*20*IF(AND(Inputs!$B$38&lt;&gt;"pvp",Inputs!$B$43&gt;0),(((R1968-1)*(Skills!T17*(1+Inputs!$B$34/100))+MIN((Skills!T17*(1+Inputs!$B$34/100)),MAX(0,Inputs!$B$43-((R1968-1)*Skills!D17))))/Inputs!$B$43),IF(Inputs!$B$38="pvp",MIN((Skills!T17*(1+Inputs!$B$34/100)),15)/15,(Skills!T17*(1+Inputs!$B$34/100))/Skills!D17))</f>
        <v/>
      </c>
    </row>
    <row r="1986">
      <c r="A1986" t="inlineStr">
        <is>
          <t>Attack Speed Buff Bonus %</t>
        </is>
      </c>
      <c r="B1986">
        <f>((C1971=TRUE)*F1971*IF(AND(Inputs!$B$38&lt;&gt;"pvp",Inputs!$B$43&gt;0),(((R1971-1)*(Skills!T20*(1+Inputs!$B$34/100))+MIN((Skills!T20*(1+Inputs!$B$34/100)),MAX(0,Inputs!$B$43-((R1971-1)*Skills!D20))))/Inputs!$B$43),IF(Inputs!$B$38="pvp",MIN((Skills!T20*(1+Inputs!$B$34/100)),15)/15,(Skills!T20*(1+Inputs!$B$34/100))/Skills!D20)))</f>
        <v/>
      </c>
    </row>
    <row r="1987">
      <c r="A1987" t="inlineStr">
        <is>
          <t>Actions Per Second</t>
        </is>
      </c>
      <c r="B1987">
        <f>1+MIN(150,150*(1-(1-(Inputs!$B$11+((C1973=TRUE)*(F1973-Calc!F22))+((C1974=TRUE)*(F1974-Calc!F23)))/150)*(1-B1986/150)))/100</f>
        <v/>
      </c>
    </row>
    <row r="1988">
      <c r="A1988" t="inlineStr">
        <is>
          <t>Skill + Buff Cast Rate</t>
        </is>
      </c>
      <c r="B1988">
        <f>IF(AND(Inputs!$B$38&lt;&gt;"pvp",Inputs!$B$43&gt;0),SUMPRODUCT((Skills!E2:E31=TRUE)*(C1953:C1982=TRUE)*R1953:R1982*Skills!F2:F31)/Inputs!$B$43,SUMPRODUCT((Skills!E2:E31=TRUE)*(C1953:C1982=TRUE)*Q1953:Q1982*Skills!F2:F31))</f>
        <v/>
      </c>
    </row>
    <row r="1989">
      <c r="A1989" t="inlineStr">
        <is>
          <t>Arrow Stream Casts Per Second</t>
        </is>
      </c>
      <c r="B1989">
        <f>MAX(0,B1987-B1988)</f>
        <v/>
      </c>
    </row>
    <row r="1990">
      <c r="A1990" t="inlineStr">
        <is>
          <t>Global Critical Damage Bonus % (Sharp Eyes + Concentration)</t>
        </is>
      </c>
      <c r="B1990">
        <f>(C1968=TRUE)*F1968*IF(AND(Inputs!$B$38&lt;&gt;"pvp",Inputs!$B$43&gt;0),(((R1968-1)*(Skills!T17*(1+Inputs!$B$34/100))+MIN((Skills!T17*(1+Inputs!$B$34/100)),MAX(0,Inputs!$B$43-((R1968-1)*Skills!D17))))/Inputs!$B$43),IF(Inputs!$B$38="pvp",MIN((Skills!T17*(1+Inputs!$B$34/100)),15)/15,(Skills!T17*(1+Inputs!$B$34/100))/Skills!D17))+(C1969=TRUE)*30</f>
        <v/>
      </c>
    </row>
    <row r="1991">
      <c r="A1991" t="inlineStr">
        <is>
          <t>Global Final Damage Bonus % (Mortal Blow)</t>
        </is>
      </c>
      <c r="B1991">
        <f>(C1970=TRUE)*F1970</f>
        <v/>
      </c>
    </row>
    <row r="1992">
      <c r="A1992" t="inlineStr">
        <is>
          <t>Buff-Casting Startup Delay (s, fixed-duration only)</t>
        </is>
      </c>
      <c r="B1992">
        <f>IF(AND(Inputs!$B$38&lt;&gt;"pvp",Inputs!$B$43&gt;0),SUMPRODUCT((Skills!T2:T31&gt;0)*(Skills!E2:E31=TRUE)*(C1953:C1982=TRUE))/B1987,0)</f>
        <v/>
      </c>
    </row>
    <row r="1993">
      <c r="A1993" t="inlineStr">
        <is>
          <t>Boss-Only Total DPS (this block's swept value)</t>
        </is>
      </c>
      <c r="B1993">
        <f>SUM(T1953:T1982)</f>
        <v/>
      </c>
    </row>
    <row r="1994">
      <c r="A1994" t="inlineStr">
        <is>
          <t>Normal-Only Total DPS (this block's swept value)</t>
        </is>
      </c>
      <c r="B1994">
        <f>SUM(V1953:V1982)</f>
        <v/>
      </c>
    </row>
    <row r="1995">
      <c r="A1995" s="6" t="inlineStr">
        <is>
          <t>TOTAL DPS</t>
        </is>
      </c>
      <c r="B1995" s="6">
        <f>SUM(O1953:O1982)</f>
        <v/>
      </c>
    </row>
    <row r="1998">
      <c r="A1998" s="6" t="inlineStr">
        <is>
          <t>Stat: Silver Pendant (Equip)</t>
        </is>
      </c>
    </row>
    <row r="1999">
      <c r="A1999" s="5" t="inlineStr">
        <is>
          <t>Key</t>
        </is>
      </c>
      <c r="B1999" s="5" t="inlineStr">
        <is>
          <t>Name</t>
        </is>
      </c>
      <c r="C1999" s="5" t="inlineStr">
        <is>
          <t>Unlocked</t>
        </is>
      </c>
      <c r="D1999" s="5" t="inlineStr">
        <is>
          <t>InputLevel</t>
        </is>
      </c>
      <c r="E1999" s="5" t="inlineStr">
        <is>
          <t>Factor</t>
        </is>
      </c>
      <c r="F1999" s="5" t="inlineStr">
        <is>
          <t>CoefficientPercent</t>
        </is>
      </c>
      <c r="G1999" s="5" t="inlineStr">
        <is>
          <t>EffectiveHits</t>
        </is>
      </c>
      <c r="H1999" s="5" t="inlineStr">
        <is>
          <t>ProcProbability</t>
        </is>
      </c>
      <c r="I1999" s="5" t="inlineStr">
        <is>
          <t>MapleHeroMultiplier</t>
        </is>
      </c>
      <c r="J1999" s="5" t="inlineStr">
        <is>
          <t>BaseDamage</t>
        </is>
      </c>
      <c r="K1999" s="5" t="inlineStr">
        <is>
          <t>BaseHitDamage</t>
        </is>
      </c>
      <c r="L1999" s="5" t="inlineStr">
        <is>
          <t>NonCritAvg</t>
        </is>
      </c>
      <c r="M1999" s="5" t="inlineStr">
        <is>
          <t>CritAvg</t>
        </is>
      </c>
      <c r="N1999" s="5" t="inlineStr">
        <is>
          <t>ExpectedDamage(perHit)</t>
        </is>
      </c>
      <c r="O1999" s="5" t="inlineStr">
        <is>
          <t>DPS</t>
        </is>
      </c>
      <c r="P1999" s="5" t="inlineStr">
        <is>
          <t>% of Total</t>
        </is>
      </c>
      <c r="Q1999" s="5" t="inlineStr">
        <is>
          <t>InvCooldown</t>
        </is>
      </c>
      <c r="R1999" s="5" t="inlineStr">
        <is>
          <t>CastsInFight</t>
        </is>
      </c>
      <c r="S1999" s="5" t="inlineStr">
        <is>
          <t>HitRate(perSec)</t>
        </is>
      </c>
      <c r="U1999" t="inlineStr">
        <is>
          <t>helpers</t>
        </is>
      </c>
    </row>
    <row r="2000">
      <c r="A2000">
        <f>Skills!A2</f>
        <v/>
      </c>
      <c r="B2000">
        <f>Skills!B2</f>
        <v/>
      </c>
      <c r="C2000">
        <f>Inputs!$B$3&gt;=100</f>
        <v/>
      </c>
      <c r="D2000" t="inlineStr"/>
      <c r="E2000" t="inlineStr"/>
      <c r="F2000">
        <f>U2002+Skills!O2</f>
        <v/>
      </c>
      <c r="G2000">
        <f>Skills!G2*IF(Skills!H2&gt;0,Skills!I2/Skills!H2,1)</f>
        <v/>
      </c>
      <c r="H2000">
        <f>1-(1-Skills!J2/100)^Skills!K2</f>
        <v/>
      </c>
      <c r="I2000" t="inlineStr">
        <is>
          <t>1</t>
        </is>
      </c>
      <c r="J2000">
        <f>((Inputs!$B$6*(1+Inputs!$B$7/100))+(((Inputs!$B$12*(1+Inputs!$B$13/100))-(Inputs!$B$12*(1+Inputs!$B$13/100)))+0.25*(Inputs!$B$14-Inputs!$B$14))*(1+Inputs!$B$7/100))*(F2000/100)</f>
        <v/>
      </c>
      <c r="K2000">
        <f>J2000*(1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2000)</f>
        <v/>
      </c>
      <c r="L2000">
        <f>K2000*(MIN(Inputs!$B$22+((C2023=TRUE)*(F2023-Calc!F25)),(Inputs!$B$23+((C2028=TRUE)*(F2028-Calc!F30))+(IF(ArtifactsInput!$M$15,CHOOSE(ArtifactsInput!$N$15+1,25,30,35,40,45,50)/100*(Inputs!$B$11-Inputs!$B$11),0))))/100+(Inputs!$B$23+((C2028=TRUE)*(F2028-Calc!F30))+(IF(ArtifactsInput!$M$15,CHOOSE(ArtifactsInput!$N$15+1,25,30,35,40,45,50)/100*(Inputs!$B$11-Inputs!$B$11),0)))/100)/2</f>
        <v/>
      </c>
      <c r="M2000">
        <f>L2000*(1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0">
        <f>L2000*(1-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2000*(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0">
        <f>(1-Summary!$B$11)*T2000+Summary!$B$11*V2000</f>
        <v/>
      </c>
      <c r="P2000">
        <f>IF(B2042=0,0,O2000/B2042)</f>
        <v/>
      </c>
      <c r="Q2000" t="n">
        <v>0</v>
      </c>
      <c r="R2000" t="n">
        <v>0</v>
      </c>
      <c r="S2000">
        <f>IFERROR(O2000/N2000,0)</f>
        <v/>
      </c>
      <c r="T2000">
        <f>IF(C2000,(Skills!G2*N2000*B2036)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2000*(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2000*(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0">
        <f>MAX(0,(Inputs!$B$3-100)*3)+Inputs!$B$28+Inputs!$B$29</f>
        <v/>
      </c>
      <c r="V2000">
        <f>IF(C2000,(Skills!G2*N2000*B2036)*IF(Inputs!$B$38="pvp",1,(1+(Inputs!$B$21+Skills!Q2+(IF(ArtifactsInput!$M$33,CHOOSE(ArtifactsInput!$N$33+1,30,36,42,48,54,60),0))+(IF(AND(ArtifactsInput!$M$35,Inputs!$B$4&lt;&gt;"Chapter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1">
      <c r="A2001">
        <f>Skills!A3</f>
        <v/>
      </c>
      <c r="B2001">
        <f>Skills!B3</f>
        <v/>
      </c>
      <c r="C2001">
        <f>Inputs!$B$3&gt;=50</f>
        <v/>
      </c>
      <c r="D2001">
        <f>IF(Skills!C3=1,60+Inputs!$B$25+Inputs!$B$29,IF(Skills!C3=2,90+Inputs!$B$26+Inputs!$B$29,IF(Skills!C3=3,120+Inputs!$B$27+Inputs!$B$29,MAX(0,(Inputs!$B$3-100)*3)+Inputs!$B$28+Inputs!$B$29)))</f>
        <v/>
      </c>
      <c r="E2001">
        <f>INDEX(FactorTable!$B$2:$Y$301, MATCH(ROUND(MIN(300,MAX(1,D2001)),0), FactorTable!$A$2:$A$301,0), Skills!M3+1)</f>
        <v/>
      </c>
      <c r="F2001">
        <f>IF(Skills!N3=TRUE,(Skills!L3/10)*(E2001/1000),Skills!L3/10)+Skills!O3</f>
        <v/>
      </c>
      <c r="G2001">
        <f>Skills!G3*IF(Skills!H3&gt;0,Skills!I3/Skills!H3,1)</f>
        <v/>
      </c>
      <c r="H2001">
        <f>1-(1-Skills!J3/100)^Skills!K3</f>
        <v/>
      </c>
      <c r="I2001" t="inlineStr">
        <is>
          <t>1</t>
        </is>
      </c>
      <c r="J2001">
        <f>((Inputs!$B$6*(1+Inputs!$B$7/100))+(((Inputs!$B$12*(1+Inputs!$B$13/100))-(Inputs!$B$12*(1+Inputs!$B$13/100)))+0.25*(Inputs!$B$14-Inputs!$B$14))*(1+Inputs!$B$7/100))*(F2001/100)</f>
        <v/>
      </c>
      <c r="K2001">
        <f>J2001*(1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2002=TRUE,F2002,0)/100)*(1+(IF(Skills!A3="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2001)</f>
        <v/>
      </c>
      <c r="L2001">
        <f>K2001*(MIN(Inputs!$B$22+((C2023=TRUE)*(F2023-Calc!F25)),(Inputs!$B$23+((C2028=TRUE)*(F2028-Calc!F30))+(IF(ArtifactsInput!$M$15,CHOOSE(ArtifactsInput!$N$15+1,25,30,35,40,45,50)/100*(Inputs!$B$11-Inputs!$B$11),0))))/100+(Inputs!$B$23+((C2028=TRUE)*(F2028-Calc!F30))+(IF(ArtifactsInput!$M$15,CHOOSE(ArtifactsInput!$N$15+1,25,30,35,40,45,50)/100*(Inputs!$B$11-Inputs!$B$11),0)))/100)/2</f>
        <v/>
      </c>
      <c r="M2001">
        <f>L2001*(1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1">
        <f>L2001*(1-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1">
        <f>(1-Summary!$B$11)*T2001+Summary!$B$11*V2001</f>
        <v/>
      </c>
      <c r="P2001">
        <f>IF(B2042=0,0,O2001/B2042)</f>
        <v/>
      </c>
      <c r="Q2001">
        <f>IFERROR(1/(IF(Inputs!$B$38="pvp",15,MAX(0.1,Skills!D3-IF(Skills!E3=TRUE,Inputs!$B$32,0)))*(1-IF(AND(ArtifactsInput!$M$27,Inputs!$B$4="Chapter Hunt"),CHOOSE(ArtifactsInput!$N$27+1,20,24,28,32,36,40),0)/100)),0)</f>
        <v/>
      </c>
      <c r="R2001">
        <f>IF(AND(Inputs!$B$38&lt;&gt;"pvp",Inputs!$B$43&gt;0),IF(MAX(0,Inputs!$B$43-B2039)&lt;=0,0,(INT(MAX(0,Inputs!$B$43-B2039)/(IF(Inputs!$B$38="pvp",15,MAX(0.1,Skills!D3-IF(Skills!E3=TRUE,Inputs!$B$32,0)))*(1-IF(AND(ArtifactsInput!$M$27,Inputs!$B$4="Chapter Hunt"),CHOOSE(ArtifactsInput!$N$27+1,20,24,28,32,36,40),0)/100)))+1)),0)</f>
        <v/>
      </c>
      <c r="S2001">
        <f>IFERROR(O2001/N2001,0)</f>
        <v/>
      </c>
      <c r="T2001">
        <f>IF(C2001,(H2001*N2001*IF(AND(Inputs!$B$38&lt;&gt;"pvp",Inputs!$B$43&gt;0),((Skills!G3*((R2001-1)*IF(Skills!H3&gt;0,Skills!I3/Skills!H3,1)+IF(Skills!H3&gt;0,MIN(Skills!I3,MAX(0,MAX(0,Inputs!$B$43-B2039)-((R2001-1)*(IF(Inputs!$B$38="pvp",15,MAX(0.1,Skills!D3-IF(Skills!E3=TRUE,Inputs!$B$32,0)))*(1-IF(AND(ArtifactsInput!$M$27,Inputs!$B$4="Chapter Hunt"),CHOOSE(ArtifactsInput!$N$27+1,20,24,28,32,36,40),0)/100)))))/Skills!H3,1)))/Inputs!$B$43),G2001*Q2001)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2001*(1-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2001*(1-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1">
        <f>INDEX(FactorTable!$B$2:$Y$301, MATCH(ROUND(MIN(300,MAX(1,U2000)),0), FactorTable!$A$2:$A$301,0), 22)</f>
        <v/>
      </c>
      <c r="V2001">
        <f>IF(C2001,(H2001*N2001*IF(AND(Inputs!$B$38&lt;&gt;"pvp",Inputs!$B$43&gt;0),((Skills!G3*((R2001-1)*IF(Skills!H3&gt;0,Skills!I3/Skills!H3,1)+IF(Skills!H3&gt;0,MIN(Skills!I3,MAX(0,MAX(0,Inputs!$B$43-B2039)-((R2001-1)*(IF(Inputs!$B$38="pvp",15,MAX(0.1,Skills!D3-IF(Skills!E3=TRUE,Inputs!$B$32,0)))*(1-IF(AND(ArtifactsInput!$M$27,Inputs!$B$4="Chapter Hunt"),CHOOSE(ArtifactsInput!$N$27+1,20,24,28,32,36,40),0)/100)))))/Skills!H3,1)))/Inputs!$B$43),G2001*Q2001))*IF(Inputs!$B$38="pvp",1,(1+(Inputs!$B$21+Skills!Q3+(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2">
      <c r="A2002">
        <f>Skills!A4</f>
        <v/>
      </c>
      <c r="B2002">
        <f>Skills!B4</f>
        <v/>
      </c>
      <c r="C2002">
        <f>Inputs!$B$3&gt;=105</f>
        <v/>
      </c>
      <c r="D2002">
        <f>IF(Skills!C4=1,60+Inputs!$B$25+Inputs!$B$29,IF(Skills!C4=2,90+Inputs!$B$26+Inputs!$B$29,IF(Skills!C4=3,120+Inputs!$B$27+Inputs!$B$29,MAX(0,(Inputs!$B$3-100)*3)+Inputs!$B$28+Inputs!$B$29)))</f>
        <v/>
      </c>
      <c r="E2002">
        <f>INDEX(FactorTable!$B$2:$Y$301, MATCH(ROUND(MIN(300,MAX(1,D2002)),0), FactorTable!$A$2:$A$301,0), Skills!M4+1)</f>
        <v/>
      </c>
      <c r="F2002">
        <f>IF(Skills!N4=TRUE,(Skills!L4/10)*(E2002/1000),Skills!L4/10)+Skills!O4</f>
        <v/>
      </c>
      <c r="G2002" t="inlineStr"/>
      <c r="H2002" t="inlineStr"/>
      <c r="I2002" t="inlineStr">
        <is>
          <t>1</t>
        </is>
      </c>
      <c r="J2002" t="inlineStr"/>
      <c r="K2002" t="inlineStr"/>
      <c r="L2002" t="inlineStr"/>
      <c r="M2002" t="inlineStr"/>
      <c r="N2002" t="inlineStr"/>
      <c r="O2002" t="inlineStr"/>
      <c r="P2002" t="inlineStr"/>
      <c r="Q2002" t="inlineStr"/>
      <c r="R2002" t="inlineStr"/>
      <c r="S2002" t="inlineStr"/>
      <c r="T2002" t="inlineStr"/>
      <c r="U2002">
        <f>290*U2001/1000</f>
        <v/>
      </c>
      <c r="V2002" t="inlineStr"/>
    </row>
    <row r="2003">
      <c r="A2003">
        <f>Skills!A5</f>
        <v/>
      </c>
      <c r="B2003">
        <f>Skills!B5</f>
        <v/>
      </c>
      <c r="C2003">
        <f>Inputs!$B$3&gt;=35</f>
        <v/>
      </c>
      <c r="D2003">
        <f>IF(Skills!C5=1,60+Inputs!$B$25+Inputs!$B$29,IF(Skills!C5=2,90+Inputs!$B$26+Inputs!$B$29,IF(Skills!C5=3,120+Inputs!$B$27+Inputs!$B$29,MAX(0,(Inputs!$B$3-100)*3)+Inputs!$B$28+Inputs!$B$29)))</f>
        <v/>
      </c>
      <c r="E2003">
        <f>INDEX(FactorTable!$B$2:$Y$301, MATCH(ROUND(MIN(300,MAX(1,D2003)),0), FactorTable!$A$2:$A$301,0), Skills!M5+1)</f>
        <v/>
      </c>
      <c r="F2003">
        <f>IF(Skills!N5=TRUE,(Skills!L5/10)*(E2003/1000),Skills!L5/10)+Skills!O5</f>
        <v/>
      </c>
      <c r="G2003">
        <f>Skills!G5*IF(Skills!H5&gt;0,Skills!I5/Skills!H5,1)</f>
        <v/>
      </c>
      <c r="H2003">
        <f>1-(1-Skills!J5/100)^Skills!K5</f>
        <v/>
      </c>
      <c r="I2003" t="inlineStr">
        <is>
          <t>1</t>
        </is>
      </c>
      <c r="J2003">
        <f>((Inputs!$B$6*(1+Inputs!$B$7/100))+(((Inputs!$B$12*(1+Inputs!$B$13/100))-(Inputs!$B$12*(1+Inputs!$B$13/100)))+0.25*(Inputs!$B$14-Inputs!$B$14))*(1+Inputs!$B$7/100))*(F2003/100)</f>
        <v/>
      </c>
      <c r="K2003">
        <f>J2003*(1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2009=TRUE,F2009,0)/100)*(1+(IF(Skills!A5="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2003)</f>
        <v/>
      </c>
      <c r="L2003">
        <f>K2003*(MIN(Inputs!$B$22+((C2023=TRUE)*(F2023-Calc!F25)),(Inputs!$B$23+((C2028=TRUE)*(F2028-Calc!F30))+(IF(ArtifactsInput!$M$15,CHOOSE(ArtifactsInput!$N$15+1,25,30,35,40,45,50)/100*(Inputs!$B$11-Inputs!$B$11),0))))/100+(Inputs!$B$23+((C2028=TRUE)*(F2028-Calc!F30))+(IF(ArtifactsInput!$M$15,CHOOSE(ArtifactsInput!$N$15+1,25,30,35,40,45,50)/100*(Inputs!$B$11-Inputs!$B$11),0)))/100)/2</f>
        <v/>
      </c>
      <c r="M2003">
        <f>L2003*(1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3">
        <f>L2003*(1-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2003*(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3">
        <f>(1-Summary!$B$11)*T2003+Summary!$B$11*V2003</f>
        <v/>
      </c>
      <c r="P2003">
        <f>IF(B2042=0,0,O2003/B2042)</f>
        <v/>
      </c>
      <c r="Q2003">
        <f>IFERROR(1/(IF(Inputs!$B$38="pvp",15,MAX(0.1,Skills!D5-IF(Skills!E5=TRUE,Inputs!$B$32,0)))*(1-IF(AND(ArtifactsInput!$M$27,Inputs!$B$4="Chapter Hunt"),CHOOSE(ArtifactsInput!$N$27+1,20,24,28,32,36,40),0)/100)),0)</f>
        <v/>
      </c>
      <c r="R2003">
        <f>IF(AND(Inputs!$B$38&lt;&gt;"pvp",Inputs!$B$43&gt;0),IF(MAX(0,Inputs!$B$43-B2039)&lt;=0,0,(INT(MAX(0,Inputs!$B$43-B2039)/(IF(Inputs!$B$38="pvp",15,MAX(0.1,Skills!D5-IF(Skills!E5=TRUE,Inputs!$B$32,0)))*(1-IF(AND(ArtifactsInput!$M$27,Inputs!$B$4="Chapter Hunt"),CHOOSE(ArtifactsInput!$N$27+1,20,24,28,32,36,40),0)/100)))+1)),0)</f>
        <v/>
      </c>
      <c r="S2003">
        <f>IFERROR(O2003/N2003,0)</f>
        <v/>
      </c>
      <c r="T2003">
        <f>IF(C2003,(H2003*N2003*IF(AND(Inputs!$B$38&lt;&gt;"pvp",Inputs!$B$43&gt;0),((Skills!G5*((R2003-1)*IF(Skills!H5&gt;0,Skills!I5/Skills!H5,1)+IF(Skills!H5&gt;0,MIN(Skills!I5,MAX(0,MAX(0,Inputs!$B$43-B2039)-((R2003-1)*(IF(Inputs!$B$38="pvp",15,MAX(0.1,Skills!D5-IF(Skills!E5=TRUE,Inputs!$B$32,0)))*(1-IF(AND(ArtifactsInput!$M$27,Inputs!$B$4="Chapter Hunt"),CHOOSE(ArtifactsInput!$N$27+1,20,24,28,32,36,40),0)/100)))))/Skills!H5,1)))/Inputs!$B$43),G2003*Q2003)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2003*(1-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2003*(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2003*(1-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2003*(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3">
        <f>IF(C2003,(H2003*N2003*IF(AND(Inputs!$B$38&lt;&gt;"pvp",Inputs!$B$43&gt;0),((Skills!G5*((R2003-1)*IF(Skills!H5&gt;0,Skills!I5/Skills!H5,1)+IF(Skills!H5&gt;0,MIN(Skills!I5,MAX(0,MAX(0,Inputs!$B$43-B2039)-((R2003-1)*(IF(Inputs!$B$38="pvp",15,MAX(0.1,Skills!D5-IF(Skills!E5=TRUE,Inputs!$B$32,0)))*(1-IF(AND(ArtifactsInput!$M$27,Inputs!$B$4="Chapter Hunt"),CHOOSE(ArtifactsInput!$N$27+1,20,24,28,32,36,40),0)/100)))))/Skills!H5,1)))/Inputs!$B$43),G2003*Q2003))*IF(Inputs!$B$38="pvp",1,(1+(Inputs!$B$21+Skills!Q5+(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4">
      <c r="A2004">
        <f>Skills!A6</f>
        <v/>
      </c>
      <c r="B2004">
        <f>Skills!B6</f>
        <v/>
      </c>
      <c r="C2004">
        <f>Inputs!$B$3&gt;=40</f>
        <v/>
      </c>
      <c r="D2004">
        <f>IF(Skills!C6=1,60+Inputs!$B$25+Inputs!$B$29,IF(Skills!C6=2,90+Inputs!$B$26+Inputs!$B$29,IF(Skills!C6=3,120+Inputs!$B$27+Inputs!$B$29,MAX(0,(Inputs!$B$3-100)*3)+Inputs!$B$28+Inputs!$B$29)))</f>
        <v/>
      </c>
      <c r="E2004">
        <f>INDEX(FactorTable!$B$2:$Y$301, MATCH(ROUND(MIN(300,MAX(1,D2004)),0), FactorTable!$A$2:$A$301,0), Skills!M6+1)</f>
        <v/>
      </c>
      <c r="F2004">
        <f>IF(Skills!N6=TRUE,(Skills!L6/10)*(E2004/1000),Skills!L6/10)+Skills!O6</f>
        <v/>
      </c>
      <c r="G2004">
        <f>Skills!G6*IF(Skills!H6&gt;0,Skills!I6/Skills!H6,1)</f>
        <v/>
      </c>
      <c r="H2004">
        <f>1-(1-Skills!J6/100)^Skills!K6</f>
        <v/>
      </c>
      <c r="I2004" t="inlineStr">
        <is>
          <t>1</t>
        </is>
      </c>
      <c r="J2004">
        <f>((Inputs!$B$6*(1+Inputs!$B$7/100))+(((Inputs!$B$12*(1+Inputs!$B$13/100))-(Inputs!$B$12*(1+Inputs!$B$13/100)))+0.25*(Inputs!$B$14-Inputs!$B$14))*(1+Inputs!$B$7/100))*(F2004/100)</f>
        <v/>
      </c>
      <c r="K2004">
        <f>J2004*(1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2005=TRUE,F2005,0)/100)*(1+(IF(Skills!A6="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2004)</f>
        <v/>
      </c>
      <c r="L2004">
        <f>K2004*(MIN(Inputs!$B$22+((C2023=TRUE)*(F2023-Calc!F25)),(Inputs!$B$23+((C2028=TRUE)*(F2028-Calc!F30))+(IF(ArtifactsInput!$M$15,CHOOSE(ArtifactsInput!$N$15+1,25,30,35,40,45,50)/100*(Inputs!$B$11-Inputs!$B$11),0))))/100+(Inputs!$B$23+((C2028=TRUE)*(F2028-Calc!F30))+(IF(ArtifactsInput!$M$15,CHOOSE(ArtifactsInput!$N$15+1,25,30,35,40,45,50)/100*(Inputs!$B$11-Inputs!$B$11),0)))/100)/2</f>
        <v/>
      </c>
      <c r="M2004">
        <f>L2004*(1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4">
        <f>L2004*(1-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2004*(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4">
        <f>(1-Summary!$B$11)*T2004+Summary!$B$11*V2004</f>
        <v/>
      </c>
      <c r="P2004">
        <f>IF(B2042=0,0,O2004/B2042)</f>
        <v/>
      </c>
      <c r="Q2004">
        <f>IFERROR(1/(IF(Inputs!$B$38="pvp",15,MAX(0.1,Skills!D6-IF(Skills!E6=TRUE,Inputs!$B$32,0)))*(1-IF(AND(ArtifactsInput!$M$27,Inputs!$B$4="Chapter Hunt"),CHOOSE(ArtifactsInput!$N$27+1,20,24,28,32,36,40),0)/100)),0)</f>
        <v/>
      </c>
      <c r="R2004">
        <f>IF(AND(Inputs!$B$38&lt;&gt;"pvp",Inputs!$B$43&gt;0),IF(MAX(0,Inputs!$B$43-B2039)&lt;=0,0,(INT(MAX(0,Inputs!$B$43-B2039)/(IF(Inputs!$B$38="pvp",15,MAX(0.1,Skills!D6-IF(Skills!E6=TRUE,Inputs!$B$32,0)))*(1-IF(AND(ArtifactsInput!$M$27,Inputs!$B$4="Chapter Hunt"),CHOOSE(ArtifactsInput!$N$27+1,20,24,28,32,36,40),0)/100)))+1)),0)</f>
        <v/>
      </c>
      <c r="S2004">
        <f>IFERROR(O2004/N2004,0)</f>
        <v/>
      </c>
      <c r="T2004">
        <f>IF(C2004,(H2004*N2004*IF(AND(Inputs!$B$38&lt;&gt;"pvp",Inputs!$B$43&gt;0),((Skills!G6*((R2004-1)*IF(Skills!H6&gt;0,Skills!I6/Skills!H6,1)+IF(Skills!H6&gt;0,MIN(Skills!I6,MAX(0,MAX(0,Inputs!$B$43-B2039)-((R2004-1)*(IF(Inputs!$B$38="pvp",15,MAX(0.1,Skills!D6-IF(Skills!E6=TRUE,Inputs!$B$32,0)))*(1-IF(AND(ArtifactsInput!$M$27,Inputs!$B$4="Chapter Hunt"),CHOOSE(ArtifactsInput!$N$27+1,20,24,28,32,36,40),0)/100)))))/Skills!H6,1)))/Inputs!$B$43),G2004*Q2004)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2004*(1-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2004*(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2004*(1-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2004*(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4">
        <f>IF(C2004,(H2004*N2004*IF(AND(Inputs!$B$38&lt;&gt;"pvp",Inputs!$B$43&gt;0),((Skills!G6*((R2004-1)*IF(Skills!H6&gt;0,Skills!I6/Skills!H6,1)+IF(Skills!H6&gt;0,MIN(Skills!I6,MAX(0,MAX(0,Inputs!$B$43-B2039)-((R2004-1)*(IF(Inputs!$B$38="pvp",15,MAX(0.1,Skills!D6-IF(Skills!E6=TRUE,Inputs!$B$32,0)))*(1-IF(AND(ArtifactsInput!$M$27,Inputs!$B$4="Chapter Hunt"),CHOOSE(ArtifactsInput!$N$27+1,20,24,28,32,36,40),0)/100)))))/Skills!H6,1)))/Inputs!$B$43),G2004*Q2004))*IF(Inputs!$B$38="pvp",1,(1+(Inputs!$B$21+Skills!Q6+(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5">
      <c r="A2005">
        <f>Skills!A7</f>
        <v/>
      </c>
      <c r="B2005">
        <f>Skills!B7</f>
        <v/>
      </c>
      <c r="C2005">
        <f>Inputs!$B$3&gt;=107</f>
        <v/>
      </c>
      <c r="D2005">
        <f>IF(Skills!C7=1,60+Inputs!$B$25+Inputs!$B$29,IF(Skills!C7=2,90+Inputs!$B$26+Inputs!$B$29,IF(Skills!C7=3,120+Inputs!$B$27+Inputs!$B$29,MAX(0,(Inputs!$B$3-100)*3)+Inputs!$B$28+Inputs!$B$29)))</f>
        <v/>
      </c>
      <c r="E2005">
        <f>INDEX(FactorTable!$B$2:$Y$301, MATCH(ROUND(MIN(300,MAX(1,D2005)),0), FactorTable!$A$2:$A$301,0), Skills!M7+1)</f>
        <v/>
      </c>
      <c r="F2005">
        <f>IF(Skills!N7=TRUE,(Skills!L7/10)*(E2005/1000),Skills!L7/10)+Skills!O7</f>
        <v/>
      </c>
      <c r="G2005" t="inlineStr"/>
      <c r="H2005" t="inlineStr"/>
      <c r="I2005" t="inlineStr">
        <is>
          <t>1</t>
        </is>
      </c>
      <c r="J2005" t="inlineStr"/>
      <c r="K2005" t="inlineStr"/>
      <c r="L2005" t="inlineStr"/>
      <c r="M2005" t="inlineStr"/>
      <c r="N2005" t="inlineStr"/>
      <c r="O2005" t="inlineStr"/>
      <c r="P2005" t="inlineStr"/>
      <c r="Q2005" t="inlineStr"/>
      <c r="R2005" t="inlineStr"/>
      <c r="S2005" t="inlineStr"/>
      <c r="T2005" t="inlineStr"/>
      <c r="V2005" t="inlineStr"/>
    </row>
    <row r="2006">
      <c r="A2006">
        <f>Skills!A8</f>
        <v/>
      </c>
      <c r="B2006">
        <f>Skills!B8</f>
        <v/>
      </c>
      <c r="C2006">
        <f>Inputs!$B$3&gt;=69</f>
        <v/>
      </c>
      <c r="D2006">
        <f>IF(Skills!C8=1,60+Inputs!$B$25+Inputs!$B$29,IF(Skills!C8=2,90+Inputs!$B$26+Inputs!$B$29,IF(Skills!C8=3,120+Inputs!$B$27+Inputs!$B$29,MAX(0,(Inputs!$B$3-100)*3)+Inputs!$B$28+Inputs!$B$29)))</f>
        <v/>
      </c>
      <c r="E2006">
        <f>INDEX(FactorTable!$B$2:$Y$301, MATCH(ROUND(MIN(300,MAX(1,D2006)),0), FactorTable!$A$2:$A$301,0), Skills!M8+1)</f>
        <v/>
      </c>
      <c r="F2006">
        <f>IF(Skills!N8=TRUE,(Skills!L8/10)*(E2006/1000),Skills!L8/10)+Skills!O8</f>
        <v/>
      </c>
      <c r="G2006">
        <f>Skills!G8*IF(Skills!H8&gt;0,Skills!I8/Skills!H8,1)</f>
        <v/>
      </c>
      <c r="H2006">
        <f>1-(1-Skills!J8/100)^Skills!K8</f>
        <v/>
      </c>
      <c r="I2006" t="inlineStr">
        <is>
          <t>1</t>
        </is>
      </c>
      <c r="J2006">
        <f>((Inputs!$B$6*(1+Inputs!$B$7/100))+(((Inputs!$B$12*(1+Inputs!$B$13/100))-(Inputs!$B$12*(1+Inputs!$B$13/100)))+0.25*(Inputs!$B$14-Inputs!$B$14))*(1+Inputs!$B$7/100))*(F2006/100)</f>
        <v/>
      </c>
      <c r="K2006">
        <f>J2006*(1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2009=TRUE,F2009,0)/100)*(1+(IF(Skills!A8="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2006)</f>
        <v/>
      </c>
      <c r="L2006">
        <f>K2006*(MIN(Inputs!$B$22+((C2023=TRUE)*(F2023-Calc!F25)),(Inputs!$B$23+((C2028=TRUE)*(F2028-Calc!F30))+(IF(ArtifactsInput!$M$15,CHOOSE(ArtifactsInput!$N$15+1,25,30,35,40,45,50)/100*(Inputs!$B$11-Inputs!$B$11),0))))/100+(Inputs!$B$23+((C2028=TRUE)*(F2028-Calc!F30))+(IF(ArtifactsInput!$M$15,CHOOSE(ArtifactsInput!$N$15+1,25,30,35,40,45,50)/100*(Inputs!$B$11-Inputs!$B$11),0)))/100)/2</f>
        <v/>
      </c>
      <c r="M2006">
        <f>L2006*(1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6">
        <f>L2006*(1-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2006*(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6">
        <f>(1-Summary!$B$11)*T2006+Summary!$B$11*V2006</f>
        <v/>
      </c>
      <c r="P2006">
        <f>IF(B2042=0,0,O2006/B2042)</f>
        <v/>
      </c>
      <c r="Q2006">
        <f>IFERROR(1/(IF(Inputs!$B$38="pvp",15,MAX(0.1,Skills!D8-IF(Skills!E8=TRUE,Inputs!$B$32,0)))*(1-IF(AND(ArtifactsInput!$M$27,Inputs!$B$4="Chapter Hunt"),CHOOSE(ArtifactsInput!$N$27+1,20,24,28,32,36,40),0)/100)),0)</f>
        <v/>
      </c>
      <c r="R2006">
        <f>IF(AND(Inputs!$B$38&lt;&gt;"pvp",Inputs!$B$43&gt;0),IF(MAX(0,Inputs!$B$43-B2039)&lt;=0,0,(INT(MAX(0,Inputs!$B$43-B2039)/(IF(Inputs!$B$38="pvp",15,MAX(0.1,Skills!D8-IF(Skills!E8=TRUE,Inputs!$B$32,0)))*(1-IF(AND(ArtifactsInput!$M$27,Inputs!$B$4="Chapter Hunt"),CHOOSE(ArtifactsInput!$N$27+1,20,24,28,32,36,40),0)/100)))+1)),0)</f>
        <v/>
      </c>
      <c r="S2006">
        <f>IFERROR(O2006/N2006,0)</f>
        <v/>
      </c>
      <c r="T2006">
        <f>IF(C2006,(H2006*N2006*IF(AND(Inputs!$B$38&lt;&gt;"pvp",Inputs!$B$43&gt;0),((Skills!G8*((R2006-1)*IF(Skills!H8&gt;0,Skills!I8/Skills!H8,1)+IF(Skills!H8&gt;0,MIN(Skills!I8,MAX(0,MAX(0,Inputs!$B$43-B2039)-((R2006-1)*(IF(Inputs!$B$38="pvp",15,MAX(0.1,Skills!D8-IF(Skills!E8=TRUE,Inputs!$B$32,0)))*(1-IF(AND(ArtifactsInput!$M$27,Inputs!$B$4="Chapter Hunt"),CHOOSE(ArtifactsInput!$N$27+1,20,24,28,32,36,40),0)/100)))))/Skills!H8,1)))/Inputs!$B$43),G2006*Q2006)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2006*(1-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2006*(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2006*(1-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2006*(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6">
        <f>IF(C2006,(H2006*N2006*IF(AND(Inputs!$B$38&lt;&gt;"pvp",Inputs!$B$43&gt;0),((Skills!G8*((R2006-1)*IF(Skills!H8&gt;0,Skills!I8/Skills!H8,1)+IF(Skills!H8&gt;0,MIN(Skills!I8,MAX(0,MAX(0,Inputs!$B$43-B2039)-((R2006-1)*(IF(Inputs!$B$38="pvp",15,MAX(0.1,Skills!D8-IF(Skills!E8=TRUE,Inputs!$B$32,0)))*(1-IF(AND(ArtifactsInput!$M$27,Inputs!$B$4="Chapter Hunt"),CHOOSE(ArtifactsInput!$N$27+1,20,24,28,32,36,40),0)/100)))))/Skills!H8,1)))/Inputs!$B$43),G2006*Q2006))*IF(Inputs!$B$38="pvp",1,(1+(Inputs!$B$21+Skills!Q8+(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7">
      <c r="A2007">
        <f>Skills!A9</f>
        <v/>
      </c>
      <c r="B2007">
        <f>Skills!B9</f>
        <v/>
      </c>
      <c r="C2007">
        <f>Inputs!$B$3&gt;=63</f>
        <v/>
      </c>
      <c r="D2007">
        <f>IF(Skills!C9=1,60+Inputs!$B$25+Inputs!$B$29,IF(Skills!C9=2,90+Inputs!$B$26+Inputs!$B$29,IF(Skills!C9=3,120+Inputs!$B$27+Inputs!$B$29,MAX(0,(Inputs!$B$3-100)*3)+Inputs!$B$28+Inputs!$B$29)))</f>
        <v/>
      </c>
      <c r="E2007">
        <f>INDEX(FactorTable!$B$2:$Y$301, MATCH(ROUND(MIN(300,MAX(1,D2007)),0), FactorTable!$A$2:$A$301,0), Skills!M9+1)</f>
        <v/>
      </c>
      <c r="F2007">
        <f>IF(Skills!N9=TRUE,(Skills!L9/10)*(E2007/1000),Skills!L9/10)+Skills!O9</f>
        <v/>
      </c>
      <c r="G2007">
        <f>Skills!G9*IF(Skills!H9&gt;0,Skills!I9/Skills!H9,1)</f>
        <v/>
      </c>
      <c r="H2007">
        <f>1-(1-Skills!J9/100)^Skills!K9</f>
        <v/>
      </c>
      <c r="I2007" t="inlineStr">
        <is>
          <t>1</t>
        </is>
      </c>
      <c r="J2007">
        <f>((Inputs!$B$6*(1+Inputs!$B$7/100))+(((Inputs!$B$12*(1+Inputs!$B$13/100))-(Inputs!$B$12*(1+Inputs!$B$13/100)))+0.25*(Inputs!$B$14-Inputs!$B$14))*(1+Inputs!$B$7/100))*(F2007/100)</f>
        <v/>
      </c>
      <c r="K2007">
        <f>J2007*(1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2009=TRUE,F2009,0)/100)*(1+(IF(Skills!A9="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2007)</f>
        <v/>
      </c>
      <c r="L2007">
        <f>K2007*(MIN(Inputs!$B$22+((C2023=TRUE)*(F2023-Calc!F25)),(Inputs!$B$23+((C2028=TRUE)*(F2028-Calc!F30))+(IF(ArtifactsInput!$M$15,CHOOSE(ArtifactsInput!$N$15+1,25,30,35,40,45,50)/100*(Inputs!$B$11-Inputs!$B$11),0))))/100+(Inputs!$B$23+((C2028=TRUE)*(F2028-Calc!F30))+(IF(ArtifactsInput!$M$15,CHOOSE(ArtifactsInput!$N$15+1,25,30,35,40,45,50)/100*(Inputs!$B$11-Inputs!$B$11),0)))/100)/2</f>
        <v/>
      </c>
      <c r="M2007">
        <f>L2007*(1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7">
        <f>L2007*(1-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2007*(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7">
        <f>(1-Summary!$B$11)*T2007+Summary!$B$11*V2007</f>
        <v/>
      </c>
      <c r="P2007">
        <f>IF(B2042=0,0,O2007/B2042)</f>
        <v/>
      </c>
      <c r="Q2007">
        <f>IFERROR(1/(IF(Inputs!$B$38="pvp",15,MAX(0.1,Skills!D9-IF(Skills!E9=TRUE,Inputs!$B$32,0)))*(1-IF(AND(ArtifactsInput!$M$27,Inputs!$B$4="Chapter Hunt"),CHOOSE(ArtifactsInput!$N$27+1,20,24,28,32,36,40),0)/100)),0)</f>
        <v/>
      </c>
      <c r="R2007">
        <f>IF(AND(Inputs!$B$38&lt;&gt;"pvp",Inputs!$B$43&gt;0),IF(MAX(0,Inputs!$B$43-B2039)&lt;=0,0,(INT(MAX(0,Inputs!$B$43-B2039)/(IF(Inputs!$B$38="pvp",15,MAX(0.1,Skills!D9-IF(Skills!E9=TRUE,Inputs!$B$32,0)))*(1-IF(AND(ArtifactsInput!$M$27,Inputs!$B$4="Chapter Hunt"),CHOOSE(ArtifactsInput!$N$27+1,20,24,28,32,36,40),0)/100)))+1)),0)</f>
        <v/>
      </c>
      <c r="S2007">
        <f>IFERROR(O2007/N2007,0)</f>
        <v/>
      </c>
      <c r="T2007">
        <f>IF(C2007,(H2007*N2007*IF(AND(Inputs!$B$38&lt;&gt;"pvp",Inputs!$B$43&gt;0),((Skills!G9*((R2007-1)*IF(Skills!H9&gt;0,Skills!I9/Skills!H9,1)+IF(Skills!H9&gt;0,MIN(Skills!I9,MAX(0,MAX(0,Inputs!$B$43-B2039)-((R2007-1)*(IF(Inputs!$B$38="pvp",15,MAX(0.1,Skills!D9-IF(Skills!E9=TRUE,Inputs!$B$32,0)))*(1-IF(AND(ArtifactsInput!$M$27,Inputs!$B$4="Chapter Hunt"),CHOOSE(ArtifactsInput!$N$27+1,20,24,28,32,36,40),0)/100)))))/Skills!H9,1)))/Inputs!$B$43),G2007*Q2007)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2007*(1-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2007*(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2007*(1-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2007*(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7">
        <f>IF(C2007,(H2007*N2007*IF(AND(Inputs!$B$38&lt;&gt;"pvp",Inputs!$B$43&gt;0),((Skills!G9*((R2007-1)*IF(Skills!H9&gt;0,Skills!I9/Skills!H9,1)+IF(Skills!H9&gt;0,MIN(Skills!I9,MAX(0,MAX(0,Inputs!$B$43-B2039)-((R2007-1)*(IF(Inputs!$B$38="pvp",15,MAX(0.1,Skills!D9-IF(Skills!E9=TRUE,Inputs!$B$32,0)))*(1-IF(AND(ArtifactsInput!$M$27,Inputs!$B$4="Chapter Hunt"),CHOOSE(ArtifactsInput!$N$27+1,20,24,28,32,36,40),0)/100)))))/Skills!H9,1)))/Inputs!$B$43),G2007*Q2007))*IF(Inputs!$B$38="pvp",1,(1+(Inputs!$B$21+Skills!Q9+(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8">
      <c r="A2008">
        <f>Skills!A10</f>
        <v/>
      </c>
      <c r="B2008">
        <f>Skills!B10</f>
        <v/>
      </c>
      <c r="C2008">
        <f>Inputs!$B$3&gt;=103</f>
        <v/>
      </c>
      <c r="D2008">
        <f>IF(Skills!C10=1,60+Inputs!$B$25+Inputs!$B$29,IF(Skills!C10=2,90+Inputs!$B$26+Inputs!$B$29,IF(Skills!C10=3,120+Inputs!$B$27+Inputs!$B$29,MAX(0,(Inputs!$B$3-100)*3)+Inputs!$B$28+Inputs!$B$29)))</f>
        <v/>
      </c>
      <c r="E2008">
        <f>INDEX(FactorTable!$B$2:$Y$301, MATCH(ROUND(MIN(300,MAX(1,D2008)),0), FactorTable!$A$2:$A$301,0), Skills!M10+1)</f>
        <v/>
      </c>
      <c r="F2008">
        <f>IF(Skills!N10=TRUE,(Skills!L10/10)*(E2008/1000),Skills!L10/10)+Skills!O10</f>
        <v/>
      </c>
      <c r="G2008">
        <f>Skills!G10*IF(Skills!H10&gt;0,Skills!I10/Skills!H10,1)</f>
        <v/>
      </c>
      <c r="H2008">
        <f>1-(1-Skills!J10/100)^Skills!K10</f>
        <v/>
      </c>
      <c r="I2008" t="inlineStr">
        <is>
          <t>1</t>
        </is>
      </c>
      <c r="J2008">
        <f>((Inputs!$B$6*(1+Inputs!$B$7/100))+(((Inputs!$B$12*(1+Inputs!$B$13/100))-(Inputs!$B$12*(1+Inputs!$B$13/100)))+0.25*(Inputs!$B$14-Inputs!$B$14))*(1+Inputs!$B$7/100))*(F2008/100)</f>
        <v/>
      </c>
      <c r="K2008">
        <f>J2008*(1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C2023=TRUE)*(F2023-Calc!F25)),(Inputs!$B$23+((C2028=TRUE)*(F2028-Calc!F30))+(IF(ArtifactsInput!$M$15,CHOOSE(ArtifactsInput!$N$15+1,25,30,35,40,45,50)/100*(Inputs!$B$11-Inputs!$B$11),0))))/100+(Inputs!$B$23+((C2028=TRUE)*(F2028-Calc!F30))+(IF(ArtifactsInput!$M$15,CHOOSE(ArtifactsInput!$N$15+1,25,30,35,40,45,50)/100*(Inputs!$B$11-Inputs!$B$11),0)))/100)/2</f>
        <v/>
      </c>
      <c r="M2008">
        <f>L2008*(1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8">
        <f>L2008*(1-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(1-Summary!$B$11)*T2008+Summary!$B$11*V2008</f>
        <v/>
      </c>
      <c r="P2008">
        <f>IF(B2042=0,0,O2008/B2042)</f>
        <v/>
      </c>
      <c r="Q2008">
        <f>IFERROR(1/(IF(Inputs!$B$38="pvp",15,MAX(0.1,Skills!D10-IF(Skills!E10=TRUE,Inputs!$B$32,0)))*(1-IF(AND(ArtifactsInput!$M$27,Inputs!$B$4="Chapter Hunt"),CHOOSE(ArtifactsInput!$N$27+1,20,24,28,32,36,40),0)/100)),0)</f>
        <v/>
      </c>
      <c r="R2008">
        <f>IF(AND(Inputs!$B$38&lt;&gt;"pvp",Inputs!$B$43&gt;0),IF(MAX(0,Inputs!$B$43-B2039)&lt;=0,0,(INT(MAX(0,Inputs!$B$43-B2039)/(IF(Inputs!$B$38="pvp",15,MAX(0.1,Skills!D10-IF(Skills!E10=TRUE,Inputs!$B$32,0)))*(1-IF(AND(ArtifactsInput!$M$27,Inputs!$B$4="Chapter Hunt"),CHOOSE(ArtifactsInput!$N$27+1,20,24,28,32,36,40),0)/100)))+1)),0)</f>
        <v/>
      </c>
      <c r="S2008">
        <f>IFERROR(O2008/N2008,0)</f>
        <v/>
      </c>
      <c r="T2008">
        <f>IF(C2008,(H2008*N2008*IF(AND(Inputs!$B$38&lt;&gt;"pvp",Inputs!$B$43&gt;0),((Skills!G10*((R2008-1)*IF(Skills!H10&gt;0,Skills!I10/Skills!H10,1)+IF(Skills!H10&gt;0,MIN(Skills!I10,MAX(0,MAX(0,Inputs!$B$43-B2039)-((R2008-1)*(IF(Inputs!$B$38="pvp",15,MAX(0.1,Skills!D10-IF(Skills!E10=TRUE,Inputs!$B$32,0)))*(1-IF(AND(ArtifactsInput!$M$27,Inputs!$B$4="Chapter Hunt"),CHOOSE(ArtifactsInput!$N$27+1,20,24,28,32,36,40),0)/100)))))/Skills!H10,1)))/Inputs!$B$43),G2008*Q2008)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2008*(1-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8">
        <f>IF(C2008,(H2008*N2008*IF(AND(Inputs!$B$38&lt;&gt;"pvp",Inputs!$B$43&gt;0),((Skills!G10*((R2008-1)*IF(Skills!H10&gt;0,Skills!I10/Skills!H10,1)+IF(Skills!H10&gt;0,MIN(Skills!I10,MAX(0,MAX(0,Inputs!$B$43-B2039)-((R2008-1)*(IF(Inputs!$B$38="pvp",15,MAX(0.1,Skills!D10-IF(Skills!E10=TRUE,Inputs!$B$32,0)))*(1-IF(AND(ArtifactsInput!$M$27,Inputs!$B$4="Chapter Hunt"),CHOOSE(ArtifactsInput!$N$27+1,20,24,28,32,36,40),0)/100)))))/Skills!H10,1)))/Inputs!$B$43),G2008*Q2008))*IF(Inputs!$B$38="pvp",1,(1+(Inputs!$B$21+Skills!Q10+(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Skills!A11</f>
        <v/>
      </c>
      <c r="B2009">
        <f>Skills!B11</f>
        <v/>
      </c>
      <c r="C2009">
        <f>Inputs!$B$3&gt;=100</f>
        <v/>
      </c>
      <c r="D2009">
        <f>IF(Skills!C11=1,60+Inputs!$B$25+Inputs!$B$29,IF(Skills!C11=2,90+Inputs!$B$26+Inputs!$B$29,IF(Skills!C11=3,120+Inputs!$B$27+Inputs!$B$29,MAX(0,(Inputs!$B$3-100)*3)+Inputs!$B$28+Inputs!$B$29)))</f>
        <v/>
      </c>
      <c r="E2009">
        <f>INDEX(FactorTable!$B$2:$Y$301, MATCH(ROUND(MIN(300,MAX(1,D2009)),0), FactorTable!$A$2:$A$301,0), Skills!M11+1)</f>
        <v/>
      </c>
      <c r="F2009">
        <f>IF(Skills!N11=TRUE,(Skills!L11/10)*(E2009/1000),Skills!L11/10)+Skills!O11</f>
        <v/>
      </c>
      <c r="G2009" t="inlineStr"/>
      <c r="H2009" t="inlineStr"/>
      <c r="I2009" t="inlineStr">
        <is>
          <t>1</t>
        </is>
      </c>
      <c r="J2009" t="inlineStr"/>
      <c r="K2009" t="inlineStr"/>
      <c r="L2009" t="inlineStr"/>
      <c r="M2009" t="inlineStr"/>
      <c r="N2009" t="inlineStr"/>
      <c r="O2009" t="inlineStr"/>
      <c r="P2009" t="inlineStr"/>
      <c r="Q2009" t="inlineStr"/>
      <c r="R2009" t="inlineStr"/>
      <c r="S2009" t="inlineStr"/>
      <c r="T2009" t="inlineStr"/>
      <c r="V2009" t="inlineStr"/>
    </row>
    <row r="2010">
      <c r="A2010">
        <f>Skills!A12</f>
        <v/>
      </c>
      <c r="B2010">
        <f>Skills!B12</f>
        <v/>
      </c>
      <c r="C2010">
        <f>Inputs!$B$3&gt;=60</f>
        <v/>
      </c>
      <c r="D2010">
        <f>IF(Skills!C12=1,60+Inputs!$B$25+Inputs!$B$29,IF(Skills!C12=2,90+Inputs!$B$26+Inputs!$B$29,IF(Skills!C12=3,120+Inputs!$B$27+Inputs!$B$29,MAX(0,(Inputs!$B$3-100)*3)+Inputs!$B$28+Inputs!$B$29)))</f>
        <v/>
      </c>
      <c r="E2010">
        <f>INDEX(FactorTable!$B$2:$Y$301, MATCH(ROUND(MIN(300,MAX(1,D2010)),0), FactorTable!$A$2:$A$301,0), Skills!M12+1)</f>
        <v/>
      </c>
      <c r="F2010">
        <f>IF(Skills!N12=TRUE,(Skills!L12/10)*(E2010/1000),Skills!L12/10)+Skills!O12</f>
        <v/>
      </c>
      <c r="G2010">
        <f>Skills!G12*IF(Skills!H12&gt;0,Skills!I12/Skills!H12,1)</f>
        <v/>
      </c>
      <c r="H2010">
        <f>1-(1-Skills!J12/100)^Skills!K12</f>
        <v/>
      </c>
      <c r="I2010" t="inlineStr">
        <is>
          <t>1</t>
        </is>
      </c>
      <c r="J2010">
        <f>((Inputs!$B$6*(1+Inputs!$B$7/100))+(((Inputs!$B$12*(1+Inputs!$B$13/100))-(Inputs!$B$12*(1+Inputs!$B$13/100)))+0.25*(Inputs!$B$14-Inputs!$B$14))*(1+Inputs!$B$7/100))*(F2010/100)</f>
        <v/>
      </c>
      <c r="K2010">
        <f>J2010*(1+((Inputs!$B$12*(1+Inputs!$B$13/100))*0.01+Inputs!$B$14*0.0025)/100)*(1+Inputs!$B$15/100)*(1+Inputs!$B$16/100)*(5000/(6000+Inputs!$B$42*(1-(100*(1-(1-(Inputs!$B$19+((C2026=TRUE)*(F2026-Calc!F28)))/100)*(1-CHOOSE(ArtifactsInput!$N$40+1,5,6,7,8,9,10)/100)^(ArtifactsInput!$M$40-ArtifactsInput!$M$40)))/100)))*(1+(Inputs!$B$24+((C2024=TRUE)*(F2024-Calc!F26))+((C2025=TRUE)*(F2025-Calc!F27))+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2011=TRUE,F2011,0)/100)*(1+(IF(Skills!A12="ARROW_STREAM",Inputs!$B$17+((C2022=TRUE)*(F2022-Calc!F24))+(((IF(AND(ArtifactsInput!$M$42,((Inputs!$B$9+((C2019=TRUE)*(F2019-Calc!F21))+B2032+(ArtifactsInput!$M$24-ArtifactsInput!$M$24)*CHOOSE(ArtifactsInput!$N$24+1,10,12,14,16,18,20)+IF(ArtifactsInput!$M$10,CHOOSE(ArtifactsInput!$N$10+1,15,18,21,24,27,30)*(IF(Inputs!$B$38="pvp",MIN(15,15)/15,IF(AND(Inputs!$B$38&lt;&gt;"pvp",Inputs!$B$43&gt;0),MIN(15,Inputs!$B$43)/(Inputs!$B$43),0))),0)))&gt;=100),MIN(100,((Inputs!$B$9+((C2019=TRUE)*(F2019-Calc!F21))+B2032+(ArtifactsInput!$M$24-ArtifactsInput!$M$24)*CHOOSE(ArtifactsInput!$N$24+1,10,12,14,16,18,20)+IF(ArtifactsInput!$M$10,CHOOSE(ArtifactsInput!$N$10+1,15,18,21,24,27,30)*(IF(Inputs!$B$38="pvp",MIN(15,15)/15,IF(AND(Inputs!$B$38&lt;&gt;"pvp",Inputs!$B$43&gt;0),MIN(15,Inputs!$B$43)/(Inputs!$B$43),0))),0)))-100),0))*CHOOSE(ArtifactsInput!$N$42+1,0.6,0.72,0.84,0.96,1.08,1.2))),Inputs!$B$18+((C2027=TRUE)*(F2027-Calc!F29))+(IF(AND(ArtifactsInput!$M$42,((Inputs!$B$9+((C2019=TRUE)*(F2019-Calc!F21))+B2032+(ArtifactsInput!$M$24-ArtifactsInput!$M$24)*CHOOSE(ArtifactsInput!$N$24+1,10,12,14,16,18,20)+IF(ArtifactsInput!$M$10,CHOOSE(ArtifactsInput!$N$10+1,15,18,21,24,27,30)*(IF(Inputs!$B$38="pvp",MIN(15,15)/15,IF(AND(Inputs!$B$38&lt;&gt;"pvp",Inputs!$B$43&gt;0),MIN(15,Inputs!$B$43)/(Inputs!$B$43),0))),0)))&gt;=100),CHOOSE(ArtifactsInput!$N$42+1,40,48,56,64,72,80),0))))/100)*((1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2010)</f>
        <v/>
      </c>
      <c r="L2010">
        <f>K2010*(MIN(Inputs!$B$22+((C2023=TRUE)*(F2023-Calc!F25)),(Inputs!$B$23+((C2028=TRUE)*(F2028-Calc!F30))+(IF(ArtifactsInput!$M$15,CHOOSE(ArtifactsInput!$N$15+1,25,30,35,40,45,50)/100*(Inputs!$B$11-Inputs!$B$11),0))))/100+(Inputs!$B$23+((C2028=TRUE)*(F2028-Calc!F30))+(IF(ArtifactsInput!$M$15,CHOOSE(ArtifactsInput!$N$15+1,25,30,35,40,45,50)/100*(Inputs!$B$11-Inputs!$B$11),0)))/100)/2</f>
        <v/>
      </c>
      <c r="M2010">
        <f>L2010*(1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0">
        <f>L2010*(1-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2010*(MIN((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0">
        <f>(1-Summary!$B$11)*T2010+Summary!$B$11*V2010</f>
        <v/>
      </c>
      <c r="P2010">
        <f>IF(B2042=0,0,O2010/B2042)</f>
        <v/>
      </c>
      <c r="Q2010">
        <f>IFERROR(1/(IF(Inputs!$B$38="pvp",15,MAX(0.1,Skills!D12-IF(Skills!E12=TRUE,Inputs!$B$32,0)))*(1-IF(AND(ArtifactsInput!$M$27,Inputs!$B$4="Chapter Hunt"),CHOOSE(ArtifactsInput!$N$27+1,20,24,28,32,36,40),0)/100)),0)</f>
        <v/>
      </c>
      <c r="R2010">
        <f>IF(AND(Inputs!$B$38&lt;&gt;"pvp",Inputs!$B$43&gt;0),IF(MAX(0,Inputs!$B$43-B2039)&lt;=0,0,(INT(MAX(0,Inputs!$B$43-B2039)/(IF(Inputs!$B$38="pvp",15,MAX(0.1,Skills!D12-IF(Skills!E12=TRUE,Inputs!$B$32,0)))*(1-IF(AND(ArtifactsInput!$M$27,Inputs!$B$4="Chapter Hunt"),CHOOSE(ArtifactsInput!$N$27+1,20,24,28,32,36,40),0)/100)))+1)),0)</f>
        <v/>
      </c>
      <c r="S2010">
        <f>IFERROR(O2010/N2010,0)</f>
        <v/>
      </c>
      <c r="T2010">
        <f>IF(C2010,(H2010*N2010*IF(AND(Inputs!$B$38&lt;&gt;"pvp",Inputs!$B$43&gt;0),((Skills!G12*((R2010-1)*IF(Skills!H12&gt;0,Skills!I12/Skills!H12,1)+IF(Skills!H12&gt;0,MIN(Skills!I12,MAX(0,MAX(0,Inputs!$B$43-B2039)-((R2010-1)*(IF(Inputs!$B$38="pvp",15,MAX(0.1,Skills!D12-IF(Skills!E12=TRUE,Inputs!$B$32,0)))*(1-IF(AND(ArtifactsInput!$M$27,Inputs!$B$4="Chapter Hunt"),CHOOSE(ArtifactsInput!$N$27+1,20,24,28,32,36,40),0)/100)))))/Skills!H12,1)))/Inputs!$B$43),G2010*Q2010)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(5000/(6000+Inputs!$B$42*(1-(100*(1-(1-(100*(1-(1-(Inputs!$B$19+((C2026=TRUE)*(F2026-Calc!F28)))/100)*(1-CHOOSE(ArtifactsInput!$N$40+1,5,6,7,8,9,10)/100)^(ArtifactsInput!$M$40-ArtifactsInput!$M$40)))/100)*(1-IF(ArtifactsInput!$M$40,CHOOSE(ArtifactsInput!$N$40+1,5,6,7,8,9,10),0)/100)^IF(Inputs!$B$38="pvp",1,2)))/100)))/(5000/(6000+Inputs!$B$42*(1-(100*(1-(1-(Inputs!$B$19+((C2026=TRUE)*(F2026-Calc!F28)))/100)*(1-CHOOSE(ArtifactsInput!$N$40+1,5,6,7,8,9,10)/100)^(ArtifactsInput!$M$40-ArtifactsInput!$M$40)))/100))))*((L2010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2010*(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2010*(1-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2010*(MIN(100,(Inputs!$B$9+((C2019=TRUE)*(F2019-Calc!F21))+B2032+(ArtifactsInput!$M$24-ArtifactsInput!$M$24)*CHOOSE(ArtifactsInput!$N$24+1,10,12,14,16,18,20)+(IF(AND(ArtifactsInput!$M$42,((Inputs!$B$9+((C2019=TRUE)*(F2019-Calc!F21))+B2032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0">
        <f>IF(C2010,(H2010*N2010*IF(AND(Inputs!$B$38&lt;&gt;"pvp",Inputs!$B$43&gt;0),((Skills!G12*((R2010-1)*IF(Skills!H12&gt;0,Skills!I12/Skills!H12,1)+IF(Skills!H12&gt;0,MIN(Skills!I12,MAX(0,MAX(0,Inputs!$B$43-B2039)-((R2010-1)*(IF(Inputs!$B$38="pvp",15,MAX(0.1,Skills!D12-IF(Skills!E12=TRUE,Inputs!$B$32,0)))*(1-IF(AND(ArtifactsInput!$M$27,Inputs!$B$4="Chapter Hunt"),CHOOSE(ArtifactsInput!$N$27+1,20,24,28,32,36,40),0)/100)))))/Skills!H12,1)))/Inputs!$B$43),G2010*Q2010))*IF(Inputs!$B$38="pvp",1,(1+(Inputs!$B$21+Skills!Q12+(IF(ArtifactsInput!$M$33,CHOOSE(ArtifactsInput!$N$33+1,30,36,42,48,54,60),0))+(IF(AND(ArtifactsInput!$M$35,Inputs!$B$4&lt;&gt;"Chapter Hunt"),CHOOSE(ArtifactsInput!$N$35+1,15,18,21,24,27,30)*(1-EXP(-(0.2*B2034)*5)),0)+IF(AND(IF(ArtifactsInput!$M$22,FALSE,TRUE),Inputs!$B$4&lt;&gt;"Chapter Hunt"),CHOOSE(ArtifactsInput!$N$22+1,10,12,14,16,18,20)*((0*(((0.15*B2034*5))^0/1)+1*(((0.15*B2034*5))^1/1)+2*(((0.15*B2034*5))^2/2)+3*(((0.15*B2034*5))^3/6)+4*(((0.15*B2034*5))^4/24)+5*(((0.15*B2034*5))^5/120))/((((0.15*B2034*5))^0/1)+(((0.15*B2034*5))^1/1)+(((0.15*B2034*5))^2/2)+(((0.15*B2034*5))^3/6)+(((0.15*B2034*5))^4/24)+(((0.15*B2034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1">
      <c r="A2011">
        <f>Skills!A13</f>
        <v/>
      </c>
      <c r="B2011">
        <f>Skills!B13</f>
        <v/>
      </c>
      <c r="C2011">
        <f>Inputs!$B$3&gt;=110</f>
        <v/>
      </c>
      <c r="D2011">
        <f>IF(Skills!C13=1,60+Inputs!$B$25+Inputs!$B$29,IF(Skills!C13=2,90+Inputs!$B$26+Inputs!$B$29,IF(Skills!C13=3,120+Inputs!$B$27+Inputs!$B$29,MAX(0,(Inputs!$B$3-100)*3)+Inputs!$B$28+Inputs!$B$29)))</f>
        <v/>
      </c>
      <c r="E2011">
        <f>INDEX(FactorTable!$B$2:$Y$301, MATCH(ROUND(MIN(300,MAX(1,D2011)),0), FactorTable!$A$2:$A$301,0), Skills!M13+1)</f>
        <v/>
      </c>
      <c r="F2011">
        <f>IF(Skills!N13=TRUE,(Skills!L13/10)*(E2011/1000),Skills!L13/10)+Skills!O13</f>
        <v/>
      </c>
      <c r="G2011" t="inlineStr"/>
      <c r="H2011" t="inlineStr"/>
      <c r="I2011" t="inlineStr">
        <is>
          <t>1</t>
        </is>
      </c>
      <c r="J2011" t="inlineStr"/>
      <c r="K2011" t="inlineStr"/>
      <c r="L2011" t="inlineStr"/>
      <c r="M2011" t="inlineStr"/>
      <c r="N2011" t="inlineStr"/>
      <c r="O2011" t="inlineStr"/>
      <c r="P2011" t="inlineStr"/>
      <c r="Q2011" t="inlineStr"/>
      <c r="R2011" t="inlineStr"/>
      <c r="S2011" t="inlineStr"/>
      <c r="T2011" t="inlineStr"/>
      <c r="V2011" t="inlineStr"/>
    </row>
    <row r="2012">
      <c r="A2012">
        <f>Skills!A14</f>
        <v/>
      </c>
      <c r="B2012">
        <f>Skills!B14</f>
        <v/>
      </c>
      <c r="C2012">
        <f>Inputs!$B$3&gt;=74</f>
        <v/>
      </c>
      <c r="D2012">
        <f>IF(Skills!C14=1,60+Inputs!$B$25+Inputs!$B$29,IF(Skills!C14=2,90+Inputs!$B$26+Inputs!$B$29,IF(Skills!C14=3,120+Inputs!$B$27+Inputs!$B$29,MAX(0,(Inputs!$B$3-100)*3)+Inputs!$B$28+Inputs!$B$29)))</f>
        <v/>
      </c>
      <c r="E2012">
        <f>INDEX(FactorTable!$B$2:$Y$301, MATCH(ROUND(MIN(300,MAX(1,D2012)),0), FactorTable!$A$2:$A$301,0), Skills!M14+1)</f>
        <v/>
      </c>
      <c r="F2012">
        <f>IF(Skills!N14=TRUE,(Skills!L14/10)*(E2012/1000),Skills!L14/10)+Skills!O14</f>
        <v/>
      </c>
      <c r="G2012">
        <f>Skills!G14*IF(Skills!H14&gt;0,Skills!I14/Skills!H14,1)</f>
        <v/>
      </c>
      <c r="H2012">
        <f>1-(1-Skills!J14/100)^Skills!K14</f>
        <v/>
      </c>
      <c r="I2012" t="inlineStr">
        <is>
          <t>1</t>
        </is>
      </c>
      <c r="J2012" t="inlineStr"/>
      <c r="K2012" t="inlineStr"/>
      <c r="L2012" t="inlineStr"/>
      <c r="M2012" t="inlineStr"/>
      <c r="N2012" t="inlineStr"/>
      <c r="O2012">
        <f>(1-Summary!$B$11)*T2012+Summary!$B$11*V2012</f>
        <v/>
      </c>
      <c r="P2012">
        <f>IF(B2042=0,0,O2012/B2042)</f>
        <v/>
      </c>
      <c r="Q2012" t="n">
        <v>0</v>
      </c>
      <c r="R2012" t="n">
        <v>0</v>
      </c>
      <c r="S2012">
        <f>IFERROR(O2012/N2012,0)</f>
        <v/>
      </c>
      <c r="T2012" t="n">
        <v>0</v>
      </c>
      <c r="V2012" t="n">
        <v>0</v>
      </c>
    </row>
    <row r="2013">
      <c r="A2013">
        <f>Skills!A15</f>
        <v/>
      </c>
      <c r="B2013">
        <f>Skills!B15</f>
        <v/>
      </c>
      <c r="C2013">
        <f>Inputs!$B$3&gt;=74</f>
        <v/>
      </c>
      <c r="D2013">
        <f>IF(Skills!C15=1,60+Inputs!$B$25+Inputs!$B$29,IF(Skills!C15=2,90+Inputs!$B$26+Inputs!$B$29,IF(Skills!C15=3,120+Inputs!$B$27+Inputs!$B$29,MAX(0,(Inputs!$B$3-100)*3)+Inputs!$B$28+Inputs!$B$29)))</f>
        <v/>
      </c>
      <c r="E2013">
        <f>INDEX(FactorTable!$B$2:$Y$301, MATCH(ROUND(MIN(300,MAX(1,D2013)),0), FactorTable!$A$2:$A$301,0), Skills!M15+1)</f>
        <v/>
      </c>
      <c r="F2013">
        <f>IF(Skills!N15=TRUE,(Skills!L15/10)*(E2013/1000),Skills!L15/10)+Skills!O15</f>
        <v/>
      </c>
      <c r="G2013">
        <f>Skills!G15*IF(Skills!H15&gt;0,Skills!I15/Skills!H15,1)</f>
        <v/>
      </c>
      <c r="H2013">
        <f>1-(1-Skills!J15/100)^Skills!K15</f>
        <v/>
      </c>
      <c r="I2013" t="inlineStr">
        <is>
          <t>1</t>
        </is>
      </c>
      <c r="J2013" t="inlineStr"/>
      <c r="K2013" t="inlineStr"/>
      <c r="L2013" t="inlineStr"/>
      <c r="M2013" t="inlineStr"/>
      <c r="N2013" t="inlineStr"/>
      <c r="O2013">
        <f>(1-Summary!$B$11)*T2013+Summary!$B$11*V2013</f>
        <v/>
      </c>
      <c r="P2013">
        <f>IF(B2042=0,0,O2013/B2042)</f>
        <v/>
      </c>
      <c r="Q2013" t="n">
        <v>0</v>
      </c>
      <c r="R2013" t="n">
        <v>0</v>
      </c>
      <c r="S2013">
        <f>IFERROR(O2013/N2013,0)</f>
        <v/>
      </c>
      <c r="T2013" t="n">
        <v>0</v>
      </c>
      <c r="V2013" t="n">
        <v>0</v>
      </c>
    </row>
    <row r="2014">
      <c r="A2014">
        <f>Skills!A16</f>
        <v/>
      </c>
      <c r="B2014">
        <f>Skills!B16</f>
        <v/>
      </c>
      <c r="C2014">
        <f>Inputs!$B$3&gt;=117</f>
        <v/>
      </c>
      <c r="D2014">
        <f>IF(Skills!C16=1,60+Inputs!$B$25+Inputs!$B$29,IF(Skills!C16=2,90+Inputs!$B$26+Inputs!$B$29,IF(Skills!C16=3,120+Inputs!$B$27+Inputs!$B$29,MAX(0,(Inputs!$B$3-100)*3)+Inputs!$B$28+Inputs!$B$29)))</f>
        <v/>
      </c>
      <c r="E2014">
        <f>INDEX(FactorTable!$B$2:$Y$301, MATCH(ROUND(MIN(300,MAX(1,D2014)),0), FactorTable!$A$2:$A$301,0), Skills!M16+1)</f>
        <v/>
      </c>
      <c r="F2014">
        <f>IF(Skills!N16=TRUE,(Skills!L16/10)*(E2014/1000),Skills!L16/10)+Skills!O16</f>
        <v/>
      </c>
      <c r="G2014">
        <f>Skills!G16*IF(Skills!H16&gt;0,Skills!I16/Skills!H16,1)</f>
        <v/>
      </c>
      <c r="H2014">
        <f>1-(1-Skills!J16/100)^Skills!K16</f>
        <v/>
      </c>
      <c r="I2014" t="inlineStr">
        <is>
          <t>1</t>
        </is>
      </c>
      <c r="J2014" t="inlineStr"/>
      <c r="K2014" t="inlineStr"/>
      <c r="L2014" t="inlineStr"/>
      <c r="M2014" t="inlineStr"/>
      <c r="N2014" t="inlineStr"/>
      <c r="O2014">
        <f>(1-Summary!$B$11)*T2014+Summary!$B$11*V2014</f>
        <v/>
      </c>
      <c r="P2014">
        <f>IF(B2042=0,0,O2014/B2042)</f>
        <v/>
      </c>
      <c r="Q2014">
        <f>IFERROR(1/(IF(Inputs!$B$38="pvp",15,MAX(0.1,Skills!D16-IF(Skills!E16=TRUE,Inputs!$B$32,0)))*(1-IF(AND(ArtifactsInput!$M$27,Inputs!$B$4="Chapter Hunt"),CHOOSE(ArtifactsInput!$N$27+1,20,24,28,32,36,40),0)/100)),0)</f>
        <v/>
      </c>
      <c r="R2014">
        <f>IF(AND(Inputs!$B$38&lt;&gt;"pvp",Inputs!$B$43&gt;0),IF(Inputs!$B$43&lt;=0,0,(INT(Inputs!$B$43/(IF(Inputs!$B$38="pvp",15,MAX(0.1,Skills!D16-IF(Skills!E16=TRUE,Inputs!$B$32,0)))*(1-IF(AND(ArtifactsInput!$M$27,Inputs!$B$4="Chapter Hunt"),CHOOSE(ArtifactsInput!$N$27+1,20,24,28,32,36,40),0)/100)))+1)),0)</f>
        <v/>
      </c>
      <c r="S2014">
        <f>IFERROR(O2014/N2014,0)</f>
        <v/>
      </c>
      <c r="T2014" t="n">
        <v>0</v>
      </c>
      <c r="V2014" t="n">
        <v>0</v>
      </c>
    </row>
    <row r="2015">
      <c r="A2015">
        <f>Skills!A17</f>
        <v/>
      </c>
      <c r="B2015">
        <f>Skills!B17</f>
        <v/>
      </c>
      <c r="C2015">
        <f>Inputs!$B$3&gt;=115</f>
        <v/>
      </c>
      <c r="D2015">
        <f>IF(Skills!C17=1,60+Inputs!$B$25+Inputs!$B$29,IF(Skills!C17=2,90+Inputs!$B$26+Inputs!$B$29,IF(Skills!C17=3,120+Inputs!$B$27+Inputs!$B$29,MAX(0,(Inputs!$B$3-100)*3)+Inputs!$B$28+Inputs!$B$29)))</f>
        <v/>
      </c>
      <c r="E2015">
        <f>INDEX(FactorTable!$B$2:$Y$301, MATCH(ROUND(MIN(300,MAX(1,D2015)),0), FactorTable!$A$2:$A$301,0), Skills!M17+1)</f>
        <v/>
      </c>
      <c r="F2015">
        <f>IF(Skills!N17=TRUE,(Skills!L17/10)*(E2015/1000),Skills!L17/10)+Skills!O17</f>
        <v/>
      </c>
      <c r="G2015">
        <f>Skills!G17*IF(Skills!H17&gt;0,Skills!I17/Skills!H17,1)</f>
        <v/>
      </c>
      <c r="H2015">
        <f>1-(1-Skills!J17/100)^Skills!K17</f>
        <v/>
      </c>
      <c r="I2015" t="inlineStr">
        <is>
          <t>1</t>
        </is>
      </c>
      <c r="J2015" t="inlineStr"/>
      <c r="K2015" t="inlineStr"/>
      <c r="L2015" t="inlineStr"/>
      <c r="M2015" t="inlineStr"/>
      <c r="N2015" t="inlineStr"/>
      <c r="O2015">
        <f>(1-Summary!$B$11)*T2015+Summary!$B$11*V2015</f>
        <v/>
      </c>
      <c r="P2015">
        <f>IF(B2042=0,0,O2015/B2042)</f>
        <v/>
      </c>
      <c r="Q2015">
        <f>IFERROR(1/(IF(Inputs!$B$38="pvp",15,MAX(0.1,Skills!D17-IF(Skills!E17=TRUE,Inputs!$B$32,0)))*(1-IF(AND(ArtifactsInput!$M$27,Inputs!$B$4="Chapter Hunt"),CHOOSE(ArtifactsInput!$N$27+1,20,24,28,32,36,40),0)/100)),0)</f>
        <v/>
      </c>
      <c r="R2015">
        <f>IF(AND(Inputs!$B$38&lt;&gt;"pvp",Inputs!$B$43&gt;0),IF(Inputs!$B$43&lt;=0,0,(INT(Inputs!$B$43/(IF(Inputs!$B$38="pvp",15,MAX(0.1,Skills!D17-IF(Skills!E17=TRUE,Inputs!$B$32,0)))*(1-IF(AND(ArtifactsInput!$M$27,Inputs!$B$4="Chapter Hunt"),CHOOSE(ArtifactsInput!$N$27+1,20,24,28,32,36,40),0)/100)))+1)),0)</f>
        <v/>
      </c>
      <c r="S2015">
        <f>IFERROR(O2015/N2015,0)</f>
        <v/>
      </c>
      <c r="T2015" t="n">
        <v>0</v>
      </c>
      <c r="V2015" t="n">
        <v>0</v>
      </c>
    </row>
    <row r="2016">
      <c r="A2016">
        <f>Skills!A18</f>
        <v/>
      </c>
      <c r="B2016">
        <f>Skills!B18</f>
        <v/>
      </c>
      <c r="C2016">
        <f>Inputs!$B$3&gt;=66</f>
        <v/>
      </c>
      <c r="D2016">
        <f>IF(Skills!C18=1,60+Inputs!$B$25+Inputs!$B$29,IF(Skills!C18=2,90+Inputs!$B$26+Inputs!$B$29,IF(Skills!C18=3,120+Inputs!$B$27+Inputs!$B$29,MAX(0,(Inputs!$B$3-100)*3)+Inputs!$B$28+Inputs!$B$29)))</f>
        <v/>
      </c>
      <c r="E2016">
        <f>INDEX(FactorTable!$B$2:$Y$301, MATCH(ROUND(MIN(300,MAX(1,D2016)),0), FactorTable!$A$2:$A$301,0), Skills!M18+1)</f>
        <v/>
      </c>
      <c r="F2016">
        <f>IF(Skills!N18=TRUE,(Skills!L18/10)*(E2016/1000),Skills!L18/10)+Skills!O18</f>
        <v/>
      </c>
      <c r="G2016">
        <f>Skills!G18*IF(Skills!H18&gt;0,Skills!I18/Skills!H18,1)</f>
        <v/>
      </c>
      <c r="H2016">
        <f>1-(1-Skills!J18/100)^Skills!K18</f>
        <v/>
      </c>
      <c r="I2016" t="inlineStr">
        <is>
          <t>1</t>
        </is>
      </c>
      <c r="J2016" t="inlineStr"/>
      <c r="K2016" t="inlineStr"/>
      <c r="L2016" t="inlineStr"/>
      <c r="M2016" t="inlineStr"/>
      <c r="N2016" t="inlineStr"/>
      <c r="O2016">
        <f>(1-Summary!$B$11)*T2016+Summary!$B$11*V2016</f>
        <v/>
      </c>
      <c r="P2016">
        <f>IF(B2042=0,0,O2016/B2042)</f>
        <v/>
      </c>
      <c r="Q2016" t="n">
        <v>0</v>
      </c>
      <c r="R2016" t="n">
        <v>0</v>
      </c>
      <c r="S2016">
        <f>IFERROR(O2016/N2016,0)</f>
        <v/>
      </c>
      <c r="T2016" t="n">
        <v>0</v>
      </c>
      <c r="V2016" t="n">
        <v>0</v>
      </c>
    </row>
    <row r="2017">
      <c r="A2017">
        <f>Skills!A19</f>
        <v/>
      </c>
      <c r="B2017">
        <f>Skills!B19</f>
        <v/>
      </c>
      <c r="C2017">
        <f>Inputs!$B$3&gt;=72</f>
        <v/>
      </c>
      <c r="D2017">
        <f>IF(Skills!C19=1,60+Inputs!$B$25+Inputs!$B$29,IF(Skills!C19=2,90+Inputs!$B$26+Inputs!$B$29,IF(Skills!C19=3,120+Inputs!$B$27+Inputs!$B$29,MAX(0,(Inputs!$B$3-100)*3)+Inputs!$B$28+Inputs!$B$29)))</f>
        <v/>
      </c>
      <c r="E2017">
        <f>INDEX(FactorTable!$B$2:$Y$301, MATCH(ROUND(MIN(300,MAX(1,D2017)),0), FactorTable!$A$2:$A$301,0), Skills!M19+1)</f>
        <v/>
      </c>
      <c r="F2017">
        <f>IF(Skills!N19=TRUE,(Skills!L19/10)*(E2017/1000),Skills!L19/10)+Skills!O19</f>
        <v/>
      </c>
      <c r="G2017">
        <f>Skills!G19*IF(Skills!H19&gt;0,Skills!I19/Skills!H19,1)</f>
        <v/>
      </c>
      <c r="H2017">
        <f>1-(1-Skills!J19/100)^Skills!K19</f>
        <v/>
      </c>
      <c r="I2017" t="inlineStr">
        <is>
          <t>1</t>
        </is>
      </c>
      <c r="J2017" t="inlineStr"/>
      <c r="K2017" t="inlineStr"/>
      <c r="L2017" t="inlineStr"/>
      <c r="M2017" t="inlineStr"/>
      <c r="N2017" t="inlineStr"/>
      <c r="O2017">
        <f>(1-Summary!$B$11)*T2017+Summary!$B$11*V2017</f>
        <v/>
      </c>
      <c r="P2017">
        <f>IF(B2042=0,0,O2017/B2042)</f>
        <v/>
      </c>
      <c r="Q2017" t="n">
        <v>0</v>
      </c>
      <c r="R2017" t="n">
        <v>0</v>
      </c>
      <c r="S2017">
        <f>IFERROR(O2017/N2017,0)</f>
        <v/>
      </c>
      <c r="T2017" t="n">
        <v>0</v>
      </c>
      <c r="V2017" t="n">
        <v>0</v>
      </c>
    </row>
    <row r="2018">
      <c r="A2018">
        <f>Skills!A20</f>
        <v/>
      </c>
      <c r="B2018">
        <f>Skills!B20</f>
        <v/>
      </c>
      <c r="C2018">
        <f>TRUE</f>
        <v/>
      </c>
      <c r="D2018">
        <f>IF(Skills!C20=1,60+Inputs!$B$25+Inputs!$B$29,IF(Skills!C20=2,90+Inputs!$B$26+Inputs!$B$29,IF(Skills!C20=3,120+Inputs!$B$27+Inputs!$B$29,MAX(0,(Inputs!$B$3-100)*3)+Inputs!$B$28+Inputs!$B$29)))</f>
        <v/>
      </c>
      <c r="E2018">
        <f>INDEX(FactorTable!$B$2:$Y$301, MATCH(ROUND(MIN(300,MAX(1,D2018)),0), FactorTable!$A$2:$A$301,0), Skills!M20+1)</f>
        <v/>
      </c>
      <c r="F2018">
        <f>IF(Skills!N20=TRUE,(Skills!L20/10)*(E2018/1000),Skills!L20/10)+Skills!O20</f>
        <v/>
      </c>
      <c r="G2018">
        <f>Skills!G20*IF(Skills!H20&gt;0,Skills!I20/Skills!H20,1)</f>
        <v/>
      </c>
      <c r="H2018">
        <f>1-(1-Skills!J20/100)^Skills!K20</f>
        <v/>
      </c>
      <c r="I2018" t="inlineStr">
        <is>
          <t>1</t>
        </is>
      </c>
      <c r="J2018" t="inlineStr"/>
      <c r="K2018" t="inlineStr"/>
      <c r="L2018" t="inlineStr"/>
      <c r="M2018" t="inlineStr"/>
      <c r="N2018" t="inlineStr"/>
      <c r="O2018">
        <f>(1-Summary!$B$11)*T2018+Summary!$B$11*V2018</f>
        <v/>
      </c>
      <c r="P2018">
        <f>IF(B2042=0,0,O2018/B2042)</f>
        <v/>
      </c>
      <c r="Q2018">
        <f>IFERROR(1/(IF(Inputs!$B$38="pvp",15,MAX(0.1,Skills!D20-IF(Skills!E20=TRUE,Inputs!$B$32,0)))*(1-IF(AND(ArtifactsInput!$M$27,Inputs!$B$4="Chapter Hunt"),CHOOSE(ArtifactsInput!$N$27+1,20,24,28,32,36,40),0)/100)),0)</f>
        <v/>
      </c>
      <c r="R2018">
        <f>IF(AND(Inputs!$B$38&lt;&gt;"pvp",Inputs!$B$43&gt;0),IF(Inputs!$B$43&lt;=0,0,(INT(Inputs!$B$43/(IF(Inputs!$B$38="pvp",15,MAX(0.1,Skills!D20-IF(Skills!E20=TRUE,Inputs!$B$32,0)))*(1-IF(AND(ArtifactsInput!$M$27,Inputs!$B$4="Chapter Hunt"),CHOOSE(ArtifactsInput!$N$27+1,20,24,28,32,36,40),0)/100)))+1)),0)</f>
        <v/>
      </c>
      <c r="S2018">
        <f>IFERROR(O2018/N2018,0)</f>
        <v/>
      </c>
      <c r="T2018" t="n">
        <v>0</v>
      </c>
      <c r="V2018" t="n">
        <v>0</v>
      </c>
    </row>
    <row r="2019">
      <c r="A2019">
        <f>Skills!A21</f>
        <v/>
      </c>
      <c r="B2019">
        <f>Skills!B21</f>
        <v/>
      </c>
      <c r="C2019">
        <f>Inputs!$B$3&gt;=15</f>
        <v/>
      </c>
      <c r="D2019">
        <f>IF(Skills!C21=1,60+Inputs!$B$25+Inputs!$B$29,IF(Skills!C21=2,90+Inputs!$B$26+Inputs!$B$29,IF(Skills!C21=3,120+Inputs!$B$27+Inputs!$B$29,MAX(0,(Inputs!$B$3-100)*3)+Inputs!$B$28+Inputs!$B$29)))</f>
        <v/>
      </c>
      <c r="E2019">
        <f>INDEX(FactorTable!$B$2:$Y$301, MATCH(ROUND(MIN(300,MAX(1,D2019)),0), FactorTable!$A$2:$A$301,0), Skills!M21+1)</f>
        <v/>
      </c>
      <c r="F2019">
        <f>IF(Skills!N21=TRUE,(Skills!L21/10)*(E2019/1000),Skills!L21/10)+Skills!O21</f>
        <v/>
      </c>
      <c r="G2019">
        <f>Skills!G21*IF(Skills!H21&gt;0,Skills!I21/Skills!H21,1)</f>
        <v/>
      </c>
      <c r="H2019">
        <f>1-(1-Skills!J21/100)^Skills!K21</f>
        <v/>
      </c>
      <c r="I2019" t="inlineStr">
        <is>
          <t>1</t>
        </is>
      </c>
      <c r="J2019" t="inlineStr"/>
      <c r="K2019" t="inlineStr"/>
      <c r="L2019" t="inlineStr"/>
      <c r="M2019" t="inlineStr"/>
      <c r="N2019" t="inlineStr"/>
      <c r="O2019">
        <f>(1-Summary!$B$11)*T2019+Summary!$B$11*V2019</f>
        <v/>
      </c>
      <c r="P2019">
        <f>IF(B2042=0,0,O2019/B2042)</f>
        <v/>
      </c>
      <c r="Q2019" t="n">
        <v>0</v>
      </c>
      <c r="R2019" t="n">
        <v>0</v>
      </c>
      <c r="S2019">
        <f>IFERROR(O2019/N2019,0)</f>
        <v/>
      </c>
      <c r="T2019" t="n">
        <v>0</v>
      </c>
      <c r="V2019" t="n">
        <v>0</v>
      </c>
    </row>
    <row r="2020">
      <c r="A2020">
        <f>Skills!A22</f>
        <v/>
      </c>
      <c r="B2020">
        <f>Skills!B22</f>
        <v/>
      </c>
      <c r="C2020">
        <f>Inputs!$B$3&gt;=10</f>
        <v/>
      </c>
      <c r="D2020">
        <f>IF(Skills!C22=1,60+Inputs!$B$25+Inputs!$B$29,IF(Skills!C22=2,90+Inputs!$B$26+Inputs!$B$29,IF(Skills!C22=3,120+Inputs!$B$27+Inputs!$B$29,MAX(0,(Inputs!$B$3-100)*3)+Inputs!$B$28+Inputs!$B$29)))</f>
        <v/>
      </c>
      <c r="E2020">
        <f>INDEX(FactorTable!$B$2:$Y$301, MATCH(ROUND(MIN(300,MAX(1,D2020)),0), FactorTable!$A$2:$A$301,0), Skills!M22+1)</f>
        <v/>
      </c>
      <c r="F2020">
        <f>IF(Skills!N22=TRUE,(Skills!L22/10)*(E2020/1000),Skills!L22/10)+Skills!O22</f>
        <v/>
      </c>
      <c r="G2020">
        <f>Skills!G22*IF(Skills!H22&gt;0,Skills!I22/Skills!H22,1)</f>
        <v/>
      </c>
      <c r="H2020">
        <f>1-(1-Skills!J22/100)^Skills!K22</f>
        <v/>
      </c>
      <c r="I2020" t="inlineStr">
        <is>
          <t>1</t>
        </is>
      </c>
      <c r="J2020" t="inlineStr"/>
      <c r="K2020" t="inlineStr"/>
      <c r="L2020" t="inlineStr"/>
      <c r="M2020" t="inlineStr"/>
      <c r="N2020" t="inlineStr"/>
      <c r="O2020">
        <f>(1-Summary!$B$11)*T2020+Summary!$B$11*V2020</f>
        <v/>
      </c>
      <c r="P2020">
        <f>IF(B2042=0,0,O2020/B2042)</f>
        <v/>
      </c>
      <c r="Q2020" t="n">
        <v>0</v>
      </c>
      <c r="R2020" t="n">
        <v>0</v>
      </c>
      <c r="S2020">
        <f>IFERROR(O2020/N2020,0)</f>
        <v/>
      </c>
      <c r="T2020" t="n">
        <v>0</v>
      </c>
      <c r="V2020" t="n">
        <v>0</v>
      </c>
    </row>
    <row r="2021">
      <c r="A2021">
        <f>Skills!A23</f>
        <v/>
      </c>
      <c r="B2021">
        <f>Skills!B23</f>
        <v/>
      </c>
      <c r="C2021">
        <f>Inputs!$B$3&gt;=33</f>
        <v/>
      </c>
      <c r="D2021">
        <f>IF(Skills!C23=1,60+Inputs!$B$25+Inputs!$B$29,IF(Skills!C23=2,90+Inputs!$B$26+Inputs!$B$29,IF(Skills!C23=3,120+Inputs!$B$27+Inputs!$B$29,MAX(0,(Inputs!$B$3-100)*3)+Inputs!$B$28+Inputs!$B$29)))</f>
        <v/>
      </c>
      <c r="E2021">
        <f>INDEX(FactorTable!$B$2:$Y$301, MATCH(ROUND(MIN(300,MAX(1,D2021)),0), FactorTable!$A$2:$A$301,0), Skills!M23+1)</f>
        <v/>
      </c>
      <c r="F2021">
        <f>IF(Skills!N23=TRUE,(Skills!L23/10)*(E2021/1000),Skills!L23/10)+Skills!O23</f>
        <v/>
      </c>
      <c r="G2021">
        <f>Skills!G23*IF(Skills!H23&gt;0,Skills!I23/Skills!H23,1)</f>
        <v/>
      </c>
      <c r="H2021">
        <f>1-(1-Skills!J23/100)^Skills!K23</f>
        <v/>
      </c>
      <c r="I2021" t="inlineStr">
        <is>
          <t>1</t>
        </is>
      </c>
      <c r="J2021" t="inlineStr"/>
      <c r="K2021" t="inlineStr"/>
      <c r="L2021" t="inlineStr"/>
      <c r="M2021" t="inlineStr"/>
      <c r="N2021" t="inlineStr"/>
      <c r="O2021">
        <f>(1-Summary!$B$11)*T2021+Summary!$B$11*V2021</f>
        <v/>
      </c>
      <c r="P2021">
        <f>IF(B2042=0,0,O2021/B2042)</f>
        <v/>
      </c>
      <c r="Q2021" t="n">
        <v>0</v>
      </c>
      <c r="R2021" t="n">
        <v>0</v>
      </c>
      <c r="S2021">
        <f>IFERROR(O2021/N2021,0)</f>
        <v/>
      </c>
      <c r="T2021" t="n">
        <v>0</v>
      </c>
      <c r="V2021" t="n">
        <v>0</v>
      </c>
    </row>
    <row r="2022">
      <c r="A2022">
        <f>Skills!A24</f>
        <v/>
      </c>
      <c r="B2022">
        <f>Skills!B24</f>
        <v/>
      </c>
      <c r="C2022">
        <f>Inputs!$B$3&gt;=38</f>
        <v/>
      </c>
      <c r="D2022">
        <f>IF(Skills!C24=1,60+Inputs!$B$25+Inputs!$B$29,IF(Skills!C24=2,90+Inputs!$B$26+Inputs!$B$29,IF(Skills!C24=3,120+Inputs!$B$27+Inputs!$B$29,MAX(0,(Inputs!$B$3-100)*3)+Inputs!$B$28+Inputs!$B$29)))</f>
        <v/>
      </c>
      <c r="E2022">
        <f>INDEX(FactorTable!$B$2:$Y$301, MATCH(ROUND(MIN(300,MAX(1,D2022)),0), FactorTable!$A$2:$A$301,0), Skills!M24+1)</f>
        <v/>
      </c>
      <c r="F2022">
        <f>IF(Skills!N24=TRUE,(Skills!L24/10)*(E2022/1000),Skills!L24/10)+Skills!O24</f>
        <v/>
      </c>
      <c r="G2022">
        <f>Skills!G24*IF(Skills!H24&gt;0,Skills!I24/Skills!H24,1)</f>
        <v/>
      </c>
      <c r="H2022">
        <f>1-(1-Skills!J24/100)^Skills!K24</f>
        <v/>
      </c>
      <c r="I2022" t="inlineStr">
        <is>
          <t>1</t>
        </is>
      </c>
      <c r="J2022" t="inlineStr"/>
      <c r="K2022" t="inlineStr"/>
      <c r="L2022" t="inlineStr"/>
      <c r="M2022" t="inlineStr"/>
      <c r="N2022" t="inlineStr"/>
      <c r="O2022">
        <f>(1-Summary!$B$11)*T2022+Summary!$B$11*V2022</f>
        <v/>
      </c>
      <c r="P2022">
        <f>IF(B2042=0,0,O2022/B2042)</f>
        <v/>
      </c>
      <c r="Q2022" t="n">
        <v>0</v>
      </c>
      <c r="R2022" t="n">
        <v>0</v>
      </c>
      <c r="S2022">
        <f>IFERROR(O2022/N2022,0)</f>
        <v/>
      </c>
      <c r="T2022" t="n">
        <v>0</v>
      </c>
      <c r="V2022" t="n">
        <v>0</v>
      </c>
    </row>
    <row r="2023">
      <c r="A2023">
        <f>Skills!A25</f>
        <v/>
      </c>
      <c r="B2023">
        <f>Skills!B25</f>
        <v/>
      </c>
      <c r="C2023">
        <f>Inputs!$B$3&gt;=43</f>
        <v/>
      </c>
      <c r="D2023">
        <f>IF(Skills!C25=1,60+Inputs!$B$25+Inputs!$B$29,IF(Skills!C25=2,90+Inputs!$B$26+Inputs!$B$29,IF(Skills!C25=3,120+Inputs!$B$27+Inputs!$B$29,MAX(0,(Inputs!$B$3-100)*3)+Inputs!$B$28+Inputs!$B$29)))</f>
        <v/>
      </c>
      <c r="E2023">
        <f>INDEX(FactorTable!$B$2:$Y$301, MATCH(ROUND(MIN(300,MAX(1,D2023)),0), FactorTable!$A$2:$A$301,0), Skills!M25+1)</f>
        <v/>
      </c>
      <c r="F2023">
        <f>IF(Skills!N25=TRUE,(Skills!L25/10)*(E2023/1000),Skills!L25/10)+Skills!O25</f>
        <v/>
      </c>
      <c r="G2023">
        <f>Skills!G25*IF(Skills!H25&gt;0,Skills!I25/Skills!H25,1)</f>
        <v/>
      </c>
      <c r="H2023">
        <f>1-(1-Skills!J25/100)^Skills!K25</f>
        <v/>
      </c>
      <c r="I2023" t="inlineStr">
        <is>
          <t>1</t>
        </is>
      </c>
      <c r="J2023" t="inlineStr"/>
      <c r="K2023" t="inlineStr"/>
      <c r="L2023" t="inlineStr"/>
      <c r="M2023" t="inlineStr"/>
      <c r="N2023" t="inlineStr"/>
      <c r="O2023">
        <f>(1-Summary!$B$11)*T2023+Summary!$B$11*V2023</f>
        <v/>
      </c>
      <c r="P2023">
        <f>IF(B2042=0,0,O2023/B2042)</f>
        <v/>
      </c>
      <c r="Q2023" t="n">
        <v>0</v>
      </c>
      <c r="R2023" t="n">
        <v>0</v>
      </c>
      <c r="S2023">
        <f>IFERROR(O2023/N2023,0)</f>
        <v/>
      </c>
      <c r="T2023" t="n">
        <v>0</v>
      </c>
      <c r="V2023" t="n">
        <v>0</v>
      </c>
    </row>
    <row r="2024">
      <c r="A2024">
        <f>Skills!A26</f>
        <v/>
      </c>
      <c r="B2024">
        <f>Skills!B26</f>
        <v/>
      </c>
      <c r="C2024">
        <f>Inputs!$B$3&gt;=75</f>
        <v/>
      </c>
      <c r="D2024">
        <f>IF(Skills!C26=1,60+Inputs!$B$25+Inputs!$B$29,IF(Skills!C26=2,90+Inputs!$B$26+Inputs!$B$29,IF(Skills!C26=3,120+Inputs!$B$27+Inputs!$B$29,MAX(0,(Inputs!$B$3-100)*3)+Inputs!$B$28+Inputs!$B$29)))</f>
        <v/>
      </c>
      <c r="E2024">
        <f>INDEX(FactorTable!$B$2:$Y$301, MATCH(ROUND(MIN(300,MAX(1,D2024)),0), FactorTable!$A$2:$A$301,0), Skills!M26+1)</f>
        <v/>
      </c>
      <c r="F2024">
        <f>IF(Skills!N26=TRUE,(Skills!L26/10)*(E2024/1000),Skills!L26/10)+Skills!O26</f>
        <v/>
      </c>
      <c r="G2024">
        <f>Skills!G26*IF(Skills!H26&gt;0,Skills!I26/Skills!H26,1)</f>
        <v/>
      </c>
      <c r="H2024">
        <f>1-(1-Skills!J26/100)^Skills!K26</f>
        <v/>
      </c>
      <c r="I2024" t="inlineStr">
        <is>
          <t>1</t>
        </is>
      </c>
      <c r="J2024" t="inlineStr"/>
      <c r="K2024" t="inlineStr"/>
      <c r="L2024" t="inlineStr"/>
      <c r="M2024" t="inlineStr"/>
      <c r="N2024" t="inlineStr"/>
      <c r="O2024">
        <f>(1-Summary!$B$11)*T2024+Summary!$B$11*V2024</f>
        <v/>
      </c>
      <c r="P2024">
        <f>IF(B2042=0,0,O2024/B2042)</f>
        <v/>
      </c>
      <c r="Q2024" t="n">
        <v>0</v>
      </c>
      <c r="R2024" t="n">
        <v>0</v>
      </c>
      <c r="S2024">
        <f>IFERROR(O2024/N2024,0)</f>
        <v/>
      </c>
      <c r="T2024" t="n">
        <v>0</v>
      </c>
      <c r="V2024" t="n">
        <v>0</v>
      </c>
    </row>
    <row r="2025">
      <c r="A2025">
        <f>Skills!A27</f>
        <v/>
      </c>
      <c r="B2025">
        <f>Skills!B27</f>
        <v/>
      </c>
      <c r="C2025">
        <f>Inputs!$B$3&gt;=125</f>
        <v/>
      </c>
      <c r="D2025">
        <f>IF(Skills!C27=1,60+Inputs!$B$25+Inputs!$B$29,IF(Skills!C27=2,90+Inputs!$B$26+Inputs!$B$29,IF(Skills!C27=3,120+Inputs!$B$27+Inputs!$B$29,MAX(0,(Inputs!$B$3-100)*3)+Inputs!$B$28+Inputs!$B$29)))</f>
        <v/>
      </c>
      <c r="E2025">
        <f>INDEX(FactorTable!$B$2:$Y$301, MATCH(ROUND(MIN(300,MAX(1,D2025)),0), FactorTable!$A$2:$A$301,0), Skills!M27+1)</f>
        <v/>
      </c>
      <c r="F2025">
        <f>IF(Skills!N27=TRUE,(Skills!L27/10)*(E2025/1000),Skills!L27/10)+Skills!O27</f>
        <v/>
      </c>
      <c r="G2025">
        <f>Skills!G27*IF(Skills!H27&gt;0,Skills!I27/Skills!H27,1)</f>
        <v/>
      </c>
      <c r="H2025">
        <f>1-(1-Skills!J27/100)^Skills!K27</f>
        <v/>
      </c>
      <c r="I2025" t="inlineStr">
        <is>
          <t>1</t>
        </is>
      </c>
      <c r="J2025" t="inlineStr"/>
      <c r="K2025" t="inlineStr"/>
      <c r="L2025" t="inlineStr"/>
      <c r="M2025" t="inlineStr"/>
      <c r="N2025" t="inlineStr"/>
      <c r="O2025">
        <f>(1-Summary!$B$11)*T2025+Summary!$B$11*V2025</f>
        <v/>
      </c>
      <c r="P2025">
        <f>IF(B2042=0,0,O2025/B2042)</f>
        <v/>
      </c>
      <c r="Q2025" t="n">
        <v>0</v>
      </c>
      <c r="R2025" t="n">
        <v>0</v>
      </c>
      <c r="S2025">
        <f>IFERROR(O2025/N2025,0)</f>
        <v/>
      </c>
      <c r="T2025" t="n">
        <v>0</v>
      </c>
      <c r="V2025" t="n">
        <v>0</v>
      </c>
    </row>
    <row r="2026">
      <c r="A2026">
        <f>Skills!A28</f>
        <v/>
      </c>
      <c r="B2026">
        <f>Skills!B28</f>
        <v/>
      </c>
      <c r="C2026">
        <f>Inputs!$B$3&gt;=125</f>
        <v/>
      </c>
      <c r="D2026">
        <f>IF(Skills!C28=1,60+Inputs!$B$25+Inputs!$B$29,IF(Skills!C28=2,90+Inputs!$B$26+Inputs!$B$29,IF(Skills!C28=3,120+Inputs!$B$27+Inputs!$B$29,MAX(0,(Inputs!$B$3-100)*3)+Inputs!$B$28+Inputs!$B$29)))</f>
        <v/>
      </c>
      <c r="E2026">
        <f>INDEX(FactorTable!$B$2:$Y$301, MATCH(ROUND(MIN(300,MAX(1,D2026)),0), FactorTable!$A$2:$A$301,0), Skills!M28+1)</f>
        <v/>
      </c>
      <c r="F2026">
        <f>IF(Skills!N28=TRUE,(Skills!L28/10)*(E2026/1000),Skills!L28/10)+Skills!O28</f>
        <v/>
      </c>
      <c r="G2026">
        <f>Skills!G28*IF(Skills!H28&gt;0,Skills!I28/Skills!H28,1)</f>
        <v/>
      </c>
      <c r="H2026">
        <f>1-(1-Skills!J28/100)^Skills!K28</f>
        <v/>
      </c>
      <c r="I2026" t="inlineStr">
        <is>
          <t>1</t>
        </is>
      </c>
      <c r="J2026" t="inlineStr"/>
      <c r="K2026" t="inlineStr"/>
      <c r="L2026" t="inlineStr"/>
      <c r="M2026" t="inlineStr"/>
      <c r="N2026" t="inlineStr"/>
      <c r="O2026">
        <f>(1-Summary!$B$11)*T2026+Summary!$B$11*V2026</f>
        <v/>
      </c>
      <c r="P2026">
        <f>IF(B2042=0,0,O2026/B2042)</f>
        <v/>
      </c>
      <c r="Q2026" t="n">
        <v>0</v>
      </c>
      <c r="R2026" t="n">
        <v>0</v>
      </c>
      <c r="S2026">
        <f>IFERROR(O2026/N2026,0)</f>
        <v/>
      </c>
      <c r="T2026" t="n">
        <v>0</v>
      </c>
      <c r="V2026" t="n">
        <v>0</v>
      </c>
    </row>
    <row r="2027">
      <c r="A2027">
        <f>Skills!A29</f>
        <v/>
      </c>
      <c r="B2027">
        <f>Skills!B29</f>
        <v/>
      </c>
      <c r="C2027">
        <f>Inputs!$B$3&gt;=120</f>
        <v/>
      </c>
      <c r="D2027">
        <f>IF(Skills!C29=1,60+Inputs!$B$25+Inputs!$B$29,IF(Skills!C29=2,90+Inputs!$B$26+Inputs!$B$29,IF(Skills!C29=3,120+Inputs!$B$27+Inputs!$B$29,MAX(0,(Inputs!$B$3-100)*3)+Inputs!$B$28+Inputs!$B$29)))</f>
        <v/>
      </c>
      <c r="E2027">
        <f>INDEX(FactorTable!$B$2:$Y$301, MATCH(ROUND(MIN(300,MAX(1,D2027)),0), FactorTable!$A$2:$A$301,0), Skills!M29+1)</f>
        <v/>
      </c>
      <c r="F2027">
        <f>IF(Skills!N29=TRUE,(Skills!L29/10)*(E2027/1000),Skills!L29/10)+Skills!O29</f>
        <v/>
      </c>
      <c r="G2027">
        <f>Skills!G29*IF(Skills!H29&gt;0,Skills!I29/Skills!H29,1)</f>
        <v/>
      </c>
      <c r="H2027">
        <f>1-(1-Skills!J29/100)^Skills!K29</f>
        <v/>
      </c>
      <c r="I2027" t="inlineStr">
        <is>
          <t>1</t>
        </is>
      </c>
      <c r="J2027" t="inlineStr"/>
      <c r="K2027" t="inlineStr"/>
      <c r="L2027" t="inlineStr"/>
      <c r="M2027" t="inlineStr"/>
      <c r="N2027" t="inlineStr"/>
      <c r="O2027">
        <f>(1-Summary!$B$11)*T2027+Summary!$B$11*V2027</f>
        <v/>
      </c>
      <c r="P2027">
        <f>IF(B2042=0,0,O2027/B2042)</f>
        <v/>
      </c>
      <c r="Q2027" t="n">
        <v>0</v>
      </c>
      <c r="R2027" t="n">
        <v>0</v>
      </c>
      <c r="S2027">
        <f>IFERROR(O2027/N2027,0)</f>
        <v/>
      </c>
      <c r="T2027" t="n">
        <v>0</v>
      </c>
      <c r="V2027" t="n">
        <v>0</v>
      </c>
    </row>
    <row r="2028">
      <c r="A2028">
        <f>Skills!A30</f>
        <v/>
      </c>
      <c r="B2028">
        <f>Skills!B30</f>
        <v/>
      </c>
      <c r="C2028">
        <f>Inputs!$B$3&gt;=120</f>
        <v/>
      </c>
      <c r="D2028">
        <f>IF(Skills!C30=1,60+Inputs!$B$25+Inputs!$B$29,IF(Skills!C30=2,90+Inputs!$B$26+Inputs!$B$29,IF(Skills!C30=3,120+Inputs!$B$27+Inputs!$B$29,MAX(0,(Inputs!$B$3-100)*3)+Inputs!$B$28+Inputs!$B$29)))</f>
        <v/>
      </c>
      <c r="E2028">
        <f>INDEX(FactorTable!$B$2:$Y$301, MATCH(ROUND(MIN(300,MAX(1,D2028)),0), FactorTable!$A$2:$A$301,0), Skills!M30+1)</f>
        <v/>
      </c>
      <c r="F2028">
        <f>IF(Skills!N30=TRUE,(Skills!L30/10)*(E2028/1000),Skills!L30/10)+Skills!O30</f>
        <v/>
      </c>
      <c r="G2028">
        <f>Skills!G30*IF(Skills!H30&gt;0,Skills!I30/Skills!H30,1)</f>
        <v/>
      </c>
      <c r="H2028">
        <f>1-(1-Skills!J30/100)^Skills!K30</f>
        <v/>
      </c>
      <c r="I2028" t="inlineStr">
        <is>
          <t>1</t>
        </is>
      </c>
      <c r="J2028" t="inlineStr"/>
      <c r="K2028" t="inlineStr"/>
      <c r="L2028" t="inlineStr"/>
      <c r="M2028" t="inlineStr"/>
      <c r="N2028" t="inlineStr"/>
      <c r="O2028">
        <f>(1-Summary!$B$11)*T2028+Summary!$B$11*V2028</f>
        <v/>
      </c>
      <c r="P2028">
        <f>IF(B2042=0,0,O2028/B2042)</f>
        <v/>
      </c>
      <c r="Q2028" t="n">
        <v>0</v>
      </c>
      <c r="R2028" t="n">
        <v>0</v>
      </c>
      <c r="S2028">
        <f>IFERROR(O2028/N2028,0)</f>
        <v/>
      </c>
      <c r="T2028" t="n">
        <v>0</v>
      </c>
      <c r="V2028" t="n">
        <v>0</v>
      </c>
    </row>
    <row r="2029">
      <c r="A2029">
        <f>Skills!A31</f>
        <v/>
      </c>
      <c r="B2029">
        <f>Skills!B31</f>
        <v/>
      </c>
      <c r="C2029">
        <f>Inputs!$B$3&gt;=45</f>
        <v/>
      </c>
      <c r="D2029">
        <f>IF(Skills!C31=1,60+Inputs!$B$25+Inputs!$B$29,IF(Skills!C31=2,90+Inputs!$B$26+Inputs!$B$29,IF(Skills!C31=3,120+Inputs!$B$27+Inputs!$B$29,MAX(0,(Inputs!$B$3-100)*3)+Inputs!$B$28+Inputs!$B$29)))</f>
        <v/>
      </c>
      <c r="E2029">
        <f>INDEX(FactorTable!$B$2:$Y$301, MATCH(ROUND(MIN(300,MAX(1,D2029)),0), FactorTable!$A$2:$A$301,0), Skills!M31+1)</f>
        <v/>
      </c>
      <c r="F2029">
        <f>IF(Skills!N31=TRUE,(Skills!L31/10)*(E2029/1000),Skills!L31/10)+Skills!O31</f>
        <v/>
      </c>
      <c r="G2029">
        <f>Skills!G31*IF(Skills!H31&gt;0,Skills!I31/Skills!H31,1)</f>
        <v/>
      </c>
      <c r="H2029">
        <f>1-(1-Skills!J31/100)^Skills!K31</f>
        <v/>
      </c>
      <c r="I2029" t="inlineStr">
        <is>
          <t>1</t>
        </is>
      </c>
      <c r="J2029" t="inlineStr"/>
      <c r="K2029" t="inlineStr"/>
      <c r="L2029" t="inlineStr"/>
      <c r="M2029" t="inlineStr"/>
      <c r="N2029" t="inlineStr"/>
      <c r="O2029">
        <f>(1-Summary!$B$11)*T2029+Summary!$B$11*V2029</f>
        <v/>
      </c>
      <c r="P2029">
        <f>IF(B2042=0,0,O2029/B2042)</f>
        <v/>
      </c>
      <c r="Q2029" t="n">
        <v>0</v>
      </c>
      <c r="R2029" t="n">
        <v>0</v>
      </c>
      <c r="S2029">
        <f>IFERROR(O2029/N2029,0)</f>
        <v/>
      </c>
      <c r="T2029" t="n">
        <v>0</v>
      </c>
      <c r="V2029" t="n">
        <v>0</v>
      </c>
    </row>
    <row r="2031">
      <c r="A2031" t="inlineStr">
        <is>
          <t>Attack% Bucket Multiplier</t>
        </is>
      </c>
      <c r="B2031">
        <f>(1+(((C2012=TRUE)*F2012)+((C2013=TRUE)*IF(Inputs!$B$38="pvp",F2013,(1-Summary!$B$11)*(F2013)+Summary!$B$11*(0)))+((C2014=TRUE)*F2014*IF(AND(Inputs!$B$38&lt;&gt;"pvp",Inputs!$B$43&gt;0),(((R2014-1)*(Skills!T16*(1+Inputs!$B$34/100))+MIN((Skills!T16*(1+Inputs!$B$34/100)),MAX(0,Inputs!$B$43-((R2014-1)*Skills!D16))))/Inputs!$B$43),IF(Inputs!$B$38="pvp",MIN((Skills!T16*(1+Inputs!$B$34/100)),15)/15,(Skills!T16*(1+Inputs!$B$34/100))/Skills!D16)))+((C2029=TRUE)*(F2029-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32">
      <c r="A2032" t="inlineStr">
        <is>
          <t>Global Crit Rate Bonus %</t>
        </is>
      </c>
      <c r="B2032">
        <f>(C2015=TRUE)*20*IF(AND(Inputs!$B$38&lt;&gt;"pvp",Inputs!$B$43&gt;0),(((R2015-1)*(Skills!T17*(1+Inputs!$B$34/100))+MIN((Skills!T17*(1+Inputs!$B$34/100)),MAX(0,Inputs!$B$43-((R2015-1)*Skills!D17))))/Inputs!$B$43),IF(Inputs!$B$38="pvp",MIN((Skills!T17*(1+Inputs!$B$34/100)),15)/15,(Skills!T17*(1+Inputs!$B$34/100))/Skills!D17))</f>
        <v/>
      </c>
    </row>
    <row r="2033">
      <c r="A2033" t="inlineStr">
        <is>
          <t>Attack Speed Buff Bonus %</t>
        </is>
      </c>
      <c r="B2033">
        <f>((C2018=TRUE)*F2018*IF(AND(Inputs!$B$38&lt;&gt;"pvp",Inputs!$B$43&gt;0),(((R2018-1)*(Skills!T20*(1+Inputs!$B$34/100))+MIN((Skills!T20*(1+Inputs!$B$34/100)),MAX(0,Inputs!$B$43-((R2018-1)*Skills!D20))))/Inputs!$B$43),IF(Inputs!$B$38="pvp",MIN((Skills!T20*(1+Inputs!$B$34/100)),15)/15,(Skills!T20*(1+Inputs!$B$34/100))/Skills!D20)))</f>
        <v/>
      </c>
    </row>
    <row r="2034">
      <c r="A2034" t="inlineStr">
        <is>
          <t>Actions Per Second</t>
        </is>
      </c>
      <c r="B2034">
        <f>1+MIN(150,150*(1-(1-(Inputs!$B$11+((C2020=TRUE)*(F2020-Calc!F22))+((C2021=TRUE)*(F2021-Calc!F23)))/150)*(1-B2033/150)))/100</f>
        <v/>
      </c>
    </row>
    <row r="2035">
      <c r="A2035" t="inlineStr">
        <is>
          <t>Skill + Buff Cast Rate</t>
        </is>
      </c>
      <c r="B2035">
        <f>IF(AND(Inputs!$B$38&lt;&gt;"pvp",Inputs!$B$43&gt;0),SUMPRODUCT((Skills!E2:E31=TRUE)*(C2000:C2029=TRUE)*R2000:R2029*Skills!F2:F31)/Inputs!$B$43,SUMPRODUCT((Skills!E2:E31=TRUE)*(C2000:C2029=TRUE)*Q2000:Q2029*Skills!F2:F31))</f>
        <v/>
      </c>
    </row>
    <row r="2036">
      <c r="A2036" t="inlineStr">
        <is>
          <t>Arrow Stream Casts Per Second</t>
        </is>
      </c>
      <c r="B2036">
        <f>MAX(0,B2034-B2035)</f>
        <v/>
      </c>
    </row>
    <row r="2037">
      <c r="A2037" t="inlineStr">
        <is>
          <t>Global Critical Damage Bonus % (Sharp Eyes + Concentration)</t>
        </is>
      </c>
      <c r="B2037">
        <f>(C2015=TRUE)*F2015*IF(AND(Inputs!$B$38&lt;&gt;"pvp",Inputs!$B$43&gt;0),(((R2015-1)*(Skills!T17*(1+Inputs!$B$34/100))+MIN((Skills!T17*(1+Inputs!$B$34/100)),MAX(0,Inputs!$B$43-((R2015-1)*Skills!D17))))/Inputs!$B$43),IF(Inputs!$B$38="pvp",MIN((Skills!T17*(1+Inputs!$B$34/100)),15)/15,(Skills!T17*(1+Inputs!$B$34/100))/Skills!D17))+(C2016=TRUE)*30</f>
        <v/>
      </c>
    </row>
    <row r="2038">
      <c r="A2038" t="inlineStr">
        <is>
          <t>Global Final Damage Bonus % (Mortal Blow)</t>
        </is>
      </c>
      <c r="B2038">
        <f>(C2017=TRUE)*F2017</f>
        <v/>
      </c>
    </row>
    <row r="2039">
      <c r="A2039" t="inlineStr">
        <is>
          <t>Buff-Casting Startup Delay (s, fixed-duration only)</t>
        </is>
      </c>
      <c r="B2039">
        <f>IF(AND(Inputs!$B$38&lt;&gt;"pvp",Inputs!$B$43&gt;0),SUMPRODUCT((Skills!T2:T31&gt;0)*(Skills!E2:E31=TRUE)*(C2000:C2029=TRUE))/B2034,0)</f>
        <v/>
      </c>
    </row>
    <row r="2040">
      <c r="A2040" t="inlineStr">
        <is>
          <t>Boss-Only Total DPS (this block's swept value)</t>
        </is>
      </c>
      <c r="B2040">
        <f>SUM(T2000:T2029)</f>
        <v/>
      </c>
    </row>
    <row r="2041">
      <c r="A2041" t="inlineStr">
        <is>
          <t>Normal-Only Total DPS (this block's swept value)</t>
        </is>
      </c>
      <c r="B2041">
        <f>SUM(V2000:V2029)</f>
        <v/>
      </c>
    </row>
    <row r="2042">
      <c r="A2042" s="6" t="inlineStr">
        <is>
          <t>TOTAL DPS</t>
        </is>
      </c>
      <c r="B2042" s="6">
        <f>SUM(O2000:O2029)</f>
        <v/>
      </c>
    </row>
    <row r="2045">
      <c r="A2045" s="6" t="inlineStr">
        <is>
          <t>Stat: Star Rock (Equip)</t>
        </is>
      </c>
    </row>
    <row r="2046">
      <c r="A2046" s="5" t="inlineStr">
        <is>
          <t>Key</t>
        </is>
      </c>
      <c r="B2046" s="5" t="inlineStr">
        <is>
          <t>Name</t>
        </is>
      </c>
      <c r="C2046" s="5" t="inlineStr">
        <is>
          <t>Unlocked</t>
        </is>
      </c>
      <c r="D2046" s="5" t="inlineStr">
        <is>
          <t>InputLevel</t>
        </is>
      </c>
      <c r="E2046" s="5" t="inlineStr">
        <is>
          <t>Factor</t>
        </is>
      </c>
      <c r="F2046" s="5" t="inlineStr">
        <is>
          <t>CoefficientPercent</t>
        </is>
      </c>
      <c r="G2046" s="5" t="inlineStr">
        <is>
          <t>EffectiveHits</t>
        </is>
      </c>
      <c r="H2046" s="5" t="inlineStr">
        <is>
          <t>ProcProbability</t>
        </is>
      </c>
      <c r="I2046" s="5" t="inlineStr">
        <is>
          <t>MapleHeroMultiplier</t>
        </is>
      </c>
      <c r="J2046" s="5" t="inlineStr">
        <is>
          <t>BaseDamage</t>
        </is>
      </c>
      <c r="K2046" s="5" t="inlineStr">
        <is>
          <t>BaseHitDamage</t>
        </is>
      </c>
      <c r="L2046" s="5" t="inlineStr">
        <is>
          <t>NonCritAvg</t>
        </is>
      </c>
      <c r="M2046" s="5" t="inlineStr">
        <is>
          <t>CritAvg</t>
        </is>
      </c>
      <c r="N2046" s="5" t="inlineStr">
        <is>
          <t>ExpectedDamage(perHit)</t>
        </is>
      </c>
      <c r="O2046" s="5" t="inlineStr">
        <is>
          <t>DPS</t>
        </is>
      </c>
      <c r="P2046" s="5" t="inlineStr">
        <is>
          <t>% of Total</t>
        </is>
      </c>
      <c r="Q2046" s="5" t="inlineStr">
        <is>
          <t>InvCooldown</t>
        </is>
      </c>
      <c r="R2046" s="5" t="inlineStr">
        <is>
          <t>CastsInFight</t>
        </is>
      </c>
      <c r="S2046" s="5" t="inlineStr">
        <is>
          <t>HitRate(perSec)</t>
        </is>
      </c>
      <c r="U2046" t="inlineStr">
        <is>
          <t>helpers</t>
        </is>
      </c>
    </row>
    <row r="2047">
      <c r="A2047">
        <f>Skills!A2</f>
        <v/>
      </c>
      <c r="B2047">
        <f>Skills!B2</f>
        <v/>
      </c>
      <c r="C2047">
        <f>Inputs!$B$3&gt;=100</f>
        <v/>
      </c>
      <c r="D2047" t="inlineStr"/>
      <c r="E2047" t="inlineStr"/>
      <c r="F2047">
        <f>U2049+Skills!O2</f>
        <v/>
      </c>
      <c r="G2047">
        <f>Skills!G2*IF(Skills!H2&gt;0,Skills!I2/Skills!H2,1)</f>
        <v/>
      </c>
      <c r="H2047">
        <f>1-(1-Skills!J2/100)^Skills!K2</f>
        <v/>
      </c>
      <c r="I2047" t="inlineStr">
        <is>
          <t>1</t>
        </is>
      </c>
      <c r="J2047">
        <f>((Inputs!$B$6*(1+Inputs!$B$7/100))+(((Inputs!$B$12*(1+Inputs!$B$13/100))-(Inputs!$B$12*(1+Inputs!$B$13/100)))+0.25*(Inputs!$B$14-Inputs!$B$14))*(1+Inputs!$B$7/100))*(F2047/100)</f>
        <v/>
      </c>
      <c r="K2047">
        <f>J2047*(1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2047)</f>
        <v/>
      </c>
      <c r="L2047">
        <f>K2047*(MIN(Inputs!$B$22+((C2070=TRUE)*(F2070-Calc!F25)),(Inputs!$B$23+((C2075=TRUE)*(F2075-Calc!F30))+(IF(ArtifactsInput!$M$15,CHOOSE(ArtifactsInput!$N$15+1,25,30,35,40,45,50)/100*(Inputs!$B$11-Inputs!$B$11),0))))/100+(Inputs!$B$23+((C2075=TRUE)*(F2075-Calc!F30))+(IF(ArtifactsInput!$M$15,CHOOSE(ArtifactsInput!$N$15+1,25,30,35,40,45,50)/100*(Inputs!$B$11-Inputs!$B$11),0)))/100)/2</f>
        <v/>
      </c>
      <c r="M2047">
        <f>L2047*(1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7">
        <f>L2047*(1-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2047*(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7">
        <f>(1-Summary!$B$11)*T2047+Summary!$B$11*V2047</f>
        <v/>
      </c>
      <c r="P2047">
        <f>IF(B2089=0,0,O2047/B2089)</f>
        <v/>
      </c>
      <c r="Q2047" t="n">
        <v>0</v>
      </c>
      <c r="R2047" t="n">
        <v>0</v>
      </c>
      <c r="S2047">
        <f>IFERROR(O2047/N2047,0)</f>
        <v/>
      </c>
      <c r="T2047">
        <f>IF(C2047,(Skills!G2*N2047*B2083)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2047*(1-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2047*(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2047*(1-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2047*(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7">
        <f>MAX(0,(Inputs!$B$3-100)*3)+Inputs!$B$28+Inputs!$B$29</f>
        <v/>
      </c>
      <c r="V2047">
        <f>IF(C2047,(Skills!G2*N2047*B2083)*IF(Inputs!$B$38="pvp",1,(1+(Inputs!$B$21+Skills!Q2+(IF(ArtifactsInput!$M$33,CHOOSE(ArtifactsInput!$N$33+1,30,36,42,48,54,60),0))+(IF(AND(ArtifactsInput!$M$35,Inputs!$B$4&lt;&gt;"Chapter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8">
      <c r="A2048">
        <f>Skills!A3</f>
        <v/>
      </c>
      <c r="B2048">
        <f>Skills!B3</f>
        <v/>
      </c>
      <c r="C2048">
        <f>Inputs!$B$3&gt;=50</f>
        <v/>
      </c>
      <c r="D2048">
        <f>IF(Skills!C3=1,60+Inputs!$B$25+Inputs!$B$29,IF(Skills!C3=2,90+Inputs!$B$26+Inputs!$B$29,IF(Skills!C3=3,120+Inputs!$B$27+Inputs!$B$29,MAX(0,(Inputs!$B$3-100)*3)+Inputs!$B$28+Inputs!$B$29)))</f>
        <v/>
      </c>
      <c r="E2048">
        <f>INDEX(FactorTable!$B$2:$Y$301, MATCH(ROUND(MIN(300,MAX(1,D2048)),0), FactorTable!$A$2:$A$301,0), Skills!M3+1)</f>
        <v/>
      </c>
      <c r="F2048">
        <f>IF(Skills!N3=TRUE,(Skills!L3/10)*(E2048/1000),Skills!L3/10)+Skills!O3</f>
        <v/>
      </c>
      <c r="G2048">
        <f>Skills!G3*IF(Skills!H3&gt;0,Skills!I3/Skills!H3,1)</f>
        <v/>
      </c>
      <c r="H2048">
        <f>1-(1-Skills!J3/100)^Skills!K3</f>
        <v/>
      </c>
      <c r="I2048" t="inlineStr">
        <is>
          <t>1</t>
        </is>
      </c>
      <c r="J2048">
        <f>((Inputs!$B$6*(1+Inputs!$B$7/100))+(((Inputs!$B$12*(1+Inputs!$B$13/100))-(Inputs!$B$12*(1+Inputs!$B$13/100)))+0.25*(Inputs!$B$14-Inputs!$B$14))*(1+Inputs!$B$7/100))*(F2048/100)</f>
        <v/>
      </c>
      <c r="K2048">
        <f>J2048*(1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2049=TRUE,F2049,0)/100)*(1+(IF(Skills!A3="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2048)</f>
        <v/>
      </c>
      <c r="L2048">
        <f>K2048*(MIN(Inputs!$B$22+((C2070=TRUE)*(F2070-Calc!F25)),(Inputs!$B$23+((C2075=TRUE)*(F2075-Calc!F30))+(IF(ArtifactsInput!$M$15,CHOOSE(ArtifactsInput!$N$15+1,25,30,35,40,45,50)/100*(Inputs!$B$11-Inputs!$B$11),0))))/100+(Inputs!$B$23+((C2075=TRUE)*(F2075-Calc!F30))+(IF(ArtifactsInput!$M$15,CHOOSE(ArtifactsInput!$N$15+1,25,30,35,40,45,50)/100*(Inputs!$B$11-Inputs!$B$11),0)))/100)/2</f>
        <v/>
      </c>
      <c r="M2048">
        <f>L2048*(1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8">
        <f>L2048*(1-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2048*(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8">
        <f>(1-Summary!$B$11)*T2048+Summary!$B$11*V2048</f>
        <v/>
      </c>
      <c r="P2048">
        <f>IF(B2089=0,0,O2048/B2089)</f>
        <v/>
      </c>
      <c r="Q2048">
        <f>IFERROR(1/(IF(Inputs!$B$38="pvp",15,MAX(0.1,Skills!D3-IF(Skills!E3=TRUE,Inputs!$B$32,0)))*(1-IF(AND(ArtifactsInput!$M$27,Inputs!$B$4="Chapter Hunt"),CHOOSE(ArtifactsInput!$N$27+1,20,24,28,32,36,40),0)/100)),0)</f>
        <v/>
      </c>
      <c r="R2048">
        <f>IF(AND(Inputs!$B$38&lt;&gt;"pvp",Inputs!$B$43&gt;0),IF(MAX(0,Inputs!$B$43-B2086)&lt;=0,0,(INT(MAX(0,Inputs!$B$43-B2086)/(IF(Inputs!$B$38="pvp",15,MAX(0.1,Skills!D3-IF(Skills!E3=TRUE,Inputs!$B$32,0)))*(1-IF(AND(ArtifactsInput!$M$27,Inputs!$B$4="Chapter Hunt"),CHOOSE(ArtifactsInput!$N$27+1,20,24,28,32,36,40),0)/100)))+1)),0)</f>
        <v/>
      </c>
      <c r="S2048">
        <f>IFERROR(O2048/N2048,0)</f>
        <v/>
      </c>
      <c r="T2048">
        <f>IF(C2048,(H2048*N2048*IF(AND(Inputs!$B$38&lt;&gt;"pvp",Inputs!$B$43&gt;0),((Skills!G3*((R2048-1)*IF(Skills!H3&gt;0,Skills!I3/Skills!H3,1)+IF(Skills!H3&gt;0,MIN(Skills!I3,MAX(0,MAX(0,Inputs!$B$43-B2086)-((R2048-1)*(IF(Inputs!$B$38="pvp",15,MAX(0.1,Skills!D3-IF(Skills!E3=TRUE,Inputs!$B$32,0)))*(1-IF(AND(ArtifactsInput!$M$27,Inputs!$B$4="Chapter Hunt"),CHOOSE(ArtifactsInput!$N$27+1,20,24,28,32,36,40),0)/100)))))/Skills!H3,1)))/Inputs!$B$43),G2048*Q2048)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2048*(1-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2048*(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2048*(1-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2048*(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8">
        <f>INDEX(FactorTable!$B$2:$Y$301, MATCH(ROUND(MIN(300,MAX(1,U2047)),0), FactorTable!$A$2:$A$301,0), 22)</f>
        <v/>
      </c>
      <c r="V2048">
        <f>IF(C2048,(H2048*N2048*IF(AND(Inputs!$B$38&lt;&gt;"pvp",Inputs!$B$43&gt;0),((Skills!G3*((R2048-1)*IF(Skills!H3&gt;0,Skills!I3/Skills!H3,1)+IF(Skills!H3&gt;0,MIN(Skills!I3,MAX(0,MAX(0,Inputs!$B$43-B2086)-((R2048-1)*(IF(Inputs!$B$38="pvp",15,MAX(0.1,Skills!D3-IF(Skills!E3=TRUE,Inputs!$B$32,0)))*(1-IF(AND(ArtifactsInput!$M$27,Inputs!$B$4="Chapter Hunt"),CHOOSE(ArtifactsInput!$N$27+1,20,24,28,32,36,40),0)/100)))))/Skills!H3,1)))/Inputs!$B$43),G2048*Q2048))*IF(Inputs!$B$38="pvp",1,(1+(Inputs!$B$21+Skills!Q3+(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9">
      <c r="A2049">
        <f>Skills!A4</f>
        <v/>
      </c>
      <c r="B2049">
        <f>Skills!B4</f>
        <v/>
      </c>
      <c r="C2049">
        <f>Inputs!$B$3&gt;=105</f>
        <v/>
      </c>
      <c r="D2049">
        <f>IF(Skills!C4=1,60+Inputs!$B$25+Inputs!$B$29,IF(Skills!C4=2,90+Inputs!$B$26+Inputs!$B$29,IF(Skills!C4=3,120+Inputs!$B$27+Inputs!$B$29,MAX(0,(Inputs!$B$3-100)*3)+Inputs!$B$28+Inputs!$B$29)))</f>
        <v/>
      </c>
      <c r="E2049">
        <f>INDEX(FactorTable!$B$2:$Y$301, MATCH(ROUND(MIN(300,MAX(1,D2049)),0), FactorTable!$A$2:$A$301,0), Skills!M4+1)</f>
        <v/>
      </c>
      <c r="F2049">
        <f>IF(Skills!N4=TRUE,(Skills!L4/10)*(E2049/1000),Skills!L4/10)+Skills!O4</f>
        <v/>
      </c>
      <c r="G2049" t="inlineStr"/>
      <c r="H2049" t="inlineStr"/>
      <c r="I2049" t="inlineStr">
        <is>
          <t>1</t>
        </is>
      </c>
      <c r="J2049" t="inlineStr"/>
      <c r="K2049" t="inlineStr"/>
      <c r="L2049" t="inlineStr"/>
      <c r="M2049" t="inlineStr"/>
      <c r="N2049" t="inlineStr"/>
      <c r="O2049" t="inlineStr"/>
      <c r="P2049" t="inlineStr"/>
      <c r="Q2049" t="inlineStr"/>
      <c r="R2049" t="inlineStr"/>
      <c r="S2049" t="inlineStr"/>
      <c r="T2049" t="inlineStr"/>
      <c r="U2049">
        <f>290*U2048/1000</f>
        <v/>
      </c>
      <c r="V2049" t="inlineStr"/>
    </row>
    <row r="2050">
      <c r="A2050">
        <f>Skills!A5</f>
        <v/>
      </c>
      <c r="B2050">
        <f>Skills!B5</f>
        <v/>
      </c>
      <c r="C2050">
        <f>Inputs!$B$3&gt;=35</f>
        <v/>
      </c>
      <c r="D2050">
        <f>IF(Skills!C5=1,60+Inputs!$B$25+Inputs!$B$29,IF(Skills!C5=2,90+Inputs!$B$26+Inputs!$B$29,IF(Skills!C5=3,120+Inputs!$B$27+Inputs!$B$29,MAX(0,(Inputs!$B$3-100)*3)+Inputs!$B$28+Inputs!$B$29)))</f>
        <v/>
      </c>
      <c r="E2050">
        <f>INDEX(FactorTable!$B$2:$Y$301, MATCH(ROUND(MIN(300,MAX(1,D2050)),0), FactorTable!$A$2:$A$301,0), Skills!M5+1)</f>
        <v/>
      </c>
      <c r="F2050">
        <f>IF(Skills!N5=TRUE,(Skills!L5/10)*(E2050/1000),Skills!L5/10)+Skills!O5</f>
        <v/>
      </c>
      <c r="G2050">
        <f>Skills!G5*IF(Skills!H5&gt;0,Skills!I5/Skills!H5,1)</f>
        <v/>
      </c>
      <c r="H2050">
        <f>1-(1-Skills!J5/100)^Skills!K5</f>
        <v/>
      </c>
      <c r="I2050" t="inlineStr">
        <is>
          <t>1</t>
        </is>
      </c>
      <c r="J2050">
        <f>((Inputs!$B$6*(1+Inputs!$B$7/100))+(((Inputs!$B$12*(1+Inputs!$B$13/100))-(Inputs!$B$12*(1+Inputs!$B$13/100)))+0.25*(Inputs!$B$14-Inputs!$B$14))*(1+Inputs!$B$7/100))*(F2050/100)</f>
        <v/>
      </c>
      <c r="K2050">
        <f>J2050*(1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2056=TRUE,F2056,0)/100)*(1+(IF(Skills!A5="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2050)</f>
        <v/>
      </c>
      <c r="L2050">
        <f>K2050*(MIN(Inputs!$B$22+((C2070=TRUE)*(F2070-Calc!F25)),(Inputs!$B$23+((C2075=TRUE)*(F2075-Calc!F30))+(IF(ArtifactsInput!$M$15,CHOOSE(ArtifactsInput!$N$15+1,25,30,35,40,45,50)/100*(Inputs!$B$11-Inputs!$B$11),0))))/100+(Inputs!$B$23+((C2075=TRUE)*(F2075-Calc!F30))+(IF(ArtifactsInput!$M$15,CHOOSE(ArtifactsInput!$N$15+1,25,30,35,40,45,50)/100*(Inputs!$B$11-Inputs!$B$11),0)))/100)/2</f>
        <v/>
      </c>
      <c r="M2050">
        <f>L2050*(1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0">
        <f>L2050*(1-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2050*(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0">
        <f>(1-Summary!$B$11)*T2050+Summary!$B$11*V2050</f>
        <v/>
      </c>
      <c r="P2050">
        <f>IF(B2089=0,0,O2050/B2089)</f>
        <v/>
      </c>
      <c r="Q2050">
        <f>IFERROR(1/(IF(Inputs!$B$38="pvp",15,MAX(0.1,Skills!D5-IF(Skills!E5=TRUE,Inputs!$B$32,0)))*(1-IF(AND(ArtifactsInput!$M$27,Inputs!$B$4="Chapter Hunt"),CHOOSE(ArtifactsInput!$N$27+1,20,24,28,32,36,40),0)/100)),0)</f>
        <v/>
      </c>
      <c r="R2050">
        <f>IF(AND(Inputs!$B$38&lt;&gt;"pvp",Inputs!$B$43&gt;0),IF(MAX(0,Inputs!$B$43-B2086)&lt;=0,0,(INT(MAX(0,Inputs!$B$43-B2086)/(IF(Inputs!$B$38="pvp",15,MAX(0.1,Skills!D5-IF(Skills!E5=TRUE,Inputs!$B$32,0)))*(1-IF(AND(ArtifactsInput!$M$27,Inputs!$B$4="Chapter Hunt"),CHOOSE(ArtifactsInput!$N$27+1,20,24,28,32,36,40),0)/100)))+1)),0)</f>
        <v/>
      </c>
      <c r="S2050">
        <f>IFERROR(O2050/N2050,0)</f>
        <v/>
      </c>
      <c r="T2050">
        <f>IF(C2050,(H2050*N2050*IF(AND(Inputs!$B$38&lt;&gt;"pvp",Inputs!$B$43&gt;0),((Skills!G5*((R2050-1)*IF(Skills!H5&gt;0,Skills!I5/Skills!H5,1)+IF(Skills!H5&gt;0,MIN(Skills!I5,MAX(0,MAX(0,Inputs!$B$43-B2086)-((R2050-1)*(IF(Inputs!$B$38="pvp",15,MAX(0.1,Skills!D5-IF(Skills!E5=TRUE,Inputs!$B$32,0)))*(1-IF(AND(ArtifactsInput!$M$27,Inputs!$B$4="Chapter Hunt"),CHOOSE(ArtifactsInput!$N$27+1,20,24,28,32,36,40),0)/100)))))/Skills!H5,1)))/Inputs!$B$43),G2050*Q2050)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2050*(1-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2050*(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2050*(1-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2050*(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0">
        <f>IF(C2050,(H2050*N2050*IF(AND(Inputs!$B$38&lt;&gt;"pvp",Inputs!$B$43&gt;0),((Skills!G5*((R2050-1)*IF(Skills!H5&gt;0,Skills!I5/Skills!H5,1)+IF(Skills!H5&gt;0,MIN(Skills!I5,MAX(0,MAX(0,Inputs!$B$43-B2086)-((R2050-1)*(IF(Inputs!$B$38="pvp",15,MAX(0.1,Skills!D5-IF(Skills!E5=TRUE,Inputs!$B$32,0)))*(1-IF(AND(ArtifactsInput!$M$27,Inputs!$B$4="Chapter Hunt"),CHOOSE(ArtifactsInput!$N$27+1,20,24,28,32,36,40),0)/100)))))/Skills!H5,1)))/Inputs!$B$43),G2050*Q2050))*IF(Inputs!$B$38="pvp",1,(1+(Inputs!$B$21+Skills!Q5+(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1">
      <c r="A2051">
        <f>Skills!A6</f>
        <v/>
      </c>
      <c r="B2051">
        <f>Skills!B6</f>
        <v/>
      </c>
      <c r="C2051">
        <f>Inputs!$B$3&gt;=40</f>
        <v/>
      </c>
      <c r="D2051">
        <f>IF(Skills!C6=1,60+Inputs!$B$25+Inputs!$B$29,IF(Skills!C6=2,90+Inputs!$B$26+Inputs!$B$29,IF(Skills!C6=3,120+Inputs!$B$27+Inputs!$B$29,MAX(0,(Inputs!$B$3-100)*3)+Inputs!$B$28+Inputs!$B$29)))</f>
        <v/>
      </c>
      <c r="E2051">
        <f>INDEX(FactorTable!$B$2:$Y$301, MATCH(ROUND(MIN(300,MAX(1,D2051)),0), FactorTable!$A$2:$A$301,0), Skills!M6+1)</f>
        <v/>
      </c>
      <c r="F2051">
        <f>IF(Skills!N6=TRUE,(Skills!L6/10)*(E2051/1000),Skills!L6/10)+Skills!O6</f>
        <v/>
      </c>
      <c r="G2051">
        <f>Skills!G6*IF(Skills!H6&gt;0,Skills!I6/Skills!H6,1)</f>
        <v/>
      </c>
      <c r="H2051">
        <f>1-(1-Skills!J6/100)^Skills!K6</f>
        <v/>
      </c>
      <c r="I2051" t="inlineStr">
        <is>
          <t>1</t>
        </is>
      </c>
      <c r="J2051">
        <f>((Inputs!$B$6*(1+Inputs!$B$7/100))+(((Inputs!$B$12*(1+Inputs!$B$13/100))-(Inputs!$B$12*(1+Inputs!$B$13/100)))+0.25*(Inputs!$B$14-Inputs!$B$14))*(1+Inputs!$B$7/100))*(F2051/100)</f>
        <v/>
      </c>
      <c r="K2051">
        <f>J2051*(1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2052=TRUE,F2052,0)/100)*(1+(IF(Skills!A6="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2051)</f>
        <v/>
      </c>
      <c r="L2051">
        <f>K2051*(MIN(Inputs!$B$22+((C2070=TRUE)*(F2070-Calc!F25)),(Inputs!$B$23+((C2075=TRUE)*(F2075-Calc!F30))+(IF(ArtifactsInput!$M$15,CHOOSE(ArtifactsInput!$N$15+1,25,30,35,40,45,50)/100*(Inputs!$B$11-Inputs!$B$11),0))))/100+(Inputs!$B$23+((C2075=TRUE)*(F2075-Calc!F30))+(IF(ArtifactsInput!$M$15,CHOOSE(ArtifactsInput!$N$15+1,25,30,35,40,45,50)/100*(Inputs!$B$11-Inputs!$B$11),0)))/100)/2</f>
        <v/>
      </c>
      <c r="M2051">
        <f>L2051*(1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1">
        <f>L2051*(1-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1">
        <f>(1-Summary!$B$11)*T2051+Summary!$B$11*V2051</f>
        <v/>
      </c>
      <c r="P2051">
        <f>IF(B2089=0,0,O2051/B2089)</f>
        <v/>
      </c>
      <c r="Q2051">
        <f>IFERROR(1/(IF(Inputs!$B$38="pvp",15,MAX(0.1,Skills!D6-IF(Skills!E6=TRUE,Inputs!$B$32,0)))*(1-IF(AND(ArtifactsInput!$M$27,Inputs!$B$4="Chapter Hunt"),CHOOSE(ArtifactsInput!$N$27+1,20,24,28,32,36,40),0)/100)),0)</f>
        <v/>
      </c>
      <c r="R2051">
        <f>IF(AND(Inputs!$B$38&lt;&gt;"pvp",Inputs!$B$43&gt;0),IF(MAX(0,Inputs!$B$43-B2086)&lt;=0,0,(INT(MAX(0,Inputs!$B$43-B2086)/(IF(Inputs!$B$38="pvp",15,MAX(0.1,Skills!D6-IF(Skills!E6=TRUE,Inputs!$B$32,0)))*(1-IF(AND(ArtifactsInput!$M$27,Inputs!$B$4="Chapter Hunt"),CHOOSE(ArtifactsInput!$N$27+1,20,24,28,32,36,40),0)/100)))+1)),0)</f>
        <v/>
      </c>
      <c r="S2051">
        <f>IFERROR(O2051/N2051,0)</f>
        <v/>
      </c>
      <c r="T2051">
        <f>IF(C2051,(H2051*N2051*IF(AND(Inputs!$B$38&lt;&gt;"pvp",Inputs!$B$43&gt;0),((Skills!G6*((R2051-1)*IF(Skills!H6&gt;0,Skills!I6/Skills!H6,1)+IF(Skills!H6&gt;0,MIN(Skills!I6,MAX(0,MAX(0,Inputs!$B$43-B2086)-((R2051-1)*(IF(Inputs!$B$38="pvp",15,MAX(0.1,Skills!D6-IF(Skills!E6=TRUE,Inputs!$B$32,0)))*(1-IF(AND(ArtifactsInput!$M$27,Inputs!$B$4="Chapter Hunt"),CHOOSE(ArtifactsInput!$N$27+1,20,24,28,32,36,40),0)/100)))))/Skills!H6,1)))/Inputs!$B$43),G2051*Q2051)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2051*(1-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1">
        <f>IF(C2051,(H2051*N2051*IF(AND(Inputs!$B$38&lt;&gt;"pvp",Inputs!$B$43&gt;0),((Skills!G6*((R2051-1)*IF(Skills!H6&gt;0,Skills!I6/Skills!H6,1)+IF(Skills!H6&gt;0,MIN(Skills!I6,MAX(0,MAX(0,Inputs!$B$43-B2086)-((R2051-1)*(IF(Inputs!$B$38="pvp",15,MAX(0.1,Skills!D6-IF(Skills!E6=TRUE,Inputs!$B$32,0)))*(1-IF(AND(ArtifactsInput!$M$27,Inputs!$B$4="Chapter Hunt"),CHOOSE(ArtifactsInput!$N$27+1,20,24,28,32,36,40),0)/100)))))/Skills!H6,1)))/Inputs!$B$43),G2051*Q2051))*IF(Inputs!$B$38="pvp",1,(1+(Inputs!$B$21+Skills!Q6+(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2">
      <c r="A2052">
        <f>Skills!A7</f>
        <v/>
      </c>
      <c r="B2052">
        <f>Skills!B7</f>
        <v/>
      </c>
      <c r="C2052">
        <f>Inputs!$B$3&gt;=107</f>
        <v/>
      </c>
      <c r="D2052">
        <f>IF(Skills!C7=1,60+Inputs!$B$25+Inputs!$B$29,IF(Skills!C7=2,90+Inputs!$B$26+Inputs!$B$29,IF(Skills!C7=3,120+Inputs!$B$27+Inputs!$B$29,MAX(0,(Inputs!$B$3-100)*3)+Inputs!$B$28+Inputs!$B$29)))</f>
        <v/>
      </c>
      <c r="E2052">
        <f>INDEX(FactorTable!$B$2:$Y$301, MATCH(ROUND(MIN(300,MAX(1,D2052)),0), FactorTable!$A$2:$A$301,0), Skills!M7+1)</f>
        <v/>
      </c>
      <c r="F2052">
        <f>IF(Skills!N7=TRUE,(Skills!L7/10)*(E2052/1000),Skills!L7/10)+Skills!O7</f>
        <v/>
      </c>
      <c r="G2052" t="inlineStr"/>
      <c r="H2052" t="inlineStr"/>
      <c r="I2052" t="inlineStr">
        <is>
          <t>1</t>
        </is>
      </c>
      <c r="J2052" t="inlineStr"/>
      <c r="K2052" t="inlineStr"/>
      <c r="L2052" t="inlineStr"/>
      <c r="M2052" t="inlineStr"/>
      <c r="N2052" t="inlineStr"/>
      <c r="O2052" t="inlineStr"/>
      <c r="P2052" t="inlineStr"/>
      <c r="Q2052" t="inlineStr"/>
      <c r="R2052" t="inlineStr"/>
      <c r="S2052" t="inlineStr"/>
      <c r="T2052" t="inlineStr"/>
      <c r="V2052" t="inlineStr"/>
    </row>
    <row r="2053">
      <c r="A2053">
        <f>Skills!A8</f>
        <v/>
      </c>
      <c r="B2053">
        <f>Skills!B8</f>
        <v/>
      </c>
      <c r="C2053">
        <f>Inputs!$B$3&gt;=69</f>
        <v/>
      </c>
      <c r="D2053">
        <f>IF(Skills!C8=1,60+Inputs!$B$25+Inputs!$B$29,IF(Skills!C8=2,90+Inputs!$B$26+Inputs!$B$29,IF(Skills!C8=3,120+Inputs!$B$27+Inputs!$B$29,MAX(0,(Inputs!$B$3-100)*3)+Inputs!$B$28+Inputs!$B$29)))</f>
        <v/>
      </c>
      <c r="E2053">
        <f>INDEX(FactorTable!$B$2:$Y$301, MATCH(ROUND(MIN(300,MAX(1,D2053)),0), FactorTable!$A$2:$A$301,0), Skills!M8+1)</f>
        <v/>
      </c>
      <c r="F2053">
        <f>IF(Skills!N8=TRUE,(Skills!L8/10)*(E2053/1000),Skills!L8/10)+Skills!O8</f>
        <v/>
      </c>
      <c r="G2053">
        <f>Skills!G8*IF(Skills!H8&gt;0,Skills!I8/Skills!H8,1)</f>
        <v/>
      </c>
      <c r="H2053">
        <f>1-(1-Skills!J8/100)^Skills!K8</f>
        <v/>
      </c>
      <c r="I2053" t="inlineStr">
        <is>
          <t>1</t>
        </is>
      </c>
      <c r="J2053">
        <f>((Inputs!$B$6*(1+Inputs!$B$7/100))+(((Inputs!$B$12*(1+Inputs!$B$13/100))-(Inputs!$B$12*(1+Inputs!$B$13/100)))+0.25*(Inputs!$B$14-Inputs!$B$14))*(1+Inputs!$B$7/100))*(F2053/100)</f>
        <v/>
      </c>
      <c r="K2053">
        <f>J2053*(1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2056=TRUE,F2056,0)/100)*(1+(IF(Skills!A8="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2053)</f>
        <v/>
      </c>
      <c r="L2053">
        <f>K2053*(MIN(Inputs!$B$22+((C2070=TRUE)*(F2070-Calc!F25)),(Inputs!$B$23+((C2075=TRUE)*(F2075-Calc!F30))+(IF(ArtifactsInput!$M$15,CHOOSE(ArtifactsInput!$N$15+1,25,30,35,40,45,50)/100*(Inputs!$B$11-Inputs!$B$11),0))))/100+(Inputs!$B$23+((C2075=TRUE)*(F2075-Calc!F30))+(IF(ArtifactsInput!$M$15,CHOOSE(ArtifactsInput!$N$15+1,25,30,35,40,45,50)/100*(Inputs!$B$11-Inputs!$B$11),0)))/100)/2</f>
        <v/>
      </c>
      <c r="M2053">
        <f>L2053*(1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3">
        <f>L2053*(1-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(1-Summary!$B$11)*T2053+Summary!$B$11*V2053</f>
        <v/>
      </c>
      <c r="P2053">
        <f>IF(B2089=0,0,O2053/B2089)</f>
        <v/>
      </c>
      <c r="Q2053">
        <f>IFERROR(1/(IF(Inputs!$B$38="pvp",15,MAX(0.1,Skills!D8-IF(Skills!E8=TRUE,Inputs!$B$32,0)))*(1-IF(AND(ArtifactsInput!$M$27,Inputs!$B$4="Chapter Hunt"),CHOOSE(ArtifactsInput!$N$27+1,20,24,28,32,36,40),0)/100)),0)</f>
        <v/>
      </c>
      <c r="R2053">
        <f>IF(AND(Inputs!$B$38&lt;&gt;"pvp",Inputs!$B$43&gt;0),IF(MAX(0,Inputs!$B$43-B2086)&lt;=0,0,(INT(MAX(0,Inputs!$B$43-B2086)/(IF(Inputs!$B$38="pvp",15,MAX(0.1,Skills!D8-IF(Skills!E8=TRUE,Inputs!$B$32,0)))*(1-IF(AND(ArtifactsInput!$M$27,Inputs!$B$4="Chapter Hunt"),CHOOSE(ArtifactsInput!$N$27+1,20,24,28,32,36,40),0)/100)))+1)),0)</f>
        <v/>
      </c>
      <c r="S2053">
        <f>IFERROR(O2053/N2053,0)</f>
        <v/>
      </c>
      <c r="T2053">
        <f>IF(C2053,(H2053*N2053*IF(AND(Inputs!$B$38&lt;&gt;"pvp",Inputs!$B$43&gt;0),((Skills!G8*((R2053-1)*IF(Skills!H8&gt;0,Skills!I8/Skills!H8,1)+IF(Skills!H8&gt;0,MIN(Skills!I8,MAX(0,MAX(0,Inputs!$B$43-B2086)-((R2053-1)*(IF(Inputs!$B$38="pvp",15,MAX(0.1,Skills!D8-IF(Skills!E8=TRUE,Inputs!$B$32,0)))*(1-IF(AND(ArtifactsInput!$M$27,Inputs!$B$4="Chapter Hunt"),CHOOSE(ArtifactsInput!$N$27+1,20,24,28,32,36,40),0)/100)))))/Skills!H8,1)))/Inputs!$B$43),G2053*Q2053)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2053*(1-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3">
        <f>IF(C2053,(H2053*N2053*IF(AND(Inputs!$B$38&lt;&gt;"pvp",Inputs!$B$43&gt;0),((Skills!G8*((R2053-1)*IF(Skills!H8&gt;0,Skills!I8/Skills!H8,1)+IF(Skills!H8&gt;0,MIN(Skills!I8,MAX(0,MAX(0,Inputs!$B$43-B2086)-((R2053-1)*(IF(Inputs!$B$38="pvp",15,MAX(0.1,Skills!D8-IF(Skills!E8=TRUE,Inputs!$B$32,0)))*(1-IF(AND(ArtifactsInput!$M$27,Inputs!$B$4="Chapter Hunt"),CHOOSE(ArtifactsInput!$N$27+1,20,24,28,32,36,40),0)/100)))))/Skills!H8,1)))/Inputs!$B$43),G2053*Q2053))*IF(Inputs!$B$38="pvp",1,(1+(Inputs!$B$21+Skills!Q8+(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4">
      <c r="A2054">
        <f>Skills!A9</f>
        <v/>
      </c>
      <c r="B2054">
        <f>Skills!B9</f>
        <v/>
      </c>
      <c r="C2054">
        <f>Inputs!$B$3&gt;=63</f>
        <v/>
      </c>
      <c r="D2054">
        <f>IF(Skills!C9=1,60+Inputs!$B$25+Inputs!$B$29,IF(Skills!C9=2,90+Inputs!$B$26+Inputs!$B$29,IF(Skills!C9=3,120+Inputs!$B$27+Inputs!$B$29,MAX(0,(Inputs!$B$3-100)*3)+Inputs!$B$28+Inputs!$B$29)))</f>
        <v/>
      </c>
      <c r="E2054">
        <f>INDEX(FactorTable!$B$2:$Y$301, MATCH(ROUND(MIN(300,MAX(1,D2054)),0), FactorTable!$A$2:$A$301,0), Skills!M9+1)</f>
        <v/>
      </c>
      <c r="F2054">
        <f>IF(Skills!N9=TRUE,(Skills!L9/10)*(E2054/1000),Skills!L9/10)+Skills!O9</f>
        <v/>
      </c>
      <c r="G2054">
        <f>Skills!G9*IF(Skills!H9&gt;0,Skills!I9/Skills!H9,1)</f>
        <v/>
      </c>
      <c r="H2054">
        <f>1-(1-Skills!J9/100)^Skills!K9</f>
        <v/>
      </c>
      <c r="I2054" t="inlineStr">
        <is>
          <t>1</t>
        </is>
      </c>
      <c r="J2054">
        <f>((Inputs!$B$6*(1+Inputs!$B$7/100))+(((Inputs!$B$12*(1+Inputs!$B$13/100))-(Inputs!$B$12*(1+Inputs!$B$13/100)))+0.25*(Inputs!$B$14-Inputs!$B$14))*(1+Inputs!$B$7/100))*(F2054/100)</f>
        <v/>
      </c>
      <c r="K2054">
        <f>J2054*(1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2056=TRUE,F2056,0)/100)*(1+(IF(Skills!A9="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2054)</f>
        <v/>
      </c>
      <c r="L2054">
        <f>K2054*(MIN(Inputs!$B$22+((C2070=TRUE)*(F2070-Calc!F25)),(Inputs!$B$23+((C2075=TRUE)*(F2075-Calc!F30))+(IF(ArtifactsInput!$M$15,CHOOSE(ArtifactsInput!$N$15+1,25,30,35,40,45,50)/100*(Inputs!$B$11-Inputs!$B$11),0))))/100+(Inputs!$B$23+((C2075=TRUE)*(F2075-Calc!F30))+(IF(ArtifactsInput!$M$15,CHOOSE(ArtifactsInput!$N$15+1,25,30,35,40,45,50)/100*(Inputs!$B$11-Inputs!$B$11),0)))/100)/2</f>
        <v/>
      </c>
      <c r="M2054">
        <f>L2054*(1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4">
        <f>L2054*(1-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2054*(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4">
        <f>(1-Summary!$B$11)*T2054+Summary!$B$11*V2054</f>
        <v/>
      </c>
      <c r="P2054">
        <f>IF(B2089=0,0,O2054/B2089)</f>
        <v/>
      </c>
      <c r="Q2054">
        <f>IFERROR(1/(IF(Inputs!$B$38="pvp",15,MAX(0.1,Skills!D9-IF(Skills!E9=TRUE,Inputs!$B$32,0)))*(1-IF(AND(ArtifactsInput!$M$27,Inputs!$B$4="Chapter Hunt"),CHOOSE(ArtifactsInput!$N$27+1,20,24,28,32,36,40),0)/100)),0)</f>
        <v/>
      </c>
      <c r="R2054">
        <f>IF(AND(Inputs!$B$38&lt;&gt;"pvp",Inputs!$B$43&gt;0),IF(MAX(0,Inputs!$B$43-B2086)&lt;=0,0,(INT(MAX(0,Inputs!$B$43-B2086)/(IF(Inputs!$B$38="pvp",15,MAX(0.1,Skills!D9-IF(Skills!E9=TRUE,Inputs!$B$32,0)))*(1-IF(AND(ArtifactsInput!$M$27,Inputs!$B$4="Chapter Hunt"),CHOOSE(ArtifactsInput!$N$27+1,20,24,28,32,36,40),0)/100)))+1)),0)</f>
        <v/>
      </c>
      <c r="S2054">
        <f>IFERROR(O2054/N2054,0)</f>
        <v/>
      </c>
      <c r="T2054">
        <f>IF(C2054,(H2054*N2054*IF(AND(Inputs!$B$38&lt;&gt;"pvp",Inputs!$B$43&gt;0),((Skills!G9*((R2054-1)*IF(Skills!H9&gt;0,Skills!I9/Skills!H9,1)+IF(Skills!H9&gt;0,MIN(Skills!I9,MAX(0,MAX(0,Inputs!$B$43-B2086)-((R2054-1)*(IF(Inputs!$B$38="pvp",15,MAX(0.1,Skills!D9-IF(Skills!E9=TRUE,Inputs!$B$32,0)))*(1-IF(AND(ArtifactsInput!$M$27,Inputs!$B$4="Chapter Hunt"),CHOOSE(ArtifactsInput!$N$27+1,20,24,28,32,36,40),0)/100)))))/Skills!H9,1)))/Inputs!$B$43),G2054*Q2054)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2054*(1-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2054*(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2054*(1-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2054*(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4">
        <f>IF(C2054,(H2054*N2054*IF(AND(Inputs!$B$38&lt;&gt;"pvp",Inputs!$B$43&gt;0),((Skills!G9*((R2054-1)*IF(Skills!H9&gt;0,Skills!I9/Skills!H9,1)+IF(Skills!H9&gt;0,MIN(Skills!I9,MAX(0,MAX(0,Inputs!$B$43-B2086)-((R2054-1)*(IF(Inputs!$B$38="pvp",15,MAX(0.1,Skills!D9-IF(Skills!E9=TRUE,Inputs!$B$32,0)))*(1-IF(AND(ArtifactsInput!$M$27,Inputs!$B$4="Chapter Hunt"),CHOOSE(ArtifactsInput!$N$27+1,20,24,28,32,36,40),0)/100)))))/Skills!H9,1)))/Inputs!$B$43),G2054*Q2054))*IF(Inputs!$B$38="pvp",1,(1+(Inputs!$B$21+Skills!Q9+(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5">
      <c r="A2055">
        <f>Skills!A10</f>
        <v/>
      </c>
      <c r="B2055">
        <f>Skills!B10</f>
        <v/>
      </c>
      <c r="C2055">
        <f>Inputs!$B$3&gt;=103</f>
        <v/>
      </c>
      <c r="D2055">
        <f>IF(Skills!C10=1,60+Inputs!$B$25+Inputs!$B$29,IF(Skills!C10=2,90+Inputs!$B$26+Inputs!$B$29,IF(Skills!C10=3,120+Inputs!$B$27+Inputs!$B$29,MAX(0,(Inputs!$B$3-100)*3)+Inputs!$B$28+Inputs!$B$29)))</f>
        <v/>
      </c>
      <c r="E2055">
        <f>INDEX(FactorTable!$B$2:$Y$301, MATCH(ROUND(MIN(300,MAX(1,D2055)),0), FactorTable!$A$2:$A$301,0), Skills!M10+1)</f>
        <v/>
      </c>
      <c r="F2055">
        <f>IF(Skills!N10=TRUE,(Skills!L10/10)*(E2055/1000),Skills!L10/10)+Skills!O10</f>
        <v/>
      </c>
      <c r="G2055">
        <f>Skills!G10*IF(Skills!H10&gt;0,Skills!I10/Skills!H10,1)</f>
        <v/>
      </c>
      <c r="H2055">
        <f>1-(1-Skills!J10/100)^Skills!K10</f>
        <v/>
      </c>
      <c r="I2055" t="inlineStr">
        <is>
          <t>1</t>
        </is>
      </c>
      <c r="J2055">
        <f>((Inputs!$B$6*(1+Inputs!$B$7/100))+(((Inputs!$B$12*(1+Inputs!$B$13/100))-(Inputs!$B$12*(1+Inputs!$B$13/100)))+0.25*(Inputs!$B$14-Inputs!$B$14))*(1+Inputs!$B$7/100))*(F2055/100)</f>
        <v/>
      </c>
      <c r="K2055">
        <f>J2055*(1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2055)</f>
        <v/>
      </c>
      <c r="L2055">
        <f>K2055*(MIN(Inputs!$B$22+((C2070=TRUE)*(F2070-Calc!F25)),(Inputs!$B$23+((C2075=TRUE)*(F2075-Calc!F30))+(IF(ArtifactsInput!$M$15,CHOOSE(ArtifactsInput!$N$15+1,25,30,35,40,45,50)/100*(Inputs!$B$11-Inputs!$B$11),0))))/100+(Inputs!$B$23+((C2075=TRUE)*(F2075-Calc!F30))+(IF(ArtifactsInput!$M$15,CHOOSE(ArtifactsInput!$N$15+1,25,30,35,40,45,50)/100*(Inputs!$B$11-Inputs!$B$11),0)))/100)/2</f>
        <v/>
      </c>
      <c r="M2055">
        <f>L2055*(1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5">
        <f>L2055*(1-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2055*(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5">
        <f>(1-Summary!$B$11)*T2055+Summary!$B$11*V2055</f>
        <v/>
      </c>
      <c r="P2055">
        <f>IF(B2089=0,0,O2055/B2089)</f>
        <v/>
      </c>
      <c r="Q2055">
        <f>IFERROR(1/(IF(Inputs!$B$38="pvp",15,MAX(0.1,Skills!D10-IF(Skills!E10=TRUE,Inputs!$B$32,0)))*(1-IF(AND(ArtifactsInput!$M$27,Inputs!$B$4="Chapter Hunt"),CHOOSE(ArtifactsInput!$N$27+1,20,24,28,32,36,40),0)/100)),0)</f>
        <v/>
      </c>
      <c r="R2055">
        <f>IF(AND(Inputs!$B$38&lt;&gt;"pvp",Inputs!$B$43&gt;0),IF(MAX(0,Inputs!$B$43-B2086)&lt;=0,0,(INT(MAX(0,Inputs!$B$43-B2086)/(IF(Inputs!$B$38="pvp",15,MAX(0.1,Skills!D10-IF(Skills!E10=TRUE,Inputs!$B$32,0)))*(1-IF(AND(ArtifactsInput!$M$27,Inputs!$B$4="Chapter Hunt"),CHOOSE(ArtifactsInput!$N$27+1,20,24,28,32,36,40),0)/100)))+1)),0)</f>
        <v/>
      </c>
      <c r="S2055">
        <f>IFERROR(O2055/N2055,0)</f>
        <v/>
      </c>
      <c r="T2055">
        <f>IF(C2055,(H2055*N2055*IF(AND(Inputs!$B$38&lt;&gt;"pvp",Inputs!$B$43&gt;0),((Skills!G10*((R2055-1)*IF(Skills!H10&gt;0,Skills!I10/Skills!H10,1)+IF(Skills!H10&gt;0,MIN(Skills!I10,MAX(0,MAX(0,Inputs!$B$43-B2086)-((R2055-1)*(IF(Inputs!$B$38="pvp",15,MAX(0.1,Skills!D10-IF(Skills!E10=TRUE,Inputs!$B$32,0)))*(1-IF(AND(ArtifactsInput!$M$27,Inputs!$B$4="Chapter Hunt"),CHOOSE(ArtifactsInput!$N$27+1,20,24,28,32,36,40),0)/100)))))/Skills!H10,1)))/Inputs!$B$43),G2055*Q2055)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2055*(1-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2055*(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2055*(1-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2055*(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5">
        <f>IF(C2055,(H2055*N2055*IF(AND(Inputs!$B$38&lt;&gt;"pvp",Inputs!$B$43&gt;0),((Skills!G10*((R2055-1)*IF(Skills!H10&gt;0,Skills!I10/Skills!H10,1)+IF(Skills!H10&gt;0,MIN(Skills!I10,MAX(0,MAX(0,Inputs!$B$43-B2086)-((R2055-1)*(IF(Inputs!$B$38="pvp",15,MAX(0.1,Skills!D10-IF(Skills!E10=TRUE,Inputs!$B$32,0)))*(1-IF(AND(ArtifactsInput!$M$27,Inputs!$B$4="Chapter Hunt"),CHOOSE(ArtifactsInput!$N$27+1,20,24,28,32,36,40),0)/100)))))/Skills!H10,1)))/Inputs!$B$43),G2055*Q2055))*IF(Inputs!$B$38="pvp",1,(1+(Inputs!$B$21+Skills!Q10+(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6">
      <c r="A2056">
        <f>Skills!A11</f>
        <v/>
      </c>
      <c r="B2056">
        <f>Skills!B11</f>
        <v/>
      </c>
      <c r="C2056">
        <f>Inputs!$B$3&gt;=100</f>
        <v/>
      </c>
      <c r="D2056">
        <f>IF(Skills!C11=1,60+Inputs!$B$25+Inputs!$B$29,IF(Skills!C11=2,90+Inputs!$B$26+Inputs!$B$29,IF(Skills!C11=3,120+Inputs!$B$27+Inputs!$B$29,MAX(0,(Inputs!$B$3-100)*3)+Inputs!$B$28+Inputs!$B$29)))</f>
        <v/>
      </c>
      <c r="E2056">
        <f>INDEX(FactorTable!$B$2:$Y$301, MATCH(ROUND(MIN(300,MAX(1,D2056)),0), FactorTable!$A$2:$A$301,0), Skills!M11+1)</f>
        <v/>
      </c>
      <c r="F2056">
        <f>IF(Skills!N11=TRUE,(Skills!L11/10)*(E2056/1000),Skills!L11/10)+Skills!O11</f>
        <v/>
      </c>
      <c r="G2056" t="inlineStr"/>
      <c r="H2056" t="inlineStr"/>
      <c r="I2056" t="inlineStr">
        <is>
          <t>1</t>
        </is>
      </c>
      <c r="J2056" t="inlineStr"/>
      <c r="K2056" t="inlineStr"/>
      <c r="L2056" t="inlineStr"/>
      <c r="M2056" t="inlineStr"/>
      <c r="N2056" t="inlineStr"/>
      <c r="O2056" t="inlineStr"/>
      <c r="P2056" t="inlineStr"/>
      <c r="Q2056" t="inlineStr"/>
      <c r="R2056" t="inlineStr"/>
      <c r="S2056" t="inlineStr"/>
      <c r="T2056" t="inlineStr"/>
      <c r="V2056" t="inlineStr"/>
    </row>
    <row r="2057">
      <c r="A2057">
        <f>Skills!A12</f>
        <v/>
      </c>
      <c r="B2057">
        <f>Skills!B12</f>
        <v/>
      </c>
      <c r="C2057">
        <f>Inputs!$B$3&gt;=60</f>
        <v/>
      </c>
      <c r="D2057">
        <f>IF(Skills!C12=1,60+Inputs!$B$25+Inputs!$B$29,IF(Skills!C12=2,90+Inputs!$B$26+Inputs!$B$29,IF(Skills!C12=3,120+Inputs!$B$27+Inputs!$B$29,MAX(0,(Inputs!$B$3-100)*3)+Inputs!$B$28+Inputs!$B$29)))</f>
        <v/>
      </c>
      <c r="E2057">
        <f>INDEX(FactorTable!$B$2:$Y$301, MATCH(ROUND(MIN(300,MAX(1,D2057)),0), FactorTable!$A$2:$A$301,0), Skills!M12+1)</f>
        <v/>
      </c>
      <c r="F2057">
        <f>IF(Skills!N12=TRUE,(Skills!L12/10)*(E2057/1000),Skills!L12/10)+Skills!O12</f>
        <v/>
      </c>
      <c r="G2057">
        <f>Skills!G12*IF(Skills!H12&gt;0,Skills!I12/Skills!H12,1)</f>
        <v/>
      </c>
      <c r="H2057">
        <f>1-(1-Skills!J12/100)^Skills!K12</f>
        <v/>
      </c>
      <c r="I2057" t="inlineStr">
        <is>
          <t>1</t>
        </is>
      </c>
      <c r="J2057">
        <f>((Inputs!$B$6*(1+Inputs!$B$7/100))+(((Inputs!$B$12*(1+Inputs!$B$13/100))-(Inputs!$B$12*(1+Inputs!$B$13/100)))+0.25*(Inputs!$B$14-Inputs!$B$14))*(1+Inputs!$B$7/100))*(F2057/100)</f>
        <v/>
      </c>
      <c r="K2057">
        <f>J2057*(1+((Inputs!$B$12*(1+Inputs!$B$13/100))*0.01+Inputs!$B$14*0.0025)/100)*(1+Inputs!$B$15/100)*(1+Inputs!$B$16/100)*(5000/(6000+Inputs!$B$42*(1-(100*(1-(1-(Inputs!$B$19+((C2073=TRUE)*(F2073-Calc!F28)))/100)*(1-CHOOSE(ArtifactsInput!$N$40+1,5,6,7,8,9,10)/100)^(ArtifactsInput!$M$40-ArtifactsInput!$M$40)))/100)))*(1+(Inputs!$B$24+((C2071=TRUE)*(F2071-Calc!F26))+((C2072=TRUE)*(F2072-Calc!F27))+B2085)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2058=TRUE,F2058,0)/100)*(1+(IF(Skills!A12="ARROW_STREAM",Inputs!$B$17+((C2069=TRUE)*(F2069-Calc!F24))+(((IF(AND(ArtifactsInput!$M$42,((Inputs!$B$9+((C2066=TRUE)*(F2066-Calc!F21))+B2079+(ArtifactsInput!$M$24-ArtifactsInput!$M$24)*CHOOSE(ArtifactsInput!$N$24+1,10,12,14,16,18,20)+IF(ArtifactsInput!$M$10,CHOOSE(ArtifactsInput!$N$10+1,15,18,21,24,27,30)*(IF(Inputs!$B$38="pvp",MIN(15,15)/15,IF(AND(Inputs!$B$38&lt;&gt;"pvp",Inputs!$B$43&gt;0),MIN(15,Inputs!$B$43)/(Inputs!$B$43),0))),0)))&gt;=100),MIN(100,((Inputs!$B$9+((C2066=TRUE)*(F2066-Calc!F21))+B2079+(ArtifactsInput!$M$24-ArtifactsInput!$M$24)*CHOOSE(ArtifactsInput!$N$24+1,10,12,14,16,18,20)+IF(ArtifactsInput!$M$10,CHOOSE(ArtifactsInput!$N$10+1,15,18,21,24,27,30)*(IF(Inputs!$B$38="pvp",MIN(15,15)/15,IF(AND(Inputs!$B$38&lt;&gt;"pvp",Inputs!$B$43&gt;0),MIN(15,Inputs!$B$43)/(Inputs!$B$43),0))),0)))-100),0))*CHOOSE(ArtifactsInput!$N$42+1,0.6,0.72,0.84,0.96,1.08,1.2))),Inputs!$B$18+((C2074=TRUE)*(F2074-Calc!F29))+(IF(AND(ArtifactsInput!$M$42,((Inputs!$B$9+((C2066=TRUE)*(F2066-Calc!F21))+B2079+(ArtifactsInput!$M$24-ArtifactsInput!$M$24)*CHOOSE(ArtifactsInput!$N$24+1,10,12,14,16,18,20)+IF(ArtifactsInput!$M$10,CHOOSE(ArtifactsInput!$N$10+1,15,18,21,24,27,30)*(IF(Inputs!$B$38="pvp",MIN(15,15)/15,IF(AND(Inputs!$B$38&lt;&gt;"pvp",Inputs!$B$43&gt;0),MIN(15,Inputs!$B$43)/(Inputs!$B$43),0))),0)))&gt;=100),CHOOSE(ArtifactsInput!$N$42+1,40,48,56,64,72,80),0))))/100)*((1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2057)</f>
        <v/>
      </c>
      <c r="L2057">
        <f>K2057*(MIN(Inputs!$B$22+((C2070=TRUE)*(F2070-Calc!F25)),(Inputs!$B$23+((C2075=TRUE)*(F2075-Calc!F30))+(IF(ArtifactsInput!$M$15,CHOOSE(ArtifactsInput!$N$15+1,25,30,35,40,45,50)/100*(Inputs!$B$11-Inputs!$B$11),0))))/100+(Inputs!$B$23+((C2075=TRUE)*(F2075-Calc!F30))+(IF(ArtifactsInput!$M$15,CHOOSE(ArtifactsInput!$N$15+1,25,30,35,40,45,50)/100*(Inputs!$B$11-Inputs!$B$11),0)))/100)/2</f>
        <v/>
      </c>
      <c r="M2057">
        <f>L2057*(1+(Inputs!$B$10+0+B2084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7">
        <f>L2057*(1-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2057*(MIN((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7">
        <f>(1-Summary!$B$11)*T2057+Summary!$B$11*V2057</f>
        <v/>
      </c>
      <c r="P2057">
        <f>IF(B2089=0,0,O2057/B2089)</f>
        <v/>
      </c>
      <c r="Q2057">
        <f>IFERROR(1/(IF(Inputs!$B$38="pvp",15,MAX(0.1,Skills!D12-IF(Skills!E12=TRUE,Inputs!$B$32,0)))*(1-IF(AND(ArtifactsInput!$M$27,Inputs!$B$4="Chapter Hunt"),CHOOSE(ArtifactsInput!$N$27+1,20,24,28,32,36,40),0)/100)),0)</f>
        <v/>
      </c>
      <c r="R2057">
        <f>IF(AND(Inputs!$B$38&lt;&gt;"pvp",Inputs!$B$43&gt;0),IF(MAX(0,Inputs!$B$43-B2086)&lt;=0,0,(INT(MAX(0,Inputs!$B$43-B2086)/(IF(Inputs!$B$38="pvp",15,MAX(0.1,Skills!D12-IF(Skills!E12=TRUE,Inputs!$B$32,0)))*(1-IF(AND(ArtifactsInput!$M$27,Inputs!$B$4="Chapter Hunt"),CHOOSE(ArtifactsInput!$N$27+1,20,24,28,32,36,40),0)/100)))+1)),0)</f>
        <v/>
      </c>
      <c r="S2057">
        <f>IFERROR(O2057/N2057,0)</f>
        <v/>
      </c>
      <c r="T2057">
        <f>IF(C2057,(H2057*N2057*IF(AND(Inputs!$B$38&lt;&gt;"pvp",Inputs!$B$43&gt;0),((Skills!G12*((R2057-1)*IF(Skills!H12&gt;0,Skills!I12/Skills!H12,1)+IF(Skills!H12&gt;0,MIN(Skills!I12,MAX(0,MAX(0,Inputs!$B$43-B2086)-((R2057-1)*(IF(Inputs!$B$38="pvp",15,MAX(0.1,Skills!D12-IF(Skills!E12=TRUE,Inputs!$B$32,0)))*(1-IF(AND(ArtifactsInput!$M$27,Inputs!$B$4="Chapter Hunt"),CHOOSE(ArtifactsInput!$N$27+1,20,24,28,32,36,40),0)/100)))))/Skills!H12,1)))/Inputs!$B$43),G2057*Q2057)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(5000/(6000+Inputs!$B$42*(1-(100*(1-(1-(100*(1-(1-(Inputs!$B$19+((C2073=TRUE)*(F2073-Calc!F28)))/100)*(1-CHOOSE(ArtifactsInput!$N$40+1,5,6,7,8,9,10)/100)^(ArtifactsInput!$M$40-ArtifactsInput!$M$40)))/100)*(1-IF(ArtifactsInput!$M$40,CHOOSE(ArtifactsInput!$N$40+1,5,6,7,8,9,10),0)/100)^IF(Inputs!$B$38="pvp",1,2)))/100)))/(5000/(6000+Inputs!$B$42*(1-(100*(1-(1-(Inputs!$B$19+((C2073=TRUE)*(F2073-Calc!F28)))/100)*(1-CHOOSE(ArtifactsInput!$N$40+1,5,6,7,8,9,10)/100)^(ArtifactsInput!$M$40-ArtifactsInput!$M$40)))/100))))*((L2057*(1-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2057*(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2057*(1-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2057*(MIN(100,(Inputs!$B$9+((C2066=TRUE)*(F2066-Calc!F21))+B2079+(ArtifactsInput!$M$24-ArtifactsInput!$M$24)*CHOOSE(ArtifactsInput!$N$24+1,10,12,14,16,18,20)+(IF(AND(ArtifactsInput!$M$42,((Inputs!$B$9+((C2066=TRUE)*(F2066-Calc!F21))+B2079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7">
        <f>IF(C2057,(H2057*N2057*IF(AND(Inputs!$B$38&lt;&gt;"pvp",Inputs!$B$43&gt;0),((Skills!G12*((R2057-1)*IF(Skills!H12&gt;0,Skills!I12/Skills!H12,1)+IF(Skills!H12&gt;0,MIN(Skills!I12,MAX(0,MAX(0,Inputs!$B$43-B2086)-((R2057-1)*(IF(Inputs!$B$38="pvp",15,MAX(0.1,Skills!D12-IF(Skills!E12=TRUE,Inputs!$B$32,0)))*(1-IF(AND(ArtifactsInput!$M$27,Inputs!$B$4="Chapter Hunt"),CHOOSE(ArtifactsInput!$N$27+1,20,24,28,32,36,40),0)/100)))))/Skills!H12,1)))/Inputs!$B$43),G2057*Q2057))*IF(Inputs!$B$38="pvp",1,(1+(Inputs!$B$21+Skills!Q12+(IF(ArtifactsInput!$M$33,CHOOSE(ArtifactsInput!$N$33+1,30,36,42,48,54,60),0))+(IF(AND(ArtifactsInput!$M$35,Inputs!$B$4&lt;&gt;"Chapter Hunt"),CHOOSE(ArtifactsInput!$N$35+1,15,18,21,24,27,30)*(1-EXP(-(0.2*B2081)*5)),0)+IF(AND(ArtifactsInput!$M$22,Inputs!$B$4&lt;&gt;"Chapter Hunt"),CHOOSE(ArtifactsInput!$N$22+1,10,12,14,16,18,20)*((0*(((0.15*B2081*5))^0/1)+1*(((0.15*B2081*5))^1/1)+2*(((0.15*B2081*5))^2/2)+3*(((0.15*B2081*5))^3/6)+4*(((0.15*B2081*5))^4/24)+5*(((0.15*B2081*5))^5/120))/((((0.15*B2081*5))^0/1)+(((0.15*B2081*5))^1/1)+(((0.15*B2081*5))^2/2)+(((0.15*B2081*5))^3/6)+(((0.15*B2081*5))^4/24)+(((0.15*B2081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8">
      <c r="A2058">
        <f>Skills!A13</f>
        <v/>
      </c>
      <c r="B2058">
        <f>Skills!B13</f>
        <v/>
      </c>
      <c r="C2058">
        <f>Inputs!$B$3&gt;=110</f>
        <v/>
      </c>
      <c r="D2058">
        <f>IF(Skills!C13=1,60+Inputs!$B$25+Inputs!$B$29,IF(Skills!C13=2,90+Inputs!$B$26+Inputs!$B$29,IF(Skills!C13=3,120+Inputs!$B$27+Inputs!$B$29,MAX(0,(Inputs!$B$3-100)*3)+Inputs!$B$28+Inputs!$B$29)))</f>
        <v/>
      </c>
      <c r="E2058">
        <f>INDEX(FactorTable!$B$2:$Y$301, MATCH(ROUND(MIN(300,MAX(1,D2058)),0), FactorTable!$A$2:$A$301,0), Skills!M13+1)</f>
        <v/>
      </c>
      <c r="F2058">
        <f>IF(Skills!N13=TRUE,(Skills!L13/10)*(E2058/1000),Skills!L13/10)+Skills!O13</f>
        <v/>
      </c>
      <c r="G2058" t="inlineStr"/>
      <c r="H2058" t="inlineStr"/>
      <c r="I2058" t="inlineStr">
        <is>
          <t>1</t>
        </is>
      </c>
      <c r="J2058" t="inlineStr"/>
      <c r="K2058" t="inlineStr"/>
      <c r="L2058" t="inlineStr"/>
      <c r="M2058" t="inlineStr"/>
      <c r="N2058" t="inlineStr"/>
      <c r="O2058" t="inlineStr"/>
      <c r="P2058" t="inlineStr"/>
      <c r="Q2058" t="inlineStr"/>
      <c r="R2058" t="inlineStr"/>
      <c r="S2058" t="inlineStr"/>
      <c r="T2058" t="inlineStr"/>
      <c r="V2058" t="inlineStr"/>
    </row>
    <row r="2059">
      <c r="A2059">
        <f>Skills!A14</f>
        <v/>
      </c>
      <c r="B2059">
        <f>Skills!B14</f>
        <v/>
      </c>
      <c r="C2059">
        <f>Inputs!$B$3&gt;=74</f>
        <v/>
      </c>
      <c r="D2059">
        <f>IF(Skills!C14=1,60+Inputs!$B$25+Inputs!$B$29,IF(Skills!C14=2,90+Inputs!$B$26+Inputs!$B$29,IF(Skills!C14=3,120+Inputs!$B$27+Inputs!$B$29,MAX(0,(Inputs!$B$3-100)*3)+Inputs!$B$28+Inputs!$B$29)))</f>
        <v/>
      </c>
      <c r="E2059">
        <f>INDEX(FactorTable!$B$2:$Y$301, MATCH(ROUND(MIN(300,MAX(1,D2059)),0), FactorTable!$A$2:$A$301,0), Skills!M14+1)</f>
        <v/>
      </c>
      <c r="F2059">
        <f>IF(Skills!N14=TRUE,(Skills!L14/10)*(E2059/1000),Skills!L14/10)+Skills!O14</f>
        <v/>
      </c>
      <c r="G2059">
        <f>Skills!G14*IF(Skills!H14&gt;0,Skills!I14/Skills!H14,1)</f>
        <v/>
      </c>
      <c r="H2059">
        <f>1-(1-Skills!J14/100)^Skills!K14</f>
        <v/>
      </c>
      <c r="I2059" t="inlineStr">
        <is>
          <t>1</t>
        </is>
      </c>
      <c r="J2059" t="inlineStr"/>
      <c r="K2059" t="inlineStr"/>
      <c r="L2059" t="inlineStr"/>
      <c r="M2059" t="inlineStr"/>
      <c r="N2059" t="inlineStr"/>
      <c r="O2059">
        <f>(1-Summary!$B$11)*T2059+Summary!$B$11*V2059</f>
        <v/>
      </c>
      <c r="P2059">
        <f>IF(B2089=0,0,O2059/B2089)</f>
        <v/>
      </c>
      <c r="Q2059" t="n">
        <v>0</v>
      </c>
      <c r="R2059" t="n">
        <v>0</v>
      </c>
      <c r="S2059">
        <f>IFERROR(O2059/N2059,0)</f>
        <v/>
      </c>
      <c r="T2059" t="n">
        <v>0</v>
      </c>
      <c r="V2059" t="n">
        <v>0</v>
      </c>
    </row>
    <row r="2060">
      <c r="A2060">
        <f>Skills!A15</f>
        <v/>
      </c>
      <c r="B2060">
        <f>Skills!B15</f>
        <v/>
      </c>
      <c r="C2060">
        <f>Inputs!$B$3&gt;=74</f>
        <v/>
      </c>
      <c r="D2060">
        <f>IF(Skills!C15=1,60+Inputs!$B$25+Inputs!$B$29,IF(Skills!C15=2,90+Inputs!$B$26+Inputs!$B$29,IF(Skills!C15=3,120+Inputs!$B$27+Inputs!$B$29,MAX(0,(Inputs!$B$3-100)*3)+Inputs!$B$28+Inputs!$B$29)))</f>
        <v/>
      </c>
      <c r="E2060">
        <f>INDEX(FactorTable!$B$2:$Y$301, MATCH(ROUND(MIN(300,MAX(1,D2060)),0), FactorTable!$A$2:$A$301,0), Skills!M15+1)</f>
        <v/>
      </c>
      <c r="F2060">
        <f>IF(Skills!N15=TRUE,(Skills!L15/10)*(E2060/1000),Skills!L15/10)+Skills!O15</f>
        <v/>
      </c>
      <c r="G2060">
        <f>Skills!G15*IF(Skills!H15&gt;0,Skills!I15/Skills!H15,1)</f>
        <v/>
      </c>
      <c r="H2060">
        <f>1-(1-Skills!J15/100)^Skills!K15</f>
        <v/>
      </c>
      <c r="I2060" t="inlineStr">
        <is>
          <t>1</t>
        </is>
      </c>
      <c r="J2060" t="inlineStr"/>
      <c r="K2060" t="inlineStr"/>
      <c r="L2060" t="inlineStr"/>
      <c r="M2060" t="inlineStr"/>
      <c r="N2060" t="inlineStr"/>
      <c r="O2060">
        <f>(1-Summary!$B$11)*T2060+Summary!$B$11*V2060</f>
        <v/>
      </c>
      <c r="P2060">
        <f>IF(B2089=0,0,O2060/B2089)</f>
        <v/>
      </c>
      <c r="Q2060" t="n">
        <v>0</v>
      </c>
      <c r="R2060" t="n">
        <v>0</v>
      </c>
      <c r="S2060">
        <f>IFERROR(O2060/N2060,0)</f>
        <v/>
      </c>
      <c r="T2060" t="n">
        <v>0</v>
      </c>
      <c r="V2060" t="n">
        <v>0</v>
      </c>
    </row>
    <row r="2061">
      <c r="A2061">
        <f>Skills!A16</f>
        <v/>
      </c>
      <c r="B2061">
        <f>Skills!B16</f>
        <v/>
      </c>
      <c r="C2061">
        <f>Inputs!$B$3&gt;=117</f>
        <v/>
      </c>
      <c r="D2061">
        <f>IF(Skills!C16=1,60+Inputs!$B$25+Inputs!$B$29,IF(Skills!C16=2,90+Inputs!$B$26+Inputs!$B$29,IF(Skills!C16=3,120+Inputs!$B$27+Inputs!$B$29,MAX(0,(Inputs!$B$3-100)*3)+Inputs!$B$28+Inputs!$B$29)))</f>
        <v/>
      </c>
      <c r="E2061">
        <f>INDEX(FactorTable!$B$2:$Y$301, MATCH(ROUND(MIN(300,MAX(1,D2061)),0), FactorTable!$A$2:$A$301,0), Skills!M16+1)</f>
        <v/>
      </c>
      <c r="F2061">
        <f>IF(Skills!N16=TRUE,(Skills!L16/10)*(E2061/1000),Skills!L16/10)+Skills!O16</f>
        <v/>
      </c>
      <c r="G2061">
        <f>Skills!G16*IF(Skills!H16&gt;0,Skills!I16/Skills!H16,1)</f>
        <v/>
      </c>
      <c r="H2061">
        <f>1-(1-Skills!J16/100)^Skills!K16</f>
        <v/>
      </c>
      <c r="I2061" t="inlineStr">
        <is>
          <t>1</t>
        </is>
      </c>
      <c r="J2061" t="inlineStr"/>
      <c r="K2061" t="inlineStr"/>
      <c r="L2061" t="inlineStr"/>
      <c r="M2061" t="inlineStr"/>
      <c r="N2061" t="inlineStr"/>
      <c r="O2061">
        <f>(1-Summary!$B$11)*T2061+Summary!$B$11*V2061</f>
        <v/>
      </c>
      <c r="P2061">
        <f>IF(B2089=0,0,O2061/B2089)</f>
        <v/>
      </c>
      <c r="Q2061">
        <f>IFERROR(1/(IF(Inputs!$B$38="pvp",15,MAX(0.1,Skills!D16-IF(Skills!E16=TRUE,Inputs!$B$32,0)))*(1-IF(AND(ArtifactsInput!$M$27,Inputs!$B$4="Chapter Hunt"),CHOOSE(ArtifactsInput!$N$27+1,20,24,28,32,36,40),0)/100)),0)</f>
        <v/>
      </c>
      <c r="R2061">
        <f>IF(AND(Inputs!$B$38&lt;&gt;"pvp",Inputs!$B$43&gt;0),IF(Inputs!$B$43&lt;=0,0,(INT(Inputs!$B$43/(IF(Inputs!$B$38="pvp",15,MAX(0.1,Skills!D16-IF(Skills!E16=TRUE,Inputs!$B$32,0)))*(1-IF(AND(ArtifactsInput!$M$27,Inputs!$B$4="Chapter Hunt"),CHOOSE(ArtifactsInput!$N$27+1,20,24,28,32,36,40),0)/100)))+1)),0)</f>
        <v/>
      </c>
      <c r="S2061">
        <f>IFERROR(O2061/N2061,0)</f>
        <v/>
      </c>
      <c r="T2061" t="n">
        <v>0</v>
      </c>
      <c r="V2061" t="n">
        <v>0</v>
      </c>
    </row>
    <row r="2062">
      <c r="A2062">
        <f>Skills!A17</f>
        <v/>
      </c>
      <c r="B2062">
        <f>Skills!B17</f>
        <v/>
      </c>
      <c r="C2062">
        <f>Inputs!$B$3&gt;=115</f>
        <v/>
      </c>
      <c r="D2062">
        <f>IF(Skills!C17=1,60+Inputs!$B$25+Inputs!$B$29,IF(Skills!C17=2,90+Inputs!$B$26+Inputs!$B$29,IF(Skills!C17=3,120+Inputs!$B$27+Inputs!$B$29,MAX(0,(Inputs!$B$3-100)*3)+Inputs!$B$28+Inputs!$B$29)))</f>
        <v/>
      </c>
      <c r="E2062">
        <f>INDEX(FactorTable!$B$2:$Y$301, MATCH(ROUND(MIN(300,MAX(1,D2062)),0), FactorTable!$A$2:$A$301,0), Skills!M17+1)</f>
        <v/>
      </c>
      <c r="F2062">
        <f>IF(Skills!N17=TRUE,(Skills!L17/10)*(E2062/1000),Skills!L17/10)+Skills!O17</f>
        <v/>
      </c>
      <c r="G2062">
        <f>Skills!G17*IF(Skills!H17&gt;0,Skills!I17/Skills!H17,1)</f>
        <v/>
      </c>
      <c r="H2062">
        <f>1-(1-Skills!J17/100)^Skills!K17</f>
        <v/>
      </c>
      <c r="I2062" t="inlineStr">
        <is>
          <t>1</t>
        </is>
      </c>
      <c r="J2062" t="inlineStr"/>
      <c r="K2062" t="inlineStr"/>
      <c r="L2062" t="inlineStr"/>
      <c r="M2062" t="inlineStr"/>
      <c r="N2062" t="inlineStr"/>
      <c r="O2062">
        <f>(1-Summary!$B$11)*T2062+Summary!$B$11*V2062</f>
        <v/>
      </c>
      <c r="P2062">
        <f>IF(B2089=0,0,O2062/B2089)</f>
        <v/>
      </c>
      <c r="Q2062">
        <f>IFERROR(1/(IF(Inputs!$B$38="pvp",15,MAX(0.1,Skills!D17-IF(Skills!E17=TRUE,Inputs!$B$32,0)))*(1-IF(AND(ArtifactsInput!$M$27,Inputs!$B$4="Chapter Hunt"),CHOOSE(ArtifactsInput!$N$27+1,20,24,28,32,36,40),0)/100)),0)</f>
        <v/>
      </c>
      <c r="R2062">
        <f>IF(AND(Inputs!$B$38&lt;&gt;"pvp",Inputs!$B$43&gt;0),IF(Inputs!$B$43&lt;=0,0,(INT(Inputs!$B$43/(IF(Inputs!$B$38="pvp",15,MAX(0.1,Skills!D17-IF(Skills!E17=TRUE,Inputs!$B$32,0)))*(1-IF(AND(ArtifactsInput!$M$27,Inputs!$B$4="Chapter Hunt"),CHOOSE(ArtifactsInput!$N$27+1,20,24,28,32,36,40),0)/100)))+1)),0)</f>
        <v/>
      </c>
      <c r="S2062">
        <f>IFERROR(O2062/N2062,0)</f>
        <v/>
      </c>
      <c r="T2062" t="n">
        <v>0</v>
      </c>
      <c r="V2062" t="n">
        <v>0</v>
      </c>
    </row>
    <row r="2063">
      <c r="A2063">
        <f>Skills!A18</f>
        <v/>
      </c>
      <c r="B2063">
        <f>Skills!B18</f>
        <v/>
      </c>
      <c r="C2063">
        <f>Inputs!$B$3&gt;=66</f>
        <v/>
      </c>
      <c r="D2063">
        <f>IF(Skills!C18=1,60+Inputs!$B$25+Inputs!$B$29,IF(Skills!C18=2,90+Inputs!$B$26+Inputs!$B$29,IF(Skills!C18=3,120+Inputs!$B$27+Inputs!$B$29,MAX(0,(Inputs!$B$3-100)*3)+Inputs!$B$28+Inputs!$B$29)))</f>
        <v/>
      </c>
      <c r="E2063">
        <f>INDEX(FactorTable!$B$2:$Y$301, MATCH(ROUND(MIN(300,MAX(1,D2063)),0), FactorTable!$A$2:$A$301,0), Skills!M18+1)</f>
        <v/>
      </c>
      <c r="F2063">
        <f>IF(Skills!N18=TRUE,(Skills!L18/10)*(E2063/1000),Skills!L18/10)+Skills!O18</f>
        <v/>
      </c>
      <c r="G2063">
        <f>Skills!G18*IF(Skills!H18&gt;0,Skills!I18/Skills!H18,1)</f>
        <v/>
      </c>
      <c r="H2063">
        <f>1-(1-Skills!J18/100)^Skills!K18</f>
        <v/>
      </c>
      <c r="I2063" t="inlineStr">
        <is>
          <t>1</t>
        </is>
      </c>
      <c r="J2063" t="inlineStr"/>
      <c r="K2063" t="inlineStr"/>
      <c r="L2063" t="inlineStr"/>
      <c r="M2063" t="inlineStr"/>
      <c r="N2063" t="inlineStr"/>
      <c r="O2063">
        <f>(1-Summary!$B$11)*T2063+Summary!$B$11*V2063</f>
        <v/>
      </c>
      <c r="P2063">
        <f>IF(B2089=0,0,O2063/B2089)</f>
        <v/>
      </c>
      <c r="Q2063" t="n">
        <v>0</v>
      </c>
      <c r="R2063" t="n">
        <v>0</v>
      </c>
      <c r="S2063">
        <f>IFERROR(O2063/N2063,0)</f>
        <v/>
      </c>
      <c r="T2063" t="n">
        <v>0</v>
      </c>
      <c r="V2063" t="n">
        <v>0</v>
      </c>
    </row>
    <row r="2064">
      <c r="A2064">
        <f>Skills!A19</f>
        <v/>
      </c>
      <c r="B2064">
        <f>Skills!B19</f>
        <v/>
      </c>
      <c r="C2064">
        <f>Inputs!$B$3&gt;=72</f>
        <v/>
      </c>
      <c r="D2064">
        <f>IF(Skills!C19=1,60+Inputs!$B$25+Inputs!$B$29,IF(Skills!C19=2,90+Inputs!$B$26+Inputs!$B$29,IF(Skills!C19=3,120+Inputs!$B$27+Inputs!$B$29,MAX(0,(Inputs!$B$3-100)*3)+Inputs!$B$28+Inputs!$B$29)))</f>
        <v/>
      </c>
      <c r="E2064">
        <f>INDEX(FactorTable!$B$2:$Y$301, MATCH(ROUND(MIN(300,MAX(1,D2064)),0), FactorTable!$A$2:$A$301,0), Skills!M19+1)</f>
        <v/>
      </c>
      <c r="F2064">
        <f>IF(Skills!N19=TRUE,(Skills!L19/10)*(E2064/1000),Skills!L19/10)+Skills!O19</f>
        <v/>
      </c>
      <c r="G2064">
        <f>Skills!G19*IF(Skills!H19&gt;0,Skills!I19/Skills!H19,1)</f>
        <v/>
      </c>
      <c r="H2064">
        <f>1-(1-Skills!J19/100)^Skills!K19</f>
        <v/>
      </c>
      <c r="I2064" t="inlineStr">
        <is>
          <t>1</t>
        </is>
      </c>
      <c r="J2064" t="inlineStr"/>
      <c r="K2064" t="inlineStr"/>
      <c r="L2064" t="inlineStr"/>
      <c r="M2064" t="inlineStr"/>
      <c r="N2064" t="inlineStr"/>
      <c r="O2064">
        <f>(1-Summary!$B$11)*T2064+Summary!$B$11*V2064</f>
        <v/>
      </c>
      <c r="P2064">
        <f>IF(B2089=0,0,O2064/B2089)</f>
        <v/>
      </c>
      <c r="Q2064" t="n">
        <v>0</v>
      </c>
      <c r="R2064" t="n">
        <v>0</v>
      </c>
      <c r="S2064">
        <f>IFERROR(O2064/N2064,0)</f>
        <v/>
      </c>
      <c r="T2064" t="n">
        <v>0</v>
      </c>
      <c r="V2064" t="n">
        <v>0</v>
      </c>
    </row>
    <row r="2065">
      <c r="A2065">
        <f>Skills!A20</f>
        <v/>
      </c>
      <c r="B2065">
        <f>Skills!B20</f>
        <v/>
      </c>
      <c r="C2065">
        <f>TRUE</f>
        <v/>
      </c>
      <c r="D2065">
        <f>IF(Skills!C20=1,60+Inputs!$B$25+Inputs!$B$29,IF(Skills!C20=2,90+Inputs!$B$26+Inputs!$B$29,IF(Skills!C20=3,120+Inputs!$B$27+Inputs!$B$29,MAX(0,(Inputs!$B$3-100)*3)+Inputs!$B$28+Inputs!$B$29)))</f>
        <v/>
      </c>
      <c r="E2065">
        <f>INDEX(FactorTable!$B$2:$Y$301, MATCH(ROUND(MIN(300,MAX(1,D2065)),0), FactorTable!$A$2:$A$301,0), Skills!M20+1)</f>
        <v/>
      </c>
      <c r="F2065">
        <f>IF(Skills!N20=TRUE,(Skills!L20/10)*(E2065/1000),Skills!L20/10)+Skills!O20</f>
        <v/>
      </c>
      <c r="G2065">
        <f>Skills!G20*IF(Skills!H20&gt;0,Skills!I20/Skills!H20,1)</f>
        <v/>
      </c>
      <c r="H2065">
        <f>1-(1-Skills!J20/100)^Skills!K20</f>
        <v/>
      </c>
      <c r="I2065" t="inlineStr">
        <is>
          <t>1</t>
        </is>
      </c>
      <c r="J2065" t="inlineStr"/>
      <c r="K2065" t="inlineStr"/>
      <c r="L2065" t="inlineStr"/>
      <c r="M2065" t="inlineStr"/>
      <c r="N2065" t="inlineStr"/>
      <c r="O2065">
        <f>(1-Summary!$B$11)*T2065+Summary!$B$11*V2065</f>
        <v/>
      </c>
      <c r="P2065">
        <f>IF(B2089=0,0,O2065/B2089)</f>
        <v/>
      </c>
      <c r="Q2065">
        <f>IFERROR(1/(IF(Inputs!$B$38="pvp",15,MAX(0.1,Skills!D20-IF(Skills!E20=TRUE,Inputs!$B$32,0)))*(1-IF(AND(ArtifactsInput!$M$27,Inputs!$B$4="Chapter Hunt"),CHOOSE(ArtifactsInput!$N$27+1,20,24,28,32,36,40),0)/100)),0)</f>
        <v/>
      </c>
      <c r="R2065">
        <f>IF(AND(Inputs!$B$38&lt;&gt;"pvp",Inputs!$B$43&gt;0),IF(Inputs!$B$43&lt;=0,0,(INT(Inputs!$B$43/(IF(Inputs!$B$38="pvp",15,MAX(0.1,Skills!D20-IF(Skills!E20=TRUE,Inputs!$B$32,0)))*(1-IF(AND(ArtifactsInput!$M$27,Inputs!$B$4="Chapter Hunt"),CHOOSE(ArtifactsInput!$N$27+1,20,24,28,32,36,40),0)/100)))+1)),0)</f>
        <v/>
      </c>
      <c r="S2065">
        <f>IFERROR(O2065/N2065,0)</f>
        <v/>
      </c>
      <c r="T2065" t="n">
        <v>0</v>
      </c>
      <c r="V2065" t="n">
        <v>0</v>
      </c>
    </row>
    <row r="2066">
      <c r="A2066">
        <f>Skills!A21</f>
        <v/>
      </c>
      <c r="B2066">
        <f>Skills!B21</f>
        <v/>
      </c>
      <c r="C2066">
        <f>Inputs!$B$3&gt;=15</f>
        <v/>
      </c>
      <c r="D2066">
        <f>IF(Skills!C21=1,60+Inputs!$B$25+Inputs!$B$29,IF(Skills!C21=2,90+Inputs!$B$26+Inputs!$B$29,IF(Skills!C21=3,120+Inputs!$B$27+Inputs!$B$29,MAX(0,(Inputs!$B$3-100)*3)+Inputs!$B$28+Inputs!$B$29)))</f>
        <v/>
      </c>
      <c r="E2066">
        <f>INDEX(FactorTable!$B$2:$Y$301, MATCH(ROUND(MIN(300,MAX(1,D2066)),0), FactorTable!$A$2:$A$301,0), Skills!M21+1)</f>
        <v/>
      </c>
      <c r="F2066">
        <f>IF(Skills!N21=TRUE,(Skills!L21/10)*(E2066/1000),Skills!L21/10)+Skills!O21</f>
        <v/>
      </c>
      <c r="G2066">
        <f>Skills!G21*IF(Skills!H21&gt;0,Skills!I21/Skills!H21,1)</f>
        <v/>
      </c>
      <c r="H2066">
        <f>1-(1-Skills!J21/100)^Skills!K21</f>
        <v/>
      </c>
      <c r="I2066" t="inlineStr">
        <is>
          <t>1</t>
        </is>
      </c>
      <c r="J2066" t="inlineStr"/>
      <c r="K2066" t="inlineStr"/>
      <c r="L2066" t="inlineStr"/>
      <c r="M2066" t="inlineStr"/>
      <c r="N2066" t="inlineStr"/>
      <c r="O2066">
        <f>(1-Summary!$B$11)*T2066+Summary!$B$11*V2066</f>
        <v/>
      </c>
      <c r="P2066">
        <f>IF(B2089=0,0,O2066/B2089)</f>
        <v/>
      </c>
      <c r="Q2066" t="n">
        <v>0</v>
      </c>
      <c r="R2066" t="n">
        <v>0</v>
      </c>
      <c r="S2066">
        <f>IFERROR(O2066/N2066,0)</f>
        <v/>
      </c>
      <c r="T2066" t="n">
        <v>0</v>
      </c>
      <c r="V2066" t="n">
        <v>0</v>
      </c>
    </row>
    <row r="2067">
      <c r="A2067">
        <f>Skills!A22</f>
        <v/>
      </c>
      <c r="B2067">
        <f>Skills!B22</f>
        <v/>
      </c>
      <c r="C2067">
        <f>Inputs!$B$3&gt;=10</f>
        <v/>
      </c>
      <c r="D2067">
        <f>IF(Skills!C22=1,60+Inputs!$B$25+Inputs!$B$29,IF(Skills!C22=2,90+Inputs!$B$26+Inputs!$B$29,IF(Skills!C22=3,120+Inputs!$B$27+Inputs!$B$29,MAX(0,(Inputs!$B$3-100)*3)+Inputs!$B$28+Inputs!$B$29)))</f>
        <v/>
      </c>
      <c r="E2067">
        <f>INDEX(FactorTable!$B$2:$Y$301, MATCH(ROUND(MIN(300,MAX(1,D2067)),0), FactorTable!$A$2:$A$301,0), Skills!M22+1)</f>
        <v/>
      </c>
      <c r="F2067">
        <f>IF(Skills!N22=TRUE,(Skills!L22/10)*(E2067/1000),Skills!L22/10)+Skills!O22</f>
        <v/>
      </c>
      <c r="G2067">
        <f>Skills!G22*IF(Skills!H22&gt;0,Skills!I22/Skills!H22,1)</f>
        <v/>
      </c>
      <c r="H2067">
        <f>1-(1-Skills!J22/100)^Skills!K22</f>
        <v/>
      </c>
      <c r="I2067" t="inlineStr">
        <is>
          <t>1</t>
        </is>
      </c>
      <c r="J2067" t="inlineStr"/>
      <c r="K2067" t="inlineStr"/>
      <c r="L2067" t="inlineStr"/>
      <c r="M2067" t="inlineStr"/>
      <c r="N2067" t="inlineStr"/>
      <c r="O2067">
        <f>(1-Summary!$B$11)*T2067+Summary!$B$11*V2067</f>
        <v/>
      </c>
      <c r="P2067">
        <f>IF(B2089=0,0,O2067/B2089)</f>
        <v/>
      </c>
      <c r="Q2067" t="n">
        <v>0</v>
      </c>
      <c r="R2067" t="n">
        <v>0</v>
      </c>
      <c r="S2067">
        <f>IFERROR(O2067/N2067,0)</f>
        <v/>
      </c>
      <c r="T2067" t="n">
        <v>0</v>
      </c>
      <c r="V2067" t="n">
        <v>0</v>
      </c>
    </row>
    <row r="2068">
      <c r="A2068">
        <f>Skills!A23</f>
        <v/>
      </c>
      <c r="B2068">
        <f>Skills!B23</f>
        <v/>
      </c>
      <c r="C2068">
        <f>Inputs!$B$3&gt;=33</f>
        <v/>
      </c>
      <c r="D2068">
        <f>IF(Skills!C23=1,60+Inputs!$B$25+Inputs!$B$29,IF(Skills!C23=2,90+Inputs!$B$26+Inputs!$B$29,IF(Skills!C23=3,120+Inputs!$B$27+Inputs!$B$29,MAX(0,(Inputs!$B$3-100)*3)+Inputs!$B$28+Inputs!$B$29)))</f>
        <v/>
      </c>
      <c r="E2068">
        <f>INDEX(FactorTable!$B$2:$Y$301, MATCH(ROUND(MIN(300,MAX(1,D2068)),0), FactorTable!$A$2:$A$301,0), Skills!M23+1)</f>
        <v/>
      </c>
      <c r="F2068">
        <f>IF(Skills!N23=TRUE,(Skills!L23/10)*(E2068/1000),Skills!L23/10)+Skills!O23</f>
        <v/>
      </c>
      <c r="G2068">
        <f>Skills!G23*IF(Skills!H23&gt;0,Skills!I23/Skills!H23,1)</f>
        <v/>
      </c>
      <c r="H2068">
        <f>1-(1-Skills!J23/100)^Skills!K23</f>
        <v/>
      </c>
      <c r="I2068" t="inlineStr">
        <is>
          <t>1</t>
        </is>
      </c>
      <c r="J2068" t="inlineStr"/>
      <c r="K2068" t="inlineStr"/>
      <c r="L2068" t="inlineStr"/>
      <c r="M2068" t="inlineStr"/>
      <c r="N2068" t="inlineStr"/>
      <c r="O2068">
        <f>(1-Summary!$B$11)*T2068+Summary!$B$11*V2068</f>
        <v/>
      </c>
      <c r="P2068">
        <f>IF(B2089=0,0,O2068/B2089)</f>
        <v/>
      </c>
      <c r="Q2068" t="n">
        <v>0</v>
      </c>
      <c r="R2068" t="n">
        <v>0</v>
      </c>
      <c r="S2068">
        <f>IFERROR(O2068/N2068,0)</f>
        <v/>
      </c>
      <c r="T2068" t="n">
        <v>0</v>
      </c>
      <c r="V2068" t="n">
        <v>0</v>
      </c>
    </row>
    <row r="2069">
      <c r="A2069">
        <f>Skills!A24</f>
        <v/>
      </c>
      <c r="B2069">
        <f>Skills!B24</f>
        <v/>
      </c>
      <c r="C2069">
        <f>Inputs!$B$3&gt;=38</f>
        <v/>
      </c>
      <c r="D2069">
        <f>IF(Skills!C24=1,60+Inputs!$B$25+Inputs!$B$29,IF(Skills!C24=2,90+Inputs!$B$26+Inputs!$B$29,IF(Skills!C24=3,120+Inputs!$B$27+Inputs!$B$29,MAX(0,(Inputs!$B$3-100)*3)+Inputs!$B$28+Inputs!$B$29)))</f>
        <v/>
      </c>
      <c r="E2069">
        <f>INDEX(FactorTable!$B$2:$Y$301, MATCH(ROUND(MIN(300,MAX(1,D2069)),0), FactorTable!$A$2:$A$301,0), Skills!M24+1)</f>
        <v/>
      </c>
      <c r="F2069">
        <f>IF(Skills!N24=TRUE,(Skills!L24/10)*(E2069/1000),Skills!L24/10)+Skills!O24</f>
        <v/>
      </c>
      <c r="G2069">
        <f>Skills!G24*IF(Skills!H24&gt;0,Skills!I24/Skills!H24,1)</f>
        <v/>
      </c>
      <c r="H2069">
        <f>1-(1-Skills!J24/100)^Skills!K24</f>
        <v/>
      </c>
      <c r="I2069" t="inlineStr">
        <is>
          <t>1</t>
        </is>
      </c>
      <c r="J2069" t="inlineStr"/>
      <c r="K2069" t="inlineStr"/>
      <c r="L2069" t="inlineStr"/>
      <c r="M2069" t="inlineStr"/>
      <c r="N2069" t="inlineStr"/>
      <c r="O2069">
        <f>(1-Summary!$B$11)*T2069+Summary!$B$11*V2069</f>
        <v/>
      </c>
      <c r="P2069">
        <f>IF(B2089=0,0,O2069/B2089)</f>
        <v/>
      </c>
      <c r="Q2069" t="n">
        <v>0</v>
      </c>
      <c r="R2069" t="n">
        <v>0</v>
      </c>
      <c r="S2069">
        <f>IFERROR(O2069/N2069,0)</f>
        <v/>
      </c>
      <c r="T2069" t="n">
        <v>0</v>
      </c>
      <c r="V2069" t="n">
        <v>0</v>
      </c>
    </row>
    <row r="2070">
      <c r="A2070">
        <f>Skills!A25</f>
        <v/>
      </c>
      <c r="B2070">
        <f>Skills!B25</f>
        <v/>
      </c>
      <c r="C2070">
        <f>Inputs!$B$3&gt;=43</f>
        <v/>
      </c>
      <c r="D2070">
        <f>IF(Skills!C25=1,60+Inputs!$B$25+Inputs!$B$29,IF(Skills!C25=2,90+Inputs!$B$26+Inputs!$B$29,IF(Skills!C25=3,120+Inputs!$B$27+Inputs!$B$29,MAX(0,(Inputs!$B$3-100)*3)+Inputs!$B$28+Inputs!$B$29)))</f>
        <v/>
      </c>
      <c r="E2070">
        <f>INDEX(FactorTable!$B$2:$Y$301, MATCH(ROUND(MIN(300,MAX(1,D2070)),0), FactorTable!$A$2:$A$301,0), Skills!M25+1)</f>
        <v/>
      </c>
      <c r="F2070">
        <f>IF(Skills!N25=TRUE,(Skills!L25/10)*(E2070/1000),Skills!L25/10)+Skills!O25</f>
        <v/>
      </c>
      <c r="G2070">
        <f>Skills!G25*IF(Skills!H25&gt;0,Skills!I25/Skills!H25,1)</f>
        <v/>
      </c>
      <c r="H2070">
        <f>1-(1-Skills!J25/100)^Skills!K25</f>
        <v/>
      </c>
      <c r="I2070" t="inlineStr">
        <is>
          <t>1</t>
        </is>
      </c>
      <c r="J2070" t="inlineStr"/>
      <c r="K2070" t="inlineStr"/>
      <c r="L2070" t="inlineStr"/>
      <c r="M2070" t="inlineStr"/>
      <c r="N2070" t="inlineStr"/>
      <c r="O2070">
        <f>(1-Summary!$B$11)*T2070+Summary!$B$11*V2070</f>
        <v/>
      </c>
      <c r="P2070">
        <f>IF(B2089=0,0,O2070/B2089)</f>
        <v/>
      </c>
      <c r="Q2070" t="n">
        <v>0</v>
      </c>
      <c r="R2070" t="n">
        <v>0</v>
      </c>
      <c r="S2070">
        <f>IFERROR(O2070/N2070,0)</f>
        <v/>
      </c>
      <c r="T2070" t="n">
        <v>0</v>
      </c>
      <c r="V2070" t="n">
        <v>0</v>
      </c>
    </row>
    <row r="2071">
      <c r="A2071">
        <f>Skills!A26</f>
        <v/>
      </c>
      <c r="B2071">
        <f>Skills!B26</f>
        <v/>
      </c>
      <c r="C2071">
        <f>Inputs!$B$3&gt;=75</f>
        <v/>
      </c>
      <c r="D2071">
        <f>IF(Skills!C26=1,60+Inputs!$B$25+Inputs!$B$29,IF(Skills!C26=2,90+Inputs!$B$26+Inputs!$B$29,IF(Skills!C26=3,120+Inputs!$B$27+Inputs!$B$29,MAX(0,(Inputs!$B$3-100)*3)+Inputs!$B$28+Inputs!$B$29)))</f>
        <v/>
      </c>
      <c r="E2071">
        <f>INDEX(FactorTable!$B$2:$Y$301, MATCH(ROUND(MIN(300,MAX(1,D2071)),0), FactorTable!$A$2:$A$301,0), Skills!M26+1)</f>
        <v/>
      </c>
      <c r="F2071">
        <f>IF(Skills!N26=TRUE,(Skills!L26/10)*(E2071/1000),Skills!L26/10)+Skills!O26</f>
        <v/>
      </c>
      <c r="G2071">
        <f>Skills!G26*IF(Skills!H26&gt;0,Skills!I26/Skills!H26,1)</f>
        <v/>
      </c>
      <c r="H2071">
        <f>1-(1-Skills!J26/100)^Skills!K26</f>
        <v/>
      </c>
      <c r="I2071" t="inlineStr">
        <is>
          <t>1</t>
        </is>
      </c>
      <c r="J2071" t="inlineStr"/>
      <c r="K2071" t="inlineStr"/>
      <c r="L2071" t="inlineStr"/>
      <c r="M2071" t="inlineStr"/>
      <c r="N2071" t="inlineStr"/>
      <c r="O2071">
        <f>(1-Summary!$B$11)*T2071+Summary!$B$11*V2071</f>
        <v/>
      </c>
      <c r="P2071">
        <f>IF(B2089=0,0,O2071/B2089)</f>
        <v/>
      </c>
      <c r="Q2071" t="n">
        <v>0</v>
      </c>
      <c r="R2071" t="n">
        <v>0</v>
      </c>
      <c r="S2071">
        <f>IFERROR(O2071/N2071,0)</f>
        <v/>
      </c>
      <c r="T2071" t="n">
        <v>0</v>
      </c>
      <c r="V2071" t="n">
        <v>0</v>
      </c>
    </row>
    <row r="2072">
      <c r="A2072">
        <f>Skills!A27</f>
        <v/>
      </c>
      <c r="B2072">
        <f>Skills!B27</f>
        <v/>
      </c>
      <c r="C2072">
        <f>Inputs!$B$3&gt;=125</f>
        <v/>
      </c>
      <c r="D2072">
        <f>IF(Skills!C27=1,60+Inputs!$B$25+Inputs!$B$29,IF(Skills!C27=2,90+Inputs!$B$26+Inputs!$B$29,IF(Skills!C27=3,120+Inputs!$B$27+Inputs!$B$29,MAX(0,(Inputs!$B$3-100)*3)+Inputs!$B$28+Inputs!$B$29)))</f>
        <v/>
      </c>
      <c r="E2072">
        <f>INDEX(FactorTable!$B$2:$Y$301, MATCH(ROUND(MIN(300,MAX(1,D2072)),0), FactorTable!$A$2:$A$301,0), Skills!M27+1)</f>
        <v/>
      </c>
      <c r="F2072">
        <f>IF(Skills!N27=TRUE,(Skills!L27/10)*(E2072/1000),Skills!L27/10)+Skills!O27</f>
        <v/>
      </c>
      <c r="G2072">
        <f>Skills!G27*IF(Skills!H27&gt;0,Skills!I27/Skills!H27,1)</f>
        <v/>
      </c>
      <c r="H2072">
        <f>1-(1-Skills!J27/100)^Skills!K27</f>
        <v/>
      </c>
      <c r="I2072" t="inlineStr">
        <is>
          <t>1</t>
        </is>
      </c>
      <c r="J2072" t="inlineStr"/>
      <c r="K2072" t="inlineStr"/>
      <c r="L2072" t="inlineStr"/>
      <c r="M2072" t="inlineStr"/>
      <c r="N2072" t="inlineStr"/>
      <c r="O2072">
        <f>(1-Summary!$B$11)*T2072+Summary!$B$11*V2072</f>
        <v/>
      </c>
      <c r="P2072">
        <f>IF(B2089=0,0,O2072/B2089)</f>
        <v/>
      </c>
      <c r="Q2072" t="n">
        <v>0</v>
      </c>
      <c r="R2072" t="n">
        <v>0</v>
      </c>
      <c r="S2072">
        <f>IFERROR(O2072/N2072,0)</f>
        <v/>
      </c>
      <c r="T2072" t="n">
        <v>0</v>
      </c>
      <c r="V2072" t="n">
        <v>0</v>
      </c>
    </row>
    <row r="2073">
      <c r="A2073">
        <f>Skills!A28</f>
        <v/>
      </c>
      <c r="B2073">
        <f>Skills!B28</f>
        <v/>
      </c>
      <c r="C2073">
        <f>Inputs!$B$3&gt;=125</f>
        <v/>
      </c>
      <c r="D2073">
        <f>IF(Skills!C28=1,60+Inputs!$B$25+Inputs!$B$29,IF(Skills!C28=2,90+Inputs!$B$26+Inputs!$B$29,IF(Skills!C28=3,120+Inputs!$B$27+Inputs!$B$29,MAX(0,(Inputs!$B$3-100)*3)+Inputs!$B$28+Inputs!$B$29)))</f>
        <v/>
      </c>
      <c r="E2073">
        <f>INDEX(FactorTable!$B$2:$Y$301, MATCH(ROUND(MIN(300,MAX(1,D2073)),0), FactorTable!$A$2:$A$301,0), Skills!M28+1)</f>
        <v/>
      </c>
      <c r="F2073">
        <f>IF(Skills!N28=TRUE,(Skills!L28/10)*(E2073/1000),Skills!L28/10)+Skills!O28</f>
        <v/>
      </c>
      <c r="G2073">
        <f>Skills!G28*IF(Skills!H28&gt;0,Skills!I28/Skills!H28,1)</f>
        <v/>
      </c>
      <c r="H2073">
        <f>1-(1-Skills!J28/100)^Skills!K28</f>
        <v/>
      </c>
      <c r="I2073" t="inlineStr">
        <is>
          <t>1</t>
        </is>
      </c>
      <c r="J2073" t="inlineStr"/>
      <c r="K2073" t="inlineStr"/>
      <c r="L2073" t="inlineStr"/>
      <c r="M2073" t="inlineStr"/>
      <c r="N2073" t="inlineStr"/>
      <c r="O2073">
        <f>(1-Summary!$B$11)*T2073+Summary!$B$11*V2073</f>
        <v/>
      </c>
      <c r="P2073">
        <f>IF(B2089=0,0,O2073/B2089)</f>
        <v/>
      </c>
      <c r="Q2073" t="n">
        <v>0</v>
      </c>
      <c r="R2073" t="n">
        <v>0</v>
      </c>
      <c r="S2073">
        <f>IFERROR(O2073/N2073,0)</f>
        <v/>
      </c>
      <c r="T2073" t="n">
        <v>0</v>
      </c>
      <c r="V2073" t="n">
        <v>0</v>
      </c>
    </row>
    <row r="2074">
      <c r="A2074">
        <f>Skills!A29</f>
        <v/>
      </c>
      <c r="B2074">
        <f>Skills!B29</f>
        <v/>
      </c>
      <c r="C2074">
        <f>Inputs!$B$3&gt;=120</f>
        <v/>
      </c>
      <c r="D2074">
        <f>IF(Skills!C29=1,60+Inputs!$B$25+Inputs!$B$29,IF(Skills!C29=2,90+Inputs!$B$26+Inputs!$B$29,IF(Skills!C29=3,120+Inputs!$B$27+Inputs!$B$29,MAX(0,(Inputs!$B$3-100)*3)+Inputs!$B$28+Inputs!$B$29)))</f>
        <v/>
      </c>
      <c r="E2074">
        <f>INDEX(FactorTable!$B$2:$Y$301, MATCH(ROUND(MIN(300,MAX(1,D2074)),0), FactorTable!$A$2:$A$301,0), Skills!M29+1)</f>
        <v/>
      </c>
      <c r="F2074">
        <f>IF(Skills!N29=TRUE,(Skills!L29/10)*(E2074/1000),Skills!L29/10)+Skills!O29</f>
        <v/>
      </c>
      <c r="G2074">
        <f>Skills!G29*IF(Skills!H29&gt;0,Skills!I29/Skills!H29,1)</f>
        <v/>
      </c>
      <c r="H2074">
        <f>1-(1-Skills!J29/100)^Skills!K29</f>
        <v/>
      </c>
      <c r="I2074" t="inlineStr">
        <is>
          <t>1</t>
        </is>
      </c>
      <c r="J2074" t="inlineStr"/>
      <c r="K2074" t="inlineStr"/>
      <c r="L2074" t="inlineStr"/>
      <c r="M2074" t="inlineStr"/>
      <c r="N2074" t="inlineStr"/>
      <c r="O2074">
        <f>(1-Summary!$B$11)*T2074+Summary!$B$11*V2074</f>
        <v/>
      </c>
      <c r="P2074">
        <f>IF(B2089=0,0,O2074/B2089)</f>
        <v/>
      </c>
      <c r="Q2074" t="n">
        <v>0</v>
      </c>
      <c r="R2074" t="n">
        <v>0</v>
      </c>
      <c r="S2074">
        <f>IFERROR(O2074/N2074,0)</f>
        <v/>
      </c>
      <c r="T2074" t="n">
        <v>0</v>
      </c>
      <c r="V2074" t="n">
        <v>0</v>
      </c>
    </row>
    <row r="2075">
      <c r="A2075">
        <f>Skills!A30</f>
        <v/>
      </c>
      <c r="B2075">
        <f>Skills!B30</f>
        <v/>
      </c>
      <c r="C2075">
        <f>Inputs!$B$3&gt;=120</f>
        <v/>
      </c>
      <c r="D2075">
        <f>IF(Skills!C30=1,60+Inputs!$B$25+Inputs!$B$29,IF(Skills!C30=2,90+Inputs!$B$26+Inputs!$B$29,IF(Skills!C30=3,120+Inputs!$B$27+Inputs!$B$29,MAX(0,(Inputs!$B$3-100)*3)+Inputs!$B$28+Inputs!$B$29)))</f>
        <v/>
      </c>
      <c r="E2075">
        <f>INDEX(FactorTable!$B$2:$Y$301, MATCH(ROUND(MIN(300,MAX(1,D2075)),0), FactorTable!$A$2:$A$301,0), Skills!M30+1)</f>
        <v/>
      </c>
      <c r="F2075">
        <f>IF(Skills!N30=TRUE,(Skills!L30/10)*(E2075/1000),Skills!L30/10)+Skills!O30</f>
        <v/>
      </c>
      <c r="G2075">
        <f>Skills!G30*IF(Skills!H30&gt;0,Skills!I30/Skills!H30,1)</f>
        <v/>
      </c>
      <c r="H2075">
        <f>1-(1-Skills!J30/100)^Skills!K30</f>
        <v/>
      </c>
      <c r="I2075" t="inlineStr">
        <is>
          <t>1</t>
        </is>
      </c>
      <c r="J2075" t="inlineStr"/>
      <c r="K2075" t="inlineStr"/>
      <c r="L2075" t="inlineStr"/>
      <c r="M2075" t="inlineStr"/>
      <c r="N2075" t="inlineStr"/>
      <c r="O2075">
        <f>(1-Summary!$B$11)*T2075+Summary!$B$11*V2075</f>
        <v/>
      </c>
      <c r="P2075">
        <f>IF(B2089=0,0,O2075/B2089)</f>
        <v/>
      </c>
      <c r="Q2075" t="n">
        <v>0</v>
      </c>
      <c r="R2075" t="n">
        <v>0</v>
      </c>
      <c r="S2075">
        <f>IFERROR(O2075/N2075,0)</f>
        <v/>
      </c>
      <c r="T2075" t="n">
        <v>0</v>
      </c>
      <c r="V2075" t="n">
        <v>0</v>
      </c>
    </row>
    <row r="2076">
      <c r="A2076">
        <f>Skills!A31</f>
        <v/>
      </c>
      <c r="B2076">
        <f>Skills!B31</f>
        <v/>
      </c>
      <c r="C2076">
        <f>Inputs!$B$3&gt;=45</f>
        <v/>
      </c>
      <c r="D2076">
        <f>IF(Skills!C31=1,60+Inputs!$B$25+Inputs!$B$29,IF(Skills!C31=2,90+Inputs!$B$26+Inputs!$B$29,IF(Skills!C31=3,120+Inputs!$B$27+Inputs!$B$29,MAX(0,(Inputs!$B$3-100)*3)+Inputs!$B$28+Inputs!$B$29)))</f>
        <v/>
      </c>
      <c r="E2076">
        <f>INDEX(FactorTable!$B$2:$Y$301, MATCH(ROUND(MIN(300,MAX(1,D2076)),0), FactorTable!$A$2:$A$301,0), Skills!M31+1)</f>
        <v/>
      </c>
      <c r="F2076">
        <f>IF(Skills!N31=TRUE,(Skills!L31/10)*(E2076/1000),Skills!L31/10)+Skills!O31</f>
        <v/>
      </c>
      <c r="G2076">
        <f>Skills!G31*IF(Skills!H31&gt;0,Skills!I31/Skills!H31,1)</f>
        <v/>
      </c>
      <c r="H2076">
        <f>1-(1-Skills!J31/100)^Skills!K31</f>
        <v/>
      </c>
      <c r="I2076" t="inlineStr">
        <is>
          <t>1</t>
        </is>
      </c>
      <c r="J2076" t="inlineStr"/>
      <c r="K2076" t="inlineStr"/>
      <c r="L2076" t="inlineStr"/>
      <c r="M2076" t="inlineStr"/>
      <c r="N2076" t="inlineStr"/>
      <c r="O2076">
        <f>(1-Summary!$B$11)*T2076+Summary!$B$11*V2076</f>
        <v/>
      </c>
      <c r="P2076">
        <f>IF(B2089=0,0,O2076/B2089)</f>
        <v/>
      </c>
      <c r="Q2076" t="n">
        <v>0</v>
      </c>
      <c r="R2076" t="n">
        <v>0</v>
      </c>
      <c r="S2076">
        <f>IFERROR(O2076/N2076,0)</f>
        <v/>
      </c>
      <c r="T2076" t="n">
        <v>0</v>
      </c>
      <c r="V2076" t="n">
        <v>0</v>
      </c>
    </row>
    <row r="2078">
      <c r="A2078" t="inlineStr">
        <is>
          <t>Attack% Bucket Multiplier</t>
        </is>
      </c>
      <c r="B2078">
        <f>(1+(((C2059=TRUE)*F2059)+((C2060=TRUE)*IF(Inputs!$B$38="pvp",F2060,(1-Summary!$B$11)*(F2060)+Summary!$B$11*(0)))+((C2061=TRUE)*F2061*IF(AND(Inputs!$B$38&lt;&gt;"pvp",Inputs!$B$43&gt;0),(((R2061-1)*(Skills!T16*(1+Inputs!$B$34/100))+MIN((Skills!T16*(1+Inputs!$B$34/100)),MAX(0,Inputs!$B$43-((R2061-1)*Skills!D16))))/Inputs!$B$43),IF(Inputs!$B$38="pvp",MIN((Skills!T16*(1+Inputs!$B$34/100)),15)/15,(Skills!T16*(1+Inputs!$B$34/100))/Skills!D16)))+((C2076=TRUE)*(F2076-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79">
      <c r="A2079" t="inlineStr">
        <is>
          <t>Global Crit Rate Bonus %</t>
        </is>
      </c>
      <c r="B2079">
        <f>(C2062=TRUE)*20*IF(AND(Inputs!$B$38&lt;&gt;"pvp",Inputs!$B$43&gt;0),(((R2062-1)*(Skills!T17*(1+Inputs!$B$34/100))+MIN((Skills!T17*(1+Inputs!$B$34/100)),MAX(0,Inputs!$B$43-((R2062-1)*Skills!D17))))/Inputs!$B$43),IF(Inputs!$B$38="pvp",MIN((Skills!T17*(1+Inputs!$B$34/100)),15)/15,(Skills!T17*(1+Inputs!$B$34/100))/Skills!D17))</f>
        <v/>
      </c>
    </row>
    <row r="2080">
      <c r="A2080" t="inlineStr">
        <is>
          <t>Attack Speed Buff Bonus %</t>
        </is>
      </c>
      <c r="B2080">
        <f>((C2065=TRUE)*F2065*IF(AND(Inputs!$B$38&lt;&gt;"pvp",Inputs!$B$43&gt;0),(((R2065-1)*(Skills!T20*(1+Inputs!$B$34/100))+MIN((Skills!T20*(1+Inputs!$B$34/100)),MAX(0,Inputs!$B$43-((R2065-1)*Skills!D20))))/Inputs!$B$43),IF(Inputs!$B$38="pvp",MIN((Skills!T20*(1+Inputs!$B$34/100)),15)/15,(Skills!T20*(1+Inputs!$B$34/100))/Skills!D20)))</f>
        <v/>
      </c>
    </row>
    <row r="2081">
      <c r="A2081" t="inlineStr">
        <is>
          <t>Actions Per Second</t>
        </is>
      </c>
      <c r="B2081">
        <f>1+MIN(150,150*(1-(1-(Inputs!$B$11+((C2067=TRUE)*(F2067-Calc!F22))+((C2068=TRUE)*(F2068-Calc!F23)))/150)*(1-B2080/150)))/100</f>
        <v/>
      </c>
    </row>
    <row r="2082">
      <c r="A2082" t="inlineStr">
        <is>
          <t>Skill + Buff Cast Rate</t>
        </is>
      </c>
      <c r="B2082">
        <f>IF(AND(Inputs!$B$38&lt;&gt;"pvp",Inputs!$B$43&gt;0),SUMPRODUCT((Skills!E2:E31=TRUE)*(C2047:C2076=TRUE)*R2047:R2076*Skills!F2:F31)/Inputs!$B$43,SUMPRODUCT((Skills!E2:E31=TRUE)*(C2047:C2076=TRUE)*Q2047:Q2076*Skills!F2:F31))</f>
        <v/>
      </c>
    </row>
    <row r="2083">
      <c r="A2083" t="inlineStr">
        <is>
          <t>Arrow Stream Casts Per Second</t>
        </is>
      </c>
      <c r="B2083">
        <f>MAX(0,B2081-B2082)</f>
        <v/>
      </c>
    </row>
    <row r="2084">
      <c r="A2084" t="inlineStr">
        <is>
          <t>Global Critical Damage Bonus % (Sharp Eyes + Concentration)</t>
        </is>
      </c>
      <c r="B2084">
        <f>(C2062=TRUE)*F2062*IF(AND(Inputs!$B$38&lt;&gt;"pvp",Inputs!$B$43&gt;0),(((R2062-1)*(Skills!T17*(1+Inputs!$B$34/100))+MIN((Skills!T17*(1+Inputs!$B$34/100)),MAX(0,Inputs!$B$43-((R2062-1)*Skills!D17))))/Inputs!$B$43),IF(Inputs!$B$38="pvp",MIN((Skills!T17*(1+Inputs!$B$34/100)),15)/15,(Skills!T17*(1+Inputs!$B$34/100))/Skills!D17))+(C2063=TRUE)*30</f>
        <v/>
      </c>
    </row>
    <row r="2085">
      <c r="A2085" t="inlineStr">
        <is>
          <t>Global Final Damage Bonus % (Mortal Blow)</t>
        </is>
      </c>
      <c r="B2085">
        <f>(C2064=TRUE)*F2064</f>
        <v/>
      </c>
    </row>
    <row r="2086">
      <c r="A2086" t="inlineStr">
        <is>
          <t>Buff-Casting Startup Delay (s, fixed-duration only)</t>
        </is>
      </c>
      <c r="B2086">
        <f>IF(AND(Inputs!$B$38&lt;&gt;"pvp",Inputs!$B$43&gt;0),SUMPRODUCT((Skills!T2:T31&gt;0)*(Skills!E2:E31=TRUE)*(C2047:C2076=TRUE))/B2081,0)</f>
        <v/>
      </c>
    </row>
    <row r="2087">
      <c r="A2087" t="inlineStr">
        <is>
          <t>Boss-Only Total DPS (this block's swept value)</t>
        </is>
      </c>
      <c r="B2087">
        <f>SUM(T2047:T2076)</f>
        <v/>
      </c>
    </row>
    <row r="2088">
      <c r="A2088" t="inlineStr">
        <is>
          <t>Normal-Only Total DPS (this block's swept value)</t>
        </is>
      </c>
      <c r="B2088">
        <f>SUM(V2047:V2076)</f>
        <v/>
      </c>
    </row>
    <row r="2089">
      <c r="A2089" s="6" t="inlineStr">
        <is>
          <t>TOTAL DPS</t>
        </is>
      </c>
      <c r="B2089" s="6">
        <f>SUM(O2047:O2076)</f>
        <v/>
      </c>
    </row>
    <row r="2092">
      <c r="A2092" s="6" t="inlineStr">
        <is>
          <t>Stat: Book of Ancient (Equip)</t>
        </is>
      </c>
    </row>
    <row r="2093">
      <c r="A2093" s="5" t="inlineStr">
        <is>
          <t>Key</t>
        </is>
      </c>
      <c r="B2093" s="5" t="inlineStr">
        <is>
          <t>Name</t>
        </is>
      </c>
      <c r="C2093" s="5" t="inlineStr">
        <is>
          <t>Unlocked</t>
        </is>
      </c>
      <c r="D2093" s="5" t="inlineStr">
        <is>
          <t>InputLevel</t>
        </is>
      </c>
      <c r="E2093" s="5" t="inlineStr">
        <is>
          <t>Factor</t>
        </is>
      </c>
      <c r="F2093" s="5" t="inlineStr">
        <is>
          <t>CoefficientPercent</t>
        </is>
      </c>
      <c r="G2093" s="5" t="inlineStr">
        <is>
          <t>EffectiveHits</t>
        </is>
      </c>
      <c r="H2093" s="5" t="inlineStr">
        <is>
          <t>ProcProbability</t>
        </is>
      </c>
      <c r="I2093" s="5" t="inlineStr">
        <is>
          <t>MapleHeroMultiplier</t>
        </is>
      </c>
      <c r="J2093" s="5" t="inlineStr">
        <is>
          <t>BaseDamage</t>
        </is>
      </c>
      <c r="K2093" s="5" t="inlineStr">
        <is>
          <t>BaseHitDamage</t>
        </is>
      </c>
      <c r="L2093" s="5" t="inlineStr">
        <is>
          <t>NonCritAvg</t>
        </is>
      </c>
      <c r="M2093" s="5" t="inlineStr">
        <is>
          <t>CritAvg</t>
        </is>
      </c>
      <c r="N2093" s="5" t="inlineStr">
        <is>
          <t>ExpectedDamage(perHit)</t>
        </is>
      </c>
      <c r="O2093" s="5" t="inlineStr">
        <is>
          <t>DPS</t>
        </is>
      </c>
      <c r="P2093" s="5" t="inlineStr">
        <is>
          <t>% of Total</t>
        </is>
      </c>
      <c r="Q2093" s="5" t="inlineStr">
        <is>
          <t>InvCooldown</t>
        </is>
      </c>
      <c r="R2093" s="5" t="inlineStr">
        <is>
          <t>CastsInFight</t>
        </is>
      </c>
      <c r="S2093" s="5" t="inlineStr">
        <is>
          <t>HitRate(perSec)</t>
        </is>
      </c>
      <c r="U2093" t="inlineStr">
        <is>
          <t>helpers</t>
        </is>
      </c>
    </row>
    <row r="2094">
      <c r="A2094">
        <f>Skills!A2</f>
        <v/>
      </c>
      <c r="B2094">
        <f>Skills!B2</f>
        <v/>
      </c>
      <c r="C2094">
        <f>Inputs!$B$3&gt;=100</f>
        <v/>
      </c>
      <c r="D2094" t="inlineStr"/>
      <c r="E2094" t="inlineStr"/>
      <c r="F2094">
        <f>U2096+Skills!O2</f>
        <v/>
      </c>
      <c r="G2094">
        <f>Skills!G2*IF(Skills!H2&gt;0,Skills!I2/Skills!H2,1)</f>
        <v/>
      </c>
      <c r="H2094">
        <f>1-(1-Skills!J2/100)^Skills!K2</f>
        <v/>
      </c>
      <c r="I2094" t="inlineStr">
        <is>
          <t>1</t>
        </is>
      </c>
      <c r="J2094">
        <f>((Inputs!$B$6*(1+Inputs!$B$7/100))+(((Inputs!$B$12*(1+Inputs!$B$13/100))-(Inputs!$B$12*(1+Inputs!$B$13/100)))+0.25*(Inputs!$B$14-Inputs!$B$14))*(1+Inputs!$B$7/100))*(F2094/100)</f>
        <v/>
      </c>
      <c r="K2094">
        <f>J2094*(1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2094)</f>
        <v/>
      </c>
      <c r="L2094">
        <f>K2094*(MIN(Inputs!$B$22+((C2117=TRUE)*(F2117-Calc!F25)),(Inputs!$B$23+((C2122=TRUE)*(F2122-Calc!F30))+(IF(ArtifactsInput!$M$15,CHOOSE(ArtifactsInput!$N$15+1,25,30,35,40,45,50)/100*(Inputs!$B$11-Inputs!$B$11),0))))/100+(Inputs!$B$23+((C2122=TRUE)*(F2122-Calc!F30))+(IF(ArtifactsInput!$M$15,CHOOSE(ArtifactsInput!$N$15+1,25,30,35,40,45,50)/100*(Inputs!$B$11-Inputs!$B$11),0)))/100)/2</f>
        <v/>
      </c>
      <c r="M2094">
        <f>L2094*(1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94">
        <f>L2094*(1-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2094*(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4">
        <f>(1-Summary!$B$11)*T2094+Summary!$B$11*V2094</f>
        <v/>
      </c>
      <c r="P2094">
        <f>IF(B2136=0,0,O2094/B2136)</f>
        <v/>
      </c>
      <c r="Q2094" t="n">
        <v>0</v>
      </c>
      <c r="R2094" t="n">
        <v>0</v>
      </c>
      <c r="S2094">
        <f>IFERROR(O2094/N2094,0)</f>
        <v/>
      </c>
      <c r="T2094">
        <f>IF(C2094,(Skills!G2*N2094*B2130)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2094*(1-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2094*(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2094*(1-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2094*(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4">
        <f>MAX(0,(Inputs!$B$3-100)*3)+Inputs!$B$28+Inputs!$B$29</f>
        <v/>
      </c>
      <c r="V2094">
        <f>IF(C2094,(Skills!G2*N2094*B2130)*IF(Inputs!$B$38="pvp",1,(1+(Inputs!$B$21+Skills!Q2+(IF(ArtifactsInput!$M$33,CHOOSE(ArtifactsInput!$N$33+1,30,36,42,48,54,60),0))+(IF(AND(ArtifactsInput!$M$35,Inputs!$B$4&lt;&gt;"Chapter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5">
      <c r="A2095">
        <f>Skills!A3</f>
        <v/>
      </c>
      <c r="B2095">
        <f>Skills!B3</f>
        <v/>
      </c>
      <c r="C2095">
        <f>Inputs!$B$3&gt;=50</f>
        <v/>
      </c>
      <c r="D2095">
        <f>IF(Skills!C3=1,60+Inputs!$B$25+Inputs!$B$29,IF(Skills!C3=2,90+Inputs!$B$26+Inputs!$B$29,IF(Skills!C3=3,120+Inputs!$B$27+Inputs!$B$29,MAX(0,(Inputs!$B$3-100)*3)+Inputs!$B$28+Inputs!$B$29)))</f>
        <v/>
      </c>
      <c r="E2095">
        <f>INDEX(FactorTable!$B$2:$Y$301, MATCH(ROUND(MIN(300,MAX(1,D2095)),0), FactorTable!$A$2:$A$301,0), Skills!M3+1)</f>
        <v/>
      </c>
      <c r="F2095">
        <f>IF(Skills!N3=TRUE,(Skills!L3/10)*(E2095/1000),Skills!L3/10)+Skills!O3</f>
        <v/>
      </c>
      <c r="G2095">
        <f>Skills!G3*IF(Skills!H3&gt;0,Skills!I3/Skills!H3,1)</f>
        <v/>
      </c>
      <c r="H2095">
        <f>1-(1-Skills!J3/100)^Skills!K3</f>
        <v/>
      </c>
      <c r="I2095" t="inlineStr">
        <is>
          <t>1</t>
        </is>
      </c>
      <c r="J2095">
        <f>((Inputs!$B$6*(1+Inputs!$B$7/100))+(((Inputs!$B$12*(1+Inputs!$B$13/100))-(Inputs!$B$12*(1+Inputs!$B$13/100)))+0.25*(Inputs!$B$14-Inputs!$B$14))*(1+Inputs!$B$7/100))*(F2095/100)</f>
        <v/>
      </c>
      <c r="K2095">
        <f>J2095*(1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2096=TRUE,F2096,0)/100)*(1+(IF(Skills!A3="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2095)</f>
        <v/>
      </c>
      <c r="L2095">
        <f>K2095*(MIN(Inputs!$B$22+((C2117=TRUE)*(F2117-Calc!F25)),(Inputs!$B$23+((C2122=TRUE)*(F2122-Calc!F30))+(IF(ArtifactsInput!$M$15,CHOOSE(ArtifactsInput!$N$15+1,25,30,35,40,45,50)/100*(Inputs!$B$11-Inputs!$B$11),0))))/100+(Inputs!$B$23+((C2122=TRUE)*(F2122-Calc!F30))+(IF(ArtifactsInput!$M$15,CHOOSE(ArtifactsInput!$N$15+1,25,30,35,40,45,50)/100*(Inputs!$B$11-Inputs!$B$11),0)))/100)/2</f>
        <v/>
      </c>
      <c r="M2095">
        <f>L2095*(1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95">
        <f>L2095*(1-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2095*(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5">
        <f>(1-Summary!$B$11)*T2095+Summary!$B$11*V2095</f>
        <v/>
      </c>
      <c r="P2095">
        <f>IF(B2136=0,0,O2095/B2136)</f>
        <v/>
      </c>
      <c r="Q2095">
        <f>IFERROR(1/(IF(Inputs!$B$38="pvp",15,MAX(0.1,Skills!D3-IF(Skills!E3=TRUE,Inputs!$B$32,0)))*(1-IF(AND(ArtifactsInput!$M$27,Inputs!$B$4="Chapter Hunt"),CHOOSE(ArtifactsInput!$N$27+1,20,24,28,32,36,40),0)/100)),0)</f>
        <v/>
      </c>
      <c r="R2095">
        <f>IF(AND(Inputs!$B$38&lt;&gt;"pvp",Inputs!$B$43&gt;0),IF(MAX(0,Inputs!$B$43-B2133)&lt;=0,0,(INT(MAX(0,Inputs!$B$43-B2133)/(IF(Inputs!$B$38="pvp",15,MAX(0.1,Skills!D3-IF(Skills!E3=TRUE,Inputs!$B$32,0)))*(1-IF(AND(ArtifactsInput!$M$27,Inputs!$B$4="Chapter Hunt"),CHOOSE(ArtifactsInput!$N$27+1,20,24,28,32,36,40),0)/100)))+1)),0)</f>
        <v/>
      </c>
      <c r="S2095">
        <f>IFERROR(O2095/N2095,0)</f>
        <v/>
      </c>
      <c r="T2095">
        <f>IF(C2095,(H2095*N2095*IF(AND(Inputs!$B$38&lt;&gt;"pvp",Inputs!$B$43&gt;0),((Skills!G3*((R2095-1)*IF(Skills!H3&gt;0,Skills!I3/Skills!H3,1)+IF(Skills!H3&gt;0,MIN(Skills!I3,MAX(0,MAX(0,Inputs!$B$43-B2133)-((R2095-1)*(IF(Inputs!$B$38="pvp",15,MAX(0.1,Skills!D3-IF(Skills!E3=TRUE,Inputs!$B$32,0)))*(1-IF(AND(ArtifactsInput!$M$27,Inputs!$B$4="Chapter Hunt"),CHOOSE(ArtifactsInput!$N$27+1,20,24,28,32,36,40),0)/100)))))/Skills!H3,1)))/Inputs!$B$43),G2095*Q2095)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2095*(1-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2095*(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2095*(1-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2095*(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5">
        <f>INDEX(FactorTable!$B$2:$Y$301, MATCH(ROUND(MIN(300,MAX(1,U2094)),0), FactorTable!$A$2:$A$301,0), 22)</f>
        <v/>
      </c>
      <c r="V2095">
        <f>IF(C2095,(H2095*N2095*IF(AND(Inputs!$B$38&lt;&gt;"pvp",Inputs!$B$43&gt;0),((Skills!G3*((R2095-1)*IF(Skills!H3&gt;0,Skills!I3/Skills!H3,1)+IF(Skills!H3&gt;0,MIN(Skills!I3,MAX(0,MAX(0,Inputs!$B$43-B2133)-((R2095-1)*(IF(Inputs!$B$38="pvp",15,MAX(0.1,Skills!D3-IF(Skills!E3=TRUE,Inputs!$B$32,0)))*(1-IF(AND(ArtifactsInput!$M$27,Inputs!$B$4="Chapter Hunt"),CHOOSE(ArtifactsInput!$N$27+1,20,24,28,32,36,40),0)/100)))))/Skills!H3,1)))/Inputs!$B$43),G2095*Q2095))*IF(Inputs!$B$38="pvp",1,(1+(Inputs!$B$21+Skills!Q3+(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6">
      <c r="A2096">
        <f>Skills!A4</f>
        <v/>
      </c>
      <c r="B2096">
        <f>Skills!B4</f>
        <v/>
      </c>
      <c r="C2096">
        <f>Inputs!$B$3&gt;=105</f>
        <v/>
      </c>
      <c r="D2096">
        <f>IF(Skills!C4=1,60+Inputs!$B$25+Inputs!$B$29,IF(Skills!C4=2,90+Inputs!$B$26+Inputs!$B$29,IF(Skills!C4=3,120+Inputs!$B$27+Inputs!$B$29,MAX(0,(Inputs!$B$3-100)*3)+Inputs!$B$28+Inputs!$B$29)))</f>
        <v/>
      </c>
      <c r="E2096">
        <f>INDEX(FactorTable!$B$2:$Y$301, MATCH(ROUND(MIN(300,MAX(1,D2096)),0), FactorTable!$A$2:$A$301,0), Skills!M4+1)</f>
        <v/>
      </c>
      <c r="F2096">
        <f>IF(Skills!N4=TRUE,(Skills!L4/10)*(E2096/1000),Skills!L4/10)+Skills!O4</f>
        <v/>
      </c>
      <c r="G2096" t="inlineStr"/>
      <c r="H2096" t="inlineStr"/>
      <c r="I2096" t="inlineStr">
        <is>
          <t>1</t>
        </is>
      </c>
      <c r="J2096" t="inlineStr"/>
      <c r="K2096" t="inlineStr"/>
      <c r="L2096" t="inlineStr"/>
      <c r="M2096" t="inlineStr"/>
      <c r="N2096" t="inlineStr"/>
      <c r="O2096" t="inlineStr"/>
      <c r="P2096" t="inlineStr"/>
      <c r="Q2096" t="inlineStr"/>
      <c r="R2096" t="inlineStr"/>
      <c r="S2096" t="inlineStr"/>
      <c r="T2096" t="inlineStr"/>
      <c r="U2096">
        <f>290*U2095/1000</f>
        <v/>
      </c>
      <c r="V2096" t="inlineStr"/>
    </row>
    <row r="2097">
      <c r="A2097">
        <f>Skills!A5</f>
        <v/>
      </c>
      <c r="B2097">
        <f>Skills!B5</f>
        <v/>
      </c>
      <c r="C2097">
        <f>Inputs!$B$3&gt;=35</f>
        <v/>
      </c>
      <c r="D2097">
        <f>IF(Skills!C5=1,60+Inputs!$B$25+Inputs!$B$29,IF(Skills!C5=2,90+Inputs!$B$26+Inputs!$B$29,IF(Skills!C5=3,120+Inputs!$B$27+Inputs!$B$29,MAX(0,(Inputs!$B$3-100)*3)+Inputs!$B$28+Inputs!$B$29)))</f>
        <v/>
      </c>
      <c r="E2097">
        <f>INDEX(FactorTable!$B$2:$Y$301, MATCH(ROUND(MIN(300,MAX(1,D2097)),0), FactorTable!$A$2:$A$301,0), Skills!M5+1)</f>
        <v/>
      </c>
      <c r="F2097">
        <f>IF(Skills!N5=TRUE,(Skills!L5/10)*(E2097/1000),Skills!L5/10)+Skills!O5</f>
        <v/>
      </c>
      <c r="G2097">
        <f>Skills!G5*IF(Skills!H5&gt;0,Skills!I5/Skills!H5,1)</f>
        <v/>
      </c>
      <c r="H2097">
        <f>1-(1-Skills!J5/100)^Skills!K5</f>
        <v/>
      </c>
      <c r="I2097" t="inlineStr">
        <is>
          <t>1</t>
        </is>
      </c>
      <c r="J2097">
        <f>((Inputs!$B$6*(1+Inputs!$B$7/100))+(((Inputs!$B$12*(1+Inputs!$B$13/100))-(Inputs!$B$12*(1+Inputs!$B$13/100)))+0.25*(Inputs!$B$14-Inputs!$B$14))*(1+Inputs!$B$7/100))*(F2097/100)</f>
        <v/>
      </c>
      <c r="K2097">
        <f>J2097*(1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2103=TRUE,F2103,0)/100)*(1+(IF(Skills!A5="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2097)</f>
        <v/>
      </c>
      <c r="L2097">
        <f>K2097*(MIN(Inputs!$B$22+((C2117=TRUE)*(F2117-Calc!F25)),(Inputs!$B$23+((C2122=TRUE)*(F2122-Calc!F30))+(IF(ArtifactsInput!$M$15,CHOOSE(ArtifactsInput!$N$15+1,25,30,35,40,45,50)/100*(Inputs!$B$11-Inputs!$B$11),0))))/100+(Inputs!$B$23+((C2122=TRUE)*(F2122-Calc!F30))+(IF(ArtifactsInput!$M$15,CHOOSE(ArtifactsInput!$N$15+1,25,30,35,40,45,50)/100*(Inputs!$B$11-Inputs!$B$11),0)))/100)/2</f>
        <v/>
      </c>
      <c r="M2097">
        <f>L2097*(1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97">
        <f>L2097*(1-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2097*(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7">
        <f>(1-Summary!$B$11)*T2097+Summary!$B$11*V2097</f>
        <v/>
      </c>
      <c r="P2097">
        <f>IF(B2136=0,0,O2097/B2136)</f>
        <v/>
      </c>
      <c r="Q2097">
        <f>IFERROR(1/(IF(Inputs!$B$38="pvp",15,MAX(0.1,Skills!D5-IF(Skills!E5=TRUE,Inputs!$B$32,0)))*(1-IF(AND(ArtifactsInput!$M$27,Inputs!$B$4="Chapter Hunt"),CHOOSE(ArtifactsInput!$N$27+1,20,24,28,32,36,40),0)/100)),0)</f>
        <v/>
      </c>
      <c r="R2097">
        <f>IF(AND(Inputs!$B$38&lt;&gt;"pvp",Inputs!$B$43&gt;0),IF(MAX(0,Inputs!$B$43-B2133)&lt;=0,0,(INT(MAX(0,Inputs!$B$43-B2133)/(IF(Inputs!$B$38="pvp",15,MAX(0.1,Skills!D5-IF(Skills!E5=TRUE,Inputs!$B$32,0)))*(1-IF(AND(ArtifactsInput!$M$27,Inputs!$B$4="Chapter Hunt"),CHOOSE(ArtifactsInput!$N$27+1,20,24,28,32,36,40),0)/100)))+1)),0)</f>
        <v/>
      </c>
      <c r="S2097">
        <f>IFERROR(O2097/N2097,0)</f>
        <v/>
      </c>
      <c r="T2097">
        <f>IF(C2097,(H2097*N2097*IF(AND(Inputs!$B$38&lt;&gt;"pvp",Inputs!$B$43&gt;0),((Skills!G5*((R2097-1)*IF(Skills!H5&gt;0,Skills!I5/Skills!H5,1)+IF(Skills!H5&gt;0,MIN(Skills!I5,MAX(0,MAX(0,Inputs!$B$43-B2133)-((R2097-1)*(IF(Inputs!$B$38="pvp",15,MAX(0.1,Skills!D5-IF(Skills!E5=TRUE,Inputs!$B$32,0)))*(1-IF(AND(ArtifactsInput!$M$27,Inputs!$B$4="Chapter Hunt"),CHOOSE(ArtifactsInput!$N$27+1,20,24,28,32,36,40),0)/100)))))/Skills!H5,1)))/Inputs!$B$43),G2097*Q2097)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2097*(1-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2097*(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2097*(1-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2097*(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7">
        <f>IF(C2097,(H2097*N2097*IF(AND(Inputs!$B$38&lt;&gt;"pvp",Inputs!$B$43&gt;0),((Skills!G5*((R2097-1)*IF(Skills!H5&gt;0,Skills!I5/Skills!H5,1)+IF(Skills!H5&gt;0,MIN(Skills!I5,MAX(0,MAX(0,Inputs!$B$43-B2133)-((R2097-1)*(IF(Inputs!$B$38="pvp",15,MAX(0.1,Skills!D5-IF(Skills!E5=TRUE,Inputs!$B$32,0)))*(1-IF(AND(ArtifactsInput!$M$27,Inputs!$B$4="Chapter Hunt"),CHOOSE(ArtifactsInput!$N$27+1,20,24,28,32,36,40),0)/100)))))/Skills!H5,1)))/Inputs!$B$43),G2097*Q2097))*IF(Inputs!$B$38="pvp",1,(1+(Inputs!$B$21+Skills!Q5+(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8">
      <c r="A2098">
        <f>Skills!A6</f>
        <v/>
      </c>
      <c r="B2098">
        <f>Skills!B6</f>
        <v/>
      </c>
      <c r="C2098">
        <f>Inputs!$B$3&gt;=40</f>
        <v/>
      </c>
      <c r="D2098">
        <f>IF(Skills!C6=1,60+Inputs!$B$25+Inputs!$B$29,IF(Skills!C6=2,90+Inputs!$B$26+Inputs!$B$29,IF(Skills!C6=3,120+Inputs!$B$27+Inputs!$B$29,MAX(0,(Inputs!$B$3-100)*3)+Inputs!$B$28+Inputs!$B$29)))</f>
        <v/>
      </c>
      <c r="E2098">
        <f>INDEX(FactorTable!$B$2:$Y$301, MATCH(ROUND(MIN(300,MAX(1,D2098)),0), FactorTable!$A$2:$A$301,0), Skills!M6+1)</f>
        <v/>
      </c>
      <c r="F2098">
        <f>IF(Skills!N6=TRUE,(Skills!L6/10)*(E2098/1000),Skills!L6/10)+Skills!O6</f>
        <v/>
      </c>
      <c r="G2098">
        <f>Skills!G6*IF(Skills!H6&gt;0,Skills!I6/Skills!H6,1)</f>
        <v/>
      </c>
      <c r="H2098">
        <f>1-(1-Skills!J6/100)^Skills!K6</f>
        <v/>
      </c>
      <c r="I2098" t="inlineStr">
        <is>
          <t>1</t>
        </is>
      </c>
      <c r="J2098">
        <f>((Inputs!$B$6*(1+Inputs!$B$7/100))+(((Inputs!$B$12*(1+Inputs!$B$13/100))-(Inputs!$B$12*(1+Inputs!$B$13/100)))+0.25*(Inputs!$B$14-Inputs!$B$14))*(1+Inputs!$B$7/100))*(F2098/100)</f>
        <v/>
      </c>
      <c r="K2098">
        <f>J2098*(1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2099=TRUE,F2099,0)/100)*(1+(IF(Skills!A6="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2098)</f>
        <v/>
      </c>
      <c r="L2098">
        <f>K2098*(MIN(Inputs!$B$22+((C2117=TRUE)*(F2117-Calc!F25)),(Inputs!$B$23+((C2122=TRUE)*(F2122-Calc!F30))+(IF(ArtifactsInput!$M$15,CHOOSE(ArtifactsInput!$N$15+1,25,30,35,40,45,50)/100*(Inputs!$B$11-Inputs!$B$11),0))))/100+(Inputs!$B$23+((C2122=TRUE)*(F2122-Calc!F30))+(IF(ArtifactsInput!$M$15,CHOOSE(ArtifactsInput!$N$15+1,25,30,35,40,45,50)/100*(Inputs!$B$11-Inputs!$B$11),0)))/100)/2</f>
        <v/>
      </c>
      <c r="M2098">
        <f>L2098*(1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98">
        <f>L2098*(1-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(1-Summary!$B$11)*T2098+Summary!$B$11*V2098</f>
        <v/>
      </c>
      <c r="P2098">
        <f>IF(B2136=0,0,O2098/B2136)</f>
        <v/>
      </c>
      <c r="Q2098">
        <f>IFERROR(1/(IF(Inputs!$B$38="pvp",15,MAX(0.1,Skills!D6-IF(Skills!E6=TRUE,Inputs!$B$32,0)))*(1-IF(AND(ArtifactsInput!$M$27,Inputs!$B$4="Chapter Hunt"),CHOOSE(ArtifactsInput!$N$27+1,20,24,28,32,36,40),0)/100)),0)</f>
        <v/>
      </c>
      <c r="R2098">
        <f>IF(AND(Inputs!$B$38&lt;&gt;"pvp",Inputs!$B$43&gt;0),IF(MAX(0,Inputs!$B$43-B2133)&lt;=0,0,(INT(MAX(0,Inputs!$B$43-B2133)/(IF(Inputs!$B$38="pvp",15,MAX(0.1,Skills!D6-IF(Skills!E6=TRUE,Inputs!$B$32,0)))*(1-IF(AND(ArtifactsInput!$M$27,Inputs!$B$4="Chapter Hunt"),CHOOSE(ArtifactsInput!$N$27+1,20,24,28,32,36,40),0)/100)))+1)),0)</f>
        <v/>
      </c>
      <c r="S2098">
        <f>IFERROR(O2098/N2098,0)</f>
        <v/>
      </c>
      <c r="T2098">
        <f>IF(C2098,(H2098*N2098*IF(AND(Inputs!$B$38&lt;&gt;"pvp",Inputs!$B$43&gt;0),((Skills!G6*((R2098-1)*IF(Skills!H6&gt;0,Skills!I6/Skills!H6,1)+IF(Skills!H6&gt;0,MIN(Skills!I6,MAX(0,MAX(0,Inputs!$B$43-B2133)-((R2098-1)*(IF(Inputs!$B$38="pvp",15,MAX(0.1,Skills!D6-IF(Skills!E6=TRUE,Inputs!$B$32,0)))*(1-IF(AND(ArtifactsInput!$M$27,Inputs!$B$4="Chapter Hunt"),CHOOSE(ArtifactsInput!$N$27+1,20,24,28,32,36,40),0)/100)))))/Skills!H6,1)))/Inputs!$B$43),G2098*Q2098)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2098*(1-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8">
        <f>IF(C2098,(H2098*N2098*IF(AND(Inputs!$B$38&lt;&gt;"pvp",Inputs!$B$43&gt;0),((Skills!G6*((R2098-1)*IF(Skills!H6&gt;0,Skills!I6/Skills!H6,1)+IF(Skills!H6&gt;0,MIN(Skills!I6,MAX(0,MAX(0,Inputs!$B$43-B2133)-((R2098-1)*(IF(Inputs!$B$38="pvp",15,MAX(0.1,Skills!D6-IF(Skills!E6=TRUE,Inputs!$B$32,0)))*(1-IF(AND(ArtifactsInput!$M$27,Inputs!$B$4="Chapter Hunt"),CHOOSE(ArtifactsInput!$N$27+1,20,24,28,32,36,40),0)/100)))))/Skills!H6,1)))/Inputs!$B$43),G2098*Q2098))*IF(Inputs!$B$38="pvp",1,(1+(Inputs!$B$21+Skills!Q6+(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Skills!A7</f>
        <v/>
      </c>
      <c r="B2099">
        <f>Skills!B7</f>
        <v/>
      </c>
      <c r="C2099">
        <f>Inputs!$B$3&gt;=107</f>
        <v/>
      </c>
      <c r="D2099">
        <f>IF(Skills!C7=1,60+Inputs!$B$25+Inputs!$B$29,IF(Skills!C7=2,90+Inputs!$B$26+Inputs!$B$29,IF(Skills!C7=3,120+Inputs!$B$27+Inputs!$B$29,MAX(0,(Inputs!$B$3-100)*3)+Inputs!$B$28+Inputs!$B$29)))</f>
        <v/>
      </c>
      <c r="E2099">
        <f>INDEX(FactorTable!$B$2:$Y$301, MATCH(ROUND(MIN(300,MAX(1,D2099)),0), FactorTable!$A$2:$A$301,0), Skills!M7+1)</f>
        <v/>
      </c>
      <c r="F2099">
        <f>IF(Skills!N7=TRUE,(Skills!L7/10)*(E2099/1000),Skills!L7/10)+Skills!O7</f>
        <v/>
      </c>
      <c r="G2099" t="inlineStr"/>
      <c r="H2099" t="inlineStr"/>
      <c r="I2099" t="inlineStr">
        <is>
          <t>1</t>
        </is>
      </c>
      <c r="J2099" t="inlineStr"/>
      <c r="K2099" t="inlineStr"/>
      <c r="L2099" t="inlineStr"/>
      <c r="M2099" t="inlineStr"/>
      <c r="N2099" t="inlineStr"/>
      <c r="O2099" t="inlineStr"/>
      <c r="P2099" t="inlineStr"/>
      <c r="Q2099" t="inlineStr"/>
      <c r="R2099" t="inlineStr"/>
      <c r="S2099" t="inlineStr"/>
      <c r="T2099" t="inlineStr"/>
      <c r="V2099" t="inlineStr"/>
    </row>
    <row r="2100">
      <c r="A2100">
        <f>Skills!A8</f>
        <v/>
      </c>
      <c r="B2100">
        <f>Skills!B8</f>
        <v/>
      </c>
      <c r="C2100">
        <f>Inputs!$B$3&gt;=69</f>
        <v/>
      </c>
      <c r="D2100">
        <f>IF(Skills!C8=1,60+Inputs!$B$25+Inputs!$B$29,IF(Skills!C8=2,90+Inputs!$B$26+Inputs!$B$29,IF(Skills!C8=3,120+Inputs!$B$27+Inputs!$B$29,MAX(0,(Inputs!$B$3-100)*3)+Inputs!$B$28+Inputs!$B$29)))</f>
        <v/>
      </c>
      <c r="E2100">
        <f>INDEX(FactorTable!$B$2:$Y$301, MATCH(ROUND(MIN(300,MAX(1,D2100)),0), FactorTable!$A$2:$A$301,0), Skills!M8+1)</f>
        <v/>
      </c>
      <c r="F2100">
        <f>IF(Skills!N8=TRUE,(Skills!L8/10)*(E2100/1000),Skills!L8/10)+Skills!O8</f>
        <v/>
      </c>
      <c r="G2100">
        <f>Skills!G8*IF(Skills!H8&gt;0,Skills!I8/Skills!H8,1)</f>
        <v/>
      </c>
      <c r="H2100">
        <f>1-(1-Skills!J8/100)^Skills!K8</f>
        <v/>
      </c>
      <c r="I2100" t="inlineStr">
        <is>
          <t>1</t>
        </is>
      </c>
      <c r="J2100">
        <f>((Inputs!$B$6*(1+Inputs!$B$7/100))+(((Inputs!$B$12*(1+Inputs!$B$13/100))-(Inputs!$B$12*(1+Inputs!$B$13/100)))+0.25*(Inputs!$B$14-Inputs!$B$14))*(1+Inputs!$B$7/100))*(F2100/100)</f>
        <v/>
      </c>
      <c r="K2100">
        <f>J2100*(1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2103=TRUE,F2103,0)/100)*(1+(IF(Skills!A8="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2100)</f>
        <v/>
      </c>
      <c r="L2100">
        <f>K2100*(MIN(Inputs!$B$22+((C2117=TRUE)*(F2117-Calc!F25)),(Inputs!$B$23+((C2122=TRUE)*(F2122-Calc!F30))+(IF(ArtifactsInput!$M$15,CHOOSE(ArtifactsInput!$N$15+1,25,30,35,40,45,50)/100*(Inputs!$B$11-Inputs!$B$11),0))))/100+(Inputs!$B$23+((C2122=TRUE)*(F2122-Calc!F30))+(IF(ArtifactsInput!$M$15,CHOOSE(ArtifactsInput!$N$15+1,25,30,35,40,45,50)/100*(Inputs!$B$11-Inputs!$B$11),0)))/100)/2</f>
        <v/>
      </c>
      <c r="M2100">
        <f>L2100*(1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100">
        <f>L2100*(1-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2100*(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0">
        <f>(1-Summary!$B$11)*T2100+Summary!$B$11*V2100</f>
        <v/>
      </c>
      <c r="P2100">
        <f>IF(B2136=0,0,O2100/B2136)</f>
        <v/>
      </c>
      <c r="Q2100">
        <f>IFERROR(1/(IF(Inputs!$B$38="pvp",15,MAX(0.1,Skills!D8-IF(Skills!E8=TRUE,Inputs!$B$32,0)))*(1-IF(AND(ArtifactsInput!$M$27,Inputs!$B$4="Chapter Hunt"),CHOOSE(ArtifactsInput!$N$27+1,20,24,28,32,36,40),0)/100)),0)</f>
        <v/>
      </c>
      <c r="R2100">
        <f>IF(AND(Inputs!$B$38&lt;&gt;"pvp",Inputs!$B$43&gt;0),IF(MAX(0,Inputs!$B$43-B2133)&lt;=0,0,(INT(MAX(0,Inputs!$B$43-B2133)/(IF(Inputs!$B$38="pvp",15,MAX(0.1,Skills!D8-IF(Skills!E8=TRUE,Inputs!$B$32,0)))*(1-IF(AND(ArtifactsInput!$M$27,Inputs!$B$4="Chapter Hunt"),CHOOSE(ArtifactsInput!$N$27+1,20,24,28,32,36,40),0)/100)))+1)),0)</f>
        <v/>
      </c>
      <c r="S2100">
        <f>IFERROR(O2100/N2100,0)</f>
        <v/>
      </c>
      <c r="T2100">
        <f>IF(C2100,(H2100*N2100*IF(AND(Inputs!$B$38&lt;&gt;"pvp",Inputs!$B$43&gt;0),((Skills!G8*((R2100-1)*IF(Skills!H8&gt;0,Skills!I8/Skills!H8,1)+IF(Skills!H8&gt;0,MIN(Skills!I8,MAX(0,MAX(0,Inputs!$B$43-B2133)-((R2100-1)*(IF(Inputs!$B$38="pvp",15,MAX(0.1,Skills!D8-IF(Skills!E8=TRUE,Inputs!$B$32,0)))*(1-IF(AND(ArtifactsInput!$M$27,Inputs!$B$4="Chapter Hunt"),CHOOSE(ArtifactsInput!$N$27+1,20,24,28,32,36,40),0)/100)))))/Skills!H8,1)))/Inputs!$B$43),G2100*Q2100)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2100*(1-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2100*(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2100*(1-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2100*(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0">
        <f>IF(C2100,(H2100*N2100*IF(AND(Inputs!$B$38&lt;&gt;"pvp",Inputs!$B$43&gt;0),((Skills!G8*((R2100-1)*IF(Skills!H8&gt;0,Skills!I8/Skills!H8,1)+IF(Skills!H8&gt;0,MIN(Skills!I8,MAX(0,MAX(0,Inputs!$B$43-B2133)-((R2100-1)*(IF(Inputs!$B$38="pvp",15,MAX(0.1,Skills!D8-IF(Skills!E8=TRUE,Inputs!$B$32,0)))*(1-IF(AND(ArtifactsInput!$M$27,Inputs!$B$4="Chapter Hunt"),CHOOSE(ArtifactsInput!$N$27+1,20,24,28,32,36,40),0)/100)))))/Skills!H8,1)))/Inputs!$B$43),G2100*Q2100))*IF(Inputs!$B$38="pvp",1,(1+(Inputs!$B$21+Skills!Q8+(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1">
      <c r="A2101">
        <f>Skills!A9</f>
        <v/>
      </c>
      <c r="B2101">
        <f>Skills!B9</f>
        <v/>
      </c>
      <c r="C2101">
        <f>Inputs!$B$3&gt;=63</f>
        <v/>
      </c>
      <c r="D2101">
        <f>IF(Skills!C9=1,60+Inputs!$B$25+Inputs!$B$29,IF(Skills!C9=2,90+Inputs!$B$26+Inputs!$B$29,IF(Skills!C9=3,120+Inputs!$B$27+Inputs!$B$29,MAX(0,(Inputs!$B$3-100)*3)+Inputs!$B$28+Inputs!$B$29)))</f>
        <v/>
      </c>
      <c r="E2101">
        <f>INDEX(FactorTable!$B$2:$Y$301, MATCH(ROUND(MIN(300,MAX(1,D2101)),0), FactorTable!$A$2:$A$301,0), Skills!M9+1)</f>
        <v/>
      </c>
      <c r="F2101">
        <f>IF(Skills!N9=TRUE,(Skills!L9/10)*(E2101/1000),Skills!L9/10)+Skills!O9</f>
        <v/>
      </c>
      <c r="G2101">
        <f>Skills!G9*IF(Skills!H9&gt;0,Skills!I9/Skills!H9,1)</f>
        <v/>
      </c>
      <c r="H2101">
        <f>1-(1-Skills!J9/100)^Skills!K9</f>
        <v/>
      </c>
      <c r="I2101" t="inlineStr">
        <is>
          <t>1</t>
        </is>
      </c>
      <c r="J2101">
        <f>((Inputs!$B$6*(1+Inputs!$B$7/100))+(((Inputs!$B$12*(1+Inputs!$B$13/100))-(Inputs!$B$12*(1+Inputs!$B$13/100)))+0.25*(Inputs!$B$14-Inputs!$B$14))*(1+Inputs!$B$7/100))*(F2101/100)</f>
        <v/>
      </c>
      <c r="K2101">
        <f>J2101*(1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2103=TRUE,F2103,0)/100)*(1+(IF(Skills!A9="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2101)</f>
        <v/>
      </c>
      <c r="L2101">
        <f>K2101*(MIN(Inputs!$B$22+((C2117=TRUE)*(F2117-Calc!F25)),(Inputs!$B$23+((C2122=TRUE)*(F2122-Calc!F30))+(IF(ArtifactsInput!$M$15,CHOOSE(ArtifactsInput!$N$15+1,25,30,35,40,45,50)/100*(Inputs!$B$11-Inputs!$B$11),0))))/100+(Inputs!$B$23+((C2122=TRUE)*(F2122-Calc!F30))+(IF(ArtifactsInput!$M$15,CHOOSE(ArtifactsInput!$N$15+1,25,30,35,40,45,50)/100*(Inputs!$B$11-Inputs!$B$11),0)))/100)/2</f>
        <v/>
      </c>
      <c r="M2101">
        <f>L2101*(1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101">
        <f>L2101*(1-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1">
        <f>(1-Summary!$B$11)*T2101+Summary!$B$11*V2101</f>
        <v/>
      </c>
      <c r="P2101">
        <f>IF(B2136=0,0,O2101/B2136)</f>
        <v/>
      </c>
      <c r="Q2101">
        <f>IFERROR(1/(IF(Inputs!$B$38="pvp",15,MAX(0.1,Skills!D9-IF(Skills!E9=TRUE,Inputs!$B$32,0)))*(1-IF(AND(ArtifactsInput!$M$27,Inputs!$B$4="Chapter Hunt"),CHOOSE(ArtifactsInput!$N$27+1,20,24,28,32,36,40),0)/100)),0)</f>
        <v/>
      </c>
      <c r="R2101">
        <f>IF(AND(Inputs!$B$38&lt;&gt;"pvp",Inputs!$B$43&gt;0),IF(MAX(0,Inputs!$B$43-B2133)&lt;=0,0,(INT(MAX(0,Inputs!$B$43-B2133)/(IF(Inputs!$B$38="pvp",15,MAX(0.1,Skills!D9-IF(Skills!E9=TRUE,Inputs!$B$32,0)))*(1-IF(AND(ArtifactsInput!$M$27,Inputs!$B$4="Chapter Hunt"),CHOOSE(ArtifactsInput!$N$27+1,20,24,28,32,36,40),0)/100)))+1)),0)</f>
        <v/>
      </c>
      <c r="S2101">
        <f>IFERROR(O2101/N2101,0)</f>
        <v/>
      </c>
      <c r="T2101">
        <f>IF(C2101,(H2101*N2101*IF(AND(Inputs!$B$38&lt;&gt;"pvp",Inputs!$B$43&gt;0),((Skills!G9*((R2101-1)*IF(Skills!H9&gt;0,Skills!I9/Skills!H9,1)+IF(Skills!H9&gt;0,MIN(Skills!I9,MAX(0,MAX(0,Inputs!$B$43-B2133)-((R2101-1)*(IF(Inputs!$B$38="pvp",15,MAX(0.1,Skills!D9-IF(Skills!E9=TRUE,Inputs!$B$32,0)))*(1-IF(AND(ArtifactsInput!$M$27,Inputs!$B$4="Chapter Hunt"),CHOOSE(ArtifactsInput!$N$27+1,20,24,28,32,36,40),0)/100)))))/Skills!H9,1)))/Inputs!$B$43),G2101*Q2101)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2101*(1-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1">
        <f>IF(C2101,(H2101*N2101*IF(AND(Inputs!$B$38&lt;&gt;"pvp",Inputs!$B$43&gt;0),((Skills!G9*((R2101-1)*IF(Skills!H9&gt;0,Skills!I9/Skills!H9,1)+IF(Skills!H9&gt;0,MIN(Skills!I9,MAX(0,MAX(0,Inputs!$B$43-B2133)-((R2101-1)*(IF(Inputs!$B$38="pvp",15,MAX(0.1,Skills!D9-IF(Skills!E9=TRUE,Inputs!$B$32,0)))*(1-IF(AND(ArtifactsInput!$M$27,Inputs!$B$4="Chapter Hunt"),CHOOSE(ArtifactsInput!$N$27+1,20,24,28,32,36,40),0)/100)))))/Skills!H9,1)))/Inputs!$B$43),G2101*Q2101))*IF(Inputs!$B$38="pvp",1,(1+(Inputs!$B$21+Skills!Q9+(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2">
      <c r="A2102">
        <f>Skills!A10</f>
        <v/>
      </c>
      <c r="B2102">
        <f>Skills!B10</f>
        <v/>
      </c>
      <c r="C2102">
        <f>Inputs!$B$3&gt;=103</f>
        <v/>
      </c>
      <c r="D2102">
        <f>IF(Skills!C10=1,60+Inputs!$B$25+Inputs!$B$29,IF(Skills!C10=2,90+Inputs!$B$26+Inputs!$B$29,IF(Skills!C10=3,120+Inputs!$B$27+Inputs!$B$29,MAX(0,(Inputs!$B$3-100)*3)+Inputs!$B$28+Inputs!$B$29)))</f>
        <v/>
      </c>
      <c r="E2102">
        <f>INDEX(FactorTable!$B$2:$Y$301, MATCH(ROUND(MIN(300,MAX(1,D2102)),0), FactorTable!$A$2:$A$301,0), Skills!M10+1)</f>
        <v/>
      </c>
      <c r="F2102">
        <f>IF(Skills!N10=TRUE,(Skills!L10/10)*(E2102/1000),Skills!L10/10)+Skills!O10</f>
        <v/>
      </c>
      <c r="G2102">
        <f>Skills!G10*IF(Skills!H10&gt;0,Skills!I10/Skills!H10,1)</f>
        <v/>
      </c>
      <c r="H2102">
        <f>1-(1-Skills!J10/100)^Skills!K10</f>
        <v/>
      </c>
      <c r="I2102" t="inlineStr">
        <is>
          <t>1</t>
        </is>
      </c>
      <c r="J2102">
        <f>((Inputs!$B$6*(1+Inputs!$B$7/100))+(((Inputs!$B$12*(1+Inputs!$B$13/100))-(Inputs!$B$12*(1+Inputs!$B$13/100)))+0.25*(Inputs!$B$14-Inputs!$B$14))*(1+Inputs!$B$7/100))*(F2102/100)</f>
        <v/>
      </c>
      <c r="K2102">
        <f>J2102*(1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2102)</f>
        <v/>
      </c>
      <c r="L2102">
        <f>K2102*(MIN(Inputs!$B$22+((C2117=TRUE)*(F2117-Calc!F25)),(Inputs!$B$23+((C2122=TRUE)*(F2122-Calc!F30))+(IF(ArtifactsInput!$M$15,CHOOSE(ArtifactsInput!$N$15+1,25,30,35,40,45,50)/100*(Inputs!$B$11-Inputs!$B$11),0))))/100+(Inputs!$B$23+((C2122=TRUE)*(F2122-Calc!F30))+(IF(ArtifactsInput!$M$15,CHOOSE(ArtifactsInput!$N$15+1,25,30,35,40,45,50)/100*(Inputs!$B$11-Inputs!$B$11),0)))/100)/2</f>
        <v/>
      </c>
      <c r="M2102">
        <f>L2102*(1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102">
        <f>L2102*(1-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2102*(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2">
        <f>(1-Summary!$B$11)*T2102+Summary!$B$11*V2102</f>
        <v/>
      </c>
      <c r="P2102">
        <f>IF(B2136=0,0,O2102/B2136)</f>
        <v/>
      </c>
      <c r="Q2102">
        <f>IFERROR(1/(IF(Inputs!$B$38="pvp",15,MAX(0.1,Skills!D10-IF(Skills!E10=TRUE,Inputs!$B$32,0)))*(1-IF(AND(ArtifactsInput!$M$27,Inputs!$B$4="Chapter Hunt"),CHOOSE(ArtifactsInput!$N$27+1,20,24,28,32,36,40),0)/100)),0)</f>
        <v/>
      </c>
      <c r="R2102">
        <f>IF(AND(Inputs!$B$38&lt;&gt;"pvp",Inputs!$B$43&gt;0),IF(MAX(0,Inputs!$B$43-B2133)&lt;=0,0,(INT(MAX(0,Inputs!$B$43-B2133)/(IF(Inputs!$B$38="pvp",15,MAX(0.1,Skills!D10-IF(Skills!E10=TRUE,Inputs!$B$32,0)))*(1-IF(AND(ArtifactsInput!$M$27,Inputs!$B$4="Chapter Hunt"),CHOOSE(ArtifactsInput!$N$27+1,20,24,28,32,36,40),0)/100)))+1)),0)</f>
        <v/>
      </c>
      <c r="S2102">
        <f>IFERROR(O2102/N2102,0)</f>
        <v/>
      </c>
      <c r="T2102">
        <f>IF(C2102,(H2102*N2102*IF(AND(Inputs!$B$38&lt;&gt;"pvp",Inputs!$B$43&gt;0),((Skills!G10*((R2102-1)*IF(Skills!H10&gt;0,Skills!I10/Skills!H10,1)+IF(Skills!H10&gt;0,MIN(Skills!I10,MAX(0,MAX(0,Inputs!$B$43-B2133)-((R2102-1)*(IF(Inputs!$B$38="pvp",15,MAX(0.1,Skills!D10-IF(Skills!E10=TRUE,Inputs!$B$32,0)))*(1-IF(AND(ArtifactsInput!$M$27,Inputs!$B$4="Chapter Hunt"),CHOOSE(ArtifactsInput!$N$27+1,20,24,28,32,36,40),0)/100)))))/Skills!H10,1)))/Inputs!$B$43),G2102*Q2102)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2102*(1-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2102*(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2102*(1-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2102*(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2">
        <f>IF(C2102,(H2102*N2102*IF(AND(Inputs!$B$38&lt;&gt;"pvp",Inputs!$B$43&gt;0),((Skills!G10*((R2102-1)*IF(Skills!H10&gt;0,Skills!I10/Skills!H10,1)+IF(Skills!H10&gt;0,MIN(Skills!I10,MAX(0,MAX(0,Inputs!$B$43-B2133)-((R2102-1)*(IF(Inputs!$B$38="pvp",15,MAX(0.1,Skills!D10-IF(Skills!E10=TRUE,Inputs!$B$32,0)))*(1-IF(AND(ArtifactsInput!$M$27,Inputs!$B$4="Chapter Hunt"),CHOOSE(ArtifactsInput!$N$27+1,20,24,28,32,36,40),0)/100)))))/Skills!H10,1)))/Inputs!$B$43),G2102*Q2102))*IF(Inputs!$B$38="pvp",1,(1+(Inputs!$B$21+Skills!Q10+(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3">
      <c r="A2103">
        <f>Skills!A11</f>
        <v/>
      </c>
      <c r="B2103">
        <f>Skills!B11</f>
        <v/>
      </c>
      <c r="C2103">
        <f>Inputs!$B$3&gt;=100</f>
        <v/>
      </c>
      <c r="D2103">
        <f>IF(Skills!C11=1,60+Inputs!$B$25+Inputs!$B$29,IF(Skills!C11=2,90+Inputs!$B$26+Inputs!$B$29,IF(Skills!C11=3,120+Inputs!$B$27+Inputs!$B$29,MAX(0,(Inputs!$B$3-100)*3)+Inputs!$B$28+Inputs!$B$29)))</f>
        <v/>
      </c>
      <c r="E2103">
        <f>INDEX(FactorTable!$B$2:$Y$301, MATCH(ROUND(MIN(300,MAX(1,D2103)),0), FactorTable!$A$2:$A$301,0), Skills!M11+1)</f>
        <v/>
      </c>
      <c r="F2103">
        <f>IF(Skills!N11=TRUE,(Skills!L11/10)*(E2103/1000),Skills!L11/10)+Skills!O11</f>
        <v/>
      </c>
      <c r="G2103" t="inlineStr"/>
      <c r="H2103" t="inlineStr"/>
      <c r="I2103" t="inlineStr">
        <is>
          <t>1</t>
        </is>
      </c>
      <c r="J2103" t="inlineStr"/>
      <c r="K2103" t="inlineStr"/>
      <c r="L2103" t="inlineStr"/>
      <c r="M2103" t="inlineStr"/>
      <c r="N2103" t="inlineStr"/>
      <c r="O2103" t="inlineStr"/>
      <c r="P2103" t="inlineStr"/>
      <c r="Q2103" t="inlineStr"/>
      <c r="R2103" t="inlineStr"/>
      <c r="S2103" t="inlineStr"/>
      <c r="T2103" t="inlineStr"/>
      <c r="V2103" t="inlineStr"/>
    </row>
    <row r="2104">
      <c r="A2104">
        <f>Skills!A12</f>
        <v/>
      </c>
      <c r="B2104">
        <f>Skills!B12</f>
        <v/>
      </c>
      <c r="C2104">
        <f>Inputs!$B$3&gt;=60</f>
        <v/>
      </c>
      <c r="D2104">
        <f>IF(Skills!C12=1,60+Inputs!$B$25+Inputs!$B$29,IF(Skills!C12=2,90+Inputs!$B$26+Inputs!$B$29,IF(Skills!C12=3,120+Inputs!$B$27+Inputs!$B$29,MAX(0,(Inputs!$B$3-100)*3)+Inputs!$B$28+Inputs!$B$29)))</f>
        <v/>
      </c>
      <c r="E2104">
        <f>INDEX(FactorTable!$B$2:$Y$301, MATCH(ROUND(MIN(300,MAX(1,D2104)),0), FactorTable!$A$2:$A$301,0), Skills!M12+1)</f>
        <v/>
      </c>
      <c r="F2104">
        <f>IF(Skills!N12=TRUE,(Skills!L12/10)*(E2104/1000),Skills!L12/10)+Skills!O12</f>
        <v/>
      </c>
      <c r="G2104">
        <f>Skills!G12*IF(Skills!H12&gt;0,Skills!I12/Skills!H12,1)</f>
        <v/>
      </c>
      <c r="H2104">
        <f>1-(1-Skills!J12/100)^Skills!K12</f>
        <v/>
      </c>
      <c r="I2104" t="inlineStr">
        <is>
          <t>1</t>
        </is>
      </c>
      <c r="J2104">
        <f>((Inputs!$B$6*(1+Inputs!$B$7/100))+(((Inputs!$B$12*(1+Inputs!$B$13/100))-(Inputs!$B$12*(1+Inputs!$B$13/100)))+0.25*(Inputs!$B$14-Inputs!$B$14))*(1+Inputs!$B$7/100))*(F2104/100)</f>
        <v/>
      </c>
      <c r="K2104">
        <f>J2104*(1+((Inputs!$B$12*(1+Inputs!$B$13/100))*0.01+Inputs!$B$14*0.0025)/100)*(1+Inputs!$B$15/100)*(1+Inputs!$B$16/100)*(5000/(6000+Inputs!$B$42*(1-(100*(1-(1-(Inputs!$B$19+((C2120=TRUE)*(F2120-Calc!F28)))/100)*(1-CHOOSE(ArtifactsInput!$N$40+1,5,6,7,8,9,10)/100)^(ArtifactsInput!$M$40-ArtifactsInput!$M$40)))/100)))*(1+(Inputs!$B$24+((C2118=TRUE)*(F2118-Calc!F26))+((C2119=TRUE)*(F2119-Calc!F27))+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2105=TRUE,F2105,0)/100)*(1+(IF(Skills!A12="ARROW_STREAM",Inputs!$B$17+((C2116=TRUE)*(F2116-Calc!F24))+(((IF(AND(ArtifactsInput!$M$42,((Inputs!$B$9+((C2113=TRUE)*(F2113-Calc!F21))+B2126+(IF(ArtifactsInput!$M$24,FALSE,TRUE)-ArtifactsInput!$M$24)*CHOOSE(ArtifactsInput!$N$24+1,10,12,14,16,18,20)+IF(ArtifactsInput!$M$10,CHOOSE(ArtifactsInput!$N$10+1,15,18,21,24,27,30)*(IF(Inputs!$B$38="pvp",MIN(15,15)/15,IF(AND(Inputs!$B$38&lt;&gt;"pvp",Inputs!$B$43&gt;0),MIN(15,Inputs!$B$43)/(Inputs!$B$43),0))),0)))&gt;=100),MIN(100,((Inputs!$B$9+((C2113=TRUE)*(F2113-Calc!F21))+B2126+(IF(ArtifactsInput!$M$24,FALSE,TRUE)-ArtifactsInput!$M$24)*CHOOSE(ArtifactsInput!$N$24+1,10,12,14,16,18,20)+IF(ArtifactsInput!$M$10,CHOOSE(ArtifactsInput!$N$10+1,15,18,21,24,27,30)*(IF(Inputs!$B$38="pvp",MIN(15,15)/15,IF(AND(Inputs!$B$38&lt;&gt;"pvp",Inputs!$B$43&gt;0),MIN(15,Inputs!$B$43)/(Inputs!$B$43),0))),0)))-100),0))*CHOOSE(ArtifactsInput!$N$42+1,0.6,0.72,0.84,0.96,1.08,1.2))),Inputs!$B$18+((C2121=TRUE)*(F2121-Calc!F29))+(IF(AND(ArtifactsInput!$M$42,((Inputs!$B$9+((C2113=TRUE)*(F2113-Calc!F21))+B2126+(IF(ArtifactsInput!$M$24,FALSE,TRUE)-ArtifactsInput!$M$24)*CHOOSE(ArtifactsInput!$N$24+1,10,12,14,16,18,20)+IF(ArtifactsInput!$M$10,CHOOSE(ArtifactsInput!$N$10+1,15,18,21,24,27,30)*(IF(Inputs!$B$38="pvp",MIN(15,15)/15,IF(AND(Inputs!$B$38&lt;&gt;"pvp",Inputs!$B$43&gt;0),MIN(15,Inputs!$B$43)/(Inputs!$B$43),0))),0)))&gt;=100),CHOOSE(ArtifactsInput!$N$42+1,40,48,56,64,72,80),0))))/100)*((1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2104)</f>
        <v/>
      </c>
      <c r="L2104">
        <f>K2104*(MIN(Inputs!$B$22+((C2117=TRUE)*(F2117-Calc!F25)),(Inputs!$B$23+((C2122=TRUE)*(F2122-Calc!F30))+(IF(ArtifactsInput!$M$15,CHOOSE(ArtifactsInput!$N$15+1,25,30,35,40,45,50)/100*(Inputs!$B$11-Inputs!$B$11),0))))/100+(Inputs!$B$23+((C2122=TRUE)*(F2122-Calc!F30))+(IF(ArtifactsInput!$M$15,CHOOSE(ArtifactsInput!$N$15+1,25,30,35,40,45,50)/100*(Inputs!$B$11-Inputs!$B$11),0)))/100)/2</f>
        <v/>
      </c>
      <c r="M2104">
        <f>L2104*(1+(Inputs!$B$10+0+B2131+((IF(IF(ArtifactsInput!$M$24,FALSE,TRUE),1,-1)*CHOOSE(ArtifactsInput!$N$24+1,30,36,42,48,54,60)/100*IF(IF(ArtifactsInput!$M$24,FALSE,TRUE),(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104">
        <f>L2104*(1-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2104*(MIN((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4">
        <f>(1-Summary!$B$11)*T2104+Summary!$B$11*V2104</f>
        <v/>
      </c>
      <c r="P2104">
        <f>IF(B2136=0,0,O2104/B2136)</f>
        <v/>
      </c>
      <c r="Q2104">
        <f>IFERROR(1/(IF(Inputs!$B$38="pvp",15,MAX(0.1,Skills!D12-IF(Skills!E12=TRUE,Inputs!$B$32,0)))*(1-IF(AND(ArtifactsInput!$M$27,Inputs!$B$4="Chapter Hunt"),CHOOSE(ArtifactsInput!$N$27+1,20,24,28,32,36,40),0)/100)),0)</f>
        <v/>
      </c>
      <c r="R2104">
        <f>IF(AND(Inputs!$B$38&lt;&gt;"pvp",Inputs!$B$43&gt;0),IF(MAX(0,Inputs!$B$43-B2133)&lt;=0,0,(INT(MAX(0,Inputs!$B$43-B2133)/(IF(Inputs!$B$38="pvp",15,MAX(0.1,Skills!D12-IF(Skills!E12=TRUE,Inputs!$B$32,0)))*(1-IF(AND(ArtifactsInput!$M$27,Inputs!$B$4="Chapter Hunt"),CHOOSE(ArtifactsInput!$N$27+1,20,24,28,32,36,40),0)/100)))+1)),0)</f>
        <v/>
      </c>
      <c r="S2104">
        <f>IFERROR(O2104/N2104,0)</f>
        <v/>
      </c>
      <c r="T2104">
        <f>IF(C2104,(H2104*N2104*IF(AND(Inputs!$B$38&lt;&gt;"pvp",Inputs!$B$43&gt;0),((Skills!G12*((R2104-1)*IF(Skills!H12&gt;0,Skills!I12/Skills!H12,1)+IF(Skills!H12&gt;0,MIN(Skills!I12,MAX(0,MAX(0,Inputs!$B$43-B2133)-((R2104-1)*(IF(Inputs!$B$38="pvp",15,MAX(0.1,Skills!D12-IF(Skills!E12=TRUE,Inputs!$B$32,0)))*(1-IF(AND(ArtifactsInput!$M$27,Inputs!$B$4="Chapter Hunt"),CHOOSE(ArtifactsInput!$N$27+1,20,24,28,32,36,40),0)/100)))))/Skills!H12,1)))/Inputs!$B$43),G2104*Q2104)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(5000/(6000+Inputs!$B$42*(1-(100*(1-(1-(100*(1-(1-(Inputs!$B$19+((C2120=TRUE)*(F2120-Calc!F28)))/100)*(1-CHOOSE(ArtifactsInput!$N$40+1,5,6,7,8,9,10)/100)^(ArtifactsInput!$M$40-ArtifactsInput!$M$40)))/100)*(1-IF(ArtifactsInput!$M$40,CHOOSE(ArtifactsInput!$N$40+1,5,6,7,8,9,10),0)/100)^IF(Inputs!$B$38="pvp",1,2)))/100)))/(5000/(6000+Inputs!$B$42*(1-(100*(1-(1-(Inputs!$B$19+((C2120=TRUE)*(F2120-Calc!F28)))/100)*(1-CHOOSE(ArtifactsInput!$N$40+1,5,6,7,8,9,10)/100)^(ArtifactsInput!$M$40-ArtifactsInput!$M$40)))/100))))*((L2104*(1-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2104*(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2104*(1-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2104*(MIN(100,(Inputs!$B$9+((C2113=TRUE)*(F2113-Calc!F21))+B2126+(IF(ArtifactsInput!$M$24,FALSE,TRUE)-ArtifactsInput!$M$24)*CHOOSE(ArtifactsInput!$N$24+1,10,12,14,16,18,20)+(IF(AND(ArtifactsInput!$M$42,((Inputs!$B$9+((C2113=TRUE)*(F2113-Calc!F21))+B2126+(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4">
        <f>IF(C2104,(H2104*N2104*IF(AND(Inputs!$B$38&lt;&gt;"pvp",Inputs!$B$43&gt;0),((Skills!G12*((R2104-1)*IF(Skills!H12&gt;0,Skills!I12/Skills!H12,1)+IF(Skills!H12&gt;0,MIN(Skills!I12,MAX(0,MAX(0,Inputs!$B$43-B2133)-((R2104-1)*(IF(Inputs!$B$38="pvp",15,MAX(0.1,Skills!D12-IF(Skills!E12=TRUE,Inputs!$B$32,0)))*(1-IF(AND(ArtifactsInput!$M$27,Inputs!$B$4="Chapter Hunt"),CHOOSE(ArtifactsInput!$N$27+1,20,24,28,32,36,40),0)/100)))))/Skills!H12,1)))/Inputs!$B$43),G2104*Q2104))*IF(Inputs!$B$38="pvp",1,(1+(Inputs!$B$21+Skills!Q12+(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5">
      <c r="A2105">
        <f>Skills!A13</f>
        <v/>
      </c>
      <c r="B2105">
        <f>Skills!B13</f>
        <v/>
      </c>
      <c r="C2105">
        <f>Inputs!$B$3&gt;=110</f>
        <v/>
      </c>
      <c r="D2105">
        <f>IF(Skills!C13=1,60+Inputs!$B$25+Inputs!$B$29,IF(Skills!C13=2,90+Inputs!$B$26+Inputs!$B$29,IF(Skills!C13=3,120+Inputs!$B$27+Inputs!$B$29,MAX(0,(Inputs!$B$3-100)*3)+Inputs!$B$28+Inputs!$B$29)))</f>
        <v/>
      </c>
      <c r="E2105">
        <f>INDEX(FactorTable!$B$2:$Y$301, MATCH(ROUND(MIN(300,MAX(1,D2105)),0), FactorTable!$A$2:$A$301,0), Skills!M13+1)</f>
        <v/>
      </c>
      <c r="F2105">
        <f>IF(Skills!N13=TRUE,(Skills!L13/10)*(E2105/1000),Skills!L13/10)+Skills!O13</f>
        <v/>
      </c>
      <c r="G2105" t="inlineStr"/>
      <c r="H2105" t="inlineStr"/>
      <c r="I2105" t="inlineStr">
        <is>
          <t>1</t>
        </is>
      </c>
      <c r="J2105" t="inlineStr"/>
      <c r="K2105" t="inlineStr"/>
      <c r="L2105" t="inlineStr"/>
      <c r="M2105" t="inlineStr"/>
      <c r="N2105" t="inlineStr"/>
      <c r="O2105" t="inlineStr"/>
      <c r="P2105" t="inlineStr"/>
      <c r="Q2105" t="inlineStr"/>
      <c r="R2105" t="inlineStr"/>
      <c r="S2105" t="inlineStr"/>
      <c r="T2105" t="inlineStr"/>
      <c r="V2105" t="inlineStr"/>
    </row>
    <row r="2106">
      <c r="A2106">
        <f>Skills!A14</f>
        <v/>
      </c>
      <c r="B2106">
        <f>Skills!B14</f>
        <v/>
      </c>
      <c r="C2106">
        <f>Inputs!$B$3&gt;=74</f>
        <v/>
      </c>
      <c r="D2106">
        <f>IF(Skills!C14=1,60+Inputs!$B$25+Inputs!$B$29,IF(Skills!C14=2,90+Inputs!$B$26+Inputs!$B$29,IF(Skills!C14=3,120+Inputs!$B$27+Inputs!$B$29,MAX(0,(Inputs!$B$3-100)*3)+Inputs!$B$28+Inputs!$B$29)))</f>
        <v/>
      </c>
      <c r="E2106">
        <f>INDEX(FactorTable!$B$2:$Y$301, MATCH(ROUND(MIN(300,MAX(1,D2106)),0), FactorTable!$A$2:$A$301,0), Skills!M14+1)</f>
        <v/>
      </c>
      <c r="F2106">
        <f>IF(Skills!N14=TRUE,(Skills!L14/10)*(E2106/1000),Skills!L14/10)+Skills!O14</f>
        <v/>
      </c>
      <c r="G2106">
        <f>Skills!G14*IF(Skills!H14&gt;0,Skills!I14/Skills!H14,1)</f>
        <v/>
      </c>
      <c r="H2106">
        <f>1-(1-Skills!J14/100)^Skills!K14</f>
        <v/>
      </c>
      <c r="I2106" t="inlineStr">
        <is>
          <t>1</t>
        </is>
      </c>
      <c r="J2106" t="inlineStr"/>
      <c r="K2106" t="inlineStr"/>
      <c r="L2106" t="inlineStr"/>
      <c r="M2106" t="inlineStr"/>
      <c r="N2106" t="inlineStr"/>
      <c r="O2106">
        <f>(1-Summary!$B$11)*T2106+Summary!$B$11*V2106</f>
        <v/>
      </c>
      <c r="P2106">
        <f>IF(B2136=0,0,O2106/B2136)</f>
        <v/>
      </c>
      <c r="Q2106" t="n">
        <v>0</v>
      </c>
      <c r="R2106" t="n">
        <v>0</v>
      </c>
      <c r="S2106">
        <f>IFERROR(O2106/N2106,0)</f>
        <v/>
      </c>
      <c r="T2106" t="n">
        <v>0</v>
      </c>
      <c r="V2106" t="n">
        <v>0</v>
      </c>
    </row>
    <row r="2107">
      <c r="A2107">
        <f>Skills!A15</f>
        <v/>
      </c>
      <c r="B2107">
        <f>Skills!B15</f>
        <v/>
      </c>
      <c r="C2107">
        <f>Inputs!$B$3&gt;=74</f>
        <v/>
      </c>
      <c r="D2107">
        <f>IF(Skills!C15=1,60+Inputs!$B$25+Inputs!$B$29,IF(Skills!C15=2,90+Inputs!$B$26+Inputs!$B$29,IF(Skills!C15=3,120+Inputs!$B$27+Inputs!$B$29,MAX(0,(Inputs!$B$3-100)*3)+Inputs!$B$28+Inputs!$B$29)))</f>
        <v/>
      </c>
      <c r="E2107">
        <f>INDEX(FactorTable!$B$2:$Y$301, MATCH(ROUND(MIN(300,MAX(1,D2107)),0), FactorTable!$A$2:$A$301,0), Skills!M15+1)</f>
        <v/>
      </c>
      <c r="F2107">
        <f>IF(Skills!N15=TRUE,(Skills!L15/10)*(E2107/1000),Skills!L15/10)+Skills!O15</f>
        <v/>
      </c>
      <c r="G2107">
        <f>Skills!G15*IF(Skills!H15&gt;0,Skills!I15/Skills!H15,1)</f>
        <v/>
      </c>
      <c r="H2107">
        <f>1-(1-Skills!J15/100)^Skills!K15</f>
        <v/>
      </c>
      <c r="I2107" t="inlineStr">
        <is>
          <t>1</t>
        </is>
      </c>
      <c r="J2107" t="inlineStr"/>
      <c r="K2107" t="inlineStr"/>
      <c r="L2107" t="inlineStr"/>
      <c r="M2107" t="inlineStr"/>
      <c r="N2107" t="inlineStr"/>
      <c r="O2107">
        <f>(1-Summary!$B$11)*T2107+Summary!$B$11*V2107</f>
        <v/>
      </c>
      <c r="P2107">
        <f>IF(B2136=0,0,O2107/B2136)</f>
        <v/>
      </c>
      <c r="Q2107" t="n">
        <v>0</v>
      </c>
      <c r="R2107" t="n">
        <v>0</v>
      </c>
      <c r="S2107">
        <f>IFERROR(O2107/N2107,0)</f>
        <v/>
      </c>
      <c r="T2107" t="n">
        <v>0</v>
      </c>
      <c r="V2107" t="n">
        <v>0</v>
      </c>
    </row>
    <row r="2108">
      <c r="A2108">
        <f>Skills!A16</f>
        <v/>
      </c>
      <c r="B2108">
        <f>Skills!B16</f>
        <v/>
      </c>
      <c r="C2108">
        <f>Inputs!$B$3&gt;=117</f>
        <v/>
      </c>
      <c r="D2108">
        <f>IF(Skills!C16=1,60+Inputs!$B$25+Inputs!$B$29,IF(Skills!C16=2,90+Inputs!$B$26+Inputs!$B$29,IF(Skills!C16=3,120+Inputs!$B$27+Inputs!$B$29,MAX(0,(Inputs!$B$3-100)*3)+Inputs!$B$28+Inputs!$B$29)))</f>
        <v/>
      </c>
      <c r="E2108">
        <f>INDEX(FactorTable!$B$2:$Y$301, MATCH(ROUND(MIN(300,MAX(1,D2108)),0), FactorTable!$A$2:$A$301,0), Skills!M16+1)</f>
        <v/>
      </c>
      <c r="F2108">
        <f>IF(Skills!N16=TRUE,(Skills!L16/10)*(E2108/1000),Skills!L16/10)+Skills!O16</f>
        <v/>
      </c>
      <c r="G2108">
        <f>Skills!G16*IF(Skills!H16&gt;0,Skills!I16/Skills!H16,1)</f>
        <v/>
      </c>
      <c r="H2108">
        <f>1-(1-Skills!J16/100)^Skills!K16</f>
        <v/>
      </c>
      <c r="I2108" t="inlineStr">
        <is>
          <t>1</t>
        </is>
      </c>
      <c r="J2108" t="inlineStr"/>
      <c r="K2108" t="inlineStr"/>
      <c r="L2108" t="inlineStr"/>
      <c r="M2108" t="inlineStr"/>
      <c r="N2108" t="inlineStr"/>
      <c r="O2108">
        <f>(1-Summary!$B$11)*T2108+Summary!$B$11*V2108</f>
        <v/>
      </c>
      <c r="P2108">
        <f>IF(B2136=0,0,O2108/B2136)</f>
        <v/>
      </c>
      <c r="Q2108">
        <f>IFERROR(1/(IF(Inputs!$B$38="pvp",15,MAX(0.1,Skills!D16-IF(Skills!E16=TRUE,Inputs!$B$32,0)))*(1-IF(AND(ArtifactsInput!$M$27,Inputs!$B$4="Chapter Hunt"),CHOOSE(ArtifactsInput!$N$27+1,20,24,28,32,36,40),0)/100)),0)</f>
        <v/>
      </c>
      <c r="R2108">
        <f>IF(AND(Inputs!$B$38&lt;&gt;"pvp",Inputs!$B$43&gt;0),IF(Inputs!$B$43&lt;=0,0,(INT(Inputs!$B$43/(IF(Inputs!$B$38="pvp",15,MAX(0.1,Skills!D16-IF(Skills!E16=TRUE,Inputs!$B$32,0)))*(1-IF(AND(ArtifactsInput!$M$27,Inputs!$B$4="Chapter Hunt"),CHOOSE(ArtifactsInput!$N$27+1,20,24,28,32,36,40),0)/100)))+1)),0)</f>
        <v/>
      </c>
      <c r="S2108">
        <f>IFERROR(O2108/N2108,0)</f>
        <v/>
      </c>
      <c r="T2108" t="n">
        <v>0</v>
      </c>
      <c r="V2108" t="n">
        <v>0</v>
      </c>
    </row>
    <row r="2109">
      <c r="A2109">
        <f>Skills!A17</f>
        <v/>
      </c>
      <c r="B2109">
        <f>Skills!B17</f>
        <v/>
      </c>
      <c r="C2109">
        <f>Inputs!$B$3&gt;=115</f>
        <v/>
      </c>
      <c r="D2109">
        <f>IF(Skills!C17=1,60+Inputs!$B$25+Inputs!$B$29,IF(Skills!C17=2,90+Inputs!$B$26+Inputs!$B$29,IF(Skills!C17=3,120+Inputs!$B$27+Inputs!$B$29,MAX(0,(Inputs!$B$3-100)*3)+Inputs!$B$28+Inputs!$B$29)))</f>
        <v/>
      </c>
      <c r="E2109">
        <f>INDEX(FactorTable!$B$2:$Y$301, MATCH(ROUND(MIN(300,MAX(1,D2109)),0), FactorTable!$A$2:$A$301,0), Skills!M17+1)</f>
        <v/>
      </c>
      <c r="F2109">
        <f>IF(Skills!N17=TRUE,(Skills!L17/10)*(E2109/1000),Skills!L17/10)+Skills!O17</f>
        <v/>
      </c>
      <c r="G2109">
        <f>Skills!G17*IF(Skills!H17&gt;0,Skills!I17/Skills!H17,1)</f>
        <v/>
      </c>
      <c r="H2109">
        <f>1-(1-Skills!J17/100)^Skills!K17</f>
        <v/>
      </c>
      <c r="I2109" t="inlineStr">
        <is>
          <t>1</t>
        </is>
      </c>
      <c r="J2109" t="inlineStr"/>
      <c r="K2109" t="inlineStr"/>
      <c r="L2109" t="inlineStr"/>
      <c r="M2109" t="inlineStr"/>
      <c r="N2109" t="inlineStr"/>
      <c r="O2109">
        <f>(1-Summary!$B$11)*T2109+Summary!$B$11*V2109</f>
        <v/>
      </c>
      <c r="P2109">
        <f>IF(B2136=0,0,O2109/B2136)</f>
        <v/>
      </c>
      <c r="Q2109">
        <f>IFERROR(1/(IF(Inputs!$B$38="pvp",15,MAX(0.1,Skills!D17-IF(Skills!E17=TRUE,Inputs!$B$32,0)))*(1-IF(AND(ArtifactsInput!$M$27,Inputs!$B$4="Chapter Hunt"),CHOOSE(ArtifactsInput!$N$27+1,20,24,28,32,36,40),0)/100)),0)</f>
        <v/>
      </c>
      <c r="R2109">
        <f>IF(AND(Inputs!$B$38&lt;&gt;"pvp",Inputs!$B$43&gt;0),IF(Inputs!$B$43&lt;=0,0,(INT(Inputs!$B$43/(IF(Inputs!$B$38="pvp",15,MAX(0.1,Skills!D17-IF(Skills!E17=TRUE,Inputs!$B$32,0)))*(1-IF(AND(ArtifactsInput!$M$27,Inputs!$B$4="Chapter Hunt"),CHOOSE(ArtifactsInput!$N$27+1,20,24,28,32,36,40),0)/100)))+1)),0)</f>
        <v/>
      </c>
      <c r="S2109">
        <f>IFERROR(O2109/N2109,0)</f>
        <v/>
      </c>
      <c r="T2109" t="n">
        <v>0</v>
      </c>
      <c r="V2109" t="n">
        <v>0</v>
      </c>
    </row>
    <row r="2110">
      <c r="A2110">
        <f>Skills!A18</f>
        <v/>
      </c>
      <c r="B2110">
        <f>Skills!B18</f>
        <v/>
      </c>
      <c r="C2110">
        <f>Inputs!$B$3&gt;=66</f>
        <v/>
      </c>
      <c r="D2110">
        <f>IF(Skills!C18=1,60+Inputs!$B$25+Inputs!$B$29,IF(Skills!C18=2,90+Inputs!$B$26+Inputs!$B$29,IF(Skills!C18=3,120+Inputs!$B$27+Inputs!$B$29,MAX(0,(Inputs!$B$3-100)*3)+Inputs!$B$28+Inputs!$B$29)))</f>
        <v/>
      </c>
      <c r="E2110">
        <f>INDEX(FactorTable!$B$2:$Y$301, MATCH(ROUND(MIN(300,MAX(1,D2110)),0), FactorTable!$A$2:$A$301,0), Skills!M18+1)</f>
        <v/>
      </c>
      <c r="F2110">
        <f>IF(Skills!N18=TRUE,(Skills!L18/10)*(E2110/1000),Skills!L18/10)+Skills!O18</f>
        <v/>
      </c>
      <c r="G2110">
        <f>Skills!G18*IF(Skills!H18&gt;0,Skills!I18/Skills!H18,1)</f>
        <v/>
      </c>
      <c r="H2110">
        <f>1-(1-Skills!J18/100)^Skills!K18</f>
        <v/>
      </c>
      <c r="I2110" t="inlineStr">
        <is>
          <t>1</t>
        </is>
      </c>
      <c r="J2110" t="inlineStr"/>
      <c r="K2110" t="inlineStr"/>
      <c r="L2110" t="inlineStr"/>
      <c r="M2110" t="inlineStr"/>
      <c r="N2110" t="inlineStr"/>
      <c r="O2110">
        <f>(1-Summary!$B$11)*T2110+Summary!$B$11*V2110</f>
        <v/>
      </c>
      <c r="P2110">
        <f>IF(B2136=0,0,O2110/B2136)</f>
        <v/>
      </c>
      <c r="Q2110" t="n">
        <v>0</v>
      </c>
      <c r="R2110" t="n">
        <v>0</v>
      </c>
      <c r="S2110">
        <f>IFERROR(O2110/N2110,0)</f>
        <v/>
      </c>
      <c r="T2110" t="n">
        <v>0</v>
      </c>
      <c r="V2110" t="n">
        <v>0</v>
      </c>
    </row>
    <row r="2111">
      <c r="A2111">
        <f>Skills!A19</f>
        <v/>
      </c>
      <c r="B2111">
        <f>Skills!B19</f>
        <v/>
      </c>
      <c r="C2111">
        <f>Inputs!$B$3&gt;=72</f>
        <v/>
      </c>
      <c r="D2111">
        <f>IF(Skills!C19=1,60+Inputs!$B$25+Inputs!$B$29,IF(Skills!C19=2,90+Inputs!$B$26+Inputs!$B$29,IF(Skills!C19=3,120+Inputs!$B$27+Inputs!$B$29,MAX(0,(Inputs!$B$3-100)*3)+Inputs!$B$28+Inputs!$B$29)))</f>
        <v/>
      </c>
      <c r="E2111">
        <f>INDEX(FactorTable!$B$2:$Y$301, MATCH(ROUND(MIN(300,MAX(1,D2111)),0), FactorTable!$A$2:$A$301,0), Skills!M19+1)</f>
        <v/>
      </c>
      <c r="F2111">
        <f>IF(Skills!N19=TRUE,(Skills!L19/10)*(E2111/1000),Skills!L19/10)+Skills!O19</f>
        <v/>
      </c>
      <c r="G2111">
        <f>Skills!G19*IF(Skills!H19&gt;0,Skills!I19/Skills!H19,1)</f>
        <v/>
      </c>
      <c r="H2111">
        <f>1-(1-Skills!J19/100)^Skills!K19</f>
        <v/>
      </c>
      <c r="I2111" t="inlineStr">
        <is>
          <t>1</t>
        </is>
      </c>
      <c r="J2111" t="inlineStr"/>
      <c r="K2111" t="inlineStr"/>
      <c r="L2111" t="inlineStr"/>
      <c r="M2111" t="inlineStr"/>
      <c r="N2111" t="inlineStr"/>
      <c r="O2111">
        <f>(1-Summary!$B$11)*T2111+Summary!$B$11*V2111</f>
        <v/>
      </c>
      <c r="P2111">
        <f>IF(B2136=0,0,O2111/B2136)</f>
        <v/>
      </c>
      <c r="Q2111" t="n">
        <v>0</v>
      </c>
      <c r="R2111" t="n">
        <v>0</v>
      </c>
      <c r="S2111">
        <f>IFERROR(O2111/N2111,0)</f>
        <v/>
      </c>
      <c r="T2111" t="n">
        <v>0</v>
      </c>
      <c r="V2111" t="n">
        <v>0</v>
      </c>
    </row>
    <row r="2112">
      <c r="A2112">
        <f>Skills!A20</f>
        <v/>
      </c>
      <c r="B2112">
        <f>Skills!B20</f>
        <v/>
      </c>
      <c r="C2112">
        <f>TRUE</f>
        <v/>
      </c>
      <c r="D2112">
        <f>IF(Skills!C20=1,60+Inputs!$B$25+Inputs!$B$29,IF(Skills!C20=2,90+Inputs!$B$26+Inputs!$B$29,IF(Skills!C20=3,120+Inputs!$B$27+Inputs!$B$29,MAX(0,(Inputs!$B$3-100)*3)+Inputs!$B$28+Inputs!$B$29)))</f>
        <v/>
      </c>
      <c r="E2112">
        <f>INDEX(FactorTable!$B$2:$Y$301, MATCH(ROUND(MIN(300,MAX(1,D2112)),0), FactorTable!$A$2:$A$301,0), Skills!M20+1)</f>
        <v/>
      </c>
      <c r="F2112">
        <f>IF(Skills!N20=TRUE,(Skills!L20/10)*(E2112/1000),Skills!L20/10)+Skills!O20</f>
        <v/>
      </c>
      <c r="G2112">
        <f>Skills!G20*IF(Skills!H20&gt;0,Skills!I20/Skills!H20,1)</f>
        <v/>
      </c>
      <c r="H2112">
        <f>1-(1-Skills!J20/100)^Skills!K20</f>
        <v/>
      </c>
      <c r="I2112" t="inlineStr">
        <is>
          <t>1</t>
        </is>
      </c>
      <c r="J2112" t="inlineStr"/>
      <c r="K2112" t="inlineStr"/>
      <c r="L2112" t="inlineStr"/>
      <c r="M2112" t="inlineStr"/>
      <c r="N2112" t="inlineStr"/>
      <c r="O2112">
        <f>(1-Summary!$B$11)*T2112+Summary!$B$11*V2112</f>
        <v/>
      </c>
      <c r="P2112">
        <f>IF(B2136=0,0,O2112/B2136)</f>
        <v/>
      </c>
      <c r="Q2112">
        <f>IFERROR(1/(IF(Inputs!$B$38="pvp",15,MAX(0.1,Skills!D20-IF(Skills!E20=TRUE,Inputs!$B$32,0)))*(1-IF(AND(ArtifactsInput!$M$27,Inputs!$B$4="Chapter Hunt"),CHOOSE(ArtifactsInput!$N$27+1,20,24,28,32,36,40),0)/100)),0)</f>
        <v/>
      </c>
      <c r="R2112">
        <f>IF(AND(Inputs!$B$38&lt;&gt;"pvp",Inputs!$B$43&gt;0),IF(Inputs!$B$43&lt;=0,0,(INT(Inputs!$B$43/(IF(Inputs!$B$38="pvp",15,MAX(0.1,Skills!D20-IF(Skills!E20=TRUE,Inputs!$B$32,0)))*(1-IF(AND(ArtifactsInput!$M$27,Inputs!$B$4="Chapter Hunt"),CHOOSE(ArtifactsInput!$N$27+1,20,24,28,32,36,40),0)/100)))+1)),0)</f>
        <v/>
      </c>
      <c r="S2112">
        <f>IFERROR(O2112/N2112,0)</f>
        <v/>
      </c>
      <c r="T2112" t="n">
        <v>0</v>
      </c>
      <c r="V2112" t="n">
        <v>0</v>
      </c>
    </row>
    <row r="2113">
      <c r="A2113">
        <f>Skills!A21</f>
        <v/>
      </c>
      <c r="B2113">
        <f>Skills!B21</f>
        <v/>
      </c>
      <c r="C2113">
        <f>Inputs!$B$3&gt;=15</f>
        <v/>
      </c>
      <c r="D2113">
        <f>IF(Skills!C21=1,60+Inputs!$B$25+Inputs!$B$29,IF(Skills!C21=2,90+Inputs!$B$26+Inputs!$B$29,IF(Skills!C21=3,120+Inputs!$B$27+Inputs!$B$29,MAX(0,(Inputs!$B$3-100)*3)+Inputs!$B$28+Inputs!$B$29)))</f>
        <v/>
      </c>
      <c r="E2113">
        <f>INDEX(FactorTable!$B$2:$Y$301, MATCH(ROUND(MIN(300,MAX(1,D2113)),0), FactorTable!$A$2:$A$301,0), Skills!M21+1)</f>
        <v/>
      </c>
      <c r="F2113">
        <f>IF(Skills!N21=TRUE,(Skills!L21/10)*(E2113/1000),Skills!L21/10)+Skills!O21</f>
        <v/>
      </c>
      <c r="G2113">
        <f>Skills!G21*IF(Skills!H21&gt;0,Skills!I21/Skills!H21,1)</f>
        <v/>
      </c>
      <c r="H2113">
        <f>1-(1-Skills!J21/100)^Skills!K21</f>
        <v/>
      </c>
      <c r="I2113" t="inlineStr">
        <is>
          <t>1</t>
        </is>
      </c>
      <c r="J2113" t="inlineStr"/>
      <c r="K2113" t="inlineStr"/>
      <c r="L2113" t="inlineStr"/>
      <c r="M2113" t="inlineStr"/>
      <c r="N2113" t="inlineStr"/>
      <c r="O2113">
        <f>(1-Summary!$B$11)*T2113+Summary!$B$11*V2113</f>
        <v/>
      </c>
      <c r="P2113">
        <f>IF(B2136=0,0,O2113/B2136)</f>
        <v/>
      </c>
      <c r="Q2113" t="n">
        <v>0</v>
      </c>
      <c r="R2113" t="n">
        <v>0</v>
      </c>
      <c r="S2113">
        <f>IFERROR(O2113/N2113,0)</f>
        <v/>
      </c>
      <c r="T2113" t="n">
        <v>0</v>
      </c>
      <c r="V2113" t="n">
        <v>0</v>
      </c>
    </row>
    <row r="2114">
      <c r="A2114">
        <f>Skills!A22</f>
        <v/>
      </c>
      <c r="B2114">
        <f>Skills!B22</f>
        <v/>
      </c>
      <c r="C2114">
        <f>Inputs!$B$3&gt;=10</f>
        <v/>
      </c>
      <c r="D2114">
        <f>IF(Skills!C22=1,60+Inputs!$B$25+Inputs!$B$29,IF(Skills!C22=2,90+Inputs!$B$26+Inputs!$B$29,IF(Skills!C22=3,120+Inputs!$B$27+Inputs!$B$29,MAX(0,(Inputs!$B$3-100)*3)+Inputs!$B$28+Inputs!$B$29)))</f>
        <v/>
      </c>
      <c r="E2114">
        <f>INDEX(FactorTable!$B$2:$Y$301, MATCH(ROUND(MIN(300,MAX(1,D2114)),0), FactorTable!$A$2:$A$301,0), Skills!M22+1)</f>
        <v/>
      </c>
      <c r="F2114">
        <f>IF(Skills!N22=TRUE,(Skills!L22/10)*(E2114/1000),Skills!L22/10)+Skills!O22</f>
        <v/>
      </c>
      <c r="G2114">
        <f>Skills!G22*IF(Skills!H22&gt;0,Skills!I22/Skills!H22,1)</f>
        <v/>
      </c>
      <c r="H2114">
        <f>1-(1-Skills!J22/100)^Skills!K22</f>
        <v/>
      </c>
      <c r="I2114" t="inlineStr">
        <is>
          <t>1</t>
        </is>
      </c>
      <c r="J2114" t="inlineStr"/>
      <c r="K2114" t="inlineStr"/>
      <c r="L2114" t="inlineStr"/>
      <c r="M2114" t="inlineStr"/>
      <c r="N2114" t="inlineStr"/>
      <c r="O2114">
        <f>(1-Summary!$B$11)*T2114+Summary!$B$11*V2114</f>
        <v/>
      </c>
      <c r="P2114">
        <f>IF(B2136=0,0,O2114/B2136)</f>
        <v/>
      </c>
      <c r="Q2114" t="n">
        <v>0</v>
      </c>
      <c r="R2114" t="n">
        <v>0</v>
      </c>
      <c r="S2114">
        <f>IFERROR(O2114/N2114,0)</f>
        <v/>
      </c>
      <c r="T2114" t="n">
        <v>0</v>
      </c>
      <c r="V2114" t="n">
        <v>0</v>
      </c>
    </row>
    <row r="2115">
      <c r="A2115">
        <f>Skills!A23</f>
        <v/>
      </c>
      <c r="B2115">
        <f>Skills!B23</f>
        <v/>
      </c>
      <c r="C2115">
        <f>Inputs!$B$3&gt;=33</f>
        <v/>
      </c>
      <c r="D2115">
        <f>IF(Skills!C23=1,60+Inputs!$B$25+Inputs!$B$29,IF(Skills!C23=2,90+Inputs!$B$26+Inputs!$B$29,IF(Skills!C23=3,120+Inputs!$B$27+Inputs!$B$29,MAX(0,(Inputs!$B$3-100)*3)+Inputs!$B$28+Inputs!$B$29)))</f>
        <v/>
      </c>
      <c r="E2115">
        <f>INDEX(FactorTable!$B$2:$Y$301, MATCH(ROUND(MIN(300,MAX(1,D2115)),0), FactorTable!$A$2:$A$301,0), Skills!M23+1)</f>
        <v/>
      </c>
      <c r="F2115">
        <f>IF(Skills!N23=TRUE,(Skills!L23/10)*(E2115/1000),Skills!L23/10)+Skills!O23</f>
        <v/>
      </c>
      <c r="G2115">
        <f>Skills!G23*IF(Skills!H23&gt;0,Skills!I23/Skills!H23,1)</f>
        <v/>
      </c>
      <c r="H2115">
        <f>1-(1-Skills!J23/100)^Skills!K23</f>
        <v/>
      </c>
      <c r="I2115" t="inlineStr">
        <is>
          <t>1</t>
        </is>
      </c>
      <c r="J2115" t="inlineStr"/>
      <c r="K2115" t="inlineStr"/>
      <c r="L2115" t="inlineStr"/>
      <c r="M2115" t="inlineStr"/>
      <c r="N2115" t="inlineStr"/>
      <c r="O2115">
        <f>(1-Summary!$B$11)*T2115+Summary!$B$11*V2115</f>
        <v/>
      </c>
      <c r="P2115">
        <f>IF(B2136=0,0,O2115/B2136)</f>
        <v/>
      </c>
      <c r="Q2115" t="n">
        <v>0</v>
      </c>
      <c r="R2115" t="n">
        <v>0</v>
      </c>
      <c r="S2115">
        <f>IFERROR(O2115/N2115,0)</f>
        <v/>
      </c>
      <c r="T2115" t="n">
        <v>0</v>
      </c>
      <c r="V2115" t="n">
        <v>0</v>
      </c>
    </row>
    <row r="2116">
      <c r="A2116">
        <f>Skills!A24</f>
        <v/>
      </c>
      <c r="B2116">
        <f>Skills!B24</f>
        <v/>
      </c>
      <c r="C2116">
        <f>Inputs!$B$3&gt;=38</f>
        <v/>
      </c>
      <c r="D2116">
        <f>IF(Skills!C24=1,60+Inputs!$B$25+Inputs!$B$29,IF(Skills!C24=2,90+Inputs!$B$26+Inputs!$B$29,IF(Skills!C24=3,120+Inputs!$B$27+Inputs!$B$29,MAX(0,(Inputs!$B$3-100)*3)+Inputs!$B$28+Inputs!$B$29)))</f>
        <v/>
      </c>
      <c r="E2116">
        <f>INDEX(FactorTable!$B$2:$Y$301, MATCH(ROUND(MIN(300,MAX(1,D2116)),0), FactorTable!$A$2:$A$301,0), Skills!M24+1)</f>
        <v/>
      </c>
      <c r="F2116">
        <f>IF(Skills!N24=TRUE,(Skills!L24/10)*(E2116/1000),Skills!L24/10)+Skills!O24</f>
        <v/>
      </c>
      <c r="G2116">
        <f>Skills!G24*IF(Skills!H24&gt;0,Skills!I24/Skills!H24,1)</f>
        <v/>
      </c>
      <c r="H2116">
        <f>1-(1-Skills!J24/100)^Skills!K24</f>
        <v/>
      </c>
      <c r="I2116" t="inlineStr">
        <is>
          <t>1</t>
        </is>
      </c>
      <c r="J2116" t="inlineStr"/>
      <c r="K2116" t="inlineStr"/>
      <c r="L2116" t="inlineStr"/>
      <c r="M2116" t="inlineStr"/>
      <c r="N2116" t="inlineStr"/>
      <c r="O2116">
        <f>(1-Summary!$B$11)*T2116+Summary!$B$11*V2116</f>
        <v/>
      </c>
      <c r="P2116">
        <f>IF(B2136=0,0,O2116/B2136)</f>
        <v/>
      </c>
      <c r="Q2116" t="n">
        <v>0</v>
      </c>
      <c r="R2116" t="n">
        <v>0</v>
      </c>
      <c r="S2116">
        <f>IFERROR(O2116/N2116,0)</f>
        <v/>
      </c>
      <c r="T2116" t="n">
        <v>0</v>
      </c>
      <c r="V2116" t="n">
        <v>0</v>
      </c>
    </row>
    <row r="2117">
      <c r="A2117">
        <f>Skills!A25</f>
        <v/>
      </c>
      <c r="B2117">
        <f>Skills!B25</f>
        <v/>
      </c>
      <c r="C2117">
        <f>Inputs!$B$3&gt;=43</f>
        <v/>
      </c>
      <c r="D2117">
        <f>IF(Skills!C25=1,60+Inputs!$B$25+Inputs!$B$29,IF(Skills!C25=2,90+Inputs!$B$26+Inputs!$B$29,IF(Skills!C25=3,120+Inputs!$B$27+Inputs!$B$29,MAX(0,(Inputs!$B$3-100)*3)+Inputs!$B$28+Inputs!$B$29)))</f>
        <v/>
      </c>
      <c r="E2117">
        <f>INDEX(FactorTable!$B$2:$Y$301, MATCH(ROUND(MIN(300,MAX(1,D2117)),0), FactorTable!$A$2:$A$301,0), Skills!M25+1)</f>
        <v/>
      </c>
      <c r="F2117">
        <f>IF(Skills!N25=TRUE,(Skills!L25/10)*(E2117/1000),Skills!L25/10)+Skills!O25</f>
        <v/>
      </c>
      <c r="G2117">
        <f>Skills!G25*IF(Skills!H25&gt;0,Skills!I25/Skills!H25,1)</f>
        <v/>
      </c>
      <c r="H2117">
        <f>1-(1-Skills!J25/100)^Skills!K25</f>
        <v/>
      </c>
      <c r="I2117" t="inlineStr">
        <is>
          <t>1</t>
        </is>
      </c>
      <c r="J2117" t="inlineStr"/>
      <c r="K2117" t="inlineStr"/>
      <c r="L2117" t="inlineStr"/>
      <c r="M2117" t="inlineStr"/>
      <c r="N2117" t="inlineStr"/>
      <c r="O2117">
        <f>(1-Summary!$B$11)*T2117+Summary!$B$11*V2117</f>
        <v/>
      </c>
      <c r="P2117">
        <f>IF(B2136=0,0,O2117/B2136)</f>
        <v/>
      </c>
      <c r="Q2117" t="n">
        <v>0</v>
      </c>
      <c r="R2117" t="n">
        <v>0</v>
      </c>
      <c r="S2117">
        <f>IFERROR(O2117/N2117,0)</f>
        <v/>
      </c>
      <c r="T2117" t="n">
        <v>0</v>
      </c>
      <c r="V2117" t="n">
        <v>0</v>
      </c>
    </row>
    <row r="2118">
      <c r="A2118">
        <f>Skills!A26</f>
        <v/>
      </c>
      <c r="B2118">
        <f>Skills!B26</f>
        <v/>
      </c>
      <c r="C2118">
        <f>Inputs!$B$3&gt;=75</f>
        <v/>
      </c>
      <c r="D2118">
        <f>IF(Skills!C26=1,60+Inputs!$B$25+Inputs!$B$29,IF(Skills!C26=2,90+Inputs!$B$26+Inputs!$B$29,IF(Skills!C26=3,120+Inputs!$B$27+Inputs!$B$29,MAX(0,(Inputs!$B$3-100)*3)+Inputs!$B$28+Inputs!$B$29)))</f>
        <v/>
      </c>
      <c r="E2118">
        <f>INDEX(FactorTable!$B$2:$Y$301, MATCH(ROUND(MIN(300,MAX(1,D2118)),0), FactorTable!$A$2:$A$301,0), Skills!M26+1)</f>
        <v/>
      </c>
      <c r="F2118">
        <f>IF(Skills!N26=TRUE,(Skills!L26/10)*(E2118/1000),Skills!L26/10)+Skills!O26</f>
        <v/>
      </c>
      <c r="G2118">
        <f>Skills!G26*IF(Skills!H26&gt;0,Skills!I26/Skills!H26,1)</f>
        <v/>
      </c>
      <c r="H2118">
        <f>1-(1-Skills!J26/100)^Skills!K26</f>
        <v/>
      </c>
      <c r="I2118" t="inlineStr">
        <is>
          <t>1</t>
        </is>
      </c>
      <c r="J2118" t="inlineStr"/>
      <c r="K2118" t="inlineStr"/>
      <c r="L2118" t="inlineStr"/>
      <c r="M2118" t="inlineStr"/>
      <c r="N2118" t="inlineStr"/>
      <c r="O2118">
        <f>(1-Summary!$B$11)*T2118+Summary!$B$11*V2118</f>
        <v/>
      </c>
      <c r="P2118">
        <f>IF(B2136=0,0,O2118/B2136)</f>
        <v/>
      </c>
      <c r="Q2118" t="n">
        <v>0</v>
      </c>
      <c r="R2118" t="n">
        <v>0</v>
      </c>
      <c r="S2118">
        <f>IFERROR(O2118/N2118,0)</f>
        <v/>
      </c>
      <c r="T2118" t="n">
        <v>0</v>
      </c>
      <c r="V2118" t="n">
        <v>0</v>
      </c>
    </row>
    <row r="2119">
      <c r="A2119">
        <f>Skills!A27</f>
        <v/>
      </c>
      <c r="B2119">
        <f>Skills!B27</f>
        <v/>
      </c>
      <c r="C2119">
        <f>Inputs!$B$3&gt;=125</f>
        <v/>
      </c>
      <c r="D2119">
        <f>IF(Skills!C27=1,60+Inputs!$B$25+Inputs!$B$29,IF(Skills!C27=2,90+Inputs!$B$26+Inputs!$B$29,IF(Skills!C27=3,120+Inputs!$B$27+Inputs!$B$29,MAX(0,(Inputs!$B$3-100)*3)+Inputs!$B$28+Inputs!$B$29)))</f>
        <v/>
      </c>
      <c r="E2119">
        <f>INDEX(FactorTable!$B$2:$Y$301, MATCH(ROUND(MIN(300,MAX(1,D2119)),0), FactorTable!$A$2:$A$301,0), Skills!M27+1)</f>
        <v/>
      </c>
      <c r="F2119">
        <f>IF(Skills!N27=TRUE,(Skills!L27/10)*(E2119/1000),Skills!L27/10)+Skills!O27</f>
        <v/>
      </c>
      <c r="G2119">
        <f>Skills!G27*IF(Skills!H27&gt;0,Skills!I27/Skills!H27,1)</f>
        <v/>
      </c>
      <c r="H2119">
        <f>1-(1-Skills!J27/100)^Skills!K27</f>
        <v/>
      </c>
      <c r="I2119" t="inlineStr">
        <is>
          <t>1</t>
        </is>
      </c>
      <c r="J2119" t="inlineStr"/>
      <c r="K2119" t="inlineStr"/>
      <c r="L2119" t="inlineStr"/>
      <c r="M2119" t="inlineStr"/>
      <c r="N2119" t="inlineStr"/>
      <c r="O2119">
        <f>(1-Summary!$B$11)*T2119+Summary!$B$11*V2119</f>
        <v/>
      </c>
      <c r="P2119">
        <f>IF(B2136=0,0,O2119/B2136)</f>
        <v/>
      </c>
      <c r="Q2119" t="n">
        <v>0</v>
      </c>
      <c r="R2119" t="n">
        <v>0</v>
      </c>
      <c r="S2119">
        <f>IFERROR(O2119/N2119,0)</f>
        <v/>
      </c>
      <c r="T2119" t="n">
        <v>0</v>
      </c>
      <c r="V2119" t="n">
        <v>0</v>
      </c>
    </row>
    <row r="2120">
      <c r="A2120">
        <f>Skills!A28</f>
        <v/>
      </c>
      <c r="B2120">
        <f>Skills!B28</f>
        <v/>
      </c>
      <c r="C2120">
        <f>Inputs!$B$3&gt;=125</f>
        <v/>
      </c>
      <c r="D2120">
        <f>IF(Skills!C28=1,60+Inputs!$B$25+Inputs!$B$29,IF(Skills!C28=2,90+Inputs!$B$26+Inputs!$B$29,IF(Skills!C28=3,120+Inputs!$B$27+Inputs!$B$29,MAX(0,(Inputs!$B$3-100)*3)+Inputs!$B$28+Inputs!$B$29)))</f>
        <v/>
      </c>
      <c r="E2120">
        <f>INDEX(FactorTable!$B$2:$Y$301, MATCH(ROUND(MIN(300,MAX(1,D2120)),0), FactorTable!$A$2:$A$301,0), Skills!M28+1)</f>
        <v/>
      </c>
      <c r="F2120">
        <f>IF(Skills!N28=TRUE,(Skills!L28/10)*(E2120/1000),Skills!L28/10)+Skills!O28</f>
        <v/>
      </c>
      <c r="G2120">
        <f>Skills!G28*IF(Skills!H28&gt;0,Skills!I28/Skills!H28,1)</f>
        <v/>
      </c>
      <c r="H2120">
        <f>1-(1-Skills!J28/100)^Skills!K28</f>
        <v/>
      </c>
      <c r="I2120" t="inlineStr">
        <is>
          <t>1</t>
        </is>
      </c>
      <c r="J2120" t="inlineStr"/>
      <c r="K2120" t="inlineStr"/>
      <c r="L2120" t="inlineStr"/>
      <c r="M2120" t="inlineStr"/>
      <c r="N2120" t="inlineStr"/>
      <c r="O2120">
        <f>(1-Summary!$B$11)*T2120+Summary!$B$11*V2120</f>
        <v/>
      </c>
      <c r="P2120">
        <f>IF(B2136=0,0,O2120/B2136)</f>
        <v/>
      </c>
      <c r="Q2120" t="n">
        <v>0</v>
      </c>
      <c r="R2120" t="n">
        <v>0</v>
      </c>
      <c r="S2120">
        <f>IFERROR(O2120/N2120,0)</f>
        <v/>
      </c>
      <c r="T2120" t="n">
        <v>0</v>
      </c>
      <c r="V2120" t="n">
        <v>0</v>
      </c>
    </row>
    <row r="2121">
      <c r="A2121">
        <f>Skills!A29</f>
        <v/>
      </c>
      <c r="B2121">
        <f>Skills!B29</f>
        <v/>
      </c>
      <c r="C2121">
        <f>Inputs!$B$3&gt;=120</f>
        <v/>
      </c>
      <c r="D2121">
        <f>IF(Skills!C29=1,60+Inputs!$B$25+Inputs!$B$29,IF(Skills!C29=2,90+Inputs!$B$26+Inputs!$B$29,IF(Skills!C29=3,120+Inputs!$B$27+Inputs!$B$29,MAX(0,(Inputs!$B$3-100)*3)+Inputs!$B$28+Inputs!$B$29)))</f>
        <v/>
      </c>
      <c r="E2121">
        <f>INDEX(FactorTable!$B$2:$Y$301, MATCH(ROUND(MIN(300,MAX(1,D2121)),0), FactorTable!$A$2:$A$301,0), Skills!M29+1)</f>
        <v/>
      </c>
      <c r="F2121">
        <f>IF(Skills!N29=TRUE,(Skills!L29/10)*(E2121/1000),Skills!L29/10)+Skills!O29</f>
        <v/>
      </c>
      <c r="G2121">
        <f>Skills!G29*IF(Skills!H29&gt;0,Skills!I29/Skills!H29,1)</f>
        <v/>
      </c>
      <c r="H2121">
        <f>1-(1-Skills!J29/100)^Skills!K29</f>
        <v/>
      </c>
      <c r="I2121" t="inlineStr">
        <is>
          <t>1</t>
        </is>
      </c>
      <c r="J2121" t="inlineStr"/>
      <c r="K2121" t="inlineStr"/>
      <c r="L2121" t="inlineStr"/>
      <c r="M2121" t="inlineStr"/>
      <c r="N2121" t="inlineStr"/>
      <c r="O2121">
        <f>(1-Summary!$B$11)*T2121+Summary!$B$11*V2121</f>
        <v/>
      </c>
      <c r="P2121">
        <f>IF(B2136=0,0,O2121/B2136)</f>
        <v/>
      </c>
      <c r="Q2121" t="n">
        <v>0</v>
      </c>
      <c r="R2121" t="n">
        <v>0</v>
      </c>
      <c r="S2121">
        <f>IFERROR(O2121/N2121,0)</f>
        <v/>
      </c>
      <c r="T2121" t="n">
        <v>0</v>
      </c>
      <c r="V2121" t="n">
        <v>0</v>
      </c>
    </row>
    <row r="2122">
      <c r="A2122">
        <f>Skills!A30</f>
        <v/>
      </c>
      <c r="B2122">
        <f>Skills!B30</f>
        <v/>
      </c>
      <c r="C2122">
        <f>Inputs!$B$3&gt;=120</f>
        <v/>
      </c>
      <c r="D2122">
        <f>IF(Skills!C30=1,60+Inputs!$B$25+Inputs!$B$29,IF(Skills!C30=2,90+Inputs!$B$26+Inputs!$B$29,IF(Skills!C30=3,120+Inputs!$B$27+Inputs!$B$29,MAX(0,(Inputs!$B$3-100)*3)+Inputs!$B$28+Inputs!$B$29)))</f>
        <v/>
      </c>
      <c r="E2122">
        <f>INDEX(FactorTable!$B$2:$Y$301, MATCH(ROUND(MIN(300,MAX(1,D2122)),0), FactorTable!$A$2:$A$301,0), Skills!M30+1)</f>
        <v/>
      </c>
      <c r="F2122">
        <f>IF(Skills!N30=TRUE,(Skills!L30/10)*(E2122/1000),Skills!L30/10)+Skills!O30</f>
        <v/>
      </c>
      <c r="G2122">
        <f>Skills!G30*IF(Skills!H30&gt;0,Skills!I30/Skills!H30,1)</f>
        <v/>
      </c>
      <c r="H2122">
        <f>1-(1-Skills!J30/100)^Skills!K30</f>
        <v/>
      </c>
      <c r="I2122" t="inlineStr">
        <is>
          <t>1</t>
        </is>
      </c>
      <c r="J2122" t="inlineStr"/>
      <c r="K2122" t="inlineStr"/>
      <c r="L2122" t="inlineStr"/>
      <c r="M2122" t="inlineStr"/>
      <c r="N2122" t="inlineStr"/>
      <c r="O2122">
        <f>(1-Summary!$B$11)*T2122+Summary!$B$11*V2122</f>
        <v/>
      </c>
      <c r="P2122">
        <f>IF(B2136=0,0,O2122/B2136)</f>
        <v/>
      </c>
      <c r="Q2122" t="n">
        <v>0</v>
      </c>
      <c r="R2122" t="n">
        <v>0</v>
      </c>
      <c r="S2122">
        <f>IFERROR(O2122/N2122,0)</f>
        <v/>
      </c>
      <c r="T2122" t="n">
        <v>0</v>
      </c>
      <c r="V2122" t="n">
        <v>0</v>
      </c>
    </row>
    <row r="2123">
      <c r="A2123">
        <f>Skills!A31</f>
        <v/>
      </c>
      <c r="B2123">
        <f>Skills!B31</f>
        <v/>
      </c>
      <c r="C2123">
        <f>Inputs!$B$3&gt;=45</f>
        <v/>
      </c>
      <c r="D2123">
        <f>IF(Skills!C31=1,60+Inputs!$B$25+Inputs!$B$29,IF(Skills!C31=2,90+Inputs!$B$26+Inputs!$B$29,IF(Skills!C31=3,120+Inputs!$B$27+Inputs!$B$29,MAX(0,(Inputs!$B$3-100)*3)+Inputs!$B$28+Inputs!$B$29)))</f>
        <v/>
      </c>
      <c r="E2123">
        <f>INDEX(FactorTable!$B$2:$Y$301, MATCH(ROUND(MIN(300,MAX(1,D2123)),0), FactorTable!$A$2:$A$301,0), Skills!M31+1)</f>
        <v/>
      </c>
      <c r="F2123">
        <f>IF(Skills!N31=TRUE,(Skills!L31/10)*(E2123/1000),Skills!L31/10)+Skills!O31</f>
        <v/>
      </c>
      <c r="G2123">
        <f>Skills!G31*IF(Skills!H31&gt;0,Skills!I31/Skills!H31,1)</f>
        <v/>
      </c>
      <c r="H2123">
        <f>1-(1-Skills!J31/100)^Skills!K31</f>
        <v/>
      </c>
      <c r="I2123" t="inlineStr">
        <is>
          <t>1</t>
        </is>
      </c>
      <c r="J2123" t="inlineStr"/>
      <c r="K2123" t="inlineStr"/>
      <c r="L2123" t="inlineStr"/>
      <c r="M2123" t="inlineStr"/>
      <c r="N2123" t="inlineStr"/>
      <c r="O2123">
        <f>(1-Summary!$B$11)*T2123+Summary!$B$11*V2123</f>
        <v/>
      </c>
      <c r="P2123">
        <f>IF(B2136=0,0,O2123/B2136)</f>
        <v/>
      </c>
      <c r="Q2123" t="n">
        <v>0</v>
      </c>
      <c r="R2123" t="n">
        <v>0</v>
      </c>
      <c r="S2123">
        <f>IFERROR(O2123/N2123,0)</f>
        <v/>
      </c>
      <c r="T2123" t="n">
        <v>0</v>
      </c>
      <c r="V2123" t="n">
        <v>0</v>
      </c>
    </row>
    <row r="2125">
      <c r="A2125" t="inlineStr">
        <is>
          <t>Attack% Bucket Multiplier</t>
        </is>
      </c>
      <c r="B2125">
        <f>(1+(((C2106=TRUE)*F2106)+((C2107=TRUE)*IF(Inputs!$B$38="pvp",F2107,(1-Summary!$B$11)*(F2107)+Summary!$B$11*(0)))+((C2108=TRUE)*F2108*IF(AND(Inputs!$B$38&lt;&gt;"pvp",Inputs!$B$43&gt;0),(((R2108-1)*(Skills!T16*(1+Inputs!$B$34/100))+MIN((Skills!T16*(1+Inputs!$B$34/100)),MAX(0,Inputs!$B$43-((R2108-1)*Skills!D16))))/Inputs!$B$43),IF(Inputs!$B$38="pvp",MIN((Skills!T16*(1+Inputs!$B$34/100)),15)/15,(Skills!T16*(1+Inputs!$B$34/100))/Skills!D16)))+((C2123=TRUE)*(F2123-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26">
      <c r="A2126" t="inlineStr">
        <is>
          <t>Global Crit Rate Bonus %</t>
        </is>
      </c>
      <c r="B2126">
        <f>(C2109=TRUE)*20*IF(AND(Inputs!$B$38&lt;&gt;"pvp",Inputs!$B$43&gt;0),(((R2109-1)*(Skills!T17*(1+Inputs!$B$34/100))+MIN((Skills!T17*(1+Inputs!$B$34/100)),MAX(0,Inputs!$B$43-((R2109-1)*Skills!D17))))/Inputs!$B$43),IF(Inputs!$B$38="pvp",MIN((Skills!T17*(1+Inputs!$B$34/100)),15)/15,(Skills!T17*(1+Inputs!$B$34/100))/Skills!D17))</f>
        <v/>
      </c>
    </row>
    <row r="2127">
      <c r="A2127" t="inlineStr">
        <is>
          <t>Attack Speed Buff Bonus %</t>
        </is>
      </c>
      <c r="B2127">
        <f>((C2112=TRUE)*F2112*IF(AND(Inputs!$B$38&lt;&gt;"pvp",Inputs!$B$43&gt;0),(((R2112-1)*(Skills!T20*(1+Inputs!$B$34/100))+MIN((Skills!T20*(1+Inputs!$B$34/100)),MAX(0,Inputs!$B$43-((R2112-1)*Skills!D20))))/Inputs!$B$43),IF(Inputs!$B$38="pvp",MIN((Skills!T20*(1+Inputs!$B$34/100)),15)/15,(Skills!T20*(1+Inputs!$B$34/100))/Skills!D20)))</f>
        <v/>
      </c>
    </row>
    <row r="2128">
      <c r="A2128" t="inlineStr">
        <is>
          <t>Actions Per Second</t>
        </is>
      </c>
      <c r="B2128">
        <f>1+MIN(150,150*(1-(1-(Inputs!$B$11+((C2114=TRUE)*(F2114-Calc!F22))+((C2115=TRUE)*(F2115-Calc!F23)))/150)*(1-B2127/150)))/100</f>
        <v/>
      </c>
    </row>
    <row r="2129">
      <c r="A2129" t="inlineStr">
        <is>
          <t>Skill + Buff Cast Rate</t>
        </is>
      </c>
      <c r="B2129">
        <f>IF(AND(Inputs!$B$38&lt;&gt;"pvp",Inputs!$B$43&gt;0),SUMPRODUCT((Skills!E2:E31=TRUE)*(C2094:C2123=TRUE)*R2094:R2123*Skills!F2:F31)/Inputs!$B$43,SUMPRODUCT((Skills!E2:E31=TRUE)*(C2094:C2123=TRUE)*Q2094:Q2123*Skills!F2:F31))</f>
        <v/>
      </c>
    </row>
    <row r="2130">
      <c r="A2130" t="inlineStr">
        <is>
          <t>Arrow Stream Casts Per Second</t>
        </is>
      </c>
      <c r="B2130">
        <f>MAX(0,B2128-B2129)</f>
        <v/>
      </c>
    </row>
    <row r="2131">
      <c r="A2131" t="inlineStr">
        <is>
          <t>Global Critical Damage Bonus % (Sharp Eyes + Concentration)</t>
        </is>
      </c>
      <c r="B2131">
        <f>(C2109=TRUE)*F2109*IF(AND(Inputs!$B$38&lt;&gt;"pvp",Inputs!$B$43&gt;0),(((R2109-1)*(Skills!T17*(1+Inputs!$B$34/100))+MIN((Skills!T17*(1+Inputs!$B$34/100)),MAX(0,Inputs!$B$43-((R2109-1)*Skills!D17))))/Inputs!$B$43),IF(Inputs!$B$38="pvp",MIN((Skills!T17*(1+Inputs!$B$34/100)),15)/15,(Skills!T17*(1+Inputs!$B$34/100))/Skills!D17))+(C2110=TRUE)*30</f>
        <v/>
      </c>
    </row>
    <row r="2132">
      <c r="A2132" t="inlineStr">
        <is>
          <t>Global Final Damage Bonus % (Mortal Blow)</t>
        </is>
      </c>
      <c r="B2132">
        <f>(C2111=TRUE)*F2111</f>
        <v/>
      </c>
    </row>
    <row r="2133">
      <c r="A2133" t="inlineStr">
        <is>
          <t>Buff-Casting Startup Delay (s, fixed-duration only)</t>
        </is>
      </c>
      <c r="B2133">
        <f>IF(AND(Inputs!$B$38&lt;&gt;"pvp",Inputs!$B$43&gt;0),SUMPRODUCT((Skills!T2:T31&gt;0)*(Skills!E2:E31=TRUE)*(C2094:C2123=TRUE))/B2128,0)</f>
        <v/>
      </c>
    </row>
    <row r="2134">
      <c r="A2134" t="inlineStr">
        <is>
          <t>Boss-Only Total DPS (this block's swept value)</t>
        </is>
      </c>
      <c r="B2134">
        <f>SUM(T2094:T2123)</f>
        <v/>
      </c>
    </row>
    <row r="2135">
      <c r="A2135" t="inlineStr">
        <is>
          <t>Normal-Only Total DPS (this block's swept value)</t>
        </is>
      </c>
      <c r="B2135">
        <f>SUM(V2094:V2123)</f>
        <v/>
      </c>
    </row>
    <row r="2136">
      <c r="A2136" s="6" t="inlineStr">
        <is>
          <t>TOTAL DPS</t>
        </is>
      </c>
      <c r="B2136" s="6">
        <f>SUM(O2094:O2123)</f>
        <v/>
      </c>
    </row>
    <row r="2139">
      <c r="A2139" s="6" t="inlineStr">
        <is>
          <t>Stat: Lunar Dew (Equip)</t>
        </is>
      </c>
    </row>
    <row r="2140">
      <c r="A2140" s="5" t="inlineStr">
        <is>
          <t>Key</t>
        </is>
      </c>
      <c r="B2140" s="5" t="inlineStr">
        <is>
          <t>Name</t>
        </is>
      </c>
      <c r="C2140" s="5" t="inlineStr">
        <is>
          <t>Unlocked</t>
        </is>
      </c>
      <c r="D2140" s="5" t="inlineStr">
        <is>
          <t>InputLevel</t>
        </is>
      </c>
      <c r="E2140" s="5" t="inlineStr">
        <is>
          <t>Factor</t>
        </is>
      </c>
      <c r="F2140" s="5" t="inlineStr">
        <is>
          <t>CoefficientPercent</t>
        </is>
      </c>
      <c r="G2140" s="5" t="inlineStr">
        <is>
          <t>EffectiveHits</t>
        </is>
      </c>
      <c r="H2140" s="5" t="inlineStr">
        <is>
          <t>ProcProbability</t>
        </is>
      </c>
      <c r="I2140" s="5" t="inlineStr">
        <is>
          <t>MapleHeroMultiplier</t>
        </is>
      </c>
      <c r="J2140" s="5" t="inlineStr">
        <is>
          <t>BaseDamage</t>
        </is>
      </c>
      <c r="K2140" s="5" t="inlineStr">
        <is>
          <t>BaseHitDamage</t>
        </is>
      </c>
      <c r="L2140" s="5" t="inlineStr">
        <is>
          <t>NonCritAvg</t>
        </is>
      </c>
      <c r="M2140" s="5" t="inlineStr">
        <is>
          <t>CritAvg</t>
        </is>
      </c>
      <c r="N2140" s="5" t="inlineStr">
        <is>
          <t>ExpectedDamage(perHit)</t>
        </is>
      </c>
      <c r="O2140" s="5" t="inlineStr">
        <is>
          <t>DPS</t>
        </is>
      </c>
      <c r="P2140" s="5" t="inlineStr">
        <is>
          <t>% of Total</t>
        </is>
      </c>
      <c r="Q2140" s="5" t="inlineStr">
        <is>
          <t>InvCooldown</t>
        </is>
      </c>
      <c r="R2140" s="5" t="inlineStr">
        <is>
          <t>CastsInFight</t>
        </is>
      </c>
      <c r="S2140" s="5" t="inlineStr">
        <is>
          <t>HitRate(perSec)</t>
        </is>
      </c>
      <c r="U2140" t="inlineStr">
        <is>
          <t>helpers</t>
        </is>
      </c>
    </row>
    <row r="2141">
      <c r="A2141">
        <f>Skills!A2</f>
        <v/>
      </c>
      <c r="B2141">
        <f>Skills!B2</f>
        <v/>
      </c>
      <c r="C2141">
        <f>Inputs!$B$3&gt;=100</f>
        <v/>
      </c>
      <c r="D2141" t="inlineStr"/>
      <c r="E2141" t="inlineStr"/>
      <c r="F2141">
        <f>U2143+Skills!O2</f>
        <v/>
      </c>
      <c r="G2141">
        <f>Skills!G2*IF(Skills!H2&gt;0,Skills!I2/Skills!H2,1)</f>
        <v/>
      </c>
      <c r="H2141">
        <f>1-(1-Skills!J2/100)^Skills!K2</f>
        <v/>
      </c>
      <c r="I2141" t="inlineStr">
        <is>
          <t>1</t>
        </is>
      </c>
      <c r="J2141">
        <f>((Inputs!$B$6*(1+Inputs!$B$7/100))+(((Inputs!$B$12*(1+Inputs!$B$13/100))-(Inputs!$B$12*(1+Inputs!$B$13/100)))+0.25*(Inputs!$B$14-Inputs!$B$14))*(1+Inputs!$B$7/100))*(F2141/100)</f>
        <v/>
      </c>
      <c r="K2141">
        <f>J2141*(1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2141)</f>
        <v/>
      </c>
      <c r="L2141">
        <f>K2141*(MIN(Inputs!$B$22+((C2164=TRUE)*(F2164-Calc!F25)),(Inputs!$B$23+((C2169=TRUE)*(F2169-Calc!F30))+(IF(ArtifactsInput!$M$15,CHOOSE(ArtifactsInput!$N$15+1,25,30,35,40,45,50)/100*(Inputs!$B$11-Inputs!$B$11),0))))/100+(Inputs!$B$23+((C2169=TRUE)*(F2169-Calc!F30))+(IF(ArtifactsInput!$M$15,CHOOSE(ArtifactsInput!$N$15+1,25,30,35,40,45,50)/100*(Inputs!$B$11-Inputs!$B$11),0)))/100)/2</f>
        <v/>
      </c>
      <c r="M2141">
        <f>L2141*(1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1">
        <f>L2141*(1-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1">
        <f>(1-Summary!$B$11)*T2141+Summary!$B$11*V2141</f>
        <v/>
      </c>
      <c r="P2141">
        <f>IF(B2183=0,0,O2141/B2183)</f>
        <v/>
      </c>
      <c r="Q2141" t="n">
        <v>0</v>
      </c>
      <c r="R2141" t="n">
        <v>0</v>
      </c>
      <c r="S2141">
        <f>IFERROR(O2141/N2141,0)</f>
        <v/>
      </c>
      <c r="T2141">
        <f>IF(C2141,(Skills!G2*N2141*B2177)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2141*(1-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2141*(1-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1">
        <f>MAX(0,(Inputs!$B$3-100)*3)+Inputs!$B$28+Inputs!$B$29</f>
        <v/>
      </c>
      <c r="V2141">
        <f>IF(C2141,(Skills!G2*N2141*B2177)*IF(Inputs!$B$38="pvp",1,(1+(Inputs!$B$21+Skills!Q2+(IF(ArtifactsInput!$M$33,CHOOSE(ArtifactsInput!$N$33+1,30,36,42,48,54,60),0))+(IF(AND(ArtifactsInput!$M$35,Inputs!$B$4&lt;&gt;"Chapter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2">
      <c r="A2142">
        <f>Skills!A3</f>
        <v/>
      </c>
      <c r="B2142">
        <f>Skills!B3</f>
        <v/>
      </c>
      <c r="C2142">
        <f>Inputs!$B$3&gt;=50</f>
        <v/>
      </c>
      <c r="D2142">
        <f>IF(Skills!C3=1,60+Inputs!$B$25+Inputs!$B$29,IF(Skills!C3=2,90+Inputs!$B$26+Inputs!$B$29,IF(Skills!C3=3,120+Inputs!$B$27+Inputs!$B$29,MAX(0,(Inputs!$B$3-100)*3)+Inputs!$B$28+Inputs!$B$29)))</f>
        <v/>
      </c>
      <c r="E2142">
        <f>INDEX(FactorTable!$B$2:$Y$301, MATCH(ROUND(MIN(300,MAX(1,D2142)),0), FactorTable!$A$2:$A$301,0), Skills!M3+1)</f>
        <v/>
      </c>
      <c r="F2142">
        <f>IF(Skills!N3=TRUE,(Skills!L3/10)*(E2142/1000),Skills!L3/10)+Skills!O3</f>
        <v/>
      </c>
      <c r="G2142">
        <f>Skills!G3*IF(Skills!H3&gt;0,Skills!I3/Skills!H3,1)</f>
        <v/>
      </c>
      <c r="H2142">
        <f>1-(1-Skills!J3/100)^Skills!K3</f>
        <v/>
      </c>
      <c r="I2142" t="inlineStr">
        <is>
          <t>1</t>
        </is>
      </c>
      <c r="J2142">
        <f>((Inputs!$B$6*(1+Inputs!$B$7/100))+(((Inputs!$B$12*(1+Inputs!$B$13/100))-(Inputs!$B$12*(1+Inputs!$B$13/100)))+0.25*(Inputs!$B$14-Inputs!$B$14))*(1+Inputs!$B$7/100))*(F2142/100)</f>
        <v/>
      </c>
      <c r="K2142">
        <f>J2142*(1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2143=TRUE,F2143,0)/100)*(1+(IF(Skills!A3="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2142)</f>
        <v/>
      </c>
      <c r="L2142">
        <f>K2142*(MIN(Inputs!$B$22+((C2164=TRUE)*(F2164-Calc!F25)),(Inputs!$B$23+((C2169=TRUE)*(F2169-Calc!F30))+(IF(ArtifactsInput!$M$15,CHOOSE(ArtifactsInput!$N$15+1,25,30,35,40,45,50)/100*(Inputs!$B$11-Inputs!$B$11),0))))/100+(Inputs!$B$23+((C2169=TRUE)*(F2169-Calc!F30))+(IF(ArtifactsInput!$M$15,CHOOSE(ArtifactsInput!$N$15+1,25,30,35,40,45,50)/100*(Inputs!$B$11-Inputs!$B$11),0)))/100)/2</f>
        <v/>
      </c>
      <c r="M2142">
        <f>L2142*(1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2">
        <f>L2142*(1-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2142*(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2">
        <f>(1-Summary!$B$11)*T2142+Summary!$B$11*V2142</f>
        <v/>
      </c>
      <c r="P2142">
        <f>IF(B2183=0,0,O2142/B2183)</f>
        <v/>
      </c>
      <c r="Q2142">
        <f>IFERROR(1/(IF(Inputs!$B$38="pvp",15,MAX(0.1,Skills!D3-IF(Skills!E3=TRUE,Inputs!$B$32,0)))*(1-IF(AND(ArtifactsInput!$M$27,Inputs!$B$4="Chapter Hunt"),CHOOSE(ArtifactsInput!$N$27+1,20,24,28,32,36,40),0)/100)),0)</f>
        <v/>
      </c>
      <c r="R2142">
        <f>IF(AND(Inputs!$B$38&lt;&gt;"pvp",Inputs!$B$43&gt;0),IF(MAX(0,Inputs!$B$43-B2180)&lt;=0,0,(INT(MAX(0,Inputs!$B$43-B2180)/(IF(Inputs!$B$38="pvp",15,MAX(0.1,Skills!D3-IF(Skills!E3=TRUE,Inputs!$B$32,0)))*(1-IF(AND(ArtifactsInput!$M$27,Inputs!$B$4="Chapter Hunt"),CHOOSE(ArtifactsInput!$N$27+1,20,24,28,32,36,40),0)/100)))+1)),0)</f>
        <v/>
      </c>
      <c r="S2142">
        <f>IFERROR(O2142/N2142,0)</f>
        <v/>
      </c>
      <c r="T2142">
        <f>IF(C2142,(H2142*N2142*IF(AND(Inputs!$B$38&lt;&gt;"pvp",Inputs!$B$43&gt;0),((Skills!G3*((R2142-1)*IF(Skills!H3&gt;0,Skills!I3/Skills!H3,1)+IF(Skills!H3&gt;0,MIN(Skills!I3,MAX(0,MAX(0,Inputs!$B$43-B2180)-((R2142-1)*(IF(Inputs!$B$38="pvp",15,MAX(0.1,Skills!D3-IF(Skills!E3=TRUE,Inputs!$B$32,0)))*(1-IF(AND(ArtifactsInput!$M$27,Inputs!$B$4="Chapter Hunt"),CHOOSE(ArtifactsInput!$N$27+1,20,24,28,32,36,40),0)/100)))))/Skills!H3,1)))/Inputs!$B$43),G2142*Q2142)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2142*(1-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2142*(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2142*(1-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2142*(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2">
        <f>INDEX(FactorTable!$B$2:$Y$301, MATCH(ROUND(MIN(300,MAX(1,U2141)),0), FactorTable!$A$2:$A$301,0), 22)</f>
        <v/>
      </c>
      <c r="V2142">
        <f>IF(C2142,(H2142*N2142*IF(AND(Inputs!$B$38&lt;&gt;"pvp",Inputs!$B$43&gt;0),((Skills!G3*((R2142-1)*IF(Skills!H3&gt;0,Skills!I3/Skills!H3,1)+IF(Skills!H3&gt;0,MIN(Skills!I3,MAX(0,MAX(0,Inputs!$B$43-B2180)-((R2142-1)*(IF(Inputs!$B$38="pvp",15,MAX(0.1,Skills!D3-IF(Skills!E3=TRUE,Inputs!$B$32,0)))*(1-IF(AND(ArtifactsInput!$M$27,Inputs!$B$4="Chapter Hunt"),CHOOSE(ArtifactsInput!$N$27+1,20,24,28,32,36,40),0)/100)))))/Skills!H3,1)))/Inputs!$B$43),G2142*Q2142))*IF(Inputs!$B$38="pvp",1,(1+(Inputs!$B$21+Skills!Q3+(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3">
      <c r="A2143">
        <f>Skills!A4</f>
        <v/>
      </c>
      <c r="B2143">
        <f>Skills!B4</f>
        <v/>
      </c>
      <c r="C2143">
        <f>Inputs!$B$3&gt;=105</f>
        <v/>
      </c>
      <c r="D2143">
        <f>IF(Skills!C4=1,60+Inputs!$B$25+Inputs!$B$29,IF(Skills!C4=2,90+Inputs!$B$26+Inputs!$B$29,IF(Skills!C4=3,120+Inputs!$B$27+Inputs!$B$29,MAX(0,(Inputs!$B$3-100)*3)+Inputs!$B$28+Inputs!$B$29)))</f>
        <v/>
      </c>
      <c r="E2143">
        <f>INDEX(FactorTable!$B$2:$Y$301, MATCH(ROUND(MIN(300,MAX(1,D2143)),0), FactorTable!$A$2:$A$301,0), Skills!M4+1)</f>
        <v/>
      </c>
      <c r="F2143">
        <f>IF(Skills!N4=TRUE,(Skills!L4/10)*(E2143/1000),Skills!L4/10)+Skills!O4</f>
        <v/>
      </c>
      <c r="G2143" t="inlineStr"/>
      <c r="H2143" t="inlineStr"/>
      <c r="I2143" t="inlineStr">
        <is>
          <t>1</t>
        </is>
      </c>
      <c r="J2143" t="inlineStr"/>
      <c r="K2143" t="inlineStr"/>
      <c r="L2143" t="inlineStr"/>
      <c r="M2143" t="inlineStr"/>
      <c r="N2143" t="inlineStr"/>
      <c r="O2143" t="inlineStr"/>
      <c r="P2143" t="inlineStr"/>
      <c r="Q2143" t="inlineStr"/>
      <c r="R2143" t="inlineStr"/>
      <c r="S2143" t="inlineStr"/>
      <c r="T2143" t="inlineStr"/>
      <c r="U2143">
        <f>290*U2142/1000</f>
        <v/>
      </c>
      <c r="V2143" t="inlineStr"/>
    </row>
    <row r="2144">
      <c r="A2144">
        <f>Skills!A5</f>
        <v/>
      </c>
      <c r="B2144">
        <f>Skills!B5</f>
        <v/>
      </c>
      <c r="C2144">
        <f>Inputs!$B$3&gt;=35</f>
        <v/>
      </c>
      <c r="D2144">
        <f>IF(Skills!C5=1,60+Inputs!$B$25+Inputs!$B$29,IF(Skills!C5=2,90+Inputs!$B$26+Inputs!$B$29,IF(Skills!C5=3,120+Inputs!$B$27+Inputs!$B$29,MAX(0,(Inputs!$B$3-100)*3)+Inputs!$B$28+Inputs!$B$29)))</f>
        <v/>
      </c>
      <c r="E2144">
        <f>INDEX(FactorTable!$B$2:$Y$301, MATCH(ROUND(MIN(300,MAX(1,D2144)),0), FactorTable!$A$2:$A$301,0), Skills!M5+1)</f>
        <v/>
      </c>
      <c r="F2144">
        <f>IF(Skills!N5=TRUE,(Skills!L5/10)*(E2144/1000),Skills!L5/10)+Skills!O5</f>
        <v/>
      </c>
      <c r="G2144">
        <f>Skills!G5*IF(Skills!H5&gt;0,Skills!I5/Skills!H5,1)</f>
        <v/>
      </c>
      <c r="H2144">
        <f>1-(1-Skills!J5/100)^Skills!K5</f>
        <v/>
      </c>
      <c r="I2144" t="inlineStr">
        <is>
          <t>1</t>
        </is>
      </c>
      <c r="J2144">
        <f>((Inputs!$B$6*(1+Inputs!$B$7/100))+(((Inputs!$B$12*(1+Inputs!$B$13/100))-(Inputs!$B$12*(1+Inputs!$B$13/100)))+0.25*(Inputs!$B$14-Inputs!$B$14))*(1+Inputs!$B$7/100))*(F2144/100)</f>
        <v/>
      </c>
      <c r="K2144">
        <f>J2144*(1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2150=TRUE,F2150,0)/100)*(1+(IF(Skills!A5="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2144)</f>
        <v/>
      </c>
      <c r="L2144">
        <f>K2144*(MIN(Inputs!$B$22+((C2164=TRUE)*(F2164-Calc!F25)),(Inputs!$B$23+((C2169=TRUE)*(F2169-Calc!F30))+(IF(ArtifactsInput!$M$15,CHOOSE(ArtifactsInput!$N$15+1,25,30,35,40,45,50)/100*(Inputs!$B$11-Inputs!$B$11),0))))/100+(Inputs!$B$23+((C2169=TRUE)*(F2169-Calc!F30))+(IF(ArtifactsInput!$M$15,CHOOSE(ArtifactsInput!$N$15+1,25,30,35,40,45,50)/100*(Inputs!$B$11-Inputs!$B$11),0)))/100)/2</f>
        <v/>
      </c>
      <c r="M2144">
        <f>L2144*(1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4">
        <f>L2144*(1-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2144*(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4">
        <f>(1-Summary!$B$11)*T2144+Summary!$B$11*V2144</f>
        <v/>
      </c>
      <c r="P2144">
        <f>IF(B2183=0,0,O2144/B2183)</f>
        <v/>
      </c>
      <c r="Q2144">
        <f>IFERROR(1/(IF(Inputs!$B$38="pvp",15,MAX(0.1,Skills!D5-IF(Skills!E5=TRUE,Inputs!$B$32,0)))*(1-IF(AND(ArtifactsInput!$M$27,Inputs!$B$4="Chapter Hunt"),CHOOSE(ArtifactsInput!$N$27+1,20,24,28,32,36,40),0)/100)),0)</f>
        <v/>
      </c>
      <c r="R2144">
        <f>IF(AND(Inputs!$B$38&lt;&gt;"pvp",Inputs!$B$43&gt;0),IF(MAX(0,Inputs!$B$43-B2180)&lt;=0,0,(INT(MAX(0,Inputs!$B$43-B2180)/(IF(Inputs!$B$38="pvp",15,MAX(0.1,Skills!D5-IF(Skills!E5=TRUE,Inputs!$B$32,0)))*(1-IF(AND(ArtifactsInput!$M$27,Inputs!$B$4="Chapter Hunt"),CHOOSE(ArtifactsInput!$N$27+1,20,24,28,32,36,40),0)/100)))+1)),0)</f>
        <v/>
      </c>
      <c r="S2144">
        <f>IFERROR(O2144/N2144,0)</f>
        <v/>
      </c>
      <c r="T2144">
        <f>IF(C2144,(H2144*N2144*IF(AND(Inputs!$B$38&lt;&gt;"pvp",Inputs!$B$43&gt;0),((Skills!G5*((R2144-1)*IF(Skills!H5&gt;0,Skills!I5/Skills!H5,1)+IF(Skills!H5&gt;0,MIN(Skills!I5,MAX(0,MAX(0,Inputs!$B$43-B2180)-((R2144-1)*(IF(Inputs!$B$38="pvp",15,MAX(0.1,Skills!D5-IF(Skills!E5=TRUE,Inputs!$B$32,0)))*(1-IF(AND(ArtifactsInput!$M$27,Inputs!$B$4="Chapter Hunt"),CHOOSE(ArtifactsInput!$N$27+1,20,24,28,32,36,40),0)/100)))))/Skills!H5,1)))/Inputs!$B$43),G2144*Q2144)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2144*(1-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2144*(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2144*(1-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2144*(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4">
        <f>IF(C2144,(H2144*N2144*IF(AND(Inputs!$B$38&lt;&gt;"pvp",Inputs!$B$43&gt;0),((Skills!G5*((R2144-1)*IF(Skills!H5&gt;0,Skills!I5/Skills!H5,1)+IF(Skills!H5&gt;0,MIN(Skills!I5,MAX(0,MAX(0,Inputs!$B$43-B2180)-((R2144-1)*(IF(Inputs!$B$38="pvp",15,MAX(0.1,Skills!D5-IF(Skills!E5=TRUE,Inputs!$B$32,0)))*(1-IF(AND(ArtifactsInput!$M$27,Inputs!$B$4="Chapter Hunt"),CHOOSE(ArtifactsInput!$N$27+1,20,24,28,32,36,40),0)/100)))))/Skills!H5,1)))/Inputs!$B$43),G2144*Q2144))*IF(Inputs!$B$38="pvp",1,(1+(Inputs!$B$21+Skills!Q5+(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5">
      <c r="A2145">
        <f>Skills!A6</f>
        <v/>
      </c>
      <c r="B2145">
        <f>Skills!B6</f>
        <v/>
      </c>
      <c r="C2145">
        <f>Inputs!$B$3&gt;=40</f>
        <v/>
      </c>
      <c r="D2145">
        <f>IF(Skills!C6=1,60+Inputs!$B$25+Inputs!$B$29,IF(Skills!C6=2,90+Inputs!$B$26+Inputs!$B$29,IF(Skills!C6=3,120+Inputs!$B$27+Inputs!$B$29,MAX(0,(Inputs!$B$3-100)*3)+Inputs!$B$28+Inputs!$B$29)))</f>
        <v/>
      </c>
      <c r="E2145">
        <f>INDEX(FactorTable!$B$2:$Y$301, MATCH(ROUND(MIN(300,MAX(1,D2145)),0), FactorTable!$A$2:$A$301,0), Skills!M6+1)</f>
        <v/>
      </c>
      <c r="F2145">
        <f>IF(Skills!N6=TRUE,(Skills!L6/10)*(E2145/1000),Skills!L6/10)+Skills!O6</f>
        <v/>
      </c>
      <c r="G2145">
        <f>Skills!G6*IF(Skills!H6&gt;0,Skills!I6/Skills!H6,1)</f>
        <v/>
      </c>
      <c r="H2145">
        <f>1-(1-Skills!J6/100)^Skills!K6</f>
        <v/>
      </c>
      <c r="I2145" t="inlineStr">
        <is>
          <t>1</t>
        </is>
      </c>
      <c r="J2145">
        <f>((Inputs!$B$6*(1+Inputs!$B$7/100))+(((Inputs!$B$12*(1+Inputs!$B$13/100))-(Inputs!$B$12*(1+Inputs!$B$13/100)))+0.25*(Inputs!$B$14-Inputs!$B$14))*(1+Inputs!$B$7/100))*(F2145/100)</f>
        <v/>
      </c>
      <c r="K2145">
        <f>J2145*(1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2146=TRUE,F2146,0)/100)*(1+(IF(Skills!A6="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2145)</f>
        <v/>
      </c>
      <c r="L2145">
        <f>K2145*(MIN(Inputs!$B$22+((C2164=TRUE)*(F2164-Calc!F25)),(Inputs!$B$23+((C2169=TRUE)*(F2169-Calc!F30))+(IF(ArtifactsInput!$M$15,CHOOSE(ArtifactsInput!$N$15+1,25,30,35,40,45,50)/100*(Inputs!$B$11-Inputs!$B$11),0))))/100+(Inputs!$B$23+((C2169=TRUE)*(F2169-Calc!F30))+(IF(ArtifactsInput!$M$15,CHOOSE(ArtifactsInput!$N$15+1,25,30,35,40,45,50)/100*(Inputs!$B$11-Inputs!$B$11),0)))/100)/2</f>
        <v/>
      </c>
      <c r="M2145">
        <f>L2145*(1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5">
        <f>L2145*(1-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2145*(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5">
        <f>(1-Summary!$B$11)*T2145+Summary!$B$11*V2145</f>
        <v/>
      </c>
      <c r="P2145">
        <f>IF(B2183=0,0,O2145/B2183)</f>
        <v/>
      </c>
      <c r="Q2145">
        <f>IFERROR(1/(IF(Inputs!$B$38="pvp",15,MAX(0.1,Skills!D6-IF(Skills!E6=TRUE,Inputs!$B$32,0)))*(1-IF(AND(ArtifactsInput!$M$27,Inputs!$B$4="Chapter Hunt"),CHOOSE(ArtifactsInput!$N$27+1,20,24,28,32,36,40),0)/100)),0)</f>
        <v/>
      </c>
      <c r="R2145">
        <f>IF(AND(Inputs!$B$38&lt;&gt;"pvp",Inputs!$B$43&gt;0),IF(MAX(0,Inputs!$B$43-B2180)&lt;=0,0,(INT(MAX(0,Inputs!$B$43-B2180)/(IF(Inputs!$B$38="pvp",15,MAX(0.1,Skills!D6-IF(Skills!E6=TRUE,Inputs!$B$32,0)))*(1-IF(AND(ArtifactsInput!$M$27,Inputs!$B$4="Chapter Hunt"),CHOOSE(ArtifactsInput!$N$27+1,20,24,28,32,36,40),0)/100)))+1)),0)</f>
        <v/>
      </c>
      <c r="S2145">
        <f>IFERROR(O2145/N2145,0)</f>
        <v/>
      </c>
      <c r="T2145">
        <f>IF(C2145,(H2145*N2145*IF(AND(Inputs!$B$38&lt;&gt;"pvp",Inputs!$B$43&gt;0),((Skills!G6*((R2145-1)*IF(Skills!H6&gt;0,Skills!I6/Skills!H6,1)+IF(Skills!H6&gt;0,MIN(Skills!I6,MAX(0,MAX(0,Inputs!$B$43-B2180)-((R2145-1)*(IF(Inputs!$B$38="pvp",15,MAX(0.1,Skills!D6-IF(Skills!E6=TRUE,Inputs!$B$32,0)))*(1-IF(AND(ArtifactsInput!$M$27,Inputs!$B$4="Chapter Hunt"),CHOOSE(ArtifactsInput!$N$27+1,20,24,28,32,36,40),0)/100)))))/Skills!H6,1)))/Inputs!$B$43),G2145*Q2145)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2145*(1-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2145*(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2145*(1-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2145*(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5">
        <f>IF(C2145,(H2145*N2145*IF(AND(Inputs!$B$38&lt;&gt;"pvp",Inputs!$B$43&gt;0),((Skills!G6*((R2145-1)*IF(Skills!H6&gt;0,Skills!I6/Skills!H6,1)+IF(Skills!H6&gt;0,MIN(Skills!I6,MAX(0,MAX(0,Inputs!$B$43-B2180)-((R2145-1)*(IF(Inputs!$B$38="pvp",15,MAX(0.1,Skills!D6-IF(Skills!E6=TRUE,Inputs!$B$32,0)))*(1-IF(AND(ArtifactsInput!$M$27,Inputs!$B$4="Chapter Hunt"),CHOOSE(ArtifactsInput!$N$27+1,20,24,28,32,36,40),0)/100)))))/Skills!H6,1)))/Inputs!$B$43),G2145*Q2145))*IF(Inputs!$B$38="pvp",1,(1+(Inputs!$B$21+Skills!Q6+(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6">
      <c r="A2146">
        <f>Skills!A7</f>
        <v/>
      </c>
      <c r="B2146">
        <f>Skills!B7</f>
        <v/>
      </c>
      <c r="C2146">
        <f>Inputs!$B$3&gt;=107</f>
        <v/>
      </c>
      <c r="D2146">
        <f>IF(Skills!C7=1,60+Inputs!$B$25+Inputs!$B$29,IF(Skills!C7=2,90+Inputs!$B$26+Inputs!$B$29,IF(Skills!C7=3,120+Inputs!$B$27+Inputs!$B$29,MAX(0,(Inputs!$B$3-100)*3)+Inputs!$B$28+Inputs!$B$29)))</f>
        <v/>
      </c>
      <c r="E2146">
        <f>INDEX(FactorTable!$B$2:$Y$301, MATCH(ROUND(MIN(300,MAX(1,D2146)),0), FactorTable!$A$2:$A$301,0), Skills!M7+1)</f>
        <v/>
      </c>
      <c r="F2146">
        <f>IF(Skills!N7=TRUE,(Skills!L7/10)*(E2146/1000),Skills!L7/10)+Skills!O7</f>
        <v/>
      </c>
      <c r="G2146" t="inlineStr"/>
      <c r="H2146" t="inlineStr"/>
      <c r="I2146" t="inlineStr">
        <is>
          <t>1</t>
        </is>
      </c>
      <c r="J2146" t="inlineStr"/>
      <c r="K2146" t="inlineStr"/>
      <c r="L2146" t="inlineStr"/>
      <c r="M2146" t="inlineStr"/>
      <c r="N2146" t="inlineStr"/>
      <c r="O2146" t="inlineStr"/>
      <c r="P2146" t="inlineStr"/>
      <c r="Q2146" t="inlineStr"/>
      <c r="R2146" t="inlineStr"/>
      <c r="S2146" t="inlineStr"/>
      <c r="T2146" t="inlineStr"/>
      <c r="V2146" t="inlineStr"/>
    </row>
    <row r="2147">
      <c r="A2147">
        <f>Skills!A8</f>
        <v/>
      </c>
      <c r="B2147">
        <f>Skills!B8</f>
        <v/>
      </c>
      <c r="C2147">
        <f>Inputs!$B$3&gt;=69</f>
        <v/>
      </c>
      <c r="D2147">
        <f>IF(Skills!C8=1,60+Inputs!$B$25+Inputs!$B$29,IF(Skills!C8=2,90+Inputs!$B$26+Inputs!$B$29,IF(Skills!C8=3,120+Inputs!$B$27+Inputs!$B$29,MAX(0,(Inputs!$B$3-100)*3)+Inputs!$B$28+Inputs!$B$29)))</f>
        <v/>
      </c>
      <c r="E2147">
        <f>INDEX(FactorTable!$B$2:$Y$301, MATCH(ROUND(MIN(300,MAX(1,D2147)),0), FactorTable!$A$2:$A$301,0), Skills!M8+1)</f>
        <v/>
      </c>
      <c r="F2147">
        <f>IF(Skills!N8=TRUE,(Skills!L8/10)*(E2147/1000),Skills!L8/10)+Skills!O8</f>
        <v/>
      </c>
      <c r="G2147">
        <f>Skills!G8*IF(Skills!H8&gt;0,Skills!I8/Skills!H8,1)</f>
        <v/>
      </c>
      <c r="H2147">
        <f>1-(1-Skills!J8/100)^Skills!K8</f>
        <v/>
      </c>
      <c r="I2147" t="inlineStr">
        <is>
          <t>1</t>
        </is>
      </c>
      <c r="J2147">
        <f>((Inputs!$B$6*(1+Inputs!$B$7/100))+(((Inputs!$B$12*(1+Inputs!$B$13/100))-(Inputs!$B$12*(1+Inputs!$B$13/100)))+0.25*(Inputs!$B$14-Inputs!$B$14))*(1+Inputs!$B$7/100))*(F2147/100)</f>
        <v/>
      </c>
      <c r="K2147">
        <f>J2147*(1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2150=TRUE,F2150,0)/100)*(1+(IF(Skills!A8="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2147)</f>
        <v/>
      </c>
      <c r="L2147">
        <f>K2147*(MIN(Inputs!$B$22+((C2164=TRUE)*(F2164-Calc!F25)),(Inputs!$B$23+((C2169=TRUE)*(F2169-Calc!F30))+(IF(ArtifactsInput!$M$15,CHOOSE(ArtifactsInput!$N$15+1,25,30,35,40,45,50)/100*(Inputs!$B$11-Inputs!$B$11),0))))/100+(Inputs!$B$23+((C2169=TRUE)*(F2169-Calc!F30))+(IF(ArtifactsInput!$M$15,CHOOSE(ArtifactsInput!$N$15+1,25,30,35,40,45,50)/100*(Inputs!$B$11-Inputs!$B$11),0)))/100)/2</f>
        <v/>
      </c>
      <c r="M2147">
        <f>L2147*(1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7">
        <f>L2147*(1-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2147*(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7">
        <f>(1-Summary!$B$11)*T2147+Summary!$B$11*V2147</f>
        <v/>
      </c>
      <c r="P2147">
        <f>IF(B2183=0,0,O2147/B2183)</f>
        <v/>
      </c>
      <c r="Q2147">
        <f>IFERROR(1/(IF(Inputs!$B$38="pvp",15,MAX(0.1,Skills!D8-IF(Skills!E8=TRUE,Inputs!$B$32,0)))*(1-IF(AND(ArtifactsInput!$M$27,Inputs!$B$4="Chapter Hunt"),CHOOSE(ArtifactsInput!$N$27+1,20,24,28,32,36,40),0)/100)),0)</f>
        <v/>
      </c>
      <c r="R2147">
        <f>IF(AND(Inputs!$B$38&lt;&gt;"pvp",Inputs!$B$43&gt;0),IF(MAX(0,Inputs!$B$43-B2180)&lt;=0,0,(INT(MAX(0,Inputs!$B$43-B2180)/(IF(Inputs!$B$38="pvp",15,MAX(0.1,Skills!D8-IF(Skills!E8=TRUE,Inputs!$B$32,0)))*(1-IF(AND(ArtifactsInput!$M$27,Inputs!$B$4="Chapter Hunt"),CHOOSE(ArtifactsInput!$N$27+1,20,24,28,32,36,40),0)/100)))+1)),0)</f>
        <v/>
      </c>
      <c r="S2147">
        <f>IFERROR(O2147/N2147,0)</f>
        <v/>
      </c>
      <c r="T2147">
        <f>IF(C2147,(H2147*N2147*IF(AND(Inputs!$B$38&lt;&gt;"pvp",Inputs!$B$43&gt;0),((Skills!G8*((R2147-1)*IF(Skills!H8&gt;0,Skills!I8/Skills!H8,1)+IF(Skills!H8&gt;0,MIN(Skills!I8,MAX(0,MAX(0,Inputs!$B$43-B2180)-((R2147-1)*(IF(Inputs!$B$38="pvp",15,MAX(0.1,Skills!D8-IF(Skills!E8=TRUE,Inputs!$B$32,0)))*(1-IF(AND(ArtifactsInput!$M$27,Inputs!$B$4="Chapter Hunt"),CHOOSE(ArtifactsInput!$N$27+1,20,24,28,32,36,40),0)/100)))))/Skills!H8,1)))/Inputs!$B$43),G2147*Q2147)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2147*(1-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2147*(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2147*(1-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2147*(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7">
        <f>IF(C2147,(H2147*N2147*IF(AND(Inputs!$B$38&lt;&gt;"pvp",Inputs!$B$43&gt;0),((Skills!G8*((R2147-1)*IF(Skills!H8&gt;0,Skills!I8/Skills!H8,1)+IF(Skills!H8&gt;0,MIN(Skills!I8,MAX(0,MAX(0,Inputs!$B$43-B2180)-((R2147-1)*(IF(Inputs!$B$38="pvp",15,MAX(0.1,Skills!D8-IF(Skills!E8=TRUE,Inputs!$B$32,0)))*(1-IF(AND(ArtifactsInput!$M$27,Inputs!$B$4="Chapter Hunt"),CHOOSE(ArtifactsInput!$N$27+1,20,24,28,32,36,40),0)/100)))))/Skills!H8,1)))/Inputs!$B$43),G2147*Q2147))*IF(Inputs!$B$38="pvp",1,(1+(Inputs!$B$21+Skills!Q8+(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8">
      <c r="A2148">
        <f>Skills!A9</f>
        <v/>
      </c>
      <c r="B2148">
        <f>Skills!B9</f>
        <v/>
      </c>
      <c r="C2148">
        <f>Inputs!$B$3&gt;=63</f>
        <v/>
      </c>
      <c r="D2148">
        <f>IF(Skills!C9=1,60+Inputs!$B$25+Inputs!$B$29,IF(Skills!C9=2,90+Inputs!$B$26+Inputs!$B$29,IF(Skills!C9=3,120+Inputs!$B$27+Inputs!$B$29,MAX(0,(Inputs!$B$3-100)*3)+Inputs!$B$28+Inputs!$B$29)))</f>
        <v/>
      </c>
      <c r="E2148">
        <f>INDEX(FactorTable!$B$2:$Y$301, MATCH(ROUND(MIN(300,MAX(1,D2148)),0), FactorTable!$A$2:$A$301,0), Skills!M9+1)</f>
        <v/>
      </c>
      <c r="F2148">
        <f>IF(Skills!N9=TRUE,(Skills!L9/10)*(E2148/1000),Skills!L9/10)+Skills!O9</f>
        <v/>
      </c>
      <c r="G2148">
        <f>Skills!G9*IF(Skills!H9&gt;0,Skills!I9/Skills!H9,1)</f>
        <v/>
      </c>
      <c r="H2148">
        <f>1-(1-Skills!J9/100)^Skills!K9</f>
        <v/>
      </c>
      <c r="I2148" t="inlineStr">
        <is>
          <t>1</t>
        </is>
      </c>
      <c r="J2148">
        <f>((Inputs!$B$6*(1+Inputs!$B$7/100))+(((Inputs!$B$12*(1+Inputs!$B$13/100))-(Inputs!$B$12*(1+Inputs!$B$13/100)))+0.25*(Inputs!$B$14-Inputs!$B$14))*(1+Inputs!$B$7/100))*(F2148/100)</f>
        <v/>
      </c>
      <c r="K2148">
        <f>J2148*(1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2150=TRUE,F2150,0)/100)*(1+(IF(Skills!A9="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2148)</f>
        <v/>
      </c>
      <c r="L2148">
        <f>K2148*(MIN(Inputs!$B$22+((C2164=TRUE)*(F2164-Calc!F25)),(Inputs!$B$23+((C2169=TRUE)*(F2169-Calc!F30))+(IF(ArtifactsInput!$M$15,CHOOSE(ArtifactsInput!$N$15+1,25,30,35,40,45,50)/100*(Inputs!$B$11-Inputs!$B$11),0))))/100+(Inputs!$B$23+((C2169=TRUE)*(F2169-Calc!F30))+(IF(ArtifactsInput!$M$15,CHOOSE(ArtifactsInput!$N$15+1,25,30,35,40,45,50)/100*(Inputs!$B$11-Inputs!$B$11),0)))/100)/2</f>
        <v/>
      </c>
      <c r="M2148">
        <f>L2148*(1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8">
        <f>L2148*(1-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2148*(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8">
        <f>(1-Summary!$B$11)*T2148+Summary!$B$11*V2148</f>
        <v/>
      </c>
      <c r="P2148">
        <f>IF(B2183=0,0,O2148/B2183)</f>
        <v/>
      </c>
      <c r="Q2148">
        <f>IFERROR(1/(IF(Inputs!$B$38="pvp",15,MAX(0.1,Skills!D9-IF(Skills!E9=TRUE,Inputs!$B$32,0)))*(1-IF(AND(ArtifactsInput!$M$27,Inputs!$B$4="Chapter Hunt"),CHOOSE(ArtifactsInput!$N$27+1,20,24,28,32,36,40),0)/100)),0)</f>
        <v/>
      </c>
      <c r="R2148">
        <f>IF(AND(Inputs!$B$38&lt;&gt;"pvp",Inputs!$B$43&gt;0),IF(MAX(0,Inputs!$B$43-B2180)&lt;=0,0,(INT(MAX(0,Inputs!$B$43-B2180)/(IF(Inputs!$B$38="pvp",15,MAX(0.1,Skills!D9-IF(Skills!E9=TRUE,Inputs!$B$32,0)))*(1-IF(AND(ArtifactsInput!$M$27,Inputs!$B$4="Chapter Hunt"),CHOOSE(ArtifactsInput!$N$27+1,20,24,28,32,36,40),0)/100)))+1)),0)</f>
        <v/>
      </c>
      <c r="S2148">
        <f>IFERROR(O2148/N2148,0)</f>
        <v/>
      </c>
      <c r="T2148">
        <f>IF(C2148,(H2148*N2148*IF(AND(Inputs!$B$38&lt;&gt;"pvp",Inputs!$B$43&gt;0),((Skills!G9*((R2148-1)*IF(Skills!H9&gt;0,Skills!I9/Skills!H9,1)+IF(Skills!H9&gt;0,MIN(Skills!I9,MAX(0,MAX(0,Inputs!$B$43-B2180)-((R2148-1)*(IF(Inputs!$B$38="pvp",15,MAX(0.1,Skills!D9-IF(Skills!E9=TRUE,Inputs!$B$32,0)))*(1-IF(AND(ArtifactsInput!$M$27,Inputs!$B$4="Chapter Hunt"),CHOOSE(ArtifactsInput!$N$27+1,20,24,28,32,36,40),0)/100)))))/Skills!H9,1)))/Inputs!$B$43),G2148*Q2148)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2148*(1-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2148*(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2148*(1-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2148*(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8">
        <f>IF(C2148,(H2148*N2148*IF(AND(Inputs!$B$38&lt;&gt;"pvp",Inputs!$B$43&gt;0),((Skills!G9*((R2148-1)*IF(Skills!H9&gt;0,Skills!I9/Skills!H9,1)+IF(Skills!H9&gt;0,MIN(Skills!I9,MAX(0,MAX(0,Inputs!$B$43-B2180)-((R2148-1)*(IF(Inputs!$B$38="pvp",15,MAX(0.1,Skills!D9-IF(Skills!E9=TRUE,Inputs!$B$32,0)))*(1-IF(AND(ArtifactsInput!$M$27,Inputs!$B$4="Chapter Hunt"),CHOOSE(ArtifactsInput!$N$27+1,20,24,28,32,36,40),0)/100)))))/Skills!H9,1)))/Inputs!$B$43),G2148*Q2148))*IF(Inputs!$B$38="pvp",1,(1+(Inputs!$B$21+Skills!Q9+(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9">
      <c r="A2149">
        <f>Skills!A10</f>
        <v/>
      </c>
      <c r="B2149">
        <f>Skills!B10</f>
        <v/>
      </c>
      <c r="C2149">
        <f>Inputs!$B$3&gt;=103</f>
        <v/>
      </c>
      <c r="D2149">
        <f>IF(Skills!C10=1,60+Inputs!$B$25+Inputs!$B$29,IF(Skills!C10=2,90+Inputs!$B$26+Inputs!$B$29,IF(Skills!C10=3,120+Inputs!$B$27+Inputs!$B$29,MAX(0,(Inputs!$B$3-100)*3)+Inputs!$B$28+Inputs!$B$29)))</f>
        <v/>
      </c>
      <c r="E2149">
        <f>INDEX(FactorTable!$B$2:$Y$301, MATCH(ROUND(MIN(300,MAX(1,D2149)),0), FactorTable!$A$2:$A$301,0), Skills!M10+1)</f>
        <v/>
      </c>
      <c r="F2149">
        <f>IF(Skills!N10=TRUE,(Skills!L10/10)*(E2149/1000),Skills!L10/10)+Skills!O10</f>
        <v/>
      </c>
      <c r="G2149">
        <f>Skills!G10*IF(Skills!H10&gt;0,Skills!I10/Skills!H10,1)</f>
        <v/>
      </c>
      <c r="H2149">
        <f>1-(1-Skills!J10/100)^Skills!K10</f>
        <v/>
      </c>
      <c r="I2149" t="inlineStr">
        <is>
          <t>1</t>
        </is>
      </c>
      <c r="J2149">
        <f>((Inputs!$B$6*(1+Inputs!$B$7/100))+(((Inputs!$B$12*(1+Inputs!$B$13/100))-(Inputs!$B$12*(1+Inputs!$B$13/100)))+0.25*(Inputs!$B$14-Inputs!$B$14))*(1+Inputs!$B$7/100))*(F2149/100)</f>
        <v/>
      </c>
      <c r="K2149">
        <f>J2149*(1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2149)</f>
        <v/>
      </c>
      <c r="L2149">
        <f>K2149*(MIN(Inputs!$B$22+((C2164=TRUE)*(F2164-Calc!F25)),(Inputs!$B$23+((C2169=TRUE)*(F2169-Calc!F30))+(IF(ArtifactsInput!$M$15,CHOOSE(ArtifactsInput!$N$15+1,25,30,35,40,45,50)/100*(Inputs!$B$11-Inputs!$B$11),0))))/100+(Inputs!$B$23+((C2169=TRUE)*(F2169-Calc!F30))+(IF(ArtifactsInput!$M$15,CHOOSE(ArtifactsInput!$N$15+1,25,30,35,40,45,50)/100*(Inputs!$B$11-Inputs!$B$11),0)))/100)/2</f>
        <v/>
      </c>
      <c r="M2149">
        <f>L2149*(1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9">
        <f>L2149*(1-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2149*(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9">
        <f>(1-Summary!$B$11)*T2149+Summary!$B$11*V2149</f>
        <v/>
      </c>
      <c r="P2149">
        <f>IF(B2183=0,0,O2149/B2183)</f>
        <v/>
      </c>
      <c r="Q2149">
        <f>IFERROR(1/(IF(Inputs!$B$38="pvp",15,MAX(0.1,Skills!D10-IF(Skills!E10=TRUE,Inputs!$B$32,0)))*(1-IF(AND(ArtifactsInput!$M$27,Inputs!$B$4="Chapter Hunt"),CHOOSE(ArtifactsInput!$N$27+1,20,24,28,32,36,40),0)/100)),0)</f>
        <v/>
      </c>
      <c r="R2149">
        <f>IF(AND(Inputs!$B$38&lt;&gt;"pvp",Inputs!$B$43&gt;0),IF(MAX(0,Inputs!$B$43-B2180)&lt;=0,0,(INT(MAX(0,Inputs!$B$43-B2180)/(IF(Inputs!$B$38="pvp",15,MAX(0.1,Skills!D10-IF(Skills!E10=TRUE,Inputs!$B$32,0)))*(1-IF(AND(ArtifactsInput!$M$27,Inputs!$B$4="Chapter Hunt"),CHOOSE(ArtifactsInput!$N$27+1,20,24,28,32,36,40),0)/100)))+1)),0)</f>
        <v/>
      </c>
      <c r="S2149">
        <f>IFERROR(O2149/N2149,0)</f>
        <v/>
      </c>
      <c r="T2149">
        <f>IF(C2149,(H2149*N2149*IF(AND(Inputs!$B$38&lt;&gt;"pvp",Inputs!$B$43&gt;0),((Skills!G10*((R2149-1)*IF(Skills!H10&gt;0,Skills!I10/Skills!H10,1)+IF(Skills!H10&gt;0,MIN(Skills!I10,MAX(0,MAX(0,Inputs!$B$43-B2180)-((R2149-1)*(IF(Inputs!$B$38="pvp",15,MAX(0.1,Skills!D10-IF(Skills!E10=TRUE,Inputs!$B$32,0)))*(1-IF(AND(ArtifactsInput!$M$27,Inputs!$B$4="Chapter Hunt"),CHOOSE(ArtifactsInput!$N$27+1,20,24,28,32,36,40),0)/100)))))/Skills!H10,1)))/Inputs!$B$43),G2149*Q2149)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2149*(1-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2149*(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2149*(1-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2149*(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9">
        <f>IF(C2149,(H2149*N2149*IF(AND(Inputs!$B$38&lt;&gt;"pvp",Inputs!$B$43&gt;0),((Skills!G10*((R2149-1)*IF(Skills!H10&gt;0,Skills!I10/Skills!H10,1)+IF(Skills!H10&gt;0,MIN(Skills!I10,MAX(0,MAX(0,Inputs!$B$43-B2180)-((R2149-1)*(IF(Inputs!$B$38="pvp",15,MAX(0.1,Skills!D10-IF(Skills!E10=TRUE,Inputs!$B$32,0)))*(1-IF(AND(ArtifactsInput!$M$27,Inputs!$B$4="Chapter Hunt"),CHOOSE(ArtifactsInput!$N$27+1,20,24,28,32,36,40),0)/100)))))/Skills!H10,1)))/Inputs!$B$43),G2149*Q2149))*IF(Inputs!$B$38="pvp",1,(1+(Inputs!$B$21+Skills!Q10+(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0">
      <c r="A2150">
        <f>Skills!A11</f>
        <v/>
      </c>
      <c r="B2150">
        <f>Skills!B11</f>
        <v/>
      </c>
      <c r="C2150">
        <f>Inputs!$B$3&gt;=100</f>
        <v/>
      </c>
      <c r="D2150">
        <f>IF(Skills!C11=1,60+Inputs!$B$25+Inputs!$B$29,IF(Skills!C11=2,90+Inputs!$B$26+Inputs!$B$29,IF(Skills!C11=3,120+Inputs!$B$27+Inputs!$B$29,MAX(0,(Inputs!$B$3-100)*3)+Inputs!$B$28+Inputs!$B$29)))</f>
        <v/>
      </c>
      <c r="E2150">
        <f>INDEX(FactorTable!$B$2:$Y$301, MATCH(ROUND(MIN(300,MAX(1,D2150)),0), FactorTable!$A$2:$A$301,0), Skills!M11+1)</f>
        <v/>
      </c>
      <c r="F2150">
        <f>IF(Skills!N11=TRUE,(Skills!L11/10)*(E2150/1000),Skills!L11/10)+Skills!O11</f>
        <v/>
      </c>
      <c r="G2150" t="inlineStr"/>
      <c r="H2150" t="inlineStr"/>
      <c r="I2150" t="inlineStr">
        <is>
          <t>1</t>
        </is>
      </c>
      <c r="J2150" t="inlineStr"/>
      <c r="K2150" t="inlineStr"/>
      <c r="L2150" t="inlineStr"/>
      <c r="M2150" t="inlineStr"/>
      <c r="N2150" t="inlineStr"/>
      <c r="O2150" t="inlineStr"/>
      <c r="P2150" t="inlineStr"/>
      <c r="Q2150" t="inlineStr"/>
      <c r="R2150" t="inlineStr"/>
      <c r="S2150" t="inlineStr"/>
      <c r="T2150" t="inlineStr"/>
      <c r="V2150" t="inlineStr"/>
    </row>
    <row r="2151">
      <c r="A2151">
        <f>Skills!A12</f>
        <v/>
      </c>
      <c r="B2151">
        <f>Skills!B12</f>
        <v/>
      </c>
      <c r="C2151">
        <f>Inputs!$B$3&gt;=60</f>
        <v/>
      </c>
      <c r="D2151">
        <f>IF(Skills!C12=1,60+Inputs!$B$25+Inputs!$B$29,IF(Skills!C12=2,90+Inputs!$B$26+Inputs!$B$29,IF(Skills!C12=3,120+Inputs!$B$27+Inputs!$B$29,MAX(0,(Inputs!$B$3-100)*3)+Inputs!$B$28+Inputs!$B$29)))</f>
        <v/>
      </c>
      <c r="E2151">
        <f>INDEX(FactorTable!$B$2:$Y$301, MATCH(ROUND(MIN(300,MAX(1,D2151)),0), FactorTable!$A$2:$A$301,0), Skills!M12+1)</f>
        <v/>
      </c>
      <c r="F2151">
        <f>IF(Skills!N12=TRUE,(Skills!L12/10)*(E2151/1000),Skills!L12/10)+Skills!O12</f>
        <v/>
      </c>
      <c r="G2151">
        <f>Skills!G12*IF(Skills!H12&gt;0,Skills!I12/Skills!H12,1)</f>
        <v/>
      </c>
      <c r="H2151">
        <f>1-(1-Skills!J12/100)^Skills!K12</f>
        <v/>
      </c>
      <c r="I2151" t="inlineStr">
        <is>
          <t>1</t>
        </is>
      </c>
      <c r="J2151">
        <f>((Inputs!$B$6*(1+Inputs!$B$7/100))+(((Inputs!$B$12*(1+Inputs!$B$13/100))-(Inputs!$B$12*(1+Inputs!$B$13/100)))+0.25*(Inputs!$B$14-Inputs!$B$14))*(1+Inputs!$B$7/100))*(F2151/100)</f>
        <v/>
      </c>
      <c r="K2151">
        <f>J2151*(1+((Inputs!$B$12*(1+Inputs!$B$13/100))*0.01+Inputs!$B$14*0.0025)/100)*(1+Inputs!$B$15/100)*(1+Inputs!$B$16/100)*(5000/(6000+Inputs!$B$42*(1-(100*(1-(1-(Inputs!$B$19+((C2167=TRUE)*(F2167-Calc!F28)))/100)*(1-CHOOSE(ArtifactsInput!$N$40+1,5,6,7,8,9,10)/100)^(ArtifactsInput!$M$40-ArtifactsInput!$M$40)))/100)))*(1+(Inputs!$B$24+((C2165=TRUE)*(F2165-Calc!F26))+((C2166=TRUE)*(F2166-Calc!F27))+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2152=TRUE,F2152,0)/100)*(1+(IF(Skills!A12="ARROW_STREAM",Inputs!$B$17+((C2163=TRUE)*(F2163-Calc!F24))+(((IF(AND(ArtifactsInput!$M$42,((Inputs!$B$9+((C2160=TRUE)*(F2160-Calc!F21))+B2173+(ArtifactsInput!$M$24-ArtifactsInput!$M$24)*CHOOSE(ArtifactsInput!$N$24+1,10,12,14,16,18,20)+IF(ArtifactsInput!$M$10,CHOOSE(ArtifactsInput!$N$10+1,15,18,21,24,27,30)*(IF(Inputs!$B$38="pvp",MIN(15,15)/15,IF(AND(Inputs!$B$38&lt;&gt;"pvp",Inputs!$B$43&gt;0),MIN(15,Inputs!$B$43)/(Inputs!$B$43),0))),0)))&gt;=100),MIN(100,((Inputs!$B$9+((C2160=TRUE)*(F2160-Calc!F21))+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29))+(IF(AND(ArtifactsInput!$M$42,((Inputs!$B$9+((C2160=TRUE)*(F2160-Calc!F21))+B2173+(ArtifactsInput!$M$24-ArtifactsInput!$M$24)*CHOOSE(ArtifactsInput!$N$24+1,10,12,14,16,18,20)+IF(ArtifactsInput!$M$10,CHOOSE(ArtifactsInput!$N$10+1,15,18,21,24,27,30)*(IF(Inputs!$B$38="pvp",MIN(15,15)/15,IF(AND(Inputs!$B$38&lt;&gt;"pvp",Inputs!$B$43&gt;0),MIN(15,Inputs!$B$43)/(Inputs!$B$43),0))),0)))&gt;=100),CHOOSE(ArtifactsInput!$N$42+1,40,48,56,64,72,80),0))))/100)*((1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2151)</f>
        <v/>
      </c>
      <c r="L2151">
        <f>K2151*(MIN(Inputs!$B$22+((C2164=TRUE)*(F2164-Calc!F25)),(Inputs!$B$23+((C2169=TRUE)*(F2169-Calc!F30))+(IF(ArtifactsInput!$M$15,CHOOSE(ArtifactsInput!$N$15+1,25,30,35,40,45,50)/100*(Inputs!$B$11-Inputs!$B$11),0))))/100+(Inputs!$B$23+((C2169=TRUE)*(F2169-Calc!F30))+(IF(ArtifactsInput!$M$15,CHOOSE(ArtifactsInput!$N$15+1,25,30,35,40,45,50)/100*(Inputs!$B$11-Inputs!$B$11),0)))/100)/2</f>
        <v/>
      </c>
      <c r="M2151">
        <f>L2151*(1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1">
        <f>L2151*(1-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2151*(MIN((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1">
        <f>(1-Summary!$B$11)*T2151+Summary!$B$11*V2151</f>
        <v/>
      </c>
      <c r="P2151">
        <f>IF(B2183=0,0,O2151/B2183)</f>
        <v/>
      </c>
      <c r="Q2151">
        <f>IFERROR(1/(IF(Inputs!$B$38="pvp",15,MAX(0.1,Skills!D12-IF(Skills!E12=TRUE,Inputs!$B$32,0)))*(1-IF(AND(ArtifactsInput!$M$27,Inputs!$B$4="Chapter Hunt"),CHOOSE(ArtifactsInput!$N$27+1,20,24,28,32,36,40),0)/100)),0)</f>
        <v/>
      </c>
      <c r="R2151">
        <f>IF(AND(Inputs!$B$38&lt;&gt;"pvp",Inputs!$B$43&gt;0),IF(MAX(0,Inputs!$B$43-B2180)&lt;=0,0,(INT(MAX(0,Inputs!$B$43-B2180)/(IF(Inputs!$B$38="pvp",15,MAX(0.1,Skills!D12-IF(Skills!E12=TRUE,Inputs!$B$32,0)))*(1-IF(AND(ArtifactsInput!$M$27,Inputs!$B$4="Chapter Hunt"),CHOOSE(ArtifactsInput!$N$27+1,20,24,28,32,36,40),0)/100)))+1)),0)</f>
        <v/>
      </c>
      <c r="S2151">
        <f>IFERROR(O2151/N2151,0)</f>
        <v/>
      </c>
      <c r="T2151">
        <f>IF(C2151,(H2151*N2151*IF(AND(Inputs!$B$38&lt;&gt;"pvp",Inputs!$B$43&gt;0),((Skills!G12*((R2151-1)*IF(Skills!H12&gt;0,Skills!I12/Skills!H12,1)+IF(Skills!H12&gt;0,MIN(Skills!I12,MAX(0,MAX(0,Inputs!$B$43-B2180)-((R2151-1)*(IF(Inputs!$B$38="pvp",15,MAX(0.1,Skills!D12-IF(Skills!E12=TRUE,Inputs!$B$32,0)))*(1-IF(AND(ArtifactsInput!$M$27,Inputs!$B$4="Chapter Hunt"),CHOOSE(ArtifactsInput!$N$27+1,20,24,28,32,36,40),0)/100)))))/Skills!H12,1)))/Inputs!$B$43),G2151*Q2151)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C2167=TRUE)*(F2167-Calc!F28)))/100)*(1-CHOOSE(ArtifactsInput!$N$40+1,5,6,7,8,9,10)/100)^(ArtifactsInput!$M$40-ArtifactsInput!$M$40)))/100)*(1-IF(ArtifactsInput!$M$40,CHOOSE(ArtifactsInput!$N$40+1,5,6,7,8,9,10),0)/100)^IF(Inputs!$B$38="pvp",1,2)))/100)))/(5000/(6000+Inputs!$B$42*(1-(100*(1-(1-(Inputs!$B$19+((C2167=TRUE)*(F2167-Calc!F28)))/100)*(1-CHOOSE(ArtifactsInput!$N$40+1,5,6,7,8,9,10)/100)^(ArtifactsInput!$M$40-ArtifactsInput!$M$40)))/100))))*((L2151*(1-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2151*(MIN(100,(Inputs!$B$9+((C2160=TRUE)*(F2160-Calc!F21))+B2173+(ArtifactsInput!$M$24-ArtifactsInput!$M$24)*CHOOSE(ArtifactsInput!$N$24+1,10,12,14,16,18,20)+(IF(AND(ArtifactsInput!$M$42,((Inputs!$B$9+((C2160=TRUE)*(F2160-Calc!F21))+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1">
        <f>IF(C2151,(H2151*N2151*IF(AND(Inputs!$B$38&lt;&gt;"pvp",Inputs!$B$43&gt;0),((Skills!G12*((R2151-1)*IF(Skills!H12&gt;0,Skills!I12/Skills!H12,1)+IF(Skills!H12&gt;0,MIN(Skills!I12,MAX(0,MAX(0,Inputs!$B$43-B2180)-((R2151-1)*(IF(Inputs!$B$38="pvp",15,MAX(0.1,Skills!D12-IF(Skills!E12=TRUE,Inputs!$B$32,0)))*(1-IF(AND(ArtifactsInput!$M$27,Inputs!$B$4="Chapter Hunt"),CHOOSE(ArtifactsInput!$N$27+1,20,24,28,32,36,40),0)/100)))))/Skills!H12,1)))/Inputs!$B$43),G2151*Q2151))*IF(Inputs!$B$38="pvp",1,(1+(Inputs!$B$21+Skills!Q12+(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2">
      <c r="A2152">
        <f>Skills!A13</f>
        <v/>
      </c>
      <c r="B2152">
        <f>Skills!B13</f>
        <v/>
      </c>
      <c r="C2152">
        <f>Inputs!$B$3&gt;=110</f>
        <v/>
      </c>
      <c r="D2152">
        <f>IF(Skills!C13=1,60+Inputs!$B$25+Inputs!$B$29,IF(Skills!C13=2,90+Inputs!$B$26+Inputs!$B$29,IF(Skills!C13=3,120+Inputs!$B$27+Inputs!$B$29,MAX(0,(Inputs!$B$3-100)*3)+Inputs!$B$28+Inputs!$B$29)))</f>
        <v/>
      </c>
      <c r="E2152">
        <f>INDEX(FactorTable!$B$2:$Y$301, MATCH(ROUND(MIN(300,MAX(1,D2152)),0), FactorTable!$A$2:$A$301,0), Skills!M13+1)</f>
        <v/>
      </c>
      <c r="F2152">
        <f>IF(Skills!N13=TRUE,(Skills!L13/10)*(E2152/1000),Skills!L13/10)+Skills!O13</f>
        <v/>
      </c>
      <c r="G2152" t="inlineStr"/>
      <c r="H2152" t="inlineStr"/>
      <c r="I2152" t="inlineStr">
        <is>
          <t>1</t>
        </is>
      </c>
      <c r="J2152" t="inlineStr"/>
      <c r="K2152" t="inlineStr"/>
      <c r="L2152" t="inlineStr"/>
      <c r="M2152" t="inlineStr"/>
      <c r="N2152" t="inlineStr"/>
      <c r="O2152" t="inlineStr"/>
      <c r="P2152" t="inlineStr"/>
      <c r="Q2152" t="inlineStr"/>
      <c r="R2152" t="inlineStr"/>
      <c r="S2152" t="inlineStr"/>
      <c r="T2152" t="inlineStr"/>
      <c r="V2152" t="inlineStr"/>
    </row>
    <row r="2153">
      <c r="A2153">
        <f>Skills!A14</f>
        <v/>
      </c>
      <c r="B2153">
        <f>Skills!B14</f>
        <v/>
      </c>
      <c r="C2153">
        <f>Inputs!$B$3&gt;=74</f>
        <v/>
      </c>
      <c r="D2153">
        <f>IF(Skills!C14=1,60+Inputs!$B$25+Inputs!$B$29,IF(Skills!C14=2,90+Inputs!$B$26+Inputs!$B$29,IF(Skills!C14=3,120+Inputs!$B$27+Inputs!$B$29,MAX(0,(Inputs!$B$3-100)*3)+Inputs!$B$28+Inputs!$B$29)))</f>
        <v/>
      </c>
      <c r="E2153">
        <f>INDEX(FactorTable!$B$2:$Y$301, MATCH(ROUND(MIN(300,MAX(1,D2153)),0), FactorTable!$A$2:$A$301,0), Skills!M14+1)</f>
        <v/>
      </c>
      <c r="F2153">
        <f>IF(Skills!N14=TRUE,(Skills!L14/10)*(E2153/1000),Skills!L14/10)+Skills!O14</f>
        <v/>
      </c>
      <c r="G2153">
        <f>Skills!G14*IF(Skills!H14&gt;0,Skills!I14/Skills!H14,1)</f>
        <v/>
      </c>
      <c r="H2153">
        <f>1-(1-Skills!J14/100)^Skills!K14</f>
        <v/>
      </c>
      <c r="I2153" t="inlineStr">
        <is>
          <t>1</t>
        </is>
      </c>
      <c r="J2153" t="inlineStr"/>
      <c r="K2153" t="inlineStr"/>
      <c r="L2153" t="inlineStr"/>
      <c r="M2153" t="inlineStr"/>
      <c r="N2153" t="inlineStr"/>
      <c r="O2153">
        <f>(1-Summary!$B$11)*T2153+Summary!$B$11*V2153</f>
        <v/>
      </c>
      <c r="P2153">
        <f>IF(B2183=0,0,O2153/B2183)</f>
        <v/>
      </c>
      <c r="Q2153" t="n">
        <v>0</v>
      </c>
      <c r="R2153" t="n">
        <v>0</v>
      </c>
      <c r="S2153">
        <f>IFERROR(O2153/N2153,0)</f>
        <v/>
      </c>
      <c r="T2153" t="n">
        <v>0</v>
      </c>
      <c r="V2153" t="n">
        <v>0</v>
      </c>
    </row>
    <row r="2154">
      <c r="A2154">
        <f>Skills!A15</f>
        <v/>
      </c>
      <c r="B2154">
        <f>Skills!B15</f>
        <v/>
      </c>
      <c r="C2154">
        <f>Inputs!$B$3&gt;=74</f>
        <v/>
      </c>
      <c r="D2154">
        <f>IF(Skills!C15=1,60+Inputs!$B$25+Inputs!$B$29,IF(Skills!C15=2,90+Inputs!$B$26+Inputs!$B$29,IF(Skills!C15=3,120+Inputs!$B$27+Inputs!$B$29,MAX(0,(Inputs!$B$3-100)*3)+Inputs!$B$28+Inputs!$B$29)))</f>
        <v/>
      </c>
      <c r="E2154">
        <f>INDEX(FactorTable!$B$2:$Y$301, MATCH(ROUND(MIN(300,MAX(1,D2154)),0), FactorTable!$A$2:$A$301,0), Skills!M15+1)</f>
        <v/>
      </c>
      <c r="F2154">
        <f>IF(Skills!N15=TRUE,(Skills!L15/10)*(E2154/1000),Skills!L15/10)+Skills!O15</f>
        <v/>
      </c>
      <c r="G2154">
        <f>Skills!G15*IF(Skills!H15&gt;0,Skills!I15/Skills!H15,1)</f>
        <v/>
      </c>
      <c r="H2154">
        <f>1-(1-Skills!J15/100)^Skills!K15</f>
        <v/>
      </c>
      <c r="I2154" t="inlineStr">
        <is>
          <t>1</t>
        </is>
      </c>
      <c r="J2154" t="inlineStr"/>
      <c r="K2154" t="inlineStr"/>
      <c r="L2154" t="inlineStr"/>
      <c r="M2154" t="inlineStr"/>
      <c r="N2154" t="inlineStr"/>
      <c r="O2154">
        <f>(1-Summary!$B$11)*T2154+Summary!$B$11*V2154</f>
        <v/>
      </c>
      <c r="P2154">
        <f>IF(B2183=0,0,O2154/B2183)</f>
        <v/>
      </c>
      <c r="Q2154" t="n">
        <v>0</v>
      </c>
      <c r="R2154" t="n">
        <v>0</v>
      </c>
      <c r="S2154">
        <f>IFERROR(O2154/N2154,0)</f>
        <v/>
      </c>
      <c r="T2154" t="n">
        <v>0</v>
      </c>
      <c r="V2154" t="n">
        <v>0</v>
      </c>
    </row>
    <row r="2155">
      <c r="A2155">
        <f>Skills!A16</f>
        <v/>
      </c>
      <c r="B2155">
        <f>Skills!B16</f>
        <v/>
      </c>
      <c r="C2155">
        <f>Inputs!$B$3&gt;=117</f>
        <v/>
      </c>
      <c r="D2155">
        <f>IF(Skills!C16=1,60+Inputs!$B$25+Inputs!$B$29,IF(Skills!C16=2,90+Inputs!$B$26+Inputs!$B$29,IF(Skills!C16=3,120+Inputs!$B$27+Inputs!$B$29,MAX(0,(Inputs!$B$3-100)*3)+Inputs!$B$28+Inputs!$B$29)))</f>
        <v/>
      </c>
      <c r="E2155">
        <f>INDEX(FactorTable!$B$2:$Y$301, MATCH(ROUND(MIN(300,MAX(1,D2155)),0), FactorTable!$A$2:$A$301,0), Skills!M16+1)</f>
        <v/>
      </c>
      <c r="F2155">
        <f>IF(Skills!N16=TRUE,(Skills!L16/10)*(E2155/1000),Skills!L16/10)+Skills!O16</f>
        <v/>
      </c>
      <c r="G2155">
        <f>Skills!G16*IF(Skills!H16&gt;0,Skills!I16/Skills!H16,1)</f>
        <v/>
      </c>
      <c r="H2155">
        <f>1-(1-Skills!J16/100)^Skills!K16</f>
        <v/>
      </c>
      <c r="I2155" t="inlineStr">
        <is>
          <t>1</t>
        </is>
      </c>
      <c r="J2155" t="inlineStr"/>
      <c r="K2155" t="inlineStr"/>
      <c r="L2155" t="inlineStr"/>
      <c r="M2155" t="inlineStr"/>
      <c r="N2155" t="inlineStr"/>
      <c r="O2155">
        <f>(1-Summary!$B$11)*T2155+Summary!$B$11*V2155</f>
        <v/>
      </c>
      <c r="P2155">
        <f>IF(B2183=0,0,O2155/B2183)</f>
        <v/>
      </c>
      <c r="Q2155">
        <f>IFERROR(1/(IF(Inputs!$B$38="pvp",15,MAX(0.1,Skills!D16-IF(Skills!E16=TRUE,Inputs!$B$32,0)))*(1-IF(AND(ArtifactsInput!$M$27,Inputs!$B$4="Chapter Hunt"),CHOOSE(ArtifactsInput!$N$27+1,20,24,28,32,36,40),0)/100)),0)</f>
        <v/>
      </c>
      <c r="R2155">
        <f>IF(AND(Inputs!$B$38&lt;&gt;"pvp",Inputs!$B$43&gt;0),IF(Inputs!$B$43&lt;=0,0,(INT(Inputs!$B$43/(IF(Inputs!$B$38="pvp",15,MAX(0.1,Skills!D16-IF(Skills!E16=TRUE,Inputs!$B$32,0)))*(1-IF(AND(ArtifactsInput!$M$27,Inputs!$B$4="Chapter Hunt"),CHOOSE(ArtifactsInput!$N$27+1,20,24,28,32,36,40),0)/100)))+1)),0)</f>
        <v/>
      </c>
      <c r="S2155">
        <f>IFERROR(O2155/N2155,0)</f>
        <v/>
      </c>
      <c r="T2155" t="n">
        <v>0</v>
      </c>
      <c r="V2155" t="n">
        <v>0</v>
      </c>
    </row>
    <row r="2156">
      <c r="A2156">
        <f>Skills!A17</f>
        <v/>
      </c>
      <c r="B2156">
        <f>Skills!B17</f>
        <v/>
      </c>
      <c r="C2156">
        <f>Inputs!$B$3&gt;=115</f>
        <v/>
      </c>
      <c r="D2156">
        <f>IF(Skills!C17=1,60+Inputs!$B$25+Inputs!$B$29,IF(Skills!C17=2,90+Inputs!$B$26+Inputs!$B$29,IF(Skills!C17=3,120+Inputs!$B$27+Inputs!$B$29,MAX(0,(Inputs!$B$3-100)*3)+Inputs!$B$28+Inputs!$B$29)))</f>
        <v/>
      </c>
      <c r="E2156">
        <f>INDEX(FactorTable!$B$2:$Y$301, MATCH(ROUND(MIN(300,MAX(1,D2156)),0), FactorTable!$A$2:$A$301,0), Skills!M17+1)</f>
        <v/>
      </c>
      <c r="F2156">
        <f>IF(Skills!N17=TRUE,(Skills!L17/10)*(E2156/1000),Skills!L17/10)+Skills!O17</f>
        <v/>
      </c>
      <c r="G2156">
        <f>Skills!G17*IF(Skills!H17&gt;0,Skills!I17/Skills!H17,1)</f>
        <v/>
      </c>
      <c r="H2156">
        <f>1-(1-Skills!J17/100)^Skills!K17</f>
        <v/>
      </c>
      <c r="I2156" t="inlineStr">
        <is>
          <t>1</t>
        </is>
      </c>
      <c r="J2156" t="inlineStr"/>
      <c r="K2156" t="inlineStr"/>
      <c r="L2156" t="inlineStr"/>
      <c r="M2156" t="inlineStr"/>
      <c r="N2156" t="inlineStr"/>
      <c r="O2156">
        <f>(1-Summary!$B$11)*T2156+Summary!$B$11*V2156</f>
        <v/>
      </c>
      <c r="P2156">
        <f>IF(B2183=0,0,O2156/B2183)</f>
        <v/>
      </c>
      <c r="Q2156">
        <f>IFERROR(1/(IF(Inputs!$B$38="pvp",15,MAX(0.1,Skills!D17-IF(Skills!E17=TRUE,Inputs!$B$32,0)))*(1-IF(AND(ArtifactsInput!$M$27,Inputs!$B$4="Chapter Hunt"),CHOOSE(ArtifactsInput!$N$27+1,20,24,28,32,36,40),0)/100)),0)</f>
        <v/>
      </c>
      <c r="R2156">
        <f>IF(AND(Inputs!$B$38&lt;&gt;"pvp",Inputs!$B$43&gt;0),IF(Inputs!$B$43&lt;=0,0,(INT(Inputs!$B$43/(IF(Inputs!$B$38="pvp",15,MAX(0.1,Skills!D17-IF(Skills!E17=TRUE,Inputs!$B$32,0)))*(1-IF(AND(ArtifactsInput!$M$27,Inputs!$B$4="Chapter Hunt"),CHOOSE(ArtifactsInput!$N$27+1,20,24,28,32,36,40),0)/100)))+1)),0)</f>
        <v/>
      </c>
      <c r="S2156">
        <f>IFERROR(O2156/N2156,0)</f>
        <v/>
      </c>
      <c r="T2156" t="n">
        <v>0</v>
      </c>
      <c r="V2156" t="n">
        <v>0</v>
      </c>
    </row>
    <row r="2157">
      <c r="A2157">
        <f>Skills!A18</f>
        <v/>
      </c>
      <c r="B2157">
        <f>Skills!B18</f>
        <v/>
      </c>
      <c r="C2157">
        <f>Inputs!$B$3&gt;=66</f>
        <v/>
      </c>
      <c r="D2157">
        <f>IF(Skills!C18=1,60+Inputs!$B$25+Inputs!$B$29,IF(Skills!C18=2,90+Inputs!$B$26+Inputs!$B$29,IF(Skills!C18=3,120+Inputs!$B$27+Inputs!$B$29,MAX(0,(Inputs!$B$3-100)*3)+Inputs!$B$28+Inputs!$B$29)))</f>
        <v/>
      </c>
      <c r="E2157">
        <f>INDEX(FactorTable!$B$2:$Y$301, MATCH(ROUND(MIN(300,MAX(1,D2157)),0), FactorTable!$A$2:$A$301,0), Skills!M18+1)</f>
        <v/>
      </c>
      <c r="F2157">
        <f>IF(Skills!N18=TRUE,(Skills!L18/10)*(E2157/1000),Skills!L18/10)+Skills!O18</f>
        <v/>
      </c>
      <c r="G2157">
        <f>Skills!G18*IF(Skills!H18&gt;0,Skills!I18/Skills!H18,1)</f>
        <v/>
      </c>
      <c r="H2157">
        <f>1-(1-Skills!J18/100)^Skills!K18</f>
        <v/>
      </c>
      <c r="I2157" t="inlineStr">
        <is>
          <t>1</t>
        </is>
      </c>
      <c r="J2157" t="inlineStr"/>
      <c r="K2157" t="inlineStr"/>
      <c r="L2157" t="inlineStr"/>
      <c r="M2157" t="inlineStr"/>
      <c r="N2157" t="inlineStr"/>
      <c r="O2157">
        <f>(1-Summary!$B$11)*T2157+Summary!$B$11*V2157</f>
        <v/>
      </c>
      <c r="P2157">
        <f>IF(B2183=0,0,O2157/B2183)</f>
        <v/>
      </c>
      <c r="Q2157" t="n">
        <v>0</v>
      </c>
      <c r="R2157" t="n">
        <v>0</v>
      </c>
      <c r="S2157">
        <f>IFERROR(O2157/N2157,0)</f>
        <v/>
      </c>
      <c r="T2157" t="n">
        <v>0</v>
      </c>
      <c r="V2157" t="n">
        <v>0</v>
      </c>
    </row>
    <row r="2158">
      <c r="A2158">
        <f>Skills!A19</f>
        <v/>
      </c>
      <c r="B2158">
        <f>Skills!B19</f>
        <v/>
      </c>
      <c r="C2158">
        <f>Inputs!$B$3&gt;=72</f>
        <v/>
      </c>
      <c r="D2158">
        <f>IF(Skills!C19=1,60+Inputs!$B$25+Inputs!$B$29,IF(Skills!C19=2,90+Inputs!$B$26+Inputs!$B$29,IF(Skills!C19=3,120+Inputs!$B$27+Inputs!$B$29,MAX(0,(Inputs!$B$3-100)*3)+Inputs!$B$28+Inputs!$B$29)))</f>
        <v/>
      </c>
      <c r="E2158">
        <f>INDEX(FactorTable!$B$2:$Y$301, MATCH(ROUND(MIN(300,MAX(1,D2158)),0), FactorTable!$A$2:$A$301,0), Skills!M19+1)</f>
        <v/>
      </c>
      <c r="F2158">
        <f>IF(Skills!N19=TRUE,(Skills!L19/10)*(E2158/1000),Skills!L19/10)+Skills!O19</f>
        <v/>
      </c>
      <c r="G2158">
        <f>Skills!G19*IF(Skills!H19&gt;0,Skills!I19/Skills!H19,1)</f>
        <v/>
      </c>
      <c r="H2158">
        <f>1-(1-Skills!J19/100)^Skills!K19</f>
        <v/>
      </c>
      <c r="I2158" t="inlineStr">
        <is>
          <t>1</t>
        </is>
      </c>
      <c r="J2158" t="inlineStr"/>
      <c r="K2158" t="inlineStr"/>
      <c r="L2158" t="inlineStr"/>
      <c r="M2158" t="inlineStr"/>
      <c r="N2158" t="inlineStr"/>
      <c r="O2158">
        <f>(1-Summary!$B$11)*T2158+Summary!$B$11*V2158</f>
        <v/>
      </c>
      <c r="P2158">
        <f>IF(B2183=0,0,O2158/B2183)</f>
        <v/>
      </c>
      <c r="Q2158" t="n">
        <v>0</v>
      </c>
      <c r="R2158" t="n">
        <v>0</v>
      </c>
      <c r="S2158">
        <f>IFERROR(O2158/N2158,0)</f>
        <v/>
      </c>
      <c r="T2158" t="n">
        <v>0</v>
      </c>
      <c r="V2158" t="n">
        <v>0</v>
      </c>
    </row>
    <row r="2159">
      <c r="A2159">
        <f>Skills!A20</f>
        <v/>
      </c>
      <c r="B2159">
        <f>Skills!B20</f>
        <v/>
      </c>
      <c r="C2159">
        <f>TRUE</f>
        <v/>
      </c>
      <c r="D2159">
        <f>IF(Skills!C20=1,60+Inputs!$B$25+Inputs!$B$29,IF(Skills!C20=2,90+Inputs!$B$26+Inputs!$B$29,IF(Skills!C20=3,120+Inputs!$B$27+Inputs!$B$29,MAX(0,(Inputs!$B$3-100)*3)+Inputs!$B$28+Inputs!$B$29)))</f>
        <v/>
      </c>
      <c r="E2159">
        <f>INDEX(FactorTable!$B$2:$Y$301, MATCH(ROUND(MIN(300,MAX(1,D2159)),0), FactorTable!$A$2:$A$301,0), Skills!M20+1)</f>
        <v/>
      </c>
      <c r="F2159">
        <f>IF(Skills!N20=TRUE,(Skills!L20/10)*(E2159/1000),Skills!L20/10)+Skills!O20</f>
        <v/>
      </c>
      <c r="G2159">
        <f>Skills!G20*IF(Skills!H20&gt;0,Skills!I20/Skills!H20,1)</f>
        <v/>
      </c>
      <c r="H2159">
        <f>1-(1-Skills!J20/100)^Skills!K20</f>
        <v/>
      </c>
      <c r="I2159" t="inlineStr">
        <is>
          <t>1</t>
        </is>
      </c>
      <c r="J2159" t="inlineStr"/>
      <c r="K2159" t="inlineStr"/>
      <c r="L2159" t="inlineStr"/>
      <c r="M2159" t="inlineStr"/>
      <c r="N2159" t="inlineStr"/>
      <c r="O2159">
        <f>(1-Summary!$B$11)*T2159+Summary!$B$11*V2159</f>
        <v/>
      </c>
      <c r="P2159">
        <f>IF(B2183=0,0,O2159/B2183)</f>
        <v/>
      </c>
      <c r="Q2159">
        <f>IFERROR(1/(IF(Inputs!$B$38="pvp",15,MAX(0.1,Skills!D20-IF(Skills!E20=TRUE,Inputs!$B$32,0)))*(1-IF(AND(ArtifactsInput!$M$27,Inputs!$B$4="Chapter Hunt"),CHOOSE(ArtifactsInput!$N$27+1,20,24,28,32,36,40),0)/100)),0)</f>
        <v/>
      </c>
      <c r="R2159">
        <f>IF(AND(Inputs!$B$38&lt;&gt;"pvp",Inputs!$B$43&gt;0),IF(Inputs!$B$43&lt;=0,0,(INT(Inputs!$B$43/(IF(Inputs!$B$38="pvp",15,MAX(0.1,Skills!D20-IF(Skills!E20=TRUE,Inputs!$B$32,0)))*(1-IF(AND(ArtifactsInput!$M$27,Inputs!$B$4="Chapter Hunt"),CHOOSE(ArtifactsInput!$N$27+1,20,24,28,32,36,40),0)/100)))+1)),0)</f>
        <v/>
      </c>
      <c r="S2159">
        <f>IFERROR(O2159/N2159,0)</f>
        <v/>
      </c>
      <c r="T2159" t="n">
        <v>0</v>
      </c>
      <c r="V2159" t="n">
        <v>0</v>
      </c>
    </row>
    <row r="2160">
      <c r="A2160">
        <f>Skills!A21</f>
        <v/>
      </c>
      <c r="B2160">
        <f>Skills!B21</f>
        <v/>
      </c>
      <c r="C2160">
        <f>Inputs!$B$3&gt;=15</f>
        <v/>
      </c>
      <c r="D2160">
        <f>IF(Skills!C21=1,60+Inputs!$B$25+Inputs!$B$29,IF(Skills!C21=2,90+Inputs!$B$26+Inputs!$B$29,IF(Skills!C21=3,120+Inputs!$B$27+Inputs!$B$29,MAX(0,(Inputs!$B$3-100)*3)+Inputs!$B$28+Inputs!$B$29)))</f>
        <v/>
      </c>
      <c r="E2160">
        <f>INDEX(FactorTable!$B$2:$Y$301, MATCH(ROUND(MIN(300,MAX(1,D2160)),0), FactorTable!$A$2:$A$301,0), Skills!M21+1)</f>
        <v/>
      </c>
      <c r="F2160">
        <f>IF(Skills!N21=TRUE,(Skills!L21/10)*(E2160/1000),Skills!L21/10)+Skills!O21</f>
        <v/>
      </c>
      <c r="G2160">
        <f>Skills!G21*IF(Skills!H21&gt;0,Skills!I21/Skills!H21,1)</f>
        <v/>
      </c>
      <c r="H2160">
        <f>1-(1-Skills!J21/100)^Skills!K21</f>
        <v/>
      </c>
      <c r="I2160" t="inlineStr">
        <is>
          <t>1</t>
        </is>
      </c>
      <c r="J2160" t="inlineStr"/>
      <c r="K2160" t="inlineStr"/>
      <c r="L2160" t="inlineStr"/>
      <c r="M2160" t="inlineStr"/>
      <c r="N2160" t="inlineStr"/>
      <c r="O2160">
        <f>(1-Summary!$B$11)*T2160+Summary!$B$11*V2160</f>
        <v/>
      </c>
      <c r="P2160">
        <f>IF(B2183=0,0,O2160/B2183)</f>
        <v/>
      </c>
      <c r="Q2160" t="n">
        <v>0</v>
      </c>
      <c r="R2160" t="n">
        <v>0</v>
      </c>
      <c r="S2160">
        <f>IFERROR(O2160/N2160,0)</f>
        <v/>
      </c>
      <c r="T2160" t="n">
        <v>0</v>
      </c>
      <c r="V2160" t="n">
        <v>0</v>
      </c>
    </row>
    <row r="2161">
      <c r="A2161">
        <f>Skills!A22</f>
        <v/>
      </c>
      <c r="B2161">
        <f>Skills!B22</f>
        <v/>
      </c>
      <c r="C2161">
        <f>Inputs!$B$3&gt;=10</f>
        <v/>
      </c>
      <c r="D2161">
        <f>IF(Skills!C22=1,60+Inputs!$B$25+Inputs!$B$29,IF(Skills!C22=2,90+Inputs!$B$26+Inputs!$B$29,IF(Skills!C22=3,120+Inputs!$B$27+Inputs!$B$29,MAX(0,(Inputs!$B$3-100)*3)+Inputs!$B$28+Inputs!$B$29)))</f>
        <v/>
      </c>
      <c r="E2161">
        <f>INDEX(FactorTable!$B$2:$Y$301, MATCH(ROUND(MIN(300,MAX(1,D2161)),0), FactorTable!$A$2:$A$301,0), Skills!M22+1)</f>
        <v/>
      </c>
      <c r="F2161">
        <f>IF(Skills!N22=TRUE,(Skills!L22/10)*(E2161/1000),Skills!L22/10)+Skills!O22</f>
        <v/>
      </c>
      <c r="G2161">
        <f>Skills!G22*IF(Skills!H22&gt;0,Skills!I22/Skills!H22,1)</f>
        <v/>
      </c>
      <c r="H2161">
        <f>1-(1-Skills!J22/100)^Skills!K22</f>
        <v/>
      </c>
      <c r="I2161" t="inlineStr">
        <is>
          <t>1</t>
        </is>
      </c>
      <c r="J2161" t="inlineStr"/>
      <c r="K2161" t="inlineStr"/>
      <c r="L2161" t="inlineStr"/>
      <c r="M2161" t="inlineStr"/>
      <c r="N2161" t="inlineStr"/>
      <c r="O2161">
        <f>(1-Summary!$B$11)*T2161+Summary!$B$11*V2161</f>
        <v/>
      </c>
      <c r="P2161">
        <f>IF(B2183=0,0,O2161/B2183)</f>
        <v/>
      </c>
      <c r="Q2161" t="n">
        <v>0</v>
      </c>
      <c r="R2161" t="n">
        <v>0</v>
      </c>
      <c r="S2161">
        <f>IFERROR(O2161/N2161,0)</f>
        <v/>
      </c>
      <c r="T2161" t="n">
        <v>0</v>
      </c>
      <c r="V2161" t="n">
        <v>0</v>
      </c>
    </row>
    <row r="2162">
      <c r="A2162">
        <f>Skills!A23</f>
        <v/>
      </c>
      <c r="B2162">
        <f>Skills!B23</f>
        <v/>
      </c>
      <c r="C2162">
        <f>Inputs!$B$3&gt;=33</f>
        <v/>
      </c>
      <c r="D2162">
        <f>IF(Skills!C23=1,60+Inputs!$B$25+Inputs!$B$29,IF(Skills!C23=2,90+Inputs!$B$26+Inputs!$B$29,IF(Skills!C23=3,120+Inputs!$B$27+Inputs!$B$29,MAX(0,(Inputs!$B$3-100)*3)+Inputs!$B$28+Inputs!$B$29)))</f>
        <v/>
      </c>
      <c r="E2162">
        <f>INDEX(FactorTable!$B$2:$Y$301, MATCH(ROUND(MIN(300,MAX(1,D2162)),0), FactorTable!$A$2:$A$301,0), Skills!M23+1)</f>
        <v/>
      </c>
      <c r="F2162">
        <f>IF(Skills!N23=TRUE,(Skills!L23/10)*(E2162/1000),Skills!L23/10)+Skills!O23</f>
        <v/>
      </c>
      <c r="G2162">
        <f>Skills!G23*IF(Skills!H23&gt;0,Skills!I23/Skills!H23,1)</f>
        <v/>
      </c>
      <c r="H2162">
        <f>1-(1-Skills!J23/100)^Skills!K23</f>
        <v/>
      </c>
      <c r="I2162" t="inlineStr">
        <is>
          <t>1</t>
        </is>
      </c>
      <c r="J2162" t="inlineStr"/>
      <c r="K2162" t="inlineStr"/>
      <c r="L2162" t="inlineStr"/>
      <c r="M2162" t="inlineStr"/>
      <c r="N2162" t="inlineStr"/>
      <c r="O2162">
        <f>(1-Summary!$B$11)*T2162+Summary!$B$11*V2162</f>
        <v/>
      </c>
      <c r="P2162">
        <f>IF(B2183=0,0,O2162/B2183)</f>
        <v/>
      </c>
      <c r="Q2162" t="n">
        <v>0</v>
      </c>
      <c r="R2162" t="n">
        <v>0</v>
      </c>
      <c r="S2162">
        <f>IFERROR(O2162/N2162,0)</f>
        <v/>
      </c>
      <c r="T2162" t="n">
        <v>0</v>
      </c>
      <c r="V2162" t="n">
        <v>0</v>
      </c>
    </row>
    <row r="2163">
      <c r="A2163">
        <f>Skills!A24</f>
        <v/>
      </c>
      <c r="B2163">
        <f>Skills!B24</f>
        <v/>
      </c>
      <c r="C2163">
        <f>Inputs!$B$3&gt;=38</f>
        <v/>
      </c>
      <c r="D2163">
        <f>IF(Skills!C24=1,60+Inputs!$B$25+Inputs!$B$29,IF(Skills!C24=2,90+Inputs!$B$26+Inputs!$B$29,IF(Skills!C24=3,120+Inputs!$B$27+Inputs!$B$29,MAX(0,(Inputs!$B$3-100)*3)+Inputs!$B$28+Inputs!$B$29)))</f>
        <v/>
      </c>
      <c r="E2163">
        <f>INDEX(FactorTable!$B$2:$Y$301, MATCH(ROUND(MIN(300,MAX(1,D2163)),0), FactorTable!$A$2:$A$301,0), Skills!M24+1)</f>
        <v/>
      </c>
      <c r="F2163">
        <f>IF(Skills!N24=TRUE,(Skills!L24/10)*(E2163/1000),Skills!L24/10)+Skills!O24</f>
        <v/>
      </c>
      <c r="G2163">
        <f>Skills!G24*IF(Skills!H24&gt;0,Skills!I24/Skills!H24,1)</f>
        <v/>
      </c>
      <c r="H2163">
        <f>1-(1-Skills!J24/100)^Skills!K24</f>
        <v/>
      </c>
      <c r="I2163" t="inlineStr">
        <is>
          <t>1</t>
        </is>
      </c>
      <c r="J2163" t="inlineStr"/>
      <c r="K2163" t="inlineStr"/>
      <c r="L2163" t="inlineStr"/>
      <c r="M2163" t="inlineStr"/>
      <c r="N2163" t="inlineStr"/>
      <c r="O2163">
        <f>(1-Summary!$B$11)*T2163+Summary!$B$11*V2163</f>
        <v/>
      </c>
      <c r="P2163">
        <f>IF(B2183=0,0,O2163/B2183)</f>
        <v/>
      </c>
      <c r="Q2163" t="n">
        <v>0</v>
      </c>
      <c r="R2163" t="n">
        <v>0</v>
      </c>
      <c r="S2163">
        <f>IFERROR(O2163/N2163,0)</f>
        <v/>
      </c>
      <c r="T2163" t="n">
        <v>0</v>
      </c>
      <c r="V2163" t="n">
        <v>0</v>
      </c>
    </row>
    <row r="2164">
      <c r="A2164">
        <f>Skills!A25</f>
        <v/>
      </c>
      <c r="B2164">
        <f>Skills!B25</f>
        <v/>
      </c>
      <c r="C2164">
        <f>Inputs!$B$3&gt;=43</f>
        <v/>
      </c>
      <c r="D2164">
        <f>IF(Skills!C25=1,60+Inputs!$B$25+Inputs!$B$29,IF(Skills!C25=2,90+Inputs!$B$26+Inputs!$B$29,IF(Skills!C25=3,120+Inputs!$B$27+Inputs!$B$29,MAX(0,(Inputs!$B$3-100)*3)+Inputs!$B$28+Inputs!$B$29)))</f>
        <v/>
      </c>
      <c r="E2164">
        <f>INDEX(FactorTable!$B$2:$Y$301, MATCH(ROUND(MIN(300,MAX(1,D2164)),0), FactorTable!$A$2:$A$301,0), Skills!M25+1)</f>
        <v/>
      </c>
      <c r="F2164">
        <f>IF(Skills!N25=TRUE,(Skills!L25/10)*(E2164/1000),Skills!L25/10)+Skills!O25</f>
        <v/>
      </c>
      <c r="G2164">
        <f>Skills!G25*IF(Skills!H25&gt;0,Skills!I25/Skills!H25,1)</f>
        <v/>
      </c>
      <c r="H2164">
        <f>1-(1-Skills!J25/100)^Skills!K25</f>
        <v/>
      </c>
      <c r="I2164" t="inlineStr">
        <is>
          <t>1</t>
        </is>
      </c>
      <c r="J2164" t="inlineStr"/>
      <c r="K2164" t="inlineStr"/>
      <c r="L2164" t="inlineStr"/>
      <c r="M2164" t="inlineStr"/>
      <c r="N2164" t="inlineStr"/>
      <c r="O2164">
        <f>(1-Summary!$B$11)*T2164+Summary!$B$11*V2164</f>
        <v/>
      </c>
      <c r="P2164">
        <f>IF(B2183=0,0,O2164/B2183)</f>
        <v/>
      </c>
      <c r="Q2164" t="n">
        <v>0</v>
      </c>
      <c r="R2164" t="n">
        <v>0</v>
      </c>
      <c r="S2164">
        <f>IFERROR(O2164/N2164,0)</f>
        <v/>
      </c>
      <c r="T2164" t="n">
        <v>0</v>
      </c>
      <c r="V2164" t="n">
        <v>0</v>
      </c>
    </row>
    <row r="2165">
      <c r="A2165">
        <f>Skills!A26</f>
        <v/>
      </c>
      <c r="B2165">
        <f>Skills!B26</f>
        <v/>
      </c>
      <c r="C2165">
        <f>Inputs!$B$3&gt;=75</f>
        <v/>
      </c>
      <c r="D2165">
        <f>IF(Skills!C26=1,60+Inputs!$B$25+Inputs!$B$29,IF(Skills!C26=2,90+Inputs!$B$26+Inputs!$B$29,IF(Skills!C26=3,120+Inputs!$B$27+Inputs!$B$29,MAX(0,(Inputs!$B$3-100)*3)+Inputs!$B$28+Inputs!$B$29)))</f>
        <v/>
      </c>
      <c r="E2165">
        <f>INDEX(FactorTable!$B$2:$Y$301, MATCH(ROUND(MIN(300,MAX(1,D2165)),0), FactorTable!$A$2:$A$301,0), Skills!M26+1)</f>
        <v/>
      </c>
      <c r="F2165">
        <f>IF(Skills!N26=TRUE,(Skills!L26/10)*(E2165/1000),Skills!L26/10)+Skills!O26</f>
        <v/>
      </c>
      <c r="G2165">
        <f>Skills!G26*IF(Skills!H26&gt;0,Skills!I26/Skills!H26,1)</f>
        <v/>
      </c>
      <c r="H2165">
        <f>1-(1-Skills!J26/100)^Skills!K26</f>
        <v/>
      </c>
      <c r="I2165" t="inlineStr">
        <is>
          <t>1</t>
        </is>
      </c>
      <c r="J2165" t="inlineStr"/>
      <c r="K2165" t="inlineStr"/>
      <c r="L2165" t="inlineStr"/>
      <c r="M2165" t="inlineStr"/>
      <c r="N2165" t="inlineStr"/>
      <c r="O2165">
        <f>(1-Summary!$B$11)*T2165+Summary!$B$11*V2165</f>
        <v/>
      </c>
      <c r="P2165">
        <f>IF(B2183=0,0,O2165/B2183)</f>
        <v/>
      </c>
      <c r="Q2165" t="n">
        <v>0</v>
      </c>
      <c r="R2165" t="n">
        <v>0</v>
      </c>
      <c r="S2165">
        <f>IFERROR(O2165/N2165,0)</f>
        <v/>
      </c>
      <c r="T2165" t="n">
        <v>0</v>
      </c>
      <c r="V2165" t="n">
        <v>0</v>
      </c>
    </row>
    <row r="2166">
      <c r="A2166">
        <f>Skills!A27</f>
        <v/>
      </c>
      <c r="B2166">
        <f>Skills!B27</f>
        <v/>
      </c>
      <c r="C2166">
        <f>Inputs!$B$3&gt;=125</f>
        <v/>
      </c>
      <c r="D2166">
        <f>IF(Skills!C27=1,60+Inputs!$B$25+Inputs!$B$29,IF(Skills!C27=2,90+Inputs!$B$26+Inputs!$B$29,IF(Skills!C27=3,120+Inputs!$B$27+Inputs!$B$29,MAX(0,(Inputs!$B$3-100)*3)+Inputs!$B$28+Inputs!$B$29)))</f>
        <v/>
      </c>
      <c r="E2166">
        <f>INDEX(FactorTable!$B$2:$Y$301, MATCH(ROUND(MIN(300,MAX(1,D2166)),0), FactorTable!$A$2:$A$301,0), Skills!M27+1)</f>
        <v/>
      </c>
      <c r="F2166">
        <f>IF(Skills!N27=TRUE,(Skills!L27/10)*(E2166/1000),Skills!L27/10)+Skills!O27</f>
        <v/>
      </c>
      <c r="G2166">
        <f>Skills!G27*IF(Skills!H27&gt;0,Skills!I27/Skills!H27,1)</f>
        <v/>
      </c>
      <c r="H2166">
        <f>1-(1-Skills!J27/100)^Skills!K27</f>
        <v/>
      </c>
      <c r="I2166" t="inlineStr">
        <is>
          <t>1</t>
        </is>
      </c>
      <c r="J2166" t="inlineStr"/>
      <c r="K2166" t="inlineStr"/>
      <c r="L2166" t="inlineStr"/>
      <c r="M2166" t="inlineStr"/>
      <c r="N2166" t="inlineStr"/>
      <c r="O2166">
        <f>(1-Summary!$B$11)*T2166+Summary!$B$11*V2166</f>
        <v/>
      </c>
      <c r="P2166">
        <f>IF(B2183=0,0,O2166/B2183)</f>
        <v/>
      </c>
      <c r="Q2166" t="n">
        <v>0</v>
      </c>
      <c r="R2166" t="n">
        <v>0</v>
      </c>
      <c r="S2166">
        <f>IFERROR(O2166/N2166,0)</f>
        <v/>
      </c>
      <c r="T2166" t="n">
        <v>0</v>
      </c>
      <c r="V2166" t="n">
        <v>0</v>
      </c>
    </row>
    <row r="2167">
      <c r="A2167">
        <f>Skills!A28</f>
        <v/>
      </c>
      <c r="B2167">
        <f>Skills!B28</f>
        <v/>
      </c>
      <c r="C2167">
        <f>Inputs!$B$3&gt;=125</f>
        <v/>
      </c>
      <c r="D2167">
        <f>IF(Skills!C28=1,60+Inputs!$B$25+Inputs!$B$29,IF(Skills!C28=2,90+Inputs!$B$26+Inputs!$B$29,IF(Skills!C28=3,120+Inputs!$B$27+Inputs!$B$29,MAX(0,(Inputs!$B$3-100)*3)+Inputs!$B$28+Inputs!$B$29)))</f>
        <v/>
      </c>
      <c r="E2167">
        <f>INDEX(FactorTable!$B$2:$Y$301, MATCH(ROUND(MIN(300,MAX(1,D2167)),0), FactorTable!$A$2:$A$301,0), Skills!M28+1)</f>
        <v/>
      </c>
      <c r="F2167">
        <f>IF(Skills!N28=TRUE,(Skills!L28/10)*(E2167/1000),Skills!L28/10)+Skills!O28</f>
        <v/>
      </c>
      <c r="G2167">
        <f>Skills!G28*IF(Skills!H28&gt;0,Skills!I28/Skills!H28,1)</f>
        <v/>
      </c>
      <c r="H2167">
        <f>1-(1-Skills!J28/100)^Skills!K28</f>
        <v/>
      </c>
      <c r="I2167" t="inlineStr">
        <is>
          <t>1</t>
        </is>
      </c>
      <c r="J2167" t="inlineStr"/>
      <c r="K2167" t="inlineStr"/>
      <c r="L2167" t="inlineStr"/>
      <c r="M2167" t="inlineStr"/>
      <c r="N2167" t="inlineStr"/>
      <c r="O2167">
        <f>(1-Summary!$B$11)*T2167+Summary!$B$11*V2167</f>
        <v/>
      </c>
      <c r="P2167">
        <f>IF(B2183=0,0,O2167/B2183)</f>
        <v/>
      </c>
      <c r="Q2167" t="n">
        <v>0</v>
      </c>
      <c r="R2167" t="n">
        <v>0</v>
      </c>
      <c r="S2167">
        <f>IFERROR(O2167/N2167,0)</f>
        <v/>
      </c>
      <c r="T2167" t="n">
        <v>0</v>
      </c>
      <c r="V2167" t="n">
        <v>0</v>
      </c>
    </row>
    <row r="2168">
      <c r="A2168">
        <f>Skills!A29</f>
        <v/>
      </c>
      <c r="B2168">
        <f>Skills!B29</f>
        <v/>
      </c>
      <c r="C2168">
        <f>Inputs!$B$3&gt;=120</f>
        <v/>
      </c>
      <c r="D2168">
        <f>IF(Skills!C29=1,60+Inputs!$B$25+Inputs!$B$29,IF(Skills!C29=2,90+Inputs!$B$26+Inputs!$B$29,IF(Skills!C29=3,120+Inputs!$B$27+Inputs!$B$29,MAX(0,(Inputs!$B$3-100)*3)+Inputs!$B$28+Inputs!$B$29)))</f>
        <v/>
      </c>
      <c r="E2168">
        <f>INDEX(FactorTable!$B$2:$Y$301, MATCH(ROUND(MIN(300,MAX(1,D2168)),0), FactorTable!$A$2:$A$301,0), Skills!M29+1)</f>
        <v/>
      </c>
      <c r="F2168">
        <f>IF(Skills!N29=TRUE,(Skills!L29/10)*(E2168/1000),Skills!L29/10)+Skills!O29</f>
        <v/>
      </c>
      <c r="G2168">
        <f>Skills!G29*IF(Skills!H29&gt;0,Skills!I29/Skills!H29,1)</f>
        <v/>
      </c>
      <c r="H2168">
        <f>1-(1-Skills!J29/100)^Skills!K29</f>
        <v/>
      </c>
      <c r="I2168" t="inlineStr">
        <is>
          <t>1</t>
        </is>
      </c>
      <c r="J2168" t="inlineStr"/>
      <c r="K2168" t="inlineStr"/>
      <c r="L2168" t="inlineStr"/>
      <c r="M2168" t="inlineStr"/>
      <c r="N2168" t="inlineStr"/>
      <c r="O2168">
        <f>(1-Summary!$B$11)*T2168+Summary!$B$11*V2168</f>
        <v/>
      </c>
      <c r="P2168">
        <f>IF(B2183=0,0,O2168/B2183)</f>
        <v/>
      </c>
      <c r="Q2168" t="n">
        <v>0</v>
      </c>
      <c r="R2168" t="n">
        <v>0</v>
      </c>
      <c r="S2168">
        <f>IFERROR(O2168/N2168,0)</f>
        <v/>
      </c>
      <c r="T2168" t="n">
        <v>0</v>
      </c>
      <c r="V2168" t="n">
        <v>0</v>
      </c>
    </row>
    <row r="2169">
      <c r="A2169">
        <f>Skills!A30</f>
        <v/>
      </c>
      <c r="B2169">
        <f>Skills!B30</f>
        <v/>
      </c>
      <c r="C2169">
        <f>Inputs!$B$3&gt;=120</f>
        <v/>
      </c>
      <c r="D2169">
        <f>IF(Skills!C30=1,60+Inputs!$B$25+Inputs!$B$29,IF(Skills!C30=2,90+Inputs!$B$26+Inputs!$B$29,IF(Skills!C30=3,120+Inputs!$B$27+Inputs!$B$29,MAX(0,(Inputs!$B$3-100)*3)+Inputs!$B$28+Inputs!$B$29)))</f>
        <v/>
      </c>
      <c r="E2169">
        <f>INDEX(FactorTable!$B$2:$Y$301, MATCH(ROUND(MIN(300,MAX(1,D2169)),0), FactorTable!$A$2:$A$301,0), Skills!M30+1)</f>
        <v/>
      </c>
      <c r="F2169">
        <f>IF(Skills!N30=TRUE,(Skills!L30/10)*(E2169/1000),Skills!L30/10)+Skills!O30</f>
        <v/>
      </c>
      <c r="G2169">
        <f>Skills!G30*IF(Skills!H30&gt;0,Skills!I30/Skills!H30,1)</f>
        <v/>
      </c>
      <c r="H2169">
        <f>1-(1-Skills!J30/100)^Skills!K30</f>
        <v/>
      </c>
      <c r="I2169" t="inlineStr">
        <is>
          <t>1</t>
        </is>
      </c>
      <c r="J2169" t="inlineStr"/>
      <c r="K2169" t="inlineStr"/>
      <c r="L2169" t="inlineStr"/>
      <c r="M2169" t="inlineStr"/>
      <c r="N2169" t="inlineStr"/>
      <c r="O2169">
        <f>(1-Summary!$B$11)*T2169+Summary!$B$11*V2169</f>
        <v/>
      </c>
      <c r="P2169">
        <f>IF(B2183=0,0,O2169/B2183)</f>
        <v/>
      </c>
      <c r="Q2169" t="n">
        <v>0</v>
      </c>
      <c r="R2169" t="n">
        <v>0</v>
      </c>
      <c r="S2169">
        <f>IFERROR(O2169/N2169,0)</f>
        <v/>
      </c>
      <c r="T2169" t="n">
        <v>0</v>
      </c>
      <c r="V2169" t="n">
        <v>0</v>
      </c>
    </row>
    <row r="2170">
      <c r="A2170">
        <f>Skills!A31</f>
        <v/>
      </c>
      <c r="B2170">
        <f>Skills!B31</f>
        <v/>
      </c>
      <c r="C2170">
        <f>Inputs!$B$3&gt;=45</f>
        <v/>
      </c>
      <c r="D2170">
        <f>IF(Skills!C31=1,60+Inputs!$B$25+Inputs!$B$29,IF(Skills!C31=2,90+Inputs!$B$26+Inputs!$B$29,IF(Skills!C31=3,120+Inputs!$B$27+Inputs!$B$29,MAX(0,(Inputs!$B$3-100)*3)+Inputs!$B$28+Inputs!$B$29)))</f>
        <v/>
      </c>
      <c r="E2170">
        <f>INDEX(FactorTable!$B$2:$Y$301, MATCH(ROUND(MIN(300,MAX(1,D2170)),0), FactorTable!$A$2:$A$301,0), Skills!M31+1)</f>
        <v/>
      </c>
      <c r="F2170">
        <f>IF(Skills!N31=TRUE,(Skills!L31/10)*(E2170/1000),Skills!L31/10)+Skills!O31</f>
        <v/>
      </c>
      <c r="G2170">
        <f>Skills!G31*IF(Skills!H31&gt;0,Skills!I31/Skills!H31,1)</f>
        <v/>
      </c>
      <c r="H2170">
        <f>1-(1-Skills!J31/100)^Skills!K31</f>
        <v/>
      </c>
      <c r="I2170" t="inlineStr">
        <is>
          <t>1</t>
        </is>
      </c>
      <c r="J2170" t="inlineStr"/>
      <c r="K2170" t="inlineStr"/>
      <c r="L2170" t="inlineStr"/>
      <c r="M2170" t="inlineStr"/>
      <c r="N2170" t="inlineStr"/>
      <c r="O2170">
        <f>(1-Summary!$B$11)*T2170+Summary!$B$11*V2170</f>
        <v/>
      </c>
      <c r="P2170">
        <f>IF(B2183=0,0,O2170/B2183)</f>
        <v/>
      </c>
      <c r="Q2170" t="n">
        <v>0</v>
      </c>
      <c r="R2170" t="n">
        <v>0</v>
      </c>
      <c r="S2170">
        <f>IFERROR(O2170/N2170,0)</f>
        <v/>
      </c>
      <c r="T2170" t="n">
        <v>0</v>
      </c>
      <c r="V2170" t="n">
        <v>0</v>
      </c>
    </row>
    <row r="2172">
      <c r="A2172" t="inlineStr">
        <is>
          <t>Attack% Bucket Multiplier</t>
        </is>
      </c>
      <c r="B2172">
        <f>(1+(((C2153=TRUE)*F2153)+((C2154=TRUE)*IF(Inputs!$B$38="pvp",F2154,(1-Summary!$B$11)*(F2154)+Summary!$B$11*(0)))+((C2155=TRUE)*F2155*IF(AND(Inputs!$B$38&lt;&gt;"pvp",Inputs!$B$43&gt;0),(((R2155-1)*(Skills!T16*(1+Inputs!$B$34/100))+MIN((Skills!T16*(1+Inputs!$B$34/100)),MAX(0,Inputs!$B$43-((R2155-1)*Skills!D16))))/Inputs!$B$43),IF(Inputs!$B$38="pvp",MIN((Skills!T16*(1+Inputs!$B$34/100)),15)/15,(Skills!T16*(1+Inputs!$B$34/100))/Skills!D16)))+((C2170=TRUE)*(F2170-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73">
      <c r="A2173" t="inlineStr">
        <is>
          <t>Global Crit Rate Bonus %</t>
        </is>
      </c>
      <c r="B2173">
        <f>(C2156=TRUE)*20*IF(AND(Inputs!$B$38&lt;&gt;"pvp",Inputs!$B$43&gt;0),(((R2156-1)*(Skills!T17*(1+Inputs!$B$34/100))+MIN((Skills!T17*(1+Inputs!$B$34/100)),MAX(0,Inputs!$B$43-((R2156-1)*Skills!D17))))/Inputs!$B$43),IF(Inputs!$B$38="pvp",MIN((Skills!T17*(1+Inputs!$B$34/100)),15)/15,(Skills!T17*(1+Inputs!$B$34/100))/Skills!D17))</f>
        <v/>
      </c>
    </row>
    <row r="2174">
      <c r="A2174" t="inlineStr">
        <is>
          <t>Attack Speed Buff Bonus %</t>
        </is>
      </c>
      <c r="B2174">
        <f>((C2159=TRUE)*F2159*IF(AND(Inputs!$B$38&lt;&gt;"pvp",Inputs!$B$43&gt;0),(((R2159-1)*(Skills!T20*(1+Inputs!$B$34/100))+MIN((Skills!T20*(1+Inputs!$B$34/100)),MAX(0,Inputs!$B$43-((R2159-1)*Skills!D20))))/Inputs!$B$43),IF(Inputs!$B$38="pvp",MIN((Skills!T20*(1+Inputs!$B$34/100)),15)/15,(Skills!T20*(1+Inputs!$B$34/100))/Skills!D20)))</f>
        <v/>
      </c>
    </row>
    <row r="2175">
      <c r="A2175" t="inlineStr">
        <is>
          <t>Actions Per Second</t>
        </is>
      </c>
      <c r="B2175">
        <f>1+MIN(150,150*(1-(1-(Inputs!$B$11+((C2161=TRUE)*(F2161-Calc!F22))+((C2162=TRUE)*(F2162-Calc!F23)))/150)*(1-B2174/150)))/100</f>
        <v/>
      </c>
    </row>
    <row r="2176">
      <c r="A2176" t="inlineStr">
        <is>
          <t>Skill + Buff Cast Rate</t>
        </is>
      </c>
      <c r="B2176">
        <f>IF(AND(Inputs!$B$38&lt;&gt;"pvp",Inputs!$B$43&gt;0),SUMPRODUCT((Skills!E2:E31=TRUE)*(C2141:C2170=TRUE)*R2141:R2170*Skills!F2:F31)/Inputs!$B$43,SUMPRODUCT((Skills!E2:E31=TRUE)*(C2141:C2170=TRUE)*Q2141:Q2170*Skills!F2:F31))</f>
        <v/>
      </c>
    </row>
    <row r="2177">
      <c r="A2177" t="inlineStr">
        <is>
          <t>Arrow Stream Casts Per Second</t>
        </is>
      </c>
      <c r="B2177">
        <f>MAX(0,B2175-B2176)</f>
        <v/>
      </c>
    </row>
    <row r="2178">
      <c r="A2178" t="inlineStr">
        <is>
          <t>Global Critical Damage Bonus % (Sharp Eyes + Concentration)</t>
        </is>
      </c>
      <c r="B2178">
        <f>(C2156=TRUE)*F2156*IF(AND(Inputs!$B$38&lt;&gt;"pvp",Inputs!$B$43&gt;0),(((R2156-1)*(Skills!T17*(1+Inputs!$B$34/100))+MIN((Skills!T17*(1+Inputs!$B$34/100)),MAX(0,Inputs!$B$43-((R2156-1)*Skills!D17))))/Inputs!$B$43),IF(Inputs!$B$38="pvp",MIN((Skills!T17*(1+Inputs!$B$34/100)),15)/15,(Skills!T17*(1+Inputs!$B$34/100))/Skills!D17))+(C2157=TRUE)*30</f>
        <v/>
      </c>
    </row>
    <row r="2179">
      <c r="A2179" t="inlineStr">
        <is>
          <t>Global Final Damage Bonus % (Mortal Blow)</t>
        </is>
      </c>
      <c r="B2179">
        <f>(C2158=TRUE)*F2158</f>
        <v/>
      </c>
    </row>
    <row r="2180">
      <c r="A2180" t="inlineStr">
        <is>
          <t>Buff-Casting Startup Delay (s, fixed-duration only)</t>
        </is>
      </c>
      <c r="B2180">
        <f>IF(AND(Inputs!$B$38&lt;&gt;"pvp",Inputs!$B$43&gt;0),SUMPRODUCT((Skills!T2:T31&gt;0)*(Skills!E2:E31=TRUE)*(C2141:C2170=TRUE))/B2175,0)</f>
        <v/>
      </c>
    </row>
    <row r="2181">
      <c r="A2181" t="inlineStr">
        <is>
          <t>Boss-Only Total DPS (this block's swept value)</t>
        </is>
      </c>
      <c r="B2181">
        <f>SUM(T2141:T2170)</f>
        <v/>
      </c>
    </row>
    <row r="2182">
      <c r="A2182" t="inlineStr">
        <is>
          <t>Normal-Only Total DPS (this block's swept value)</t>
        </is>
      </c>
      <c r="B2182">
        <f>SUM(V2141:V2170)</f>
        <v/>
      </c>
    </row>
    <row r="2183">
      <c r="A2183" s="6" t="inlineStr">
        <is>
          <t>TOTAL DPS</t>
        </is>
      </c>
      <c r="B2183" s="6">
        <f>SUM(O2141:O2170)</f>
        <v/>
      </c>
    </row>
    <row r="2186">
      <c r="A2186" s="6" t="inlineStr">
        <is>
          <t>Stat: Fire Flower (Equip)</t>
        </is>
      </c>
    </row>
    <row r="2187">
      <c r="A2187" s="5" t="inlineStr">
        <is>
          <t>Key</t>
        </is>
      </c>
      <c r="B2187" s="5" t="inlineStr">
        <is>
          <t>Name</t>
        </is>
      </c>
      <c r="C2187" s="5" t="inlineStr">
        <is>
          <t>Unlocked</t>
        </is>
      </c>
      <c r="D2187" s="5" t="inlineStr">
        <is>
          <t>InputLevel</t>
        </is>
      </c>
      <c r="E2187" s="5" t="inlineStr">
        <is>
          <t>Factor</t>
        </is>
      </c>
      <c r="F2187" s="5" t="inlineStr">
        <is>
          <t>CoefficientPercent</t>
        </is>
      </c>
      <c r="G2187" s="5" t="inlineStr">
        <is>
          <t>EffectiveHits</t>
        </is>
      </c>
      <c r="H2187" s="5" t="inlineStr">
        <is>
          <t>ProcProbability</t>
        </is>
      </c>
      <c r="I2187" s="5" t="inlineStr">
        <is>
          <t>MapleHeroMultiplier</t>
        </is>
      </c>
      <c r="J2187" s="5" t="inlineStr">
        <is>
          <t>BaseDamage</t>
        </is>
      </c>
      <c r="K2187" s="5" t="inlineStr">
        <is>
          <t>BaseHitDamage</t>
        </is>
      </c>
      <c r="L2187" s="5" t="inlineStr">
        <is>
          <t>NonCritAvg</t>
        </is>
      </c>
      <c r="M2187" s="5" t="inlineStr">
        <is>
          <t>CritAvg</t>
        </is>
      </c>
      <c r="N2187" s="5" t="inlineStr">
        <is>
          <t>ExpectedDamage(perHit)</t>
        </is>
      </c>
      <c r="O2187" s="5" t="inlineStr">
        <is>
          <t>DPS</t>
        </is>
      </c>
      <c r="P2187" s="5" t="inlineStr">
        <is>
          <t>% of Total</t>
        </is>
      </c>
      <c r="Q2187" s="5" t="inlineStr">
        <is>
          <t>InvCooldown</t>
        </is>
      </c>
      <c r="R2187" s="5" t="inlineStr">
        <is>
          <t>CastsInFight</t>
        </is>
      </c>
      <c r="S2187" s="5" t="inlineStr">
        <is>
          <t>HitRate(perSec)</t>
        </is>
      </c>
      <c r="U2187" t="inlineStr">
        <is>
          <t>helpers</t>
        </is>
      </c>
    </row>
    <row r="2188">
      <c r="A2188">
        <f>Skills!A2</f>
        <v/>
      </c>
      <c r="B2188">
        <f>Skills!B2</f>
        <v/>
      </c>
      <c r="C2188">
        <f>Inputs!$B$3&gt;=100</f>
        <v/>
      </c>
      <c r="D2188" t="inlineStr"/>
      <c r="E2188" t="inlineStr"/>
      <c r="F2188">
        <f>U2190+Skills!O2</f>
        <v/>
      </c>
      <c r="G2188">
        <f>Skills!G2*IF(Skills!H2&gt;0,Skills!I2/Skills!H2,1)</f>
        <v/>
      </c>
      <c r="H2188">
        <f>1-(1-Skills!J2/100)^Skills!K2</f>
        <v/>
      </c>
      <c r="I2188" t="inlineStr">
        <is>
          <t>1</t>
        </is>
      </c>
      <c r="J2188">
        <f>((Inputs!$B$6*(1+Inputs!$B$7/100))+(((Inputs!$B$12*(1+Inputs!$B$13/100))-(Inputs!$B$12*(1+Inputs!$B$13/100)))+0.25*(Inputs!$B$14-Inputs!$B$14))*(1+Inputs!$B$7/100))*(F2188/100)</f>
        <v/>
      </c>
      <c r="K2188">
        <f>J2188*(1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2188)</f>
        <v/>
      </c>
      <c r="L2188">
        <f>K2188*(MIN(Inputs!$B$22+((C2211=TRUE)*(F2211-Calc!F25)),(Inputs!$B$23+((C2216=TRUE)*(F2216-Calc!F30))+(IF(ArtifactsInput!$M$15,CHOOSE(ArtifactsInput!$N$15+1,25,30,35,40,45,50)/100*(Inputs!$B$11-Inputs!$B$11),0))))/100+(Inputs!$B$23+((C2216=TRUE)*(F2216-Calc!F30))+(IF(ArtifactsInput!$M$15,CHOOSE(ArtifactsInput!$N$15+1,25,30,35,40,45,50)/100*(Inputs!$B$11-Inputs!$B$11),0)))/100)/2</f>
        <v/>
      </c>
      <c r="M2188">
        <f>L2188*(1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8">
        <f>L2188*(1-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2188*(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8">
        <f>(1-Summary!$B$11)*T2188+Summary!$B$11*V2188</f>
        <v/>
      </c>
      <c r="P2188">
        <f>IF(B2230=0,0,O2188/B2230)</f>
        <v/>
      </c>
      <c r="Q2188" t="n">
        <v>0</v>
      </c>
      <c r="R2188" t="n">
        <v>0</v>
      </c>
      <c r="S2188">
        <f>IFERROR(O2188/N2188,0)</f>
        <v/>
      </c>
      <c r="T2188">
        <f>IF(C2188,(Skills!G2*N2188*B2224)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2188*(1-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2188*(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2188*(1-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2188*(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8">
        <f>MAX(0,(Inputs!$B$3-100)*3)+Inputs!$B$28+Inputs!$B$29</f>
        <v/>
      </c>
      <c r="V2188">
        <f>IF(C2188,(Skills!G2*N2188*B2224)*IF(Inputs!$B$38="pvp",1,(1+(Inputs!$B$21+Skills!Q2+(IF(ArtifactsInput!$M$33,CHOOSE(ArtifactsInput!$N$33+1,30,36,42,48,54,60),0))+(IF(AND(ArtifactsInput!$M$35,Inputs!$B$4&lt;&gt;"Chapter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9">
      <c r="A2189">
        <f>Skills!A3</f>
        <v/>
      </c>
      <c r="B2189">
        <f>Skills!B3</f>
        <v/>
      </c>
      <c r="C2189">
        <f>Inputs!$B$3&gt;=50</f>
        <v/>
      </c>
      <c r="D2189">
        <f>IF(Skills!C3=1,60+Inputs!$B$25+Inputs!$B$29,IF(Skills!C3=2,90+Inputs!$B$26+Inputs!$B$29,IF(Skills!C3=3,120+Inputs!$B$27+Inputs!$B$29,MAX(0,(Inputs!$B$3-100)*3)+Inputs!$B$28+Inputs!$B$29)))</f>
        <v/>
      </c>
      <c r="E2189">
        <f>INDEX(FactorTable!$B$2:$Y$301, MATCH(ROUND(MIN(300,MAX(1,D2189)),0), FactorTable!$A$2:$A$301,0), Skills!M3+1)</f>
        <v/>
      </c>
      <c r="F2189">
        <f>IF(Skills!N3=TRUE,(Skills!L3/10)*(E2189/1000),Skills!L3/10)+Skills!O3</f>
        <v/>
      </c>
      <c r="G2189">
        <f>Skills!G3*IF(Skills!H3&gt;0,Skills!I3/Skills!H3,1)</f>
        <v/>
      </c>
      <c r="H2189">
        <f>1-(1-Skills!J3/100)^Skills!K3</f>
        <v/>
      </c>
      <c r="I2189" t="inlineStr">
        <is>
          <t>1</t>
        </is>
      </c>
      <c r="J2189">
        <f>((Inputs!$B$6*(1+Inputs!$B$7/100))+(((Inputs!$B$12*(1+Inputs!$B$13/100))-(Inputs!$B$12*(1+Inputs!$B$13/100)))+0.25*(Inputs!$B$14-Inputs!$B$14))*(1+Inputs!$B$7/100))*(F2189/100)</f>
        <v/>
      </c>
      <c r="K2189">
        <f>J2189*(1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2190=TRUE,F2190,0)/100)*(1+(IF(Skills!A3="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2189)</f>
        <v/>
      </c>
      <c r="L2189">
        <f>K2189*(MIN(Inputs!$B$22+((C2211=TRUE)*(F2211-Calc!F25)),(Inputs!$B$23+((C2216=TRUE)*(F2216-Calc!F30))+(IF(ArtifactsInput!$M$15,CHOOSE(ArtifactsInput!$N$15+1,25,30,35,40,45,50)/100*(Inputs!$B$11-Inputs!$B$11),0))))/100+(Inputs!$B$23+((C2216=TRUE)*(F2216-Calc!F30))+(IF(ArtifactsInput!$M$15,CHOOSE(ArtifactsInput!$N$15+1,25,30,35,40,45,50)/100*(Inputs!$B$11-Inputs!$B$11),0)))/100)/2</f>
        <v/>
      </c>
      <c r="M2189">
        <f>L2189*(1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9">
        <f>L2189*(1-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2189*(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9">
        <f>(1-Summary!$B$11)*T2189+Summary!$B$11*V2189</f>
        <v/>
      </c>
      <c r="P2189">
        <f>IF(B2230=0,0,O2189/B2230)</f>
        <v/>
      </c>
      <c r="Q2189">
        <f>IFERROR(1/(IF(Inputs!$B$38="pvp",15,MAX(0.1,Skills!D3-IF(Skills!E3=TRUE,Inputs!$B$32,0)))*(1-IF(AND(ArtifactsInput!$M$27,Inputs!$B$4="Chapter Hunt"),CHOOSE(ArtifactsInput!$N$27+1,20,24,28,32,36,40),0)/100)),0)</f>
        <v/>
      </c>
      <c r="R2189">
        <f>IF(AND(Inputs!$B$38&lt;&gt;"pvp",Inputs!$B$43&gt;0),IF(MAX(0,Inputs!$B$43-B2227)&lt;=0,0,(INT(MAX(0,Inputs!$B$43-B2227)/(IF(Inputs!$B$38="pvp",15,MAX(0.1,Skills!D3-IF(Skills!E3=TRUE,Inputs!$B$32,0)))*(1-IF(AND(ArtifactsInput!$M$27,Inputs!$B$4="Chapter Hunt"),CHOOSE(ArtifactsInput!$N$27+1,20,24,28,32,36,40),0)/100)))+1)),0)</f>
        <v/>
      </c>
      <c r="S2189">
        <f>IFERROR(O2189/N2189,0)</f>
        <v/>
      </c>
      <c r="T2189">
        <f>IF(C2189,(H2189*N2189*IF(AND(Inputs!$B$38&lt;&gt;"pvp",Inputs!$B$43&gt;0),((Skills!G3*((R2189-1)*IF(Skills!H3&gt;0,Skills!I3/Skills!H3,1)+IF(Skills!H3&gt;0,MIN(Skills!I3,MAX(0,MAX(0,Inputs!$B$43-B2227)-((R2189-1)*(IF(Inputs!$B$38="pvp",15,MAX(0.1,Skills!D3-IF(Skills!E3=TRUE,Inputs!$B$32,0)))*(1-IF(AND(ArtifactsInput!$M$27,Inputs!$B$4="Chapter Hunt"),CHOOSE(ArtifactsInput!$N$27+1,20,24,28,32,36,40),0)/100)))))/Skills!H3,1)))/Inputs!$B$43),G2189*Q2189))*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2189*(1-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2189*(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2189*(1-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2189*(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9">
        <f>INDEX(FactorTable!$B$2:$Y$301, MATCH(ROUND(MIN(300,MAX(1,U2188)),0), FactorTable!$A$2:$A$301,0), 22)</f>
        <v/>
      </c>
      <c r="V2189">
        <f>IF(C2189,(H2189*N2189*IF(AND(Inputs!$B$38&lt;&gt;"pvp",Inputs!$B$43&gt;0),((Skills!G3*((R2189-1)*IF(Skills!H3&gt;0,Skills!I3/Skills!H3,1)+IF(Skills!H3&gt;0,MIN(Skills!I3,MAX(0,MAX(0,Inputs!$B$43-B2227)-((R2189-1)*(IF(Inputs!$B$38="pvp",15,MAX(0.1,Skills!D3-IF(Skills!E3=TRUE,Inputs!$B$32,0)))*(1-IF(AND(ArtifactsInput!$M$27,Inputs!$B$4="Chapter Hunt"),CHOOSE(ArtifactsInput!$N$27+1,20,24,28,32,36,40),0)/100)))))/Skills!H3,1)))/Inputs!$B$43),G2189*Q2189))*IF(Inputs!$B$38="pvp",1,(1+(Inputs!$B$21+Skills!Q3+(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0">
      <c r="A2190">
        <f>Skills!A4</f>
        <v/>
      </c>
      <c r="B2190">
        <f>Skills!B4</f>
        <v/>
      </c>
      <c r="C2190">
        <f>Inputs!$B$3&gt;=105</f>
        <v/>
      </c>
      <c r="D2190">
        <f>IF(Skills!C4=1,60+Inputs!$B$25+Inputs!$B$29,IF(Skills!C4=2,90+Inputs!$B$26+Inputs!$B$29,IF(Skills!C4=3,120+Inputs!$B$27+Inputs!$B$29,MAX(0,(Inputs!$B$3-100)*3)+Inputs!$B$28+Inputs!$B$29)))</f>
        <v/>
      </c>
      <c r="E2190">
        <f>INDEX(FactorTable!$B$2:$Y$301, MATCH(ROUND(MIN(300,MAX(1,D2190)),0), FactorTable!$A$2:$A$301,0), Skills!M4+1)</f>
        <v/>
      </c>
      <c r="F2190">
        <f>IF(Skills!N4=TRUE,(Skills!L4/10)*(E2190/1000),Skills!L4/10)+Skills!O4</f>
        <v/>
      </c>
      <c r="G2190" t="inlineStr"/>
      <c r="H2190" t="inlineStr"/>
      <c r="I2190" t="inlineStr">
        <is>
          <t>1</t>
        </is>
      </c>
      <c r="J2190" t="inlineStr"/>
      <c r="K2190" t="inlineStr"/>
      <c r="L2190" t="inlineStr"/>
      <c r="M2190" t="inlineStr"/>
      <c r="N2190" t="inlineStr"/>
      <c r="O2190" t="inlineStr"/>
      <c r="P2190" t="inlineStr"/>
      <c r="Q2190" t="inlineStr"/>
      <c r="R2190" t="inlineStr"/>
      <c r="S2190" t="inlineStr"/>
      <c r="T2190" t="inlineStr"/>
      <c r="U2190">
        <f>290*U2189/1000</f>
        <v/>
      </c>
      <c r="V2190" t="inlineStr"/>
    </row>
    <row r="2191">
      <c r="A2191">
        <f>Skills!A5</f>
        <v/>
      </c>
      <c r="B2191">
        <f>Skills!B5</f>
        <v/>
      </c>
      <c r="C2191">
        <f>Inputs!$B$3&gt;=35</f>
        <v/>
      </c>
      <c r="D2191">
        <f>IF(Skills!C5=1,60+Inputs!$B$25+Inputs!$B$29,IF(Skills!C5=2,90+Inputs!$B$26+Inputs!$B$29,IF(Skills!C5=3,120+Inputs!$B$27+Inputs!$B$29,MAX(0,(Inputs!$B$3-100)*3)+Inputs!$B$28+Inputs!$B$29)))</f>
        <v/>
      </c>
      <c r="E2191">
        <f>INDEX(FactorTable!$B$2:$Y$301, MATCH(ROUND(MIN(300,MAX(1,D2191)),0), FactorTable!$A$2:$A$301,0), Skills!M5+1)</f>
        <v/>
      </c>
      <c r="F2191">
        <f>IF(Skills!N5=TRUE,(Skills!L5/10)*(E2191/1000),Skills!L5/10)+Skills!O5</f>
        <v/>
      </c>
      <c r="G2191">
        <f>Skills!G5*IF(Skills!H5&gt;0,Skills!I5/Skills!H5,1)</f>
        <v/>
      </c>
      <c r="H2191">
        <f>1-(1-Skills!J5/100)^Skills!K5</f>
        <v/>
      </c>
      <c r="I2191" t="inlineStr">
        <is>
          <t>1</t>
        </is>
      </c>
      <c r="J2191">
        <f>((Inputs!$B$6*(1+Inputs!$B$7/100))+(((Inputs!$B$12*(1+Inputs!$B$13/100))-(Inputs!$B$12*(1+Inputs!$B$13/100)))+0.25*(Inputs!$B$14-Inputs!$B$14))*(1+Inputs!$B$7/100))*(F2191/100)</f>
        <v/>
      </c>
      <c r="K2191">
        <f>J2191*(1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2197=TRUE,F2197,0)/100)*(1+(IF(Skills!A5="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2191)</f>
        <v/>
      </c>
      <c r="L2191">
        <f>K2191*(MIN(Inputs!$B$22+((C2211=TRUE)*(F2211-Calc!F25)),(Inputs!$B$23+((C2216=TRUE)*(F2216-Calc!F30))+(IF(ArtifactsInput!$M$15,CHOOSE(ArtifactsInput!$N$15+1,25,30,35,40,45,50)/100*(Inputs!$B$11-Inputs!$B$11),0))))/100+(Inputs!$B$23+((C2216=TRUE)*(F2216-Calc!F30))+(IF(ArtifactsInput!$M$15,CHOOSE(ArtifactsInput!$N$15+1,25,30,35,40,45,50)/100*(Inputs!$B$11-Inputs!$B$11),0)))/100)/2</f>
        <v/>
      </c>
      <c r="M2191">
        <f>L2191*(1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1">
        <f>L2191*(1-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1">
        <f>(1-Summary!$B$11)*T2191+Summary!$B$11*V2191</f>
        <v/>
      </c>
      <c r="P2191">
        <f>IF(B2230=0,0,O2191/B2230)</f>
        <v/>
      </c>
      <c r="Q2191">
        <f>IFERROR(1/(IF(Inputs!$B$38="pvp",15,MAX(0.1,Skills!D5-IF(Skills!E5=TRUE,Inputs!$B$32,0)))*(1-IF(AND(ArtifactsInput!$M$27,Inputs!$B$4="Chapter Hunt"),CHOOSE(ArtifactsInput!$N$27+1,20,24,28,32,36,40),0)/100)),0)</f>
        <v/>
      </c>
      <c r="R2191">
        <f>IF(AND(Inputs!$B$38&lt;&gt;"pvp",Inputs!$B$43&gt;0),IF(MAX(0,Inputs!$B$43-B2227)&lt;=0,0,(INT(MAX(0,Inputs!$B$43-B2227)/(IF(Inputs!$B$38="pvp",15,MAX(0.1,Skills!D5-IF(Skills!E5=TRUE,Inputs!$B$32,0)))*(1-IF(AND(ArtifactsInput!$M$27,Inputs!$B$4="Chapter Hunt"),CHOOSE(ArtifactsInput!$N$27+1,20,24,28,32,36,40),0)/100)))+1)),0)</f>
        <v/>
      </c>
      <c r="S2191">
        <f>IFERROR(O2191/N2191,0)</f>
        <v/>
      </c>
      <c r="T2191">
        <f>IF(C2191,(H2191*N2191*IF(AND(Inputs!$B$38&lt;&gt;"pvp",Inputs!$B$43&gt;0),((Skills!G5*((R2191-1)*IF(Skills!H5&gt;0,Skills!I5/Skills!H5,1)+IF(Skills!H5&gt;0,MIN(Skills!I5,MAX(0,MAX(0,Inputs!$B$43-B2227)-((R2191-1)*(IF(Inputs!$B$38="pvp",15,MAX(0.1,Skills!D5-IF(Skills!E5=TRUE,Inputs!$B$32,0)))*(1-IF(AND(ArtifactsInput!$M$27,Inputs!$B$4="Chapter Hunt"),CHOOSE(ArtifactsInput!$N$27+1,20,24,28,32,36,40),0)/100)))))/Skills!H5,1)))/Inputs!$B$43),G2191*Q2191)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2191*(1-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2191*(1-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1">
        <f>IF(C2191,(H2191*N2191*IF(AND(Inputs!$B$38&lt;&gt;"pvp",Inputs!$B$43&gt;0),((Skills!G5*((R2191-1)*IF(Skills!H5&gt;0,Skills!I5/Skills!H5,1)+IF(Skills!H5&gt;0,MIN(Skills!I5,MAX(0,MAX(0,Inputs!$B$43-B2227)-((R2191-1)*(IF(Inputs!$B$38="pvp",15,MAX(0.1,Skills!D5-IF(Skills!E5=TRUE,Inputs!$B$32,0)))*(1-IF(AND(ArtifactsInput!$M$27,Inputs!$B$4="Chapter Hunt"),CHOOSE(ArtifactsInput!$N$27+1,20,24,28,32,36,40),0)/100)))))/Skills!H5,1)))/Inputs!$B$43),G2191*Q2191))*IF(Inputs!$B$38="pvp",1,(1+(Inputs!$B$21+Skills!Q5+(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2">
      <c r="A2192">
        <f>Skills!A6</f>
        <v/>
      </c>
      <c r="B2192">
        <f>Skills!B6</f>
        <v/>
      </c>
      <c r="C2192">
        <f>Inputs!$B$3&gt;=40</f>
        <v/>
      </c>
      <c r="D2192">
        <f>IF(Skills!C6=1,60+Inputs!$B$25+Inputs!$B$29,IF(Skills!C6=2,90+Inputs!$B$26+Inputs!$B$29,IF(Skills!C6=3,120+Inputs!$B$27+Inputs!$B$29,MAX(0,(Inputs!$B$3-100)*3)+Inputs!$B$28+Inputs!$B$29)))</f>
        <v/>
      </c>
      <c r="E2192">
        <f>INDEX(FactorTable!$B$2:$Y$301, MATCH(ROUND(MIN(300,MAX(1,D2192)),0), FactorTable!$A$2:$A$301,0), Skills!M6+1)</f>
        <v/>
      </c>
      <c r="F2192">
        <f>IF(Skills!N6=TRUE,(Skills!L6/10)*(E2192/1000),Skills!L6/10)+Skills!O6</f>
        <v/>
      </c>
      <c r="G2192">
        <f>Skills!G6*IF(Skills!H6&gt;0,Skills!I6/Skills!H6,1)</f>
        <v/>
      </c>
      <c r="H2192">
        <f>1-(1-Skills!J6/100)^Skills!K6</f>
        <v/>
      </c>
      <c r="I2192" t="inlineStr">
        <is>
          <t>1</t>
        </is>
      </c>
      <c r="J2192">
        <f>((Inputs!$B$6*(1+Inputs!$B$7/100))+(((Inputs!$B$12*(1+Inputs!$B$13/100))-(Inputs!$B$12*(1+Inputs!$B$13/100)))+0.25*(Inputs!$B$14-Inputs!$B$14))*(1+Inputs!$B$7/100))*(F2192/100)</f>
        <v/>
      </c>
      <c r="K2192">
        <f>J2192*(1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2193=TRUE,F2193,0)/100)*(1+(IF(Skills!A6="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2192)</f>
        <v/>
      </c>
      <c r="L2192">
        <f>K2192*(MIN(Inputs!$B$22+((C2211=TRUE)*(F2211-Calc!F25)),(Inputs!$B$23+((C2216=TRUE)*(F2216-Calc!F30))+(IF(ArtifactsInput!$M$15,CHOOSE(ArtifactsInput!$N$15+1,25,30,35,40,45,50)/100*(Inputs!$B$11-Inputs!$B$11),0))))/100+(Inputs!$B$23+((C2216=TRUE)*(F2216-Calc!F30))+(IF(ArtifactsInput!$M$15,CHOOSE(ArtifactsInput!$N$15+1,25,30,35,40,45,50)/100*(Inputs!$B$11-Inputs!$B$11),0)))/100)/2</f>
        <v/>
      </c>
      <c r="M2192">
        <f>L2192*(1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2">
        <f>L2192*(1-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2192*(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2">
        <f>(1-Summary!$B$11)*T2192+Summary!$B$11*V2192</f>
        <v/>
      </c>
      <c r="P2192">
        <f>IF(B2230=0,0,O2192/B2230)</f>
        <v/>
      </c>
      <c r="Q2192">
        <f>IFERROR(1/(IF(Inputs!$B$38="pvp",15,MAX(0.1,Skills!D6-IF(Skills!E6=TRUE,Inputs!$B$32,0)))*(1-IF(AND(ArtifactsInput!$M$27,Inputs!$B$4="Chapter Hunt"),CHOOSE(ArtifactsInput!$N$27+1,20,24,28,32,36,40),0)/100)),0)</f>
        <v/>
      </c>
      <c r="R2192">
        <f>IF(AND(Inputs!$B$38&lt;&gt;"pvp",Inputs!$B$43&gt;0),IF(MAX(0,Inputs!$B$43-B2227)&lt;=0,0,(INT(MAX(0,Inputs!$B$43-B2227)/(IF(Inputs!$B$38="pvp",15,MAX(0.1,Skills!D6-IF(Skills!E6=TRUE,Inputs!$B$32,0)))*(1-IF(AND(ArtifactsInput!$M$27,Inputs!$B$4="Chapter Hunt"),CHOOSE(ArtifactsInput!$N$27+1,20,24,28,32,36,40),0)/100)))+1)),0)</f>
        <v/>
      </c>
      <c r="S2192">
        <f>IFERROR(O2192/N2192,0)</f>
        <v/>
      </c>
      <c r="T2192">
        <f>IF(C2192,(H2192*N2192*IF(AND(Inputs!$B$38&lt;&gt;"pvp",Inputs!$B$43&gt;0),((Skills!G6*((R2192-1)*IF(Skills!H6&gt;0,Skills!I6/Skills!H6,1)+IF(Skills!H6&gt;0,MIN(Skills!I6,MAX(0,MAX(0,Inputs!$B$43-B2227)-((R2192-1)*(IF(Inputs!$B$38="pvp",15,MAX(0.1,Skills!D6-IF(Skills!E6=TRUE,Inputs!$B$32,0)))*(1-IF(AND(ArtifactsInput!$M$27,Inputs!$B$4="Chapter Hunt"),CHOOSE(ArtifactsInput!$N$27+1,20,24,28,32,36,40),0)/100)))))/Skills!H6,1)))/Inputs!$B$43),G2192*Q2192)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2192*(1-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2192*(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2192*(1-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2192*(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2">
        <f>IF(C2192,(H2192*N2192*IF(AND(Inputs!$B$38&lt;&gt;"pvp",Inputs!$B$43&gt;0),((Skills!G6*((R2192-1)*IF(Skills!H6&gt;0,Skills!I6/Skills!H6,1)+IF(Skills!H6&gt;0,MIN(Skills!I6,MAX(0,MAX(0,Inputs!$B$43-B2227)-((R2192-1)*(IF(Inputs!$B$38="pvp",15,MAX(0.1,Skills!D6-IF(Skills!E6=TRUE,Inputs!$B$32,0)))*(1-IF(AND(ArtifactsInput!$M$27,Inputs!$B$4="Chapter Hunt"),CHOOSE(ArtifactsInput!$N$27+1,20,24,28,32,36,40),0)/100)))))/Skills!H6,1)))/Inputs!$B$43),G2192*Q2192))*IF(Inputs!$B$38="pvp",1,(1+(Inputs!$B$21+Skills!Q6+(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3">
      <c r="A2193">
        <f>Skills!A7</f>
        <v/>
      </c>
      <c r="B2193">
        <f>Skills!B7</f>
        <v/>
      </c>
      <c r="C2193">
        <f>Inputs!$B$3&gt;=107</f>
        <v/>
      </c>
      <c r="D2193">
        <f>IF(Skills!C7=1,60+Inputs!$B$25+Inputs!$B$29,IF(Skills!C7=2,90+Inputs!$B$26+Inputs!$B$29,IF(Skills!C7=3,120+Inputs!$B$27+Inputs!$B$29,MAX(0,(Inputs!$B$3-100)*3)+Inputs!$B$28+Inputs!$B$29)))</f>
        <v/>
      </c>
      <c r="E2193">
        <f>INDEX(FactorTable!$B$2:$Y$301, MATCH(ROUND(MIN(300,MAX(1,D2193)),0), FactorTable!$A$2:$A$301,0), Skills!M7+1)</f>
        <v/>
      </c>
      <c r="F2193">
        <f>IF(Skills!N7=TRUE,(Skills!L7/10)*(E2193/1000),Skills!L7/10)+Skills!O7</f>
        <v/>
      </c>
      <c r="G2193" t="inlineStr"/>
      <c r="H2193" t="inlineStr"/>
      <c r="I2193" t="inlineStr">
        <is>
          <t>1</t>
        </is>
      </c>
      <c r="J2193" t="inlineStr"/>
      <c r="K2193" t="inlineStr"/>
      <c r="L2193" t="inlineStr"/>
      <c r="M2193" t="inlineStr"/>
      <c r="N2193" t="inlineStr"/>
      <c r="O2193" t="inlineStr"/>
      <c r="P2193" t="inlineStr"/>
      <c r="Q2193" t="inlineStr"/>
      <c r="R2193" t="inlineStr"/>
      <c r="S2193" t="inlineStr"/>
      <c r="T2193" t="inlineStr"/>
      <c r="V2193" t="inlineStr"/>
    </row>
    <row r="2194">
      <c r="A2194">
        <f>Skills!A8</f>
        <v/>
      </c>
      <c r="B2194">
        <f>Skills!B8</f>
        <v/>
      </c>
      <c r="C2194">
        <f>Inputs!$B$3&gt;=69</f>
        <v/>
      </c>
      <c r="D2194">
        <f>IF(Skills!C8=1,60+Inputs!$B$25+Inputs!$B$29,IF(Skills!C8=2,90+Inputs!$B$26+Inputs!$B$29,IF(Skills!C8=3,120+Inputs!$B$27+Inputs!$B$29,MAX(0,(Inputs!$B$3-100)*3)+Inputs!$B$28+Inputs!$B$29)))</f>
        <v/>
      </c>
      <c r="E2194">
        <f>INDEX(FactorTable!$B$2:$Y$301, MATCH(ROUND(MIN(300,MAX(1,D2194)),0), FactorTable!$A$2:$A$301,0), Skills!M8+1)</f>
        <v/>
      </c>
      <c r="F2194">
        <f>IF(Skills!N8=TRUE,(Skills!L8/10)*(E2194/1000),Skills!L8/10)+Skills!O8</f>
        <v/>
      </c>
      <c r="G2194">
        <f>Skills!G8*IF(Skills!H8&gt;0,Skills!I8/Skills!H8,1)</f>
        <v/>
      </c>
      <c r="H2194">
        <f>1-(1-Skills!J8/100)^Skills!K8</f>
        <v/>
      </c>
      <c r="I2194" t="inlineStr">
        <is>
          <t>1</t>
        </is>
      </c>
      <c r="J2194">
        <f>((Inputs!$B$6*(1+Inputs!$B$7/100))+(((Inputs!$B$12*(1+Inputs!$B$13/100))-(Inputs!$B$12*(1+Inputs!$B$13/100)))+0.25*(Inputs!$B$14-Inputs!$B$14))*(1+Inputs!$B$7/100))*(F2194/100)</f>
        <v/>
      </c>
      <c r="K2194">
        <f>J2194*(1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2197=TRUE,F2197,0)/100)*(1+(IF(Skills!A8="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2194)</f>
        <v/>
      </c>
      <c r="L2194">
        <f>K2194*(MIN(Inputs!$B$22+((C2211=TRUE)*(F2211-Calc!F25)),(Inputs!$B$23+((C2216=TRUE)*(F2216-Calc!F30))+(IF(ArtifactsInput!$M$15,CHOOSE(ArtifactsInput!$N$15+1,25,30,35,40,45,50)/100*(Inputs!$B$11-Inputs!$B$11),0))))/100+(Inputs!$B$23+((C2216=TRUE)*(F2216-Calc!F30))+(IF(ArtifactsInput!$M$15,CHOOSE(ArtifactsInput!$N$15+1,25,30,35,40,45,50)/100*(Inputs!$B$11-Inputs!$B$11),0)))/100)/2</f>
        <v/>
      </c>
      <c r="M2194">
        <f>L2194*(1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4">
        <f>L2194*(1-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2194*(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4">
        <f>(1-Summary!$B$11)*T2194+Summary!$B$11*V2194</f>
        <v/>
      </c>
      <c r="P2194">
        <f>IF(B2230=0,0,O2194/B2230)</f>
        <v/>
      </c>
      <c r="Q2194">
        <f>IFERROR(1/(IF(Inputs!$B$38="pvp",15,MAX(0.1,Skills!D8-IF(Skills!E8=TRUE,Inputs!$B$32,0)))*(1-IF(AND(ArtifactsInput!$M$27,Inputs!$B$4="Chapter Hunt"),CHOOSE(ArtifactsInput!$N$27+1,20,24,28,32,36,40),0)/100)),0)</f>
        <v/>
      </c>
      <c r="R2194">
        <f>IF(AND(Inputs!$B$38&lt;&gt;"pvp",Inputs!$B$43&gt;0),IF(MAX(0,Inputs!$B$43-B2227)&lt;=0,0,(INT(MAX(0,Inputs!$B$43-B2227)/(IF(Inputs!$B$38="pvp",15,MAX(0.1,Skills!D8-IF(Skills!E8=TRUE,Inputs!$B$32,0)))*(1-IF(AND(ArtifactsInput!$M$27,Inputs!$B$4="Chapter Hunt"),CHOOSE(ArtifactsInput!$N$27+1,20,24,28,32,36,40),0)/100)))+1)),0)</f>
        <v/>
      </c>
      <c r="S2194">
        <f>IFERROR(O2194/N2194,0)</f>
        <v/>
      </c>
      <c r="T2194">
        <f>IF(C2194,(H2194*N2194*IF(AND(Inputs!$B$38&lt;&gt;"pvp",Inputs!$B$43&gt;0),((Skills!G8*((R2194-1)*IF(Skills!H8&gt;0,Skills!I8/Skills!H8,1)+IF(Skills!H8&gt;0,MIN(Skills!I8,MAX(0,MAX(0,Inputs!$B$43-B2227)-((R2194-1)*(IF(Inputs!$B$38="pvp",15,MAX(0.1,Skills!D8-IF(Skills!E8=TRUE,Inputs!$B$32,0)))*(1-IF(AND(ArtifactsInput!$M$27,Inputs!$B$4="Chapter Hunt"),CHOOSE(ArtifactsInput!$N$27+1,20,24,28,32,36,40),0)/100)))))/Skills!H8,1)))/Inputs!$B$43),G2194*Q2194)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2194*(1-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2194*(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2194*(1-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2194*(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4">
        <f>IF(C2194,(H2194*N2194*IF(AND(Inputs!$B$38&lt;&gt;"pvp",Inputs!$B$43&gt;0),((Skills!G8*((R2194-1)*IF(Skills!H8&gt;0,Skills!I8/Skills!H8,1)+IF(Skills!H8&gt;0,MIN(Skills!I8,MAX(0,MAX(0,Inputs!$B$43-B2227)-((R2194-1)*(IF(Inputs!$B$38="pvp",15,MAX(0.1,Skills!D8-IF(Skills!E8=TRUE,Inputs!$B$32,0)))*(1-IF(AND(ArtifactsInput!$M$27,Inputs!$B$4="Chapter Hunt"),CHOOSE(ArtifactsInput!$N$27+1,20,24,28,32,36,40),0)/100)))))/Skills!H8,1)))/Inputs!$B$43),G2194*Q2194))*IF(Inputs!$B$38="pvp",1,(1+(Inputs!$B$21+Skills!Q8+(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5">
      <c r="A2195">
        <f>Skills!A9</f>
        <v/>
      </c>
      <c r="B2195">
        <f>Skills!B9</f>
        <v/>
      </c>
      <c r="C2195">
        <f>Inputs!$B$3&gt;=63</f>
        <v/>
      </c>
      <c r="D2195">
        <f>IF(Skills!C9=1,60+Inputs!$B$25+Inputs!$B$29,IF(Skills!C9=2,90+Inputs!$B$26+Inputs!$B$29,IF(Skills!C9=3,120+Inputs!$B$27+Inputs!$B$29,MAX(0,(Inputs!$B$3-100)*3)+Inputs!$B$28+Inputs!$B$29)))</f>
        <v/>
      </c>
      <c r="E2195">
        <f>INDEX(FactorTable!$B$2:$Y$301, MATCH(ROUND(MIN(300,MAX(1,D2195)),0), FactorTable!$A$2:$A$301,0), Skills!M9+1)</f>
        <v/>
      </c>
      <c r="F2195">
        <f>IF(Skills!N9=TRUE,(Skills!L9/10)*(E2195/1000),Skills!L9/10)+Skills!O9</f>
        <v/>
      </c>
      <c r="G2195">
        <f>Skills!G9*IF(Skills!H9&gt;0,Skills!I9/Skills!H9,1)</f>
        <v/>
      </c>
      <c r="H2195">
        <f>1-(1-Skills!J9/100)^Skills!K9</f>
        <v/>
      </c>
      <c r="I2195" t="inlineStr">
        <is>
          <t>1</t>
        </is>
      </c>
      <c r="J2195">
        <f>((Inputs!$B$6*(1+Inputs!$B$7/100))+(((Inputs!$B$12*(1+Inputs!$B$13/100))-(Inputs!$B$12*(1+Inputs!$B$13/100)))+0.25*(Inputs!$B$14-Inputs!$B$14))*(1+Inputs!$B$7/100))*(F2195/100)</f>
        <v/>
      </c>
      <c r="K2195">
        <f>J2195*(1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2197=TRUE,F2197,0)/100)*(1+(IF(Skills!A9="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C2211=TRUE)*(F2211-Calc!F25)),(Inputs!$B$23+((C2216=TRUE)*(F2216-Calc!F30))+(IF(ArtifactsInput!$M$15,CHOOSE(ArtifactsInput!$N$15+1,25,30,35,40,45,50)/100*(Inputs!$B$11-Inputs!$B$11),0))))/100+(Inputs!$B$23+((C2216=TRUE)*(F2216-Calc!F30))+(IF(ArtifactsInput!$M$15,CHOOSE(ArtifactsInput!$N$15+1,25,30,35,40,45,50)/100*(Inputs!$B$11-Inputs!$B$11),0)))/100)/2</f>
        <v/>
      </c>
      <c r="M2195">
        <f>L2195*(1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(1-Summary!$B$11)*T2195+Summary!$B$11*V2195</f>
        <v/>
      </c>
      <c r="P2195">
        <f>IF(B2230=0,0,O2195/B2230)</f>
        <v/>
      </c>
      <c r="Q2195">
        <f>IFERROR(1/(IF(Inputs!$B$38="pvp",15,MAX(0.1,Skills!D9-IF(Skills!E9=TRUE,Inputs!$B$32,0)))*(1-IF(AND(ArtifactsInput!$M$27,Inputs!$B$4="Chapter Hunt"),CHOOSE(ArtifactsInput!$N$27+1,20,24,28,32,36,40),0)/100)),0)</f>
        <v/>
      </c>
      <c r="R2195">
        <f>IF(AND(Inputs!$B$38&lt;&gt;"pvp",Inputs!$B$43&gt;0),IF(MAX(0,Inputs!$B$43-B2227)&lt;=0,0,(INT(MAX(0,Inputs!$B$43-B2227)/(IF(Inputs!$B$38="pvp",15,MAX(0.1,Skills!D9-IF(Skills!E9=TRUE,Inputs!$B$32,0)))*(1-IF(AND(ArtifactsInput!$M$27,Inputs!$B$4="Chapter Hunt"),CHOOSE(ArtifactsInput!$N$27+1,20,24,28,32,36,40),0)/100)))+1)),0)</f>
        <v/>
      </c>
      <c r="S2195">
        <f>IFERROR(O2195/N2195,0)</f>
        <v/>
      </c>
      <c r="T2195">
        <f>IF(C2195,(H2195*N2195*IF(AND(Inputs!$B$38&lt;&gt;"pvp",Inputs!$B$43&gt;0),((Skills!G9*((R2195-1)*IF(Skills!H9&gt;0,Skills!I9/Skills!H9,1)+IF(Skills!H9&gt;0,MIN(Skills!I9,MAX(0,MAX(0,Inputs!$B$43-B2227)-((R2195-1)*(IF(Inputs!$B$38="pvp",15,MAX(0.1,Skills!D9-IF(Skills!E9=TRUE,Inputs!$B$32,0)))*(1-IF(AND(ArtifactsInput!$M$27,Inputs!$B$4="Chapter Hunt"),CHOOSE(ArtifactsInput!$N$27+1,20,24,28,32,36,40),0)/100)))))/Skills!H9,1)))/Inputs!$B$43),G2195*Q2195)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2195*(1-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5">
        <f>IF(C2195,(H2195*N2195*IF(AND(Inputs!$B$38&lt;&gt;"pvp",Inputs!$B$43&gt;0),((Skills!G9*((R2195-1)*IF(Skills!H9&gt;0,Skills!I9/Skills!H9,1)+IF(Skills!H9&gt;0,MIN(Skills!I9,MAX(0,MAX(0,Inputs!$B$43-B2227)-((R2195-1)*(IF(Inputs!$B$38="pvp",15,MAX(0.1,Skills!D9-IF(Skills!E9=TRUE,Inputs!$B$32,0)))*(1-IF(AND(ArtifactsInput!$M$27,Inputs!$B$4="Chapter Hunt"),CHOOSE(ArtifactsInput!$N$27+1,20,24,28,32,36,40),0)/100)))))/Skills!H9,1)))/Inputs!$B$43),G2195*Q2195))*IF(Inputs!$B$38="pvp",1,(1+(Inputs!$B$21+Skills!Q9+(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Skills!A10</f>
        <v/>
      </c>
      <c r="B2196">
        <f>Skills!B10</f>
        <v/>
      </c>
      <c r="C2196">
        <f>Inputs!$B$3&gt;=103</f>
        <v/>
      </c>
      <c r="D2196">
        <f>IF(Skills!C10=1,60+Inputs!$B$25+Inputs!$B$29,IF(Skills!C10=2,90+Inputs!$B$26+Inputs!$B$29,IF(Skills!C10=3,120+Inputs!$B$27+Inputs!$B$29,MAX(0,(Inputs!$B$3-100)*3)+Inputs!$B$28+Inputs!$B$29)))</f>
        <v/>
      </c>
      <c r="E2196">
        <f>INDEX(FactorTable!$B$2:$Y$301, MATCH(ROUND(MIN(300,MAX(1,D2196)),0), FactorTable!$A$2:$A$301,0), Skills!M10+1)</f>
        <v/>
      </c>
      <c r="F2196">
        <f>IF(Skills!N10=TRUE,(Skills!L10/10)*(E2196/1000),Skills!L10/10)+Skills!O10</f>
        <v/>
      </c>
      <c r="G2196">
        <f>Skills!G10*IF(Skills!H10&gt;0,Skills!I10/Skills!H10,1)</f>
        <v/>
      </c>
      <c r="H2196">
        <f>1-(1-Skills!J10/100)^Skills!K10</f>
        <v/>
      </c>
      <c r="I2196" t="inlineStr">
        <is>
          <t>1</t>
        </is>
      </c>
      <c r="J2196">
        <f>((Inputs!$B$6*(1+Inputs!$B$7/100))+(((Inputs!$B$12*(1+Inputs!$B$13/100))-(Inputs!$B$12*(1+Inputs!$B$13/100)))+0.25*(Inputs!$B$14-Inputs!$B$14))*(1+Inputs!$B$7/100))*(F2196/100)</f>
        <v/>
      </c>
      <c r="K2196">
        <f>J2196*(1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C2211=TRUE)*(F2211-Calc!F25)),(Inputs!$B$23+((C2216=TRUE)*(F2216-Calc!F30))+(IF(ArtifactsInput!$M$15,CHOOSE(ArtifactsInput!$N$15+1,25,30,35,40,45,50)/100*(Inputs!$B$11-Inputs!$B$11),0))))/100+(Inputs!$B$23+((C2216=TRUE)*(F2216-Calc!F30))+(IF(ArtifactsInput!$M$15,CHOOSE(ArtifactsInput!$N$15+1,25,30,35,40,45,50)/100*(Inputs!$B$11-Inputs!$B$11),0)))/100)/2</f>
        <v/>
      </c>
      <c r="M2196">
        <f>L2196*(1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(1-Summary!$B$11)*T2196+Summary!$B$11*V2196</f>
        <v/>
      </c>
      <c r="P2196">
        <f>IF(B2230=0,0,O2196/B2230)</f>
        <v/>
      </c>
      <c r="Q2196">
        <f>IFERROR(1/(IF(Inputs!$B$38="pvp",15,MAX(0.1,Skills!D10-IF(Skills!E10=TRUE,Inputs!$B$32,0)))*(1-IF(AND(ArtifactsInput!$M$27,Inputs!$B$4="Chapter Hunt"),CHOOSE(ArtifactsInput!$N$27+1,20,24,28,32,36,40),0)/100)),0)</f>
        <v/>
      </c>
      <c r="R2196">
        <f>IF(AND(Inputs!$B$38&lt;&gt;"pvp",Inputs!$B$43&gt;0),IF(MAX(0,Inputs!$B$43-B2227)&lt;=0,0,(INT(MAX(0,Inputs!$B$43-B2227)/(IF(Inputs!$B$38="pvp",15,MAX(0.1,Skills!D10-IF(Skills!E10=TRUE,Inputs!$B$32,0)))*(1-IF(AND(ArtifactsInput!$M$27,Inputs!$B$4="Chapter Hunt"),CHOOSE(ArtifactsInput!$N$27+1,20,24,28,32,36,40),0)/100)))+1)),0)</f>
        <v/>
      </c>
      <c r="S2196">
        <f>IFERROR(O2196/N2196,0)</f>
        <v/>
      </c>
      <c r="T2196">
        <f>IF(C2196,(H2196*N2196*IF(AND(Inputs!$B$38&lt;&gt;"pvp",Inputs!$B$43&gt;0),((Skills!G10*((R2196-1)*IF(Skills!H10&gt;0,Skills!I10/Skills!H10,1)+IF(Skills!H10&gt;0,MIN(Skills!I10,MAX(0,MAX(0,Inputs!$B$43-B2227)-((R2196-1)*(IF(Inputs!$B$38="pvp",15,MAX(0.1,Skills!D10-IF(Skills!E10=TRUE,Inputs!$B$32,0)))*(1-IF(AND(ArtifactsInput!$M$27,Inputs!$B$4="Chapter Hunt"),CHOOSE(ArtifactsInput!$N$27+1,20,24,28,32,36,40),0)/100)))))/Skills!H10,1)))/Inputs!$B$43),G2196*Q2196)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2196*(1-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6">
        <f>IF(C2196,(H2196*N2196*IF(AND(Inputs!$B$38&lt;&gt;"pvp",Inputs!$B$43&gt;0),((Skills!G10*((R2196-1)*IF(Skills!H10&gt;0,Skills!I10/Skills!H10,1)+IF(Skills!H10&gt;0,MIN(Skills!I10,MAX(0,MAX(0,Inputs!$B$43-B2227)-((R2196-1)*(IF(Inputs!$B$38="pvp",15,MAX(0.1,Skills!D10-IF(Skills!E10=TRUE,Inputs!$B$32,0)))*(1-IF(AND(ArtifactsInput!$M$27,Inputs!$B$4="Chapter Hunt"),CHOOSE(ArtifactsInput!$N$27+1,20,24,28,32,36,40),0)/100)))))/Skills!H10,1)))/Inputs!$B$43),G2196*Q2196))*IF(Inputs!$B$38="pvp",1,(1+(Inputs!$B$21+Skills!Q10+(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Skills!A11</f>
        <v/>
      </c>
      <c r="B2197">
        <f>Skills!B11</f>
        <v/>
      </c>
      <c r="C2197">
        <f>Inputs!$B$3&gt;=100</f>
        <v/>
      </c>
      <c r="D2197">
        <f>IF(Skills!C11=1,60+Inputs!$B$25+Inputs!$B$29,IF(Skills!C11=2,90+Inputs!$B$26+Inputs!$B$29,IF(Skills!C11=3,120+Inputs!$B$27+Inputs!$B$29,MAX(0,(Inputs!$B$3-100)*3)+Inputs!$B$28+Inputs!$B$29)))</f>
        <v/>
      </c>
      <c r="E2197">
        <f>INDEX(FactorTable!$B$2:$Y$301, MATCH(ROUND(MIN(300,MAX(1,D2197)),0), FactorTable!$A$2:$A$301,0), Skills!M11+1)</f>
        <v/>
      </c>
      <c r="F2197">
        <f>IF(Skills!N11=TRUE,(Skills!L11/10)*(E2197/1000),Skills!L11/10)+Skills!O11</f>
        <v/>
      </c>
      <c r="G2197" t="inlineStr"/>
      <c r="H2197" t="inlineStr"/>
      <c r="I2197" t="inlineStr">
        <is>
          <t>1</t>
        </is>
      </c>
      <c r="J2197" t="inlineStr"/>
      <c r="K2197" t="inlineStr"/>
      <c r="L2197" t="inlineStr"/>
      <c r="M2197" t="inlineStr"/>
      <c r="N2197" t="inlineStr"/>
      <c r="O2197" t="inlineStr"/>
      <c r="P2197" t="inlineStr"/>
      <c r="Q2197" t="inlineStr"/>
      <c r="R2197" t="inlineStr"/>
      <c r="S2197" t="inlineStr"/>
      <c r="T2197" t="inlineStr"/>
      <c r="V2197" t="inlineStr"/>
    </row>
    <row r="2198">
      <c r="A2198">
        <f>Skills!A12</f>
        <v/>
      </c>
      <c r="B2198">
        <f>Skills!B12</f>
        <v/>
      </c>
      <c r="C2198">
        <f>Inputs!$B$3&gt;=60</f>
        <v/>
      </c>
      <c r="D2198">
        <f>IF(Skills!C12=1,60+Inputs!$B$25+Inputs!$B$29,IF(Skills!C12=2,90+Inputs!$B$26+Inputs!$B$29,IF(Skills!C12=3,120+Inputs!$B$27+Inputs!$B$29,MAX(0,(Inputs!$B$3-100)*3)+Inputs!$B$28+Inputs!$B$29)))</f>
        <v/>
      </c>
      <c r="E2198">
        <f>INDEX(FactorTable!$B$2:$Y$301, MATCH(ROUND(MIN(300,MAX(1,D2198)),0), FactorTable!$A$2:$A$301,0), Skills!M12+1)</f>
        <v/>
      </c>
      <c r="F2198">
        <f>IF(Skills!N12=TRUE,(Skills!L12/10)*(E2198/1000),Skills!L12/10)+Skills!O12</f>
        <v/>
      </c>
      <c r="G2198">
        <f>Skills!G12*IF(Skills!H12&gt;0,Skills!I12/Skills!H12,1)</f>
        <v/>
      </c>
      <c r="H2198">
        <f>1-(1-Skills!J12/100)^Skills!K12</f>
        <v/>
      </c>
      <c r="I2198" t="inlineStr">
        <is>
          <t>1</t>
        </is>
      </c>
      <c r="J2198">
        <f>((Inputs!$B$6*(1+Inputs!$B$7/100))+(((Inputs!$B$12*(1+Inputs!$B$13/100))-(Inputs!$B$12*(1+Inputs!$B$13/100)))+0.25*(Inputs!$B$14-Inputs!$B$14))*(1+Inputs!$B$7/100))*(F2198/100)</f>
        <v/>
      </c>
      <c r="K2198">
        <f>J2198*(1+((Inputs!$B$12*(1+Inputs!$B$13/100))*0.01+Inputs!$B$14*0.0025)/100)*(1+Inputs!$B$15/100)*(1+Inputs!$B$16/100)*(5000/(6000+Inputs!$B$42*(1-(100*(1-(1-(Inputs!$B$19+((C2214=TRUE)*(F2214-Calc!F28)))/100)*(1-CHOOSE(ArtifactsInput!$N$40+1,5,6,7,8,9,10)/100)^(ArtifactsInput!$M$40-ArtifactsInput!$M$40)))/100)))*(1+(Inputs!$B$24+((C2212=TRUE)*(F2212-Calc!F26))+((C2213=TRUE)*(F2213-Calc!F27))+B2226)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2199=TRUE,F2199,0)/100)*(1+(IF(Skills!A12="ARROW_STREAM",Inputs!$B$17+((C2210=TRUE)*(F2210-Calc!F24))+(((IF(AND(ArtifactsInput!$M$42,((Inputs!$B$9+((C2207=TRUE)*(F2207-Calc!F21))+B2220+(ArtifactsInput!$M$24-ArtifactsInput!$M$24)*CHOOSE(ArtifactsInput!$N$24+1,10,12,14,16,18,20)+IF(ArtifactsInput!$M$10,CHOOSE(ArtifactsInput!$N$10+1,15,18,21,24,27,30)*(IF(Inputs!$B$38="pvp",MIN(15,15)/15,IF(AND(Inputs!$B$38&lt;&gt;"pvp",Inputs!$B$43&gt;0),MIN(15,Inputs!$B$43)/(Inputs!$B$43),0))),0)))&gt;=100),MIN(100,((Inputs!$B$9+((C2207=TRUE)*(F2207-Calc!F21))+B2220+(ArtifactsInput!$M$24-ArtifactsInput!$M$24)*CHOOSE(ArtifactsInput!$N$24+1,10,12,14,16,18,20)+IF(ArtifactsInput!$M$10,CHOOSE(ArtifactsInput!$N$10+1,15,18,21,24,27,30)*(IF(Inputs!$B$38="pvp",MIN(15,15)/15,IF(AND(Inputs!$B$38&lt;&gt;"pvp",Inputs!$B$43&gt;0),MIN(15,Inputs!$B$43)/(Inputs!$B$43),0))),0)))-100),0))*CHOOSE(ArtifactsInput!$N$42+1,0.6,0.72,0.84,0.96,1.08,1.2))),Inputs!$B$18+((C2215=TRUE)*(F2215-Calc!F29))+(IF(AND(ArtifactsInput!$M$42,((Inputs!$B$9+((C2207=TRUE)*(F2207-Calc!F21))+B2220+(ArtifactsInput!$M$24-ArtifactsInput!$M$24)*CHOOSE(ArtifactsInput!$N$24+1,10,12,14,16,18,20)+IF(ArtifactsInput!$M$10,CHOOSE(ArtifactsInput!$N$10+1,15,18,21,24,27,30)*(IF(Inputs!$B$38="pvp",MIN(15,15)/15,IF(AND(Inputs!$B$38&lt;&gt;"pvp",Inputs!$B$43&gt;0),MIN(15,Inputs!$B$43)/(Inputs!$B$43),0))),0)))&gt;=100),CHOOSE(ArtifactsInput!$N$42+1,40,48,56,64,72,80),0))))/100)*((1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2198)</f>
        <v/>
      </c>
      <c r="L2198">
        <f>K2198*(MIN(Inputs!$B$22+((C2211=TRUE)*(F2211-Calc!F25)),(Inputs!$B$23+((C2216=TRUE)*(F2216-Calc!F30))+(IF(ArtifactsInput!$M$15,CHOOSE(ArtifactsInput!$N$15+1,25,30,35,40,45,50)/100*(Inputs!$B$11-Inputs!$B$11),0))))/100+(Inputs!$B$23+((C2216=TRUE)*(F2216-Calc!F30))+(IF(ArtifactsInput!$M$15,CHOOSE(ArtifactsInput!$N$15+1,25,30,35,40,45,50)/100*(Inputs!$B$11-Inputs!$B$11),0)))/100)/2</f>
        <v/>
      </c>
      <c r="M2198">
        <f>L2198*(1+(Inputs!$B$10+0+B2225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8">
        <f>L2198*(1-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2198*(MIN((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8">
        <f>(1-Summary!$B$11)*T2198+Summary!$B$11*V2198</f>
        <v/>
      </c>
      <c r="P2198">
        <f>IF(B2230=0,0,O2198/B2230)</f>
        <v/>
      </c>
      <c r="Q2198">
        <f>IFERROR(1/(IF(Inputs!$B$38="pvp",15,MAX(0.1,Skills!D12-IF(Skills!E12=TRUE,Inputs!$B$32,0)))*(1-IF(AND(ArtifactsInput!$M$27,Inputs!$B$4="Chapter Hunt"),CHOOSE(ArtifactsInput!$N$27+1,20,24,28,32,36,40),0)/100)),0)</f>
        <v/>
      </c>
      <c r="R2198">
        <f>IF(AND(Inputs!$B$38&lt;&gt;"pvp",Inputs!$B$43&gt;0),IF(MAX(0,Inputs!$B$43-B2227)&lt;=0,0,(INT(MAX(0,Inputs!$B$43-B2227)/(IF(Inputs!$B$38="pvp",15,MAX(0.1,Skills!D12-IF(Skills!E12=TRUE,Inputs!$B$32,0)))*(1-IF(AND(ArtifactsInput!$M$27,Inputs!$B$4="Chapter Hunt"),CHOOSE(ArtifactsInput!$N$27+1,20,24,28,32,36,40),0)/100)))+1)),0)</f>
        <v/>
      </c>
      <c r="S2198">
        <f>IFERROR(O2198/N2198,0)</f>
        <v/>
      </c>
      <c r="T2198">
        <f>IF(C2198,(H2198*N2198*IF(AND(Inputs!$B$38&lt;&gt;"pvp",Inputs!$B$43&gt;0),((Skills!G12*((R2198-1)*IF(Skills!H12&gt;0,Skills!I12/Skills!H12,1)+IF(Skills!H12&gt;0,MIN(Skills!I12,MAX(0,MAX(0,Inputs!$B$43-B2227)-((R2198-1)*(IF(Inputs!$B$38="pvp",15,MAX(0.1,Skills!D12-IF(Skills!E12=TRUE,Inputs!$B$32,0)))*(1-IF(AND(ArtifactsInput!$M$27,Inputs!$B$4="Chapter Hunt"),CHOOSE(ArtifactsInput!$N$27+1,20,24,28,32,36,40),0)/100)))))/Skills!H12,1)))/Inputs!$B$43),G2198*Q2198))*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(5000/(6000+Inputs!$B$42*(1-(100*(1-(1-(100*(1-(1-(Inputs!$B$19+((C2214=TRUE)*(F2214-Calc!F28)))/100)*(1-CHOOSE(ArtifactsInput!$N$40+1,5,6,7,8,9,10)/100)^(ArtifactsInput!$M$40-ArtifactsInput!$M$40)))/100)*(1-IF(ArtifactsInput!$M$40,CHOOSE(ArtifactsInput!$N$40+1,5,6,7,8,9,10),0)/100)^IF(Inputs!$B$38="pvp",1,2)))/100)))/(5000/(6000+Inputs!$B$42*(1-(100*(1-(1-(Inputs!$B$19+((C2214=TRUE)*(F2214-Calc!F28)))/100)*(1-CHOOSE(ArtifactsInput!$N$40+1,5,6,7,8,9,10)/100)^(ArtifactsInput!$M$40-ArtifactsInput!$M$40)))/100))))*((L2198*(1-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2198*(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2198*(1-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2198*(MIN(100,(Inputs!$B$9+((C2207=TRUE)*(F2207-Calc!F21))+B2220+(ArtifactsInput!$M$24-ArtifactsInput!$M$24)*CHOOSE(ArtifactsInput!$N$24+1,10,12,14,16,18,20)+(IF(AND(ArtifactsInput!$M$42,((Inputs!$B$9+((C2207=TRUE)*(F2207-Calc!F21))+B2220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8">
        <f>IF(C2198,(H2198*N2198*IF(AND(Inputs!$B$38&lt;&gt;"pvp",Inputs!$B$43&gt;0),((Skills!G12*((R2198-1)*IF(Skills!H12&gt;0,Skills!I12/Skills!H12,1)+IF(Skills!H12&gt;0,MIN(Skills!I12,MAX(0,MAX(0,Inputs!$B$43-B2227)-((R2198-1)*(IF(Inputs!$B$38="pvp",15,MAX(0.1,Skills!D12-IF(Skills!E12=TRUE,Inputs!$B$32,0)))*(1-IF(AND(ArtifactsInput!$M$27,Inputs!$B$4="Chapter Hunt"),CHOOSE(ArtifactsInput!$N$27+1,20,24,28,32,36,40),0)/100)))))/Skills!H12,1)))/Inputs!$B$43),G2198*Q2198))*IF(Inputs!$B$38="pvp",1,(1+(Inputs!$B$21+Skills!Q12+(IF(ArtifactsInput!$M$33,CHOOSE(ArtifactsInput!$N$33+1,30,36,42,48,54,60),0))+(IF(AND(ArtifactsInput!$M$35,Inputs!$B$4&lt;&gt;"Chapter Hunt"),CHOOSE(ArtifactsInput!$N$35+1,15,18,21,24,27,30)*(1-EXP(-(0.2*B2222)*5)),0)+IF(AND(ArtifactsInput!$M$22,Inputs!$B$4&lt;&gt;"Chapter Hunt"),CHOOSE(ArtifactsInput!$N$22+1,10,12,14,16,18,20)*((0*(((0.15*B2222*5))^0/1)+1*(((0.15*B2222*5))^1/1)+2*(((0.15*B2222*5))^2/2)+3*(((0.15*B2222*5))^3/6)+4*(((0.15*B2222*5))^4/24)+5*(((0.15*B2222*5))^5/120))/((((0.15*B2222*5))^0/1)+(((0.15*B2222*5))^1/1)+(((0.15*B2222*5))^2/2)+(((0.15*B2222*5))^3/6)+(((0.15*B2222*5))^4/24)+(((0.15*B2222*5))^5/120))),0)))/100)*(MIN(Skills!R12,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9">
      <c r="A2199">
        <f>Skills!A13</f>
        <v/>
      </c>
      <c r="B2199">
        <f>Skills!B13</f>
        <v/>
      </c>
      <c r="C2199">
        <f>Inputs!$B$3&gt;=110</f>
        <v/>
      </c>
      <c r="D2199">
        <f>IF(Skills!C13=1,60+Inputs!$B$25+Inputs!$B$29,IF(Skills!C13=2,90+Inputs!$B$26+Inputs!$B$29,IF(Skills!C13=3,120+Inputs!$B$27+Inputs!$B$29,MAX(0,(Inputs!$B$3-100)*3)+Inputs!$B$28+Inputs!$B$29)))</f>
        <v/>
      </c>
      <c r="E2199">
        <f>INDEX(FactorTable!$B$2:$Y$301, MATCH(ROUND(MIN(300,MAX(1,D2199)),0), FactorTable!$A$2:$A$301,0), Skills!M13+1)</f>
        <v/>
      </c>
      <c r="F2199">
        <f>IF(Skills!N13=TRUE,(Skills!L13/10)*(E2199/1000),Skills!L13/10)+Skills!O13</f>
        <v/>
      </c>
      <c r="G2199" t="inlineStr"/>
      <c r="H2199" t="inlineStr"/>
      <c r="I2199" t="inlineStr">
        <is>
          <t>1</t>
        </is>
      </c>
      <c r="J2199" t="inlineStr"/>
      <c r="K2199" t="inlineStr"/>
      <c r="L2199" t="inlineStr"/>
      <c r="M2199" t="inlineStr"/>
      <c r="N2199" t="inlineStr"/>
      <c r="O2199" t="inlineStr"/>
      <c r="P2199" t="inlineStr"/>
      <c r="Q2199" t="inlineStr"/>
      <c r="R2199" t="inlineStr"/>
      <c r="S2199" t="inlineStr"/>
      <c r="T2199" t="inlineStr"/>
      <c r="V2199" t="inlineStr"/>
    </row>
    <row r="2200">
      <c r="A2200">
        <f>Skills!A14</f>
        <v/>
      </c>
      <c r="B2200">
        <f>Skills!B14</f>
        <v/>
      </c>
      <c r="C2200">
        <f>Inputs!$B$3&gt;=74</f>
        <v/>
      </c>
      <c r="D2200">
        <f>IF(Skills!C14=1,60+Inputs!$B$25+Inputs!$B$29,IF(Skills!C14=2,90+Inputs!$B$26+Inputs!$B$29,IF(Skills!C14=3,120+Inputs!$B$27+Inputs!$B$29,MAX(0,(Inputs!$B$3-100)*3)+Inputs!$B$28+Inputs!$B$29)))</f>
        <v/>
      </c>
      <c r="E2200">
        <f>INDEX(FactorTable!$B$2:$Y$301, MATCH(ROUND(MIN(300,MAX(1,D2200)),0), FactorTable!$A$2:$A$301,0), Skills!M14+1)</f>
        <v/>
      </c>
      <c r="F2200">
        <f>IF(Skills!N14=TRUE,(Skills!L14/10)*(E2200/1000),Skills!L14/10)+Skills!O14</f>
        <v/>
      </c>
      <c r="G2200">
        <f>Skills!G14*IF(Skills!H14&gt;0,Skills!I14/Skills!H14,1)</f>
        <v/>
      </c>
      <c r="H2200">
        <f>1-(1-Skills!J14/100)^Skills!K14</f>
        <v/>
      </c>
      <c r="I2200" t="inlineStr">
        <is>
          <t>1</t>
        </is>
      </c>
      <c r="J2200" t="inlineStr"/>
      <c r="K2200" t="inlineStr"/>
      <c r="L2200" t="inlineStr"/>
      <c r="M2200" t="inlineStr"/>
      <c r="N2200" t="inlineStr"/>
      <c r="O2200">
        <f>(1-Summary!$B$11)*T2200+Summary!$B$11*V2200</f>
        <v/>
      </c>
      <c r="P2200">
        <f>IF(B2230=0,0,O2200/B2230)</f>
        <v/>
      </c>
      <c r="Q2200" t="n">
        <v>0</v>
      </c>
      <c r="R2200" t="n">
        <v>0</v>
      </c>
      <c r="S2200">
        <f>IFERROR(O2200/N2200,0)</f>
        <v/>
      </c>
      <c r="T2200" t="n">
        <v>0</v>
      </c>
      <c r="V2200" t="n">
        <v>0</v>
      </c>
    </row>
    <row r="2201">
      <c r="A2201">
        <f>Skills!A15</f>
        <v/>
      </c>
      <c r="B2201">
        <f>Skills!B15</f>
        <v/>
      </c>
      <c r="C2201">
        <f>Inputs!$B$3&gt;=74</f>
        <v/>
      </c>
      <c r="D2201">
        <f>IF(Skills!C15=1,60+Inputs!$B$25+Inputs!$B$29,IF(Skills!C15=2,90+Inputs!$B$26+Inputs!$B$29,IF(Skills!C15=3,120+Inputs!$B$27+Inputs!$B$29,MAX(0,(Inputs!$B$3-100)*3)+Inputs!$B$28+Inputs!$B$29)))</f>
        <v/>
      </c>
      <c r="E2201">
        <f>INDEX(FactorTable!$B$2:$Y$301, MATCH(ROUND(MIN(300,MAX(1,D2201)),0), FactorTable!$A$2:$A$301,0), Skills!M15+1)</f>
        <v/>
      </c>
      <c r="F2201">
        <f>IF(Skills!N15=TRUE,(Skills!L15/10)*(E2201/1000),Skills!L15/10)+Skills!O15</f>
        <v/>
      </c>
      <c r="G2201">
        <f>Skills!G15*IF(Skills!H15&gt;0,Skills!I15/Skills!H15,1)</f>
        <v/>
      </c>
      <c r="H2201">
        <f>1-(1-Skills!J15/100)^Skills!K15</f>
        <v/>
      </c>
      <c r="I2201" t="inlineStr">
        <is>
          <t>1</t>
        </is>
      </c>
      <c r="J2201" t="inlineStr"/>
      <c r="K2201" t="inlineStr"/>
      <c r="L2201" t="inlineStr"/>
      <c r="M2201" t="inlineStr"/>
      <c r="N2201" t="inlineStr"/>
      <c r="O2201">
        <f>(1-Summary!$B$11)*T2201+Summary!$B$11*V2201</f>
        <v/>
      </c>
      <c r="P2201">
        <f>IF(B2230=0,0,O2201/B2230)</f>
        <v/>
      </c>
      <c r="Q2201" t="n">
        <v>0</v>
      </c>
      <c r="R2201" t="n">
        <v>0</v>
      </c>
      <c r="S2201">
        <f>IFERROR(O2201/N2201,0)</f>
        <v/>
      </c>
      <c r="T2201" t="n">
        <v>0</v>
      </c>
      <c r="V2201" t="n">
        <v>0</v>
      </c>
    </row>
    <row r="2202">
      <c r="A2202">
        <f>Skills!A16</f>
        <v/>
      </c>
      <c r="B2202">
        <f>Skills!B16</f>
        <v/>
      </c>
      <c r="C2202">
        <f>Inputs!$B$3&gt;=117</f>
        <v/>
      </c>
      <c r="D2202">
        <f>IF(Skills!C16=1,60+Inputs!$B$25+Inputs!$B$29,IF(Skills!C16=2,90+Inputs!$B$26+Inputs!$B$29,IF(Skills!C16=3,120+Inputs!$B$27+Inputs!$B$29,MAX(0,(Inputs!$B$3-100)*3)+Inputs!$B$28+Inputs!$B$29)))</f>
        <v/>
      </c>
      <c r="E2202">
        <f>INDEX(FactorTable!$B$2:$Y$301, MATCH(ROUND(MIN(300,MAX(1,D2202)),0), FactorTable!$A$2:$A$301,0), Skills!M16+1)</f>
        <v/>
      </c>
      <c r="F2202">
        <f>IF(Skills!N16=TRUE,(Skills!L16/10)*(E2202/1000),Skills!L16/10)+Skills!O16</f>
        <v/>
      </c>
      <c r="G2202">
        <f>Skills!G16*IF(Skills!H16&gt;0,Skills!I16/Skills!H16,1)</f>
        <v/>
      </c>
      <c r="H2202">
        <f>1-(1-Skills!J16/100)^Skills!K16</f>
        <v/>
      </c>
      <c r="I2202" t="inlineStr">
        <is>
          <t>1</t>
        </is>
      </c>
      <c r="J2202" t="inlineStr"/>
      <c r="K2202" t="inlineStr"/>
      <c r="L2202" t="inlineStr"/>
      <c r="M2202" t="inlineStr"/>
      <c r="N2202" t="inlineStr"/>
      <c r="O2202">
        <f>(1-Summary!$B$11)*T2202+Summary!$B$11*V2202</f>
        <v/>
      </c>
      <c r="P2202">
        <f>IF(B2230=0,0,O2202/B2230)</f>
        <v/>
      </c>
      <c r="Q2202">
        <f>IFERROR(1/(IF(Inputs!$B$38="pvp",15,MAX(0.1,Skills!D16-IF(Skills!E16=TRUE,Inputs!$B$32,0)))*(1-IF(AND(ArtifactsInput!$M$27,Inputs!$B$4="Chapter Hunt"),CHOOSE(ArtifactsInput!$N$27+1,20,24,28,32,36,40),0)/100)),0)</f>
        <v/>
      </c>
      <c r="R2202">
        <f>IF(AND(Inputs!$B$38&lt;&gt;"pvp",Inputs!$B$43&gt;0),IF(Inputs!$B$43&lt;=0,0,(INT(Inputs!$B$43/(IF(Inputs!$B$38="pvp",15,MAX(0.1,Skills!D16-IF(Skills!E16=TRUE,Inputs!$B$32,0)))*(1-IF(AND(ArtifactsInput!$M$27,Inputs!$B$4="Chapter Hunt"),CHOOSE(ArtifactsInput!$N$27+1,20,24,28,32,36,40),0)/100)))+1)),0)</f>
        <v/>
      </c>
      <c r="S2202">
        <f>IFERROR(O2202/N2202,0)</f>
        <v/>
      </c>
      <c r="T2202" t="n">
        <v>0</v>
      </c>
      <c r="V2202" t="n">
        <v>0</v>
      </c>
    </row>
    <row r="2203">
      <c r="A2203">
        <f>Skills!A17</f>
        <v/>
      </c>
      <c r="B2203">
        <f>Skills!B17</f>
        <v/>
      </c>
      <c r="C2203">
        <f>Inputs!$B$3&gt;=115</f>
        <v/>
      </c>
      <c r="D2203">
        <f>IF(Skills!C17=1,60+Inputs!$B$25+Inputs!$B$29,IF(Skills!C17=2,90+Inputs!$B$26+Inputs!$B$29,IF(Skills!C17=3,120+Inputs!$B$27+Inputs!$B$29,MAX(0,(Inputs!$B$3-100)*3)+Inputs!$B$28+Inputs!$B$29)))</f>
        <v/>
      </c>
      <c r="E2203">
        <f>INDEX(FactorTable!$B$2:$Y$301, MATCH(ROUND(MIN(300,MAX(1,D2203)),0), FactorTable!$A$2:$A$301,0), Skills!M17+1)</f>
        <v/>
      </c>
      <c r="F2203">
        <f>IF(Skills!N17=TRUE,(Skills!L17/10)*(E2203/1000),Skills!L17/10)+Skills!O17</f>
        <v/>
      </c>
      <c r="G2203">
        <f>Skills!G17*IF(Skills!H17&gt;0,Skills!I17/Skills!H17,1)</f>
        <v/>
      </c>
      <c r="H2203">
        <f>1-(1-Skills!J17/100)^Skills!K17</f>
        <v/>
      </c>
      <c r="I2203" t="inlineStr">
        <is>
          <t>1</t>
        </is>
      </c>
      <c r="J2203" t="inlineStr"/>
      <c r="K2203" t="inlineStr"/>
      <c r="L2203" t="inlineStr"/>
      <c r="M2203" t="inlineStr"/>
      <c r="N2203" t="inlineStr"/>
      <c r="O2203">
        <f>(1-Summary!$B$11)*T2203+Summary!$B$11*V2203</f>
        <v/>
      </c>
      <c r="P2203">
        <f>IF(B2230=0,0,O2203/B2230)</f>
        <v/>
      </c>
      <c r="Q2203">
        <f>IFERROR(1/(IF(Inputs!$B$38="pvp",15,MAX(0.1,Skills!D17-IF(Skills!E17=TRUE,Inputs!$B$32,0)))*(1-IF(AND(ArtifactsInput!$M$27,Inputs!$B$4="Chapter Hunt"),CHOOSE(ArtifactsInput!$N$27+1,20,24,28,32,36,40),0)/100)),0)</f>
        <v/>
      </c>
      <c r="R2203">
        <f>IF(AND(Inputs!$B$38&lt;&gt;"pvp",Inputs!$B$43&gt;0),IF(Inputs!$B$43&lt;=0,0,(INT(Inputs!$B$43/(IF(Inputs!$B$38="pvp",15,MAX(0.1,Skills!D17-IF(Skills!E17=TRUE,Inputs!$B$32,0)))*(1-IF(AND(ArtifactsInput!$M$27,Inputs!$B$4="Chapter Hunt"),CHOOSE(ArtifactsInput!$N$27+1,20,24,28,32,36,40),0)/100)))+1)),0)</f>
        <v/>
      </c>
      <c r="S2203">
        <f>IFERROR(O2203/N2203,0)</f>
        <v/>
      </c>
      <c r="T2203" t="n">
        <v>0</v>
      </c>
      <c r="V2203" t="n">
        <v>0</v>
      </c>
    </row>
    <row r="2204">
      <c r="A2204">
        <f>Skills!A18</f>
        <v/>
      </c>
      <c r="B2204">
        <f>Skills!B18</f>
        <v/>
      </c>
      <c r="C2204">
        <f>Inputs!$B$3&gt;=66</f>
        <v/>
      </c>
      <c r="D2204">
        <f>IF(Skills!C18=1,60+Inputs!$B$25+Inputs!$B$29,IF(Skills!C18=2,90+Inputs!$B$26+Inputs!$B$29,IF(Skills!C18=3,120+Inputs!$B$27+Inputs!$B$29,MAX(0,(Inputs!$B$3-100)*3)+Inputs!$B$28+Inputs!$B$29)))</f>
        <v/>
      </c>
      <c r="E2204">
        <f>INDEX(FactorTable!$B$2:$Y$301, MATCH(ROUND(MIN(300,MAX(1,D2204)),0), FactorTable!$A$2:$A$301,0), Skills!M18+1)</f>
        <v/>
      </c>
      <c r="F2204">
        <f>IF(Skills!N18=TRUE,(Skills!L18/10)*(E2204/1000),Skills!L18/10)+Skills!O18</f>
        <v/>
      </c>
      <c r="G2204">
        <f>Skills!G18*IF(Skills!H18&gt;0,Skills!I18/Skills!H18,1)</f>
        <v/>
      </c>
      <c r="H2204">
        <f>1-(1-Skills!J18/100)^Skills!K18</f>
        <v/>
      </c>
      <c r="I2204" t="inlineStr">
        <is>
          <t>1</t>
        </is>
      </c>
      <c r="J2204" t="inlineStr"/>
      <c r="K2204" t="inlineStr"/>
      <c r="L2204" t="inlineStr"/>
      <c r="M2204" t="inlineStr"/>
      <c r="N2204" t="inlineStr"/>
      <c r="O2204">
        <f>(1-Summary!$B$11)*T2204+Summary!$B$11*V2204</f>
        <v/>
      </c>
      <c r="P2204">
        <f>IF(B2230=0,0,O2204/B2230)</f>
        <v/>
      </c>
      <c r="Q2204" t="n">
        <v>0</v>
      </c>
      <c r="R2204" t="n">
        <v>0</v>
      </c>
      <c r="S2204">
        <f>IFERROR(O2204/N2204,0)</f>
        <v/>
      </c>
      <c r="T2204" t="n">
        <v>0</v>
      </c>
      <c r="V2204" t="n">
        <v>0</v>
      </c>
    </row>
    <row r="2205">
      <c r="A2205">
        <f>Skills!A19</f>
        <v/>
      </c>
      <c r="B2205">
        <f>Skills!B19</f>
        <v/>
      </c>
      <c r="C2205">
        <f>Inputs!$B$3&gt;=72</f>
        <v/>
      </c>
      <c r="D2205">
        <f>IF(Skills!C19=1,60+Inputs!$B$25+Inputs!$B$29,IF(Skills!C19=2,90+Inputs!$B$26+Inputs!$B$29,IF(Skills!C19=3,120+Inputs!$B$27+Inputs!$B$29,MAX(0,(Inputs!$B$3-100)*3)+Inputs!$B$28+Inputs!$B$29)))</f>
        <v/>
      </c>
      <c r="E2205">
        <f>INDEX(FactorTable!$B$2:$Y$301, MATCH(ROUND(MIN(300,MAX(1,D2205)),0), FactorTable!$A$2:$A$301,0), Skills!M19+1)</f>
        <v/>
      </c>
      <c r="F2205">
        <f>IF(Skills!N19=TRUE,(Skills!L19/10)*(E2205/1000),Skills!L19/10)+Skills!O19</f>
        <v/>
      </c>
      <c r="G2205">
        <f>Skills!G19*IF(Skills!H19&gt;0,Skills!I19/Skills!H19,1)</f>
        <v/>
      </c>
      <c r="H2205">
        <f>1-(1-Skills!J19/100)^Skills!K19</f>
        <v/>
      </c>
      <c r="I2205" t="inlineStr">
        <is>
          <t>1</t>
        </is>
      </c>
      <c r="J2205" t="inlineStr"/>
      <c r="K2205" t="inlineStr"/>
      <c r="L2205" t="inlineStr"/>
      <c r="M2205" t="inlineStr"/>
      <c r="N2205" t="inlineStr"/>
      <c r="O2205">
        <f>(1-Summary!$B$11)*T2205+Summary!$B$11*V2205</f>
        <v/>
      </c>
      <c r="P2205">
        <f>IF(B2230=0,0,O2205/B2230)</f>
        <v/>
      </c>
      <c r="Q2205" t="n">
        <v>0</v>
      </c>
      <c r="R2205" t="n">
        <v>0</v>
      </c>
      <c r="S2205">
        <f>IFERROR(O2205/N2205,0)</f>
        <v/>
      </c>
      <c r="T2205" t="n">
        <v>0</v>
      </c>
      <c r="V2205" t="n">
        <v>0</v>
      </c>
    </row>
    <row r="2206">
      <c r="A2206">
        <f>Skills!A20</f>
        <v/>
      </c>
      <c r="B2206">
        <f>Skills!B20</f>
        <v/>
      </c>
      <c r="C2206">
        <f>TRUE</f>
        <v/>
      </c>
      <c r="D2206">
        <f>IF(Skills!C20=1,60+Inputs!$B$25+Inputs!$B$29,IF(Skills!C20=2,90+Inputs!$B$26+Inputs!$B$29,IF(Skills!C20=3,120+Inputs!$B$27+Inputs!$B$29,MAX(0,(Inputs!$B$3-100)*3)+Inputs!$B$28+Inputs!$B$29)))</f>
        <v/>
      </c>
      <c r="E2206">
        <f>INDEX(FactorTable!$B$2:$Y$301, MATCH(ROUND(MIN(300,MAX(1,D2206)),0), FactorTable!$A$2:$A$301,0), Skills!M20+1)</f>
        <v/>
      </c>
      <c r="F2206">
        <f>IF(Skills!N20=TRUE,(Skills!L20/10)*(E2206/1000),Skills!L20/10)+Skills!O20</f>
        <v/>
      </c>
      <c r="G2206">
        <f>Skills!G20*IF(Skills!H20&gt;0,Skills!I20/Skills!H20,1)</f>
        <v/>
      </c>
      <c r="H2206">
        <f>1-(1-Skills!J20/100)^Skills!K20</f>
        <v/>
      </c>
      <c r="I2206" t="inlineStr">
        <is>
          <t>1</t>
        </is>
      </c>
      <c r="J2206" t="inlineStr"/>
      <c r="K2206" t="inlineStr"/>
      <c r="L2206" t="inlineStr"/>
      <c r="M2206" t="inlineStr"/>
      <c r="N2206" t="inlineStr"/>
      <c r="O2206">
        <f>(1-Summary!$B$11)*T2206+Summary!$B$11*V2206</f>
        <v/>
      </c>
      <c r="P2206">
        <f>IF(B2230=0,0,O2206/B2230)</f>
        <v/>
      </c>
      <c r="Q2206">
        <f>IFERROR(1/(IF(Inputs!$B$38="pvp",15,MAX(0.1,Skills!D20-IF(Skills!E20=TRUE,Inputs!$B$32,0)))*(1-IF(AND(ArtifactsInput!$M$27,Inputs!$B$4="Chapter Hunt"),CHOOSE(ArtifactsInput!$N$27+1,20,24,28,32,36,40),0)/100)),0)</f>
        <v/>
      </c>
      <c r="R2206">
        <f>IF(AND(Inputs!$B$38&lt;&gt;"pvp",Inputs!$B$43&gt;0),IF(Inputs!$B$43&lt;=0,0,(INT(Inputs!$B$43/(IF(Inputs!$B$38="pvp",15,MAX(0.1,Skills!D20-IF(Skills!E20=TRUE,Inputs!$B$32,0)))*(1-IF(AND(ArtifactsInput!$M$27,Inputs!$B$4="Chapter Hunt"),CHOOSE(ArtifactsInput!$N$27+1,20,24,28,32,36,40),0)/100)))+1)),0)</f>
        <v/>
      </c>
      <c r="S2206">
        <f>IFERROR(O2206/N2206,0)</f>
        <v/>
      </c>
      <c r="T2206" t="n">
        <v>0</v>
      </c>
      <c r="V2206" t="n">
        <v>0</v>
      </c>
    </row>
    <row r="2207">
      <c r="A2207">
        <f>Skills!A21</f>
        <v/>
      </c>
      <c r="B2207">
        <f>Skills!B21</f>
        <v/>
      </c>
      <c r="C2207">
        <f>Inputs!$B$3&gt;=15</f>
        <v/>
      </c>
      <c r="D2207">
        <f>IF(Skills!C21=1,60+Inputs!$B$25+Inputs!$B$29,IF(Skills!C21=2,90+Inputs!$B$26+Inputs!$B$29,IF(Skills!C21=3,120+Inputs!$B$27+Inputs!$B$29,MAX(0,(Inputs!$B$3-100)*3)+Inputs!$B$28+Inputs!$B$29)))</f>
        <v/>
      </c>
      <c r="E2207">
        <f>INDEX(FactorTable!$B$2:$Y$301, MATCH(ROUND(MIN(300,MAX(1,D2207)),0), FactorTable!$A$2:$A$301,0), Skills!M21+1)</f>
        <v/>
      </c>
      <c r="F2207">
        <f>IF(Skills!N21=TRUE,(Skills!L21/10)*(E2207/1000),Skills!L21/10)+Skills!O21</f>
        <v/>
      </c>
      <c r="G2207">
        <f>Skills!G21*IF(Skills!H21&gt;0,Skills!I21/Skills!H21,1)</f>
        <v/>
      </c>
      <c r="H2207">
        <f>1-(1-Skills!J21/100)^Skills!K21</f>
        <v/>
      </c>
      <c r="I2207" t="inlineStr">
        <is>
          <t>1</t>
        </is>
      </c>
      <c r="J2207" t="inlineStr"/>
      <c r="K2207" t="inlineStr"/>
      <c r="L2207" t="inlineStr"/>
      <c r="M2207" t="inlineStr"/>
      <c r="N2207" t="inlineStr"/>
      <c r="O2207">
        <f>(1-Summary!$B$11)*T2207+Summary!$B$11*V2207</f>
        <v/>
      </c>
      <c r="P2207">
        <f>IF(B2230=0,0,O2207/B2230)</f>
        <v/>
      </c>
      <c r="Q2207" t="n">
        <v>0</v>
      </c>
      <c r="R2207" t="n">
        <v>0</v>
      </c>
      <c r="S2207">
        <f>IFERROR(O2207/N2207,0)</f>
        <v/>
      </c>
      <c r="T2207" t="n">
        <v>0</v>
      </c>
      <c r="V2207" t="n">
        <v>0</v>
      </c>
    </row>
    <row r="2208">
      <c r="A2208">
        <f>Skills!A22</f>
        <v/>
      </c>
      <c r="B2208">
        <f>Skills!B22</f>
        <v/>
      </c>
      <c r="C2208">
        <f>Inputs!$B$3&gt;=10</f>
        <v/>
      </c>
      <c r="D2208">
        <f>IF(Skills!C22=1,60+Inputs!$B$25+Inputs!$B$29,IF(Skills!C22=2,90+Inputs!$B$26+Inputs!$B$29,IF(Skills!C22=3,120+Inputs!$B$27+Inputs!$B$29,MAX(0,(Inputs!$B$3-100)*3)+Inputs!$B$28+Inputs!$B$29)))</f>
        <v/>
      </c>
      <c r="E2208">
        <f>INDEX(FactorTable!$B$2:$Y$301, MATCH(ROUND(MIN(300,MAX(1,D2208)),0), FactorTable!$A$2:$A$301,0), Skills!M22+1)</f>
        <v/>
      </c>
      <c r="F2208">
        <f>IF(Skills!N22=TRUE,(Skills!L22/10)*(E2208/1000),Skills!L22/10)+Skills!O22</f>
        <v/>
      </c>
      <c r="G2208">
        <f>Skills!G22*IF(Skills!H22&gt;0,Skills!I22/Skills!H22,1)</f>
        <v/>
      </c>
      <c r="H2208">
        <f>1-(1-Skills!J22/100)^Skills!K22</f>
        <v/>
      </c>
      <c r="I2208" t="inlineStr">
        <is>
          <t>1</t>
        </is>
      </c>
      <c r="J2208" t="inlineStr"/>
      <c r="K2208" t="inlineStr"/>
      <c r="L2208" t="inlineStr"/>
      <c r="M2208" t="inlineStr"/>
      <c r="N2208" t="inlineStr"/>
      <c r="O2208">
        <f>(1-Summary!$B$11)*T2208+Summary!$B$11*V2208</f>
        <v/>
      </c>
      <c r="P2208">
        <f>IF(B2230=0,0,O2208/B2230)</f>
        <v/>
      </c>
      <c r="Q2208" t="n">
        <v>0</v>
      </c>
      <c r="R2208" t="n">
        <v>0</v>
      </c>
      <c r="S2208">
        <f>IFERROR(O2208/N2208,0)</f>
        <v/>
      </c>
      <c r="T2208" t="n">
        <v>0</v>
      </c>
      <c r="V2208" t="n">
        <v>0</v>
      </c>
    </row>
    <row r="2209">
      <c r="A2209">
        <f>Skills!A23</f>
        <v/>
      </c>
      <c r="B2209">
        <f>Skills!B23</f>
        <v/>
      </c>
      <c r="C2209">
        <f>Inputs!$B$3&gt;=33</f>
        <v/>
      </c>
      <c r="D2209">
        <f>IF(Skills!C23=1,60+Inputs!$B$25+Inputs!$B$29,IF(Skills!C23=2,90+Inputs!$B$26+Inputs!$B$29,IF(Skills!C23=3,120+Inputs!$B$27+Inputs!$B$29,MAX(0,(Inputs!$B$3-100)*3)+Inputs!$B$28+Inputs!$B$29)))</f>
        <v/>
      </c>
      <c r="E2209">
        <f>INDEX(FactorTable!$B$2:$Y$301, MATCH(ROUND(MIN(300,MAX(1,D2209)),0), FactorTable!$A$2:$A$301,0), Skills!M23+1)</f>
        <v/>
      </c>
      <c r="F2209">
        <f>IF(Skills!N23=TRUE,(Skills!L23/10)*(E2209/1000),Skills!L23/10)+Skills!O23</f>
        <v/>
      </c>
      <c r="G2209">
        <f>Skills!G23*IF(Skills!H23&gt;0,Skills!I23/Skills!H23,1)</f>
        <v/>
      </c>
      <c r="H2209">
        <f>1-(1-Skills!J23/100)^Skills!K23</f>
        <v/>
      </c>
      <c r="I2209" t="inlineStr">
        <is>
          <t>1</t>
        </is>
      </c>
      <c r="J2209" t="inlineStr"/>
      <c r="K2209" t="inlineStr"/>
      <c r="L2209" t="inlineStr"/>
      <c r="M2209" t="inlineStr"/>
      <c r="N2209" t="inlineStr"/>
      <c r="O2209">
        <f>(1-Summary!$B$11)*T2209+Summary!$B$11*V2209</f>
        <v/>
      </c>
      <c r="P2209">
        <f>IF(B2230=0,0,O2209/B2230)</f>
        <v/>
      </c>
      <c r="Q2209" t="n">
        <v>0</v>
      </c>
      <c r="R2209" t="n">
        <v>0</v>
      </c>
      <c r="S2209">
        <f>IFERROR(O2209/N2209,0)</f>
        <v/>
      </c>
      <c r="T2209" t="n">
        <v>0</v>
      </c>
      <c r="V2209" t="n">
        <v>0</v>
      </c>
    </row>
    <row r="2210">
      <c r="A2210">
        <f>Skills!A24</f>
        <v/>
      </c>
      <c r="B2210">
        <f>Skills!B24</f>
        <v/>
      </c>
      <c r="C2210">
        <f>Inputs!$B$3&gt;=38</f>
        <v/>
      </c>
      <c r="D2210">
        <f>IF(Skills!C24=1,60+Inputs!$B$25+Inputs!$B$29,IF(Skills!C24=2,90+Inputs!$B$26+Inputs!$B$29,IF(Skills!C24=3,120+Inputs!$B$27+Inputs!$B$29,MAX(0,(Inputs!$B$3-100)*3)+Inputs!$B$28+Inputs!$B$29)))</f>
        <v/>
      </c>
      <c r="E2210">
        <f>INDEX(FactorTable!$B$2:$Y$301, MATCH(ROUND(MIN(300,MAX(1,D2210)),0), FactorTable!$A$2:$A$301,0), Skills!M24+1)</f>
        <v/>
      </c>
      <c r="F2210">
        <f>IF(Skills!N24=TRUE,(Skills!L24/10)*(E2210/1000),Skills!L24/10)+Skills!O24</f>
        <v/>
      </c>
      <c r="G2210">
        <f>Skills!G24*IF(Skills!H24&gt;0,Skills!I24/Skills!H24,1)</f>
        <v/>
      </c>
      <c r="H2210">
        <f>1-(1-Skills!J24/100)^Skills!K24</f>
        <v/>
      </c>
      <c r="I2210" t="inlineStr">
        <is>
          <t>1</t>
        </is>
      </c>
      <c r="J2210" t="inlineStr"/>
      <c r="K2210" t="inlineStr"/>
      <c r="L2210" t="inlineStr"/>
      <c r="M2210" t="inlineStr"/>
      <c r="N2210" t="inlineStr"/>
      <c r="O2210">
        <f>(1-Summary!$B$11)*T2210+Summary!$B$11*V2210</f>
        <v/>
      </c>
      <c r="P2210">
        <f>IF(B2230=0,0,O2210/B2230)</f>
        <v/>
      </c>
      <c r="Q2210" t="n">
        <v>0</v>
      </c>
      <c r="R2210" t="n">
        <v>0</v>
      </c>
      <c r="S2210">
        <f>IFERROR(O2210/N2210,0)</f>
        <v/>
      </c>
      <c r="T2210" t="n">
        <v>0</v>
      </c>
      <c r="V2210" t="n">
        <v>0</v>
      </c>
    </row>
    <row r="2211">
      <c r="A2211">
        <f>Skills!A25</f>
        <v/>
      </c>
      <c r="B2211">
        <f>Skills!B25</f>
        <v/>
      </c>
      <c r="C2211">
        <f>Inputs!$B$3&gt;=43</f>
        <v/>
      </c>
      <c r="D2211">
        <f>IF(Skills!C25=1,60+Inputs!$B$25+Inputs!$B$29,IF(Skills!C25=2,90+Inputs!$B$26+Inputs!$B$29,IF(Skills!C25=3,120+Inputs!$B$27+Inputs!$B$29,MAX(0,(Inputs!$B$3-100)*3)+Inputs!$B$28+Inputs!$B$29)))</f>
        <v/>
      </c>
      <c r="E2211">
        <f>INDEX(FactorTable!$B$2:$Y$301, MATCH(ROUND(MIN(300,MAX(1,D2211)),0), FactorTable!$A$2:$A$301,0), Skills!M25+1)</f>
        <v/>
      </c>
      <c r="F2211">
        <f>IF(Skills!N25=TRUE,(Skills!L25/10)*(E2211/1000),Skills!L25/10)+Skills!O25</f>
        <v/>
      </c>
      <c r="G2211">
        <f>Skills!G25*IF(Skills!H25&gt;0,Skills!I25/Skills!H25,1)</f>
        <v/>
      </c>
      <c r="H2211">
        <f>1-(1-Skills!J25/100)^Skills!K25</f>
        <v/>
      </c>
      <c r="I2211" t="inlineStr">
        <is>
          <t>1</t>
        </is>
      </c>
      <c r="J2211" t="inlineStr"/>
      <c r="K2211" t="inlineStr"/>
      <c r="L2211" t="inlineStr"/>
      <c r="M2211" t="inlineStr"/>
      <c r="N2211" t="inlineStr"/>
      <c r="O2211">
        <f>(1-Summary!$B$11)*T2211+Summary!$B$11*V2211</f>
        <v/>
      </c>
      <c r="P2211">
        <f>IF(B2230=0,0,O2211/B2230)</f>
        <v/>
      </c>
      <c r="Q2211" t="n">
        <v>0</v>
      </c>
      <c r="R2211" t="n">
        <v>0</v>
      </c>
      <c r="S2211">
        <f>IFERROR(O2211/N2211,0)</f>
        <v/>
      </c>
      <c r="T2211" t="n">
        <v>0</v>
      </c>
      <c r="V2211" t="n">
        <v>0</v>
      </c>
    </row>
    <row r="2212">
      <c r="A2212">
        <f>Skills!A26</f>
        <v/>
      </c>
      <c r="B2212">
        <f>Skills!B26</f>
        <v/>
      </c>
      <c r="C2212">
        <f>Inputs!$B$3&gt;=75</f>
        <v/>
      </c>
      <c r="D2212">
        <f>IF(Skills!C26=1,60+Inputs!$B$25+Inputs!$B$29,IF(Skills!C26=2,90+Inputs!$B$26+Inputs!$B$29,IF(Skills!C26=3,120+Inputs!$B$27+Inputs!$B$29,MAX(0,(Inputs!$B$3-100)*3)+Inputs!$B$28+Inputs!$B$29)))</f>
        <v/>
      </c>
      <c r="E2212">
        <f>INDEX(FactorTable!$B$2:$Y$301, MATCH(ROUND(MIN(300,MAX(1,D2212)),0), FactorTable!$A$2:$A$301,0), Skills!M26+1)</f>
        <v/>
      </c>
      <c r="F2212">
        <f>IF(Skills!N26=TRUE,(Skills!L26/10)*(E2212/1000),Skills!L26/10)+Skills!O26</f>
        <v/>
      </c>
      <c r="G2212">
        <f>Skills!G26*IF(Skills!H26&gt;0,Skills!I26/Skills!H26,1)</f>
        <v/>
      </c>
      <c r="H2212">
        <f>1-(1-Skills!J26/100)^Skills!K26</f>
        <v/>
      </c>
      <c r="I2212" t="inlineStr">
        <is>
          <t>1</t>
        </is>
      </c>
      <c r="J2212" t="inlineStr"/>
      <c r="K2212" t="inlineStr"/>
      <c r="L2212" t="inlineStr"/>
      <c r="M2212" t="inlineStr"/>
      <c r="N2212" t="inlineStr"/>
      <c r="O2212">
        <f>(1-Summary!$B$11)*T2212+Summary!$B$11*V2212</f>
        <v/>
      </c>
      <c r="P2212">
        <f>IF(B2230=0,0,O2212/B2230)</f>
        <v/>
      </c>
      <c r="Q2212" t="n">
        <v>0</v>
      </c>
      <c r="R2212" t="n">
        <v>0</v>
      </c>
      <c r="S2212">
        <f>IFERROR(O2212/N2212,0)</f>
        <v/>
      </c>
      <c r="T2212" t="n">
        <v>0</v>
      </c>
      <c r="V2212" t="n">
        <v>0</v>
      </c>
    </row>
    <row r="2213">
      <c r="A2213">
        <f>Skills!A27</f>
        <v/>
      </c>
      <c r="B2213">
        <f>Skills!B27</f>
        <v/>
      </c>
      <c r="C2213">
        <f>Inputs!$B$3&gt;=125</f>
        <v/>
      </c>
      <c r="D2213">
        <f>IF(Skills!C27=1,60+Inputs!$B$25+Inputs!$B$29,IF(Skills!C27=2,90+Inputs!$B$26+Inputs!$B$29,IF(Skills!C27=3,120+Inputs!$B$27+Inputs!$B$29,MAX(0,(Inputs!$B$3-100)*3)+Inputs!$B$28+Inputs!$B$29)))</f>
        <v/>
      </c>
      <c r="E2213">
        <f>INDEX(FactorTable!$B$2:$Y$301, MATCH(ROUND(MIN(300,MAX(1,D2213)),0), FactorTable!$A$2:$A$301,0), Skills!M27+1)</f>
        <v/>
      </c>
      <c r="F2213">
        <f>IF(Skills!N27=TRUE,(Skills!L27/10)*(E2213/1000),Skills!L27/10)+Skills!O27</f>
        <v/>
      </c>
      <c r="G2213">
        <f>Skills!G27*IF(Skills!H27&gt;0,Skills!I27/Skills!H27,1)</f>
        <v/>
      </c>
      <c r="H2213">
        <f>1-(1-Skills!J27/100)^Skills!K27</f>
        <v/>
      </c>
      <c r="I2213" t="inlineStr">
        <is>
          <t>1</t>
        </is>
      </c>
      <c r="J2213" t="inlineStr"/>
      <c r="K2213" t="inlineStr"/>
      <c r="L2213" t="inlineStr"/>
      <c r="M2213" t="inlineStr"/>
      <c r="N2213" t="inlineStr"/>
      <c r="O2213">
        <f>(1-Summary!$B$11)*T2213+Summary!$B$11*V2213</f>
        <v/>
      </c>
      <c r="P2213">
        <f>IF(B2230=0,0,O2213/B2230)</f>
        <v/>
      </c>
      <c r="Q2213" t="n">
        <v>0</v>
      </c>
      <c r="R2213" t="n">
        <v>0</v>
      </c>
      <c r="S2213">
        <f>IFERROR(O2213/N2213,0)</f>
        <v/>
      </c>
      <c r="T2213" t="n">
        <v>0</v>
      </c>
      <c r="V2213" t="n">
        <v>0</v>
      </c>
    </row>
    <row r="2214">
      <c r="A2214">
        <f>Skills!A28</f>
        <v/>
      </c>
      <c r="B2214">
        <f>Skills!B28</f>
        <v/>
      </c>
      <c r="C2214">
        <f>Inputs!$B$3&gt;=125</f>
        <v/>
      </c>
      <c r="D2214">
        <f>IF(Skills!C28=1,60+Inputs!$B$25+Inputs!$B$29,IF(Skills!C28=2,90+Inputs!$B$26+Inputs!$B$29,IF(Skills!C28=3,120+Inputs!$B$27+Inputs!$B$29,MAX(0,(Inputs!$B$3-100)*3)+Inputs!$B$28+Inputs!$B$29)))</f>
        <v/>
      </c>
      <c r="E2214">
        <f>INDEX(FactorTable!$B$2:$Y$301, MATCH(ROUND(MIN(300,MAX(1,D2214)),0), FactorTable!$A$2:$A$301,0), Skills!M28+1)</f>
        <v/>
      </c>
      <c r="F2214">
        <f>IF(Skills!N28=TRUE,(Skills!L28/10)*(E2214/1000),Skills!L28/10)+Skills!O28</f>
        <v/>
      </c>
      <c r="G2214">
        <f>Skills!G28*IF(Skills!H28&gt;0,Skills!I28/Skills!H28,1)</f>
        <v/>
      </c>
      <c r="H2214">
        <f>1-(1-Skills!J28/100)^Skills!K28</f>
        <v/>
      </c>
      <c r="I2214" t="inlineStr">
        <is>
          <t>1</t>
        </is>
      </c>
      <c r="J2214" t="inlineStr"/>
      <c r="K2214" t="inlineStr"/>
      <c r="L2214" t="inlineStr"/>
      <c r="M2214" t="inlineStr"/>
      <c r="N2214" t="inlineStr"/>
      <c r="O2214">
        <f>(1-Summary!$B$11)*T2214+Summary!$B$11*V2214</f>
        <v/>
      </c>
      <c r="P2214">
        <f>IF(B2230=0,0,O2214/B2230)</f>
        <v/>
      </c>
      <c r="Q2214" t="n">
        <v>0</v>
      </c>
      <c r="R2214" t="n">
        <v>0</v>
      </c>
      <c r="S2214">
        <f>IFERROR(O2214/N2214,0)</f>
        <v/>
      </c>
      <c r="T2214" t="n">
        <v>0</v>
      </c>
      <c r="V2214" t="n">
        <v>0</v>
      </c>
    </row>
    <row r="2215">
      <c r="A2215">
        <f>Skills!A29</f>
        <v/>
      </c>
      <c r="B2215">
        <f>Skills!B29</f>
        <v/>
      </c>
      <c r="C2215">
        <f>Inputs!$B$3&gt;=120</f>
        <v/>
      </c>
      <c r="D2215">
        <f>IF(Skills!C29=1,60+Inputs!$B$25+Inputs!$B$29,IF(Skills!C29=2,90+Inputs!$B$26+Inputs!$B$29,IF(Skills!C29=3,120+Inputs!$B$27+Inputs!$B$29,MAX(0,(Inputs!$B$3-100)*3)+Inputs!$B$28+Inputs!$B$29)))</f>
        <v/>
      </c>
      <c r="E2215">
        <f>INDEX(FactorTable!$B$2:$Y$301, MATCH(ROUND(MIN(300,MAX(1,D2215)),0), FactorTable!$A$2:$A$301,0), Skills!M29+1)</f>
        <v/>
      </c>
      <c r="F2215">
        <f>IF(Skills!N29=TRUE,(Skills!L29/10)*(E2215/1000),Skills!L29/10)+Skills!O29</f>
        <v/>
      </c>
      <c r="G2215">
        <f>Skills!G29*IF(Skills!H29&gt;0,Skills!I29/Skills!H29,1)</f>
        <v/>
      </c>
      <c r="H2215">
        <f>1-(1-Skills!J29/100)^Skills!K29</f>
        <v/>
      </c>
      <c r="I2215" t="inlineStr">
        <is>
          <t>1</t>
        </is>
      </c>
      <c r="J2215" t="inlineStr"/>
      <c r="K2215" t="inlineStr"/>
      <c r="L2215" t="inlineStr"/>
      <c r="M2215" t="inlineStr"/>
      <c r="N2215" t="inlineStr"/>
      <c r="O2215">
        <f>(1-Summary!$B$11)*T2215+Summary!$B$11*V2215</f>
        <v/>
      </c>
      <c r="P2215">
        <f>IF(B2230=0,0,O2215/B2230)</f>
        <v/>
      </c>
      <c r="Q2215" t="n">
        <v>0</v>
      </c>
      <c r="R2215" t="n">
        <v>0</v>
      </c>
      <c r="S2215">
        <f>IFERROR(O2215/N2215,0)</f>
        <v/>
      </c>
      <c r="T2215" t="n">
        <v>0</v>
      </c>
      <c r="V2215" t="n">
        <v>0</v>
      </c>
    </row>
    <row r="2216">
      <c r="A2216">
        <f>Skills!A30</f>
        <v/>
      </c>
      <c r="B2216">
        <f>Skills!B30</f>
        <v/>
      </c>
      <c r="C2216">
        <f>Inputs!$B$3&gt;=120</f>
        <v/>
      </c>
      <c r="D2216">
        <f>IF(Skills!C30=1,60+Inputs!$B$25+Inputs!$B$29,IF(Skills!C30=2,90+Inputs!$B$26+Inputs!$B$29,IF(Skills!C30=3,120+Inputs!$B$27+Inputs!$B$29,MAX(0,(Inputs!$B$3-100)*3)+Inputs!$B$28+Inputs!$B$29)))</f>
        <v/>
      </c>
      <c r="E2216">
        <f>INDEX(FactorTable!$B$2:$Y$301, MATCH(ROUND(MIN(300,MAX(1,D2216)),0), FactorTable!$A$2:$A$301,0), Skills!M30+1)</f>
        <v/>
      </c>
      <c r="F2216">
        <f>IF(Skills!N30=TRUE,(Skills!L30/10)*(E2216/1000),Skills!L30/10)+Skills!O30</f>
        <v/>
      </c>
      <c r="G2216">
        <f>Skills!G30*IF(Skills!H30&gt;0,Skills!I30/Skills!H30,1)</f>
        <v/>
      </c>
      <c r="H2216">
        <f>1-(1-Skills!J30/100)^Skills!K30</f>
        <v/>
      </c>
      <c r="I2216" t="inlineStr">
        <is>
          <t>1</t>
        </is>
      </c>
      <c r="J2216" t="inlineStr"/>
      <c r="K2216" t="inlineStr"/>
      <c r="L2216" t="inlineStr"/>
      <c r="M2216" t="inlineStr"/>
      <c r="N2216" t="inlineStr"/>
      <c r="O2216">
        <f>(1-Summary!$B$11)*T2216+Summary!$B$11*V2216</f>
        <v/>
      </c>
      <c r="P2216">
        <f>IF(B2230=0,0,O2216/B2230)</f>
        <v/>
      </c>
      <c r="Q2216" t="n">
        <v>0</v>
      </c>
      <c r="R2216" t="n">
        <v>0</v>
      </c>
      <c r="S2216">
        <f>IFERROR(O2216/N2216,0)</f>
        <v/>
      </c>
      <c r="T2216" t="n">
        <v>0</v>
      </c>
      <c r="V2216" t="n">
        <v>0</v>
      </c>
    </row>
    <row r="2217">
      <c r="A2217">
        <f>Skills!A31</f>
        <v/>
      </c>
      <c r="B2217">
        <f>Skills!B31</f>
        <v/>
      </c>
      <c r="C2217">
        <f>Inputs!$B$3&gt;=45</f>
        <v/>
      </c>
      <c r="D2217">
        <f>IF(Skills!C31=1,60+Inputs!$B$25+Inputs!$B$29,IF(Skills!C31=2,90+Inputs!$B$26+Inputs!$B$29,IF(Skills!C31=3,120+Inputs!$B$27+Inputs!$B$29,MAX(0,(Inputs!$B$3-100)*3)+Inputs!$B$28+Inputs!$B$29)))</f>
        <v/>
      </c>
      <c r="E2217">
        <f>INDEX(FactorTable!$B$2:$Y$301, MATCH(ROUND(MIN(300,MAX(1,D2217)),0), FactorTable!$A$2:$A$301,0), Skills!M31+1)</f>
        <v/>
      </c>
      <c r="F2217">
        <f>IF(Skills!N31=TRUE,(Skills!L31/10)*(E2217/1000),Skills!L31/10)+Skills!O31</f>
        <v/>
      </c>
      <c r="G2217">
        <f>Skills!G31*IF(Skills!H31&gt;0,Skills!I31/Skills!H31,1)</f>
        <v/>
      </c>
      <c r="H2217">
        <f>1-(1-Skills!J31/100)^Skills!K31</f>
        <v/>
      </c>
      <c r="I2217" t="inlineStr">
        <is>
          <t>1</t>
        </is>
      </c>
      <c r="J2217" t="inlineStr"/>
      <c r="K2217" t="inlineStr"/>
      <c r="L2217" t="inlineStr"/>
      <c r="M2217" t="inlineStr"/>
      <c r="N2217" t="inlineStr"/>
      <c r="O2217">
        <f>(1-Summary!$B$11)*T2217+Summary!$B$11*V2217</f>
        <v/>
      </c>
      <c r="P2217">
        <f>IF(B2230=0,0,O2217/B2230)</f>
        <v/>
      </c>
      <c r="Q2217" t="n">
        <v>0</v>
      </c>
      <c r="R2217" t="n">
        <v>0</v>
      </c>
      <c r="S2217">
        <f>IFERROR(O2217/N2217,0)</f>
        <v/>
      </c>
      <c r="T2217" t="n">
        <v>0</v>
      </c>
      <c r="V2217" t="n">
        <v>0</v>
      </c>
    </row>
    <row r="2219">
      <c r="A2219" t="inlineStr">
        <is>
          <t>Attack% Bucket Multiplier</t>
        </is>
      </c>
      <c r="B2219">
        <f>(1+(((C2200=TRUE)*F2200)+((C2201=TRUE)*IF(Inputs!$B$38="pvp",F2201,(1-Summary!$B$11)*(F2201)+Summary!$B$11*(0)))+((C2202=TRUE)*F2202*IF(AND(Inputs!$B$38&lt;&gt;"pvp",Inputs!$B$43&gt;0),(((R2202-1)*(Skills!T16*(1+Inputs!$B$34/100))+MIN((Skills!T16*(1+Inputs!$B$34/100)),MAX(0,Inputs!$B$43-((R2202-1)*Skills!D16))))/Inputs!$B$43),IF(Inputs!$B$38="pvp",MIN((Skills!T16*(1+Inputs!$B$34/100)),15)/15,(Skills!T16*(1+Inputs!$B$34/100))/Skills!D16)))+((C2217=TRUE)*(F2217-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20">
      <c r="A2220" t="inlineStr">
        <is>
          <t>Global Crit Rate Bonus %</t>
        </is>
      </c>
      <c r="B2220">
        <f>(C2203=TRUE)*20*IF(AND(Inputs!$B$38&lt;&gt;"pvp",Inputs!$B$43&gt;0),(((R2203-1)*(Skills!T17*(1+Inputs!$B$34/100))+MIN((Skills!T17*(1+Inputs!$B$34/100)),MAX(0,Inputs!$B$43-((R2203-1)*Skills!D17))))/Inputs!$B$43),IF(Inputs!$B$38="pvp",MIN((Skills!T17*(1+Inputs!$B$34/100)),15)/15,(Skills!T17*(1+Inputs!$B$34/100))/Skills!D17))</f>
        <v/>
      </c>
    </row>
    <row r="2221">
      <c r="A2221" t="inlineStr">
        <is>
          <t>Attack Speed Buff Bonus %</t>
        </is>
      </c>
      <c r="B2221">
        <f>((C2206=TRUE)*F2206*IF(AND(Inputs!$B$38&lt;&gt;"pvp",Inputs!$B$43&gt;0),(((R2206-1)*(Skills!T20*(1+Inputs!$B$34/100))+MIN((Skills!T20*(1+Inputs!$B$34/100)),MAX(0,Inputs!$B$43-((R2206-1)*Skills!D20))))/Inputs!$B$43),IF(Inputs!$B$38="pvp",MIN((Skills!T20*(1+Inputs!$B$34/100)),15)/15,(Skills!T20*(1+Inputs!$B$34/100))/Skills!D20)))</f>
        <v/>
      </c>
    </row>
    <row r="2222">
      <c r="A2222" t="inlineStr">
        <is>
          <t>Actions Per Second</t>
        </is>
      </c>
      <c r="B2222">
        <f>1+MIN(150,150*(1-(1-(Inputs!$B$11+((C2208=TRUE)*(F2208-Calc!F22))+((C2209=TRUE)*(F2209-Calc!F23)))/150)*(1-B2221/150)))/100</f>
        <v/>
      </c>
    </row>
    <row r="2223">
      <c r="A2223" t="inlineStr">
        <is>
          <t>Skill + Buff Cast Rate</t>
        </is>
      </c>
      <c r="B2223">
        <f>IF(AND(Inputs!$B$38&lt;&gt;"pvp",Inputs!$B$43&gt;0),SUMPRODUCT((Skills!E2:E31=TRUE)*(C2188:C2217=TRUE)*R2188:R2217*Skills!F2:F31)/Inputs!$B$43,SUMPRODUCT((Skills!E2:E31=TRUE)*(C2188:C2217=TRUE)*Q2188:Q2217*Skills!F2:F31))</f>
        <v/>
      </c>
    </row>
    <row r="2224">
      <c r="A2224" t="inlineStr">
        <is>
          <t>Arrow Stream Casts Per Second</t>
        </is>
      </c>
      <c r="B2224">
        <f>MAX(0,B2222-B2223)</f>
        <v/>
      </c>
    </row>
    <row r="2225">
      <c r="A2225" t="inlineStr">
        <is>
          <t>Global Critical Damage Bonus % (Sharp Eyes + Concentration)</t>
        </is>
      </c>
      <c r="B2225">
        <f>(C2203=TRUE)*F2203*IF(AND(Inputs!$B$38&lt;&gt;"pvp",Inputs!$B$43&gt;0),(((R2203-1)*(Skills!T17*(1+Inputs!$B$34/100))+MIN((Skills!T17*(1+Inputs!$B$34/100)),MAX(0,Inputs!$B$43-((R2203-1)*Skills!D17))))/Inputs!$B$43),IF(Inputs!$B$38="pvp",MIN((Skills!T17*(1+Inputs!$B$34/100)),15)/15,(Skills!T17*(1+Inputs!$B$34/100))/Skills!D17))+(C2204=TRUE)*30</f>
        <v/>
      </c>
    </row>
    <row r="2226">
      <c r="A2226" t="inlineStr">
        <is>
          <t>Global Final Damage Bonus % (Mortal Blow)</t>
        </is>
      </c>
      <c r="B2226">
        <f>(C2205=TRUE)*F2205</f>
        <v/>
      </c>
    </row>
    <row r="2227">
      <c r="A2227" t="inlineStr">
        <is>
          <t>Buff-Casting Startup Delay (s, fixed-duration only)</t>
        </is>
      </c>
      <c r="B2227">
        <f>IF(AND(Inputs!$B$38&lt;&gt;"pvp",Inputs!$B$43&gt;0),SUMPRODUCT((Skills!T2:T31&gt;0)*(Skills!E2:E31=TRUE)*(C2188:C2217=TRUE))/B2222,0)</f>
        <v/>
      </c>
    </row>
    <row r="2228">
      <c r="A2228" t="inlineStr">
        <is>
          <t>Boss-Only Total DPS (this block's swept value)</t>
        </is>
      </c>
      <c r="B2228">
        <f>SUM(T2188:T2217)</f>
        <v/>
      </c>
    </row>
    <row r="2229">
      <c r="A2229" t="inlineStr">
        <is>
          <t>Normal-Only Total DPS (this block's swept value)</t>
        </is>
      </c>
      <c r="B2229">
        <f>SUM(V2188:V2217)</f>
        <v/>
      </c>
    </row>
    <row r="2230">
      <c r="A2230" s="6" t="inlineStr">
        <is>
          <t>TOTAL DPS</t>
        </is>
      </c>
      <c r="B2230" s="6">
        <f>SUM(O2188:O2217)</f>
        <v/>
      </c>
    </row>
    <row r="2233">
      <c r="A2233" s="6" t="inlineStr">
        <is>
          <t>Stat: Soul Contract (Equip)</t>
        </is>
      </c>
    </row>
    <row r="2234">
      <c r="A2234" s="5" t="inlineStr">
        <is>
          <t>Key</t>
        </is>
      </c>
      <c r="B2234" s="5" t="inlineStr">
        <is>
          <t>Name</t>
        </is>
      </c>
      <c r="C2234" s="5" t="inlineStr">
        <is>
          <t>Unlocked</t>
        </is>
      </c>
      <c r="D2234" s="5" t="inlineStr">
        <is>
          <t>InputLevel</t>
        </is>
      </c>
      <c r="E2234" s="5" t="inlineStr">
        <is>
          <t>Factor</t>
        </is>
      </c>
      <c r="F2234" s="5" t="inlineStr">
        <is>
          <t>CoefficientPercent</t>
        </is>
      </c>
      <c r="G2234" s="5" t="inlineStr">
        <is>
          <t>EffectiveHits</t>
        </is>
      </c>
      <c r="H2234" s="5" t="inlineStr">
        <is>
          <t>ProcProbability</t>
        </is>
      </c>
      <c r="I2234" s="5" t="inlineStr">
        <is>
          <t>MapleHeroMultiplier</t>
        </is>
      </c>
      <c r="J2234" s="5" t="inlineStr">
        <is>
          <t>BaseDamage</t>
        </is>
      </c>
      <c r="K2234" s="5" t="inlineStr">
        <is>
          <t>BaseHitDamage</t>
        </is>
      </c>
      <c r="L2234" s="5" t="inlineStr">
        <is>
          <t>NonCritAvg</t>
        </is>
      </c>
      <c r="M2234" s="5" t="inlineStr">
        <is>
          <t>CritAvg</t>
        </is>
      </c>
      <c r="N2234" s="5" t="inlineStr">
        <is>
          <t>ExpectedDamage(perHit)</t>
        </is>
      </c>
      <c r="O2234" s="5" t="inlineStr">
        <is>
          <t>DPS</t>
        </is>
      </c>
      <c r="P2234" s="5" t="inlineStr">
        <is>
          <t>% of Total</t>
        </is>
      </c>
      <c r="Q2234" s="5" t="inlineStr">
        <is>
          <t>InvCooldown</t>
        </is>
      </c>
      <c r="R2234" s="5" t="inlineStr">
        <is>
          <t>CastsInFight</t>
        </is>
      </c>
      <c r="S2234" s="5" t="inlineStr">
        <is>
          <t>HitRate(perSec)</t>
        </is>
      </c>
      <c r="U2234" t="inlineStr">
        <is>
          <t>helpers</t>
        </is>
      </c>
    </row>
    <row r="2235">
      <c r="A2235">
        <f>Skills!A2</f>
        <v/>
      </c>
      <c r="B2235">
        <f>Skills!B2</f>
        <v/>
      </c>
      <c r="C2235">
        <f>Inputs!$B$3&gt;=100</f>
        <v/>
      </c>
      <c r="D2235" t="inlineStr"/>
      <c r="E2235" t="inlineStr"/>
      <c r="F2235">
        <f>U2237+Skills!O2</f>
        <v/>
      </c>
      <c r="G2235">
        <f>Skills!G2*IF(Skills!H2&gt;0,Skills!I2/Skills!H2,1)</f>
        <v/>
      </c>
      <c r="H2235">
        <f>1-(1-Skills!J2/100)^Skills!K2</f>
        <v/>
      </c>
      <c r="I2235" t="inlineStr">
        <is>
          <t>1</t>
        </is>
      </c>
      <c r="J2235">
        <f>((Inputs!$B$6*(1+Inputs!$B$7/100))+(((Inputs!$B$12*(1+Inputs!$B$13/100))-(Inputs!$B$12*(1+Inputs!$B$13/100)))+0.25*(Inputs!$B$14-Inputs!$B$14))*(1+Inputs!$B$7/100))*(F2235/100)</f>
        <v/>
      </c>
      <c r="K2235">
        <f>J2235*(1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2235)</f>
        <v/>
      </c>
      <c r="L2235">
        <f>K2235*(MIN(Inputs!$B$22+((C2258=TRUE)*(F2258-Calc!F25)),(Inputs!$B$23+((C2263=TRUE)*(F2263-Calc!F30))+(IF(ArtifactsInput!$M$15,CHOOSE(ArtifactsInput!$N$15+1,25,30,35,40,45,50)/100*(Inputs!$B$11-Inputs!$B$11),0))))/100+(Inputs!$B$23+((C2263=TRUE)*(F2263-Calc!F30))+(IF(ArtifactsInput!$M$15,CHOOSE(ArtifactsInput!$N$15+1,25,30,35,40,45,50)/100*(Inputs!$B$11-Inputs!$B$11),0)))/100)/2</f>
        <v/>
      </c>
      <c r="M2235">
        <f>L2235*(1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5">
        <f>L2235*(1-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2235*(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5">
        <f>(1-Summary!$B$11)*T2235+Summary!$B$11*V2235</f>
        <v/>
      </c>
      <c r="P2235">
        <f>IF(B2277=0,0,O2235/B2277)</f>
        <v/>
      </c>
      <c r="Q2235" t="n">
        <v>0</v>
      </c>
      <c r="R2235" t="n">
        <v>0</v>
      </c>
      <c r="S2235">
        <f>IFERROR(O2235/N2235,0)</f>
        <v/>
      </c>
      <c r="T2235">
        <f>IF(C2235,(Skills!G2*N2235*B2271)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2235*(1-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2235*(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2235*(1-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2235*(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5">
        <f>MAX(0,(Inputs!$B$3-100)*3)+Inputs!$B$28+Inputs!$B$29</f>
        <v/>
      </c>
      <c r="V2235">
        <f>IF(C2235,(Skills!G2*N2235*B2271)*IF(Inputs!$B$38="pvp",1,(1+(Inputs!$B$21+Skills!Q2+(IF(ArtifactsInput!$M$33,CHOOSE(ArtifactsInput!$N$33+1,30,36,42,48,54,60),0))+(IF(AND(ArtifactsInput!$M$35,Inputs!$B$4&lt;&gt;"Chapter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6">
      <c r="A2236">
        <f>Skills!A3</f>
        <v/>
      </c>
      <c r="B2236">
        <f>Skills!B3</f>
        <v/>
      </c>
      <c r="C2236">
        <f>Inputs!$B$3&gt;=50</f>
        <v/>
      </c>
      <c r="D2236">
        <f>IF(Skills!C3=1,60+Inputs!$B$25+Inputs!$B$29,IF(Skills!C3=2,90+Inputs!$B$26+Inputs!$B$29,IF(Skills!C3=3,120+Inputs!$B$27+Inputs!$B$29,MAX(0,(Inputs!$B$3-100)*3)+Inputs!$B$28+Inputs!$B$29)))</f>
        <v/>
      </c>
      <c r="E2236">
        <f>INDEX(FactorTable!$B$2:$Y$301, MATCH(ROUND(MIN(300,MAX(1,D2236)),0), FactorTable!$A$2:$A$301,0), Skills!M3+1)</f>
        <v/>
      </c>
      <c r="F2236">
        <f>IF(Skills!N3=TRUE,(Skills!L3/10)*(E2236/1000),Skills!L3/10)+Skills!O3</f>
        <v/>
      </c>
      <c r="G2236">
        <f>Skills!G3*IF(Skills!H3&gt;0,Skills!I3/Skills!H3,1)</f>
        <v/>
      </c>
      <c r="H2236">
        <f>1-(1-Skills!J3/100)^Skills!K3</f>
        <v/>
      </c>
      <c r="I2236" t="inlineStr">
        <is>
          <t>1</t>
        </is>
      </c>
      <c r="J2236">
        <f>((Inputs!$B$6*(1+Inputs!$B$7/100))+(((Inputs!$B$12*(1+Inputs!$B$13/100))-(Inputs!$B$12*(1+Inputs!$B$13/100)))+0.25*(Inputs!$B$14-Inputs!$B$14))*(1+Inputs!$B$7/100))*(F2236/100)</f>
        <v/>
      </c>
      <c r="K2236">
        <f>J2236*(1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2237=TRUE,F2237,0)/100)*(1+(IF(Skills!A3="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2236)</f>
        <v/>
      </c>
      <c r="L2236">
        <f>K2236*(MIN(Inputs!$B$22+((C2258=TRUE)*(F2258-Calc!F25)),(Inputs!$B$23+((C2263=TRUE)*(F2263-Calc!F30))+(IF(ArtifactsInput!$M$15,CHOOSE(ArtifactsInput!$N$15+1,25,30,35,40,45,50)/100*(Inputs!$B$11-Inputs!$B$11),0))))/100+(Inputs!$B$23+((C2263=TRUE)*(F2263-Calc!F30))+(IF(ArtifactsInput!$M$15,CHOOSE(ArtifactsInput!$N$15+1,25,30,35,40,45,50)/100*(Inputs!$B$11-Inputs!$B$11),0)))/100)/2</f>
        <v/>
      </c>
      <c r="M2236">
        <f>L2236*(1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6">
        <f>L2236*(1-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2236*(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6">
        <f>(1-Summary!$B$11)*T2236+Summary!$B$11*V2236</f>
        <v/>
      </c>
      <c r="P2236">
        <f>IF(B2277=0,0,O2236/B2277)</f>
        <v/>
      </c>
      <c r="Q2236">
        <f>IFERROR(1/(IF(Inputs!$B$38="pvp",15,MAX(0.1,Skills!D3-IF(Skills!E3=TRUE,Inputs!$B$32,0)))*(1-IF(AND(IF(ArtifactsInput!$M$27,FALSE,TRUE),Inputs!$B$4="Chapter Hunt"),CHOOSE(ArtifactsInput!$N$27+1,20,24,28,32,36,40),0)/100)),0)</f>
        <v/>
      </c>
      <c r="R2236">
        <f>IF(AND(Inputs!$B$38&lt;&gt;"pvp",Inputs!$B$43&gt;0),IF(MAX(0,Inputs!$B$43-B2274)&lt;=0,0,(INT(MAX(0,Inputs!$B$43-B2274)/(IF(Inputs!$B$38="pvp",15,MAX(0.1,Skills!D3-IF(Skills!E3=TRUE,Inputs!$B$32,0)))*(1-IF(AND(IF(ArtifactsInput!$M$27,FALSE,TRUE),Inputs!$B$4="Chapter Hunt"),CHOOSE(ArtifactsInput!$N$27+1,20,24,28,32,36,40),0)/100)))+1)),0)</f>
        <v/>
      </c>
      <c r="S2236">
        <f>IFERROR(O2236/N2236,0)</f>
        <v/>
      </c>
      <c r="T2236">
        <f>IF(C2236,(H2236*N2236*IF(AND(Inputs!$B$38&lt;&gt;"pvp",Inputs!$B$43&gt;0),((Skills!G3*((R2236-1)*IF(Skills!H3&gt;0,Skills!I3/Skills!H3,1)+IF(Skills!H3&gt;0,MIN(Skills!I3,MAX(0,MAX(0,Inputs!$B$43-B2274)-((R2236-1)*(IF(Inputs!$B$38="pvp",15,MAX(0.1,Skills!D3-IF(Skills!E3=TRUE,Inputs!$B$32,0)))*(1-IF(AND(IF(ArtifactsInput!$M$27,FALSE,TRUE),Inputs!$B$4="Chapter Hunt"),CHOOSE(ArtifactsInput!$N$27+1,20,24,28,32,36,40),0)/100)))))/Skills!H3,1)))/Inputs!$B$43),G2236*Q2236)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2236*(1-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2236*(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2236*(1-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2236*(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6">
        <f>INDEX(FactorTable!$B$2:$Y$301, MATCH(ROUND(MIN(300,MAX(1,U2235)),0), FactorTable!$A$2:$A$301,0), 22)</f>
        <v/>
      </c>
      <c r="V2236">
        <f>IF(C2236,(H2236*N2236*IF(AND(Inputs!$B$38&lt;&gt;"pvp",Inputs!$B$43&gt;0),((Skills!G3*((R2236-1)*IF(Skills!H3&gt;0,Skills!I3/Skills!H3,1)+IF(Skills!H3&gt;0,MIN(Skills!I3,MAX(0,MAX(0,Inputs!$B$43-B2274)-((R2236-1)*(IF(Inputs!$B$38="pvp",15,MAX(0.1,Skills!D3-IF(Skills!E3=TRUE,Inputs!$B$32,0)))*(1-IF(AND(IF(ArtifactsInput!$M$27,FALSE,TRUE),Inputs!$B$4="Chapter Hunt"),CHOOSE(ArtifactsInput!$N$27+1,20,24,28,32,36,40),0)/100)))))/Skills!H3,1)))/Inputs!$B$43),G2236*Q2236))*IF(Inputs!$B$38="pvp",1,(1+(Inputs!$B$21+Skills!Q3+(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7">
      <c r="A2237">
        <f>Skills!A4</f>
        <v/>
      </c>
      <c r="B2237">
        <f>Skills!B4</f>
        <v/>
      </c>
      <c r="C2237">
        <f>Inputs!$B$3&gt;=105</f>
        <v/>
      </c>
      <c r="D2237">
        <f>IF(Skills!C4=1,60+Inputs!$B$25+Inputs!$B$29,IF(Skills!C4=2,90+Inputs!$B$26+Inputs!$B$29,IF(Skills!C4=3,120+Inputs!$B$27+Inputs!$B$29,MAX(0,(Inputs!$B$3-100)*3)+Inputs!$B$28+Inputs!$B$29)))</f>
        <v/>
      </c>
      <c r="E2237">
        <f>INDEX(FactorTable!$B$2:$Y$301, MATCH(ROUND(MIN(300,MAX(1,D2237)),0), FactorTable!$A$2:$A$301,0), Skills!M4+1)</f>
        <v/>
      </c>
      <c r="F2237">
        <f>IF(Skills!N4=TRUE,(Skills!L4/10)*(E2237/1000),Skills!L4/10)+Skills!O4</f>
        <v/>
      </c>
      <c r="G2237" t="inlineStr"/>
      <c r="H2237" t="inlineStr"/>
      <c r="I2237" t="inlineStr">
        <is>
          <t>1</t>
        </is>
      </c>
      <c r="J2237" t="inlineStr"/>
      <c r="K2237" t="inlineStr"/>
      <c r="L2237" t="inlineStr"/>
      <c r="M2237" t="inlineStr"/>
      <c r="N2237" t="inlineStr"/>
      <c r="O2237" t="inlineStr"/>
      <c r="P2237" t="inlineStr"/>
      <c r="Q2237" t="inlineStr"/>
      <c r="R2237" t="inlineStr"/>
      <c r="S2237" t="inlineStr"/>
      <c r="T2237" t="inlineStr"/>
      <c r="U2237">
        <f>290*U2236/1000</f>
        <v/>
      </c>
      <c r="V2237" t="inlineStr"/>
    </row>
    <row r="2238">
      <c r="A2238">
        <f>Skills!A5</f>
        <v/>
      </c>
      <c r="B2238">
        <f>Skills!B5</f>
        <v/>
      </c>
      <c r="C2238">
        <f>Inputs!$B$3&gt;=35</f>
        <v/>
      </c>
      <c r="D2238">
        <f>IF(Skills!C5=1,60+Inputs!$B$25+Inputs!$B$29,IF(Skills!C5=2,90+Inputs!$B$26+Inputs!$B$29,IF(Skills!C5=3,120+Inputs!$B$27+Inputs!$B$29,MAX(0,(Inputs!$B$3-100)*3)+Inputs!$B$28+Inputs!$B$29)))</f>
        <v/>
      </c>
      <c r="E2238">
        <f>INDEX(FactorTable!$B$2:$Y$301, MATCH(ROUND(MIN(300,MAX(1,D2238)),0), FactorTable!$A$2:$A$301,0), Skills!M5+1)</f>
        <v/>
      </c>
      <c r="F2238">
        <f>IF(Skills!N5=TRUE,(Skills!L5/10)*(E2238/1000),Skills!L5/10)+Skills!O5</f>
        <v/>
      </c>
      <c r="G2238">
        <f>Skills!G5*IF(Skills!H5&gt;0,Skills!I5/Skills!H5,1)</f>
        <v/>
      </c>
      <c r="H2238">
        <f>1-(1-Skills!J5/100)^Skills!K5</f>
        <v/>
      </c>
      <c r="I2238" t="inlineStr">
        <is>
          <t>1</t>
        </is>
      </c>
      <c r="J2238">
        <f>((Inputs!$B$6*(1+Inputs!$B$7/100))+(((Inputs!$B$12*(1+Inputs!$B$13/100))-(Inputs!$B$12*(1+Inputs!$B$13/100)))+0.25*(Inputs!$B$14-Inputs!$B$14))*(1+Inputs!$B$7/100))*(F2238/100)</f>
        <v/>
      </c>
      <c r="K2238">
        <f>J2238*(1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2244=TRUE,F2244,0)/100)*(1+(IF(Skills!A5="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2238)</f>
        <v/>
      </c>
      <c r="L2238">
        <f>K2238*(MIN(Inputs!$B$22+((C2258=TRUE)*(F2258-Calc!F25)),(Inputs!$B$23+((C2263=TRUE)*(F2263-Calc!F30))+(IF(ArtifactsInput!$M$15,CHOOSE(ArtifactsInput!$N$15+1,25,30,35,40,45,50)/100*(Inputs!$B$11-Inputs!$B$11),0))))/100+(Inputs!$B$23+((C2263=TRUE)*(F2263-Calc!F30))+(IF(ArtifactsInput!$M$15,CHOOSE(ArtifactsInput!$N$15+1,25,30,35,40,45,50)/100*(Inputs!$B$11-Inputs!$B$11),0)))/100)/2</f>
        <v/>
      </c>
      <c r="M2238">
        <f>L2238*(1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8">
        <f>L2238*(1-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2238*(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8">
        <f>(1-Summary!$B$11)*T2238+Summary!$B$11*V2238</f>
        <v/>
      </c>
      <c r="P2238">
        <f>IF(B2277=0,0,O2238/B2277)</f>
        <v/>
      </c>
      <c r="Q2238">
        <f>IFERROR(1/(IF(Inputs!$B$38="pvp",15,MAX(0.1,Skills!D5-IF(Skills!E5=TRUE,Inputs!$B$32,0)))*(1-IF(AND(IF(ArtifactsInput!$M$27,FALSE,TRUE),Inputs!$B$4="Chapter Hunt"),CHOOSE(ArtifactsInput!$N$27+1,20,24,28,32,36,40),0)/100)),0)</f>
        <v/>
      </c>
      <c r="R2238">
        <f>IF(AND(Inputs!$B$38&lt;&gt;"pvp",Inputs!$B$43&gt;0),IF(MAX(0,Inputs!$B$43-B2274)&lt;=0,0,(INT(MAX(0,Inputs!$B$43-B2274)/(IF(Inputs!$B$38="pvp",15,MAX(0.1,Skills!D5-IF(Skills!E5=TRUE,Inputs!$B$32,0)))*(1-IF(AND(IF(ArtifactsInput!$M$27,FALSE,TRUE),Inputs!$B$4="Chapter Hunt"),CHOOSE(ArtifactsInput!$N$27+1,20,24,28,32,36,40),0)/100)))+1)),0)</f>
        <v/>
      </c>
      <c r="S2238">
        <f>IFERROR(O2238/N2238,0)</f>
        <v/>
      </c>
      <c r="T2238">
        <f>IF(C2238,(H2238*N2238*IF(AND(Inputs!$B$38&lt;&gt;"pvp",Inputs!$B$43&gt;0),((Skills!G5*((R2238-1)*IF(Skills!H5&gt;0,Skills!I5/Skills!H5,1)+IF(Skills!H5&gt;0,MIN(Skills!I5,MAX(0,MAX(0,Inputs!$B$43-B2274)-((R2238-1)*(IF(Inputs!$B$38="pvp",15,MAX(0.1,Skills!D5-IF(Skills!E5=TRUE,Inputs!$B$32,0)))*(1-IF(AND(IF(ArtifactsInput!$M$27,FALSE,TRUE),Inputs!$B$4="Chapter Hunt"),CHOOSE(ArtifactsInput!$N$27+1,20,24,28,32,36,40),0)/100)))))/Skills!H5,1)))/Inputs!$B$43),G2238*Q2238)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2238*(1-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2238*(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2238*(1-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2238*(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8">
        <f>IF(C2238,(H2238*N2238*IF(AND(Inputs!$B$38&lt;&gt;"pvp",Inputs!$B$43&gt;0),((Skills!G5*((R2238-1)*IF(Skills!H5&gt;0,Skills!I5/Skills!H5,1)+IF(Skills!H5&gt;0,MIN(Skills!I5,MAX(0,MAX(0,Inputs!$B$43-B2274)-((R2238-1)*(IF(Inputs!$B$38="pvp",15,MAX(0.1,Skills!D5-IF(Skills!E5=TRUE,Inputs!$B$32,0)))*(1-IF(AND(IF(ArtifactsInput!$M$27,FALSE,TRUE),Inputs!$B$4="Chapter Hunt"),CHOOSE(ArtifactsInput!$N$27+1,20,24,28,32,36,40),0)/100)))))/Skills!H5,1)))/Inputs!$B$43),G2238*Q2238))*IF(Inputs!$B$38="pvp",1,(1+(Inputs!$B$21+Skills!Q5+(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9">
      <c r="A2239">
        <f>Skills!A6</f>
        <v/>
      </c>
      <c r="B2239">
        <f>Skills!B6</f>
        <v/>
      </c>
      <c r="C2239">
        <f>Inputs!$B$3&gt;=40</f>
        <v/>
      </c>
      <c r="D2239">
        <f>IF(Skills!C6=1,60+Inputs!$B$25+Inputs!$B$29,IF(Skills!C6=2,90+Inputs!$B$26+Inputs!$B$29,IF(Skills!C6=3,120+Inputs!$B$27+Inputs!$B$29,MAX(0,(Inputs!$B$3-100)*3)+Inputs!$B$28+Inputs!$B$29)))</f>
        <v/>
      </c>
      <c r="E2239">
        <f>INDEX(FactorTable!$B$2:$Y$301, MATCH(ROUND(MIN(300,MAX(1,D2239)),0), FactorTable!$A$2:$A$301,0), Skills!M6+1)</f>
        <v/>
      </c>
      <c r="F2239">
        <f>IF(Skills!N6=TRUE,(Skills!L6/10)*(E2239/1000),Skills!L6/10)+Skills!O6</f>
        <v/>
      </c>
      <c r="G2239">
        <f>Skills!G6*IF(Skills!H6&gt;0,Skills!I6/Skills!H6,1)</f>
        <v/>
      </c>
      <c r="H2239">
        <f>1-(1-Skills!J6/100)^Skills!K6</f>
        <v/>
      </c>
      <c r="I2239" t="inlineStr">
        <is>
          <t>1</t>
        </is>
      </c>
      <c r="J2239">
        <f>((Inputs!$B$6*(1+Inputs!$B$7/100))+(((Inputs!$B$12*(1+Inputs!$B$13/100))-(Inputs!$B$12*(1+Inputs!$B$13/100)))+0.25*(Inputs!$B$14-Inputs!$B$14))*(1+Inputs!$B$7/100))*(F2239/100)</f>
        <v/>
      </c>
      <c r="K2239">
        <f>J2239*(1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2240=TRUE,F2240,0)/100)*(1+(IF(Skills!A6="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2239)</f>
        <v/>
      </c>
      <c r="L2239">
        <f>K2239*(MIN(Inputs!$B$22+((C2258=TRUE)*(F2258-Calc!F25)),(Inputs!$B$23+((C2263=TRUE)*(F2263-Calc!F30))+(IF(ArtifactsInput!$M$15,CHOOSE(ArtifactsInput!$N$15+1,25,30,35,40,45,50)/100*(Inputs!$B$11-Inputs!$B$11),0))))/100+(Inputs!$B$23+((C2263=TRUE)*(F2263-Calc!F30))+(IF(ArtifactsInput!$M$15,CHOOSE(ArtifactsInput!$N$15+1,25,30,35,40,45,50)/100*(Inputs!$B$11-Inputs!$B$11),0)))/100)/2</f>
        <v/>
      </c>
      <c r="M2239">
        <f>L2239*(1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9">
        <f>L2239*(1-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2239*(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9">
        <f>(1-Summary!$B$11)*T2239+Summary!$B$11*V2239</f>
        <v/>
      </c>
      <c r="P2239">
        <f>IF(B2277=0,0,O2239/B2277)</f>
        <v/>
      </c>
      <c r="Q2239">
        <f>IFERROR(1/(IF(Inputs!$B$38="pvp",15,MAX(0.1,Skills!D6-IF(Skills!E6=TRUE,Inputs!$B$32,0)))*(1-IF(AND(IF(ArtifactsInput!$M$27,FALSE,TRUE),Inputs!$B$4="Chapter Hunt"),CHOOSE(ArtifactsInput!$N$27+1,20,24,28,32,36,40),0)/100)),0)</f>
        <v/>
      </c>
      <c r="R2239">
        <f>IF(AND(Inputs!$B$38&lt;&gt;"pvp",Inputs!$B$43&gt;0),IF(MAX(0,Inputs!$B$43-B2274)&lt;=0,0,(INT(MAX(0,Inputs!$B$43-B2274)/(IF(Inputs!$B$38="pvp",15,MAX(0.1,Skills!D6-IF(Skills!E6=TRUE,Inputs!$B$32,0)))*(1-IF(AND(IF(ArtifactsInput!$M$27,FALSE,TRUE),Inputs!$B$4="Chapter Hunt"),CHOOSE(ArtifactsInput!$N$27+1,20,24,28,32,36,40),0)/100)))+1)),0)</f>
        <v/>
      </c>
      <c r="S2239">
        <f>IFERROR(O2239/N2239,0)</f>
        <v/>
      </c>
      <c r="T2239">
        <f>IF(C2239,(H2239*N2239*IF(AND(Inputs!$B$38&lt;&gt;"pvp",Inputs!$B$43&gt;0),((Skills!G6*((R2239-1)*IF(Skills!H6&gt;0,Skills!I6/Skills!H6,1)+IF(Skills!H6&gt;0,MIN(Skills!I6,MAX(0,MAX(0,Inputs!$B$43-B2274)-((R2239-1)*(IF(Inputs!$B$38="pvp",15,MAX(0.1,Skills!D6-IF(Skills!E6=TRUE,Inputs!$B$32,0)))*(1-IF(AND(IF(ArtifactsInput!$M$27,FALSE,TRUE),Inputs!$B$4="Chapter Hunt"),CHOOSE(ArtifactsInput!$N$27+1,20,24,28,32,36,40),0)/100)))))/Skills!H6,1)))/Inputs!$B$43),G2239*Q2239)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2239*(1-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2239*(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2239*(1-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2239*(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9">
        <f>IF(C2239,(H2239*N2239*IF(AND(Inputs!$B$38&lt;&gt;"pvp",Inputs!$B$43&gt;0),((Skills!G6*((R2239-1)*IF(Skills!H6&gt;0,Skills!I6/Skills!H6,1)+IF(Skills!H6&gt;0,MIN(Skills!I6,MAX(0,MAX(0,Inputs!$B$43-B2274)-((R2239-1)*(IF(Inputs!$B$38="pvp",15,MAX(0.1,Skills!D6-IF(Skills!E6=TRUE,Inputs!$B$32,0)))*(1-IF(AND(IF(ArtifactsInput!$M$27,FALSE,TRUE),Inputs!$B$4="Chapter Hunt"),CHOOSE(ArtifactsInput!$N$27+1,20,24,28,32,36,40),0)/100)))))/Skills!H6,1)))/Inputs!$B$43),G2239*Q2239))*IF(Inputs!$B$38="pvp",1,(1+(Inputs!$B$21+Skills!Q6+(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0">
      <c r="A2240">
        <f>Skills!A7</f>
        <v/>
      </c>
      <c r="B2240">
        <f>Skills!B7</f>
        <v/>
      </c>
      <c r="C2240">
        <f>Inputs!$B$3&gt;=107</f>
        <v/>
      </c>
      <c r="D2240">
        <f>IF(Skills!C7=1,60+Inputs!$B$25+Inputs!$B$29,IF(Skills!C7=2,90+Inputs!$B$26+Inputs!$B$29,IF(Skills!C7=3,120+Inputs!$B$27+Inputs!$B$29,MAX(0,(Inputs!$B$3-100)*3)+Inputs!$B$28+Inputs!$B$29)))</f>
        <v/>
      </c>
      <c r="E2240">
        <f>INDEX(FactorTable!$B$2:$Y$301, MATCH(ROUND(MIN(300,MAX(1,D2240)),0), FactorTable!$A$2:$A$301,0), Skills!M7+1)</f>
        <v/>
      </c>
      <c r="F2240">
        <f>IF(Skills!N7=TRUE,(Skills!L7/10)*(E2240/1000),Skills!L7/10)+Skills!O7</f>
        <v/>
      </c>
      <c r="G2240" t="inlineStr"/>
      <c r="H2240" t="inlineStr"/>
      <c r="I2240" t="inlineStr">
        <is>
          <t>1</t>
        </is>
      </c>
      <c r="J2240" t="inlineStr"/>
      <c r="K2240" t="inlineStr"/>
      <c r="L2240" t="inlineStr"/>
      <c r="M2240" t="inlineStr"/>
      <c r="N2240" t="inlineStr"/>
      <c r="O2240" t="inlineStr"/>
      <c r="P2240" t="inlineStr"/>
      <c r="Q2240" t="inlineStr"/>
      <c r="R2240" t="inlineStr"/>
      <c r="S2240" t="inlineStr"/>
      <c r="T2240" t="inlineStr"/>
      <c r="V2240" t="inlineStr"/>
    </row>
    <row r="2241">
      <c r="A2241">
        <f>Skills!A8</f>
        <v/>
      </c>
      <c r="B2241">
        <f>Skills!B8</f>
        <v/>
      </c>
      <c r="C2241">
        <f>Inputs!$B$3&gt;=69</f>
        <v/>
      </c>
      <c r="D2241">
        <f>IF(Skills!C8=1,60+Inputs!$B$25+Inputs!$B$29,IF(Skills!C8=2,90+Inputs!$B$26+Inputs!$B$29,IF(Skills!C8=3,120+Inputs!$B$27+Inputs!$B$29,MAX(0,(Inputs!$B$3-100)*3)+Inputs!$B$28+Inputs!$B$29)))</f>
        <v/>
      </c>
      <c r="E2241">
        <f>INDEX(FactorTable!$B$2:$Y$301, MATCH(ROUND(MIN(300,MAX(1,D2241)),0), FactorTable!$A$2:$A$301,0), Skills!M8+1)</f>
        <v/>
      </c>
      <c r="F2241">
        <f>IF(Skills!N8=TRUE,(Skills!L8/10)*(E2241/1000),Skills!L8/10)+Skills!O8</f>
        <v/>
      </c>
      <c r="G2241">
        <f>Skills!G8*IF(Skills!H8&gt;0,Skills!I8/Skills!H8,1)</f>
        <v/>
      </c>
      <c r="H2241">
        <f>1-(1-Skills!J8/100)^Skills!K8</f>
        <v/>
      </c>
      <c r="I2241" t="inlineStr">
        <is>
          <t>1</t>
        </is>
      </c>
      <c r="J2241">
        <f>((Inputs!$B$6*(1+Inputs!$B$7/100))+(((Inputs!$B$12*(1+Inputs!$B$13/100))-(Inputs!$B$12*(1+Inputs!$B$13/100)))+0.25*(Inputs!$B$14-Inputs!$B$14))*(1+Inputs!$B$7/100))*(F2241/100)</f>
        <v/>
      </c>
      <c r="K2241">
        <f>J2241*(1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2244=TRUE,F2244,0)/100)*(1+(IF(Skills!A8="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C2258=TRUE)*(F2258-Calc!F25)),(Inputs!$B$23+((C2263=TRUE)*(F2263-Calc!F30))+(IF(ArtifactsInput!$M$15,CHOOSE(ArtifactsInput!$N$15+1,25,30,35,40,45,50)/100*(Inputs!$B$11-Inputs!$B$11),0))))/100+(Inputs!$B$23+((C2263=TRUE)*(F2263-Calc!F30))+(IF(ArtifactsInput!$M$15,CHOOSE(ArtifactsInput!$N$15+1,25,30,35,40,45,50)/100*(Inputs!$B$11-Inputs!$B$11),0)))/100)/2</f>
        <v/>
      </c>
      <c r="M2241">
        <f>L2241*(1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1">
        <f>L2241*(1-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(1-Summary!$B$11)*T2241+Summary!$B$11*V2241</f>
        <v/>
      </c>
      <c r="P2241">
        <f>IF(B2277=0,0,O2241/B2277)</f>
        <v/>
      </c>
      <c r="Q2241">
        <f>IFERROR(1/(IF(Inputs!$B$38="pvp",15,MAX(0.1,Skills!D8-IF(Skills!E8=TRUE,Inputs!$B$32,0)))*(1-IF(AND(IF(ArtifactsInput!$M$27,FALSE,TRUE),Inputs!$B$4="Chapter Hunt"),CHOOSE(ArtifactsInput!$N$27+1,20,24,28,32,36,40),0)/100)),0)</f>
        <v/>
      </c>
      <c r="R2241">
        <f>IF(AND(Inputs!$B$38&lt;&gt;"pvp",Inputs!$B$43&gt;0),IF(MAX(0,Inputs!$B$43-B2274)&lt;=0,0,(INT(MAX(0,Inputs!$B$43-B2274)/(IF(Inputs!$B$38="pvp",15,MAX(0.1,Skills!D8-IF(Skills!E8=TRUE,Inputs!$B$32,0)))*(1-IF(AND(IF(ArtifactsInput!$M$27,FALSE,TRUE),Inputs!$B$4="Chapter Hunt"),CHOOSE(ArtifactsInput!$N$27+1,20,24,28,32,36,40),0)/100)))+1)),0)</f>
        <v/>
      </c>
      <c r="S2241">
        <f>IFERROR(O2241/N2241,0)</f>
        <v/>
      </c>
      <c r="T2241">
        <f>IF(C2241,(H2241*N2241*IF(AND(Inputs!$B$38&lt;&gt;"pvp",Inputs!$B$43&gt;0),((Skills!G8*((R2241-1)*IF(Skills!H8&gt;0,Skills!I8/Skills!H8,1)+IF(Skills!H8&gt;0,MIN(Skills!I8,MAX(0,MAX(0,Inputs!$B$43-B2274)-((R2241-1)*(IF(Inputs!$B$38="pvp",15,MAX(0.1,Skills!D8-IF(Skills!E8=TRUE,Inputs!$B$32,0)))*(1-IF(AND(IF(ArtifactsInput!$M$27,FALSE,TRUE),Inputs!$B$4="Chapter Hunt"),CHOOSE(ArtifactsInput!$N$27+1,20,24,28,32,36,40),0)/100)))))/Skills!H8,1)))/Inputs!$B$43),G2241*Q2241)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2241*(1-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1">
        <f>IF(C2241,(H2241*N2241*IF(AND(Inputs!$B$38&lt;&gt;"pvp",Inputs!$B$43&gt;0),((Skills!G8*((R2241-1)*IF(Skills!H8&gt;0,Skills!I8/Skills!H8,1)+IF(Skills!H8&gt;0,MIN(Skills!I8,MAX(0,MAX(0,Inputs!$B$43-B2274)-((R2241-1)*(IF(Inputs!$B$38="pvp",15,MAX(0.1,Skills!D8-IF(Skills!E8=TRUE,Inputs!$B$32,0)))*(1-IF(AND(IF(ArtifactsInput!$M$27,FALSE,TRUE),Inputs!$B$4="Chapter Hunt"),CHOOSE(ArtifactsInput!$N$27+1,20,24,28,32,36,40),0)/100)))))/Skills!H8,1)))/Inputs!$B$43),G2241*Q2241))*IF(Inputs!$B$38="pvp",1,(1+(Inputs!$B$21+Skills!Q8+(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Skills!A9</f>
        <v/>
      </c>
      <c r="B2242">
        <f>Skills!B9</f>
        <v/>
      </c>
      <c r="C2242">
        <f>Inputs!$B$3&gt;=63</f>
        <v/>
      </c>
      <c r="D2242">
        <f>IF(Skills!C9=1,60+Inputs!$B$25+Inputs!$B$29,IF(Skills!C9=2,90+Inputs!$B$26+Inputs!$B$29,IF(Skills!C9=3,120+Inputs!$B$27+Inputs!$B$29,MAX(0,(Inputs!$B$3-100)*3)+Inputs!$B$28+Inputs!$B$29)))</f>
        <v/>
      </c>
      <c r="E2242">
        <f>INDEX(FactorTable!$B$2:$Y$301, MATCH(ROUND(MIN(300,MAX(1,D2242)),0), FactorTable!$A$2:$A$301,0), Skills!M9+1)</f>
        <v/>
      </c>
      <c r="F2242">
        <f>IF(Skills!N9=TRUE,(Skills!L9/10)*(E2242/1000),Skills!L9/10)+Skills!O9</f>
        <v/>
      </c>
      <c r="G2242">
        <f>Skills!G9*IF(Skills!H9&gt;0,Skills!I9/Skills!H9,1)</f>
        <v/>
      </c>
      <c r="H2242">
        <f>1-(1-Skills!J9/100)^Skills!K9</f>
        <v/>
      </c>
      <c r="I2242" t="inlineStr">
        <is>
          <t>1</t>
        </is>
      </c>
      <c r="J2242">
        <f>((Inputs!$B$6*(1+Inputs!$B$7/100))+(((Inputs!$B$12*(1+Inputs!$B$13/100))-(Inputs!$B$12*(1+Inputs!$B$13/100)))+0.25*(Inputs!$B$14-Inputs!$B$14))*(1+Inputs!$B$7/100))*(F2242/100)</f>
        <v/>
      </c>
      <c r="K2242">
        <f>J2242*(1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2244=TRUE,F2244,0)/100)*(1+(IF(Skills!A9="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C2258=TRUE)*(F2258-Calc!F25)),(Inputs!$B$23+((C2263=TRUE)*(F2263-Calc!F30))+(IF(ArtifactsInput!$M$15,CHOOSE(ArtifactsInput!$N$15+1,25,30,35,40,45,50)/100*(Inputs!$B$11-Inputs!$B$11),0))))/100+(Inputs!$B$23+((C2263=TRUE)*(F2263-Calc!F30))+(IF(ArtifactsInput!$M$15,CHOOSE(ArtifactsInput!$N$15+1,25,30,35,40,45,50)/100*(Inputs!$B$11-Inputs!$B$11),0)))/100)/2</f>
        <v/>
      </c>
      <c r="M2242">
        <f>L2242*(1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2">
        <f>L2242*(1-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(1-Summary!$B$11)*T2242+Summary!$B$11*V2242</f>
        <v/>
      </c>
      <c r="P2242">
        <f>IF(B2277=0,0,O2242/B2277)</f>
        <v/>
      </c>
      <c r="Q2242">
        <f>IFERROR(1/(IF(Inputs!$B$38="pvp",15,MAX(0.1,Skills!D9-IF(Skills!E9=TRUE,Inputs!$B$32,0)))*(1-IF(AND(IF(ArtifactsInput!$M$27,FALSE,TRUE),Inputs!$B$4="Chapter Hunt"),CHOOSE(ArtifactsInput!$N$27+1,20,24,28,32,36,40),0)/100)),0)</f>
        <v/>
      </c>
      <c r="R2242">
        <f>IF(AND(Inputs!$B$38&lt;&gt;"pvp",Inputs!$B$43&gt;0),IF(MAX(0,Inputs!$B$43-B2274)&lt;=0,0,(INT(MAX(0,Inputs!$B$43-B2274)/(IF(Inputs!$B$38="pvp",15,MAX(0.1,Skills!D9-IF(Skills!E9=TRUE,Inputs!$B$32,0)))*(1-IF(AND(IF(ArtifactsInput!$M$27,FALSE,TRUE),Inputs!$B$4="Chapter Hunt"),CHOOSE(ArtifactsInput!$N$27+1,20,24,28,32,36,40),0)/100)))+1)),0)</f>
        <v/>
      </c>
      <c r="S2242">
        <f>IFERROR(O2242/N2242,0)</f>
        <v/>
      </c>
      <c r="T2242">
        <f>IF(C2242,(H2242*N2242*IF(AND(Inputs!$B$38&lt;&gt;"pvp",Inputs!$B$43&gt;0),((Skills!G9*((R2242-1)*IF(Skills!H9&gt;0,Skills!I9/Skills!H9,1)+IF(Skills!H9&gt;0,MIN(Skills!I9,MAX(0,MAX(0,Inputs!$B$43-B2274)-((R2242-1)*(IF(Inputs!$B$38="pvp",15,MAX(0.1,Skills!D9-IF(Skills!E9=TRUE,Inputs!$B$32,0)))*(1-IF(AND(IF(ArtifactsInput!$M$27,FALSE,TRUE),Inputs!$B$4="Chapter Hunt"),CHOOSE(ArtifactsInput!$N$27+1,20,24,28,32,36,40),0)/100)))))/Skills!H9,1)))/Inputs!$B$43),G2242*Q2242)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2242*(1-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2">
        <f>IF(C2242,(H2242*N2242*IF(AND(Inputs!$B$38&lt;&gt;"pvp",Inputs!$B$43&gt;0),((Skills!G9*((R2242-1)*IF(Skills!H9&gt;0,Skills!I9/Skills!H9,1)+IF(Skills!H9&gt;0,MIN(Skills!I9,MAX(0,MAX(0,Inputs!$B$43-B2274)-((R2242-1)*(IF(Inputs!$B$38="pvp",15,MAX(0.1,Skills!D9-IF(Skills!E9=TRUE,Inputs!$B$32,0)))*(1-IF(AND(IF(ArtifactsInput!$M$27,FALSE,TRUE),Inputs!$B$4="Chapter Hunt"),CHOOSE(ArtifactsInput!$N$27+1,20,24,28,32,36,40),0)/100)))))/Skills!H9,1)))/Inputs!$B$43),G2242*Q2242))*IF(Inputs!$B$38="pvp",1,(1+(Inputs!$B$21+Skills!Q9+(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Skills!A10</f>
        <v/>
      </c>
      <c r="B2243">
        <f>Skills!B10</f>
        <v/>
      </c>
      <c r="C2243">
        <f>Inputs!$B$3&gt;=103</f>
        <v/>
      </c>
      <c r="D2243">
        <f>IF(Skills!C10=1,60+Inputs!$B$25+Inputs!$B$29,IF(Skills!C10=2,90+Inputs!$B$26+Inputs!$B$29,IF(Skills!C10=3,120+Inputs!$B$27+Inputs!$B$29,MAX(0,(Inputs!$B$3-100)*3)+Inputs!$B$28+Inputs!$B$29)))</f>
        <v/>
      </c>
      <c r="E2243">
        <f>INDEX(FactorTable!$B$2:$Y$301, MATCH(ROUND(MIN(300,MAX(1,D2243)),0), FactorTable!$A$2:$A$301,0), Skills!M10+1)</f>
        <v/>
      </c>
      <c r="F2243">
        <f>IF(Skills!N10=TRUE,(Skills!L10/10)*(E2243/1000),Skills!L10/10)+Skills!O10</f>
        <v/>
      </c>
      <c r="G2243">
        <f>Skills!G10*IF(Skills!H10&gt;0,Skills!I10/Skills!H10,1)</f>
        <v/>
      </c>
      <c r="H2243">
        <f>1-(1-Skills!J10/100)^Skills!K10</f>
        <v/>
      </c>
      <c r="I2243" t="inlineStr">
        <is>
          <t>1</t>
        </is>
      </c>
      <c r="J2243">
        <f>((Inputs!$B$6*(1+Inputs!$B$7/100))+(((Inputs!$B$12*(1+Inputs!$B$13/100))-(Inputs!$B$12*(1+Inputs!$B$13/100)))+0.25*(Inputs!$B$14-Inputs!$B$14))*(1+Inputs!$B$7/100))*(F2243/100)</f>
        <v/>
      </c>
      <c r="K2243">
        <f>J2243*(1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2243)</f>
        <v/>
      </c>
      <c r="L2243">
        <f>K2243*(MIN(Inputs!$B$22+((C2258=TRUE)*(F2258-Calc!F25)),(Inputs!$B$23+((C2263=TRUE)*(F2263-Calc!F30))+(IF(ArtifactsInput!$M$15,CHOOSE(ArtifactsInput!$N$15+1,25,30,35,40,45,50)/100*(Inputs!$B$11-Inputs!$B$11),0))))/100+(Inputs!$B$23+((C2263=TRUE)*(F2263-Calc!F30))+(IF(ArtifactsInput!$M$15,CHOOSE(ArtifactsInput!$N$15+1,25,30,35,40,45,50)/100*(Inputs!$B$11-Inputs!$B$11),0)))/100)/2</f>
        <v/>
      </c>
      <c r="M2243">
        <f>L2243*(1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3">
        <f>L2243*(1-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2243*(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3">
        <f>(1-Summary!$B$11)*T2243+Summary!$B$11*V2243</f>
        <v/>
      </c>
      <c r="P2243">
        <f>IF(B2277=0,0,O2243/B2277)</f>
        <v/>
      </c>
      <c r="Q2243">
        <f>IFERROR(1/(IF(Inputs!$B$38="pvp",15,MAX(0.1,Skills!D10-IF(Skills!E10=TRUE,Inputs!$B$32,0)))*(1-IF(AND(IF(ArtifactsInput!$M$27,FALSE,TRUE),Inputs!$B$4="Chapter Hunt"),CHOOSE(ArtifactsInput!$N$27+1,20,24,28,32,36,40),0)/100)),0)</f>
        <v/>
      </c>
      <c r="R2243">
        <f>IF(AND(Inputs!$B$38&lt;&gt;"pvp",Inputs!$B$43&gt;0),IF(MAX(0,Inputs!$B$43-B2274)&lt;=0,0,(INT(MAX(0,Inputs!$B$43-B2274)/(IF(Inputs!$B$38="pvp",15,MAX(0.1,Skills!D10-IF(Skills!E10=TRUE,Inputs!$B$32,0)))*(1-IF(AND(IF(ArtifactsInput!$M$27,FALSE,TRUE),Inputs!$B$4="Chapter Hunt"),CHOOSE(ArtifactsInput!$N$27+1,20,24,28,32,36,40),0)/100)))+1)),0)</f>
        <v/>
      </c>
      <c r="S2243">
        <f>IFERROR(O2243/N2243,0)</f>
        <v/>
      </c>
      <c r="T2243">
        <f>IF(C2243,(H2243*N2243*IF(AND(Inputs!$B$38&lt;&gt;"pvp",Inputs!$B$43&gt;0),((Skills!G10*((R2243-1)*IF(Skills!H10&gt;0,Skills!I10/Skills!H10,1)+IF(Skills!H10&gt;0,MIN(Skills!I10,MAX(0,MAX(0,Inputs!$B$43-B2274)-((R2243-1)*(IF(Inputs!$B$38="pvp",15,MAX(0.1,Skills!D10-IF(Skills!E10=TRUE,Inputs!$B$32,0)))*(1-IF(AND(IF(ArtifactsInput!$M$27,FALSE,TRUE),Inputs!$B$4="Chapter Hunt"),CHOOSE(ArtifactsInput!$N$27+1,20,24,28,32,36,40),0)/100)))))/Skills!H10,1)))/Inputs!$B$43),G2243*Q2243)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2243*(1-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2243*(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2243*(1-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2243*(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3">
        <f>IF(C2243,(H2243*N2243*IF(AND(Inputs!$B$38&lt;&gt;"pvp",Inputs!$B$43&gt;0),((Skills!G10*((R2243-1)*IF(Skills!H10&gt;0,Skills!I10/Skills!H10,1)+IF(Skills!H10&gt;0,MIN(Skills!I10,MAX(0,MAX(0,Inputs!$B$43-B2274)-((R2243-1)*(IF(Inputs!$B$38="pvp",15,MAX(0.1,Skills!D10-IF(Skills!E10=TRUE,Inputs!$B$32,0)))*(1-IF(AND(IF(ArtifactsInput!$M$27,FALSE,TRUE),Inputs!$B$4="Chapter Hunt"),CHOOSE(ArtifactsInput!$N$27+1,20,24,28,32,36,40),0)/100)))))/Skills!H10,1)))/Inputs!$B$43),G2243*Q2243))*IF(Inputs!$B$38="pvp",1,(1+(Inputs!$B$21+Skills!Q10+(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4">
      <c r="A2244">
        <f>Skills!A11</f>
        <v/>
      </c>
      <c r="B2244">
        <f>Skills!B11</f>
        <v/>
      </c>
      <c r="C2244">
        <f>Inputs!$B$3&gt;=100</f>
        <v/>
      </c>
      <c r="D2244">
        <f>IF(Skills!C11=1,60+Inputs!$B$25+Inputs!$B$29,IF(Skills!C11=2,90+Inputs!$B$26+Inputs!$B$29,IF(Skills!C11=3,120+Inputs!$B$27+Inputs!$B$29,MAX(0,(Inputs!$B$3-100)*3)+Inputs!$B$28+Inputs!$B$29)))</f>
        <v/>
      </c>
      <c r="E2244">
        <f>INDEX(FactorTable!$B$2:$Y$301, MATCH(ROUND(MIN(300,MAX(1,D2244)),0), FactorTable!$A$2:$A$301,0), Skills!M11+1)</f>
        <v/>
      </c>
      <c r="F2244">
        <f>IF(Skills!N11=TRUE,(Skills!L11/10)*(E2244/1000),Skills!L11/10)+Skills!O11</f>
        <v/>
      </c>
      <c r="G2244" t="inlineStr"/>
      <c r="H2244" t="inlineStr"/>
      <c r="I2244" t="inlineStr">
        <is>
          <t>1</t>
        </is>
      </c>
      <c r="J2244" t="inlineStr"/>
      <c r="K2244" t="inlineStr"/>
      <c r="L2244" t="inlineStr"/>
      <c r="M2244" t="inlineStr"/>
      <c r="N2244" t="inlineStr"/>
      <c r="O2244" t="inlineStr"/>
      <c r="P2244" t="inlineStr"/>
      <c r="Q2244" t="inlineStr"/>
      <c r="R2244" t="inlineStr"/>
      <c r="S2244" t="inlineStr"/>
      <c r="T2244" t="inlineStr"/>
      <c r="V2244" t="inlineStr"/>
    </row>
    <row r="2245">
      <c r="A2245">
        <f>Skills!A12</f>
        <v/>
      </c>
      <c r="B2245">
        <f>Skills!B12</f>
        <v/>
      </c>
      <c r="C2245">
        <f>Inputs!$B$3&gt;=60</f>
        <v/>
      </c>
      <c r="D2245">
        <f>IF(Skills!C12=1,60+Inputs!$B$25+Inputs!$B$29,IF(Skills!C12=2,90+Inputs!$B$26+Inputs!$B$29,IF(Skills!C12=3,120+Inputs!$B$27+Inputs!$B$29,MAX(0,(Inputs!$B$3-100)*3)+Inputs!$B$28+Inputs!$B$29)))</f>
        <v/>
      </c>
      <c r="E2245">
        <f>INDEX(FactorTable!$B$2:$Y$301, MATCH(ROUND(MIN(300,MAX(1,D2245)),0), FactorTable!$A$2:$A$301,0), Skills!M12+1)</f>
        <v/>
      </c>
      <c r="F2245">
        <f>IF(Skills!N12=TRUE,(Skills!L12/10)*(E2245/1000),Skills!L12/10)+Skills!O12</f>
        <v/>
      </c>
      <c r="G2245">
        <f>Skills!G12*IF(Skills!H12&gt;0,Skills!I12/Skills!H12,1)</f>
        <v/>
      </c>
      <c r="H2245">
        <f>1-(1-Skills!J12/100)^Skills!K12</f>
        <v/>
      </c>
      <c r="I2245" t="inlineStr">
        <is>
          <t>1</t>
        </is>
      </c>
      <c r="J2245">
        <f>((Inputs!$B$6*(1+Inputs!$B$7/100))+(((Inputs!$B$12*(1+Inputs!$B$13/100))-(Inputs!$B$12*(1+Inputs!$B$13/100)))+0.25*(Inputs!$B$14-Inputs!$B$14))*(1+Inputs!$B$7/100))*(F2245/100)</f>
        <v/>
      </c>
      <c r="K2245">
        <f>J2245*(1+((Inputs!$B$12*(1+Inputs!$B$13/100))*0.01+Inputs!$B$14*0.0025)/100)*(1+Inputs!$B$15/100)*(1+Inputs!$B$16/100)*(5000/(6000+Inputs!$B$42*(1-(100*(1-(1-(Inputs!$B$19+((C2261=TRUE)*(F2261-Calc!F28)))/100)*(1-CHOOSE(ArtifactsInput!$N$40+1,5,6,7,8,9,10)/100)^(ArtifactsInput!$M$40-ArtifactsInput!$M$40)))/100)))*(1+(Inputs!$B$24+((C2259=TRUE)*(F2259-Calc!F26))+((C2260=TRUE)*(F2260-Calc!F27))+B2273)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2246=TRUE,F2246,0)/100)*(1+(IF(Skills!A12="ARROW_STREAM",Inputs!$B$17+((C2257=TRUE)*(F2257-Calc!F24))+(((IF(AND(ArtifactsInput!$M$42,((Inputs!$B$9+((C2254=TRUE)*(F2254-Calc!F21))+B2267+(ArtifactsInput!$M$24-ArtifactsInput!$M$24)*CHOOSE(ArtifactsInput!$N$24+1,10,12,14,16,18,20)+IF(ArtifactsInput!$M$10,CHOOSE(ArtifactsInput!$N$10+1,15,18,21,24,27,30)*(IF(Inputs!$B$38="pvp",MIN(15,15)/15,IF(AND(Inputs!$B$38&lt;&gt;"pvp",Inputs!$B$43&gt;0),MIN(15,Inputs!$B$43)/(Inputs!$B$43),0))),0)))&gt;=100),MIN(100,((Inputs!$B$9+((C2254=TRUE)*(F2254-Calc!F21))+B2267+(ArtifactsInput!$M$24-ArtifactsInput!$M$24)*CHOOSE(ArtifactsInput!$N$24+1,10,12,14,16,18,20)+IF(ArtifactsInput!$M$10,CHOOSE(ArtifactsInput!$N$10+1,15,18,21,24,27,30)*(IF(Inputs!$B$38="pvp",MIN(15,15)/15,IF(AND(Inputs!$B$38&lt;&gt;"pvp",Inputs!$B$43&gt;0),MIN(15,Inputs!$B$43)/(Inputs!$B$43),0))),0)))-100),0))*CHOOSE(ArtifactsInput!$N$42+1,0.6,0.72,0.84,0.96,1.08,1.2))),Inputs!$B$18+((C2262=TRUE)*(F2262-Calc!F29))+(IF(AND(ArtifactsInput!$M$42,((Inputs!$B$9+((C2254=TRUE)*(F2254-Calc!F21))+B2267+(ArtifactsInput!$M$24-ArtifactsInput!$M$24)*CHOOSE(ArtifactsInput!$N$24+1,10,12,14,16,18,20)+IF(ArtifactsInput!$M$10,CHOOSE(ArtifactsInput!$N$10+1,15,18,21,24,27,30)*(IF(Inputs!$B$38="pvp",MIN(15,15)/15,IF(AND(Inputs!$B$38&lt;&gt;"pvp",Inputs!$B$43&gt;0),MIN(15,Inputs!$B$43)/(Inputs!$B$43),0))),0)))&gt;=100),CHOOSE(ArtifactsInput!$N$42+1,40,48,56,64,72,80),0))))/100)*((1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2245)</f>
        <v/>
      </c>
      <c r="L2245">
        <f>K2245*(MIN(Inputs!$B$22+((C2258=TRUE)*(F2258-Calc!F25)),(Inputs!$B$23+((C2263=TRUE)*(F2263-Calc!F30))+(IF(ArtifactsInput!$M$15,CHOOSE(ArtifactsInput!$N$15+1,25,30,35,40,45,50)/100*(Inputs!$B$11-Inputs!$B$11),0))))/100+(Inputs!$B$23+((C2263=TRUE)*(F2263-Calc!F30))+(IF(ArtifactsInput!$M$15,CHOOSE(ArtifactsInput!$N$15+1,25,30,35,40,45,50)/100*(Inputs!$B$11-Inputs!$B$11),0)))/100)/2</f>
        <v/>
      </c>
      <c r="M2245">
        <f>L2245*(1+(Inputs!$B$10+0+B2272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5">
        <f>L2245*(1-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2245*(MIN((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5">
        <f>(1-Summary!$B$11)*T2245+Summary!$B$11*V2245</f>
        <v/>
      </c>
      <c r="P2245">
        <f>IF(B2277=0,0,O2245/B2277)</f>
        <v/>
      </c>
      <c r="Q2245">
        <f>IFERROR(1/(IF(Inputs!$B$38="pvp",15,MAX(0.1,Skills!D12-IF(Skills!E12=TRUE,Inputs!$B$32,0)))*(1-IF(AND(IF(ArtifactsInput!$M$27,FALSE,TRUE),Inputs!$B$4="Chapter Hunt"),CHOOSE(ArtifactsInput!$N$27+1,20,24,28,32,36,40),0)/100)),0)</f>
        <v/>
      </c>
      <c r="R2245">
        <f>IF(AND(Inputs!$B$38&lt;&gt;"pvp",Inputs!$B$43&gt;0),IF(MAX(0,Inputs!$B$43-B2274)&lt;=0,0,(INT(MAX(0,Inputs!$B$43-B2274)/(IF(Inputs!$B$38="pvp",15,MAX(0.1,Skills!D12-IF(Skills!E12=TRUE,Inputs!$B$32,0)))*(1-IF(AND(IF(ArtifactsInput!$M$27,FALSE,TRUE),Inputs!$B$4="Chapter Hunt"),CHOOSE(ArtifactsInput!$N$27+1,20,24,28,32,36,40),0)/100)))+1)),0)</f>
        <v/>
      </c>
      <c r="S2245">
        <f>IFERROR(O2245/N2245,0)</f>
        <v/>
      </c>
      <c r="T2245">
        <f>IF(C2245,(H2245*N2245*IF(AND(Inputs!$B$38&lt;&gt;"pvp",Inputs!$B$43&gt;0),((Skills!G12*((R2245-1)*IF(Skills!H12&gt;0,Skills!I12/Skills!H12,1)+IF(Skills!H12&gt;0,MIN(Skills!I12,MAX(0,MAX(0,Inputs!$B$43-B2274)-((R2245-1)*(IF(Inputs!$B$38="pvp",15,MAX(0.1,Skills!D12-IF(Skills!E12=TRUE,Inputs!$B$32,0)))*(1-IF(AND(IF(ArtifactsInput!$M$27,FALSE,TRUE),Inputs!$B$4="Chapter Hunt"),CHOOSE(ArtifactsInput!$N$27+1,20,24,28,32,36,40),0)/100)))))/Skills!H12,1)))/Inputs!$B$43),G2245*Q2245)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(5000/(6000+Inputs!$B$42*(1-(100*(1-(1-(100*(1-(1-(Inputs!$B$19+((C2261=TRUE)*(F2261-Calc!F28)))/100)*(1-CHOOSE(ArtifactsInput!$N$40+1,5,6,7,8,9,10)/100)^(ArtifactsInput!$M$40-ArtifactsInput!$M$40)))/100)*(1-IF(ArtifactsInput!$M$40,CHOOSE(ArtifactsInput!$N$40+1,5,6,7,8,9,10),0)/100)^IF(Inputs!$B$38="pvp",1,2)))/100)))/(5000/(6000+Inputs!$B$42*(1-(100*(1-(1-(Inputs!$B$19+((C2261=TRUE)*(F2261-Calc!F28)))/100)*(1-CHOOSE(ArtifactsInput!$N$40+1,5,6,7,8,9,10)/100)^(ArtifactsInput!$M$40-ArtifactsInput!$M$40)))/100))))*((L2245*(1-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2245*(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2245*(1-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2245*(MIN(100,(Inputs!$B$9+((C2254=TRUE)*(F2254-Calc!F21))+B2267+(ArtifactsInput!$M$24-ArtifactsInput!$M$24)*CHOOSE(ArtifactsInput!$N$24+1,10,12,14,16,18,20)+(IF(AND(ArtifactsInput!$M$42,((Inputs!$B$9+((C2254=TRUE)*(F2254-Calc!F21))+B2267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5">
        <f>IF(C2245,(H2245*N2245*IF(AND(Inputs!$B$38&lt;&gt;"pvp",Inputs!$B$43&gt;0),((Skills!G12*((R2245-1)*IF(Skills!H12&gt;0,Skills!I12/Skills!H12,1)+IF(Skills!H12&gt;0,MIN(Skills!I12,MAX(0,MAX(0,Inputs!$B$43-B2274)-((R2245-1)*(IF(Inputs!$B$38="pvp",15,MAX(0.1,Skills!D12-IF(Skills!E12=TRUE,Inputs!$B$32,0)))*(1-IF(AND(IF(ArtifactsInput!$M$27,FALSE,TRUE),Inputs!$B$4="Chapter Hunt"),CHOOSE(ArtifactsInput!$N$27+1,20,24,28,32,36,40),0)/100)))))/Skills!H12,1)))/Inputs!$B$43),G2245*Q2245))*IF(Inputs!$B$38="pvp",1,(1+(Inputs!$B$21+Skills!Q12+(IF(ArtifactsInput!$M$33,CHOOSE(ArtifactsInput!$N$33+1,30,36,42,48,54,60),0))+(IF(AND(ArtifactsInput!$M$35,Inputs!$B$4&lt;&gt;"Chapter Hunt"),CHOOSE(ArtifactsInput!$N$35+1,15,18,21,24,27,30)*(1-EXP(-(0.2*B2269)*5)),0)+IF(AND(ArtifactsInput!$M$22,Inputs!$B$4&lt;&gt;"Chapter Hunt"),CHOOSE(ArtifactsInput!$N$22+1,10,12,14,16,18,20)*((0*(((0.15*B2269*5))^0/1)+1*(((0.15*B2269*5))^1/1)+2*(((0.15*B2269*5))^2/2)+3*(((0.15*B2269*5))^3/6)+4*(((0.15*B2269*5))^4/24)+5*(((0.15*B2269*5))^5/120))/((((0.15*B2269*5))^0/1)+(((0.15*B2269*5))^1/1)+(((0.15*B2269*5))^2/2)+(((0.15*B2269*5))^3/6)+(((0.15*B2269*5))^4/24)+(((0.15*B2269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6">
      <c r="A2246">
        <f>Skills!A13</f>
        <v/>
      </c>
      <c r="B2246">
        <f>Skills!B13</f>
        <v/>
      </c>
      <c r="C2246">
        <f>Inputs!$B$3&gt;=110</f>
        <v/>
      </c>
      <c r="D2246">
        <f>IF(Skills!C13=1,60+Inputs!$B$25+Inputs!$B$29,IF(Skills!C13=2,90+Inputs!$B$26+Inputs!$B$29,IF(Skills!C13=3,120+Inputs!$B$27+Inputs!$B$29,MAX(0,(Inputs!$B$3-100)*3)+Inputs!$B$28+Inputs!$B$29)))</f>
        <v/>
      </c>
      <c r="E2246">
        <f>INDEX(FactorTable!$B$2:$Y$301, MATCH(ROUND(MIN(300,MAX(1,D2246)),0), FactorTable!$A$2:$A$301,0), Skills!M13+1)</f>
        <v/>
      </c>
      <c r="F2246">
        <f>IF(Skills!N13=TRUE,(Skills!L13/10)*(E2246/1000),Skills!L13/10)+Skills!O13</f>
        <v/>
      </c>
      <c r="G2246" t="inlineStr"/>
      <c r="H2246" t="inlineStr"/>
      <c r="I2246" t="inlineStr">
        <is>
          <t>1</t>
        </is>
      </c>
      <c r="J2246" t="inlineStr"/>
      <c r="K2246" t="inlineStr"/>
      <c r="L2246" t="inlineStr"/>
      <c r="M2246" t="inlineStr"/>
      <c r="N2246" t="inlineStr"/>
      <c r="O2246" t="inlineStr"/>
      <c r="P2246" t="inlineStr"/>
      <c r="Q2246" t="inlineStr"/>
      <c r="R2246" t="inlineStr"/>
      <c r="S2246" t="inlineStr"/>
      <c r="T2246" t="inlineStr"/>
      <c r="V2246" t="inlineStr"/>
    </row>
    <row r="2247">
      <c r="A2247">
        <f>Skills!A14</f>
        <v/>
      </c>
      <c r="B2247">
        <f>Skills!B14</f>
        <v/>
      </c>
      <c r="C2247">
        <f>Inputs!$B$3&gt;=74</f>
        <v/>
      </c>
      <c r="D2247">
        <f>IF(Skills!C14=1,60+Inputs!$B$25+Inputs!$B$29,IF(Skills!C14=2,90+Inputs!$B$26+Inputs!$B$29,IF(Skills!C14=3,120+Inputs!$B$27+Inputs!$B$29,MAX(0,(Inputs!$B$3-100)*3)+Inputs!$B$28+Inputs!$B$29)))</f>
        <v/>
      </c>
      <c r="E2247">
        <f>INDEX(FactorTable!$B$2:$Y$301, MATCH(ROUND(MIN(300,MAX(1,D2247)),0), FactorTable!$A$2:$A$301,0), Skills!M14+1)</f>
        <v/>
      </c>
      <c r="F2247">
        <f>IF(Skills!N14=TRUE,(Skills!L14/10)*(E2247/1000),Skills!L14/10)+Skills!O14</f>
        <v/>
      </c>
      <c r="G2247">
        <f>Skills!G14*IF(Skills!H14&gt;0,Skills!I14/Skills!H14,1)</f>
        <v/>
      </c>
      <c r="H2247">
        <f>1-(1-Skills!J14/100)^Skills!K14</f>
        <v/>
      </c>
      <c r="I2247" t="inlineStr">
        <is>
          <t>1</t>
        </is>
      </c>
      <c r="J2247" t="inlineStr"/>
      <c r="K2247" t="inlineStr"/>
      <c r="L2247" t="inlineStr"/>
      <c r="M2247" t="inlineStr"/>
      <c r="N2247" t="inlineStr"/>
      <c r="O2247">
        <f>(1-Summary!$B$11)*T2247+Summary!$B$11*V2247</f>
        <v/>
      </c>
      <c r="P2247">
        <f>IF(B2277=0,0,O2247/B2277)</f>
        <v/>
      </c>
      <c r="Q2247" t="n">
        <v>0</v>
      </c>
      <c r="R2247" t="n">
        <v>0</v>
      </c>
      <c r="S2247">
        <f>IFERROR(O2247/N2247,0)</f>
        <v/>
      </c>
      <c r="T2247" t="n">
        <v>0</v>
      </c>
      <c r="V2247" t="n">
        <v>0</v>
      </c>
    </row>
    <row r="2248">
      <c r="A2248">
        <f>Skills!A15</f>
        <v/>
      </c>
      <c r="B2248">
        <f>Skills!B15</f>
        <v/>
      </c>
      <c r="C2248">
        <f>Inputs!$B$3&gt;=74</f>
        <v/>
      </c>
      <c r="D2248">
        <f>IF(Skills!C15=1,60+Inputs!$B$25+Inputs!$B$29,IF(Skills!C15=2,90+Inputs!$B$26+Inputs!$B$29,IF(Skills!C15=3,120+Inputs!$B$27+Inputs!$B$29,MAX(0,(Inputs!$B$3-100)*3)+Inputs!$B$28+Inputs!$B$29)))</f>
        <v/>
      </c>
      <c r="E2248">
        <f>INDEX(FactorTable!$B$2:$Y$301, MATCH(ROUND(MIN(300,MAX(1,D2248)),0), FactorTable!$A$2:$A$301,0), Skills!M15+1)</f>
        <v/>
      </c>
      <c r="F2248">
        <f>IF(Skills!N15=TRUE,(Skills!L15/10)*(E2248/1000),Skills!L15/10)+Skills!O15</f>
        <v/>
      </c>
      <c r="G2248">
        <f>Skills!G15*IF(Skills!H15&gt;0,Skills!I15/Skills!H15,1)</f>
        <v/>
      </c>
      <c r="H2248">
        <f>1-(1-Skills!J15/100)^Skills!K15</f>
        <v/>
      </c>
      <c r="I2248" t="inlineStr">
        <is>
          <t>1</t>
        </is>
      </c>
      <c r="J2248" t="inlineStr"/>
      <c r="K2248" t="inlineStr"/>
      <c r="L2248" t="inlineStr"/>
      <c r="M2248" t="inlineStr"/>
      <c r="N2248" t="inlineStr"/>
      <c r="O2248">
        <f>(1-Summary!$B$11)*T2248+Summary!$B$11*V2248</f>
        <v/>
      </c>
      <c r="P2248">
        <f>IF(B2277=0,0,O2248/B2277)</f>
        <v/>
      </c>
      <c r="Q2248" t="n">
        <v>0</v>
      </c>
      <c r="R2248" t="n">
        <v>0</v>
      </c>
      <c r="S2248">
        <f>IFERROR(O2248/N2248,0)</f>
        <v/>
      </c>
      <c r="T2248" t="n">
        <v>0</v>
      </c>
      <c r="V2248" t="n">
        <v>0</v>
      </c>
    </row>
    <row r="2249">
      <c r="A2249">
        <f>Skills!A16</f>
        <v/>
      </c>
      <c r="B2249">
        <f>Skills!B16</f>
        <v/>
      </c>
      <c r="C2249">
        <f>Inputs!$B$3&gt;=117</f>
        <v/>
      </c>
      <c r="D2249">
        <f>IF(Skills!C16=1,60+Inputs!$B$25+Inputs!$B$29,IF(Skills!C16=2,90+Inputs!$B$26+Inputs!$B$29,IF(Skills!C16=3,120+Inputs!$B$27+Inputs!$B$29,MAX(0,(Inputs!$B$3-100)*3)+Inputs!$B$28+Inputs!$B$29)))</f>
        <v/>
      </c>
      <c r="E2249">
        <f>INDEX(FactorTable!$B$2:$Y$301, MATCH(ROUND(MIN(300,MAX(1,D2249)),0), FactorTable!$A$2:$A$301,0), Skills!M16+1)</f>
        <v/>
      </c>
      <c r="F2249">
        <f>IF(Skills!N16=TRUE,(Skills!L16/10)*(E2249/1000),Skills!L16/10)+Skills!O16</f>
        <v/>
      </c>
      <c r="G2249">
        <f>Skills!G16*IF(Skills!H16&gt;0,Skills!I16/Skills!H16,1)</f>
        <v/>
      </c>
      <c r="H2249">
        <f>1-(1-Skills!J16/100)^Skills!K16</f>
        <v/>
      </c>
      <c r="I2249" t="inlineStr">
        <is>
          <t>1</t>
        </is>
      </c>
      <c r="J2249" t="inlineStr"/>
      <c r="K2249" t="inlineStr"/>
      <c r="L2249" t="inlineStr"/>
      <c r="M2249" t="inlineStr"/>
      <c r="N2249" t="inlineStr"/>
      <c r="O2249">
        <f>(1-Summary!$B$11)*T2249+Summary!$B$11*V2249</f>
        <v/>
      </c>
      <c r="P2249">
        <f>IF(B2277=0,0,O2249/B2277)</f>
        <v/>
      </c>
      <c r="Q2249">
        <f>IFERROR(1/(IF(Inputs!$B$38="pvp",15,MAX(0.1,Skills!D16-IF(Skills!E16=TRUE,Inputs!$B$32,0)))*(1-IF(AND(IF(ArtifactsInput!$M$27,FALSE,TRUE),Inputs!$B$4="Chapter Hunt"),CHOOSE(ArtifactsInput!$N$27+1,20,24,28,32,36,40),0)/100)),0)</f>
        <v/>
      </c>
      <c r="R2249">
        <f>IF(AND(Inputs!$B$38&lt;&gt;"pvp",Inputs!$B$43&gt;0),IF(Inputs!$B$43&lt;=0,0,(INT(Inputs!$B$43/(IF(Inputs!$B$38="pvp",15,MAX(0.1,Skills!D16-IF(Skills!E16=TRUE,Inputs!$B$32,0)))*(1-IF(AND(IF(ArtifactsInput!$M$27,FALSE,TRUE),Inputs!$B$4="Chapter Hunt"),CHOOSE(ArtifactsInput!$N$27+1,20,24,28,32,36,40),0)/100)))+1)),0)</f>
        <v/>
      </c>
      <c r="S2249">
        <f>IFERROR(O2249/N2249,0)</f>
        <v/>
      </c>
      <c r="T2249" t="n">
        <v>0</v>
      </c>
      <c r="V2249" t="n">
        <v>0</v>
      </c>
    </row>
    <row r="2250">
      <c r="A2250">
        <f>Skills!A17</f>
        <v/>
      </c>
      <c r="B2250">
        <f>Skills!B17</f>
        <v/>
      </c>
      <c r="C2250">
        <f>Inputs!$B$3&gt;=115</f>
        <v/>
      </c>
      <c r="D2250">
        <f>IF(Skills!C17=1,60+Inputs!$B$25+Inputs!$B$29,IF(Skills!C17=2,90+Inputs!$B$26+Inputs!$B$29,IF(Skills!C17=3,120+Inputs!$B$27+Inputs!$B$29,MAX(0,(Inputs!$B$3-100)*3)+Inputs!$B$28+Inputs!$B$29)))</f>
        <v/>
      </c>
      <c r="E2250">
        <f>INDEX(FactorTable!$B$2:$Y$301, MATCH(ROUND(MIN(300,MAX(1,D2250)),0), FactorTable!$A$2:$A$301,0), Skills!M17+1)</f>
        <v/>
      </c>
      <c r="F2250">
        <f>IF(Skills!N17=TRUE,(Skills!L17/10)*(E2250/1000),Skills!L17/10)+Skills!O17</f>
        <v/>
      </c>
      <c r="G2250">
        <f>Skills!G17*IF(Skills!H17&gt;0,Skills!I17/Skills!H17,1)</f>
        <v/>
      </c>
      <c r="H2250">
        <f>1-(1-Skills!J17/100)^Skills!K17</f>
        <v/>
      </c>
      <c r="I2250" t="inlineStr">
        <is>
          <t>1</t>
        </is>
      </c>
      <c r="J2250" t="inlineStr"/>
      <c r="K2250" t="inlineStr"/>
      <c r="L2250" t="inlineStr"/>
      <c r="M2250" t="inlineStr"/>
      <c r="N2250" t="inlineStr"/>
      <c r="O2250">
        <f>(1-Summary!$B$11)*T2250+Summary!$B$11*V2250</f>
        <v/>
      </c>
      <c r="P2250">
        <f>IF(B2277=0,0,O2250/B2277)</f>
        <v/>
      </c>
      <c r="Q2250">
        <f>IFERROR(1/(IF(Inputs!$B$38="pvp",15,MAX(0.1,Skills!D17-IF(Skills!E17=TRUE,Inputs!$B$32,0)))*(1-IF(AND(IF(ArtifactsInput!$M$27,FALSE,TRUE),Inputs!$B$4="Chapter Hunt"),CHOOSE(ArtifactsInput!$N$27+1,20,24,28,32,36,40),0)/100)),0)</f>
        <v/>
      </c>
      <c r="R2250">
        <f>IF(AND(Inputs!$B$38&lt;&gt;"pvp",Inputs!$B$43&gt;0),IF(Inputs!$B$43&lt;=0,0,(INT(Inputs!$B$43/(IF(Inputs!$B$38="pvp",15,MAX(0.1,Skills!D17-IF(Skills!E17=TRUE,Inputs!$B$32,0)))*(1-IF(AND(IF(ArtifactsInput!$M$27,FALSE,TRUE),Inputs!$B$4="Chapter Hunt"),CHOOSE(ArtifactsInput!$N$27+1,20,24,28,32,36,40),0)/100)))+1)),0)</f>
        <v/>
      </c>
      <c r="S2250">
        <f>IFERROR(O2250/N2250,0)</f>
        <v/>
      </c>
      <c r="T2250" t="n">
        <v>0</v>
      </c>
      <c r="V2250" t="n">
        <v>0</v>
      </c>
    </row>
    <row r="2251">
      <c r="A2251">
        <f>Skills!A18</f>
        <v/>
      </c>
      <c r="B2251">
        <f>Skills!B18</f>
        <v/>
      </c>
      <c r="C2251">
        <f>Inputs!$B$3&gt;=66</f>
        <v/>
      </c>
      <c r="D2251">
        <f>IF(Skills!C18=1,60+Inputs!$B$25+Inputs!$B$29,IF(Skills!C18=2,90+Inputs!$B$26+Inputs!$B$29,IF(Skills!C18=3,120+Inputs!$B$27+Inputs!$B$29,MAX(0,(Inputs!$B$3-100)*3)+Inputs!$B$28+Inputs!$B$29)))</f>
        <v/>
      </c>
      <c r="E2251">
        <f>INDEX(FactorTable!$B$2:$Y$301, MATCH(ROUND(MIN(300,MAX(1,D2251)),0), FactorTable!$A$2:$A$301,0), Skills!M18+1)</f>
        <v/>
      </c>
      <c r="F2251">
        <f>IF(Skills!N18=TRUE,(Skills!L18/10)*(E2251/1000),Skills!L18/10)+Skills!O18</f>
        <v/>
      </c>
      <c r="G2251">
        <f>Skills!G18*IF(Skills!H18&gt;0,Skills!I18/Skills!H18,1)</f>
        <v/>
      </c>
      <c r="H2251">
        <f>1-(1-Skills!J18/100)^Skills!K18</f>
        <v/>
      </c>
      <c r="I2251" t="inlineStr">
        <is>
          <t>1</t>
        </is>
      </c>
      <c r="J2251" t="inlineStr"/>
      <c r="K2251" t="inlineStr"/>
      <c r="L2251" t="inlineStr"/>
      <c r="M2251" t="inlineStr"/>
      <c r="N2251" t="inlineStr"/>
      <c r="O2251">
        <f>(1-Summary!$B$11)*T2251+Summary!$B$11*V2251</f>
        <v/>
      </c>
      <c r="P2251">
        <f>IF(B2277=0,0,O2251/B2277)</f>
        <v/>
      </c>
      <c r="Q2251" t="n">
        <v>0</v>
      </c>
      <c r="R2251" t="n">
        <v>0</v>
      </c>
      <c r="S2251">
        <f>IFERROR(O2251/N2251,0)</f>
        <v/>
      </c>
      <c r="T2251" t="n">
        <v>0</v>
      </c>
      <c r="V2251" t="n">
        <v>0</v>
      </c>
    </row>
    <row r="2252">
      <c r="A2252">
        <f>Skills!A19</f>
        <v/>
      </c>
      <c r="B2252">
        <f>Skills!B19</f>
        <v/>
      </c>
      <c r="C2252">
        <f>Inputs!$B$3&gt;=72</f>
        <v/>
      </c>
      <c r="D2252">
        <f>IF(Skills!C19=1,60+Inputs!$B$25+Inputs!$B$29,IF(Skills!C19=2,90+Inputs!$B$26+Inputs!$B$29,IF(Skills!C19=3,120+Inputs!$B$27+Inputs!$B$29,MAX(0,(Inputs!$B$3-100)*3)+Inputs!$B$28+Inputs!$B$29)))</f>
        <v/>
      </c>
      <c r="E2252">
        <f>INDEX(FactorTable!$B$2:$Y$301, MATCH(ROUND(MIN(300,MAX(1,D2252)),0), FactorTable!$A$2:$A$301,0), Skills!M19+1)</f>
        <v/>
      </c>
      <c r="F2252">
        <f>IF(Skills!N19=TRUE,(Skills!L19/10)*(E2252/1000),Skills!L19/10)+Skills!O19</f>
        <v/>
      </c>
      <c r="G2252">
        <f>Skills!G19*IF(Skills!H19&gt;0,Skills!I19/Skills!H19,1)</f>
        <v/>
      </c>
      <c r="H2252">
        <f>1-(1-Skills!J19/100)^Skills!K19</f>
        <v/>
      </c>
      <c r="I2252" t="inlineStr">
        <is>
          <t>1</t>
        </is>
      </c>
      <c r="J2252" t="inlineStr"/>
      <c r="K2252" t="inlineStr"/>
      <c r="L2252" t="inlineStr"/>
      <c r="M2252" t="inlineStr"/>
      <c r="N2252" t="inlineStr"/>
      <c r="O2252">
        <f>(1-Summary!$B$11)*T2252+Summary!$B$11*V2252</f>
        <v/>
      </c>
      <c r="P2252">
        <f>IF(B2277=0,0,O2252/B2277)</f>
        <v/>
      </c>
      <c r="Q2252" t="n">
        <v>0</v>
      </c>
      <c r="R2252" t="n">
        <v>0</v>
      </c>
      <c r="S2252">
        <f>IFERROR(O2252/N2252,0)</f>
        <v/>
      </c>
      <c r="T2252" t="n">
        <v>0</v>
      </c>
      <c r="V2252" t="n">
        <v>0</v>
      </c>
    </row>
    <row r="2253">
      <c r="A2253">
        <f>Skills!A20</f>
        <v/>
      </c>
      <c r="B2253">
        <f>Skills!B20</f>
        <v/>
      </c>
      <c r="C2253">
        <f>TRUE</f>
        <v/>
      </c>
      <c r="D2253">
        <f>IF(Skills!C20=1,60+Inputs!$B$25+Inputs!$B$29,IF(Skills!C20=2,90+Inputs!$B$26+Inputs!$B$29,IF(Skills!C20=3,120+Inputs!$B$27+Inputs!$B$29,MAX(0,(Inputs!$B$3-100)*3)+Inputs!$B$28+Inputs!$B$29)))</f>
        <v/>
      </c>
      <c r="E2253">
        <f>INDEX(FactorTable!$B$2:$Y$301, MATCH(ROUND(MIN(300,MAX(1,D2253)),0), FactorTable!$A$2:$A$301,0), Skills!M20+1)</f>
        <v/>
      </c>
      <c r="F2253">
        <f>IF(Skills!N20=TRUE,(Skills!L20/10)*(E2253/1000),Skills!L20/10)+Skills!O20</f>
        <v/>
      </c>
      <c r="G2253">
        <f>Skills!G20*IF(Skills!H20&gt;0,Skills!I20/Skills!H20,1)</f>
        <v/>
      </c>
      <c r="H2253">
        <f>1-(1-Skills!J20/100)^Skills!K20</f>
        <v/>
      </c>
      <c r="I2253" t="inlineStr">
        <is>
          <t>1</t>
        </is>
      </c>
      <c r="J2253" t="inlineStr"/>
      <c r="K2253" t="inlineStr"/>
      <c r="L2253" t="inlineStr"/>
      <c r="M2253" t="inlineStr"/>
      <c r="N2253" t="inlineStr"/>
      <c r="O2253">
        <f>(1-Summary!$B$11)*T2253+Summary!$B$11*V2253</f>
        <v/>
      </c>
      <c r="P2253">
        <f>IF(B2277=0,0,O2253/B2277)</f>
        <v/>
      </c>
      <c r="Q2253">
        <f>IFERROR(1/(IF(Inputs!$B$38="pvp",15,MAX(0.1,Skills!D20-IF(Skills!E20=TRUE,Inputs!$B$32,0)))*(1-IF(AND(IF(ArtifactsInput!$M$27,FALSE,TRUE),Inputs!$B$4="Chapter Hunt"),CHOOSE(ArtifactsInput!$N$27+1,20,24,28,32,36,40),0)/100)),0)</f>
        <v/>
      </c>
      <c r="R2253">
        <f>IF(AND(Inputs!$B$38&lt;&gt;"pvp",Inputs!$B$43&gt;0),IF(Inputs!$B$43&lt;=0,0,(INT(Inputs!$B$43/(IF(Inputs!$B$38="pvp",15,MAX(0.1,Skills!D20-IF(Skills!E20=TRUE,Inputs!$B$32,0)))*(1-IF(AND(IF(ArtifactsInput!$M$27,FALSE,TRUE),Inputs!$B$4="Chapter Hunt"),CHOOSE(ArtifactsInput!$N$27+1,20,24,28,32,36,40),0)/100)))+1)),0)</f>
        <v/>
      </c>
      <c r="S2253">
        <f>IFERROR(O2253/N2253,0)</f>
        <v/>
      </c>
      <c r="T2253" t="n">
        <v>0</v>
      </c>
      <c r="V2253" t="n">
        <v>0</v>
      </c>
    </row>
    <row r="2254">
      <c r="A2254">
        <f>Skills!A21</f>
        <v/>
      </c>
      <c r="B2254">
        <f>Skills!B21</f>
        <v/>
      </c>
      <c r="C2254">
        <f>Inputs!$B$3&gt;=15</f>
        <v/>
      </c>
      <c r="D2254">
        <f>IF(Skills!C21=1,60+Inputs!$B$25+Inputs!$B$29,IF(Skills!C21=2,90+Inputs!$B$26+Inputs!$B$29,IF(Skills!C21=3,120+Inputs!$B$27+Inputs!$B$29,MAX(0,(Inputs!$B$3-100)*3)+Inputs!$B$28+Inputs!$B$29)))</f>
        <v/>
      </c>
      <c r="E2254">
        <f>INDEX(FactorTable!$B$2:$Y$301, MATCH(ROUND(MIN(300,MAX(1,D2254)),0), FactorTable!$A$2:$A$301,0), Skills!M21+1)</f>
        <v/>
      </c>
      <c r="F2254">
        <f>IF(Skills!N21=TRUE,(Skills!L21/10)*(E2254/1000),Skills!L21/10)+Skills!O21</f>
        <v/>
      </c>
      <c r="G2254">
        <f>Skills!G21*IF(Skills!H21&gt;0,Skills!I21/Skills!H21,1)</f>
        <v/>
      </c>
      <c r="H2254">
        <f>1-(1-Skills!J21/100)^Skills!K21</f>
        <v/>
      </c>
      <c r="I2254" t="inlineStr">
        <is>
          <t>1</t>
        </is>
      </c>
      <c r="J2254" t="inlineStr"/>
      <c r="K2254" t="inlineStr"/>
      <c r="L2254" t="inlineStr"/>
      <c r="M2254" t="inlineStr"/>
      <c r="N2254" t="inlineStr"/>
      <c r="O2254">
        <f>(1-Summary!$B$11)*T2254+Summary!$B$11*V2254</f>
        <v/>
      </c>
      <c r="P2254">
        <f>IF(B2277=0,0,O2254/B2277)</f>
        <v/>
      </c>
      <c r="Q2254" t="n">
        <v>0</v>
      </c>
      <c r="R2254" t="n">
        <v>0</v>
      </c>
      <c r="S2254">
        <f>IFERROR(O2254/N2254,0)</f>
        <v/>
      </c>
      <c r="T2254" t="n">
        <v>0</v>
      </c>
      <c r="V2254" t="n">
        <v>0</v>
      </c>
    </row>
    <row r="2255">
      <c r="A2255">
        <f>Skills!A22</f>
        <v/>
      </c>
      <c r="B2255">
        <f>Skills!B22</f>
        <v/>
      </c>
      <c r="C2255">
        <f>Inputs!$B$3&gt;=10</f>
        <v/>
      </c>
      <c r="D2255">
        <f>IF(Skills!C22=1,60+Inputs!$B$25+Inputs!$B$29,IF(Skills!C22=2,90+Inputs!$B$26+Inputs!$B$29,IF(Skills!C22=3,120+Inputs!$B$27+Inputs!$B$29,MAX(0,(Inputs!$B$3-100)*3)+Inputs!$B$28+Inputs!$B$29)))</f>
        <v/>
      </c>
      <c r="E2255">
        <f>INDEX(FactorTable!$B$2:$Y$301, MATCH(ROUND(MIN(300,MAX(1,D2255)),0), FactorTable!$A$2:$A$301,0), Skills!M22+1)</f>
        <v/>
      </c>
      <c r="F2255">
        <f>IF(Skills!N22=TRUE,(Skills!L22/10)*(E2255/1000),Skills!L22/10)+Skills!O22</f>
        <v/>
      </c>
      <c r="G2255">
        <f>Skills!G22*IF(Skills!H22&gt;0,Skills!I22/Skills!H22,1)</f>
        <v/>
      </c>
      <c r="H2255">
        <f>1-(1-Skills!J22/100)^Skills!K22</f>
        <v/>
      </c>
      <c r="I2255" t="inlineStr">
        <is>
          <t>1</t>
        </is>
      </c>
      <c r="J2255" t="inlineStr"/>
      <c r="K2255" t="inlineStr"/>
      <c r="L2255" t="inlineStr"/>
      <c r="M2255" t="inlineStr"/>
      <c r="N2255" t="inlineStr"/>
      <c r="O2255">
        <f>(1-Summary!$B$11)*T2255+Summary!$B$11*V2255</f>
        <v/>
      </c>
      <c r="P2255">
        <f>IF(B2277=0,0,O2255/B2277)</f>
        <v/>
      </c>
      <c r="Q2255" t="n">
        <v>0</v>
      </c>
      <c r="R2255" t="n">
        <v>0</v>
      </c>
      <c r="S2255">
        <f>IFERROR(O2255/N2255,0)</f>
        <v/>
      </c>
      <c r="T2255" t="n">
        <v>0</v>
      </c>
      <c r="V2255" t="n">
        <v>0</v>
      </c>
    </row>
    <row r="2256">
      <c r="A2256">
        <f>Skills!A23</f>
        <v/>
      </c>
      <c r="B2256">
        <f>Skills!B23</f>
        <v/>
      </c>
      <c r="C2256">
        <f>Inputs!$B$3&gt;=33</f>
        <v/>
      </c>
      <c r="D2256">
        <f>IF(Skills!C23=1,60+Inputs!$B$25+Inputs!$B$29,IF(Skills!C23=2,90+Inputs!$B$26+Inputs!$B$29,IF(Skills!C23=3,120+Inputs!$B$27+Inputs!$B$29,MAX(0,(Inputs!$B$3-100)*3)+Inputs!$B$28+Inputs!$B$29)))</f>
        <v/>
      </c>
      <c r="E2256">
        <f>INDEX(FactorTable!$B$2:$Y$301, MATCH(ROUND(MIN(300,MAX(1,D2256)),0), FactorTable!$A$2:$A$301,0), Skills!M23+1)</f>
        <v/>
      </c>
      <c r="F2256">
        <f>IF(Skills!N23=TRUE,(Skills!L23/10)*(E2256/1000),Skills!L23/10)+Skills!O23</f>
        <v/>
      </c>
      <c r="G2256">
        <f>Skills!G23*IF(Skills!H23&gt;0,Skills!I23/Skills!H23,1)</f>
        <v/>
      </c>
      <c r="H2256">
        <f>1-(1-Skills!J23/100)^Skills!K23</f>
        <v/>
      </c>
      <c r="I2256" t="inlineStr">
        <is>
          <t>1</t>
        </is>
      </c>
      <c r="J2256" t="inlineStr"/>
      <c r="K2256" t="inlineStr"/>
      <c r="L2256" t="inlineStr"/>
      <c r="M2256" t="inlineStr"/>
      <c r="N2256" t="inlineStr"/>
      <c r="O2256">
        <f>(1-Summary!$B$11)*T2256+Summary!$B$11*V2256</f>
        <v/>
      </c>
      <c r="P2256">
        <f>IF(B2277=0,0,O2256/B2277)</f>
        <v/>
      </c>
      <c r="Q2256" t="n">
        <v>0</v>
      </c>
      <c r="R2256" t="n">
        <v>0</v>
      </c>
      <c r="S2256">
        <f>IFERROR(O2256/N2256,0)</f>
        <v/>
      </c>
      <c r="T2256" t="n">
        <v>0</v>
      </c>
      <c r="V2256" t="n">
        <v>0</v>
      </c>
    </row>
    <row r="2257">
      <c r="A2257">
        <f>Skills!A24</f>
        <v/>
      </c>
      <c r="B2257">
        <f>Skills!B24</f>
        <v/>
      </c>
      <c r="C2257">
        <f>Inputs!$B$3&gt;=38</f>
        <v/>
      </c>
      <c r="D2257">
        <f>IF(Skills!C24=1,60+Inputs!$B$25+Inputs!$B$29,IF(Skills!C24=2,90+Inputs!$B$26+Inputs!$B$29,IF(Skills!C24=3,120+Inputs!$B$27+Inputs!$B$29,MAX(0,(Inputs!$B$3-100)*3)+Inputs!$B$28+Inputs!$B$29)))</f>
        <v/>
      </c>
      <c r="E2257">
        <f>INDEX(FactorTable!$B$2:$Y$301, MATCH(ROUND(MIN(300,MAX(1,D2257)),0), FactorTable!$A$2:$A$301,0), Skills!M24+1)</f>
        <v/>
      </c>
      <c r="F2257">
        <f>IF(Skills!N24=TRUE,(Skills!L24/10)*(E2257/1000),Skills!L24/10)+Skills!O24</f>
        <v/>
      </c>
      <c r="G2257">
        <f>Skills!G24*IF(Skills!H24&gt;0,Skills!I24/Skills!H24,1)</f>
        <v/>
      </c>
      <c r="H2257">
        <f>1-(1-Skills!J24/100)^Skills!K24</f>
        <v/>
      </c>
      <c r="I2257" t="inlineStr">
        <is>
          <t>1</t>
        </is>
      </c>
      <c r="J2257" t="inlineStr"/>
      <c r="K2257" t="inlineStr"/>
      <c r="L2257" t="inlineStr"/>
      <c r="M2257" t="inlineStr"/>
      <c r="N2257" t="inlineStr"/>
      <c r="O2257">
        <f>(1-Summary!$B$11)*T2257+Summary!$B$11*V2257</f>
        <v/>
      </c>
      <c r="P2257">
        <f>IF(B2277=0,0,O2257/B2277)</f>
        <v/>
      </c>
      <c r="Q2257" t="n">
        <v>0</v>
      </c>
      <c r="R2257" t="n">
        <v>0</v>
      </c>
      <c r="S2257">
        <f>IFERROR(O2257/N2257,0)</f>
        <v/>
      </c>
      <c r="T2257" t="n">
        <v>0</v>
      </c>
      <c r="V2257" t="n">
        <v>0</v>
      </c>
    </row>
    <row r="2258">
      <c r="A2258">
        <f>Skills!A25</f>
        <v/>
      </c>
      <c r="B2258">
        <f>Skills!B25</f>
        <v/>
      </c>
      <c r="C2258">
        <f>Inputs!$B$3&gt;=43</f>
        <v/>
      </c>
      <c r="D2258">
        <f>IF(Skills!C25=1,60+Inputs!$B$25+Inputs!$B$29,IF(Skills!C25=2,90+Inputs!$B$26+Inputs!$B$29,IF(Skills!C25=3,120+Inputs!$B$27+Inputs!$B$29,MAX(0,(Inputs!$B$3-100)*3)+Inputs!$B$28+Inputs!$B$29)))</f>
        <v/>
      </c>
      <c r="E2258">
        <f>INDEX(FactorTable!$B$2:$Y$301, MATCH(ROUND(MIN(300,MAX(1,D2258)),0), FactorTable!$A$2:$A$301,0), Skills!M25+1)</f>
        <v/>
      </c>
      <c r="F2258">
        <f>IF(Skills!N25=TRUE,(Skills!L25/10)*(E2258/1000),Skills!L25/10)+Skills!O25</f>
        <v/>
      </c>
      <c r="G2258">
        <f>Skills!G25*IF(Skills!H25&gt;0,Skills!I25/Skills!H25,1)</f>
        <v/>
      </c>
      <c r="H2258">
        <f>1-(1-Skills!J25/100)^Skills!K25</f>
        <v/>
      </c>
      <c r="I2258" t="inlineStr">
        <is>
          <t>1</t>
        </is>
      </c>
      <c r="J2258" t="inlineStr"/>
      <c r="K2258" t="inlineStr"/>
      <c r="L2258" t="inlineStr"/>
      <c r="M2258" t="inlineStr"/>
      <c r="N2258" t="inlineStr"/>
      <c r="O2258">
        <f>(1-Summary!$B$11)*T2258+Summary!$B$11*V2258</f>
        <v/>
      </c>
      <c r="P2258">
        <f>IF(B2277=0,0,O2258/B2277)</f>
        <v/>
      </c>
      <c r="Q2258" t="n">
        <v>0</v>
      </c>
      <c r="R2258" t="n">
        <v>0</v>
      </c>
      <c r="S2258">
        <f>IFERROR(O2258/N2258,0)</f>
        <v/>
      </c>
      <c r="T2258" t="n">
        <v>0</v>
      </c>
      <c r="V2258" t="n">
        <v>0</v>
      </c>
    </row>
    <row r="2259">
      <c r="A2259">
        <f>Skills!A26</f>
        <v/>
      </c>
      <c r="B2259">
        <f>Skills!B26</f>
        <v/>
      </c>
      <c r="C2259">
        <f>Inputs!$B$3&gt;=75</f>
        <v/>
      </c>
      <c r="D2259">
        <f>IF(Skills!C26=1,60+Inputs!$B$25+Inputs!$B$29,IF(Skills!C26=2,90+Inputs!$B$26+Inputs!$B$29,IF(Skills!C26=3,120+Inputs!$B$27+Inputs!$B$29,MAX(0,(Inputs!$B$3-100)*3)+Inputs!$B$28+Inputs!$B$29)))</f>
        <v/>
      </c>
      <c r="E2259">
        <f>INDEX(FactorTable!$B$2:$Y$301, MATCH(ROUND(MIN(300,MAX(1,D2259)),0), FactorTable!$A$2:$A$301,0), Skills!M26+1)</f>
        <v/>
      </c>
      <c r="F2259">
        <f>IF(Skills!N26=TRUE,(Skills!L26/10)*(E2259/1000),Skills!L26/10)+Skills!O26</f>
        <v/>
      </c>
      <c r="G2259">
        <f>Skills!G26*IF(Skills!H26&gt;0,Skills!I26/Skills!H26,1)</f>
        <v/>
      </c>
      <c r="H2259">
        <f>1-(1-Skills!J26/100)^Skills!K26</f>
        <v/>
      </c>
      <c r="I2259" t="inlineStr">
        <is>
          <t>1</t>
        </is>
      </c>
      <c r="J2259" t="inlineStr"/>
      <c r="K2259" t="inlineStr"/>
      <c r="L2259" t="inlineStr"/>
      <c r="M2259" t="inlineStr"/>
      <c r="N2259" t="inlineStr"/>
      <c r="O2259">
        <f>(1-Summary!$B$11)*T2259+Summary!$B$11*V2259</f>
        <v/>
      </c>
      <c r="P2259">
        <f>IF(B2277=0,0,O2259/B2277)</f>
        <v/>
      </c>
      <c r="Q2259" t="n">
        <v>0</v>
      </c>
      <c r="R2259" t="n">
        <v>0</v>
      </c>
      <c r="S2259">
        <f>IFERROR(O2259/N2259,0)</f>
        <v/>
      </c>
      <c r="T2259" t="n">
        <v>0</v>
      </c>
      <c r="V2259" t="n">
        <v>0</v>
      </c>
    </row>
    <row r="2260">
      <c r="A2260">
        <f>Skills!A27</f>
        <v/>
      </c>
      <c r="B2260">
        <f>Skills!B27</f>
        <v/>
      </c>
      <c r="C2260">
        <f>Inputs!$B$3&gt;=125</f>
        <v/>
      </c>
      <c r="D2260">
        <f>IF(Skills!C27=1,60+Inputs!$B$25+Inputs!$B$29,IF(Skills!C27=2,90+Inputs!$B$26+Inputs!$B$29,IF(Skills!C27=3,120+Inputs!$B$27+Inputs!$B$29,MAX(0,(Inputs!$B$3-100)*3)+Inputs!$B$28+Inputs!$B$29)))</f>
        <v/>
      </c>
      <c r="E2260">
        <f>INDEX(FactorTable!$B$2:$Y$301, MATCH(ROUND(MIN(300,MAX(1,D2260)),0), FactorTable!$A$2:$A$301,0), Skills!M27+1)</f>
        <v/>
      </c>
      <c r="F2260">
        <f>IF(Skills!N27=TRUE,(Skills!L27/10)*(E2260/1000),Skills!L27/10)+Skills!O27</f>
        <v/>
      </c>
      <c r="G2260">
        <f>Skills!G27*IF(Skills!H27&gt;0,Skills!I27/Skills!H27,1)</f>
        <v/>
      </c>
      <c r="H2260">
        <f>1-(1-Skills!J27/100)^Skills!K27</f>
        <v/>
      </c>
      <c r="I2260" t="inlineStr">
        <is>
          <t>1</t>
        </is>
      </c>
      <c r="J2260" t="inlineStr"/>
      <c r="K2260" t="inlineStr"/>
      <c r="L2260" t="inlineStr"/>
      <c r="M2260" t="inlineStr"/>
      <c r="N2260" t="inlineStr"/>
      <c r="O2260">
        <f>(1-Summary!$B$11)*T2260+Summary!$B$11*V2260</f>
        <v/>
      </c>
      <c r="P2260">
        <f>IF(B2277=0,0,O2260/B2277)</f>
        <v/>
      </c>
      <c r="Q2260" t="n">
        <v>0</v>
      </c>
      <c r="R2260" t="n">
        <v>0</v>
      </c>
      <c r="S2260">
        <f>IFERROR(O2260/N2260,0)</f>
        <v/>
      </c>
      <c r="T2260" t="n">
        <v>0</v>
      </c>
      <c r="V2260" t="n">
        <v>0</v>
      </c>
    </row>
    <row r="2261">
      <c r="A2261">
        <f>Skills!A28</f>
        <v/>
      </c>
      <c r="B2261">
        <f>Skills!B28</f>
        <v/>
      </c>
      <c r="C2261">
        <f>Inputs!$B$3&gt;=125</f>
        <v/>
      </c>
      <c r="D2261">
        <f>IF(Skills!C28=1,60+Inputs!$B$25+Inputs!$B$29,IF(Skills!C28=2,90+Inputs!$B$26+Inputs!$B$29,IF(Skills!C28=3,120+Inputs!$B$27+Inputs!$B$29,MAX(0,(Inputs!$B$3-100)*3)+Inputs!$B$28+Inputs!$B$29)))</f>
        <v/>
      </c>
      <c r="E2261">
        <f>INDEX(FactorTable!$B$2:$Y$301, MATCH(ROUND(MIN(300,MAX(1,D2261)),0), FactorTable!$A$2:$A$301,0), Skills!M28+1)</f>
        <v/>
      </c>
      <c r="F2261">
        <f>IF(Skills!N28=TRUE,(Skills!L28/10)*(E2261/1000),Skills!L28/10)+Skills!O28</f>
        <v/>
      </c>
      <c r="G2261">
        <f>Skills!G28*IF(Skills!H28&gt;0,Skills!I28/Skills!H28,1)</f>
        <v/>
      </c>
      <c r="H2261">
        <f>1-(1-Skills!J28/100)^Skills!K28</f>
        <v/>
      </c>
      <c r="I2261" t="inlineStr">
        <is>
          <t>1</t>
        </is>
      </c>
      <c r="J2261" t="inlineStr"/>
      <c r="K2261" t="inlineStr"/>
      <c r="L2261" t="inlineStr"/>
      <c r="M2261" t="inlineStr"/>
      <c r="N2261" t="inlineStr"/>
      <c r="O2261">
        <f>(1-Summary!$B$11)*T2261+Summary!$B$11*V2261</f>
        <v/>
      </c>
      <c r="P2261">
        <f>IF(B2277=0,0,O2261/B2277)</f>
        <v/>
      </c>
      <c r="Q2261" t="n">
        <v>0</v>
      </c>
      <c r="R2261" t="n">
        <v>0</v>
      </c>
      <c r="S2261">
        <f>IFERROR(O2261/N2261,0)</f>
        <v/>
      </c>
      <c r="T2261" t="n">
        <v>0</v>
      </c>
      <c r="V2261" t="n">
        <v>0</v>
      </c>
    </row>
    <row r="2262">
      <c r="A2262">
        <f>Skills!A29</f>
        <v/>
      </c>
      <c r="B2262">
        <f>Skills!B29</f>
        <v/>
      </c>
      <c r="C2262">
        <f>Inputs!$B$3&gt;=120</f>
        <v/>
      </c>
      <c r="D2262">
        <f>IF(Skills!C29=1,60+Inputs!$B$25+Inputs!$B$29,IF(Skills!C29=2,90+Inputs!$B$26+Inputs!$B$29,IF(Skills!C29=3,120+Inputs!$B$27+Inputs!$B$29,MAX(0,(Inputs!$B$3-100)*3)+Inputs!$B$28+Inputs!$B$29)))</f>
        <v/>
      </c>
      <c r="E2262">
        <f>INDEX(FactorTable!$B$2:$Y$301, MATCH(ROUND(MIN(300,MAX(1,D2262)),0), FactorTable!$A$2:$A$301,0), Skills!M29+1)</f>
        <v/>
      </c>
      <c r="F2262">
        <f>IF(Skills!N29=TRUE,(Skills!L29/10)*(E2262/1000),Skills!L29/10)+Skills!O29</f>
        <v/>
      </c>
      <c r="G2262">
        <f>Skills!G29*IF(Skills!H29&gt;0,Skills!I29/Skills!H29,1)</f>
        <v/>
      </c>
      <c r="H2262">
        <f>1-(1-Skills!J29/100)^Skills!K29</f>
        <v/>
      </c>
      <c r="I2262" t="inlineStr">
        <is>
          <t>1</t>
        </is>
      </c>
      <c r="J2262" t="inlineStr"/>
      <c r="K2262" t="inlineStr"/>
      <c r="L2262" t="inlineStr"/>
      <c r="M2262" t="inlineStr"/>
      <c r="N2262" t="inlineStr"/>
      <c r="O2262">
        <f>(1-Summary!$B$11)*T2262+Summary!$B$11*V2262</f>
        <v/>
      </c>
      <c r="P2262">
        <f>IF(B2277=0,0,O2262/B2277)</f>
        <v/>
      </c>
      <c r="Q2262" t="n">
        <v>0</v>
      </c>
      <c r="R2262" t="n">
        <v>0</v>
      </c>
      <c r="S2262">
        <f>IFERROR(O2262/N2262,0)</f>
        <v/>
      </c>
      <c r="T2262" t="n">
        <v>0</v>
      </c>
      <c r="V2262" t="n">
        <v>0</v>
      </c>
    </row>
    <row r="2263">
      <c r="A2263">
        <f>Skills!A30</f>
        <v/>
      </c>
      <c r="B2263">
        <f>Skills!B30</f>
        <v/>
      </c>
      <c r="C2263">
        <f>Inputs!$B$3&gt;=120</f>
        <v/>
      </c>
      <c r="D2263">
        <f>IF(Skills!C30=1,60+Inputs!$B$25+Inputs!$B$29,IF(Skills!C30=2,90+Inputs!$B$26+Inputs!$B$29,IF(Skills!C30=3,120+Inputs!$B$27+Inputs!$B$29,MAX(0,(Inputs!$B$3-100)*3)+Inputs!$B$28+Inputs!$B$29)))</f>
        <v/>
      </c>
      <c r="E2263">
        <f>INDEX(FactorTable!$B$2:$Y$301, MATCH(ROUND(MIN(300,MAX(1,D2263)),0), FactorTable!$A$2:$A$301,0), Skills!M30+1)</f>
        <v/>
      </c>
      <c r="F2263">
        <f>IF(Skills!N30=TRUE,(Skills!L30/10)*(E2263/1000),Skills!L30/10)+Skills!O30</f>
        <v/>
      </c>
      <c r="G2263">
        <f>Skills!G30*IF(Skills!H30&gt;0,Skills!I30/Skills!H30,1)</f>
        <v/>
      </c>
      <c r="H2263">
        <f>1-(1-Skills!J30/100)^Skills!K30</f>
        <v/>
      </c>
      <c r="I2263" t="inlineStr">
        <is>
          <t>1</t>
        </is>
      </c>
      <c r="J2263" t="inlineStr"/>
      <c r="K2263" t="inlineStr"/>
      <c r="L2263" t="inlineStr"/>
      <c r="M2263" t="inlineStr"/>
      <c r="N2263" t="inlineStr"/>
      <c r="O2263">
        <f>(1-Summary!$B$11)*T2263+Summary!$B$11*V2263</f>
        <v/>
      </c>
      <c r="P2263">
        <f>IF(B2277=0,0,O2263/B2277)</f>
        <v/>
      </c>
      <c r="Q2263" t="n">
        <v>0</v>
      </c>
      <c r="R2263" t="n">
        <v>0</v>
      </c>
      <c r="S2263">
        <f>IFERROR(O2263/N2263,0)</f>
        <v/>
      </c>
      <c r="T2263" t="n">
        <v>0</v>
      </c>
      <c r="V2263" t="n">
        <v>0</v>
      </c>
    </row>
    <row r="2264">
      <c r="A2264">
        <f>Skills!A31</f>
        <v/>
      </c>
      <c r="B2264">
        <f>Skills!B31</f>
        <v/>
      </c>
      <c r="C2264">
        <f>Inputs!$B$3&gt;=45</f>
        <v/>
      </c>
      <c r="D2264">
        <f>IF(Skills!C31=1,60+Inputs!$B$25+Inputs!$B$29,IF(Skills!C31=2,90+Inputs!$B$26+Inputs!$B$29,IF(Skills!C31=3,120+Inputs!$B$27+Inputs!$B$29,MAX(0,(Inputs!$B$3-100)*3)+Inputs!$B$28+Inputs!$B$29)))</f>
        <v/>
      </c>
      <c r="E2264">
        <f>INDEX(FactorTable!$B$2:$Y$301, MATCH(ROUND(MIN(300,MAX(1,D2264)),0), FactorTable!$A$2:$A$301,0), Skills!M31+1)</f>
        <v/>
      </c>
      <c r="F2264">
        <f>IF(Skills!N31=TRUE,(Skills!L31/10)*(E2264/1000),Skills!L31/10)+Skills!O31</f>
        <v/>
      </c>
      <c r="G2264">
        <f>Skills!G31*IF(Skills!H31&gt;0,Skills!I31/Skills!H31,1)</f>
        <v/>
      </c>
      <c r="H2264">
        <f>1-(1-Skills!J31/100)^Skills!K31</f>
        <v/>
      </c>
      <c r="I2264" t="inlineStr">
        <is>
          <t>1</t>
        </is>
      </c>
      <c r="J2264" t="inlineStr"/>
      <c r="K2264" t="inlineStr"/>
      <c r="L2264" t="inlineStr"/>
      <c r="M2264" t="inlineStr"/>
      <c r="N2264" t="inlineStr"/>
      <c r="O2264">
        <f>(1-Summary!$B$11)*T2264+Summary!$B$11*V2264</f>
        <v/>
      </c>
      <c r="P2264">
        <f>IF(B2277=0,0,O2264/B2277)</f>
        <v/>
      </c>
      <c r="Q2264" t="n">
        <v>0</v>
      </c>
      <c r="R2264" t="n">
        <v>0</v>
      </c>
      <c r="S2264">
        <f>IFERROR(O2264/N2264,0)</f>
        <v/>
      </c>
      <c r="T2264" t="n">
        <v>0</v>
      </c>
      <c r="V2264" t="n">
        <v>0</v>
      </c>
    </row>
    <row r="2266">
      <c r="A2266" t="inlineStr">
        <is>
          <t>Attack% Bucket Multiplier</t>
        </is>
      </c>
      <c r="B2266">
        <f>(1+(((C2247=TRUE)*F2247)+((C2248=TRUE)*IF(Inputs!$B$38="pvp",F2248,(1-Summary!$B$11)*(F2248)+Summary!$B$11*(0)))+((C2249=TRUE)*F2249*IF(AND(Inputs!$B$38&lt;&gt;"pvp",Inputs!$B$43&gt;0),(((R2249-1)*(Skills!T16*(1+Inputs!$B$34/100))+MIN((Skills!T16*(1+Inputs!$B$34/100)),MAX(0,Inputs!$B$43-((R2249-1)*Skills!D16))))/Inputs!$B$43),IF(Inputs!$B$38="pvp",MIN((Skills!T16*(1+Inputs!$B$34/100)),15)/15,(Skills!T16*(1+Inputs!$B$34/100))/Skills!D16)))+((C2264=TRUE)*(F2264-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67">
      <c r="A2267" t="inlineStr">
        <is>
          <t>Global Crit Rate Bonus %</t>
        </is>
      </c>
      <c r="B2267">
        <f>(C2250=TRUE)*20*IF(AND(Inputs!$B$38&lt;&gt;"pvp",Inputs!$B$43&gt;0),(((R2250-1)*(Skills!T17*(1+Inputs!$B$34/100))+MIN((Skills!T17*(1+Inputs!$B$34/100)),MAX(0,Inputs!$B$43-((R2250-1)*Skills!D17))))/Inputs!$B$43),IF(Inputs!$B$38="pvp",MIN((Skills!T17*(1+Inputs!$B$34/100)),15)/15,(Skills!T17*(1+Inputs!$B$34/100))/Skills!D17))</f>
        <v/>
      </c>
    </row>
    <row r="2268">
      <c r="A2268" t="inlineStr">
        <is>
          <t>Attack Speed Buff Bonus %</t>
        </is>
      </c>
      <c r="B2268">
        <f>((C2253=TRUE)*F2253*IF(AND(Inputs!$B$38&lt;&gt;"pvp",Inputs!$B$43&gt;0),(((R2253-1)*(Skills!T20*(1+Inputs!$B$34/100))+MIN((Skills!T20*(1+Inputs!$B$34/100)),MAX(0,Inputs!$B$43-((R2253-1)*Skills!D20))))/Inputs!$B$43),IF(Inputs!$B$38="pvp",MIN((Skills!T20*(1+Inputs!$B$34/100)),15)/15,(Skills!T20*(1+Inputs!$B$34/100))/Skills!D20)))</f>
        <v/>
      </c>
    </row>
    <row r="2269">
      <c r="A2269" t="inlineStr">
        <is>
          <t>Actions Per Second</t>
        </is>
      </c>
      <c r="B2269">
        <f>1+MIN(150,150*(1-(1-(Inputs!$B$11+((C2255=TRUE)*(F2255-Calc!F22))+((C2256=TRUE)*(F2256-Calc!F23)))/150)*(1-B2268/150)))/100</f>
        <v/>
      </c>
    </row>
    <row r="2270">
      <c r="A2270" t="inlineStr">
        <is>
          <t>Skill + Buff Cast Rate</t>
        </is>
      </c>
      <c r="B2270">
        <f>IF(AND(Inputs!$B$38&lt;&gt;"pvp",Inputs!$B$43&gt;0),SUMPRODUCT((Skills!E2:E31=TRUE)*(C2235:C2264=TRUE)*R2235:R2264*Skills!F2:F31)/Inputs!$B$43,SUMPRODUCT((Skills!E2:E31=TRUE)*(C2235:C2264=TRUE)*Q2235:Q2264*Skills!F2:F31))</f>
        <v/>
      </c>
    </row>
    <row r="2271">
      <c r="A2271" t="inlineStr">
        <is>
          <t>Arrow Stream Casts Per Second</t>
        </is>
      </c>
      <c r="B2271">
        <f>MAX(0,B2269-B2270)</f>
        <v/>
      </c>
    </row>
    <row r="2272">
      <c r="A2272" t="inlineStr">
        <is>
          <t>Global Critical Damage Bonus % (Sharp Eyes + Concentration)</t>
        </is>
      </c>
      <c r="B2272">
        <f>(C2250=TRUE)*F2250*IF(AND(Inputs!$B$38&lt;&gt;"pvp",Inputs!$B$43&gt;0),(((R2250-1)*(Skills!T17*(1+Inputs!$B$34/100))+MIN((Skills!T17*(1+Inputs!$B$34/100)),MAX(0,Inputs!$B$43-((R2250-1)*Skills!D17))))/Inputs!$B$43),IF(Inputs!$B$38="pvp",MIN((Skills!T17*(1+Inputs!$B$34/100)),15)/15,(Skills!T17*(1+Inputs!$B$34/100))/Skills!D17))+(C2251=TRUE)*30</f>
        <v/>
      </c>
    </row>
    <row r="2273">
      <c r="A2273" t="inlineStr">
        <is>
          <t>Global Final Damage Bonus % (Mortal Blow)</t>
        </is>
      </c>
      <c r="B2273">
        <f>(C2252=TRUE)*F2252</f>
        <v/>
      </c>
    </row>
    <row r="2274">
      <c r="A2274" t="inlineStr">
        <is>
          <t>Buff-Casting Startup Delay (s, fixed-duration only)</t>
        </is>
      </c>
      <c r="B2274">
        <f>IF(AND(Inputs!$B$38&lt;&gt;"pvp",Inputs!$B$43&gt;0),SUMPRODUCT((Skills!T2:T31&gt;0)*(Skills!E2:E31=TRUE)*(C2235:C2264=TRUE))/B2269,0)</f>
        <v/>
      </c>
    </row>
    <row r="2275">
      <c r="A2275" t="inlineStr">
        <is>
          <t>Boss-Only Total DPS (this block's swept value)</t>
        </is>
      </c>
      <c r="B2275">
        <f>SUM(T2235:T2264)</f>
        <v/>
      </c>
    </row>
    <row r="2276">
      <c r="A2276" t="inlineStr">
        <is>
          <t>Normal-Only Total DPS (this block's swept value)</t>
        </is>
      </c>
      <c r="B2276">
        <f>SUM(V2235:V2264)</f>
        <v/>
      </c>
    </row>
    <row r="2277">
      <c r="A2277" s="6" t="inlineStr">
        <is>
          <t>TOTAL DPS</t>
        </is>
      </c>
      <c r="B2277" s="6">
        <f>SUM(O2235:O2264)</f>
        <v/>
      </c>
    </row>
    <row r="2280">
      <c r="A2280" s="6" t="inlineStr">
        <is>
          <t>Stat: Lit Lamp (Equip)</t>
        </is>
      </c>
    </row>
    <row r="2281">
      <c r="A2281" s="5" t="inlineStr">
        <is>
          <t>Key</t>
        </is>
      </c>
      <c r="B2281" s="5" t="inlineStr">
        <is>
          <t>Name</t>
        </is>
      </c>
      <c r="C2281" s="5" t="inlineStr">
        <is>
          <t>Unlocked</t>
        </is>
      </c>
      <c r="D2281" s="5" t="inlineStr">
        <is>
          <t>InputLevel</t>
        </is>
      </c>
      <c r="E2281" s="5" t="inlineStr">
        <is>
          <t>Factor</t>
        </is>
      </c>
      <c r="F2281" s="5" t="inlineStr">
        <is>
          <t>CoefficientPercent</t>
        </is>
      </c>
      <c r="G2281" s="5" t="inlineStr">
        <is>
          <t>EffectiveHits</t>
        </is>
      </c>
      <c r="H2281" s="5" t="inlineStr">
        <is>
          <t>ProcProbability</t>
        </is>
      </c>
      <c r="I2281" s="5" t="inlineStr">
        <is>
          <t>MapleHeroMultiplier</t>
        </is>
      </c>
      <c r="J2281" s="5" t="inlineStr">
        <is>
          <t>BaseDamage</t>
        </is>
      </c>
      <c r="K2281" s="5" t="inlineStr">
        <is>
          <t>BaseHitDamage</t>
        </is>
      </c>
      <c r="L2281" s="5" t="inlineStr">
        <is>
          <t>NonCritAvg</t>
        </is>
      </c>
      <c r="M2281" s="5" t="inlineStr">
        <is>
          <t>CritAvg</t>
        </is>
      </c>
      <c r="N2281" s="5" t="inlineStr">
        <is>
          <t>ExpectedDamage(perHit)</t>
        </is>
      </c>
      <c r="O2281" s="5" t="inlineStr">
        <is>
          <t>DPS</t>
        </is>
      </c>
      <c r="P2281" s="5" t="inlineStr">
        <is>
          <t>% of Total</t>
        </is>
      </c>
      <c r="Q2281" s="5" t="inlineStr">
        <is>
          <t>InvCooldown</t>
        </is>
      </c>
      <c r="R2281" s="5" t="inlineStr">
        <is>
          <t>CastsInFight</t>
        </is>
      </c>
      <c r="S2281" s="5" t="inlineStr">
        <is>
          <t>HitRate(perSec)</t>
        </is>
      </c>
      <c r="U2281" t="inlineStr">
        <is>
          <t>helpers</t>
        </is>
      </c>
    </row>
    <row r="2282">
      <c r="A2282">
        <f>Skills!A2</f>
        <v/>
      </c>
      <c r="B2282">
        <f>Skills!B2</f>
        <v/>
      </c>
      <c r="C2282">
        <f>Inputs!$B$3&gt;=100</f>
        <v/>
      </c>
      <c r="D2282" t="inlineStr"/>
      <c r="E2282" t="inlineStr"/>
      <c r="F2282">
        <f>U2284+Skills!O2</f>
        <v/>
      </c>
      <c r="G2282">
        <f>Skills!G2*IF(Skills!H2&gt;0,Skills!I2/Skills!H2,1)</f>
        <v/>
      </c>
      <c r="H2282">
        <f>1-(1-Skills!J2/100)^Skills!K2</f>
        <v/>
      </c>
      <c r="I2282" t="inlineStr">
        <is>
          <t>1</t>
        </is>
      </c>
      <c r="J2282">
        <f>((Inputs!$B$6*(1+Inputs!$B$7/100))+(((Inputs!$B$12*(1+Inputs!$B$13/100))-(Inputs!$B$12*(1+Inputs!$B$13/100)))+0.25*(Inputs!$B$14-Inputs!$B$14))*(1+Inputs!$B$7/100))*(F2282/100)</f>
        <v/>
      </c>
      <c r="K2282">
        <f>J2282*(1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2282)</f>
        <v/>
      </c>
      <c r="L2282">
        <f>K2282*(MIN(Inputs!$B$22+((C2305=TRUE)*(F2305-Calc!F25)),(Inputs!$B$23+((C2310=TRUE)*(F2310-Calc!F30))+(IF(ArtifactsInput!$M$15,CHOOSE(ArtifactsInput!$N$15+1,25,30,35,40,45,50)/100*(Inputs!$B$11-Inputs!$B$11),0))))/100+(Inputs!$B$23+((C2310=TRUE)*(F2310-Calc!F30))+(IF(ArtifactsInput!$M$15,CHOOSE(ArtifactsInput!$N$15+1,25,30,35,40,45,50)/100*(Inputs!$B$11-Inputs!$B$11),0)))/100)/2</f>
        <v/>
      </c>
      <c r="M2282">
        <f>L2282*(1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2">
        <f>L2282*(1-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2282*(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2">
        <f>(1-Summary!$B$11)*T2282+Summary!$B$11*V2282</f>
        <v/>
      </c>
      <c r="P2282">
        <f>IF(B2324=0,0,O2282/B2324)</f>
        <v/>
      </c>
      <c r="Q2282" t="n">
        <v>0</v>
      </c>
      <c r="R2282" t="n">
        <v>0</v>
      </c>
      <c r="S2282">
        <f>IFERROR(O2282/N2282,0)</f>
        <v/>
      </c>
      <c r="T2282">
        <f>IF(C2282,(Skills!G2*N2282*B2318)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2282*(1-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2282*(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2282*(1-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2282*(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2">
        <f>MAX(0,(Inputs!$B$3-100)*3)+Inputs!$B$28+Inputs!$B$29</f>
        <v/>
      </c>
      <c r="V2282">
        <f>IF(C2282,(Skills!G2*N2282*B2318)*IF(Inputs!$B$38="pvp",1,(1+(Inputs!$B$21+Skills!Q2+(IF(ArtifactsInput!$M$33,CHOOSE(ArtifactsInput!$N$33+1,30,36,42,48,54,60),0))+(IF(AND(ArtifactsInput!$M$35,Inputs!$B$4&lt;&gt;"Chapter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3">
      <c r="A2283">
        <f>Skills!A3</f>
        <v/>
      </c>
      <c r="B2283">
        <f>Skills!B3</f>
        <v/>
      </c>
      <c r="C2283">
        <f>Inputs!$B$3&gt;=50</f>
        <v/>
      </c>
      <c r="D2283">
        <f>IF(Skills!C3=1,60+Inputs!$B$25+Inputs!$B$29,IF(Skills!C3=2,90+Inputs!$B$26+Inputs!$B$29,IF(Skills!C3=3,120+Inputs!$B$27+Inputs!$B$29,MAX(0,(Inputs!$B$3-100)*3)+Inputs!$B$28+Inputs!$B$29)))</f>
        <v/>
      </c>
      <c r="E2283">
        <f>INDEX(FactorTable!$B$2:$Y$301, MATCH(ROUND(MIN(300,MAX(1,D2283)),0), FactorTable!$A$2:$A$301,0), Skills!M3+1)</f>
        <v/>
      </c>
      <c r="F2283">
        <f>IF(Skills!N3=TRUE,(Skills!L3/10)*(E2283/1000),Skills!L3/10)+Skills!O3</f>
        <v/>
      </c>
      <c r="G2283">
        <f>Skills!G3*IF(Skills!H3&gt;0,Skills!I3/Skills!H3,1)</f>
        <v/>
      </c>
      <c r="H2283">
        <f>1-(1-Skills!J3/100)^Skills!K3</f>
        <v/>
      </c>
      <c r="I2283" t="inlineStr">
        <is>
          <t>1</t>
        </is>
      </c>
      <c r="J2283">
        <f>((Inputs!$B$6*(1+Inputs!$B$7/100))+(((Inputs!$B$12*(1+Inputs!$B$13/100))-(Inputs!$B$12*(1+Inputs!$B$13/100)))+0.25*(Inputs!$B$14-Inputs!$B$14))*(1+Inputs!$B$7/100))*(F2283/100)</f>
        <v/>
      </c>
      <c r="K2283">
        <f>J2283*(1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2284=TRUE,F2284,0)/100)*(1+(IF(Skills!A3="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2283)</f>
        <v/>
      </c>
      <c r="L2283">
        <f>K2283*(MIN(Inputs!$B$22+((C2305=TRUE)*(F2305-Calc!F25)),(Inputs!$B$23+((C2310=TRUE)*(F2310-Calc!F30))+(IF(ArtifactsInput!$M$15,CHOOSE(ArtifactsInput!$N$15+1,25,30,35,40,45,50)/100*(Inputs!$B$11-Inputs!$B$11),0))))/100+(Inputs!$B$23+((C2310=TRUE)*(F2310-Calc!F30))+(IF(ArtifactsInput!$M$15,CHOOSE(ArtifactsInput!$N$15+1,25,30,35,40,45,50)/100*(Inputs!$B$11-Inputs!$B$11),0)))/100)/2</f>
        <v/>
      </c>
      <c r="M2283">
        <f>L2283*(1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3">
        <f>L2283*(1-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2283*(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3">
        <f>(1-Summary!$B$11)*T2283+Summary!$B$11*V2283</f>
        <v/>
      </c>
      <c r="P2283">
        <f>IF(B2324=0,0,O2283/B2324)</f>
        <v/>
      </c>
      <c r="Q2283">
        <f>IFERROR(1/(IF(Inputs!$B$38="pvp",15,MAX(0.1,Skills!D3-IF(Skills!E3=TRUE,Inputs!$B$32,0)))*(1-IF(AND(ArtifactsInput!$M$27,Inputs!$B$4="Chapter Hunt"),CHOOSE(ArtifactsInput!$N$27+1,20,24,28,32,36,40),0)/100)),0)</f>
        <v/>
      </c>
      <c r="R2283">
        <f>IF(AND(Inputs!$B$38&lt;&gt;"pvp",Inputs!$B$43&gt;0),IF(MAX(0,Inputs!$B$43-B2321)&lt;=0,0,(INT(MAX(0,Inputs!$B$43-B2321)/(IF(Inputs!$B$38="pvp",15,MAX(0.1,Skills!D3-IF(Skills!E3=TRUE,Inputs!$B$32,0)))*(1-IF(AND(ArtifactsInput!$M$27,Inputs!$B$4="Chapter Hunt"),CHOOSE(ArtifactsInput!$N$27+1,20,24,28,32,36,40),0)/100)))+1)),0)</f>
        <v/>
      </c>
      <c r="S2283">
        <f>IFERROR(O2283/N2283,0)</f>
        <v/>
      </c>
      <c r="T2283">
        <f>IF(C2283,(H2283*N2283*IF(AND(Inputs!$B$38&lt;&gt;"pvp",Inputs!$B$43&gt;0),((Skills!G3*((R2283-1)*IF(Skills!H3&gt;0,Skills!I3/Skills!H3,1)+IF(Skills!H3&gt;0,MIN(Skills!I3,MAX(0,MAX(0,Inputs!$B$43-B2321)-((R2283-1)*(IF(Inputs!$B$38="pvp",15,MAX(0.1,Skills!D3-IF(Skills!E3=TRUE,Inputs!$B$32,0)))*(1-IF(AND(ArtifactsInput!$M$27,Inputs!$B$4="Chapter Hunt"),CHOOSE(ArtifactsInput!$N$27+1,20,24,28,32,36,40),0)/100)))))/Skills!H3,1)))/Inputs!$B$43),G2283*Q2283)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2283*(1-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2283*(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2283*(1-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2283*(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3">
        <f>INDEX(FactorTable!$B$2:$Y$301, MATCH(ROUND(MIN(300,MAX(1,U2282)),0), FactorTable!$A$2:$A$301,0), 22)</f>
        <v/>
      </c>
      <c r="V2283">
        <f>IF(C2283,(H2283*N2283*IF(AND(Inputs!$B$38&lt;&gt;"pvp",Inputs!$B$43&gt;0),((Skills!G3*((R2283-1)*IF(Skills!H3&gt;0,Skills!I3/Skills!H3,1)+IF(Skills!H3&gt;0,MIN(Skills!I3,MAX(0,MAX(0,Inputs!$B$43-B2321)-((R2283-1)*(IF(Inputs!$B$38="pvp",15,MAX(0.1,Skills!D3-IF(Skills!E3=TRUE,Inputs!$B$32,0)))*(1-IF(AND(ArtifactsInput!$M$27,Inputs!$B$4="Chapter Hunt"),CHOOSE(ArtifactsInput!$N$27+1,20,24,28,32,36,40),0)/100)))))/Skills!H3,1)))/Inputs!$B$43),G2283*Q2283))*IF(Inputs!$B$38="pvp",1,(1+(Inputs!$B$21+Skills!Q3+(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4">
      <c r="A2284">
        <f>Skills!A4</f>
        <v/>
      </c>
      <c r="B2284">
        <f>Skills!B4</f>
        <v/>
      </c>
      <c r="C2284">
        <f>Inputs!$B$3&gt;=105</f>
        <v/>
      </c>
      <c r="D2284">
        <f>IF(Skills!C4=1,60+Inputs!$B$25+Inputs!$B$29,IF(Skills!C4=2,90+Inputs!$B$26+Inputs!$B$29,IF(Skills!C4=3,120+Inputs!$B$27+Inputs!$B$29,MAX(0,(Inputs!$B$3-100)*3)+Inputs!$B$28+Inputs!$B$29)))</f>
        <v/>
      </c>
      <c r="E2284">
        <f>INDEX(FactorTable!$B$2:$Y$301, MATCH(ROUND(MIN(300,MAX(1,D2284)),0), FactorTable!$A$2:$A$301,0), Skills!M4+1)</f>
        <v/>
      </c>
      <c r="F2284">
        <f>IF(Skills!N4=TRUE,(Skills!L4/10)*(E2284/1000),Skills!L4/10)+Skills!O4</f>
        <v/>
      </c>
      <c r="G2284" t="inlineStr"/>
      <c r="H2284" t="inlineStr"/>
      <c r="I2284" t="inlineStr">
        <is>
          <t>1</t>
        </is>
      </c>
      <c r="J2284" t="inlineStr"/>
      <c r="K2284" t="inlineStr"/>
      <c r="L2284" t="inlineStr"/>
      <c r="M2284" t="inlineStr"/>
      <c r="N2284" t="inlineStr"/>
      <c r="O2284" t="inlineStr"/>
      <c r="P2284" t="inlineStr"/>
      <c r="Q2284" t="inlineStr"/>
      <c r="R2284" t="inlineStr"/>
      <c r="S2284" t="inlineStr"/>
      <c r="T2284" t="inlineStr"/>
      <c r="U2284">
        <f>290*U2283/1000</f>
        <v/>
      </c>
      <c r="V2284" t="inlineStr"/>
    </row>
    <row r="2285">
      <c r="A2285">
        <f>Skills!A5</f>
        <v/>
      </c>
      <c r="B2285">
        <f>Skills!B5</f>
        <v/>
      </c>
      <c r="C2285">
        <f>Inputs!$B$3&gt;=35</f>
        <v/>
      </c>
      <c r="D2285">
        <f>IF(Skills!C5=1,60+Inputs!$B$25+Inputs!$B$29,IF(Skills!C5=2,90+Inputs!$B$26+Inputs!$B$29,IF(Skills!C5=3,120+Inputs!$B$27+Inputs!$B$29,MAX(0,(Inputs!$B$3-100)*3)+Inputs!$B$28+Inputs!$B$29)))</f>
        <v/>
      </c>
      <c r="E2285">
        <f>INDEX(FactorTable!$B$2:$Y$301, MATCH(ROUND(MIN(300,MAX(1,D2285)),0), FactorTable!$A$2:$A$301,0), Skills!M5+1)</f>
        <v/>
      </c>
      <c r="F2285">
        <f>IF(Skills!N5=TRUE,(Skills!L5/10)*(E2285/1000),Skills!L5/10)+Skills!O5</f>
        <v/>
      </c>
      <c r="G2285">
        <f>Skills!G5*IF(Skills!H5&gt;0,Skills!I5/Skills!H5,1)</f>
        <v/>
      </c>
      <c r="H2285">
        <f>1-(1-Skills!J5/100)^Skills!K5</f>
        <v/>
      </c>
      <c r="I2285" t="inlineStr">
        <is>
          <t>1</t>
        </is>
      </c>
      <c r="J2285">
        <f>((Inputs!$B$6*(1+Inputs!$B$7/100))+(((Inputs!$B$12*(1+Inputs!$B$13/100))-(Inputs!$B$12*(1+Inputs!$B$13/100)))+0.25*(Inputs!$B$14-Inputs!$B$14))*(1+Inputs!$B$7/100))*(F2285/100)</f>
        <v/>
      </c>
      <c r="K2285">
        <f>J2285*(1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2291=TRUE,F2291,0)/100)*(1+(IF(Skills!A5="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2285)</f>
        <v/>
      </c>
      <c r="L2285">
        <f>K2285*(MIN(Inputs!$B$22+((C2305=TRUE)*(F2305-Calc!F25)),(Inputs!$B$23+((C2310=TRUE)*(F2310-Calc!F30))+(IF(ArtifactsInput!$M$15,CHOOSE(ArtifactsInput!$N$15+1,25,30,35,40,45,50)/100*(Inputs!$B$11-Inputs!$B$11),0))))/100+(Inputs!$B$23+((C2310=TRUE)*(F2310-Calc!F30))+(IF(ArtifactsInput!$M$15,CHOOSE(ArtifactsInput!$N$15+1,25,30,35,40,45,50)/100*(Inputs!$B$11-Inputs!$B$11),0)))/100)/2</f>
        <v/>
      </c>
      <c r="M2285">
        <f>L2285*(1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5">
        <f>L2285*(1-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2285*(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5">
        <f>(1-Summary!$B$11)*T2285+Summary!$B$11*V2285</f>
        <v/>
      </c>
      <c r="P2285">
        <f>IF(B2324=0,0,O2285/B2324)</f>
        <v/>
      </c>
      <c r="Q2285">
        <f>IFERROR(1/(IF(Inputs!$B$38="pvp",15,MAX(0.1,Skills!D5-IF(Skills!E5=TRUE,Inputs!$B$32,0)))*(1-IF(AND(ArtifactsInput!$M$27,Inputs!$B$4="Chapter Hunt"),CHOOSE(ArtifactsInput!$N$27+1,20,24,28,32,36,40),0)/100)),0)</f>
        <v/>
      </c>
      <c r="R2285">
        <f>IF(AND(Inputs!$B$38&lt;&gt;"pvp",Inputs!$B$43&gt;0),IF(MAX(0,Inputs!$B$43-B2321)&lt;=0,0,(INT(MAX(0,Inputs!$B$43-B2321)/(IF(Inputs!$B$38="pvp",15,MAX(0.1,Skills!D5-IF(Skills!E5=TRUE,Inputs!$B$32,0)))*(1-IF(AND(ArtifactsInput!$M$27,Inputs!$B$4="Chapter Hunt"),CHOOSE(ArtifactsInput!$N$27+1,20,24,28,32,36,40),0)/100)))+1)),0)</f>
        <v/>
      </c>
      <c r="S2285">
        <f>IFERROR(O2285/N2285,0)</f>
        <v/>
      </c>
      <c r="T2285">
        <f>IF(C2285,(H2285*N2285*IF(AND(Inputs!$B$38&lt;&gt;"pvp",Inputs!$B$43&gt;0),((Skills!G5*((R2285-1)*IF(Skills!H5&gt;0,Skills!I5/Skills!H5,1)+IF(Skills!H5&gt;0,MIN(Skills!I5,MAX(0,MAX(0,Inputs!$B$43-B2321)-((R2285-1)*(IF(Inputs!$B$38="pvp",15,MAX(0.1,Skills!D5-IF(Skills!E5=TRUE,Inputs!$B$32,0)))*(1-IF(AND(ArtifactsInput!$M$27,Inputs!$B$4="Chapter Hunt"),CHOOSE(ArtifactsInput!$N$27+1,20,24,28,32,36,40),0)/100)))))/Skills!H5,1)))/Inputs!$B$43),G2285*Q2285)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2285*(1-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2285*(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2285*(1-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2285*(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5">
        <f>IF(C2285,(H2285*N2285*IF(AND(Inputs!$B$38&lt;&gt;"pvp",Inputs!$B$43&gt;0),((Skills!G5*((R2285-1)*IF(Skills!H5&gt;0,Skills!I5/Skills!H5,1)+IF(Skills!H5&gt;0,MIN(Skills!I5,MAX(0,MAX(0,Inputs!$B$43-B2321)-((R2285-1)*(IF(Inputs!$B$38="pvp",15,MAX(0.1,Skills!D5-IF(Skills!E5=TRUE,Inputs!$B$32,0)))*(1-IF(AND(ArtifactsInput!$M$27,Inputs!$B$4="Chapter Hunt"),CHOOSE(ArtifactsInput!$N$27+1,20,24,28,32,36,40),0)/100)))))/Skills!H5,1)))/Inputs!$B$43),G2285*Q2285))*IF(Inputs!$B$38="pvp",1,(1+(Inputs!$B$21+Skills!Q5+(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6">
      <c r="A2286">
        <f>Skills!A6</f>
        <v/>
      </c>
      <c r="B2286">
        <f>Skills!B6</f>
        <v/>
      </c>
      <c r="C2286">
        <f>Inputs!$B$3&gt;=40</f>
        <v/>
      </c>
      <c r="D2286">
        <f>IF(Skills!C6=1,60+Inputs!$B$25+Inputs!$B$29,IF(Skills!C6=2,90+Inputs!$B$26+Inputs!$B$29,IF(Skills!C6=3,120+Inputs!$B$27+Inputs!$B$29,MAX(0,(Inputs!$B$3-100)*3)+Inputs!$B$28+Inputs!$B$29)))</f>
        <v/>
      </c>
      <c r="E2286">
        <f>INDEX(FactorTable!$B$2:$Y$301, MATCH(ROUND(MIN(300,MAX(1,D2286)),0), FactorTable!$A$2:$A$301,0), Skills!M6+1)</f>
        <v/>
      </c>
      <c r="F2286">
        <f>IF(Skills!N6=TRUE,(Skills!L6/10)*(E2286/1000),Skills!L6/10)+Skills!O6</f>
        <v/>
      </c>
      <c r="G2286">
        <f>Skills!G6*IF(Skills!H6&gt;0,Skills!I6/Skills!H6,1)</f>
        <v/>
      </c>
      <c r="H2286">
        <f>1-(1-Skills!J6/100)^Skills!K6</f>
        <v/>
      </c>
      <c r="I2286" t="inlineStr">
        <is>
          <t>1</t>
        </is>
      </c>
      <c r="J2286">
        <f>((Inputs!$B$6*(1+Inputs!$B$7/100))+(((Inputs!$B$12*(1+Inputs!$B$13/100))-(Inputs!$B$12*(1+Inputs!$B$13/100)))+0.25*(Inputs!$B$14-Inputs!$B$14))*(1+Inputs!$B$7/100))*(F2286/100)</f>
        <v/>
      </c>
      <c r="K2286">
        <f>J2286*(1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2287=TRUE,F2287,0)/100)*(1+(IF(Skills!A6="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C2305=TRUE)*(F2305-Calc!F25)),(Inputs!$B$23+((C2310=TRUE)*(F2310-Calc!F30))+(IF(ArtifactsInput!$M$15,CHOOSE(ArtifactsInput!$N$15+1,25,30,35,40,45,50)/100*(Inputs!$B$11-Inputs!$B$11),0))))/100+(Inputs!$B$23+((C2310=TRUE)*(F2310-Calc!F30))+(IF(ArtifactsInput!$M$15,CHOOSE(ArtifactsInput!$N$15+1,25,30,35,40,45,50)/100*(Inputs!$B$11-Inputs!$B$11),0)))/100)/2</f>
        <v/>
      </c>
      <c r="M2286">
        <f>L2286*(1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(1-Summary!$B$11)*T2286+Summary!$B$11*V2286</f>
        <v/>
      </c>
      <c r="P2286">
        <f>IF(B2324=0,0,O2286/B2324)</f>
        <v/>
      </c>
      <c r="Q2286">
        <f>IFERROR(1/(IF(Inputs!$B$38="pvp",15,MAX(0.1,Skills!D6-IF(Skills!E6=TRUE,Inputs!$B$32,0)))*(1-IF(AND(ArtifactsInput!$M$27,Inputs!$B$4="Chapter Hunt"),CHOOSE(ArtifactsInput!$N$27+1,20,24,28,32,36,40),0)/100)),0)</f>
        <v/>
      </c>
      <c r="R2286">
        <f>IF(AND(Inputs!$B$38&lt;&gt;"pvp",Inputs!$B$43&gt;0),IF(MAX(0,Inputs!$B$43-B2321)&lt;=0,0,(INT(MAX(0,Inputs!$B$43-B2321)/(IF(Inputs!$B$38="pvp",15,MAX(0.1,Skills!D6-IF(Skills!E6=TRUE,Inputs!$B$32,0)))*(1-IF(AND(ArtifactsInput!$M$27,Inputs!$B$4="Chapter Hunt"),CHOOSE(ArtifactsInput!$N$27+1,20,24,28,32,36,40),0)/100)))+1)),0)</f>
        <v/>
      </c>
      <c r="S2286">
        <f>IFERROR(O2286/N2286,0)</f>
        <v/>
      </c>
      <c r="T2286">
        <f>IF(C2286,(H2286*N2286*IF(AND(Inputs!$B$38&lt;&gt;"pvp",Inputs!$B$43&gt;0),((Skills!G6*((R2286-1)*IF(Skills!H6&gt;0,Skills!I6/Skills!H6,1)+IF(Skills!H6&gt;0,MIN(Skills!I6,MAX(0,MAX(0,Inputs!$B$43-B2321)-((R2286-1)*(IF(Inputs!$B$38="pvp",15,MAX(0.1,Skills!D6-IF(Skills!E6=TRUE,Inputs!$B$32,0)))*(1-IF(AND(ArtifactsInput!$M$27,Inputs!$B$4="Chapter Hunt"),CHOOSE(ArtifactsInput!$N$27+1,20,24,28,32,36,40),0)/100)))))/Skills!H6,1)))/Inputs!$B$43),G2286*Q2286)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2286*(1-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6">
        <f>IF(C2286,(H2286*N2286*IF(AND(Inputs!$B$38&lt;&gt;"pvp",Inputs!$B$43&gt;0),((Skills!G6*((R2286-1)*IF(Skills!H6&gt;0,Skills!I6/Skills!H6,1)+IF(Skills!H6&gt;0,MIN(Skills!I6,MAX(0,MAX(0,Inputs!$B$43-B2321)-((R2286-1)*(IF(Inputs!$B$38="pvp",15,MAX(0.1,Skills!D6-IF(Skills!E6=TRUE,Inputs!$B$32,0)))*(1-IF(AND(ArtifactsInput!$M$27,Inputs!$B$4="Chapter Hunt"),CHOOSE(ArtifactsInput!$N$27+1,20,24,28,32,36,40),0)/100)))))/Skills!H6,1)))/Inputs!$B$43),G2286*Q2286))*IF(Inputs!$B$38="pvp",1,(1+(Inputs!$B$21+Skills!Q6+(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7">
      <c r="A2287">
        <f>Skills!A7</f>
        <v/>
      </c>
      <c r="B2287">
        <f>Skills!B7</f>
        <v/>
      </c>
      <c r="C2287">
        <f>Inputs!$B$3&gt;=107</f>
        <v/>
      </c>
      <c r="D2287">
        <f>IF(Skills!C7=1,60+Inputs!$B$25+Inputs!$B$29,IF(Skills!C7=2,90+Inputs!$B$26+Inputs!$B$29,IF(Skills!C7=3,120+Inputs!$B$27+Inputs!$B$29,MAX(0,(Inputs!$B$3-100)*3)+Inputs!$B$28+Inputs!$B$29)))</f>
        <v/>
      </c>
      <c r="E2287">
        <f>INDEX(FactorTable!$B$2:$Y$301, MATCH(ROUND(MIN(300,MAX(1,D2287)),0), FactorTable!$A$2:$A$301,0), Skills!M7+1)</f>
        <v/>
      </c>
      <c r="F2287">
        <f>IF(Skills!N7=TRUE,(Skills!L7/10)*(E2287/1000),Skills!L7/10)+Skills!O7</f>
        <v/>
      </c>
      <c r="G2287" t="inlineStr"/>
      <c r="H2287" t="inlineStr"/>
      <c r="I2287" t="inlineStr">
        <is>
          <t>1</t>
        </is>
      </c>
      <c r="J2287" t="inlineStr"/>
      <c r="K2287" t="inlineStr"/>
      <c r="L2287" t="inlineStr"/>
      <c r="M2287" t="inlineStr"/>
      <c r="N2287" t="inlineStr"/>
      <c r="O2287" t="inlineStr"/>
      <c r="P2287" t="inlineStr"/>
      <c r="Q2287" t="inlineStr"/>
      <c r="R2287" t="inlineStr"/>
      <c r="S2287" t="inlineStr"/>
      <c r="T2287" t="inlineStr"/>
      <c r="V2287" t="inlineStr"/>
    </row>
    <row r="2288">
      <c r="A2288">
        <f>Skills!A8</f>
        <v/>
      </c>
      <c r="B2288">
        <f>Skills!B8</f>
        <v/>
      </c>
      <c r="C2288">
        <f>Inputs!$B$3&gt;=69</f>
        <v/>
      </c>
      <c r="D2288">
        <f>IF(Skills!C8=1,60+Inputs!$B$25+Inputs!$B$29,IF(Skills!C8=2,90+Inputs!$B$26+Inputs!$B$29,IF(Skills!C8=3,120+Inputs!$B$27+Inputs!$B$29,MAX(0,(Inputs!$B$3-100)*3)+Inputs!$B$28+Inputs!$B$29)))</f>
        <v/>
      </c>
      <c r="E2288">
        <f>INDEX(FactorTable!$B$2:$Y$301, MATCH(ROUND(MIN(300,MAX(1,D2288)),0), FactorTable!$A$2:$A$301,0), Skills!M8+1)</f>
        <v/>
      </c>
      <c r="F2288">
        <f>IF(Skills!N8=TRUE,(Skills!L8/10)*(E2288/1000),Skills!L8/10)+Skills!O8</f>
        <v/>
      </c>
      <c r="G2288">
        <f>Skills!G8*IF(Skills!H8&gt;0,Skills!I8/Skills!H8,1)</f>
        <v/>
      </c>
      <c r="H2288">
        <f>1-(1-Skills!J8/100)^Skills!K8</f>
        <v/>
      </c>
      <c r="I2288" t="inlineStr">
        <is>
          <t>1</t>
        </is>
      </c>
      <c r="J2288">
        <f>((Inputs!$B$6*(1+Inputs!$B$7/100))+(((Inputs!$B$12*(1+Inputs!$B$13/100))-(Inputs!$B$12*(1+Inputs!$B$13/100)))+0.25*(Inputs!$B$14-Inputs!$B$14))*(1+Inputs!$B$7/100))*(F2288/100)</f>
        <v/>
      </c>
      <c r="K2288">
        <f>J2288*(1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2291=TRUE,F2291,0)/100)*(1+(IF(Skills!A8="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2288)</f>
        <v/>
      </c>
      <c r="L2288">
        <f>K2288*(MIN(Inputs!$B$22+((C2305=TRUE)*(F2305-Calc!F25)),(Inputs!$B$23+((C2310=TRUE)*(F2310-Calc!F30))+(IF(ArtifactsInput!$M$15,CHOOSE(ArtifactsInput!$N$15+1,25,30,35,40,45,50)/100*(Inputs!$B$11-Inputs!$B$11),0))))/100+(Inputs!$B$23+((C2310=TRUE)*(F2310-Calc!F30))+(IF(ArtifactsInput!$M$15,CHOOSE(ArtifactsInput!$N$15+1,25,30,35,40,45,50)/100*(Inputs!$B$11-Inputs!$B$11),0)))/100)/2</f>
        <v/>
      </c>
      <c r="M2288">
        <f>L2288*(1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8">
        <f>L2288*(1-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2288*(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8">
        <f>(1-Summary!$B$11)*T2288+Summary!$B$11*V2288</f>
        <v/>
      </c>
      <c r="P2288">
        <f>IF(B2324=0,0,O2288/B2324)</f>
        <v/>
      </c>
      <c r="Q2288">
        <f>IFERROR(1/(IF(Inputs!$B$38="pvp",15,MAX(0.1,Skills!D8-IF(Skills!E8=TRUE,Inputs!$B$32,0)))*(1-IF(AND(ArtifactsInput!$M$27,Inputs!$B$4="Chapter Hunt"),CHOOSE(ArtifactsInput!$N$27+1,20,24,28,32,36,40),0)/100)),0)</f>
        <v/>
      </c>
      <c r="R2288">
        <f>IF(AND(Inputs!$B$38&lt;&gt;"pvp",Inputs!$B$43&gt;0),IF(MAX(0,Inputs!$B$43-B2321)&lt;=0,0,(INT(MAX(0,Inputs!$B$43-B2321)/(IF(Inputs!$B$38="pvp",15,MAX(0.1,Skills!D8-IF(Skills!E8=TRUE,Inputs!$B$32,0)))*(1-IF(AND(ArtifactsInput!$M$27,Inputs!$B$4="Chapter Hunt"),CHOOSE(ArtifactsInput!$N$27+1,20,24,28,32,36,40),0)/100)))+1)),0)</f>
        <v/>
      </c>
      <c r="S2288">
        <f>IFERROR(O2288/N2288,0)</f>
        <v/>
      </c>
      <c r="T2288">
        <f>IF(C2288,(H2288*N2288*IF(AND(Inputs!$B$38&lt;&gt;"pvp",Inputs!$B$43&gt;0),((Skills!G8*((R2288-1)*IF(Skills!H8&gt;0,Skills!I8/Skills!H8,1)+IF(Skills!H8&gt;0,MIN(Skills!I8,MAX(0,MAX(0,Inputs!$B$43-B2321)-((R2288-1)*(IF(Inputs!$B$38="pvp",15,MAX(0.1,Skills!D8-IF(Skills!E8=TRUE,Inputs!$B$32,0)))*(1-IF(AND(ArtifactsInput!$M$27,Inputs!$B$4="Chapter Hunt"),CHOOSE(ArtifactsInput!$N$27+1,20,24,28,32,36,40),0)/100)))))/Skills!H8,1)))/Inputs!$B$43),G2288*Q2288)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2288*(1-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2288*(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2288*(1-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2288*(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8">
        <f>IF(C2288,(H2288*N2288*IF(AND(Inputs!$B$38&lt;&gt;"pvp",Inputs!$B$43&gt;0),((Skills!G8*((R2288-1)*IF(Skills!H8&gt;0,Skills!I8/Skills!H8,1)+IF(Skills!H8&gt;0,MIN(Skills!I8,MAX(0,MAX(0,Inputs!$B$43-B2321)-((R2288-1)*(IF(Inputs!$B$38="pvp",15,MAX(0.1,Skills!D8-IF(Skills!E8=TRUE,Inputs!$B$32,0)))*(1-IF(AND(ArtifactsInput!$M$27,Inputs!$B$4="Chapter Hunt"),CHOOSE(ArtifactsInput!$N$27+1,20,24,28,32,36,40),0)/100)))))/Skills!H8,1)))/Inputs!$B$43),G2288*Q2288))*IF(Inputs!$B$38="pvp",1,(1+(Inputs!$B$21+Skills!Q8+(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9">
      <c r="A2289">
        <f>Skills!A9</f>
        <v/>
      </c>
      <c r="B2289">
        <f>Skills!B9</f>
        <v/>
      </c>
      <c r="C2289">
        <f>Inputs!$B$3&gt;=63</f>
        <v/>
      </c>
      <c r="D2289">
        <f>IF(Skills!C9=1,60+Inputs!$B$25+Inputs!$B$29,IF(Skills!C9=2,90+Inputs!$B$26+Inputs!$B$29,IF(Skills!C9=3,120+Inputs!$B$27+Inputs!$B$29,MAX(0,(Inputs!$B$3-100)*3)+Inputs!$B$28+Inputs!$B$29)))</f>
        <v/>
      </c>
      <c r="E2289">
        <f>INDEX(FactorTable!$B$2:$Y$301, MATCH(ROUND(MIN(300,MAX(1,D2289)),0), FactorTable!$A$2:$A$301,0), Skills!M9+1)</f>
        <v/>
      </c>
      <c r="F2289">
        <f>IF(Skills!N9=TRUE,(Skills!L9/10)*(E2289/1000),Skills!L9/10)+Skills!O9</f>
        <v/>
      </c>
      <c r="G2289">
        <f>Skills!G9*IF(Skills!H9&gt;0,Skills!I9/Skills!H9,1)</f>
        <v/>
      </c>
      <c r="H2289">
        <f>1-(1-Skills!J9/100)^Skills!K9</f>
        <v/>
      </c>
      <c r="I2289" t="inlineStr">
        <is>
          <t>1</t>
        </is>
      </c>
      <c r="J2289">
        <f>((Inputs!$B$6*(1+Inputs!$B$7/100))+(((Inputs!$B$12*(1+Inputs!$B$13/100))-(Inputs!$B$12*(1+Inputs!$B$13/100)))+0.25*(Inputs!$B$14-Inputs!$B$14))*(1+Inputs!$B$7/100))*(F2289/100)</f>
        <v/>
      </c>
      <c r="K2289">
        <f>J2289*(1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2291=TRUE,F2291,0)/100)*(1+(IF(Skills!A9="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2289)</f>
        <v/>
      </c>
      <c r="L2289">
        <f>K2289*(MIN(Inputs!$B$22+((C2305=TRUE)*(F2305-Calc!F25)),(Inputs!$B$23+((C2310=TRUE)*(F2310-Calc!F30))+(IF(ArtifactsInput!$M$15,CHOOSE(ArtifactsInput!$N$15+1,25,30,35,40,45,50)/100*(Inputs!$B$11-Inputs!$B$11),0))))/100+(Inputs!$B$23+((C2310=TRUE)*(F2310-Calc!F30))+(IF(ArtifactsInput!$M$15,CHOOSE(ArtifactsInput!$N$15+1,25,30,35,40,45,50)/100*(Inputs!$B$11-Inputs!$B$11),0)))/100)/2</f>
        <v/>
      </c>
      <c r="M2289">
        <f>L2289*(1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9">
        <f>L2289*(1-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2289*(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9">
        <f>(1-Summary!$B$11)*T2289+Summary!$B$11*V2289</f>
        <v/>
      </c>
      <c r="P2289">
        <f>IF(B2324=0,0,O2289/B2324)</f>
        <v/>
      </c>
      <c r="Q2289">
        <f>IFERROR(1/(IF(Inputs!$B$38="pvp",15,MAX(0.1,Skills!D9-IF(Skills!E9=TRUE,Inputs!$B$32,0)))*(1-IF(AND(ArtifactsInput!$M$27,Inputs!$B$4="Chapter Hunt"),CHOOSE(ArtifactsInput!$N$27+1,20,24,28,32,36,40),0)/100)),0)</f>
        <v/>
      </c>
      <c r="R2289">
        <f>IF(AND(Inputs!$B$38&lt;&gt;"pvp",Inputs!$B$43&gt;0),IF(MAX(0,Inputs!$B$43-B2321)&lt;=0,0,(INT(MAX(0,Inputs!$B$43-B2321)/(IF(Inputs!$B$38="pvp",15,MAX(0.1,Skills!D9-IF(Skills!E9=TRUE,Inputs!$B$32,0)))*(1-IF(AND(ArtifactsInput!$M$27,Inputs!$B$4="Chapter Hunt"),CHOOSE(ArtifactsInput!$N$27+1,20,24,28,32,36,40),0)/100)))+1)),0)</f>
        <v/>
      </c>
      <c r="S2289">
        <f>IFERROR(O2289/N2289,0)</f>
        <v/>
      </c>
      <c r="T2289">
        <f>IF(C2289,(H2289*N2289*IF(AND(Inputs!$B$38&lt;&gt;"pvp",Inputs!$B$43&gt;0),((Skills!G9*((R2289-1)*IF(Skills!H9&gt;0,Skills!I9/Skills!H9,1)+IF(Skills!H9&gt;0,MIN(Skills!I9,MAX(0,MAX(0,Inputs!$B$43-B2321)-((R2289-1)*(IF(Inputs!$B$38="pvp",15,MAX(0.1,Skills!D9-IF(Skills!E9=TRUE,Inputs!$B$32,0)))*(1-IF(AND(ArtifactsInput!$M$27,Inputs!$B$4="Chapter Hunt"),CHOOSE(ArtifactsInput!$N$27+1,20,24,28,32,36,40),0)/100)))))/Skills!H9,1)))/Inputs!$B$43),G2289*Q2289)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2289*(1-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2289*(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2289*(1-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2289*(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9">
        <f>IF(C2289,(H2289*N2289*IF(AND(Inputs!$B$38&lt;&gt;"pvp",Inputs!$B$43&gt;0),((Skills!G9*((R2289-1)*IF(Skills!H9&gt;0,Skills!I9/Skills!H9,1)+IF(Skills!H9&gt;0,MIN(Skills!I9,MAX(0,MAX(0,Inputs!$B$43-B2321)-((R2289-1)*(IF(Inputs!$B$38="pvp",15,MAX(0.1,Skills!D9-IF(Skills!E9=TRUE,Inputs!$B$32,0)))*(1-IF(AND(ArtifactsInput!$M$27,Inputs!$B$4="Chapter Hunt"),CHOOSE(ArtifactsInput!$N$27+1,20,24,28,32,36,40),0)/100)))))/Skills!H9,1)))/Inputs!$B$43),G2289*Q2289))*IF(Inputs!$B$38="pvp",1,(1+(Inputs!$B$21+Skills!Q9+(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0">
      <c r="A2290">
        <f>Skills!A10</f>
        <v/>
      </c>
      <c r="B2290">
        <f>Skills!B10</f>
        <v/>
      </c>
      <c r="C2290">
        <f>Inputs!$B$3&gt;=103</f>
        <v/>
      </c>
      <c r="D2290">
        <f>IF(Skills!C10=1,60+Inputs!$B$25+Inputs!$B$29,IF(Skills!C10=2,90+Inputs!$B$26+Inputs!$B$29,IF(Skills!C10=3,120+Inputs!$B$27+Inputs!$B$29,MAX(0,(Inputs!$B$3-100)*3)+Inputs!$B$28+Inputs!$B$29)))</f>
        <v/>
      </c>
      <c r="E2290">
        <f>INDEX(FactorTable!$B$2:$Y$301, MATCH(ROUND(MIN(300,MAX(1,D2290)),0), FactorTable!$A$2:$A$301,0), Skills!M10+1)</f>
        <v/>
      </c>
      <c r="F2290">
        <f>IF(Skills!N10=TRUE,(Skills!L10/10)*(E2290/1000),Skills!L10/10)+Skills!O10</f>
        <v/>
      </c>
      <c r="G2290">
        <f>Skills!G10*IF(Skills!H10&gt;0,Skills!I10/Skills!H10,1)</f>
        <v/>
      </c>
      <c r="H2290">
        <f>1-(1-Skills!J10/100)^Skills!K10</f>
        <v/>
      </c>
      <c r="I2290" t="inlineStr">
        <is>
          <t>1</t>
        </is>
      </c>
      <c r="J2290">
        <f>((Inputs!$B$6*(1+Inputs!$B$7/100))+(((Inputs!$B$12*(1+Inputs!$B$13/100))-(Inputs!$B$12*(1+Inputs!$B$13/100)))+0.25*(Inputs!$B$14-Inputs!$B$14))*(1+Inputs!$B$7/100))*(F2290/100)</f>
        <v/>
      </c>
      <c r="K2290">
        <f>J2290*(1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2290)</f>
        <v/>
      </c>
      <c r="L2290">
        <f>K2290*(MIN(Inputs!$B$22+((C2305=TRUE)*(F2305-Calc!F25)),(Inputs!$B$23+((C2310=TRUE)*(F2310-Calc!F30))+(IF(ArtifactsInput!$M$15,CHOOSE(ArtifactsInput!$N$15+1,25,30,35,40,45,50)/100*(Inputs!$B$11-Inputs!$B$11),0))))/100+(Inputs!$B$23+((C2310=TRUE)*(F2310-Calc!F30))+(IF(ArtifactsInput!$M$15,CHOOSE(ArtifactsInput!$N$15+1,25,30,35,40,45,50)/100*(Inputs!$B$11-Inputs!$B$11),0)))/100)/2</f>
        <v/>
      </c>
      <c r="M2290">
        <f>L2290*(1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0">
        <f>L2290*(1-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2290*(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0">
        <f>(1-Summary!$B$11)*T2290+Summary!$B$11*V2290</f>
        <v/>
      </c>
      <c r="P2290">
        <f>IF(B2324=0,0,O2290/B2324)</f>
        <v/>
      </c>
      <c r="Q2290">
        <f>IFERROR(1/(IF(Inputs!$B$38="pvp",15,MAX(0.1,Skills!D10-IF(Skills!E10=TRUE,Inputs!$B$32,0)))*(1-IF(AND(ArtifactsInput!$M$27,Inputs!$B$4="Chapter Hunt"),CHOOSE(ArtifactsInput!$N$27+1,20,24,28,32,36,40),0)/100)),0)</f>
        <v/>
      </c>
      <c r="R2290">
        <f>IF(AND(Inputs!$B$38&lt;&gt;"pvp",Inputs!$B$43&gt;0),IF(MAX(0,Inputs!$B$43-B2321)&lt;=0,0,(INT(MAX(0,Inputs!$B$43-B2321)/(IF(Inputs!$B$38="pvp",15,MAX(0.1,Skills!D10-IF(Skills!E10=TRUE,Inputs!$B$32,0)))*(1-IF(AND(ArtifactsInput!$M$27,Inputs!$B$4="Chapter Hunt"),CHOOSE(ArtifactsInput!$N$27+1,20,24,28,32,36,40),0)/100)))+1)),0)</f>
        <v/>
      </c>
      <c r="S2290">
        <f>IFERROR(O2290/N2290,0)</f>
        <v/>
      </c>
      <c r="T2290">
        <f>IF(C2290,(H2290*N2290*IF(AND(Inputs!$B$38&lt;&gt;"pvp",Inputs!$B$43&gt;0),((Skills!G10*((R2290-1)*IF(Skills!H10&gt;0,Skills!I10/Skills!H10,1)+IF(Skills!H10&gt;0,MIN(Skills!I10,MAX(0,MAX(0,Inputs!$B$43-B2321)-((R2290-1)*(IF(Inputs!$B$38="pvp",15,MAX(0.1,Skills!D10-IF(Skills!E10=TRUE,Inputs!$B$32,0)))*(1-IF(AND(ArtifactsInput!$M$27,Inputs!$B$4="Chapter Hunt"),CHOOSE(ArtifactsInput!$N$27+1,20,24,28,32,36,40),0)/100)))))/Skills!H10,1)))/Inputs!$B$43),G2290*Q2290)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2290*(1-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2290*(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2290*(1-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2290*(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0">
        <f>IF(C2290,(H2290*N2290*IF(AND(Inputs!$B$38&lt;&gt;"pvp",Inputs!$B$43&gt;0),((Skills!G10*((R2290-1)*IF(Skills!H10&gt;0,Skills!I10/Skills!H10,1)+IF(Skills!H10&gt;0,MIN(Skills!I10,MAX(0,MAX(0,Inputs!$B$43-B2321)-((R2290-1)*(IF(Inputs!$B$38="pvp",15,MAX(0.1,Skills!D10-IF(Skills!E10=TRUE,Inputs!$B$32,0)))*(1-IF(AND(ArtifactsInput!$M$27,Inputs!$B$4="Chapter Hunt"),CHOOSE(ArtifactsInput!$N$27+1,20,24,28,32,36,40),0)/100)))))/Skills!H10,1)))/Inputs!$B$43),G2290*Q2290))*IF(Inputs!$B$38="pvp",1,(1+(Inputs!$B$21+Skills!Q10+(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1">
      <c r="A2291">
        <f>Skills!A11</f>
        <v/>
      </c>
      <c r="B2291">
        <f>Skills!B11</f>
        <v/>
      </c>
      <c r="C2291">
        <f>Inputs!$B$3&gt;=100</f>
        <v/>
      </c>
      <c r="D2291">
        <f>IF(Skills!C11=1,60+Inputs!$B$25+Inputs!$B$29,IF(Skills!C11=2,90+Inputs!$B$26+Inputs!$B$29,IF(Skills!C11=3,120+Inputs!$B$27+Inputs!$B$29,MAX(0,(Inputs!$B$3-100)*3)+Inputs!$B$28+Inputs!$B$29)))</f>
        <v/>
      </c>
      <c r="E2291">
        <f>INDEX(FactorTable!$B$2:$Y$301, MATCH(ROUND(MIN(300,MAX(1,D2291)),0), FactorTable!$A$2:$A$301,0), Skills!M11+1)</f>
        <v/>
      </c>
      <c r="F2291">
        <f>IF(Skills!N11=TRUE,(Skills!L11/10)*(E2291/1000),Skills!L11/10)+Skills!O11</f>
        <v/>
      </c>
      <c r="G2291" t="inlineStr"/>
      <c r="H2291" t="inlineStr"/>
      <c r="I2291" t="inlineStr">
        <is>
          <t>1</t>
        </is>
      </c>
      <c r="J2291" t="inlineStr"/>
      <c r="K2291" t="inlineStr"/>
      <c r="L2291" t="inlineStr"/>
      <c r="M2291" t="inlineStr"/>
      <c r="N2291" t="inlineStr"/>
      <c r="O2291" t="inlineStr"/>
      <c r="P2291" t="inlineStr"/>
      <c r="Q2291" t="inlineStr"/>
      <c r="R2291" t="inlineStr"/>
      <c r="S2291" t="inlineStr"/>
      <c r="T2291" t="inlineStr"/>
      <c r="V2291" t="inlineStr"/>
    </row>
    <row r="2292">
      <c r="A2292">
        <f>Skills!A12</f>
        <v/>
      </c>
      <c r="B2292">
        <f>Skills!B12</f>
        <v/>
      </c>
      <c r="C2292">
        <f>Inputs!$B$3&gt;=60</f>
        <v/>
      </c>
      <c r="D2292">
        <f>IF(Skills!C12=1,60+Inputs!$B$25+Inputs!$B$29,IF(Skills!C12=2,90+Inputs!$B$26+Inputs!$B$29,IF(Skills!C12=3,120+Inputs!$B$27+Inputs!$B$29,MAX(0,(Inputs!$B$3-100)*3)+Inputs!$B$28+Inputs!$B$29)))</f>
        <v/>
      </c>
      <c r="E2292">
        <f>INDEX(FactorTable!$B$2:$Y$301, MATCH(ROUND(MIN(300,MAX(1,D2292)),0), FactorTable!$A$2:$A$301,0), Skills!M12+1)</f>
        <v/>
      </c>
      <c r="F2292">
        <f>IF(Skills!N12=TRUE,(Skills!L12/10)*(E2292/1000),Skills!L12/10)+Skills!O12</f>
        <v/>
      </c>
      <c r="G2292">
        <f>Skills!G12*IF(Skills!H12&gt;0,Skills!I12/Skills!H12,1)</f>
        <v/>
      </c>
      <c r="H2292">
        <f>1-(1-Skills!J12/100)^Skills!K12</f>
        <v/>
      </c>
      <c r="I2292" t="inlineStr">
        <is>
          <t>1</t>
        </is>
      </c>
      <c r="J2292">
        <f>((Inputs!$B$6*(1+Inputs!$B$7/100))+(((Inputs!$B$12*(1+Inputs!$B$13/100))-(Inputs!$B$12*(1+Inputs!$B$13/100)))+0.25*(Inputs!$B$14-Inputs!$B$14))*(1+Inputs!$B$7/100))*(F2292/100)</f>
        <v/>
      </c>
      <c r="K2292">
        <f>J2292*(1+((Inputs!$B$12*(1+Inputs!$B$13/100))*0.01+Inputs!$B$14*0.0025)/100)*(1+Inputs!$B$15/100)*(1+Inputs!$B$16/100)*(5000/(6000+Inputs!$B$42*(1-(100*(1-(1-(Inputs!$B$19+((C2308=TRUE)*(F2308-Calc!F28)))/100)*(1-CHOOSE(ArtifactsInput!$N$40+1,5,6,7,8,9,10)/100)^(ArtifactsInput!$M$40-ArtifactsInput!$M$40)))/100)))*(1+(Inputs!$B$24+((C2306=TRUE)*(F2306-Calc!F26))+((C2307=TRUE)*(F2307-Calc!F27))+B2320)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2293=TRUE,F2293,0)/100)*(1+(IF(Skills!A12="ARROW_STREAM",Inputs!$B$17+((C2304=TRUE)*(F2304-Calc!F24))+(((IF(AND(ArtifactsInput!$M$42,((Inputs!$B$9+((C2301=TRUE)*(F2301-Calc!F21))+B2314+(ArtifactsInput!$M$24-ArtifactsInput!$M$24)*CHOOSE(ArtifactsInput!$N$24+1,10,12,14,16,18,20)+IF(ArtifactsInput!$M$10,CHOOSE(ArtifactsInput!$N$10+1,15,18,21,24,27,30)*(IF(Inputs!$B$38="pvp",MIN(15,15)/15,IF(AND(Inputs!$B$38&lt;&gt;"pvp",Inputs!$B$43&gt;0),MIN(15,Inputs!$B$43)/(Inputs!$B$43),0))),0)))&gt;=100),MIN(100,((Inputs!$B$9+((C2301=TRUE)*(F2301-Calc!F21))+B2314+(ArtifactsInput!$M$24-ArtifactsInput!$M$24)*CHOOSE(ArtifactsInput!$N$24+1,10,12,14,16,18,20)+IF(ArtifactsInput!$M$10,CHOOSE(ArtifactsInput!$N$10+1,15,18,21,24,27,30)*(IF(Inputs!$B$38="pvp",MIN(15,15)/15,IF(AND(Inputs!$B$38&lt;&gt;"pvp",Inputs!$B$43&gt;0),MIN(15,Inputs!$B$43)/(Inputs!$B$43),0))),0)))-100),0))*CHOOSE(ArtifactsInput!$N$42+1,0.6,0.72,0.84,0.96,1.08,1.2))),Inputs!$B$18+((C2309=TRUE)*(F2309-Calc!F29))+(IF(AND(ArtifactsInput!$M$42,((Inputs!$B$9+((C2301=TRUE)*(F2301-Calc!F21))+B2314+(ArtifactsInput!$M$24-ArtifactsInput!$M$24)*CHOOSE(ArtifactsInput!$N$24+1,10,12,14,16,18,20)+IF(ArtifactsInput!$M$10,CHOOSE(ArtifactsInput!$N$10+1,15,18,21,24,27,30)*(IF(Inputs!$B$38="pvp",MIN(15,15)/15,IF(AND(Inputs!$B$38&lt;&gt;"pvp",Inputs!$B$43&gt;0),MIN(15,Inputs!$B$43)/(Inputs!$B$43),0))),0)))&gt;=100),CHOOSE(ArtifactsInput!$N$42+1,40,48,56,64,72,80),0))))/100)*((1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2292)</f>
        <v/>
      </c>
      <c r="L2292">
        <f>K2292*(MIN(Inputs!$B$22+((C2305=TRUE)*(F2305-Calc!F25)),(Inputs!$B$23+((C2310=TRUE)*(F2310-Calc!F30))+(IF(ArtifactsInput!$M$15,CHOOSE(ArtifactsInput!$N$15+1,25,30,35,40,45,50)/100*(Inputs!$B$11-Inputs!$B$11),0))))/100+(Inputs!$B$23+((C2310=TRUE)*(F2310-Calc!F30))+(IF(ArtifactsInput!$M$15,CHOOSE(ArtifactsInput!$N$15+1,25,30,35,40,45,50)/100*(Inputs!$B$11-Inputs!$B$11),0)))/100)/2</f>
        <v/>
      </c>
      <c r="M2292">
        <f>L2292*(1+(Inputs!$B$10+0+B2319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2">
        <f>L2292*(1-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2292*(MIN((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2">
        <f>(1-Summary!$B$11)*T2292+Summary!$B$11*V2292</f>
        <v/>
      </c>
      <c r="P2292">
        <f>IF(B2324=0,0,O2292/B2324)</f>
        <v/>
      </c>
      <c r="Q2292">
        <f>IFERROR(1/(IF(Inputs!$B$38="pvp",15,MAX(0.1,Skills!D12-IF(Skills!E12=TRUE,Inputs!$B$32,0)))*(1-IF(AND(ArtifactsInput!$M$27,Inputs!$B$4="Chapter Hunt"),CHOOSE(ArtifactsInput!$N$27+1,20,24,28,32,36,40),0)/100)),0)</f>
        <v/>
      </c>
      <c r="R2292">
        <f>IF(AND(Inputs!$B$38&lt;&gt;"pvp",Inputs!$B$43&gt;0),IF(MAX(0,Inputs!$B$43-B2321)&lt;=0,0,(INT(MAX(0,Inputs!$B$43-B2321)/(IF(Inputs!$B$38="pvp",15,MAX(0.1,Skills!D12-IF(Skills!E12=TRUE,Inputs!$B$32,0)))*(1-IF(AND(ArtifactsInput!$M$27,Inputs!$B$4="Chapter Hunt"),CHOOSE(ArtifactsInput!$N$27+1,20,24,28,32,36,40),0)/100)))+1)),0)</f>
        <v/>
      </c>
      <c r="S2292">
        <f>IFERROR(O2292/N2292,0)</f>
        <v/>
      </c>
      <c r="T2292">
        <f>IF(C2292,(H2292*N2292*IF(AND(Inputs!$B$38&lt;&gt;"pvp",Inputs!$B$43&gt;0),((Skills!G12*((R2292-1)*IF(Skills!H12&gt;0,Skills!I12/Skills!H12,1)+IF(Skills!H12&gt;0,MIN(Skills!I12,MAX(0,MAX(0,Inputs!$B$43-B2321)-((R2292-1)*(IF(Inputs!$B$38="pvp",15,MAX(0.1,Skills!D12-IF(Skills!E12=TRUE,Inputs!$B$32,0)))*(1-IF(AND(ArtifactsInput!$M$27,Inputs!$B$4="Chapter Hunt"),CHOOSE(ArtifactsInput!$N$27+1,20,24,28,32,36,40),0)/100)))))/Skills!H12,1)))/Inputs!$B$43),G2292*Q2292)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(5000/(6000+Inputs!$B$42*(1-(100*(1-(1-(100*(1-(1-(Inputs!$B$19+((C2308=TRUE)*(F2308-Calc!F28)))/100)*(1-CHOOSE(ArtifactsInput!$N$40+1,5,6,7,8,9,10)/100)^(ArtifactsInput!$M$40-ArtifactsInput!$M$40)))/100)*(1-IF(ArtifactsInput!$M$40,CHOOSE(ArtifactsInput!$N$40+1,5,6,7,8,9,10),0)/100)^IF(Inputs!$B$38="pvp",1,2)))/100)))/(5000/(6000+Inputs!$B$42*(1-(100*(1-(1-(Inputs!$B$19+((C2308=TRUE)*(F2308-Calc!F28)))/100)*(1-CHOOSE(ArtifactsInput!$N$40+1,5,6,7,8,9,10)/100)^(ArtifactsInput!$M$40-ArtifactsInput!$M$40)))/100))))*((L2292*(1-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2292*(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2292*(1-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2292*(MIN(100,(Inputs!$B$9+((C2301=TRUE)*(F2301-Calc!F21))+B2314+(ArtifactsInput!$M$24-ArtifactsInput!$M$24)*CHOOSE(ArtifactsInput!$N$24+1,10,12,14,16,18,20)+(IF(AND(ArtifactsInput!$M$42,((Inputs!$B$9+((C2301=TRUE)*(F2301-Calc!F21))+B2314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2">
        <f>IF(C2292,(H2292*N2292*IF(AND(Inputs!$B$38&lt;&gt;"pvp",Inputs!$B$43&gt;0),((Skills!G12*((R2292-1)*IF(Skills!H12&gt;0,Skills!I12/Skills!H12,1)+IF(Skills!H12&gt;0,MIN(Skills!I12,MAX(0,MAX(0,Inputs!$B$43-B2321)-((R2292-1)*(IF(Inputs!$B$38="pvp",15,MAX(0.1,Skills!D12-IF(Skills!E12=TRUE,Inputs!$B$32,0)))*(1-IF(AND(ArtifactsInput!$M$27,Inputs!$B$4="Chapter Hunt"),CHOOSE(ArtifactsInput!$N$27+1,20,24,28,32,36,40),0)/100)))))/Skills!H12,1)))/Inputs!$B$43),G2292*Q2292))*IF(Inputs!$B$38="pvp",1,(1+(Inputs!$B$21+Skills!Q12+(IF(ArtifactsInput!$M$33,CHOOSE(ArtifactsInput!$N$33+1,30,36,42,48,54,60),0))+(IF(AND(ArtifactsInput!$M$35,Inputs!$B$4&lt;&gt;"Chapter Hunt"),CHOOSE(ArtifactsInput!$N$35+1,15,18,21,24,27,30)*(1-EXP(-(0.2*B2316)*5)),0)+IF(AND(ArtifactsInput!$M$22,Inputs!$B$4&lt;&gt;"Chapter Hunt"),CHOOSE(ArtifactsInput!$N$22+1,10,12,14,16,18,20)*((0*(((0.15*B2316*5))^0/1)+1*(((0.15*B2316*5))^1/1)+2*(((0.15*B2316*5))^2/2)+3*(((0.15*B2316*5))^3/6)+4*(((0.15*B2316*5))^4/24)+5*(((0.15*B2316*5))^5/120))/((((0.15*B2316*5))^0/1)+(((0.15*B2316*5))^1/1)+(((0.15*B2316*5))^2/2)+(((0.15*B2316*5))^3/6)+(((0.15*B2316*5))^4/24)+(((0.15*B2316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3">
      <c r="A2293">
        <f>Skills!A13</f>
        <v/>
      </c>
      <c r="B2293">
        <f>Skills!B13</f>
        <v/>
      </c>
      <c r="C2293">
        <f>Inputs!$B$3&gt;=110</f>
        <v/>
      </c>
      <c r="D2293">
        <f>IF(Skills!C13=1,60+Inputs!$B$25+Inputs!$B$29,IF(Skills!C13=2,90+Inputs!$B$26+Inputs!$B$29,IF(Skills!C13=3,120+Inputs!$B$27+Inputs!$B$29,MAX(0,(Inputs!$B$3-100)*3)+Inputs!$B$28+Inputs!$B$29)))</f>
        <v/>
      </c>
      <c r="E2293">
        <f>INDEX(FactorTable!$B$2:$Y$301, MATCH(ROUND(MIN(300,MAX(1,D2293)),0), FactorTable!$A$2:$A$301,0), Skills!M13+1)</f>
        <v/>
      </c>
      <c r="F2293">
        <f>IF(Skills!N13=TRUE,(Skills!L13/10)*(E2293/1000),Skills!L13/10)+Skills!O13</f>
        <v/>
      </c>
      <c r="G2293" t="inlineStr"/>
      <c r="H2293" t="inlineStr"/>
      <c r="I2293" t="inlineStr">
        <is>
          <t>1</t>
        </is>
      </c>
      <c r="J2293" t="inlineStr"/>
      <c r="K2293" t="inlineStr"/>
      <c r="L2293" t="inlineStr"/>
      <c r="M2293" t="inlineStr"/>
      <c r="N2293" t="inlineStr"/>
      <c r="O2293" t="inlineStr"/>
      <c r="P2293" t="inlineStr"/>
      <c r="Q2293" t="inlineStr"/>
      <c r="R2293" t="inlineStr"/>
      <c r="S2293" t="inlineStr"/>
      <c r="T2293" t="inlineStr"/>
      <c r="V2293" t="inlineStr"/>
    </row>
    <row r="2294">
      <c r="A2294">
        <f>Skills!A14</f>
        <v/>
      </c>
      <c r="B2294">
        <f>Skills!B14</f>
        <v/>
      </c>
      <c r="C2294">
        <f>Inputs!$B$3&gt;=74</f>
        <v/>
      </c>
      <c r="D2294">
        <f>IF(Skills!C14=1,60+Inputs!$B$25+Inputs!$B$29,IF(Skills!C14=2,90+Inputs!$B$26+Inputs!$B$29,IF(Skills!C14=3,120+Inputs!$B$27+Inputs!$B$29,MAX(0,(Inputs!$B$3-100)*3)+Inputs!$B$28+Inputs!$B$29)))</f>
        <v/>
      </c>
      <c r="E2294">
        <f>INDEX(FactorTable!$B$2:$Y$301, MATCH(ROUND(MIN(300,MAX(1,D2294)),0), FactorTable!$A$2:$A$301,0), Skills!M14+1)</f>
        <v/>
      </c>
      <c r="F2294">
        <f>IF(Skills!N14=TRUE,(Skills!L14/10)*(E2294/1000),Skills!L14/10)+Skills!O14</f>
        <v/>
      </c>
      <c r="G2294">
        <f>Skills!G14*IF(Skills!H14&gt;0,Skills!I14/Skills!H14,1)</f>
        <v/>
      </c>
      <c r="H2294">
        <f>1-(1-Skills!J14/100)^Skills!K14</f>
        <v/>
      </c>
      <c r="I2294" t="inlineStr">
        <is>
          <t>1</t>
        </is>
      </c>
      <c r="J2294" t="inlineStr"/>
      <c r="K2294" t="inlineStr"/>
      <c r="L2294" t="inlineStr"/>
      <c r="M2294" t="inlineStr"/>
      <c r="N2294" t="inlineStr"/>
      <c r="O2294">
        <f>(1-Summary!$B$11)*T2294+Summary!$B$11*V2294</f>
        <v/>
      </c>
      <c r="P2294">
        <f>IF(B2324=0,0,O2294/B2324)</f>
        <v/>
      </c>
      <c r="Q2294" t="n">
        <v>0</v>
      </c>
      <c r="R2294" t="n">
        <v>0</v>
      </c>
      <c r="S2294">
        <f>IFERROR(O2294/N2294,0)</f>
        <v/>
      </c>
      <c r="T2294" t="n">
        <v>0</v>
      </c>
      <c r="V2294" t="n">
        <v>0</v>
      </c>
    </row>
    <row r="2295">
      <c r="A2295">
        <f>Skills!A15</f>
        <v/>
      </c>
      <c r="B2295">
        <f>Skills!B15</f>
        <v/>
      </c>
      <c r="C2295">
        <f>Inputs!$B$3&gt;=74</f>
        <v/>
      </c>
      <c r="D2295">
        <f>IF(Skills!C15=1,60+Inputs!$B$25+Inputs!$B$29,IF(Skills!C15=2,90+Inputs!$B$26+Inputs!$B$29,IF(Skills!C15=3,120+Inputs!$B$27+Inputs!$B$29,MAX(0,(Inputs!$B$3-100)*3)+Inputs!$B$28+Inputs!$B$29)))</f>
        <v/>
      </c>
      <c r="E2295">
        <f>INDEX(FactorTable!$B$2:$Y$301, MATCH(ROUND(MIN(300,MAX(1,D2295)),0), FactorTable!$A$2:$A$301,0), Skills!M15+1)</f>
        <v/>
      </c>
      <c r="F2295">
        <f>IF(Skills!N15=TRUE,(Skills!L15/10)*(E2295/1000),Skills!L15/10)+Skills!O15</f>
        <v/>
      </c>
      <c r="G2295">
        <f>Skills!G15*IF(Skills!H15&gt;0,Skills!I15/Skills!H15,1)</f>
        <v/>
      </c>
      <c r="H2295">
        <f>1-(1-Skills!J15/100)^Skills!K15</f>
        <v/>
      </c>
      <c r="I2295" t="inlineStr">
        <is>
          <t>1</t>
        </is>
      </c>
      <c r="J2295" t="inlineStr"/>
      <c r="K2295" t="inlineStr"/>
      <c r="L2295" t="inlineStr"/>
      <c r="M2295" t="inlineStr"/>
      <c r="N2295" t="inlineStr"/>
      <c r="O2295">
        <f>(1-Summary!$B$11)*T2295+Summary!$B$11*V2295</f>
        <v/>
      </c>
      <c r="P2295">
        <f>IF(B2324=0,0,O2295/B2324)</f>
        <v/>
      </c>
      <c r="Q2295" t="n">
        <v>0</v>
      </c>
      <c r="R2295" t="n">
        <v>0</v>
      </c>
      <c r="S2295">
        <f>IFERROR(O2295/N2295,0)</f>
        <v/>
      </c>
      <c r="T2295" t="n">
        <v>0</v>
      </c>
      <c r="V2295" t="n">
        <v>0</v>
      </c>
    </row>
    <row r="2296">
      <c r="A2296">
        <f>Skills!A16</f>
        <v/>
      </c>
      <c r="B2296">
        <f>Skills!B16</f>
        <v/>
      </c>
      <c r="C2296">
        <f>Inputs!$B$3&gt;=117</f>
        <v/>
      </c>
      <c r="D2296">
        <f>IF(Skills!C16=1,60+Inputs!$B$25+Inputs!$B$29,IF(Skills!C16=2,90+Inputs!$B$26+Inputs!$B$29,IF(Skills!C16=3,120+Inputs!$B$27+Inputs!$B$29,MAX(0,(Inputs!$B$3-100)*3)+Inputs!$B$28+Inputs!$B$29)))</f>
        <v/>
      </c>
      <c r="E2296">
        <f>INDEX(FactorTable!$B$2:$Y$301, MATCH(ROUND(MIN(300,MAX(1,D2296)),0), FactorTable!$A$2:$A$301,0), Skills!M16+1)</f>
        <v/>
      </c>
      <c r="F2296">
        <f>IF(Skills!N16=TRUE,(Skills!L16/10)*(E2296/1000),Skills!L16/10)+Skills!O16</f>
        <v/>
      </c>
      <c r="G2296">
        <f>Skills!G16*IF(Skills!H16&gt;0,Skills!I16/Skills!H16,1)</f>
        <v/>
      </c>
      <c r="H2296">
        <f>1-(1-Skills!J16/100)^Skills!K16</f>
        <v/>
      </c>
      <c r="I2296" t="inlineStr">
        <is>
          <t>1</t>
        </is>
      </c>
      <c r="J2296" t="inlineStr"/>
      <c r="K2296" t="inlineStr"/>
      <c r="L2296" t="inlineStr"/>
      <c r="M2296" t="inlineStr"/>
      <c r="N2296" t="inlineStr"/>
      <c r="O2296">
        <f>(1-Summary!$B$11)*T2296+Summary!$B$11*V2296</f>
        <v/>
      </c>
      <c r="P2296">
        <f>IF(B2324=0,0,O2296/B2324)</f>
        <v/>
      </c>
      <c r="Q2296">
        <f>IFERROR(1/(IF(Inputs!$B$38="pvp",15,MAX(0.1,Skills!D16-IF(Skills!E16=TRUE,Inputs!$B$32,0)))*(1-IF(AND(ArtifactsInput!$M$27,Inputs!$B$4="Chapter Hunt"),CHOOSE(ArtifactsInput!$N$27+1,20,24,28,32,36,40),0)/100)),0)</f>
        <v/>
      </c>
      <c r="R2296">
        <f>IF(AND(Inputs!$B$38&lt;&gt;"pvp",Inputs!$B$43&gt;0),IF(Inputs!$B$43&lt;=0,0,(INT(Inputs!$B$43/(IF(Inputs!$B$38="pvp",15,MAX(0.1,Skills!D16-IF(Skills!E16=TRUE,Inputs!$B$32,0)))*(1-IF(AND(ArtifactsInput!$M$27,Inputs!$B$4="Chapter Hunt"),CHOOSE(ArtifactsInput!$N$27+1,20,24,28,32,36,40),0)/100)))+1)),0)</f>
        <v/>
      </c>
      <c r="S2296">
        <f>IFERROR(O2296/N2296,0)</f>
        <v/>
      </c>
      <c r="T2296" t="n">
        <v>0</v>
      </c>
      <c r="V2296" t="n">
        <v>0</v>
      </c>
    </row>
    <row r="2297">
      <c r="A2297">
        <f>Skills!A17</f>
        <v/>
      </c>
      <c r="B2297">
        <f>Skills!B17</f>
        <v/>
      </c>
      <c r="C2297">
        <f>Inputs!$B$3&gt;=115</f>
        <v/>
      </c>
      <c r="D2297">
        <f>IF(Skills!C17=1,60+Inputs!$B$25+Inputs!$B$29,IF(Skills!C17=2,90+Inputs!$B$26+Inputs!$B$29,IF(Skills!C17=3,120+Inputs!$B$27+Inputs!$B$29,MAX(0,(Inputs!$B$3-100)*3)+Inputs!$B$28+Inputs!$B$29)))</f>
        <v/>
      </c>
      <c r="E2297">
        <f>INDEX(FactorTable!$B$2:$Y$301, MATCH(ROUND(MIN(300,MAX(1,D2297)),0), FactorTable!$A$2:$A$301,0), Skills!M17+1)</f>
        <v/>
      </c>
      <c r="F2297">
        <f>IF(Skills!N17=TRUE,(Skills!L17/10)*(E2297/1000),Skills!L17/10)+Skills!O17</f>
        <v/>
      </c>
      <c r="G2297">
        <f>Skills!G17*IF(Skills!H17&gt;0,Skills!I17/Skills!H17,1)</f>
        <v/>
      </c>
      <c r="H2297">
        <f>1-(1-Skills!J17/100)^Skills!K17</f>
        <v/>
      </c>
      <c r="I2297" t="inlineStr">
        <is>
          <t>1</t>
        </is>
      </c>
      <c r="J2297" t="inlineStr"/>
      <c r="K2297" t="inlineStr"/>
      <c r="L2297" t="inlineStr"/>
      <c r="M2297" t="inlineStr"/>
      <c r="N2297" t="inlineStr"/>
      <c r="O2297">
        <f>(1-Summary!$B$11)*T2297+Summary!$B$11*V2297</f>
        <v/>
      </c>
      <c r="P2297">
        <f>IF(B2324=0,0,O2297/B2324)</f>
        <v/>
      </c>
      <c r="Q2297">
        <f>IFERROR(1/(IF(Inputs!$B$38="pvp",15,MAX(0.1,Skills!D17-IF(Skills!E17=TRUE,Inputs!$B$32,0)))*(1-IF(AND(ArtifactsInput!$M$27,Inputs!$B$4="Chapter Hunt"),CHOOSE(ArtifactsInput!$N$27+1,20,24,28,32,36,40),0)/100)),0)</f>
        <v/>
      </c>
      <c r="R2297">
        <f>IF(AND(Inputs!$B$38&lt;&gt;"pvp",Inputs!$B$43&gt;0),IF(Inputs!$B$43&lt;=0,0,(INT(Inputs!$B$43/(IF(Inputs!$B$38="pvp",15,MAX(0.1,Skills!D17-IF(Skills!E17=TRUE,Inputs!$B$32,0)))*(1-IF(AND(ArtifactsInput!$M$27,Inputs!$B$4="Chapter Hunt"),CHOOSE(ArtifactsInput!$N$27+1,20,24,28,32,36,40),0)/100)))+1)),0)</f>
        <v/>
      </c>
      <c r="S2297">
        <f>IFERROR(O2297/N2297,0)</f>
        <v/>
      </c>
      <c r="T2297" t="n">
        <v>0</v>
      </c>
      <c r="V2297" t="n">
        <v>0</v>
      </c>
    </row>
    <row r="2298">
      <c r="A2298">
        <f>Skills!A18</f>
        <v/>
      </c>
      <c r="B2298">
        <f>Skills!B18</f>
        <v/>
      </c>
      <c r="C2298">
        <f>Inputs!$B$3&gt;=66</f>
        <v/>
      </c>
      <c r="D2298">
        <f>IF(Skills!C18=1,60+Inputs!$B$25+Inputs!$B$29,IF(Skills!C18=2,90+Inputs!$B$26+Inputs!$B$29,IF(Skills!C18=3,120+Inputs!$B$27+Inputs!$B$29,MAX(0,(Inputs!$B$3-100)*3)+Inputs!$B$28+Inputs!$B$29)))</f>
        <v/>
      </c>
      <c r="E2298">
        <f>INDEX(FactorTable!$B$2:$Y$301, MATCH(ROUND(MIN(300,MAX(1,D2298)),0), FactorTable!$A$2:$A$301,0), Skills!M18+1)</f>
        <v/>
      </c>
      <c r="F2298">
        <f>IF(Skills!N18=TRUE,(Skills!L18/10)*(E2298/1000),Skills!L18/10)+Skills!O18</f>
        <v/>
      </c>
      <c r="G2298">
        <f>Skills!G18*IF(Skills!H18&gt;0,Skills!I18/Skills!H18,1)</f>
        <v/>
      </c>
      <c r="H2298">
        <f>1-(1-Skills!J18/100)^Skills!K18</f>
        <v/>
      </c>
      <c r="I2298" t="inlineStr">
        <is>
          <t>1</t>
        </is>
      </c>
      <c r="J2298" t="inlineStr"/>
      <c r="K2298" t="inlineStr"/>
      <c r="L2298" t="inlineStr"/>
      <c r="M2298" t="inlineStr"/>
      <c r="N2298" t="inlineStr"/>
      <c r="O2298">
        <f>(1-Summary!$B$11)*T2298+Summary!$B$11*V2298</f>
        <v/>
      </c>
      <c r="P2298">
        <f>IF(B2324=0,0,O2298/B2324)</f>
        <v/>
      </c>
      <c r="Q2298" t="n">
        <v>0</v>
      </c>
      <c r="R2298" t="n">
        <v>0</v>
      </c>
      <c r="S2298">
        <f>IFERROR(O2298/N2298,0)</f>
        <v/>
      </c>
      <c r="T2298" t="n">
        <v>0</v>
      </c>
      <c r="V2298" t="n">
        <v>0</v>
      </c>
    </row>
    <row r="2299">
      <c r="A2299">
        <f>Skills!A19</f>
        <v/>
      </c>
      <c r="B2299">
        <f>Skills!B19</f>
        <v/>
      </c>
      <c r="C2299">
        <f>Inputs!$B$3&gt;=72</f>
        <v/>
      </c>
      <c r="D2299">
        <f>IF(Skills!C19=1,60+Inputs!$B$25+Inputs!$B$29,IF(Skills!C19=2,90+Inputs!$B$26+Inputs!$B$29,IF(Skills!C19=3,120+Inputs!$B$27+Inputs!$B$29,MAX(0,(Inputs!$B$3-100)*3)+Inputs!$B$28+Inputs!$B$29)))</f>
        <v/>
      </c>
      <c r="E2299">
        <f>INDEX(FactorTable!$B$2:$Y$301, MATCH(ROUND(MIN(300,MAX(1,D2299)),0), FactorTable!$A$2:$A$301,0), Skills!M19+1)</f>
        <v/>
      </c>
      <c r="F2299">
        <f>IF(Skills!N19=TRUE,(Skills!L19/10)*(E2299/1000),Skills!L19/10)+Skills!O19</f>
        <v/>
      </c>
      <c r="G2299">
        <f>Skills!G19*IF(Skills!H19&gt;0,Skills!I19/Skills!H19,1)</f>
        <v/>
      </c>
      <c r="H2299">
        <f>1-(1-Skills!J19/100)^Skills!K19</f>
        <v/>
      </c>
      <c r="I2299" t="inlineStr">
        <is>
          <t>1</t>
        </is>
      </c>
      <c r="J2299" t="inlineStr"/>
      <c r="K2299" t="inlineStr"/>
      <c r="L2299" t="inlineStr"/>
      <c r="M2299" t="inlineStr"/>
      <c r="N2299" t="inlineStr"/>
      <c r="O2299">
        <f>(1-Summary!$B$11)*T2299+Summary!$B$11*V2299</f>
        <v/>
      </c>
      <c r="P2299">
        <f>IF(B2324=0,0,O2299/B2324)</f>
        <v/>
      </c>
      <c r="Q2299" t="n">
        <v>0</v>
      </c>
      <c r="R2299" t="n">
        <v>0</v>
      </c>
      <c r="S2299">
        <f>IFERROR(O2299/N2299,0)</f>
        <v/>
      </c>
      <c r="T2299" t="n">
        <v>0</v>
      </c>
      <c r="V2299" t="n">
        <v>0</v>
      </c>
    </row>
    <row r="2300">
      <c r="A2300">
        <f>Skills!A20</f>
        <v/>
      </c>
      <c r="B2300">
        <f>Skills!B20</f>
        <v/>
      </c>
      <c r="C2300">
        <f>TRUE</f>
        <v/>
      </c>
      <c r="D2300">
        <f>IF(Skills!C20=1,60+Inputs!$B$25+Inputs!$B$29,IF(Skills!C20=2,90+Inputs!$B$26+Inputs!$B$29,IF(Skills!C20=3,120+Inputs!$B$27+Inputs!$B$29,MAX(0,(Inputs!$B$3-100)*3)+Inputs!$B$28+Inputs!$B$29)))</f>
        <v/>
      </c>
      <c r="E2300">
        <f>INDEX(FactorTable!$B$2:$Y$301, MATCH(ROUND(MIN(300,MAX(1,D2300)),0), FactorTable!$A$2:$A$301,0), Skills!M20+1)</f>
        <v/>
      </c>
      <c r="F2300">
        <f>IF(Skills!N20=TRUE,(Skills!L20/10)*(E2300/1000),Skills!L20/10)+Skills!O20</f>
        <v/>
      </c>
      <c r="G2300">
        <f>Skills!G20*IF(Skills!H20&gt;0,Skills!I20/Skills!H20,1)</f>
        <v/>
      </c>
      <c r="H2300">
        <f>1-(1-Skills!J20/100)^Skills!K20</f>
        <v/>
      </c>
      <c r="I2300" t="inlineStr">
        <is>
          <t>1</t>
        </is>
      </c>
      <c r="J2300" t="inlineStr"/>
      <c r="K2300" t="inlineStr"/>
      <c r="L2300" t="inlineStr"/>
      <c r="M2300" t="inlineStr"/>
      <c r="N2300" t="inlineStr"/>
      <c r="O2300">
        <f>(1-Summary!$B$11)*T2300+Summary!$B$11*V2300</f>
        <v/>
      </c>
      <c r="P2300">
        <f>IF(B2324=0,0,O2300/B2324)</f>
        <v/>
      </c>
      <c r="Q2300">
        <f>IFERROR(1/(IF(Inputs!$B$38="pvp",15,MAX(0.1,Skills!D20-IF(Skills!E20=TRUE,Inputs!$B$32,0)))*(1-IF(AND(ArtifactsInput!$M$27,Inputs!$B$4="Chapter Hunt"),CHOOSE(ArtifactsInput!$N$27+1,20,24,28,32,36,40),0)/100)),0)</f>
        <v/>
      </c>
      <c r="R2300">
        <f>IF(AND(Inputs!$B$38&lt;&gt;"pvp",Inputs!$B$43&gt;0),IF(Inputs!$B$43&lt;=0,0,(INT(Inputs!$B$43/(IF(Inputs!$B$38="pvp",15,MAX(0.1,Skills!D20-IF(Skills!E20=TRUE,Inputs!$B$32,0)))*(1-IF(AND(ArtifactsInput!$M$27,Inputs!$B$4="Chapter Hunt"),CHOOSE(ArtifactsInput!$N$27+1,20,24,28,32,36,40),0)/100)))+1)),0)</f>
        <v/>
      </c>
      <c r="S2300">
        <f>IFERROR(O2300/N2300,0)</f>
        <v/>
      </c>
      <c r="T2300" t="n">
        <v>0</v>
      </c>
      <c r="V2300" t="n">
        <v>0</v>
      </c>
    </row>
    <row r="2301">
      <c r="A2301">
        <f>Skills!A21</f>
        <v/>
      </c>
      <c r="B2301">
        <f>Skills!B21</f>
        <v/>
      </c>
      <c r="C2301">
        <f>Inputs!$B$3&gt;=15</f>
        <v/>
      </c>
      <c r="D2301">
        <f>IF(Skills!C21=1,60+Inputs!$B$25+Inputs!$B$29,IF(Skills!C21=2,90+Inputs!$B$26+Inputs!$B$29,IF(Skills!C21=3,120+Inputs!$B$27+Inputs!$B$29,MAX(0,(Inputs!$B$3-100)*3)+Inputs!$B$28+Inputs!$B$29)))</f>
        <v/>
      </c>
      <c r="E2301">
        <f>INDEX(FactorTable!$B$2:$Y$301, MATCH(ROUND(MIN(300,MAX(1,D2301)),0), FactorTable!$A$2:$A$301,0), Skills!M21+1)</f>
        <v/>
      </c>
      <c r="F2301">
        <f>IF(Skills!N21=TRUE,(Skills!L21/10)*(E2301/1000),Skills!L21/10)+Skills!O21</f>
        <v/>
      </c>
      <c r="G2301">
        <f>Skills!G21*IF(Skills!H21&gt;0,Skills!I21/Skills!H21,1)</f>
        <v/>
      </c>
      <c r="H2301">
        <f>1-(1-Skills!J21/100)^Skills!K21</f>
        <v/>
      </c>
      <c r="I2301" t="inlineStr">
        <is>
          <t>1</t>
        </is>
      </c>
      <c r="J2301" t="inlineStr"/>
      <c r="K2301" t="inlineStr"/>
      <c r="L2301" t="inlineStr"/>
      <c r="M2301" t="inlineStr"/>
      <c r="N2301" t="inlineStr"/>
      <c r="O2301">
        <f>(1-Summary!$B$11)*T2301+Summary!$B$11*V2301</f>
        <v/>
      </c>
      <c r="P2301">
        <f>IF(B2324=0,0,O2301/B2324)</f>
        <v/>
      </c>
      <c r="Q2301" t="n">
        <v>0</v>
      </c>
      <c r="R2301" t="n">
        <v>0</v>
      </c>
      <c r="S2301">
        <f>IFERROR(O2301/N2301,0)</f>
        <v/>
      </c>
      <c r="T2301" t="n">
        <v>0</v>
      </c>
      <c r="V2301" t="n">
        <v>0</v>
      </c>
    </row>
    <row r="2302">
      <c r="A2302">
        <f>Skills!A22</f>
        <v/>
      </c>
      <c r="B2302">
        <f>Skills!B22</f>
        <v/>
      </c>
      <c r="C2302">
        <f>Inputs!$B$3&gt;=10</f>
        <v/>
      </c>
      <c r="D2302">
        <f>IF(Skills!C22=1,60+Inputs!$B$25+Inputs!$B$29,IF(Skills!C22=2,90+Inputs!$B$26+Inputs!$B$29,IF(Skills!C22=3,120+Inputs!$B$27+Inputs!$B$29,MAX(0,(Inputs!$B$3-100)*3)+Inputs!$B$28+Inputs!$B$29)))</f>
        <v/>
      </c>
      <c r="E2302">
        <f>INDEX(FactorTable!$B$2:$Y$301, MATCH(ROUND(MIN(300,MAX(1,D2302)),0), FactorTable!$A$2:$A$301,0), Skills!M22+1)</f>
        <v/>
      </c>
      <c r="F2302">
        <f>IF(Skills!N22=TRUE,(Skills!L22/10)*(E2302/1000),Skills!L22/10)+Skills!O22</f>
        <v/>
      </c>
      <c r="G2302">
        <f>Skills!G22*IF(Skills!H22&gt;0,Skills!I22/Skills!H22,1)</f>
        <v/>
      </c>
      <c r="H2302">
        <f>1-(1-Skills!J22/100)^Skills!K22</f>
        <v/>
      </c>
      <c r="I2302" t="inlineStr">
        <is>
          <t>1</t>
        </is>
      </c>
      <c r="J2302" t="inlineStr"/>
      <c r="K2302" t="inlineStr"/>
      <c r="L2302" t="inlineStr"/>
      <c r="M2302" t="inlineStr"/>
      <c r="N2302" t="inlineStr"/>
      <c r="O2302">
        <f>(1-Summary!$B$11)*T2302+Summary!$B$11*V2302</f>
        <v/>
      </c>
      <c r="P2302">
        <f>IF(B2324=0,0,O2302/B2324)</f>
        <v/>
      </c>
      <c r="Q2302" t="n">
        <v>0</v>
      </c>
      <c r="R2302" t="n">
        <v>0</v>
      </c>
      <c r="S2302">
        <f>IFERROR(O2302/N2302,0)</f>
        <v/>
      </c>
      <c r="T2302" t="n">
        <v>0</v>
      </c>
      <c r="V2302" t="n">
        <v>0</v>
      </c>
    </row>
    <row r="2303">
      <c r="A2303">
        <f>Skills!A23</f>
        <v/>
      </c>
      <c r="B2303">
        <f>Skills!B23</f>
        <v/>
      </c>
      <c r="C2303">
        <f>Inputs!$B$3&gt;=33</f>
        <v/>
      </c>
      <c r="D2303">
        <f>IF(Skills!C23=1,60+Inputs!$B$25+Inputs!$B$29,IF(Skills!C23=2,90+Inputs!$B$26+Inputs!$B$29,IF(Skills!C23=3,120+Inputs!$B$27+Inputs!$B$29,MAX(0,(Inputs!$B$3-100)*3)+Inputs!$B$28+Inputs!$B$29)))</f>
        <v/>
      </c>
      <c r="E2303">
        <f>INDEX(FactorTable!$B$2:$Y$301, MATCH(ROUND(MIN(300,MAX(1,D2303)),0), FactorTable!$A$2:$A$301,0), Skills!M23+1)</f>
        <v/>
      </c>
      <c r="F2303">
        <f>IF(Skills!N23=TRUE,(Skills!L23/10)*(E2303/1000),Skills!L23/10)+Skills!O23</f>
        <v/>
      </c>
      <c r="G2303">
        <f>Skills!G23*IF(Skills!H23&gt;0,Skills!I23/Skills!H23,1)</f>
        <v/>
      </c>
      <c r="H2303">
        <f>1-(1-Skills!J23/100)^Skills!K23</f>
        <v/>
      </c>
      <c r="I2303" t="inlineStr">
        <is>
          <t>1</t>
        </is>
      </c>
      <c r="J2303" t="inlineStr"/>
      <c r="K2303" t="inlineStr"/>
      <c r="L2303" t="inlineStr"/>
      <c r="M2303" t="inlineStr"/>
      <c r="N2303" t="inlineStr"/>
      <c r="O2303">
        <f>(1-Summary!$B$11)*T2303+Summary!$B$11*V2303</f>
        <v/>
      </c>
      <c r="P2303">
        <f>IF(B2324=0,0,O2303/B2324)</f>
        <v/>
      </c>
      <c r="Q2303" t="n">
        <v>0</v>
      </c>
      <c r="R2303" t="n">
        <v>0</v>
      </c>
      <c r="S2303">
        <f>IFERROR(O2303/N2303,0)</f>
        <v/>
      </c>
      <c r="T2303" t="n">
        <v>0</v>
      </c>
      <c r="V2303" t="n">
        <v>0</v>
      </c>
    </row>
    <row r="2304">
      <c r="A2304">
        <f>Skills!A24</f>
        <v/>
      </c>
      <c r="B2304">
        <f>Skills!B24</f>
        <v/>
      </c>
      <c r="C2304">
        <f>Inputs!$B$3&gt;=38</f>
        <v/>
      </c>
      <c r="D2304">
        <f>IF(Skills!C24=1,60+Inputs!$B$25+Inputs!$B$29,IF(Skills!C24=2,90+Inputs!$B$26+Inputs!$B$29,IF(Skills!C24=3,120+Inputs!$B$27+Inputs!$B$29,MAX(0,(Inputs!$B$3-100)*3)+Inputs!$B$28+Inputs!$B$29)))</f>
        <v/>
      </c>
      <c r="E2304">
        <f>INDEX(FactorTable!$B$2:$Y$301, MATCH(ROUND(MIN(300,MAX(1,D2304)),0), FactorTable!$A$2:$A$301,0), Skills!M24+1)</f>
        <v/>
      </c>
      <c r="F2304">
        <f>IF(Skills!N24=TRUE,(Skills!L24/10)*(E2304/1000),Skills!L24/10)+Skills!O24</f>
        <v/>
      </c>
      <c r="G2304">
        <f>Skills!G24*IF(Skills!H24&gt;0,Skills!I24/Skills!H24,1)</f>
        <v/>
      </c>
      <c r="H2304">
        <f>1-(1-Skills!J24/100)^Skills!K24</f>
        <v/>
      </c>
      <c r="I2304" t="inlineStr">
        <is>
          <t>1</t>
        </is>
      </c>
      <c r="J2304" t="inlineStr"/>
      <c r="K2304" t="inlineStr"/>
      <c r="L2304" t="inlineStr"/>
      <c r="M2304" t="inlineStr"/>
      <c r="N2304" t="inlineStr"/>
      <c r="O2304">
        <f>(1-Summary!$B$11)*T2304+Summary!$B$11*V2304</f>
        <v/>
      </c>
      <c r="P2304">
        <f>IF(B2324=0,0,O2304/B2324)</f>
        <v/>
      </c>
      <c r="Q2304" t="n">
        <v>0</v>
      </c>
      <c r="R2304" t="n">
        <v>0</v>
      </c>
      <c r="S2304">
        <f>IFERROR(O2304/N2304,0)</f>
        <v/>
      </c>
      <c r="T2304" t="n">
        <v>0</v>
      </c>
      <c r="V2304" t="n">
        <v>0</v>
      </c>
    </row>
    <row r="2305">
      <c r="A2305">
        <f>Skills!A25</f>
        <v/>
      </c>
      <c r="B2305">
        <f>Skills!B25</f>
        <v/>
      </c>
      <c r="C2305">
        <f>Inputs!$B$3&gt;=43</f>
        <v/>
      </c>
      <c r="D2305">
        <f>IF(Skills!C25=1,60+Inputs!$B$25+Inputs!$B$29,IF(Skills!C25=2,90+Inputs!$B$26+Inputs!$B$29,IF(Skills!C25=3,120+Inputs!$B$27+Inputs!$B$29,MAX(0,(Inputs!$B$3-100)*3)+Inputs!$B$28+Inputs!$B$29)))</f>
        <v/>
      </c>
      <c r="E2305">
        <f>INDEX(FactorTable!$B$2:$Y$301, MATCH(ROUND(MIN(300,MAX(1,D2305)),0), FactorTable!$A$2:$A$301,0), Skills!M25+1)</f>
        <v/>
      </c>
      <c r="F2305">
        <f>IF(Skills!N25=TRUE,(Skills!L25/10)*(E2305/1000),Skills!L25/10)+Skills!O25</f>
        <v/>
      </c>
      <c r="G2305">
        <f>Skills!G25*IF(Skills!H25&gt;0,Skills!I25/Skills!H25,1)</f>
        <v/>
      </c>
      <c r="H2305">
        <f>1-(1-Skills!J25/100)^Skills!K25</f>
        <v/>
      </c>
      <c r="I2305" t="inlineStr">
        <is>
          <t>1</t>
        </is>
      </c>
      <c r="J2305" t="inlineStr"/>
      <c r="K2305" t="inlineStr"/>
      <c r="L2305" t="inlineStr"/>
      <c r="M2305" t="inlineStr"/>
      <c r="N2305" t="inlineStr"/>
      <c r="O2305">
        <f>(1-Summary!$B$11)*T2305+Summary!$B$11*V2305</f>
        <v/>
      </c>
      <c r="P2305">
        <f>IF(B2324=0,0,O2305/B2324)</f>
        <v/>
      </c>
      <c r="Q2305" t="n">
        <v>0</v>
      </c>
      <c r="R2305" t="n">
        <v>0</v>
      </c>
      <c r="S2305">
        <f>IFERROR(O2305/N2305,0)</f>
        <v/>
      </c>
      <c r="T2305" t="n">
        <v>0</v>
      </c>
      <c r="V2305" t="n">
        <v>0</v>
      </c>
    </row>
    <row r="2306">
      <c r="A2306">
        <f>Skills!A26</f>
        <v/>
      </c>
      <c r="B2306">
        <f>Skills!B26</f>
        <v/>
      </c>
      <c r="C2306">
        <f>Inputs!$B$3&gt;=75</f>
        <v/>
      </c>
      <c r="D2306">
        <f>IF(Skills!C26=1,60+Inputs!$B$25+Inputs!$B$29,IF(Skills!C26=2,90+Inputs!$B$26+Inputs!$B$29,IF(Skills!C26=3,120+Inputs!$B$27+Inputs!$B$29,MAX(0,(Inputs!$B$3-100)*3)+Inputs!$B$28+Inputs!$B$29)))</f>
        <v/>
      </c>
      <c r="E2306">
        <f>INDEX(FactorTable!$B$2:$Y$301, MATCH(ROUND(MIN(300,MAX(1,D2306)),0), FactorTable!$A$2:$A$301,0), Skills!M26+1)</f>
        <v/>
      </c>
      <c r="F2306">
        <f>IF(Skills!N26=TRUE,(Skills!L26/10)*(E2306/1000),Skills!L26/10)+Skills!O26</f>
        <v/>
      </c>
      <c r="G2306">
        <f>Skills!G26*IF(Skills!H26&gt;0,Skills!I26/Skills!H26,1)</f>
        <v/>
      </c>
      <c r="H2306">
        <f>1-(1-Skills!J26/100)^Skills!K26</f>
        <v/>
      </c>
      <c r="I2306" t="inlineStr">
        <is>
          <t>1</t>
        </is>
      </c>
      <c r="J2306" t="inlineStr"/>
      <c r="K2306" t="inlineStr"/>
      <c r="L2306" t="inlineStr"/>
      <c r="M2306" t="inlineStr"/>
      <c r="N2306" t="inlineStr"/>
      <c r="O2306">
        <f>(1-Summary!$B$11)*T2306+Summary!$B$11*V2306</f>
        <v/>
      </c>
      <c r="P2306">
        <f>IF(B2324=0,0,O2306/B2324)</f>
        <v/>
      </c>
      <c r="Q2306" t="n">
        <v>0</v>
      </c>
      <c r="R2306" t="n">
        <v>0</v>
      </c>
      <c r="S2306">
        <f>IFERROR(O2306/N2306,0)</f>
        <v/>
      </c>
      <c r="T2306" t="n">
        <v>0</v>
      </c>
      <c r="V2306" t="n">
        <v>0</v>
      </c>
    </row>
    <row r="2307">
      <c r="A2307">
        <f>Skills!A27</f>
        <v/>
      </c>
      <c r="B2307">
        <f>Skills!B27</f>
        <v/>
      </c>
      <c r="C2307">
        <f>Inputs!$B$3&gt;=125</f>
        <v/>
      </c>
      <c r="D2307">
        <f>IF(Skills!C27=1,60+Inputs!$B$25+Inputs!$B$29,IF(Skills!C27=2,90+Inputs!$B$26+Inputs!$B$29,IF(Skills!C27=3,120+Inputs!$B$27+Inputs!$B$29,MAX(0,(Inputs!$B$3-100)*3)+Inputs!$B$28+Inputs!$B$29)))</f>
        <v/>
      </c>
      <c r="E2307">
        <f>INDEX(FactorTable!$B$2:$Y$301, MATCH(ROUND(MIN(300,MAX(1,D2307)),0), FactorTable!$A$2:$A$301,0), Skills!M27+1)</f>
        <v/>
      </c>
      <c r="F2307">
        <f>IF(Skills!N27=TRUE,(Skills!L27/10)*(E2307/1000),Skills!L27/10)+Skills!O27</f>
        <v/>
      </c>
      <c r="G2307">
        <f>Skills!G27*IF(Skills!H27&gt;0,Skills!I27/Skills!H27,1)</f>
        <v/>
      </c>
      <c r="H2307">
        <f>1-(1-Skills!J27/100)^Skills!K27</f>
        <v/>
      </c>
      <c r="I2307" t="inlineStr">
        <is>
          <t>1</t>
        </is>
      </c>
      <c r="J2307" t="inlineStr"/>
      <c r="K2307" t="inlineStr"/>
      <c r="L2307" t="inlineStr"/>
      <c r="M2307" t="inlineStr"/>
      <c r="N2307" t="inlineStr"/>
      <c r="O2307">
        <f>(1-Summary!$B$11)*T2307+Summary!$B$11*V2307</f>
        <v/>
      </c>
      <c r="P2307">
        <f>IF(B2324=0,0,O2307/B2324)</f>
        <v/>
      </c>
      <c r="Q2307" t="n">
        <v>0</v>
      </c>
      <c r="R2307" t="n">
        <v>0</v>
      </c>
      <c r="S2307">
        <f>IFERROR(O2307/N2307,0)</f>
        <v/>
      </c>
      <c r="T2307" t="n">
        <v>0</v>
      </c>
      <c r="V2307" t="n">
        <v>0</v>
      </c>
    </row>
    <row r="2308">
      <c r="A2308">
        <f>Skills!A28</f>
        <v/>
      </c>
      <c r="B2308">
        <f>Skills!B28</f>
        <v/>
      </c>
      <c r="C2308">
        <f>Inputs!$B$3&gt;=125</f>
        <v/>
      </c>
      <c r="D2308">
        <f>IF(Skills!C28=1,60+Inputs!$B$25+Inputs!$B$29,IF(Skills!C28=2,90+Inputs!$B$26+Inputs!$B$29,IF(Skills!C28=3,120+Inputs!$B$27+Inputs!$B$29,MAX(0,(Inputs!$B$3-100)*3)+Inputs!$B$28+Inputs!$B$29)))</f>
        <v/>
      </c>
      <c r="E2308">
        <f>INDEX(FactorTable!$B$2:$Y$301, MATCH(ROUND(MIN(300,MAX(1,D2308)),0), FactorTable!$A$2:$A$301,0), Skills!M28+1)</f>
        <v/>
      </c>
      <c r="F2308">
        <f>IF(Skills!N28=TRUE,(Skills!L28/10)*(E2308/1000),Skills!L28/10)+Skills!O28</f>
        <v/>
      </c>
      <c r="G2308">
        <f>Skills!G28*IF(Skills!H28&gt;0,Skills!I28/Skills!H28,1)</f>
        <v/>
      </c>
      <c r="H2308">
        <f>1-(1-Skills!J28/100)^Skills!K28</f>
        <v/>
      </c>
      <c r="I2308" t="inlineStr">
        <is>
          <t>1</t>
        </is>
      </c>
      <c r="J2308" t="inlineStr"/>
      <c r="K2308" t="inlineStr"/>
      <c r="L2308" t="inlineStr"/>
      <c r="M2308" t="inlineStr"/>
      <c r="N2308" t="inlineStr"/>
      <c r="O2308">
        <f>(1-Summary!$B$11)*T2308+Summary!$B$11*V2308</f>
        <v/>
      </c>
      <c r="P2308">
        <f>IF(B2324=0,0,O2308/B2324)</f>
        <v/>
      </c>
      <c r="Q2308" t="n">
        <v>0</v>
      </c>
      <c r="R2308" t="n">
        <v>0</v>
      </c>
      <c r="S2308">
        <f>IFERROR(O2308/N2308,0)</f>
        <v/>
      </c>
      <c r="T2308" t="n">
        <v>0</v>
      </c>
      <c r="V2308" t="n">
        <v>0</v>
      </c>
    </row>
    <row r="2309">
      <c r="A2309">
        <f>Skills!A29</f>
        <v/>
      </c>
      <c r="B2309">
        <f>Skills!B29</f>
        <v/>
      </c>
      <c r="C2309">
        <f>Inputs!$B$3&gt;=120</f>
        <v/>
      </c>
      <c r="D2309">
        <f>IF(Skills!C29=1,60+Inputs!$B$25+Inputs!$B$29,IF(Skills!C29=2,90+Inputs!$B$26+Inputs!$B$29,IF(Skills!C29=3,120+Inputs!$B$27+Inputs!$B$29,MAX(0,(Inputs!$B$3-100)*3)+Inputs!$B$28+Inputs!$B$29)))</f>
        <v/>
      </c>
      <c r="E2309">
        <f>INDEX(FactorTable!$B$2:$Y$301, MATCH(ROUND(MIN(300,MAX(1,D2309)),0), FactorTable!$A$2:$A$301,0), Skills!M29+1)</f>
        <v/>
      </c>
      <c r="F2309">
        <f>IF(Skills!N29=TRUE,(Skills!L29/10)*(E2309/1000),Skills!L29/10)+Skills!O29</f>
        <v/>
      </c>
      <c r="G2309">
        <f>Skills!G29*IF(Skills!H29&gt;0,Skills!I29/Skills!H29,1)</f>
        <v/>
      </c>
      <c r="H2309">
        <f>1-(1-Skills!J29/100)^Skills!K29</f>
        <v/>
      </c>
      <c r="I2309" t="inlineStr">
        <is>
          <t>1</t>
        </is>
      </c>
      <c r="J2309" t="inlineStr"/>
      <c r="K2309" t="inlineStr"/>
      <c r="L2309" t="inlineStr"/>
      <c r="M2309" t="inlineStr"/>
      <c r="N2309" t="inlineStr"/>
      <c r="O2309">
        <f>(1-Summary!$B$11)*T2309+Summary!$B$11*V2309</f>
        <v/>
      </c>
      <c r="P2309">
        <f>IF(B2324=0,0,O2309/B2324)</f>
        <v/>
      </c>
      <c r="Q2309" t="n">
        <v>0</v>
      </c>
      <c r="R2309" t="n">
        <v>0</v>
      </c>
      <c r="S2309">
        <f>IFERROR(O2309/N2309,0)</f>
        <v/>
      </c>
      <c r="T2309" t="n">
        <v>0</v>
      </c>
      <c r="V2309" t="n">
        <v>0</v>
      </c>
    </row>
    <row r="2310">
      <c r="A2310">
        <f>Skills!A30</f>
        <v/>
      </c>
      <c r="B2310">
        <f>Skills!B30</f>
        <v/>
      </c>
      <c r="C2310">
        <f>Inputs!$B$3&gt;=120</f>
        <v/>
      </c>
      <c r="D2310">
        <f>IF(Skills!C30=1,60+Inputs!$B$25+Inputs!$B$29,IF(Skills!C30=2,90+Inputs!$B$26+Inputs!$B$29,IF(Skills!C30=3,120+Inputs!$B$27+Inputs!$B$29,MAX(0,(Inputs!$B$3-100)*3)+Inputs!$B$28+Inputs!$B$29)))</f>
        <v/>
      </c>
      <c r="E2310">
        <f>INDEX(FactorTable!$B$2:$Y$301, MATCH(ROUND(MIN(300,MAX(1,D2310)),0), FactorTable!$A$2:$A$301,0), Skills!M30+1)</f>
        <v/>
      </c>
      <c r="F2310">
        <f>IF(Skills!N30=TRUE,(Skills!L30/10)*(E2310/1000),Skills!L30/10)+Skills!O30</f>
        <v/>
      </c>
      <c r="G2310">
        <f>Skills!G30*IF(Skills!H30&gt;0,Skills!I30/Skills!H30,1)</f>
        <v/>
      </c>
      <c r="H2310">
        <f>1-(1-Skills!J30/100)^Skills!K30</f>
        <v/>
      </c>
      <c r="I2310" t="inlineStr">
        <is>
          <t>1</t>
        </is>
      </c>
      <c r="J2310" t="inlineStr"/>
      <c r="K2310" t="inlineStr"/>
      <c r="L2310" t="inlineStr"/>
      <c r="M2310" t="inlineStr"/>
      <c r="N2310" t="inlineStr"/>
      <c r="O2310">
        <f>(1-Summary!$B$11)*T2310+Summary!$B$11*V2310</f>
        <v/>
      </c>
      <c r="P2310">
        <f>IF(B2324=0,0,O2310/B2324)</f>
        <v/>
      </c>
      <c r="Q2310" t="n">
        <v>0</v>
      </c>
      <c r="R2310" t="n">
        <v>0</v>
      </c>
      <c r="S2310">
        <f>IFERROR(O2310/N2310,0)</f>
        <v/>
      </c>
      <c r="T2310" t="n">
        <v>0</v>
      </c>
      <c r="V2310" t="n">
        <v>0</v>
      </c>
    </row>
    <row r="2311">
      <c r="A2311">
        <f>Skills!A31</f>
        <v/>
      </c>
      <c r="B2311">
        <f>Skills!B31</f>
        <v/>
      </c>
      <c r="C2311">
        <f>Inputs!$B$3&gt;=45</f>
        <v/>
      </c>
      <c r="D2311">
        <f>IF(Skills!C31=1,60+Inputs!$B$25+Inputs!$B$29,IF(Skills!C31=2,90+Inputs!$B$26+Inputs!$B$29,IF(Skills!C31=3,120+Inputs!$B$27+Inputs!$B$29,MAX(0,(Inputs!$B$3-100)*3)+Inputs!$B$28+Inputs!$B$29)))</f>
        <v/>
      </c>
      <c r="E2311">
        <f>INDEX(FactorTable!$B$2:$Y$301, MATCH(ROUND(MIN(300,MAX(1,D2311)),0), FactorTable!$A$2:$A$301,0), Skills!M31+1)</f>
        <v/>
      </c>
      <c r="F2311">
        <f>IF(Skills!N31=TRUE,(Skills!L31/10)*(E2311/1000),Skills!L31/10)+Skills!O31</f>
        <v/>
      </c>
      <c r="G2311">
        <f>Skills!G31*IF(Skills!H31&gt;0,Skills!I31/Skills!H31,1)</f>
        <v/>
      </c>
      <c r="H2311">
        <f>1-(1-Skills!J31/100)^Skills!K31</f>
        <v/>
      </c>
      <c r="I2311" t="inlineStr">
        <is>
          <t>1</t>
        </is>
      </c>
      <c r="J2311" t="inlineStr"/>
      <c r="K2311" t="inlineStr"/>
      <c r="L2311" t="inlineStr"/>
      <c r="M2311" t="inlineStr"/>
      <c r="N2311" t="inlineStr"/>
      <c r="O2311">
        <f>(1-Summary!$B$11)*T2311+Summary!$B$11*V2311</f>
        <v/>
      </c>
      <c r="P2311">
        <f>IF(B2324=0,0,O2311/B2324)</f>
        <v/>
      </c>
      <c r="Q2311" t="n">
        <v>0</v>
      </c>
      <c r="R2311" t="n">
        <v>0</v>
      </c>
      <c r="S2311">
        <f>IFERROR(O2311/N2311,0)</f>
        <v/>
      </c>
      <c r="T2311" t="n">
        <v>0</v>
      </c>
      <c r="V2311" t="n">
        <v>0</v>
      </c>
    </row>
    <row r="2313">
      <c r="A2313" t="inlineStr">
        <is>
          <t>Attack% Bucket Multiplier</t>
        </is>
      </c>
      <c r="B2313">
        <f>(1+(((C2294=TRUE)*F2294)+((C2295=TRUE)*IF(Inputs!$B$38="pvp",F2295,(1-Summary!$B$11)*(F2295)+Summary!$B$11*(0)))+((C2296=TRUE)*F2296*IF(AND(Inputs!$B$38&lt;&gt;"pvp",Inputs!$B$43&gt;0),(((R2296-1)*(Skills!T16*(1+Inputs!$B$34/100))+MIN((Skills!T16*(1+Inputs!$B$34/100)),MAX(0,Inputs!$B$43-((R2296-1)*Skills!D16))))/Inputs!$B$43),IF(Inputs!$B$38="pvp",MIN((Skills!T16*(1+Inputs!$B$34/100)),15)/15,(Skills!T16*(1+Inputs!$B$34/100))/Skills!D16)))+((C2311=TRUE)*(F2311-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14">
      <c r="A2314" t="inlineStr">
        <is>
          <t>Global Crit Rate Bonus %</t>
        </is>
      </c>
      <c r="B2314">
        <f>(C2297=TRUE)*20*IF(AND(Inputs!$B$38&lt;&gt;"pvp",Inputs!$B$43&gt;0),(((R2297-1)*(Skills!T17*(1+Inputs!$B$34/100))+MIN((Skills!T17*(1+Inputs!$B$34/100)),MAX(0,Inputs!$B$43-((R2297-1)*Skills!D17))))/Inputs!$B$43),IF(Inputs!$B$38="pvp",MIN((Skills!T17*(1+Inputs!$B$34/100)),15)/15,(Skills!T17*(1+Inputs!$B$34/100))/Skills!D17))</f>
        <v/>
      </c>
    </row>
    <row r="2315">
      <c r="A2315" t="inlineStr">
        <is>
          <t>Attack Speed Buff Bonus %</t>
        </is>
      </c>
      <c r="B2315">
        <f>((C2300=TRUE)*F2300*IF(AND(Inputs!$B$38&lt;&gt;"pvp",Inputs!$B$43&gt;0),(((R2300-1)*(Skills!T20*(1+Inputs!$B$34/100))+MIN((Skills!T20*(1+Inputs!$B$34/100)),MAX(0,Inputs!$B$43-((R2300-1)*Skills!D20))))/Inputs!$B$43),IF(Inputs!$B$38="pvp",MIN((Skills!T20*(1+Inputs!$B$34/100)),15)/15,(Skills!T20*(1+Inputs!$B$34/100))/Skills!D20)))</f>
        <v/>
      </c>
    </row>
    <row r="2316">
      <c r="A2316" t="inlineStr">
        <is>
          <t>Actions Per Second</t>
        </is>
      </c>
      <c r="B2316">
        <f>1+MIN(150,150*(1-(1-(Inputs!$B$11+((C2302=TRUE)*(F2302-Calc!F22))+((C2303=TRUE)*(F2303-Calc!F23)))/150)*(1-B2315/150)))/100</f>
        <v/>
      </c>
    </row>
    <row r="2317">
      <c r="A2317" t="inlineStr">
        <is>
          <t>Skill + Buff Cast Rate</t>
        </is>
      </c>
      <c r="B2317">
        <f>IF(AND(Inputs!$B$38&lt;&gt;"pvp",Inputs!$B$43&gt;0),SUMPRODUCT((Skills!E2:E31=TRUE)*(C2282:C2311=TRUE)*R2282:R2311*Skills!F2:F31)/Inputs!$B$43,SUMPRODUCT((Skills!E2:E31=TRUE)*(C2282:C2311=TRUE)*Q2282:Q2311*Skills!F2:F31))</f>
        <v/>
      </c>
    </row>
    <row r="2318">
      <c r="A2318" t="inlineStr">
        <is>
          <t>Arrow Stream Casts Per Second</t>
        </is>
      </c>
      <c r="B2318">
        <f>MAX(0,B2316-B2317)</f>
        <v/>
      </c>
    </row>
    <row r="2319">
      <c r="A2319" t="inlineStr">
        <is>
          <t>Global Critical Damage Bonus % (Sharp Eyes + Concentration)</t>
        </is>
      </c>
      <c r="B2319">
        <f>(C2297=TRUE)*F2297*IF(AND(Inputs!$B$38&lt;&gt;"pvp",Inputs!$B$43&gt;0),(((R2297-1)*(Skills!T17*(1+Inputs!$B$34/100))+MIN((Skills!T17*(1+Inputs!$B$34/100)),MAX(0,Inputs!$B$43-((R2297-1)*Skills!D17))))/Inputs!$B$43),IF(Inputs!$B$38="pvp",MIN((Skills!T17*(1+Inputs!$B$34/100)),15)/15,(Skills!T17*(1+Inputs!$B$34/100))/Skills!D17))+(C2298=TRUE)*30</f>
        <v/>
      </c>
    </row>
    <row r="2320">
      <c r="A2320" t="inlineStr">
        <is>
          <t>Global Final Damage Bonus % (Mortal Blow)</t>
        </is>
      </c>
      <c r="B2320">
        <f>(C2299=TRUE)*F2299</f>
        <v/>
      </c>
    </row>
    <row r="2321">
      <c r="A2321" t="inlineStr">
        <is>
          <t>Buff-Casting Startup Delay (s, fixed-duration only)</t>
        </is>
      </c>
      <c r="B2321">
        <f>IF(AND(Inputs!$B$38&lt;&gt;"pvp",Inputs!$B$43&gt;0),SUMPRODUCT((Skills!T2:T31&gt;0)*(Skills!E2:E31=TRUE)*(C2282:C2311=TRUE))/B2316,0)</f>
        <v/>
      </c>
    </row>
    <row r="2322">
      <c r="A2322" t="inlineStr">
        <is>
          <t>Boss-Only Total DPS (this block's swept value)</t>
        </is>
      </c>
      <c r="B2322">
        <f>SUM(T2282:T2311)</f>
        <v/>
      </c>
    </row>
    <row r="2323">
      <c r="A2323" t="inlineStr">
        <is>
          <t>Normal-Only Total DPS (this block's swept value)</t>
        </is>
      </c>
      <c r="B2323">
        <f>SUM(V2282:V2311)</f>
        <v/>
      </c>
    </row>
    <row r="2324">
      <c r="A2324" s="6" t="inlineStr">
        <is>
          <t>TOTAL DPS</t>
        </is>
      </c>
      <c r="B2324" s="6">
        <f>SUM(O2282:O2311)</f>
        <v/>
      </c>
    </row>
    <row r="2327">
      <c r="A2327" s="6" t="inlineStr">
        <is>
          <t>Stat: Soul Pouch (Equip)</t>
        </is>
      </c>
    </row>
    <row r="2328">
      <c r="A2328" s="5" t="inlineStr">
        <is>
          <t>Key</t>
        </is>
      </c>
      <c r="B2328" s="5" t="inlineStr">
        <is>
          <t>Name</t>
        </is>
      </c>
      <c r="C2328" s="5" t="inlineStr">
        <is>
          <t>Unlocked</t>
        </is>
      </c>
      <c r="D2328" s="5" t="inlineStr">
        <is>
          <t>InputLevel</t>
        </is>
      </c>
      <c r="E2328" s="5" t="inlineStr">
        <is>
          <t>Factor</t>
        </is>
      </c>
      <c r="F2328" s="5" t="inlineStr">
        <is>
          <t>CoefficientPercent</t>
        </is>
      </c>
      <c r="G2328" s="5" t="inlineStr">
        <is>
          <t>EffectiveHits</t>
        </is>
      </c>
      <c r="H2328" s="5" t="inlineStr">
        <is>
          <t>ProcProbability</t>
        </is>
      </c>
      <c r="I2328" s="5" t="inlineStr">
        <is>
          <t>MapleHeroMultiplier</t>
        </is>
      </c>
      <c r="J2328" s="5" t="inlineStr">
        <is>
          <t>BaseDamage</t>
        </is>
      </c>
      <c r="K2328" s="5" t="inlineStr">
        <is>
          <t>BaseHitDamage</t>
        </is>
      </c>
      <c r="L2328" s="5" t="inlineStr">
        <is>
          <t>NonCritAvg</t>
        </is>
      </c>
      <c r="M2328" s="5" t="inlineStr">
        <is>
          <t>CritAvg</t>
        </is>
      </c>
      <c r="N2328" s="5" t="inlineStr">
        <is>
          <t>ExpectedDamage(perHit)</t>
        </is>
      </c>
      <c r="O2328" s="5" t="inlineStr">
        <is>
          <t>DPS</t>
        </is>
      </c>
      <c r="P2328" s="5" t="inlineStr">
        <is>
          <t>% of Total</t>
        </is>
      </c>
      <c r="Q2328" s="5" t="inlineStr">
        <is>
          <t>InvCooldown</t>
        </is>
      </c>
      <c r="R2328" s="5" t="inlineStr">
        <is>
          <t>CastsInFight</t>
        </is>
      </c>
      <c r="S2328" s="5" t="inlineStr">
        <is>
          <t>HitRate(perSec)</t>
        </is>
      </c>
      <c r="U2328" t="inlineStr">
        <is>
          <t>helpers</t>
        </is>
      </c>
    </row>
    <row r="2329">
      <c r="A2329">
        <f>Skills!A2</f>
        <v/>
      </c>
      <c r="B2329">
        <f>Skills!B2</f>
        <v/>
      </c>
      <c r="C2329">
        <f>Inputs!$B$3&gt;=100</f>
        <v/>
      </c>
      <c r="D2329" t="inlineStr"/>
      <c r="E2329" t="inlineStr"/>
      <c r="F2329">
        <f>U2331+Skills!O2</f>
        <v/>
      </c>
      <c r="G2329">
        <f>Skills!G2*IF(Skills!H2&gt;0,Skills!I2/Skills!H2,1)</f>
        <v/>
      </c>
      <c r="H2329">
        <f>1-(1-Skills!J2/100)^Skills!K2</f>
        <v/>
      </c>
      <c r="I2329" t="inlineStr">
        <is>
          <t>1</t>
        </is>
      </c>
      <c r="J2329">
        <f>((Inputs!$B$6*(1+Inputs!$B$7/100))+(((Inputs!$B$12*(1+Inputs!$B$13/100))-(Inputs!$B$12*(1+Inputs!$B$13/100)))+0.25*(Inputs!$B$14-Inputs!$B$14))*(1+Inputs!$B$7/100))*(F2329/100)</f>
        <v/>
      </c>
      <c r="K2329">
        <f>J2329*(1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2329)</f>
        <v/>
      </c>
      <c r="L2329">
        <f>K2329*(MIN(Inputs!$B$22+((C2352=TRUE)*(F2352-Calc!F25)),(Inputs!$B$23+((C2357=TRUE)*(F2357-Calc!F30))+(IF(ArtifactsInput!$M$15,CHOOSE(ArtifactsInput!$N$15+1,25,30,35,40,45,50)/100*(Inputs!$B$11-Inputs!$B$11),0))))/100+(Inputs!$B$23+((C2357=TRUE)*(F2357-Calc!F30))+(IF(ArtifactsInput!$M$15,CHOOSE(ArtifactsInput!$N$15+1,25,30,35,40,45,50)/100*(Inputs!$B$11-Inputs!$B$11),0)))/100)/2</f>
        <v/>
      </c>
      <c r="M2329">
        <f>L2329*(1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9">
        <f>L2329*(1-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2329*(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9">
        <f>(1-Summary!$B$11)*T2329+Summary!$B$11*V2329</f>
        <v/>
      </c>
      <c r="P2329">
        <f>IF(B2371=0,0,O2329/B2371)</f>
        <v/>
      </c>
      <c r="Q2329" t="n">
        <v>0</v>
      </c>
      <c r="R2329" t="n">
        <v>0</v>
      </c>
      <c r="S2329">
        <f>IFERROR(O2329/N2329,0)</f>
        <v/>
      </c>
      <c r="T2329">
        <f>IF(C2329,(Skills!G2*N2329*B2365)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2329*(1-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2329*(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2329*(1-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2329*(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9">
        <f>MAX(0,(Inputs!$B$3-100)*3)+Inputs!$B$28+Inputs!$B$29</f>
        <v/>
      </c>
      <c r="V2329">
        <f>IF(C2329,(Skills!G2*N2329*B2365)*IF(Inputs!$B$38="pvp",1,(1+(Inputs!$B$21+Skills!Q2+(IF(ArtifactsInput!$M$33,CHOOSE(ArtifactsInput!$N$33+1,30,36,42,48,54,60),0))+(IF(AND(ArtifactsInput!$M$35,Inputs!$B$4&lt;&gt;"Chapter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0">
      <c r="A2330">
        <f>Skills!A3</f>
        <v/>
      </c>
      <c r="B2330">
        <f>Skills!B3</f>
        <v/>
      </c>
      <c r="C2330">
        <f>Inputs!$B$3&gt;=50</f>
        <v/>
      </c>
      <c r="D2330">
        <f>IF(Skills!C3=1,60+Inputs!$B$25+Inputs!$B$29,IF(Skills!C3=2,90+Inputs!$B$26+Inputs!$B$29,IF(Skills!C3=3,120+Inputs!$B$27+Inputs!$B$29,MAX(0,(Inputs!$B$3-100)*3)+Inputs!$B$28+Inputs!$B$29)))</f>
        <v/>
      </c>
      <c r="E2330">
        <f>INDEX(FactorTable!$B$2:$Y$301, MATCH(ROUND(MIN(300,MAX(1,D2330)),0), FactorTable!$A$2:$A$301,0), Skills!M3+1)</f>
        <v/>
      </c>
      <c r="F2330">
        <f>IF(Skills!N3=TRUE,(Skills!L3/10)*(E2330/1000),Skills!L3/10)+Skills!O3</f>
        <v/>
      </c>
      <c r="G2330">
        <f>Skills!G3*IF(Skills!H3&gt;0,Skills!I3/Skills!H3,1)</f>
        <v/>
      </c>
      <c r="H2330">
        <f>1-(1-Skills!J3/100)^Skills!K3</f>
        <v/>
      </c>
      <c r="I2330" t="inlineStr">
        <is>
          <t>1</t>
        </is>
      </c>
      <c r="J2330">
        <f>((Inputs!$B$6*(1+Inputs!$B$7/100))+(((Inputs!$B$12*(1+Inputs!$B$13/100))-(Inputs!$B$12*(1+Inputs!$B$13/100)))+0.25*(Inputs!$B$14-Inputs!$B$14))*(1+Inputs!$B$7/100))*(F2330/100)</f>
        <v/>
      </c>
      <c r="K2330">
        <f>J2330*(1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2331=TRUE,F2331,0)/100)*(1+(IF(Skills!A3="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C2352=TRUE)*(F2352-Calc!F25)),(Inputs!$B$23+((C2357=TRUE)*(F2357-Calc!F30))+(IF(ArtifactsInput!$M$15,CHOOSE(ArtifactsInput!$N$15+1,25,30,35,40,45,50)/100*(Inputs!$B$11-Inputs!$B$11),0))))/100+(Inputs!$B$23+((C2357=TRUE)*(F2357-Calc!F30))+(IF(ArtifactsInput!$M$15,CHOOSE(ArtifactsInput!$N$15+1,25,30,35,40,45,50)/100*(Inputs!$B$11-Inputs!$B$11),0)))/100)/2</f>
        <v/>
      </c>
      <c r="M2330">
        <f>L2330*(1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0">
        <f>L2330*(1-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(1-Summary!$B$11)*T2330+Summary!$B$11*V2330</f>
        <v/>
      </c>
      <c r="P2330">
        <f>IF(B2371=0,0,O2330/B2371)</f>
        <v/>
      </c>
      <c r="Q2330">
        <f>IFERROR(1/(IF(Inputs!$B$38="pvp",15,MAX(0.1,Skills!D3-IF(Skills!E3=TRUE,Inputs!$B$32,0)))*(1-IF(AND(ArtifactsInput!$M$27,Inputs!$B$4="Chapter Hunt"),CHOOSE(ArtifactsInput!$N$27+1,20,24,28,32,36,40),0)/100)),0)</f>
        <v/>
      </c>
      <c r="R2330">
        <f>IF(AND(Inputs!$B$38&lt;&gt;"pvp",Inputs!$B$43&gt;0),IF(MAX(0,Inputs!$B$43-B2368)&lt;=0,0,(INT(MAX(0,Inputs!$B$43-B2368)/(IF(Inputs!$B$38="pvp",15,MAX(0.1,Skills!D3-IF(Skills!E3=TRUE,Inputs!$B$32,0)))*(1-IF(AND(ArtifactsInput!$M$27,Inputs!$B$4="Chapter Hunt"),CHOOSE(ArtifactsInput!$N$27+1,20,24,28,32,36,40),0)/100)))+1)),0)</f>
        <v/>
      </c>
      <c r="S2330">
        <f>IFERROR(O2330/N2330,0)</f>
        <v/>
      </c>
      <c r="T2330">
        <f>IF(C2330,(H2330*N2330*IF(AND(Inputs!$B$38&lt;&gt;"pvp",Inputs!$B$43&gt;0),((Skills!G3*((R2330-1)*IF(Skills!H3&gt;0,Skills!I3/Skills!H3,1)+IF(Skills!H3&gt;0,MIN(Skills!I3,MAX(0,MAX(0,Inputs!$B$43-B2368)-((R2330-1)*(IF(Inputs!$B$38="pvp",15,MAX(0.1,Skills!D3-IF(Skills!E3=TRUE,Inputs!$B$32,0)))*(1-IF(AND(ArtifactsInput!$M$27,Inputs!$B$4="Chapter Hunt"),CHOOSE(ArtifactsInput!$N$27+1,20,24,28,32,36,40),0)/100)))))/Skills!H3,1)))/Inputs!$B$43),G2330*Q2330)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2330*(1-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0">
        <f>INDEX(FactorTable!$B$2:$Y$301, MATCH(ROUND(MIN(300,MAX(1,U2329)),0), FactorTable!$A$2:$A$301,0), 22)</f>
        <v/>
      </c>
      <c r="V2330">
        <f>IF(C2330,(H2330*N2330*IF(AND(Inputs!$B$38&lt;&gt;"pvp",Inputs!$B$43&gt;0),((Skills!G3*((R2330-1)*IF(Skills!H3&gt;0,Skills!I3/Skills!H3,1)+IF(Skills!H3&gt;0,MIN(Skills!I3,MAX(0,MAX(0,Inputs!$B$43-B2368)-((R2330-1)*(IF(Inputs!$B$38="pvp",15,MAX(0.1,Skills!D3-IF(Skills!E3=TRUE,Inputs!$B$32,0)))*(1-IF(AND(ArtifactsInput!$M$27,Inputs!$B$4="Chapter Hunt"),CHOOSE(ArtifactsInput!$N$27+1,20,24,28,32,36,40),0)/100)))))/Skills!H3,1)))/Inputs!$B$43),G2330*Q2330))*IF(Inputs!$B$38="pvp",1,(1+(Inputs!$B$21+Skills!Q3+(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Skills!A4</f>
        <v/>
      </c>
      <c r="B2331">
        <f>Skills!B4</f>
        <v/>
      </c>
      <c r="C2331">
        <f>Inputs!$B$3&gt;=105</f>
        <v/>
      </c>
      <c r="D2331">
        <f>IF(Skills!C4=1,60+Inputs!$B$25+Inputs!$B$29,IF(Skills!C4=2,90+Inputs!$B$26+Inputs!$B$29,IF(Skills!C4=3,120+Inputs!$B$27+Inputs!$B$29,MAX(0,(Inputs!$B$3-100)*3)+Inputs!$B$28+Inputs!$B$29)))</f>
        <v/>
      </c>
      <c r="E2331">
        <f>INDEX(FactorTable!$B$2:$Y$301, MATCH(ROUND(MIN(300,MAX(1,D2331)),0), FactorTable!$A$2:$A$301,0), Skills!M4+1)</f>
        <v/>
      </c>
      <c r="F2331">
        <f>IF(Skills!N4=TRUE,(Skills!L4/10)*(E2331/1000),Skills!L4/10)+Skills!O4</f>
        <v/>
      </c>
      <c r="G2331" t="inlineStr"/>
      <c r="H2331" t="inlineStr"/>
      <c r="I2331" t="inlineStr">
        <is>
          <t>1</t>
        </is>
      </c>
      <c r="J2331" t="inlineStr"/>
      <c r="K2331" t="inlineStr"/>
      <c r="L2331" t="inlineStr"/>
      <c r="M2331" t="inlineStr"/>
      <c r="N2331" t="inlineStr"/>
      <c r="O2331" t="inlineStr"/>
      <c r="P2331" t="inlineStr"/>
      <c r="Q2331" t="inlineStr"/>
      <c r="R2331" t="inlineStr"/>
      <c r="S2331" t="inlineStr"/>
      <c r="T2331" t="inlineStr"/>
      <c r="U2331">
        <f>290*U2330/1000</f>
        <v/>
      </c>
      <c r="V2331" t="inlineStr"/>
    </row>
    <row r="2332">
      <c r="A2332">
        <f>Skills!A5</f>
        <v/>
      </c>
      <c r="B2332">
        <f>Skills!B5</f>
        <v/>
      </c>
      <c r="C2332">
        <f>Inputs!$B$3&gt;=35</f>
        <v/>
      </c>
      <c r="D2332">
        <f>IF(Skills!C5=1,60+Inputs!$B$25+Inputs!$B$29,IF(Skills!C5=2,90+Inputs!$B$26+Inputs!$B$29,IF(Skills!C5=3,120+Inputs!$B$27+Inputs!$B$29,MAX(0,(Inputs!$B$3-100)*3)+Inputs!$B$28+Inputs!$B$29)))</f>
        <v/>
      </c>
      <c r="E2332">
        <f>INDEX(FactorTable!$B$2:$Y$301, MATCH(ROUND(MIN(300,MAX(1,D2332)),0), FactorTable!$A$2:$A$301,0), Skills!M5+1)</f>
        <v/>
      </c>
      <c r="F2332">
        <f>IF(Skills!N5=TRUE,(Skills!L5/10)*(E2332/1000),Skills!L5/10)+Skills!O5</f>
        <v/>
      </c>
      <c r="G2332">
        <f>Skills!G5*IF(Skills!H5&gt;0,Skills!I5/Skills!H5,1)</f>
        <v/>
      </c>
      <c r="H2332">
        <f>1-(1-Skills!J5/100)^Skills!K5</f>
        <v/>
      </c>
      <c r="I2332" t="inlineStr">
        <is>
          <t>1</t>
        </is>
      </c>
      <c r="J2332">
        <f>((Inputs!$B$6*(1+Inputs!$B$7/100))+(((Inputs!$B$12*(1+Inputs!$B$13/100))-(Inputs!$B$12*(1+Inputs!$B$13/100)))+0.25*(Inputs!$B$14-Inputs!$B$14))*(1+Inputs!$B$7/100))*(F2332/100)</f>
        <v/>
      </c>
      <c r="K2332">
        <f>J2332*(1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2338=TRUE,F2338,0)/100)*(1+(IF(Skills!A5="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2332)</f>
        <v/>
      </c>
      <c r="L2332">
        <f>K2332*(MIN(Inputs!$B$22+((C2352=TRUE)*(F2352-Calc!F25)),(Inputs!$B$23+((C2357=TRUE)*(F2357-Calc!F30))+(IF(ArtifactsInput!$M$15,CHOOSE(ArtifactsInput!$N$15+1,25,30,35,40,45,50)/100*(Inputs!$B$11-Inputs!$B$11),0))))/100+(Inputs!$B$23+((C2357=TRUE)*(F2357-Calc!F30))+(IF(ArtifactsInput!$M$15,CHOOSE(ArtifactsInput!$N$15+1,25,30,35,40,45,50)/100*(Inputs!$B$11-Inputs!$B$11),0)))/100)/2</f>
        <v/>
      </c>
      <c r="M2332">
        <f>L2332*(1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2">
        <f>L2332*(1-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2332*(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2">
        <f>(1-Summary!$B$11)*T2332+Summary!$B$11*V2332</f>
        <v/>
      </c>
      <c r="P2332">
        <f>IF(B2371=0,0,O2332/B2371)</f>
        <v/>
      </c>
      <c r="Q2332">
        <f>IFERROR(1/(IF(Inputs!$B$38="pvp",15,MAX(0.1,Skills!D5-IF(Skills!E5=TRUE,Inputs!$B$32,0)))*(1-IF(AND(ArtifactsInput!$M$27,Inputs!$B$4="Chapter Hunt"),CHOOSE(ArtifactsInput!$N$27+1,20,24,28,32,36,40),0)/100)),0)</f>
        <v/>
      </c>
      <c r="R2332">
        <f>IF(AND(Inputs!$B$38&lt;&gt;"pvp",Inputs!$B$43&gt;0),IF(MAX(0,Inputs!$B$43-B2368)&lt;=0,0,(INT(MAX(0,Inputs!$B$43-B2368)/(IF(Inputs!$B$38="pvp",15,MAX(0.1,Skills!D5-IF(Skills!E5=TRUE,Inputs!$B$32,0)))*(1-IF(AND(ArtifactsInput!$M$27,Inputs!$B$4="Chapter Hunt"),CHOOSE(ArtifactsInput!$N$27+1,20,24,28,32,36,40),0)/100)))+1)),0)</f>
        <v/>
      </c>
      <c r="S2332">
        <f>IFERROR(O2332/N2332,0)</f>
        <v/>
      </c>
      <c r="T2332">
        <f>IF(C2332,(H2332*N2332*IF(AND(Inputs!$B$38&lt;&gt;"pvp",Inputs!$B$43&gt;0),((Skills!G5*((R2332-1)*IF(Skills!H5&gt;0,Skills!I5/Skills!H5,1)+IF(Skills!H5&gt;0,MIN(Skills!I5,MAX(0,MAX(0,Inputs!$B$43-B2368)-((R2332-1)*(IF(Inputs!$B$38="pvp",15,MAX(0.1,Skills!D5-IF(Skills!E5=TRUE,Inputs!$B$32,0)))*(1-IF(AND(ArtifactsInput!$M$27,Inputs!$B$4="Chapter Hunt"),CHOOSE(ArtifactsInput!$N$27+1,20,24,28,32,36,40),0)/100)))))/Skills!H5,1)))/Inputs!$B$43),G2332*Q2332)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2332*(1-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2332*(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2332*(1-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2332*(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2">
        <f>IF(C2332,(H2332*N2332*IF(AND(Inputs!$B$38&lt;&gt;"pvp",Inputs!$B$43&gt;0),((Skills!G5*((R2332-1)*IF(Skills!H5&gt;0,Skills!I5/Skills!H5,1)+IF(Skills!H5&gt;0,MIN(Skills!I5,MAX(0,MAX(0,Inputs!$B$43-B2368)-((R2332-1)*(IF(Inputs!$B$38="pvp",15,MAX(0.1,Skills!D5-IF(Skills!E5=TRUE,Inputs!$B$32,0)))*(1-IF(AND(ArtifactsInput!$M$27,Inputs!$B$4="Chapter Hunt"),CHOOSE(ArtifactsInput!$N$27+1,20,24,28,32,36,40),0)/100)))))/Skills!H5,1)))/Inputs!$B$43),G2332*Q2332))*IF(Inputs!$B$38="pvp",1,(1+(Inputs!$B$21+Skills!Q5+(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3">
      <c r="A2333">
        <f>Skills!A6</f>
        <v/>
      </c>
      <c r="B2333">
        <f>Skills!B6</f>
        <v/>
      </c>
      <c r="C2333">
        <f>Inputs!$B$3&gt;=40</f>
        <v/>
      </c>
      <c r="D2333">
        <f>IF(Skills!C6=1,60+Inputs!$B$25+Inputs!$B$29,IF(Skills!C6=2,90+Inputs!$B$26+Inputs!$B$29,IF(Skills!C6=3,120+Inputs!$B$27+Inputs!$B$29,MAX(0,(Inputs!$B$3-100)*3)+Inputs!$B$28+Inputs!$B$29)))</f>
        <v/>
      </c>
      <c r="E2333">
        <f>INDEX(FactorTable!$B$2:$Y$301, MATCH(ROUND(MIN(300,MAX(1,D2333)),0), FactorTable!$A$2:$A$301,0), Skills!M6+1)</f>
        <v/>
      </c>
      <c r="F2333">
        <f>IF(Skills!N6=TRUE,(Skills!L6/10)*(E2333/1000),Skills!L6/10)+Skills!O6</f>
        <v/>
      </c>
      <c r="G2333">
        <f>Skills!G6*IF(Skills!H6&gt;0,Skills!I6/Skills!H6,1)</f>
        <v/>
      </c>
      <c r="H2333">
        <f>1-(1-Skills!J6/100)^Skills!K6</f>
        <v/>
      </c>
      <c r="I2333" t="inlineStr">
        <is>
          <t>1</t>
        </is>
      </c>
      <c r="J2333">
        <f>((Inputs!$B$6*(1+Inputs!$B$7/100))+(((Inputs!$B$12*(1+Inputs!$B$13/100))-(Inputs!$B$12*(1+Inputs!$B$13/100)))+0.25*(Inputs!$B$14-Inputs!$B$14))*(1+Inputs!$B$7/100))*(F2333/100)</f>
        <v/>
      </c>
      <c r="K2333">
        <f>J2333*(1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2334=TRUE,F2334,0)/100)*(1+(IF(Skills!A6="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2333)</f>
        <v/>
      </c>
      <c r="L2333">
        <f>K2333*(MIN(Inputs!$B$22+((C2352=TRUE)*(F2352-Calc!F25)),(Inputs!$B$23+((C2357=TRUE)*(F2357-Calc!F30))+(IF(ArtifactsInput!$M$15,CHOOSE(ArtifactsInput!$N$15+1,25,30,35,40,45,50)/100*(Inputs!$B$11-Inputs!$B$11),0))))/100+(Inputs!$B$23+((C2357=TRUE)*(F2357-Calc!F30))+(IF(ArtifactsInput!$M$15,CHOOSE(ArtifactsInput!$N$15+1,25,30,35,40,45,50)/100*(Inputs!$B$11-Inputs!$B$11),0)))/100)/2</f>
        <v/>
      </c>
      <c r="M2333">
        <f>L2333*(1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3">
        <f>L2333*(1-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2333*(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3">
        <f>(1-Summary!$B$11)*T2333+Summary!$B$11*V2333</f>
        <v/>
      </c>
      <c r="P2333">
        <f>IF(B2371=0,0,O2333/B2371)</f>
        <v/>
      </c>
      <c r="Q2333">
        <f>IFERROR(1/(IF(Inputs!$B$38="pvp",15,MAX(0.1,Skills!D6-IF(Skills!E6=TRUE,Inputs!$B$32,0)))*(1-IF(AND(ArtifactsInput!$M$27,Inputs!$B$4="Chapter Hunt"),CHOOSE(ArtifactsInput!$N$27+1,20,24,28,32,36,40),0)/100)),0)</f>
        <v/>
      </c>
      <c r="R2333">
        <f>IF(AND(Inputs!$B$38&lt;&gt;"pvp",Inputs!$B$43&gt;0),IF(MAX(0,Inputs!$B$43-B2368)&lt;=0,0,(INT(MAX(0,Inputs!$B$43-B2368)/(IF(Inputs!$B$38="pvp",15,MAX(0.1,Skills!D6-IF(Skills!E6=TRUE,Inputs!$B$32,0)))*(1-IF(AND(ArtifactsInput!$M$27,Inputs!$B$4="Chapter Hunt"),CHOOSE(ArtifactsInput!$N$27+1,20,24,28,32,36,40),0)/100)))+1)),0)</f>
        <v/>
      </c>
      <c r="S2333">
        <f>IFERROR(O2333/N2333,0)</f>
        <v/>
      </c>
      <c r="T2333">
        <f>IF(C2333,(H2333*N2333*IF(AND(Inputs!$B$38&lt;&gt;"pvp",Inputs!$B$43&gt;0),((Skills!G6*((R2333-1)*IF(Skills!H6&gt;0,Skills!I6/Skills!H6,1)+IF(Skills!H6&gt;0,MIN(Skills!I6,MAX(0,MAX(0,Inputs!$B$43-B2368)-((R2333-1)*(IF(Inputs!$B$38="pvp",15,MAX(0.1,Skills!D6-IF(Skills!E6=TRUE,Inputs!$B$32,0)))*(1-IF(AND(ArtifactsInput!$M$27,Inputs!$B$4="Chapter Hunt"),CHOOSE(ArtifactsInput!$N$27+1,20,24,28,32,36,40),0)/100)))))/Skills!H6,1)))/Inputs!$B$43),G2333*Q2333)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2333*(1-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2333*(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2333*(1-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2333*(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3">
        <f>IF(C2333,(H2333*N2333*IF(AND(Inputs!$B$38&lt;&gt;"pvp",Inputs!$B$43&gt;0),((Skills!G6*((R2333-1)*IF(Skills!H6&gt;0,Skills!I6/Skills!H6,1)+IF(Skills!H6&gt;0,MIN(Skills!I6,MAX(0,MAX(0,Inputs!$B$43-B2368)-((R2333-1)*(IF(Inputs!$B$38="pvp",15,MAX(0.1,Skills!D6-IF(Skills!E6=TRUE,Inputs!$B$32,0)))*(1-IF(AND(ArtifactsInput!$M$27,Inputs!$B$4="Chapter Hunt"),CHOOSE(ArtifactsInput!$N$27+1,20,24,28,32,36,40),0)/100)))))/Skills!H6,1)))/Inputs!$B$43),G2333*Q2333))*IF(Inputs!$B$38="pvp",1,(1+(Inputs!$B$21+Skills!Q6+(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4">
      <c r="A2334">
        <f>Skills!A7</f>
        <v/>
      </c>
      <c r="B2334">
        <f>Skills!B7</f>
        <v/>
      </c>
      <c r="C2334">
        <f>Inputs!$B$3&gt;=107</f>
        <v/>
      </c>
      <c r="D2334">
        <f>IF(Skills!C7=1,60+Inputs!$B$25+Inputs!$B$29,IF(Skills!C7=2,90+Inputs!$B$26+Inputs!$B$29,IF(Skills!C7=3,120+Inputs!$B$27+Inputs!$B$29,MAX(0,(Inputs!$B$3-100)*3)+Inputs!$B$28+Inputs!$B$29)))</f>
        <v/>
      </c>
      <c r="E2334">
        <f>INDEX(FactorTable!$B$2:$Y$301, MATCH(ROUND(MIN(300,MAX(1,D2334)),0), FactorTable!$A$2:$A$301,0), Skills!M7+1)</f>
        <v/>
      </c>
      <c r="F2334">
        <f>IF(Skills!N7=TRUE,(Skills!L7/10)*(E2334/1000),Skills!L7/10)+Skills!O7</f>
        <v/>
      </c>
      <c r="G2334" t="inlineStr"/>
      <c r="H2334" t="inlineStr"/>
      <c r="I2334" t="inlineStr">
        <is>
          <t>1</t>
        </is>
      </c>
      <c r="J2334" t="inlineStr"/>
      <c r="K2334" t="inlineStr"/>
      <c r="L2334" t="inlineStr"/>
      <c r="M2334" t="inlineStr"/>
      <c r="N2334" t="inlineStr"/>
      <c r="O2334" t="inlineStr"/>
      <c r="P2334" t="inlineStr"/>
      <c r="Q2334" t="inlineStr"/>
      <c r="R2334" t="inlineStr"/>
      <c r="S2334" t="inlineStr"/>
      <c r="T2334" t="inlineStr"/>
      <c r="V2334" t="inlineStr"/>
    </row>
    <row r="2335">
      <c r="A2335">
        <f>Skills!A8</f>
        <v/>
      </c>
      <c r="B2335">
        <f>Skills!B8</f>
        <v/>
      </c>
      <c r="C2335">
        <f>Inputs!$B$3&gt;=69</f>
        <v/>
      </c>
      <c r="D2335">
        <f>IF(Skills!C8=1,60+Inputs!$B$25+Inputs!$B$29,IF(Skills!C8=2,90+Inputs!$B$26+Inputs!$B$29,IF(Skills!C8=3,120+Inputs!$B$27+Inputs!$B$29,MAX(0,(Inputs!$B$3-100)*3)+Inputs!$B$28+Inputs!$B$29)))</f>
        <v/>
      </c>
      <c r="E2335">
        <f>INDEX(FactorTable!$B$2:$Y$301, MATCH(ROUND(MIN(300,MAX(1,D2335)),0), FactorTable!$A$2:$A$301,0), Skills!M8+1)</f>
        <v/>
      </c>
      <c r="F2335">
        <f>IF(Skills!N8=TRUE,(Skills!L8/10)*(E2335/1000),Skills!L8/10)+Skills!O8</f>
        <v/>
      </c>
      <c r="G2335">
        <f>Skills!G8*IF(Skills!H8&gt;0,Skills!I8/Skills!H8,1)</f>
        <v/>
      </c>
      <c r="H2335">
        <f>1-(1-Skills!J8/100)^Skills!K8</f>
        <v/>
      </c>
      <c r="I2335" t="inlineStr">
        <is>
          <t>1</t>
        </is>
      </c>
      <c r="J2335">
        <f>((Inputs!$B$6*(1+Inputs!$B$7/100))+(((Inputs!$B$12*(1+Inputs!$B$13/100))-(Inputs!$B$12*(1+Inputs!$B$13/100)))+0.25*(Inputs!$B$14-Inputs!$B$14))*(1+Inputs!$B$7/100))*(F2335/100)</f>
        <v/>
      </c>
      <c r="K2335">
        <f>J2335*(1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2338=TRUE,F2338,0)/100)*(1+(IF(Skills!A8="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2335)</f>
        <v/>
      </c>
      <c r="L2335">
        <f>K2335*(MIN(Inputs!$B$22+((C2352=TRUE)*(F2352-Calc!F25)),(Inputs!$B$23+((C2357=TRUE)*(F2357-Calc!F30))+(IF(ArtifactsInput!$M$15,CHOOSE(ArtifactsInput!$N$15+1,25,30,35,40,45,50)/100*(Inputs!$B$11-Inputs!$B$11),0))))/100+(Inputs!$B$23+((C2357=TRUE)*(F2357-Calc!F30))+(IF(ArtifactsInput!$M$15,CHOOSE(ArtifactsInput!$N$15+1,25,30,35,40,45,50)/100*(Inputs!$B$11-Inputs!$B$11),0)))/100)/2</f>
        <v/>
      </c>
      <c r="M2335">
        <f>L2335*(1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5">
        <f>L2335*(1-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2335*(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5">
        <f>(1-Summary!$B$11)*T2335+Summary!$B$11*V2335</f>
        <v/>
      </c>
      <c r="P2335">
        <f>IF(B2371=0,0,O2335/B2371)</f>
        <v/>
      </c>
      <c r="Q2335">
        <f>IFERROR(1/(IF(Inputs!$B$38="pvp",15,MAX(0.1,Skills!D8-IF(Skills!E8=TRUE,Inputs!$B$32,0)))*(1-IF(AND(ArtifactsInput!$M$27,Inputs!$B$4="Chapter Hunt"),CHOOSE(ArtifactsInput!$N$27+1,20,24,28,32,36,40),0)/100)),0)</f>
        <v/>
      </c>
      <c r="R2335">
        <f>IF(AND(Inputs!$B$38&lt;&gt;"pvp",Inputs!$B$43&gt;0),IF(MAX(0,Inputs!$B$43-B2368)&lt;=0,0,(INT(MAX(0,Inputs!$B$43-B2368)/(IF(Inputs!$B$38="pvp",15,MAX(0.1,Skills!D8-IF(Skills!E8=TRUE,Inputs!$B$32,0)))*(1-IF(AND(ArtifactsInput!$M$27,Inputs!$B$4="Chapter Hunt"),CHOOSE(ArtifactsInput!$N$27+1,20,24,28,32,36,40),0)/100)))+1)),0)</f>
        <v/>
      </c>
      <c r="S2335">
        <f>IFERROR(O2335/N2335,0)</f>
        <v/>
      </c>
      <c r="T2335">
        <f>IF(C2335,(H2335*N2335*IF(AND(Inputs!$B$38&lt;&gt;"pvp",Inputs!$B$43&gt;0),((Skills!G8*((R2335-1)*IF(Skills!H8&gt;0,Skills!I8/Skills!H8,1)+IF(Skills!H8&gt;0,MIN(Skills!I8,MAX(0,MAX(0,Inputs!$B$43-B2368)-((R2335-1)*(IF(Inputs!$B$38="pvp",15,MAX(0.1,Skills!D8-IF(Skills!E8=TRUE,Inputs!$B$32,0)))*(1-IF(AND(ArtifactsInput!$M$27,Inputs!$B$4="Chapter Hunt"),CHOOSE(ArtifactsInput!$N$27+1,20,24,28,32,36,40),0)/100)))))/Skills!H8,1)))/Inputs!$B$43),G2335*Q2335)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2335*(1-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2335*(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2335*(1-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2335*(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5">
        <f>IF(C2335,(H2335*N2335*IF(AND(Inputs!$B$38&lt;&gt;"pvp",Inputs!$B$43&gt;0),((Skills!G8*((R2335-1)*IF(Skills!H8&gt;0,Skills!I8/Skills!H8,1)+IF(Skills!H8&gt;0,MIN(Skills!I8,MAX(0,MAX(0,Inputs!$B$43-B2368)-((R2335-1)*(IF(Inputs!$B$38="pvp",15,MAX(0.1,Skills!D8-IF(Skills!E8=TRUE,Inputs!$B$32,0)))*(1-IF(AND(ArtifactsInput!$M$27,Inputs!$B$4="Chapter Hunt"),CHOOSE(ArtifactsInput!$N$27+1,20,24,28,32,36,40),0)/100)))))/Skills!H8,1)))/Inputs!$B$43),G2335*Q2335))*IF(Inputs!$B$38="pvp",1,(1+(Inputs!$B$21+Skills!Q8+(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6">
      <c r="A2336">
        <f>Skills!A9</f>
        <v/>
      </c>
      <c r="B2336">
        <f>Skills!B9</f>
        <v/>
      </c>
      <c r="C2336">
        <f>Inputs!$B$3&gt;=63</f>
        <v/>
      </c>
      <c r="D2336">
        <f>IF(Skills!C9=1,60+Inputs!$B$25+Inputs!$B$29,IF(Skills!C9=2,90+Inputs!$B$26+Inputs!$B$29,IF(Skills!C9=3,120+Inputs!$B$27+Inputs!$B$29,MAX(0,(Inputs!$B$3-100)*3)+Inputs!$B$28+Inputs!$B$29)))</f>
        <v/>
      </c>
      <c r="E2336">
        <f>INDEX(FactorTable!$B$2:$Y$301, MATCH(ROUND(MIN(300,MAX(1,D2336)),0), FactorTable!$A$2:$A$301,0), Skills!M9+1)</f>
        <v/>
      </c>
      <c r="F2336">
        <f>IF(Skills!N9=TRUE,(Skills!L9/10)*(E2336/1000),Skills!L9/10)+Skills!O9</f>
        <v/>
      </c>
      <c r="G2336">
        <f>Skills!G9*IF(Skills!H9&gt;0,Skills!I9/Skills!H9,1)</f>
        <v/>
      </c>
      <c r="H2336">
        <f>1-(1-Skills!J9/100)^Skills!K9</f>
        <v/>
      </c>
      <c r="I2336" t="inlineStr">
        <is>
          <t>1</t>
        </is>
      </c>
      <c r="J2336">
        <f>((Inputs!$B$6*(1+Inputs!$B$7/100))+(((Inputs!$B$12*(1+Inputs!$B$13/100))-(Inputs!$B$12*(1+Inputs!$B$13/100)))+0.25*(Inputs!$B$14-Inputs!$B$14))*(1+Inputs!$B$7/100))*(F2336/100)</f>
        <v/>
      </c>
      <c r="K2336">
        <f>J2336*(1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2338=TRUE,F2338,0)/100)*(1+(IF(Skills!A9="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2336)</f>
        <v/>
      </c>
      <c r="L2336">
        <f>K2336*(MIN(Inputs!$B$22+((C2352=TRUE)*(F2352-Calc!F25)),(Inputs!$B$23+((C2357=TRUE)*(F2357-Calc!F30))+(IF(ArtifactsInput!$M$15,CHOOSE(ArtifactsInput!$N$15+1,25,30,35,40,45,50)/100*(Inputs!$B$11-Inputs!$B$11),0))))/100+(Inputs!$B$23+((C2357=TRUE)*(F2357-Calc!F30))+(IF(ArtifactsInput!$M$15,CHOOSE(ArtifactsInput!$N$15+1,25,30,35,40,45,50)/100*(Inputs!$B$11-Inputs!$B$11),0)))/100)/2</f>
        <v/>
      </c>
      <c r="M2336">
        <f>L2336*(1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6">
        <f>L2336*(1-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2336*(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6">
        <f>(1-Summary!$B$11)*T2336+Summary!$B$11*V2336</f>
        <v/>
      </c>
      <c r="P2336">
        <f>IF(B2371=0,0,O2336/B2371)</f>
        <v/>
      </c>
      <c r="Q2336">
        <f>IFERROR(1/(IF(Inputs!$B$38="pvp",15,MAX(0.1,Skills!D9-IF(Skills!E9=TRUE,Inputs!$B$32,0)))*(1-IF(AND(ArtifactsInput!$M$27,Inputs!$B$4="Chapter Hunt"),CHOOSE(ArtifactsInput!$N$27+1,20,24,28,32,36,40),0)/100)),0)</f>
        <v/>
      </c>
      <c r="R2336">
        <f>IF(AND(Inputs!$B$38&lt;&gt;"pvp",Inputs!$B$43&gt;0),IF(MAX(0,Inputs!$B$43-B2368)&lt;=0,0,(INT(MAX(0,Inputs!$B$43-B2368)/(IF(Inputs!$B$38="pvp",15,MAX(0.1,Skills!D9-IF(Skills!E9=TRUE,Inputs!$B$32,0)))*(1-IF(AND(ArtifactsInput!$M$27,Inputs!$B$4="Chapter Hunt"),CHOOSE(ArtifactsInput!$N$27+1,20,24,28,32,36,40),0)/100)))+1)),0)</f>
        <v/>
      </c>
      <c r="S2336">
        <f>IFERROR(O2336/N2336,0)</f>
        <v/>
      </c>
      <c r="T2336">
        <f>IF(C2336,(H2336*N2336*IF(AND(Inputs!$B$38&lt;&gt;"pvp",Inputs!$B$43&gt;0),((Skills!G9*((R2336-1)*IF(Skills!H9&gt;0,Skills!I9/Skills!H9,1)+IF(Skills!H9&gt;0,MIN(Skills!I9,MAX(0,MAX(0,Inputs!$B$43-B2368)-((R2336-1)*(IF(Inputs!$B$38="pvp",15,MAX(0.1,Skills!D9-IF(Skills!E9=TRUE,Inputs!$B$32,0)))*(1-IF(AND(ArtifactsInput!$M$27,Inputs!$B$4="Chapter Hunt"),CHOOSE(ArtifactsInput!$N$27+1,20,24,28,32,36,40),0)/100)))))/Skills!H9,1)))/Inputs!$B$43),G2336*Q2336)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2336*(1-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2336*(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2336*(1-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2336*(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6">
        <f>IF(C2336,(H2336*N2336*IF(AND(Inputs!$B$38&lt;&gt;"pvp",Inputs!$B$43&gt;0),((Skills!G9*((R2336-1)*IF(Skills!H9&gt;0,Skills!I9/Skills!H9,1)+IF(Skills!H9&gt;0,MIN(Skills!I9,MAX(0,MAX(0,Inputs!$B$43-B2368)-((R2336-1)*(IF(Inputs!$B$38="pvp",15,MAX(0.1,Skills!D9-IF(Skills!E9=TRUE,Inputs!$B$32,0)))*(1-IF(AND(ArtifactsInput!$M$27,Inputs!$B$4="Chapter Hunt"),CHOOSE(ArtifactsInput!$N$27+1,20,24,28,32,36,40),0)/100)))))/Skills!H9,1)))/Inputs!$B$43),G2336*Q2336))*IF(Inputs!$B$38="pvp",1,(1+(Inputs!$B$21+Skills!Q9+(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7">
      <c r="A2337">
        <f>Skills!A10</f>
        <v/>
      </c>
      <c r="B2337">
        <f>Skills!B10</f>
        <v/>
      </c>
      <c r="C2337">
        <f>Inputs!$B$3&gt;=103</f>
        <v/>
      </c>
      <c r="D2337">
        <f>IF(Skills!C10=1,60+Inputs!$B$25+Inputs!$B$29,IF(Skills!C10=2,90+Inputs!$B$26+Inputs!$B$29,IF(Skills!C10=3,120+Inputs!$B$27+Inputs!$B$29,MAX(0,(Inputs!$B$3-100)*3)+Inputs!$B$28+Inputs!$B$29)))</f>
        <v/>
      </c>
      <c r="E2337">
        <f>INDEX(FactorTable!$B$2:$Y$301, MATCH(ROUND(MIN(300,MAX(1,D2337)),0), FactorTable!$A$2:$A$301,0), Skills!M10+1)</f>
        <v/>
      </c>
      <c r="F2337">
        <f>IF(Skills!N10=TRUE,(Skills!L10/10)*(E2337/1000),Skills!L10/10)+Skills!O10</f>
        <v/>
      </c>
      <c r="G2337">
        <f>Skills!G10*IF(Skills!H10&gt;0,Skills!I10/Skills!H10,1)</f>
        <v/>
      </c>
      <c r="H2337">
        <f>1-(1-Skills!J10/100)^Skills!K10</f>
        <v/>
      </c>
      <c r="I2337" t="inlineStr">
        <is>
          <t>1</t>
        </is>
      </c>
      <c r="J2337">
        <f>((Inputs!$B$6*(1+Inputs!$B$7/100))+(((Inputs!$B$12*(1+Inputs!$B$13/100))-(Inputs!$B$12*(1+Inputs!$B$13/100)))+0.25*(Inputs!$B$14-Inputs!$B$14))*(1+Inputs!$B$7/100))*(F2337/100)</f>
        <v/>
      </c>
      <c r="K2337">
        <f>J2337*(1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2337)</f>
        <v/>
      </c>
      <c r="L2337">
        <f>K2337*(MIN(Inputs!$B$22+((C2352=TRUE)*(F2352-Calc!F25)),(Inputs!$B$23+((C2357=TRUE)*(F2357-Calc!F30))+(IF(ArtifactsInput!$M$15,CHOOSE(ArtifactsInput!$N$15+1,25,30,35,40,45,50)/100*(Inputs!$B$11-Inputs!$B$11),0))))/100+(Inputs!$B$23+((C2357=TRUE)*(F2357-Calc!F30))+(IF(ArtifactsInput!$M$15,CHOOSE(ArtifactsInput!$N$15+1,25,30,35,40,45,50)/100*(Inputs!$B$11-Inputs!$B$11),0)))/100)/2</f>
        <v/>
      </c>
      <c r="M2337">
        <f>L2337*(1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7">
        <f>L2337*(1-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2337*(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7">
        <f>(1-Summary!$B$11)*T2337+Summary!$B$11*V2337</f>
        <v/>
      </c>
      <c r="P2337">
        <f>IF(B2371=0,0,O2337/B2371)</f>
        <v/>
      </c>
      <c r="Q2337">
        <f>IFERROR(1/(IF(Inputs!$B$38="pvp",15,MAX(0.1,Skills!D10-IF(Skills!E10=TRUE,Inputs!$B$32,0)))*(1-IF(AND(ArtifactsInput!$M$27,Inputs!$B$4="Chapter Hunt"),CHOOSE(ArtifactsInput!$N$27+1,20,24,28,32,36,40),0)/100)),0)</f>
        <v/>
      </c>
      <c r="R2337">
        <f>IF(AND(Inputs!$B$38&lt;&gt;"pvp",Inputs!$B$43&gt;0),IF(MAX(0,Inputs!$B$43-B2368)&lt;=0,0,(INT(MAX(0,Inputs!$B$43-B2368)/(IF(Inputs!$B$38="pvp",15,MAX(0.1,Skills!D10-IF(Skills!E10=TRUE,Inputs!$B$32,0)))*(1-IF(AND(ArtifactsInput!$M$27,Inputs!$B$4="Chapter Hunt"),CHOOSE(ArtifactsInput!$N$27+1,20,24,28,32,36,40),0)/100)))+1)),0)</f>
        <v/>
      </c>
      <c r="S2337">
        <f>IFERROR(O2337/N2337,0)</f>
        <v/>
      </c>
      <c r="T2337">
        <f>IF(C2337,(H2337*N2337*IF(AND(Inputs!$B$38&lt;&gt;"pvp",Inputs!$B$43&gt;0),((Skills!G10*((R2337-1)*IF(Skills!H10&gt;0,Skills!I10/Skills!H10,1)+IF(Skills!H10&gt;0,MIN(Skills!I10,MAX(0,MAX(0,Inputs!$B$43-B2368)-((R2337-1)*(IF(Inputs!$B$38="pvp",15,MAX(0.1,Skills!D10-IF(Skills!E10=TRUE,Inputs!$B$32,0)))*(1-IF(AND(ArtifactsInput!$M$27,Inputs!$B$4="Chapter Hunt"),CHOOSE(ArtifactsInput!$N$27+1,20,24,28,32,36,40),0)/100)))))/Skills!H10,1)))/Inputs!$B$43),G2337*Q2337)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2337*(1-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2337*(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2337*(1-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2337*(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7">
        <f>IF(C2337,(H2337*N2337*IF(AND(Inputs!$B$38&lt;&gt;"pvp",Inputs!$B$43&gt;0),((Skills!G10*((R2337-1)*IF(Skills!H10&gt;0,Skills!I10/Skills!H10,1)+IF(Skills!H10&gt;0,MIN(Skills!I10,MAX(0,MAX(0,Inputs!$B$43-B2368)-((R2337-1)*(IF(Inputs!$B$38="pvp",15,MAX(0.1,Skills!D10-IF(Skills!E10=TRUE,Inputs!$B$32,0)))*(1-IF(AND(ArtifactsInput!$M$27,Inputs!$B$4="Chapter Hunt"),CHOOSE(ArtifactsInput!$N$27+1,20,24,28,32,36,40),0)/100)))))/Skills!H10,1)))/Inputs!$B$43),G2337*Q2337))*IF(Inputs!$B$38="pvp",1,(1+(Inputs!$B$21+Skills!Q10+(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8">
      <c r="A2338">
        <f>Skills!A11</f>
        <v/>
      </c>
      <c r="B2338">
        <f>Skills!B11</f>
        <v/>
      </c>
      <c r="C2338">
        <f>Inputs!$B$3&gt;=100</f>
        <v/>
      </c>
      <c r="D2338">
        <f>IF(Skills!C11=1,60+Inputs!$B$25+Inputs!$B$29,IF(Skills!C11=2,90+Inputs!$B$26+Inputs!$B$29,IF(Skills!C11=3,120+Inputs!$B$27+Inputs!$B$29,MAX(0,(Inputs!$B$3-100)*3)+Inputs!$B$28+Inputs!$B$29)))</f>
        <v/>
      </c>
      <c r="E2338">
        <f>INDEX(FactorTable!$B$2:$Y$301, MATCH(ROUND(MIN(300,MAX(1,D2338)),0), FactorTable!$A$2:$A$301,0), Skills!M11+1)</f>
        <v/>
      </c>
      <c r="F2338">
        <f>IF(Skills!N11=TRUE,(Skills!L11/10)*(E2338/1000),Skills!L11/10)+Skills!O11</f>
        <v/>
      </c>
      <c r="G2338" t="inlineStr"/>
      <c r="H2338" t="inlineStr"/>
      <c r="I2338" t="inlineStr">
        <is>
          <t>1</t>
        </is>
      </c>
      <c r="J2338" t="inlineStr"/>
      <c r="K2338" t="inlineStr"/>
      <c r="L2338" t="inlineStr"/>
      <c r="M2338" t="inlineStr"/>
      <c r="N2338" t="inlineStr"/>
      <c r="O2338" t="inlineStr"/>
      <c r="P2338" t="inlineStr"/>
      <c r="Q2338" t="inlineStr"/>
      <c r="R2338" t="inlineStr"/>
      <c r="S2338" t="inlineStr"/>
      <c r="T2338" t="inlineStr"/>
      <c r="V2338" t="inlineStr"/>
    </row>
    <row r="2339">
      <c r="A2339">
        <f>Skills!A12</f>
        <v/>
      </c>
      <c r="B2339">
        <f>Skills!B12</f>
        <v/>
      </c>
      <c r="C2339">
        <f>Inputs!$B$3&gt;=60</f>
        <v/>
      </c>
      <c r="D2339">
        <f>IF(Skills!C12=1,60+Inputs!$B$25+Inputs!$B$29,IF(Skills!C12=2,90+Inputs!$B$26+Inputs!$B$29,IF(Skills!C12=3,120+Inputs!$B$27+Inputs!$B$29,MAX(0,(Inputs!$B$3-100)*3)+Inputs!$B$28+Inputs!$B$29)))</f>
        <v/>
      </c>
      <c r="E2339">
        <f>INDEX(FactorTable!$B$2:$Y$301, MATCH(ROUND(MIN(300,MAX(1,D2339)),0), FactorTable!$A$2:$A$301,0), Skills!M12+1)</f>
        <v/>
      </c>
      <c r="F2339">
        <f>IF(Skills!N12=TRUE,(Skills!L12/10)*(E2339/1000),Skills!L12/10)+Skills!O12</f>
        <v/>
      </c>
      <c r="G2339">
        <f>Skills!G12*IF(Skills!H12&gt;0,Skills!I12/Skills!H12,1)</f>
        <v/>
      </c>
      <c r="H2339">
        <f>1-(1-Skills!J12/100)^Skills!K12</f>
        <v/>
      </c>
      <c r="I2339" t="inlineStr">
        <is>
          <t>1</t>
        </is>
      </c>
      <c r="J2339">
        <f>((Inputs!$B$6*(1+Inputs!$B$7/100))+(((Inputs!$B$12*(1+Inputs!$B$13/100))-(Inputs!$B$12*(1+Inputs!$B$13/100)))+0.25*(Inputs!$B$14-Inputs!$B$14))*(1+Inputs!$B$7/100))*(F2339/100)</f>
        <v/>
      </c>
      <c r="K2339">
        <f>J2339*(1+((Inputs!$B$12*(1+Inputs!$B$13/100))*0.01+Inputs!$B$14*0.0025)/100)*(1+Inputs!$B$15/100)*(1+Inputs!$B$16/100)*(5000/(6000+Inputs!$B$42*(1-(100*(1-(1-(Inputs!$B$19+((C2355=TRUE)*(F2355-Calc!F28)))/100)*(1-CHOOSE(ArtifactsInput!$N$40+1,5,6,7,8,9,10)/100)^(ArtifactsInput!$M$40-ArtifactsInput!$M$40)))/100)))*(1+(Inputs!$B$24+((C2353=TRUE)*(F2353-Calc!F26))+((C2354=TRUE)*(F2354-Calc!F27))+B2367)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Skills!A12="ARROW_STREAM",Inputs!$B$17+((C2351=TRUE)*(F2351-Calc!F24))+(((IF(AND(ArtifactsInput!$M$42,((Inputs!$B$9+((C2348=TRUE)*(F2348-Calc!F21))+B2361+(ArtifactsInput!$M$24-ArtifactsInput!$M$24)*CHOOSE(ArtifactsInput!$N$24+1,10,12,14,16,18,20)+IF(ArtifactsInput!$M$10,CHOOSE(ArtifactsInput!$N$10+1,15,18,21,24,27,30)*(IF(Inputs!$B$38="pvp",MIN(15,15)/15,IF(AND(Inputs!$B$38&lt;&gt;"pvp",Inputs!$B$43&gt;0),MIN(15,Inputs!$B$43)/(Inputs!$B$43),0))),0)))&gt;=100),MIN(100,((Inputs!$B$9+((C2348=TRUE)*(F2348-Calc!F21))+B2361+(ArtifactsInput!$M$24-ArtifactsInput!$M$24)*CHOOSE(ArtifactsInput!$N$24+1,10,12,14,16,18,20)+IF(ArtifactsInput!$M$10,CHOOSE(ArtifactsInput!$N$10+1,15,18,21,24,27,30)*(IF(Inputs!$B$38="pvp",MIN(15,15)/15,IF(AND(Inputs!$B$38&lt;&gt;"pvp",Inputs!$B$43&gt;0),MIN(15,Inputs!$B$43)/(Inputs!$B$43),0))),0)))-100),0))*CHOOSE(ArtifactsInput!$N$42+1,0.6,0.72,0.84,0.96,1.08,1.2))),Inputs!$B$18+((C2356=TRUE)*(F2356-Calc!F29))+(IF(AND(ArtifactsInput!$M$42,((Inputs!$B$9+((C2348=TRUE)*(F2348-Calc!F21))+B2361+(ArtifactsInput!$M$24-ArtifactsInput!$M$24)*CHOOSE(ArtifactsInput!$N$24+1,10,12,14,16,18,20)+IF(ArtifactsInput!$M$10,CHOOSE(ArtifactsInput!$N$10+1,15,18,21,24,27,30)*(IF(Inputs!$B$38="pvp",MIN(15,15)/15,IF(AND(Inputs!$B$38&lt;&gt;"pvp",Inputs!$B$43&gt;0),MIN(15,Inputs!$B$43)/(Inputs!$B$43),0))),0)))&gt;=100),CHOOSE(ArtifactsInput!$N$42+1,40,48,56,64,72,80),0))))/100)*((1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2339)</f>
        <v/>
      </c>
      <c r="L2339">
        <f>K2339*(MIN(Inputs!$B$22+((C2352=TRUE)*(F2352-Calc!F25)),(Inputs!$B$23+((C2357=TRUE)*(F2357-Calc!F30))+(IF(ArtifactsInput!$M$15,CHOOSE(ArtifactsInput!$N$15+1,25,30,35,40,45,50)/100*(Inputs!$B$11-Inputs!$B$11),0))))/100+(Inputs!$B$23+((C2357=TRUE)*(F2357-Calc!F30))+(IF(ArtifactsInput!$M$15,CHOOSE(ArtifactsInput!$N$15+1,25,30,35,40,45,50)/100*(Inputs!$B$11-Inputs!$B$11),0)))/100)/2</f>
        <v/>
      </c>
      <c r="M2339">
        <f>L2339*(1+(Inputs!$B$10+0+B2366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9">
        <f>L2339*(1-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2339*(MIN((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9">
        <f>(1-Summary!$B$11)*T2339+Summary!$B$11*V2339</f>
        <v/>
      </c>
      <c r="P2339">
        <f>IF(B2371=0,0,O2339/B2371)</f>
        <v/>
      </c>
      <c r="Q2339">
        <f>IFERROR(1/(IF(Inputs!$B$38="pvp",15,MAX(0.1,Skills!D12-IF(Skills!E12=TRUE,Inputs!$B$32,0)))*(1-IF(AND(ArtifactsInput!$M$27,Inputs!$B$4="Chapter Hunt"),CHOOSE(ArtifactsInput!$N$27+1,20,24,28,32,36,40),0)/100)),0)</f>
        <v/>
      </c>
      <c r="R2339">
        <f>IF(AND(Inputs!$B$38&lt;&gt;"pvp",Inputs!$B$43&gt;0),IF(MAX(0,Inputs!$B$43-B2368)&lt;=0,0,(INT(MAX(0,Inputs!$B$43-B2368)/(IF(Inputs!$B$38="pvp",15,MAX(0.1,Skills!D12-IF(Skills!E12=TRUE,Inputs!$B$32,0)))*(1-IF(AND(ArtifactsInput!$M$27,Inputs!$B$4="Chapter Hunt"),CHOOSE(ArtifactsInput!$N$27+1,20,24,28,32,36,40),0)/100)))+1)),0)</f>
        <v/>
      </c>
      <c r="S2339">
        <f>IFERROR(O2339/N2339,0)</f>
        <v/>
      </c>
      <c r="T2339">
        <f>IF(C2339,(H2339*N2339*IF(AND(Inputs!$B$38&lt;&gt;"pvp",Inputs!$B$43&gt;0),((Skills!G12*((R2339-1)*IF(Skills!H12&gt;0,Skills!I12/Skills!H12,1)+IF(Skills!H12&gt;0,MIN(Skills!I12,MAX(0,MAX(0,Inputs!$B$43-B2368)-((R2339-1)*(IF(Inputs!$B$38="pvp",15,MAX(0.1,Skills!D12-IF(Skills!E12=TRUE,Inputs!$B$32,0)))*(1-IF(AND(ArtifactsInput!$M$27,Inputs!$B$4="Chapter Hunt"),CHOOSE(ArtifactsInput!$N$27+1,20,24,28,32,36,40),0)/100)))))/Skills!H12,1)))/Inputs!$B$43),G2339*Q2339)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(5000/(6000+Inputs!$B$42*(1-(100*(1-(1-(100*(1-(1-(Inputs!$B$19+((C2355=TRUE)*(F2355-Calc!F28)))/100)*(1-CHOOSE(ArtifactsInput!$N$40+1,5,6,7,8,9,10)/100)^(ArtifactsInput!$M$40-ArtifactsInput!$M$40)))/100)*(1-IF(ArtifactsInput!$M$40,CHOOSE(ArtifactsInput!$N$40+1,5,6,7,8,9,10),0)/100)^IF(Inputs!$B$38="pvp",1,2)))/100)))/(5000/(6000+Inputs!$B$42*(1-(100*(1-(1-(Inputs!$B$19+((C2355=TRUE)*(F2355-Calc!F28)))/100)*(1-CHOOSE(ArtifactsInput!$N$40+1,5,6,7,8,9,10)/100)^(ArtifactsInput!$M$40-ArtifactsInput!$M$40)))/100))))*((L2339*(1-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2339*(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2339*(1-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2339*(MIN(100,(Inputs!$B$9+((C2348=TRUE)*(F2348-Calc!F21))+B2361+(ArtifactsInput!$M$24-ArtifactsInput!$M$24)*CHOOSE(ArtifactsInput!$N$24+1,10,12,14,16,18,20)+(IF(AND(ArtifactsInput!$M$42,((Inputs!$B$9+((C2348=TRUE)*(F2348-Calc!F21))+B2361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9">
        <f>IF(C2339,(H2339*N2339*IF(AND(Inputs!$B$38&lt;&gt;"pvp",Inputs!$B$43&gt;0),((Skills!G12*((R2339-1)*IF(Skills!H12&gt;0,Skills!I12/Skills!H12,1)+IF(Skills!H12&gt;0,MIN(Skills!I12,MAX(0,MAX(0,Inputs!$B$43-B2368)-((R2339-1)*(IF(Inputs!$B$38="pvp",15,MAX(0.1,Skills!D12-IF(Skills!E12=TRUE,Inputs!$B$32,0)))*(1-IF(AND(ArtifactsInput!$M$27,Inputs!$B$4="Chapter Hunt"),CHOOSE(ArtifactsInput!$N$27+1,20,24,28,32,36,40),0)/100)))))/Skills!H12,1)))/Inputs!$B$43),G2339*Q2339))*IF(Inputs!$B$38="pvp",1,(1+(Inputs!$B$21+Skills!Q12+(IF(ArtifactsInput!$M$33,CHOOSE(ArtifactsInput!$N$33+1,30,36,42,48,54,60),0))+(IF(AND(ArtifactsInput!$M$35,Inputs!$B$4&lt;&gt;"Chapter Hunt"),CHOOSE(ArtifactsInput!$N$35+1,15,18,21,24,27,30)*(1-EXP(-(0.2*B2363)*5)),0)+IF(AND(ArtifactsInput!$M$22,Inputs!$B$4&lt;&gt;"Chapter Hunt"),CHOOSE(ArtifactsInput!$N$22+1,10,12,14,16,18,20)*((0*(((0.15*B2363*5))^0/1)+1*(((0.15*B2363*5))^1/1)+2*(((0.15*B2363*5))^2/2)+3*(((0.15*B2363*5))^3/6)+4*(((0.15*B2363*5))^4/24)+5*(((0.15*B2363*5))^5/120))/((((0.15*B2363*5))^0/1)+(((0.15*B2363*5))^1/1)+(((0.15*B2363*5))^2/2)+(((0.15*B2363*5))^3/6)+(((0.15*B2363*5))^4/24)+(((0.15*B2363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0">
      <c r="A2340">
        <f>Skills!A13</f>
        <v/>
      </c>
      <c r="B2340">
        <f>Skills!B13</f>
        <v/>
      </c>
      <c r="C2340">
        <f>Inputs!$B$3&gt;=110</f>
        <v/>
      </c>
      <c r="D2340">
        <f>IF(Skills!C13=1,60+Inputs!$B$25+Inputs!$B$29,IF(Skills!C13=2,90+Inputs!$B$26+Inputs!$B$29,IF(Skills!C13=3,120+Inputs!$B$27+Inputs!$B$29,MAX(0,(Inputs!$B$3-100)*3)+Inputs!$B$28+Inputs!$B$29)))</f>
        <v/>
      </c>
      <c r="E2340">
        <f>INDEX(FactorTable!$B$2:$Y$301, MATCH(ROUND(MIN(300,MAX(1,D2340)),0), FactorTable!$A$2:$A$301,0), Skills!M13+1)</f>
        <v/>
      </c>
      <c r="F2340">
        <f>IF(Skills!N13=TRUE,(Skills!L13/10)*(E2340/1000),Skills!L13/10)+Skills!O13</f>
        <v/>
      </c>
      <c r="G2340" t="inlineStr"/>
      <c r="H2340" t="inlineStr"/>
      <c r="I2340" t="inlineStr">
        <is>
          <t>1</t>
        </is>
      </c>
      <c r="J2340" t="inlineStr"/>
      <c r="K2340" t="inlineStr"/>
      <c r="L2340" t="inlineStr"/>
      <c r="M2340" t="inlineStr"/>
      <c r="N2340" t="inlineStr"/>
      <c r="O2340" t="inlineStr"/>
      <c r="P2340" t="inlineStr"/>
      <c r="Q2340" t="inlineStr"/>
      <c r="R2340" t="inlineStr"/>
      <c r="S2340" t="inlineStr"/>
      <c r="T2340" t="inlineStr"/>
      <c r="V2340" t="inlineStr"/>
    </row>
    <row r="2341">
      <c r="A2341">
        <f>Skills!A14</f>
        <v/>
      </c>
      <c r="B2341">
        <f>Skills!B14</f>
        <v/>
      </c>
      <c r="C2341">
        <f>Inputs!$B$3&gt;=74</f>
        <v/>
      </c>
      <c r="D2341">
        <f>IF(Skills!C14=1,60+Inputs!$B$25+Inputs!$B$29,IF(Skills!C14=2,90+Inputs!$B$26+Inputs!$B$29,IF(Skills!C14=3,120+Inputs!$B$27+Inputs!$B$29,MAX(0,(Inputs!$B$3-100)*3)+Inputs!$B$28+Inputs!$B$29)))</f>
        <v/>
      </c>
      <c r="E2341">
        <f>INDEX(FactorTable!$B$2:$Y$301, MATCH(ROUND(MIN(300,MAX(1,D2341)),0), FactorTable!$A$2:$A$301,0), Skills!M14+1)</f>
        <v/>
      </c>
      <c r="F2341">
        <f>IF(Skills!N14=TRUE,(Skills!L14/10)*(E2341/1000),Skills!L14/10)+Skills!O14</f>
        <v/>
      </c>
      <c r="G2341">
        <f>Skills!G14*IF(Skills!H14&gt;0,Skills!I14/Skills!H14,1)</f>
        <v/>
      </c>
      <c r="H2341">
        <f>1-(1-Skills!J14/100)^Skills!K14</f>
        <v/>
      </c>
      <c r="I2341" t="inlineStr">
        <is>
          <t>1</t>
        </is>
      </c>
      <c r="J2341" t="inlineStr"/>
      <c r="K2341" t="inlineStr"/>
      <c r="L2341" t="inlineStr"/>
      <c r="M2341" t="inlineStr"/>
      <c r="N2341" t="inlineStr"/>
      <c r="O2341">
        <f>(1-Summary!$B$11)*T2341+Summary!$B$11*V2341</f>
        <v/>
      </c>
      <c r="P2341">
        <f>IF(B2371=0,0,O2341/B2371)</f>
        <v/>
      </c>
      <c r="Q2341" t="n">
        <v>0</v>
      </c>
      <c r="R2341" t="n">
        <v>0</v>
      </c>
      <c r="S2341">
        <f>IFERROR(O2341/N2341,0)</f>
        <v/>
      </c>
      <c r="T2341" t="n">
        <v>0</v>
      </c>
      <c r="V2341" t="n">
        <v>0</v>
      </c>
    </row>
    <row r="2342">
      <c r="A2342">
        <f>Skills!A15</f>
        <v/>
      </c>
      <c r="B2342">
        <f>Skills!B15</f>
        <v/>
      </c>
      <c r="C2342">
        <f>Inputs!$B$3&gt;=74</f>
        <v/>
      </c>
      <c r="D2342">
        <f>IF(Skills!C15=1,60+Inputs!$B$25+Inputs!$B$29,IF(Skills!C15=2,90+Inputs!$B$26+Inputs!$B$29,IF(Skills!C15=3,120+Inputs!$B$27+Inputs!$B$29,MAX(0,(Inputs!$B$3-100)*3)+Inputs!$B$28+Inputs!$B$29)))</f>
        <v/>
      </c>
      <c r="E2342">
        <f>INDEX(FactorTable!$B$2:$Y$301, MATCH(ROUND(MIN(300,MAX(1,D2342)),0), FactorTable!$A$2:$A$301,0), Skills!M15+1)</f>
        <v/>
      </c>
      <c r="F2342">
        <f>IF(Skills!N15=TRUE,(Skills!L15/10)*(E2342/1000),Skills!L15/10)+Skills!O15</f>
        <v/>
      </c>
      <c r="G2342">
        <f>Skills!G15*IF(Skills!H15&gt;0,Skills!I15/Skills!H15,1)</f>
        <v/>
      </c>
      <c r="H2342">
        <f>1-(1-Skills!J15/100)^Skills!K15</f>
        <v/>
      </c>
      <c r="I2342" t="inlineStr">
        <is>
          <t>1</t>
        </is>
      </c>
      <c r="J2342" t="inlineStr"/>
      <c r="K2342" t="inlineStr"/>
      <c r="L2342" t="inlineStr"/>
      <c r="M2342" t="inlineStr"/>
      <c r="N2342" t="inlineStr"/>
      <c r="O2342">
        <f>(1-Summary!$B$11)*T2342+Summary!$B$11*V2342</f>
        <v/>
      </c>
      <c r="P2342">
        <f>IF(B2371=0,0,O2342/B2371)</f>
        <v/>
      </c>
      <c r="Q2342" t="n">
        <v>0</v>
      </c>
      <c r="R2342" t="n">
        <v>0</v>
      </c>
      <c r="S2342">
        <f>IFERROR(O2342/N2342,0)</f>
        <v/>
      </c>
      <c r="T2342" t="n">
        <v>0</v>
      </c>
      <c r="V2342" t="n">
        <v>0</v>
      </c>
    </row>
    <row r="2343">
      <c r="A2343">
        <f>Skills!A16</f>
        <v/>
      </c>
      <c r="B2343">
        <f>Skills!B16</f>
        <v/>
      </c>
      <c r="C2343">
        <f>Inputs!$B$3&gt;=117</f>
        <v/>
      </c>
      <c r="D2343">
        <f>IF(Skills!C16=1,60+Inputs!$B$25+Inputs!$B$29,IF(Skills!C16=2,90+Inputs!$B$26+Inputs!$B$29,IF(Skills!C16=3,120+Inputs!$B$27+Inputs!$B$29,MAX(0,(Inputs!$B$3-100)*3)+Inputs!$B$28+Inputs!$B$29)))</f>
        <v/>
      </c>
      <c r="E2343">
        <f>INDEX(FactorTable!$B$2:$Y$301, MATCH(ROUND(MIN(300,MAX(1,D2343)),0), FactorTable!$A$2:$A$301,0), Skills!M16+1)</f>
        <v/>
      </c>
      <c r="F2343">
        <f>IF(Skills!N16=TRUE,(Skills!L16/10)*(E2343/1000),Skills!L16/10)+Skills!O16</f>
        <v/>
      </c>
      <c r="G2343">
        <f>Skills!G16*IF(Skills!H16&gt;0,Skills!I16/Skills!H16,1)</f>
        <v/>
      </c>
      <c r="H2343">
        <f>1-(1-Skills!J16/100)^Skills!K16</f>
        <v/>
      </c>
      <c r="I2343" t="inlineStr">
        <is>
          <t>1</t>
        </is>
      </c>
      <c r="J2343" t="inlineStr"/>
      <c r="K2343" t="inlineStr"/>
      <c r="L2343" t="inlineStr"/>
      <c r="M2343" t="inlineStr"/>
      <c r="N2343" t="inlineStr"/>
      <c r="O2343">
        <f>(1-Summary!$B$11)*T2343+Summary!$B$11*V2343</f>
        <v/>
      </c>
      <c r="P2343">
        <f>IF(B2371=0,0,O2343/B2371)</f>
        <v/>
      </c>
      <c r="Q2343">
        <f>IFERROR(1/(IF(Inputs!$B$38="pvp",15,MAX(0.1,Skills!D16-IF(Skills!E16=TRUE,Inputs!$B$32,0)))*(1-IF(AND(ArtifactsInput!$M$27,Inputs!$B$4="Chapter Hunt"),CHOOSE(ArtifactsInput!$N$27+1,20,24,28,32,36,40),0)/100)),0)</f>
        <v/>
      </c>
      <c r="R2343">
        <f>IF(AND(Inputs!$B$38&lt;&gt;"pvp",Inputs!$B$43&gt;0),IF(Inputs!$B$43&lt;=0,0,(INT(Inputs!$B$43/(IF(Inputs!$B$38="pvp",15,MAX(0.1,Skills!D16-IF(Skills!E16=TRUE,Inputs!$B$32,0)))*(1-IF(AND(ArtifactsInput!$M$27,Inputs!$B$4="Chapter Hunt"),CHOOSE(ArtifactsInput!$N$27+1,20,24,28,32,36,40),0)/100)))+1)),0)</f>
        <v/>
      </c>
      <c r="S2343">
        <f>IFERROR(O2343/N2343,0)</f>
        <v/>
      </c>
      <c r="T2343" t="n">
        <v>0</v>
      </c>
      <c r="V2343" t="n">
        <v>0</v>
      </c>
    </row>
    <row r="2344">
      <c r="A2344">
        <f>Skills!A17</f>
        <v/>
      </c>
      <c r="B2344">
        <f>Skills!B17</f>
        <v/>
      </c>
      <c r="C2344">
        <f>Inputs!$B$3&gt;=115</f>
        <v/>
      </c>
      <c r="D2344">
        <f>IF(Skills!C17=1,60+Inputs!$B$25+Inputs!$B$29,IF(Skills!C17=2,90+Inputs!$B$26+Inputs!$B$29,IF(Skills!C17=3,120+Inputs!$B$27+Inputs!$B$29,MAX(0,(Inputs!$B$3-100)*3)+Inputs!$B$28+Inputs!$B$29)))</f>
        <v/>
      </c>
      <c r="E2344">
        <f>INDEX(FactorTable!$B$2:$Y$301, MATCH(ROUND(MIN(300,MAX(1,D2344)),0), FactorTable!$A$2:$A$301,0), Skills!M17+1)</f>
        <v/>
      </c>
      <c r="F2344">
        <f>IF(Skills!N17=TRUE,(Skills!L17/10)*(E2344/1000),Skills!L17/10)+Skills!O17</f>
        <v/>
      </c>
      <c r="G2344">
        <f>Skills!G17*IF(Skills!H17&gt;0,Skills!I17/Skills!H17,1)</f>
        <v/>
      </c>
      <c r="H2344">
        <f>1-(1-Skills!J17/100)^Skills!K17</f>
        <v/>
      </c>
      <c r="I2344" t="inlineStr">
        <is>
          <t>1</t>
        </is>
      </c>
      <c r="J2344" t="inlineStr"/>
      <c r="K2344" t="inlineStr"/>
      <c r="L2344" t="inlineStr"/>
      <c r="M2344" t="inlineStr"/>
      <c r="N2344" t="inlineStr"/>
      <c r="O2344">
        <f>(1-Summary!$B$11)*T2344+Summary!$B$11*V2344</f>
        <v/>
      </c>
      <c r="P2344">
        <f>IF(B2371=0,0,O2344/B2371)</f>
        <v/>
      </c>
      <c r="Q2344">
        <f>IFERROR(1/(IF(Inputs!$B$38="pvp",15,MAX(0.1,Skills!D17-IF(Skills!E17=TRUE,Inputs!$B$32,0)))*(1-IF(AND(ArtifactsInput!$M$27,Inputs!$B$4="Chapter Hunt"),CHOOSE(ArtifactsInput!$N$27+1,20,24,28,32,36,40),0)/100)),0)</f>
        <v/>
      </c>
      <c r="R2344">
        <f>IF(AND(Inputs!$B$38&lt;&gt;"pvp",Inputs!$B$43&gt;0),IF(Inputs!$B$43&lt;=0,0,(INT(Inputs!$B$43/(IF(Inputs!$B$38="pvp",15,MAX(0.1,Skills!D17-IF(Skills!E17=TRUE,Inputs!$B$32,0)))*(1-IF(AND(ArtifactsInput!$M$27,Inputs!$B$4="Chapter Hunt"),CHOOSE(ArtifactsInput!$N$27+1,20,24,28,32,36,40),0)/100)))+1)),0)</f>
        <v/>
      </c>
      <c r="S2344">
        <f>IFERROR(O2344/N2344,0)</f>
        <v/>
      </c>
      <c r="T2344" t="n">
        <v>0</v>
      </c>
      <c r="V2344" t="n">
        <v>0</v>
      </c>
    </row>
    <row r="2345">
      <c r="A2345">
        <f>Skills!A18</f>
        <v/>
      </c>
      <c r="B2345">
        <f>Skills!B18</f>
        <v/>
      </c>
      <c r="C2345">
        <f>Inputs!$B$3&gt;=66</f>
        <v/>
      </c>
      <c r="D2345">
        <f>IF(Skills!C18=1,60+Inputs!$B$25+Inputs!$B$29,IF(Skills!C18=2,90+Inputs!$B$26+Inputs!$B$29,IF(Skills!C18=3,120+Inputs!$B$27+Inputs!$B$29,MAX(0,(Inputs!$B$3-100)*3)+Inputs!$B$28+Inputs!$B$29)))</f>
        <v/>
      </c>
      <c r="E2345">
        <f>INDEX(FactorTable!$B$2:$Y$301, MATCH(ROUND(MIN(300,MAX(1,D2345)),0), FactorTable!$A$2:$A$301,0), Skills!M18+1)</f>
        <v/>
      </c>
      <c r="F2345">
        <f>IF(Skills!N18=TRUE,(Skills!L18/10)*(E2345/1000),Skills!L18/10)+Skills!O18</f>
        <v/>
      </c>
      <c r="G2345">
        <f>Skills!G18*IF(Skills!H18&gt;0,Skills!I18/Skills!H18,1)</f>
        <v/>
      </c>
      <c r="H2345">
        <f>1-(1-Skills!J18/100)^Skills!K18</f>
        <v/>
      </c>
      <c r="I2345" t="inlineStr">
        <is>
          <t>1</t>
        </is>
      </c>
      <c r="J2345" t="inlineStr"/>
      <c r="K2345" t="inlineStr"/>
      <c r="L2345" t="inlineStr"/>
      <c r="M2345" t="inlineStr"/>
      <c r="N2345" t="inlineStr"/>
      <c r="O2345">
        <f>(1-Summary!$B$11)*T2345+Summary!$B$11*V2345</f>
        <v/>
      </c>
      <c r="P2345">
        <f>IF(B2371=0,0,O2345/B2371)</f>
        <v/>
      </c>
      <c r="Q2345" t="n">
        <v>0</v>
      </c>
      <c r="R2345" t="n">
        <v>0</v>
      </c>
      <c r="S2345">
        <f>IFERROR(O2345/N2345,0)</f>
        <v/>
      </c>
      <c r="T2345" t="n">
        <v>0</v>
      </c>
      <c r="V2345" t="n">
        <v>0</v>
      </c>
    </row>
    <row r="2346">
      <c r="A2346">
        <f>Skills!A19</f>
        <v/>
      </c>
      <c r="B2346">
        <f>Skills!B19</f>
        <v/>
      </c>
      <c r="C2346">
        <f>Inputs!$B$3&gt;=72</f>
        <v/>
      </c>
      <c r="D2346">
        <f>IF(Skills!C19=1,60+Inputs!$B$25+Inputs!$B$29,IF(Skills!C19=2,90+Inputs!$B$26+Inputs!$B$29,IF(Skills!C19=3,120+Inputs!$B$27+Inputs!$B$29,MAX(0,(Inputs!$B$3-100)*3)+Inputs!$B$28+Inputs!$B$29)))</f>
        <v/>
      </c>
      <c r="E2346">
        <f>INDEX(FactorTable!$B$2:$Y$301, MATCH(ROUND(MIN(300,MAX(1,D2346)),0), FactorTable!$A$2:$A$301,0), Skills!M19+1)</f>
        <v/>
      </c>
      <c r="F2346">
        <f>IF(Skills!N19=TRUE,(Skills!L19/10)*(E2346/1000),Skills!L19/10)+Skills!O19</f>
        <v/>
      </c>
      <c r="G2346">
        <f>Skills!G19*IF(Skills!H19&gt;0,Skills!I19/Skills!H19,1)</f>
        <v/>
      </c>
      <c r="H2346">
        <f>1-(1-Skills!J19/100)^Skills!K19</f>
        <v/>
      </c>
      <c r="I2346" t="inlineStr">
        <is>
          <t>1</t>
        </is>
      </c>
      <c r="J2346" t="inlineStr"/>
      <c r="K2346" t="inlineStr"/>
      <c r="L2346" t="inlineStr"/>
      <c r="M2346" t="inlineStr"/>
      <c r="N2346" t="inlineStr"/>
      <c r="O2346">
        <f>(1-Summary!$B$11)*T2346+Summary!$B$11*V2346</f>
        <v/>
      </c>
      <c r="P2346">
        <f>IF(B2371=0,0,O2346/B2371)</f>
        <v/>
      </c>
      <c r="Q2346" t="n">
        <v>0</v>
      </c>
      <c r="R2346" t="n">
        <v>0</v>
      </c>
      <c r="S2346">
        <f>IFERROR(O2346/N2346,0)</f>
        <v/>
      </c>
      <c r="T2346" t="n">
        <v>0</v>
      </c>
      <c r="V2346" t="n">
        <v>0</v>
      </c>
    </row>
    <row r="2347">
      <c r="A2347">
        <f>Skills!A20</f>
        <v/>
      </c>
      <c r="B2347">
        <f>Skills!B20</f>
        <v/>
      </c>
      <c r="C2347">
        <f>TRUE</f>
        <v/>
      </c>
      <c r="D2347">
        <f>IF(Skills!C20=1,60+Inputs!$B$25+Inputs!$B$29,IF(Skills!C20=2,90+Inputs!$B$26+Inputs!$B$29,IF(Skills!C20=3,120+Inputs!$B$27+Inputs!$B$29,MAX(0,(Inputs!$B$3-100)*3)+Inputs!$B$28+Inputs!$B$29)))</f>
        <v/>
      </c>
      <c r="E2347">
        <f>INDEX(FactorTable!$B$2:$Y$301, MATCH(ROUND(MIN(300,MAX(1,D2347)),0), FactorTable!$A$2:$A$301,0), Skills!M20+1)</f>
        <v/>
      </c>
      <c r="F2347">
        <f>IF(Skills!N20=TRUE,(Skills!L20/10)*(E2347/1000),Skills!L20/10)+Skills!O20</f>
        <v/>
      </c>
      <c r="G2347">
        <f>Skills!G20*IF(Skills!H20&gt;0,Skills!I20/Skills!H20,1)</f>
        <v/>
      </c>
      <c r="H2347">
        <f>1-(1-Skills!J20/100)^Skills!K20</f>
        <v/>
      </c>
      <c r="I2347" t="inlineStr">
        <is>
          <t>1</t>
        </is>
      </c>
      <c r="J2347" t="inlineStr"/>
      <c r="K2347" t="inlineStr"/>
      <c r="L2347" t="inlineStr"/>
      <c r="M2347" t="inlineStr"/>
      <c r="N2347" t="inlineStr"/>
      <c r="O2347">
        <f>(1-Summary!$B$11)*T2347+Summary!$B$11*V2347</f>
        <v/>
      </c>
      <c r="P2347">
        <f>IF(B2371=0,0,O2347/B2371)</f>
        <v/>
      </c>
      <c r="Q2347">
        <f>IFERROR(1/(IF(Inputs!$B$38="pvp",15,MAX(0.1,Skills!D20-IF(Skills!E20=TRUE,Inputs!$B$32,0)))*(1-IF(AND(ArtifactsInput!$M$27,Inputs!$B$4="Chapter Hunt"),CHOOSE(ArtifactsInput!$N$27+1,20,24,28,32,36,40),0)/100)),0)</f>
        <v/>
      </c>
      <c r="R2347">
        <f>IF(AND(Inputs!$B$38&lt;&gt;"pvp",Inputs!$B$43&gt;0),IF(Inputs!$B$43&lt;=0,0,(INT(Inputs!$B$43/(IF(Inputs!$B$38="pvp",15,MAX(0.1,Skills!D20-IF(Skills!E20=TRUE,Inputs!$B$32,0)))*(1-IF(AND(ArtifactsInput!$M$27,Inputs!$B$4="Chapter Hunt"),CHOOSE(ArtifactsInput!$N$27+1,20,24,28,32,36,40),0)/100)))+1)),0)</f>
        <v/>
      </c>
      <c r="S2347">
        <f>IFERROR(O2347/N2347,0)</f>
        <v/>
      </c>
      <c r="T2347" t="n">
        <v>0</v>
      </c>
      <c r="V2347" t="n">
        <v>0</v>
      </c>
    </row>
    <row r="2348">
      <c r="A2348">
        <f>Skills!A21</f>
        <v/>
      </c>
      <c r="B2348">
        <f>Skills!B21</f>
        <v/>
      </c>
      <c r="C2348">
        <f>Inputs!$B$3&gt;=15</f>
        <v/>
      </c>
      <c r="D2348">
        <f>IF(Skills!C21=1,60+Inputs!$B$25+Inputs!$B$29,IF(Skills!C21=2,90+Inputs!$B$26+Inputs!$B$29,IF(Skills!C21=3,120+Inputs!$B$27+Inputs!$B$29,MAX(0,(Inputs!$B$3-100)*3)+Inputs!$B$28+Inputs!$B$29)))</f>
        <v/>
      </c>
      <c r="E2348">
        <f>INDEX(FactorTable!$B$2:$Y$301, MATCH(ROUND(MIN(300,MAX(1,D2348)),0), FactorTable!$A$2:$A$301,0), Skills!M21+1)</f>
        <v/>
      </c>
      <c r="F2348">
        <f>IF(Skills!N21=TRUE,(Skills!L21/10)*(E2348/1000),Skills!L21/10)+Skills!O21</f>
        <v/>
      </c>
      <c r="G2348">
        <f>Skills!G21*IF(Skills!H21&gt;0,Skills!I21/Skills!H21,1)</f>
        <v/>
      </c>
      <c r="H2348">
        <f>1-(1-Skills!J21/100)^Skills!K21</f>
        <v/>
      </c>
      <c r="I2348" t="inlineStr">
        <is>
          <t>1</t>
        </is>
      </c>
      <c r="J2348" t="inlineStr"/>
      <c r="K2348" t="inlineStr"/>
      <c r="L2348" t="inlineStr"/>
      <c r="M2348" t="inlineStr"/>
      <c r="N2348" t="inlineStr"/>
      <c r="O2348">
        <f>(1-Summary!$B$11)*T2348+Summary!$B$11*V2348</f>
        <v/>
      </c>
      <c r="P2348">
        <f>IF(B2371=0,0,O2348/B2371)</f>
        <v/>
      </c>
      <c r="Q2348" t="n">
        <v>0</v>
      </c>
      <c r="R2348" t="n">
        <v>0</v>
      </c>
      <c r="S2348">
        <f>IFERROR(O2348/N2348,0)</f>
        <v/>
      </c>
      <c r="T2348" t="n">
        <v>0</v>
      </c>
      <c r="V2348" t="n">
        <v>0</v>
      </c>
    </row>
    <row r="2349">
      <c r="A2349">
        <f>Skills!A22</f>
        <v/>
      </c>
      <c r="B2349">
        <f>Skills!B22</f>
        <v/>
      </c>
      <c r="C2349">
        <f>Inputs!$B$3&gt;=10</f>
        <v/>
      </c>
      <c r="D2349">
        <f>IF(Skills!C22=1,60+Inputs!$B$25+Inputs!$B$29,IF(Skills!C22=2,90+Inputs!$B$26+Inputs!$B$29,IF(Skills!C22=3,120+Inputs!$B$27+Inputs!$B$29,MAX(0,(Inputs!$B$3-100)*3)+Inputs!$B$28+Inputs!$B$29)))</f>
        <v/>
      </c>
      <c r="E2349">
        <f>INDEX(FactorTable!$B$2:$Y$301, MATCH(ROUND(MIN(300,MAX(1,D2349)),0), FactorTable!$A$2:$A$301,0), Skills!M22+1)</f>
        <v/>
      </c>
      <c r="F2349">
        <f>IF(Skills!N22=TRUE,(Skills!L22/10)*(E2349/1000),Skills!L22/10)+Skills!O22</f>
        <v/>
      </c>
      <c r="G2349">
        <f>Skills!G22*IF(Skills!H22&gt;0,Skills!I22/Skills!H22,1)</f>
        <v/>
      </c>
      <c r="H2349">
        <f>1-(1-Skills!J22/100)^Skills!K22</f>
        <v/>
      </c>
      <c r="I2349" t="inlineStr">
        <is>
          <t>1</t>
        </is>
      </c>
      <c r="J2349" t="inlineStr"/>
      <c r="K2349" t="inlineStr"/>
      <c r="L2349" t="inlineStr"/>
      <c r="M2349" t="inlineStr"/>
      <c r="N2349" t="inlineStr"/>
      <c r="O2349">
        <f>(1-Summary!$B$11)*T2349+Summary!$B$11*V2349</f>
        <v/>
      </c>
      <c r="P2349">
        <f>IF(B2371=0,0,O2349/B2371)</f>
        <v/>
      </c>
      <c r="Q2349" t="n">
        <v>0</v>
      </c>
      <c r="R2349" t="n">
        <v>0</v>
      </c>
      <c r="S2349">
        <f>IFERROR(O2349/N2349,0)</f>
        <v/>
      </c>
      <c r="T2349" t="n">
        <v>0</v>
      </c>
      <c r="V2349" t="n">
        <v>0</v>
      </c>
    </row>
    <row r="2350">
      <c r="A2350">
        <f>Skills!A23</f>
        <v/>
      </c>
      <c r="B2350">
        <f>Skills!B23</f>
        <v/>
      </c>
      <c r="C2350">
        <f>Inputs!$B$3&gt;=33</f>
        <v/>
      </c>
      <c r="D2350">
        <f>IF(Skills!C23=1,60+Inputs!$B$25+Inputs!$B$29,IF(Skills!C23=2,90+Inputs!$B$26+Inputs!$B$29,IF(Skills!C23=3,120+Inputs!$B$27+Inputs!$B$29,MAX(0,(Inputs!$B$3-100)*3)+Inputs!$B$28+Inputs!$B$29)))</f>
        <v/>
      </c>
      <c r="E2350">
        <f>INDEX(FactorTable!$B$2:$Y$301, MATCH(ROUND(MIN(300,MAX(1,D2350)),0), FactorTable!$A$2:$A$301,0), Skills!M23+1)</f>
        <v/>
      </c>
      <c r="F2350">
        <f>IF(Skills!N23=TRUE,(Skills!L23/10)*(E2350/1000),Skills!L23/10)+Skills!O23</f>
        <v/>
      </c>
      <c r="G2350">
        <f>Skills!G23*IF(Skills!H23&gt;0,Skills!I23/Skills!H23,1)</f>
        <v/>
      </c>
      <c r="H2350">
        <f>1-(1-Skills!J23/100)^Skills!K23</f>
        <v/>
      </c>
      <c r="I2350" t="inlineStr">
        <is>
          <t>1</t>
        </is>
      </c>
      <c r="J2350" t="inlineStr"/>
      <c r="K2350" t="inlineStr"/>
      <c r="L2350" t="inlineStr"/>
      <c r="M2350" t="inlineStr"/>
      <c r="N2350" t="inlineStr"/>
      <c r="O2350">
        <f>(1-Summary!$B$11)*T2350+Summary!$B$11*V2350</f>
        <v/>
      </c>
      <c r="P2350">
        <f>IF(B2371=0,0,O2350/B2371)</f>
        <v/>
      </c>
      <c r="Q2350" t="n">
        <v>0</v>
      </c>
      <c r="R2350" t="n">
        <v>0</v>
      </c>
      <c r="S2350">
        <f>IFERROR(O2350/N2350,0)</f>
        <v/>
      </c>
      <c r="T2350" t="n">
        <v>0</v>
      </c>
      <c r="V2350" t="n">
        <v>0</v>
      </c>
    </row>
    <row r="2351">
      <c r="A2351">
        <f>Skills!A24</f>
        <v/>
      </c>
      <c r="B2351">
        <f>Skills!B24</f>
        <v/>
      </c>
      <c r="C2351">
        <f>Inputs!$B$3&gt;=38</f>
        <v/>
      </c>
      <c r="D2351">
        <f>IF(Skills!C24=1,60+Inputs!$B$25+Inputs!$B$29,IF(Skills!C24=2,90+Inputs!$B$26+Inputs!$B$29,IF(Skills!C24=3,120+Inputs!$B$27+Inputs!$B$29,MAX(0,(Inputs!$B$3-100)*3)+Inputs!$B$28+Inputs!$B$29)))</f>
        <v/>
      </c>
      <c r="E2351">
        <f>INDEX(FactorTable!$B$2:$Y$301, MATCH(ROUND(MIN(300,MAX(1,D2351)),0), FactorTable!$A$2:$A$301,0), Skills!M24+1)</f>
        <v/>
      </c>
      <c r="F2351">
        <f>IF(Skills!N24=TRUE,(Skills!L24/10)*(E2351/1000),Skills!L24/10)+Skills!O24</f>
        <v/>
      </c>
      <c r="G2351">
        <f>Skills!G24*IF(Skills!H24&gt;0,Skills!I24/Skills!H24,1)</f>
        <v/>
      </c>
      <c r="H2351">
        <f>1-(1-Skills!J24/100)^Skills!K24</f>
        <v/>
      </c>
      <c r="I2351" t="inlineStr">
        <is>
          <t>1</t>
        </is>
      </c>
      <c r="J2351" t="inlineStr"/>
      <c r="K2351" t="inlineStr"/>
      <c r="L2351" t="inlineStr"/>
      <c r="M2351" t="inlineStr"/>
      <c r="N2351" t="inlineStr"/>
      <c r="O2351">
        <f>(1-Summary!$B$11)*T2351+Summary!$B$11*V2351</f>
        <v/>
      </c>
      <c r="P2351">
        <f>IF(B2371=0,0,O2351/B2371)</f>
        <v/>
      </c>
      <c r="Q2351" t="n">
        <v>0</v>
      </c>
      <c r="R2351" t="n">
        <v>0</v>
      </c>
      <c r="S2351">
        <f>IFERROR(O2351/N2351,0)</f>
        <v/>
      </c>
      <c r="T2351" t="n">
        <v>0</v>
      </c>
      <c r="V2351" t="n">
        <v>0</v>
      </c>
    </row>
    <row r="2352">
      <c r="A2352">
        <f>Skills!A25</f>
        <v/>
      </c>
      <c r="B2352">
        <f>Skills!B25</f>
        <v/>
      </c>
      <c r="C2352">
        <f>Inputs!$B$3&gt;=43</f>
        <v/>
      </c>
      <c r="D2352">
        <f>IF(Skills!C25=1,60+Inputs!$B$25+Inputs!$B$29,IF(Skills!C25=2,90+Inputs!$B$26+Inputs!$B$29,IF(Skills!C25=3,120+Inputs!$B$27+Inputs!$B$29,MAX(0,(Inputs!$B$3-100)*3)+Inputs!$B$28+Inputs!$B$29)))</f>
        <v/>
      </c>
      <c r="E2352">
        <f>INDEX(FactorTable!$B$2:$Y$301, MATCH(ROUND(MIN(300,MAX(1,D2352)),0), FactorTable!$A$2:$A$301,0), Skills!M25+1)</f>
        <v/>
      </c>
      <c r="F2352">
        <f>IF(Skills!N25=TRUE,(Skills!L25/10)*(E2352/1000),Skills!L25/10)+Skills!O25</f>
        <v/>
      </c>
      <c r="G2352">
        <f>Skills!G25*IF(Skills!H25&gt;0,Skills!I25/Skills!H25,1)</f>
        <v/>
      </c>
      <c r="H2352">
        <f>1-(1-Skills!J25/100)^Skills!K25</f>
        <v/>
      </c>
      <c r="I2352" t="inlineStr">
        <is>
          <t>1</t>
        </is>
      </c>
      <c r="J2352" t="inlineStr"/>
      <c r="K2352" t="inlineStr"/>
      <c r="L2352" t="inlineStr"/>
      <c r="M2352" t="inlineStr"/>
      <c r="N2352" t="inlineStr"/>
      <c r="O2352">
        <f>(1-Summary!$B$11)*T2352+Summary!$B$11*V2352</f>
        <v/>
      </c>
      <c r="P2352">
        <f>IF(B2371=0,0,O2352/B2371)</f>
        <v/>
      </c>
      <c r="Q2352" t="n">
        <v>0</v>
      </c>
      <c r="R2352" t="n">
        <v>0</v>
      </c>
      <c r="S2352">
        <f>IFERROR(O2352/N2352,0)</f>
        <v/>
      </c>
      <c r="T2352" t="n">
        <v>0</v>
      </c>
      <c r="V2352" t="n">
        <v>0</v>
      </c>
    </row>
    <row r="2353">
      <c r="A2353">
        <f>Skills!A26</f>
        <v/>
      </c>
      <c r="B2353">
        <f>Skills!B26</f>
        <v/>
      </c>
      <c r="C2353">
        <f>Inputs!$B$3&gt;=75</f>
        <v/>
      </c>
      <c r="D2353">
        <f>IF(Skills!C26=1,60+Inputs!$B$25+Inputs!$B$29,IF(Skills!C26=2,90+Inputs!$B$26+Inputs!$B$29,IF(Skills!C26=3,120+Inputs!$B$27+Inputs!$B$29,MAX(0,(Inputs!$B$3-100)*3)+Inputs!$B$28+Inputs!$B$29)))</f>
        <v/>
      </c>
      <c r="E2353">
        <f>INDEX(FactorTable!$B$2:$Y$301, MATCH(ROUND(MIN(300,MAX(1,D2353)),0), FactorTable!$A$2:$A$301,0), Skills!M26+1)</f>
        <v/>
      </c>
      <c r="F2353">
        <f>IF(Skills!N26=TRUE,(Skills!L26/10)*(E2353/1000),Skills!L26/10)+Skills!O26</f>
        <v/>
      </c>
      <c r="G2353">
        <f>Skills!G26*IF(Skills!H26&gt;0,Skills!I26/Skills!H26,1)</f>
        <v/>
      </c>
      <c r="H2353">
        <f>1-(1-Skills!J26/100)^Skills!K26</f>
        <v/>
      </c>
      <c r="I2353" t="inlineStr">
        <is>
          <t>1</t>
        </is>
      </c>
      <c r="J2353" t="inlineStr"/>
      <c r="K2353" t="inlineStr"/>
      <c r="L2353" t="inlineStr"/>
      <c r="M2353" t="inlineStr"/>
      <c r="N2353" t="inlineStr"/>
      <c r="O2353">
        <f>(1-Summary!$B$11)*T2353+Summary!$B$11*V2353</f>
        <v/>
      </c>
      <c r="P2353">
        <f>IF(B2371=0,0,O2353/B2371)</f>
        <v/>
      </c>
      <c r="Q2353" t="n">
        <v>0</v>
      </c>
      <c r="R2353" t="n">
        <v>0</v>
      </c>
      <c r="S2353">
        <f>IFERROR(O2353/N2353,0)</f>
        <v/>
      </c>
      <c r="T2353" t="n">
        <v>0</v>
      </c>
      <c r="V2353" t="n">
        <v>0</v>
      </c>
    </row>
    <row r="2354">
      <c r="A2354">
        <f>Skills!A27</f>
        <v/>
      </c>
      <c r="B2354">
        <f>Skills!B27</f>
        <v/>
      </c>
      <c r="C2354">
        <f>Inputs!$B$3&gt;=125</f>
        <v/>
      </c>
      <c r="D2354">
        <f>IF(Skills!C27=1,60+Inputs!$B$25+Inputs!$B$29,IF(Skills!C27=2,90+Inputs!$B$26+Inputs!$B$29,IF(Skills!C27=3,120+Inputs!$B$27+Inputs!$B$29,MAX(0,(Inputs!$B$3-100)*3)+Inputs!$B$28+Inputs!$B$29)))</f>
        <v/>
      </c>
      <c r="E2354">
        <f>INDEX(FactorTable!$B$2:$Y$301, MATCH(ROUND(MIN(300,MAX(1,D2354)),0), FactorTable!$A$2:$A$301,0), Skills!M27+1)</f>
        <v/>
      </c>
      <c r="F2354">
        <f>IF(Skills!N27=TRUE,(Skills!L27/10)*(E2354/1000),Skills!L27/10)+Skills!O27</f>
        <v/>
      </c>
      <c r="G2354">
        <f>Skills!G27*IF(Skills!H27&gt;0,Skills!I27/Skills!H27,1)</f>
        <v/>
      </c>
      <c r="H2354">
        <f>1-(1-Skills!J27/100)^Skills!K27</f>
        <v/>
      </c>
      <c r="I2354" t="inlineStr">
        <is>
          <t>1</t>
        </is>
      </c>
      <c r="J2354" t="inlineStr"/>
      <c r="K2354" t="inlineStr"/>
      <c r="L2354" t="inlineStr"/>
      <c r="M2354" t="inlineStr"/>
      <c r="N2354" t="inlineStr"/>
      <c r="O2354">
        <f>(1-Summary!$B$11)*T2354+Summary!$B$11*V2354</f>
        <v/>
      </c>
      <c r="P2354">
        <f>IF(B2371=0,0,O2354/B2371)</f>
        <v/>
      </c>
      <c r="Q2354" t="n">
        <v>0</v>
      </c>
      <c r="R2354" t="n">
        <v>0</v>
      </c>
      <c r="S2354">
        <f>IFERROR(O2354/N2354,0)</f>
        <v/>
      </c>
      <c r="T2354" t="n">
        <v>0</v>
      </c>
      <c r="V2354" t="n">
        <v>0</v>
      </c>
    </row>
    <row r="2355">
      <c r="A2355">
        <f>Skills!A28</f>
        <v/>
      </c>
      <c r="B2355">
        <f>Skills!B28</f>
        <v/>
      </c>
      <c r="C2355">
        <f>Inputs!$B$3&gt;=125</f>
        <v/>
      </c>
      <c r="D2355">
        <f>IF(Skills!C28=1,60+Inputs!$B$25+Inputs!$B$29,IF(Skills!C28=2,90+Inputs!$B$26+Inputs!$B$29,IF(Skills!C28=3,120+Inputs!$B$27+Inputs!$B$29,MAX(0,(Inputs!$B$3-100)*3)+Inputs!$B$28+Inputs!$B$29)))</f>
        <v/>
      </c>
      <c r="E2355">
        <f>INDEX(FactorTable!$B$2:$Y$301, MATCH(ROUND(MIN(300,MAX(1,D2355)),0), FactorTable!$A$2:$A$301,0), Skills!M28+1)</f>
        <v/>
      </c>
      <c r="F2355">
        <f>IF(Skills!N28=TRUE,(Skills!L28/10)*(E2355/1000),Skills!L28/10)+Skills!O28</f>
        <v/>
      </c>
      <c r="G2355">
        <f>Skills!G28*IF(Skills!H28&gt;0,Skills!I28/Skills!H28,1)</f>
        <v/>
      </c>
      <c r="H2355">
        <f>1-(1-Skills!J28/100)^Skills!K28</f>
        <v/>
      </c>
      <c r="I2355" t="inlineStr">
        <is>
          <t>1</t>
        </is>
      </c>
      <c r="J2355" t="inlineStr"/>
      <c r="K2355" t="inlineStr"/>
      <c r="L2355" t="inlineStr"/>
      <c r="M2355" t="inlineStr"/>
      <c r="N2355" t="inlineStr"/>
      <c r="O2355">
        <f>(1-Summary!$B$11)*T2355+Summary!$B$11*V2355</f>
        <v/>
      </c>
      <c r="P2355">
        <f>IF(B2371=0,0,O2355/B2371)</f>
        <v/>
      </c>
      <c r="Q2355" t="n">
        <v>0</v>
      </c>
      <c r="R2355" t="n">
        <v>0</v>
      </c>
      <c r="S2355">
        <f>IFERROR(O2355/N2355,0)</f>
        <v/>
      </c>
      <c r="T2355" t="n">
        <v>0</v>
      </c>
      <c r="V2355" t="n">
        <v>0</v>
      </c>
    </row>
    <row r="2356">
      <c r="A2356">
        <f>Skills!A29</f>
        <v/>
      </c>
      <c r="B2356">
        <f>Skills!B29</f>
        <v/>
      </c>
      <c r="C2356">
        <f>Inputs!$B$3&gt;=120</f>
        <v/>
      </c>
      <c r="D2356">
        <f>IF(Skills!C29=1,60+Inputs!$B$25+Inputs!$B$29,IF(Skills!C29=2,90+Inputs!$B$26+Inputs!$B$29,IF(Skills!C29=3,120+Inputs!$B$27+Inputs!$B$29,MAX(0,(Inputs!$B$3-100)*3)+Inputs!$B$28+Inputs!$B$29)))</f>
        <v/>
      </c>
      <c r="E2356">
        <f>INDEX(FactorTable!$B$2:$Y$301, MATCH(ROUND(MIN(300,MAX(1,D2356)),0), FactorTable!$A$2:$A$301,0), Skills!M29+1)</f>
        <v/>
      </c>
      <c r="F2356">
        <f>IF(Skills!N29=TRUE,(Skills!L29/10)*(E2356/1000),Skills!L29/10)+Skills!O29</f>
        <v/>
      </c>
      <c r="G2356">
        <f>Skills!G29*IF(Skills!H29&gt;0,Skills!I29/Skills!H29,1)</f>
        <v/>
      </c>
      <c r="H2356">
        <f>1-(1-Skills!J29/100)^Skills!K29</f>
        <v/>
      </c>
      <c r="I2356" t="inlineStr">
        <is>
          <t>1</t>
        </is>
      </c>
      <c r="J2356" t="inlineStr"/>
      <c r="K2356" t="inlineStr"/>
      <c r="L2356" t="inlineStr"/>
      <c r="M2356" t="inlineStr"/>
      <c r="N2356" t="inlineStr"/>
      <c r="O2356">
        <f>(1-Summary!$B$11)*T2356+Summary!$B$11*V2356</f>
        <v/>
      </c>
      <c r="P2356">
        <f>IF(B2371=0,0,O2356/B2371)</f>
        <v/>
      </c>
      <c r="Q2356" t="n">
        <v>0</v>
      </c>
      <c r="R2356" t="n">
        <v>0</v>
      </c>
      <c r="S2356">
        <f>IFERROR(O2356/N2356,0)</f>
        <v/>
      </c>
      <c r="T2356" t="n">
        <v>0</v>
      </c>
      <c r="V2356" t="n">
        <v>0</v>
      </c>
    </row>
    <row r="2357">
      <c r="A2357">
        <f>Skills!A30</f>
        <v/>
      </c>
      <c r="B2357">
        <f>Skills!B30</f>
        <v/>
      </c>
      <c r="C2357">
        <f>Inputs!$B$3&gt;=120</f>
        <v/>
      </c>
      <c r="D2357">
        <f>IF(Skills!C30=1,60+Inputs!$B$25+Inputs!$B$29,IF(Skills!C30=2,90+Inputs!$B$26+Inputs!$B$29,IF(Skills!C30=3,120+Inputs!$B$27+Inputs!$B$29,MAX(0,(Inputs!$B$3-100)*3)+Inputs!$B$28+Inputs!$B$29)))</f>
        <v/>
      </c>
      <c r="E2357">
        <f>INDEX(FactorTable!$B$2:$Y$301, MATCH(ROUND(MIN(300,MAX(1,D2357)),0), FactorTable!$A$2:$A$301,0), Skills!M30+1)</f>
        <v/>
      </c>
      <c r="F2357">
        <f>IF(Skills!N30=TRUE,(Skills!L30/10)*(E2357/1000),Skills!L30/10)+Skills!O30</f>
        <v/>
      </c>
      <c r="G2357">
        <f>Skills!G30*IF(Skills!H30&gt;0,Skills!I30/Skills!H30,1)</f>
        <v/>
      </c>
      <c r="H2357">
        <f>1-(1-Skills!J30/100)^Skills!K30</f>
        <v/>
      </c>
      <c r="I2357" t="inlineStr">
        <is>
          <t>1</t>
        </is>
      </c>
      <c r="J2357" t="inlineStr"/>
      <c r="K2357" t="inlineStr"/>
      <c r="L2357" t="inlineStr"/>
      <c r="M2357" t="inlineStr"/>
      <c r="N2357" t="inlineStr"/>
      <c r="O2357">
        <f>(1-Summary!$B$11)*T2357+Summary!$B$11*V2357</f>
        <v/>
      </c>
      <c r="P2357">
        <f>IF(B2371=0,0,O2357/B2371)</f>
        <v/>
      </c>
      <c r="Q2357" t="n">
        <v>0</v>
      </c>
      <c r="R2357" t="n">
        <v>0</v>
      </c>
      <c r="S2357">
        <f>IFERROR(O2357/N2357,0)</f>
        <v/>
      </c>
      <c r="T2357" t="n">
        <v>0</v>
      </c>
      <c r="V2357" t="n">
        <v>0</v>
      </c>
    </row>
    <row r="2358">
      <c r="A2358">
        <f>Skills!A31</f>
        <v/>
      </c>
      <c r="B2358">
        <f>Skills!B31</f>
        <v/>
      </c>
      <c r="C2358">
        <f>Inputs!$B$3&gt;=45</f>
        <v/>
      </c>
      <c r="D2358">
        <f>IF(Skills!C31=1,60+Inputs!$B$25+Inputs!$B$29,IF(Skills!C31=2,90+Inputs!$B$26+Inputs!$B$29,IF(Skills!C31=3,120+Inputs!$B$27+Inputs!$B$29,MAX(0,(Inputs!$B$3-100)*3)+Inputs!$B$28+Inputs!$B$29)))</f>
        <v/>
      </c>
      <c r="E2358">
        <f>INDEX(FactorTable!$B$2:$Y$301, MATCH(ROUND(MIN(300,MAX(1,D2358)),0), FactorTable!$A$2:$A$301,0), Skills!M31+1)</f>
        <v/>
      </c>
      <c r="F2358">
        <f>IF(Skills!N31=TRUE,(Skills!L31/10)*(E2358/1000),Skills!L31/10)+Skills!O31</f>
        <v/>
      </c>
      <c r="G2358">
        <f>Skills!G31*IF(Skills!H31&gt;0,Skills!I31/Skills!H31,1)</f>
        <v/>
      </c>
      <c r="H2358">
        <f>1-(1-Skills!J31/100)^Skills!K31</f>
        <v/>
      </c>
      <c r="I2358" t="inlineStr">
        <is>
          <t>1</t>
        </is>
      </c>
      <c r="J2358" t="inlineStr"/>
      <c r="K2358" t="inlineStr"/>
      <c r="L2358" t="inlineStr"/>
      <c r="M2358" t="inlineStr"/>
      <c r="N2358" t="inlineStr"/>
      <c r="O2358">
        <f>(1-Summary!$B$11)*T2358+Summary!$B$11*V2358</f>
        <v/>
      </c>
      <c r="P2358">
        <f>IF(B2371=0,0,O2358/B2371)</f>
        <v/>
      </c>
      <c r="Q2358" t="n">
        <v>0</v>
      </c>
      <c r="R2358" t="n">
        <v>0</v>
      </c>
      <c r="S2358">
        <f>IFERROR(O2358/N2358,0)</f>
        <v/>
      </c>
      <c r="T2358" t="n">
        <v>0</v>
      </c>
      <c r="V2358" t="n">
        <v>0</v>
      </c>
    </row>
    <row r="2360">
      <c r="A2360" t="inlineStr">
        <is>
          <t>Attack% Bucket Multiplier</t>
        </is>
      </c>
      <c r="B2360">
        <f>(1+(((C2341=TRUE)*F2341)+((C2342=TRUE)*IF(Inputs!$B$38="pvp",F2342,(1-Summary!$B$11)*(F2342)+Summary!$B$11*(0)))+((C2343=TRUE)*F2343*IF(AND(Inputs!$B$38&lt;&gt;"pvp",Inputs!$B$43&gt;0),(((R2343-1)*(Skills!T16*(1+Inputs!$B$34/100))+MIN((Skills!T16*(1+Inputs!$B$34/100)),MAX(0,Inputs!$B$43-((R2343-1)*Skills!D16))))/Inputs!$B$43),IF(Inputs!$B$38="pvp",MIN((Skills!T16*(1+Inputs!$B$34/100)),15)/15,(Skills!T16*(1+Inputs!$B$34/100))/Skills!D16)))+((C2358=TRUE)*(F2358-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61">
      <c r="A2361" t="inlineStr">
        <is>
          <t>Global Crit Rate Bonus %</t>
        </is>
      </c>
      <c r="B2361">
        <f>(C2344=TRUE)*20*IF(AND(Inputs!$B$38&lt;&gt;"pvp",Inputs!$B$43&gt;0),(((R2344-1)*(Skills!T17*(1+Inputs!$B$34/100))+MIN((Skills!T17*(1+Inputs!$B$34/100)),MAX(0,Inputs!$B$43-((R2344-1)*Skills!D17))))/Inputs!$B$43),IF(Inputs!$B$38="pvp",MIN((Skills!T17*(1+Inputs!$B$34/100)),15)/15,(Skills!T17*(1+Inputs!$B$34/100))/Skills!D17))</f>
        <v/>
      </c>
    </row>
    <row r="2362">
      <c r="A2362" t="inlineStr">
        <is>
          <t>Attack Speed Buff Bonus %</t>
        </is>
      </c>
      <c r="B2362">
        <f>((C2347=TRUE)*F2347*IF(AND(Inputs!$B$38&lt;&gt;"pvp",Inputs!$B$43&gt;0),(((R2347-1)*(Skills!T20*(1+Inputs!$B$34/100))+MIN((Skills!T20*(1+Inputs!$B$34/100)),MAX(0,Inputs!$B$43-((R2347-1)*Skills!D20))))/Inputs!$B$43),IF(Inputs!$B$38="pvp",MIN((Skills!T20*(1+Inputs!$B$34/100)),15)/15,(Skills!T20*(1+Inputs!$B$34/100))/Skills!D20)))</f>
        <v/>
      </c>
    </row>
    <row r="2363">
      <c r="A2363" t="inlineStr">
        <is>
          <t>Actions Per Second</t>
        </is>
      </c>
      <c r="B2363">
        <f>1+MIN(150,150*(1-(1-(Inputs!$B$11+((C2349=TRUE)*(F2349-Calc!F22))+((C2350=TRUE)*(F2350-Calc!F23)))/150)*(1-B2362/150)))/100</f>
        <v/>
      </c>
    </row>
    <row r="2364">
      <c r="A2364" t="inlineStr">
        <is>
          <t>Skill + Buff Cast Rate</t>
        </is>
      </c>
      <c r="B2364">
        <f>IF(AND(Inputs!$B$38&lt;&gt;"pvp",Inputs!$B$43&gt;0),SUMPRODUCT((Skills!E2:E31=TRUE)*(C2329:C2358=TRUE)*R2329:R2358*Skills!F2:F31)/Inputs!$B$43,SUMPRODUCT((Skills!E2:E31=TRUE)*(C2329:C2358=TRUE)*Q2329:Q2358*Skills!F2:F31))</f>
        <v/>
      </c>
    </row>
    <row r="2365">
      <c r="A2365" t="inlineStr">
        <is>
          <t>Arrow Stream Casts Per Second</t>
        </is>
      </c>
      <c r="B2365">
        <f>MAX(0,B2363-B2364)</f>
        <v/>
      </c>
    </row>
    <row r="2366">
      <c r="A2366" t="inlineStr">
        <is>
          <t>Global Critical Damage Bonus % (Sharp Eyes + Concentration)</t>
        </is>
      </c>
      <c r="B2366">
        <f>(C2344=TRUE)*F2344*IF(AND(Inputs!$B$38&lt;&gt;"pvp",Inputs!$B$43&gt;0),(((R2344-1)*(Skills!T17*(1+Inputs!$B$34/100))+MIN((Skills!T17*(1+Inputs!$B$34/100)),MAX(0,Inputs!$B$43-((R2344-1)*Skills!D17))))/Inputs!$B$43),IF(Inputs!$B$38="pvp",MIN((Skills!T17*(1+Inputs!$B$34/100)),15)/15,(Skills!T17*(1+Inputs!$B$34/100))/Skills!D17))+(C2345=TRUE)*30</f>
        <v/>
      </c>
    </row>
    <row r="2367">
      <c r="A2367" t="inlineStr">
        <is>
          <t>Global Final Damage Bonus % (Mortal Blow)</t>
        </is>
      </c>
      <c r="B2367">
        <f>(C2346=TRUE)*F2346</f>
        <v/>
      </c>
    </row>
    <row r="2368">
      <c r="A2368" t="inlineStr">
        <is>
          <t>Buff-Casting Startup Delay (s, fixed-duration only)</t>
        </is>
      </c>
      <c r="B2368">
        <f>IF(AND(Inputs!$B$38&lt;&gt;"pvp",Inputs!$B$43&gt;0),SUMPRODUCT((Skills!T2:T31&gt;0)*(Skills!E2:E31=TRUE)*(C2329:C2358=TRUE))/B2363,0)</f>
        <v/>
      </c>
    </row>
    <row r="2369">
      <c r="A2369" t="inlineStr">
        <is>
          <t>Boss-Only Total DPS (this block's swept value)</t>
        </is>
      </c>
      <c r="B2369">
        <f>SUM(T2329:T2358)</f>
        <v/>
      </c>
    </row>
    <row r="2370">
      <c r="A2370" t="inlineStr">
        <is>
          <t>Normal-Only Total DPS (this block's swept value)</t>
        </is>
      </c>
      <c r="B2370">
        <f>SUM(V2329:V2358)</f>
        <v/>
      </c>
    </row>
    <row r="2371">
      <c r="A2371" s="6" t="inlineStr">
        <is>
          <t>TOTAL DPS</t>
        </is>
      </c>
      <c r="B2371" s="6">
        <f>SUM(O2329:O2358)</f>
        <v/>
      </c>
    </row>
    <row r="2374">
      <c r="A2374" s="6" t="inlineStr">
        <is>
          <t>Stat: Ancient Text Piece (Equip)</t>
        </is>
      </c>
    </row>
    <row r="2375">
      <c r="A2375" s="5" t="inlineStr">
        <is>
          <t>Key</t>
        </is>
      </c>
      <c r="B2375" s="5" t="inlineStr">
        <is>
          <t>Name</t>
        </is>
      </c>
      <c r="C2375" s="5" t="inlineStr">
        <is>
          <t>Unlocked</t>
        </is>
      </c>
      <c r="D2375" s="5" t="inlineStr">
        <is>
          <t>InputLevel</t>
        </is>
      </c>
      <c r="E2375" s="5" t="inlineStr">
        <is>
          <t>Factor</t>
        </is>
      </c>
      <c r="F2375" s="5" t="inlineStr">
        <is>
          <t>CoefficientPercent</t>
        </is>
      </c>
      <c r="G2375" s="5" t="inlineStr">
        <is>
          <t>EffectiveHits</t>
        </is>
      </c>
      <c r="H2375" s="5" t="inlineStr">
        <is>
          <t>ProcProbability</t>
        </is>
      </c>
      <c r="I2375" s="5" t="inlineStr">
        <is>
          <t>MapleHeroMultiplier</t>
        </is>
      </c>
      <c r="J2375" s="5" t="inlineStr">
        <is>
          <t>BaseDamage</t>
        </is>
      </c>
      <c r="K2375" s="5" t="inlineStr">
        <is>
          <t>BaseHitDamage</t>
        </is>
      </c>
      <c r="L2375" s="5" t="inlineStr">
        <is>
          <t>NonCritAvg</t>
        </is>
      </c>
      <c r="M2375" s="5" t="inlineStr">
        <is>
          <t>CritAvg</t>
        </is>
      </c>
      <c r="N2375" s="5" t="inlineStr">
        <is>
          <t>ExpectedDamage(perHit)</t>
        </is>
      </c>
      <c r="O2375" s="5" t="inlineStr">
        <is>
          <t>DPS</t>
        </is>
      </c>
      <c r="P2375" s="5" t="inlineStr">
        <is>
          <t>% of Total</t>
        </is>
      </c>
      <c r="Q2375" s="5" t="inlineStr">
        <is>
          <t>InvCooldown</t>
        </is>
      </c>
      <c r="R2375" s="5" t="inlineStr">
        <is>
          <t>CastsInFight</t>
        </is>
      </c>
      <c r="S2375" s="5" t="inlineStr">
        <is>
          <t>HitRate(perSec)</t>
        </is>
      </c>
      <c r="U2375" t="inlineStr">
        <is>
          <t>helpers</t>
        </is>
      </c>
    </row>
    <row r="2376">
      <c r="A2376">
        <f>Skills!A2</f>
        <v/>
      </c>
      <c r="B2376">
        <f>Skills!B2</f>
        <v/>
      </c>
      <c r="C2376">
        <f>Inputs!$B$3&gt;=100</f>
        <v/>
      </c>
      <c r="D2376" t="inlineStr"/>
      <c r="E2376" t="inlineStr"/>
      <c r="F2376">
        <f>U2378+Skills!O2</f>
        <v/>
      </c>
      <c r="G2376">
        <f>Skills!G2*IF(Skills!H2&gt;0,Skills!I2/Skills!H2,1)</f>
        <v/>
      </c>
      <c r="H2376">
        <f>1-(1-Skills!J2/100)^Skills!K2</f>
        <v/>
      </c>
      <c r="I2376" t="inlineStr">
        <is>
          <t>1</t>
        </is>
      </c>
      <c r="J2376">
        <f>((Inputs!$B$6*(1+Inputs!$B$7/100))+(((Inputs!$B$12*(1+Inputs!$B$13/100))-(Inputs!$B$12*(1+Inputs!$B$13/100)))+0.25*(Inputs!$B$14-Inputs!$B$14))*(1+Inputs!$B$7/100))*(F2376/100)</f>
        <v/>
      </c>
      <c r="K2376">
        <f>J2376*(1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2376)</f>
        <v/>
      </c>
      <c r="L2376">
        <f>K2376*(MIN(Inputs!$B$22+((C2399=TRUE)*(F2399-Calc!F25)),(Inputs!$B$23+((C2404=TRUE)*(F2404-Calc!F30))+(IF(ArtifactsInput!$M$15,CHOOSE(ArtifactsInput!$N$15+1,25,30,35,40,45,50)/100*(Inputs!$B$11-Inputs!$B$11),0))))/100+(Inputs!$B$23+((C2404=TRUE)*(F2404-Calc!F30))+(IF(ArtifactsInput!$M$15,CHOOSE(ArtifactsInput!$N$15+1,25,30,35,40,45,50)/100*(Inputs!$B$11-Inputs!$B$11),0)))/100)/2</f>
        <v/>
      </c>
      <c r="M2376">
        <f>L2376*(1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6">
        <f>L2376*(1-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2376*(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6">
        <f>(1-Summary!$B$11)*T2376+Summary!$B$11*V2376</f>
        <v/>
      </c>
      <c r="P2376">
        <f>IF(B2418=0,0,O2376/B2418)</f>
        <v/>
      </c>
      <c r="Q2376" t="n">
        <v>0</v>
      </c>
      <c r="R2376" t="n">
        <v>0</v>
      </c>
      <c r="S2376">
        <f>IFERROR(O2376/N2376,0)</f>
        <v/>
      </c>
      <c r="T2376">
        <f>IF(C2376,(Skills!G2*N2376*B2412)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2376*(1-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2376*(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2376*(1-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2376*(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6">
        <f>MAX(0,(Inputs!$B$3-100)*3)+Inputs!$B$28+Inputs!$B$29</f>
        <v/>
      </c>
      <c r="V2376">
        <f>IF(C2376,(Skills!G2*N2376*B2412)*IF(Inputs!$B$38="pvp",1,(1+(Inputs!$B$21+Skills!Q2+(IF(ArtifactsInput!$M$33,CHOOSE(ArtifactsInput!$N$33+1,30,36,42,48,54,60),0))+(IF(AND(ArtifactsInput!$M$35,Inputs!$B$4&lt;&gt;"Chapter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7">
      <c r="A2377">
        <f>Skills!A3</f>
        <v/>
      </c>
      <c r="B2377">
        <f>Skills!B3</f>
        <v/>
      </c>
      <c r="C2377">
        <f>Inputs!$B$3&gt;=50</f>
        <v/>
      </c>
      <c r="D2377">
        <f>IF(Skills!C3=1,60+Inputs!$B$25+Inputs!$B$29,IF(Skills!C3=2,90+Inputs!$B$26+Inputs!$B$29,IF(Skills!C3=3,120+Inputs!$B$27+Inputs!$B$29,MAX(0,(Inputs!$B$3-100)*3)+Inputs!$B$28+Inputs!$B$29)))</f>
        <v/>
      </c>
      <c r="E2377">
        <f>INDEX(FactorTable!$B$2:$Y$301, MATCH(ROUND(MIN(300,MAX(1,D2377)),0), FactorTable!$A$2:$A$301,0), Skills!M3+1)</f>
        <v/>
      </c>
      <c r="F2377">
        <f>IF(Skills!N3=TRUE,(Skills!L3/10)*(E2377/1000),Skills!L3/10)+Skills!O3</f>
        <v/>
      </c>
      <c r="G2377">
        <f>Skills!G3*IF(Skills!H3&gt;0,Skills!I3/Skills!H3,1)</f>
        <v/>
      </c>
      <c r="H2377">
        <f>1-(1-Skills!J3/100)^Skills!K3</f>
        <v/>
      </c>
      <c r="I2377" t="inlineStr">
        <is>
          <t>1</t>
        </is>
      </c>
      <c r="J2377">
        <f>((Inputs!$B$6*(1+Inputs!$B$7/100))+(((Inputs!$B$12*(1+Inputs!$B$13/100))-(Inputs!$B$12*(1+Inputs!$B$13/100)))+0.25*(Inputs!$B$14-Inputs!$B$14))*(1+Inputs!$B$7/100))*(F2377/100)</f>
        <v/>
      </c>
      <c r="K2377">
        <f>J2377*(1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2378=TRUE,F2378,0)/100)*(1+(IF(Skills!A3="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2377)</f>
        <v/>
      </c>
      <c r="L2377">
        <f>K2377*(MIN(Inputs!$B$22+((C2399=TRUE)*(F2399-Calc!F25)),(Inputs!$B$23+((C2404=TRUE)*(F2404-Calc!F30))+(IF(ArtifactsInput!$M$15,CHOOSE(ArtifactsInput!$N$15+1,25,30,35,40,45,50)/100*(Inputs!$B$11-Inputs!$B$11),0))))/100+(Inputs!$B$23+((C2404=TRUE)*(F2404-Calc!F30))+(IF(ArtifactsInput!$M$15,CHOOSE(ArtifactsInput!$N$15+1,25,30,35,40,45,50)/100*(Inputs!$B$11-Inputs!$B$11),0)))/100)/2</f>
        <v/>
      </c>
      <c r="M2377">
        <f>L2377*(1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7">
        <f>L2377*(1-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2377*(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7">
        <f>(1-Summary!$B$11)*T2377+Summary!$B$11*V2377</f>
        <v/>
      </c>
      <c r="P2377">
        <f>IF(B2418=0,0,O2377/B2418)</f>
        <v/>
      </c>
      <c r="Q2377">
        <f>IFERROR(1/(IF(Inputs!$B$38="pvp",15,MAX(0.1,Skills!D3-IF(Skills!E3=TRUE,Inputs!$B$32,0)))*(1-IF(AND(ArtifactsInput!$M$27,Inputs!$B$4="Chapter Hunt"),CHOOSE(ArtifactsInput!$N$27+1,20,24,28,32,36,40),0)/100)),0)</f>
        <v/>
      </c>
      <c r="R2377">
        <f>IF(AND(Inputs!$B$38&lt;&gt;"pvp",Inputs!$B$43&gt;0),IF(MAX(0,Inputs!$B$43-B2415)&lt;=0,0,(INT(MAX(0,Inputs!$B$43-B2415)/(IF(Inputs!$B$38="pvp",15,MAX(0.1,Skills!D3-IF(Skills!E3=TRUE,Inputs!$B$32,0)))*(1-IF(AND(ArtifactsInput!$M$27,Inputs!$B$4="Chapter Hunt"),CHOOSE(ArtifactsInput!$N$27+1,20,24,28,32,36,40),0)/100)))+1)),0)</f>
        <v/>
      </c>
      <c r="S2377">
        <f>IFERROR(O2377/N2377,0)</f>
        <v/>
      </c>
      <c r="T2377">
        <f>IF(C2377,(H2377*N2377*IF(AND(Inputs!$B$38&lt;&gt;"pvp",Inputs!$B$43&gt;0),((Skills!G3*((R2377-1)*IF(Skills!H3&gt;0,Skills!I3/Skills!H3,1)+IF(Skills!H3&gt;0,MIN(Skills!I3,MAX(0,MAX(0,Inputs!$B$43-B2415)-((R2377-1)*(IF(Inputs!$B$38="pvp",15,MAX(0.1,Skills!D3-IF(Skills!E3=TRUE,Inputs!$B$32,0)))*(1-IF(AND(ArtifactsInput!$M$27,Inputs!$B$4="Chapter Hunt"),CHOOSE(ArtifactsInput!$N$27+1,20,24,28,32,36,40),0)/100)))))/Skills!H3,1)))/Inputs!$B$43),G2377*Q2377)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2377*(1-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2377*(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2377*(1-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2377*(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7">
        <f>INDEX(FactorTable!$B$2:$Y$301, MATCH(ROUND(MIN(300,MAX(1,U2376)),0), FactorTable!$A$2:$A$301,0), 22)</f>
        <v/>
      </c>
      <c r="V2377">
        <f>IF(C2377,(H2377*N2377*IF(AND(Inputs!$B$38&lt;&gt;"pvp",Inputs!$B$43&gt;0),((Skills!G3*((R2377-1)*IF(Skills!H3&gt;0,Skills!I3/Skills!H3,1)+IF(Skills!H3&gt;0,MIN(Skills!I3,MAX(0,MAX(0,Inputs!$B$43-B2415)-((R2377-1)*(IF(Inputs!$B$38="pvp",15,MAX(0.1,Skills!D3-IF(Skills!E3=TRUE,Inputs!$B$32,0)))*(1-IF(AND(ArtifactsInput!$M$27,Inputs!$B$4="Chapter Hunt"),CHOOSE(ArtifactsInput!$N$27+1,20,24,28,32,36,40),0)/100)))))/Skills!H3,1)))/Inputs!$B$43),G2377*Q2377))*IF(Inputs!$B$38="pvp",1,(1+(Inputs!$B$21+Skills!Q3+(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8">
      <c r="A2378">
        <f>Skills!A4</f>
        <v/>
      </c>
      <c r="B2378">
        <f>Skills!B4</f>
        <v/>
      </c>
      <c r="C2378">
        <f>Inputs!$B$3&gt;=105</f>
        <v/>
      </c>
      <c r="D2378">
        <f>IF(Skills!C4=1,60+Inputs!$B$25+Inputs!$B$29,IF(Skills!C4=2,90+Inputs!$B$26+Inputs!$B$29,IF(Skills!C4=3,120+Inputs!$B$27+Inputs!$B$29,MAX(0,(Inputs!$B$3-100)*3)+Inputs!$B$28+Inputs!$B$29)))</f>
        <v/>
      </c>
      <c r="E2378">
        <f>INDEX(FactorTable!$B$2:$Y$301, MATCH(ROUND(MIN(300,MAX(1,D2378)),0), FactorTable!$A$2:$A$301,0), Skills!M4+1)</f>
        <v/>
      </c>
      <c r="F2378">
        <f>IF(Skills!N4=TRUE,(Skills!L4/10)*(E2378/1000),Skills!L4/10)+Skills!O4</f>
        <v/>
      </c>
      <c r="G2378" t="inlineStr"/>
      <c r="H2378" t="inlineStr"/>
      <c r="I2378" t="inlineStr">
        <is>
          <t>1</t>
        </is>
      </c>
      <c r="J2378" t="inlineStr"/>
      <c r="K2378" t="inlineStr"/>
      <c r="L2378" t="inlineStr"/>
      <c r="M2378" t="inlineStr"/>
      <c r="N2378" t="inlineStr"/>
      <c r="O2378" t="inlineStr"/>
      <c r="P2378" t="inlineStr"/>
      <c r="Q2378" t="inlineStr"/>
      <c r="R2378" t="inlineStr"/>
      <c r="S2378" t="inlineStr"/>
      <c r="T2378" t="inlineStr"/>
      <c r="U2378">
        <f>290*U2377/1000</f>
        <v/>
      </c>
      <c r="V2378" t="inlineStr"/>
    </row>
    <row r="2379">
      <c r="A2379">
        <f>Skills!A5</f>
        <v/>
      </c>
      <c r="B2379">
        <f>Skills!B5</f>
        <v/>
      </c>
      <c r="C2379">
        <f>Inputs!$B$3&gt;=35</f>
        <v/>
      </c>
      <c r="D2379">
        <f>IF(Skills!C5=1,60+Inputs!$B$25+Inputs!$B$29,IF(Skills!C5=2,90+Inputs!$B$26+Inputs!$B$29,IF(Skills!C5=3,120+Inputs!$B$27+Inputs!$B$29,MAX(0,(Inputs!$B$3-100)*3)+Inputs!$B$28+Inputs!$B$29)))</f>
        <v/>
      </c>
      <c r="E2379">
        <f>INDEX(FactorTable!$B$2:$Y$301, MATCH(ROUND(MIN(300,MAX(1,D2379)),0), FactorTable!$A$2:$A$301,0), Skills!M5+1)</f>
        <v/>
      </c>
      <c r="F2379">
        <f>IF(Skills!N5=TRUE,(Skills!L5/10)*(E2379/1000),Skills!L5/10)+Skills!O5</f>
        <v/>
      </c>
      <c r="G2379">
        <f>Skills!G5*IF(Skills!H5&gt;0,Skills!I5/Skills!H5,1)</f>
        <v/>
      </c>
      <c r="H2379">
        <f>1-(1-Skills!J5/100)^Skills!K5</f>
        <v/>
      </c>
      <c r="I2379" t="inlineStr">
        <is>
          <t>1</t>
        </is>
      </c>
      <c r="J2379">
        <f>((Inputs!$B$6*(1+Inputs!$B$7/100))+(((Inputs!$B$12*(1+Inputs!$B$13/100))-(Inputs!$B$12*(1+Inputs!$B$13/100)))+0.25*(Inputs!$B$14-Inputs!$B$14))*(1+Inputs!$B$7/100))*(F2379/100)</f>
        <v/>
      </c>
      <c r="K2379">
        <f>J2379*(1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2385=TRUE,F2385,0)/100)*(1+(IF(Skills!A5="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2379)</f>
        <v/>
      </c>
      <c r="L2379">
        <f>K2379*(MIN(Inputs!$B$22+((C2399=TRUE)*(F2399-Calc!F25)),(Inputs!$B$23+((C2404=TRUE)*(F2404-Calc!F30))+(IF(ArtifactsInput!$M$15,CHOOSE(ArtifactsInput!$N$15+1,25,30,35,40,45,50)/100*(Inputs!$B$11-Inputs!$B$11),0))))/100+(Inputs!$B$23+((C2404=TRUE)*(F2404-Calc!F30))+(IF(ArtifactsInput!$M$15,CHOOSE(ArtifactsInput!$N$15+1,25,30,35,40,45,50)/100*(Inputs!$B$11-Inputs!$B$11),0)))/100)/2</f>
        <v/>
      </c>
      <c r="M2379">
        <f>L2379*(1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9">
        <f>L2379*(1-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2379*(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9">
        <f>(1-Summary!$B$11)*T2379+Summary!$B$11*V2379</f>
        <v/>
      </c>
      <c r="P2379">
        <f>IF(B2418=0,0,O2379/B2418)</f>
        <v/>
      </c>
      <c r="Q2379">
        <f>IFERROR(1/(IF(Inputs!$B$38="pvp",15,MAX(0.1,Skills!D5-IF(Skills!E5=TRUE,Inputs!$B$32,0)))*(1-IF(AND(ArtifactsInput!$M$27,Inputs!$B$4="Chapter Hunt"),CHOOSE(ArtifactsInput!$N$27+1,20,24,28,32,36,40),0)/100)),0)</f>
        <v/>
      </c>
      <c r="R2379">
        <f>IF(AND(Inputs!$B$38&lt;&gt;"pvp",Inputs!$B$43&gt;0),IF(MAX(0,Inputs!$B$43-B2415)&lt;=0,0,(INT(MAX(0,Inputs!$B$43-B2415)/(IF(Inputs!$B$38="pvp",15,MAX(0.1,Skills!D5-IF(Skills!E5=TRUE,Inputs!$B$32,0)))*(1-IF(AND(ArtifactsInput!$M$27,Inputs!$B$4="Chapter Hunt"),CHOOSE(ArtifactsInput!$N$27+1,20,24,28,32,36,40),0)/100)))+1)),0)</f>
        <v/>
      </c>
      <c r="S2379">
        <f>IFERROR(O2379/N2379,0)</f>
        <v/>
      </c>
      <c r="T2379">
        <f>IF(C2379,(H2379*N2379*IF(AND(Inputs!$B$38&lt;&gt;"pvp",Inputs!$B$43&gt;0),((Skills!G5*((R2379-1)*IF(Skills!H5&gt;0,Skills!I5/Skills!H5,1)+IF(Skills!H5&gt;0,MIN(Skills!I5,MAX(0,MAX(0,Inputs!$B$43-B2415)-((R2379-1)*(IF(Inputs!$B$38="pvp",15,MAX(0.1,Skills!D5-IF(Skills!E5=TRUE,Inputs!$B$32,0)))*(1-IF(AND(ArtifactsInput!$M$27,Inputs!$B$4="Chapter Hunt"),CHOOSE(ArtifactsInput!$N$27+1,20,24,28,32,36,40),0)/100)))))/Skills!H5,1)))/Inputs!$B$43),G2379*Q2379)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2379*(1-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2379*(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2379*(1-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2379*(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9">
        <f>IF(C2379,(H2379*N2379*IF(AND(Inputs!$B$38&lt;&gt;"pvp",Inputs!$B$43&gt;0),((Skills!G5*((R2379-1)*IF(Skills!H5&gt;0,Skills!I5/Skills!H5,1)+IF(Skills!H5&gt;0,MIN(Skills!I5,MAX(0,MAX(0,Inputs!$B$43-B2415)-((R2379-1)*(IF(Inputs!$B$38="pvp",15,MAX(0.1,Skills!D5-IF(Skills!E5=TRUE,Inputs!$B$32,0)))*(1-IF(AND(ArtifactsInput!$M$27,Inputs!$B$4="Chapter Hunt"),CHOOSE(ArtifactsInput!$N$27+1,20,24,28,32,36,40),0)/100)))))/Skills!H5,1)))/Inputs!$B$43),G2379*Q2379))*IF(Inputs!$B$38="pvp",1,(1+(Inputs!$B$21+Skills!Q5+(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0">
      <c r="A2380">
        <f>Skills!A6</f>
        <v/>
      </c>
      <c r="B2380">
        <f>Skills!B6</f>
        <v/>
      </c>
      <c r="C2380">
        <f>Inputs!$B$3&gt;=40</f>
        <v/>
      </c>
      <c r="D2380">
        <f>IF(Skills!C6=1,60+Inputs!$B$25+Inputs!$B$29,IF(Skills!C6=2,90+Inputs!$B$26+Inputs!$B$29,IF(Skills!C6=3,120+Inputs!$B$27+Inputs!$B$29,MAX(0,(Inputs!$B$3-100)*3)+Inputs!$B$28+Inputs!$B$29)))</f>
        <v/>
      </c>
      <c r="E2380">
        <f>INDEX(FactorTable!$B$2:$Y$301, MATCH(ROUND(MIN(300,MAX(1,D2380)),0), FactorTable!$A$2:$A$301,0), Skills!M6+1)</f>
        <v/>
      </c>
      <c r="F2380">
        <f>IF(Skills!N6=TRUE,(Skills!L6/10)*(E2380/1000),Skills!L6/10)+Skills!O6</f>
        <v/>
      </c>
      <c r="G2380">
        <f>Skills!G6*IF(Skills!H6&gt;0,Skills!I6/Skills!H6,1)</f>
        <v/>
      </c>
      <c r="H2380">
        <f>1-(1-Skills!J6/100)^Skills!K6</f>
        <v/>
      </c>
      <c r="I2380" t="inlineStr">
        <is>
          <t>1</t>
        </is>
      </c>
      <c r="J2380">
        <f>((Inputs!$B$6*(1+Inputs!$B$7/100))+(((Inputs!$B$12*(1+Inputs!$B$13/100))-(Inputs!$B$12*(1+Inputs!$B$13/100)))+0.25*(Inputs!$B$14-Inputs!$B$14))*(1+Inputs!$B$7/100))*(F2380/100)</f>
        <v/>
      </c>
      <c r="K2380">
        <f>J2380*(1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Skills!A6="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2380)</f>
        <v/>
      </c>
      <c r="L2380">
        <f>K2380*(MIN(Inputs!$B$22+((C2399=TRUE)*(F2399-Calc!F25)),(Inputs!$B$23+((C2404=TRUE)*(F2404-Calc!F30))+(IF(ArtifactsInput!$M$15,CHOOSE(ArtifactsInput!$N$15+1,25,30,35,40,45,50)/100*(Inputs!$B$11-Inputs!$B$11),0))))/100+(Inputs!$B$23+((C2404=TRUE)*(F2404-Calc!F30))+(IF(ArtifactsInput!$M$15,CHOOSE(ArtifactsInput!$N$15+1,25,30,35,40,45,50)/100*(Inputs!$B$11-Inputs!$B$11),0)))/100)/2</f>
        <v/>
      </c>
      <c r="M2380">
        <f>L2380*(1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0">
        <f>L2380*(1-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2380*(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0">
        <f>(1-Summary!$B$11)*T2380+Summary!$B$11*V2380</f>
        <v/>
      </c>
      <c r="P2380">
        <f>IF(B2418=0,0,O2380/B2418)</f>
        <v/>
      </c>
      <c r="Q2380">
        <f>IFERROR(1/(IF(Inputs!$B$38="pvp",15,MAX(0.1,Skills!D6-IF(Skills!E6=TRUE,Inputs!$B$32,0)))*(1-IF(AND(ArtifactsInput!$M$27,Inputs!$B$4="Chapter Hunt"),CHOOSE(ArtifactsInput!$N$27+1,20,24,28,32,36,40),0)/100)),0)</f>
        <v/>
      </c>
      <c r="R2380">
        <f>IF(AND(Inputs!$B$38&lt;&gt;"pvp",Inputs!$B$43&gt;0),IF(MAX(0,Inputs!$B$43-B2415)&lt;=0,0,(INT(MAX(0,Inputs!$B$43-B2415)/(IF(Inputs!$B$38="pvp",15,MAX(0.1,Skills!D6-IF(Skills!E6=TRUE,Inputs!$B$32,0)))*(1-IF(AND(ArtifactsInput!$M$27,Inputs!$B$4="Chapter Hunt"),CHOOSE(ArtifactsInput!$N$27+1,20,24,28,32,36,40),0)/100)))+1)),0)</f>
        <v/>
      </c>
      <c r="S2380">
        <f>IFERROR(O2380/N2380,0)</f>
        <v/>
      </c>
      <c r="T2380">
        <f>IF(C2380,(H2380*N2380*IF(AND(Inputs!$B$38&lt;&gt;"pvp",Inputs!$B$43&gt;0),((Skills!G6*((R2380-1)*IF(Skills!H6&gt;0,Skills!I6/Skills!H6,1)+IF(Skills!H6&gt;0,MIN(Skills!I6,MAX(0,MAX(0,Inputs!$B$43-B2415)-((R2380-1)*(IF(Inputs!$B$38="pvp",15,MAX(0.1,Skills!D6-IF(Skills!E6=TRUE,Inputs!$B$32,0)))*(1-IF(AND(ArtifactsInput!$M$27,Inputs!$B$4="Chapter Hunt"),CHOOSE(ArtifactsInput!$N$27+1,20,24,28,32,36,40),0)/100)))))/Skills!H6,1)))/Inputs!$B$43),G2380*Q2380)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2380*(1-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2380*(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2380*(1-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2380*(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0">
        <f>IF(C2380,(H2380*N2380*IF(AND(Inputs!$B$38&lt;&gt;"pvp",Inputs!$B$43&gt;0),((Skills!G6*((R2380-1)*IF(Skills!H6&gt;0,Skills!I6/Skills!H6,1)+IF(Skills!H6&gt;0,MIN(Skills!I6,MAX(0,MAX(0,Inputs!$B$43-B2415)-((R2380-1)*(IF(Inputs!$B$38="pvp",15,MAX(0.1,Skills!D6-IF(Skills!E6=TRUE,Inputs!$B$32,0)))*(1-IF(AND(ArtifactsInput!$M$27,Inputs!$B$4="Chapter Hunt"),CHOOSE(ArtifactsInput!$N$27+1,20,24,28,32,36,40),0)/100)))))/Skills!H6,1)))/Inputs!$B$43),G2380*Q2380))*IF(Inputs!$B$38="pvp",1,(1+(Inputs!$B$21+Skills!Q6+(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1">
      <c r="A2381">
        <f>Skills!A7</f>
        <v/>
      </c>
      <c r="B2381">
        <f>Skills!B7</f>
        <v/>
      </c>
      <c r="C2381">
        <f>Inputs!$B$3&gt;=107</f>
        <v/>
      </c>
      <c r="D2381">
        <f>IF(Skills!C7=1,60+Inputs!$B$25+Inputs!$B$29,IF(Skills!C7=2,90+Inputs!$B$26+Inputs!$B$29,IF(Skills!C7=3,120+Inputs!$B$27+Inputs!$B$29,MAX(0,(Inputs!$B$3-100)*3)+Inputs!$B$28+Inputs!$B$29)))</f>
        <v/>
      </c>
      <c r="E2381">
        <f>INDEX(FactorTable!$B$2:$Y$301, MATCH(ROUND(MIN(300,MAX(1,D2381)),0), FactorTable!$A$2:$A$301,0), Skills!M7+1)</f>
        <v/>
      </c>
      <c r="F2381">
        <f>IF(Skills!N7=TRUE,(Skills!L7/10)*(E2381/1000),Skills!L7/10)+Skills!O7</f>
        <v/>
      </c>
      <c r="G2381" t="inlineStr"/>
      <c r="H2381" t="inlineStr"/>
      <c r="I2381" t="inlineStr">
        <is>
          <t>1</t>
        </is>
      </c>
      <c r="J2381" t="inlineStr"/>
      <c r="K2381" t="inlineStr"/>
      <c r="L2381" t="inlineStr"/>
      <c r="M2381" t="inlineStr"/>
      <c r="N2381" t="inlineStr"/>
      <c r="O2381" t="inlineStr"/>
      <c r="P2381" t="inlineStr"/>
      <c r="Q2381" t="inlineStr"/>
      <c r="R2381" t="inlineStr"/>
      <c r="S2381" t="inlineStr"/>
      <c r="T2381" t="inlineStr"/>
      <c r="V2381" t="inlineStr"/>
    </row>
    <row r="2382">
      <c r="A2382">
        <f>Skills!A8</f>
        <v/>
      </c>
      <c r="B2382">
        <f>Skills!B8</f>
        <v/>
      </c>
      <c r="C2382">
        <f>Inputs!$B$3&gt;=69</f>
        <v/>
      </c>
      <c r="D2382">
        <f>IF(Skills!C8=1,60+Inputs!$B$25+Inputs!$B$29,IF(Skills!C8=2,90+Inputs!$B$26+Inputs!$B$29,IF(Skills!C8=3,120+Inputs!$B$27+Inputs!$B$29,MAX(0,(Inputs!$B$3-100)*3)+Inputs!$B$28+Inputs!$B$29)))</f>
        <v/>
      </c>
      <c r="E2382">
        <f>INDEX(FactorTable!$B$2:$Y$301, MATCH(ROUND(MIN(300,MAX(1,D2382)),0), FactorTable!$A$2:$A$301,0), Skills!M8+1)</f>
        <v/>
      </c>
      <c r="F2382">
        <f>IF(Skills!N8=TRUE,(Skills!L8/10)*(E2382/1000),Skills!L8/10)+Skills!O8</f>
        <v/>
      </c>
      <c r="G2382">
        <f>Skills!G8*IF(Skills!H8&gt;0,Skills!I8/Skills!H8,1)</f>
        <v/>
      </c>
      <c r="H2382">
        <f>1-(1-Skills!J8/100)^Skills!K8</f>
        <v/>
      </c>
      <c r="I2382" t="inlineStr">
        <is>
          <t>1</t>
        </is>
      </c>
      <c r="J2382">
        <f>((Inputs!$B$6*(1+Inputs!$B$7/100))+(((Inputs!$B$12*(1+Inputs!$B$13/100))-(Inputs!$B$12*(1+Inputs!$B$13/100)))+0.25*(Inputs!$B$14-Inputs!$B$14))*(1+Inputs!$B$7/100))*(F2382/100)</f>
        <v/>
      </c>
      <c r="K2382">
        <f>J2382*(1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2385=TRUE,F2385,0)/100)*(1+(IF(Skills!A8="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2382)</f>
        <v/>
      </c>
      <c r="L2382">
        <f>K2382*(MIN(Inputs!$B$22+((C2399=TRUE)*(F2399-Calc!F25)),(Inputs!$B$23+((C2404=TRUE)*(F2404-Calc!F30))+(IF(ArtifactsInput!$M$15,CHOOSE(ArtifactsInput!$N$15+1,25,30,35,40,45,50)/100*(Inputs!$B$11-Inputs!$B$11),0))))/100+(Inputs!$B$23+((C2404=TRUE)*(F2404-Calc!F30))+(IF(ArtifactsInput!$M$15,CHOOSE(ArtifactsInput!$N$15+1,25,30,35,40,45,50)/100*(Inputs!$B$11-Inputs!$B$11),0)))/100)/2</f>
        <v/>
      </c>
      <c r="M2382">
        <f>L2382*(1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2">
        <f>L2382*(1-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2382*(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2">
        <f>(1-Summary!$B$11)*T2382+Summary!$B$11*V2382</f>
        <v/>
      </c>
      <c r="P2382">
        <f>IF(B2418=0,0,O2382/B2418)</f>
        <v/>
      </c>
      <c r="Q2382">
        <f>IFERROR(1/(IF(Inputs!$B$38="pvp",15,MAX(0.1,Skills!D8-IF(Skills!E8=TRUE,Inputs!$B$32,0)))*(1-IF(AND(ArtifactsInput!$M$27,Inputs!$B$4="Chapter Hunt"),CHOOSE(ArtifactsInput!$N$27+1,20,24,28,32,36,40),0)/100)),0)</f>
        <v/>
      </c>
      <c r="R2382">
        <f>IF(AND(Inputs!$B$38&lt;&gt;"pvp",Inputs!$B$43&gt;0),IF(MAX(0,Inputs!$B$43-B2415)&lt;=0,0,(INT(MAX(0,Inputs!$B$43-B2415)/(IF(Inputs!$B$38="pvp",15,MAX(0.1,Skills!D8-IF(Skills!E8=TRUE,Inputs!$B$32,0)))*(1-IF(AND(ArtifactsInput!$M$27,Inputs!$B$4="Chapter Hunt"),CHOOSE(ArtifactsInput!$N$27+1,20,24,28,32,36,40),0)/100)))+1)),0)</f>
        <v/>
      </c>
      <c r="S2382">
        <f>IFERROR(O2382/N2382,0)</f>
        <v/>
      </c>
      <c r="T2382">
        <f>IF(C2382,(H2382*N2382*IF(AND(Inputs!$B$38&lt;&gt;"pvp",Inputs!$B$43&gt;0),((Skills!G8*((R2382-1)*IF(Skills!H8&gt;0,Skills!I8/Skills!H8,1)+IF(Skills!H8&gt;0,MIN(Skills!I8,MAX(0,MAX(0,Inputs!$B$43-B2415)-((R2382-1)*(IF(Inputs!$B$38="pvp",15,MAX(0.1,Skills!D8-IF(Skills!E8=TRUE,Inputs!$B$32,0)))*(1-IF(AND(ArtifactsInput!$M$27,Inputs!$B$4="Chapter Hunt"),CHOOSE(ArtifactsInput!$N$27+1,20,24,28,32,36,40),0)/100)))))/Skills!H8,1)))/Inputs!$B$43),G2382*Q2382)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2382*(1-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2382*(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2382*(1-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2382*(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2">
        <f>IF(C2382,(H2382*N2382*IF(AND(Inputs!$B$38&lt;&gt;"pvp",Inputs!$B$43&gt;0),((Skills!G8*((R2382-1)*IF(Skills!H8&gt;0,Skills!I8/Skills!H8,1)+IF(Skills!H8&gt;0,MIN(Skills!I8,MAX(0,MAX(0,Inputs!$B$43-B2415)-((R2382-1)*(IF(Inputs!$B$38="pvp",15,MAX(0.1,Skills!D8-IF(Skills!E8=TRUE,Inputs!$B$32,0)))*(1-IF(AND(ArtifactsInput!$M$27,Inputs!$B$4="Chapter Hunt"),CHOOSE(ArtifactsInput!$N$27+1,20,24,28,32,36,40),0)/100)))))/Skills!H8,1)))/Inputs!$B$43),G2382*Q2382))*IF(Inputs!$B$38="pvp",1,(1+(Inputs!$B$21+Skills!Q8+(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3">
      <c r="A2383">
        <f>Skills!A9</f>
        <v/>
      </c>
      <c r="B2383">
        <f>Skills!B9</f>
        <v/>
      </c>
      <c r="C2383">
        <f>Inputs!$B$3&gt;=63</f>
        <v/>
      </c>
      <c r="D2383">
        <f>IF(Skills!C9=1,60+Inputs!$B$25+Inputs!$B$29,IF(Skills!C9=2,90+Inputs!$B$26+Inputs!$B$29,IF(Skills!C9=3,120+Inputs!$B$27+Inputs!$B$29,MAX(0,(Inputs!$B$3-100)*3)+Inputs!$B$28+Inputs!$B$29)))</f>
        <v/>
      </c>
      <c r="E2383">
        <f>INDEX(FactorTable!$B$2:$Y$301, MATCH(ROUND(MIN(300,MAX(1,D2383)),0), FactorTable!$A$2:$A$301,0), Skills!M9+1)</f>
        <v/>
      </c>
      <c r="F2383">
        <f>IF(Skills!N9=TRUE,(Skills!L9/10)*(E2383/1000),Skills!L9/10)+Skills!O9</f>
        <v/>
      </c>
      <c r="G2383">
        <f>Skills!G9*IF(Skills!H9&gt;0,Skills!I9/Skills!H9,1)</f>
        <v/>
      </c>
      <c r="H2383">
        <f>1-(1-Skills!J9/100)^Skills!K9</f>
        <v/>
      </c>
      <c r="I2383" t="inlineStr">
        <is>
          <t>1</t>
        </is>
      </c>
      <c r="J2383">
        <f>((Inputs!$B$6*(1+Inputs!$B$7/100))+(((Inputs!$B$12*(1+Inputs!$B$13/100))-(Inputs!$B$12*(1+Inputs!$B$13/100)))+0.25*(Inputs!$B$14-Inputs!$B$14))*(1+Inputs!$B$7/100))*(F2383/100)</f>
        <v/>
      </c>
      <c r="K2383">
        <f>J2383*(1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2385=TRUE,F2385,0)/100)*(1+(IF(Skills!A9="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2383)</f>
        <v/>
      </c>
      <c r="L2383">
        <f>K2383*(MIN(Inputs!$B$22+((C2399=TRUE)*(F2399-Calc!F25)),(Inputs!$B$23+((C2404=TRUE)*(F2404-Calc!F30))+(IF(ArtifactsInput!$M$15,CHOOSE(ArtifactsInput!$N$15+1,25,30,35,40,45,50)/100*(Inputs!$B$11-Inputs!$B$11),0))))/100+(Inputs!$B$23+((C2404=TRUE)*(F2404-Calc!F30))+(IF(ArtifactsInput!$M$15,CHOOSE(ArtifactsInput!$N$15+1,25,30,35,40,45,50)/100*(Inputs!$B$11-Inputs!$B$11),0)))/100)/2</f>
        <v/>
      </c>
      <c r="M2383">
        <f>L2383*(1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3">
        <f>L2383*(1-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2383*(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3">
        <f>(1-Summary!$B$11)*T2383+Summary!$B$11*V2383</f>
        <v/>
      </c>
      <c r="P2383">
        <f>IF(B2418=0,0,O2383/B2418)</f>
        <v/>
      </c>
      <c r="Q2383">
        <f>IFERROR(1/(IF(Inputs!$B$38="pvp",15,MAX(0.1,Skills!D9-IF(Skills!E9=TRUE,Inputs!$B$32,0)))*(1-IF(AND(ArtifactsInput!$M$27,Inputs!$B$4="Chapter Hunt"),CHOOSE(ArtifactsInput!$N$27+1,20,24,28,32,36,40),0)/100)),0)</f>
        <v/>
      </c>
      <c r="R2383">
        <f>IF(AND(Inputs!$B$38&lt;&gt;"pvp",Inputs!$B$43&gt;0),IF(MAX(0,Inputs!$B$43-B2415)&lt;=0,0,(INT(MAX(0,Inputs!$B$43-B2415)/(IF(Inputs!$B$38="pvp",15,MAX(0.1,Skills!D9-IF(Skills!E9=TRUE,Inputs!$B$32,0)))*(1-IF(AND(ArtifactsInput!$M$27,Inputs!$B$4="Chapter Hunt"),CHOOSE(ArtifactsInput!$N$27+1,20,24,28,32,36,40),0)/100)))+1)),0)</f>
        <v/>
      </c>
      <c r="S2383">
        <f>IFERROR(O2383/N2383,0)</f>
        <v/>
      </c>
      <c r="T2383">
        <f>IF(C2383,(H2383*N2383*IF(AND(Inputs!$B$38&lt;&gt;"pvp",Inputs!$B$43&gt;0),((Skills!G9*((R2383-1)*IF(Skills!H9&gt;0,Skills!I9/Skills!H9,1)+IF(Skills!H9&gt;0,MIN(Skills!I9,MAX(0,MAX(0,Inputs!$B$43-B2415)-((R2383-1)*(IF(Inputs!$B$38="pvp",15,MAX(0.1,Skills!D9-IF(Skills!E9=TRUE,Inputs!$B$32,0)))*(1-IF(AND(ArtifactsInput!$M$27,Inputs!$B$4="Chapter Hunt"),CHOOSE(ArtifactsInput!$N$27+1,20,24,28,32,36,40),0)/100)))))/Skills!H9,1)))/Inputs!$B$43),G2383*Q2383)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2383*(1-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2383*(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2383*(1-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2383*(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3">
        <f>IF(C2383,(H2383*N2383*IF(AND(Inputs!$B$38&lt;&gt;"pvp",Inputs!$B$43&gt;0),((Skills!G9*((R2383-1)*IF(Skills!H9&gt;0,Skills!I9/Skills!H9,1)+IF(Skills!H9&gt;0,MIN(Skills!I9,MAX(0,MAX(0,Inputs!$B$43-B2415)-((R2383-1)*(IF(Inputs!$B$38="pvp",15,MAX(0.1,Skills!D9-IF(Skills!E9=TRUE,Inputs!$B$32,0)))*(1-IF(AND(ArtifactsInput!$M$27,Inputs!$B$4="Chapter Hunt"),CHOOSE(ArtifactsInput!$N$27+1,20,24,28,32,36,40),0)/100)))))/Skills!H9,1)))/Inputs!$B$43),G2383*Q2383))*IF(Inputs!$B$38="pvp",1,(1+(Inputs!$B$21+Skills!Q9+(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4">
      <c r="A2384">
        <f>Skills!A10</f>
        <v/>
      </c>
      <c r="B2384">
        <f>Skills!B10</f>
        <v/>
      </c>
      <c r="C2384">
        <f>Inputs!$B$3&gt;=103</f>
        <v/>
      </c>
      <c r="D2384">
        <f>IF(Skills!C10=1,60+Inputs!$B$25+Inputs!$B$29,IF(Skills!C10=2,90+Inputs!$B$26+Inputs!$B$29,IF(Skills!C10=3,120+Inputs!$B$27+Inputs!$B$29,MAX(0,(Inputs!$B$3-100)*3)+Inputs!$B$28+Inputs!$B$29)))</f>
        <v/>
      </c>
      <c r="E2384">
        <f>INDEX(FactorTable!$B$2:$Y$301, MATCH(ROUND(MIN(300,MAX(1,D2384)),0), FactorTable!$A$2:$A$301,0), Skills!M10+1)</f>
        <v/>
      </c>
      <c r="F2384">
        <f>IF(Skills!N10=TRUE,(Skills!L10/10)*(E2384/1000),Skills!L10/10)+Skills!O10</f>
        <v/>
      </c>
      <c r="G2384">
        <f>Skills!G10*IF(Skills!H10&gt;0,Skills!I10/Skills!H10,1)</f>
        <v/>
      </c>
      <c r="H2384">
        <f>1-(1-Skills!J10/100)^Skills!K10</f>
        <v/>
      </c>
      <c r="I2384" t="inlineStr">
        <is>
          <t>1</t>
        </is>
      </c>
      <c r="J2384">
        <f>((Inputs!$B$6*(1+Inputs!$B$7/100))+(((Inputs!$B$12*(1+Inputs!$B$13/100))-(Inputs!$B$12*(1+Inputs!$B$13/100)))+0.25*(Inputs!$B$14-Inputs!$B$14))*(1+Inputs!$B$7/100))*(F2384/100)</f>
        <v/>
      </c>
      <c r="K2384">
        <f>J2384*(1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2384)</f>
        <v/>
      </c>
      <c r="L2384">
        <f>K2384*(MIN(Inputs!$B$22+((C2399=TRUE)*(F2399-Calc!F25)),(Inputs!$B$23+((C2404=TRUE)*(F2404-Calc!F30))+(IF(ArtifactsInput!$M$15,CHOOSE(ArtifactsInput!$N$15+1,25,30,35,40,45,50)/100*(Inputs!$B$11-Inputs!$B$11),0))))/100+(Inputs!$B$23+((C2404=TRUE)*(F2404-Calc!F30))+(IF(ArtifactsInput!$M$15,CHOOSE(ArtifactsInput!$N$15+1,25,30,35,40,45,50)/100*(Inputs!$B$11-Inputs!$B$11),0)))/100)/2</f>
        <v/>
      </c>
      <c r="M2384">
        <f>L2384*(1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4">
        <f>L2384*(1-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2384*(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4">
        <f>(1-Summary!$B$11)*T2384+Summary!$B$11*V2384</f>
        <v/>
      </c>
      <c r="P2384">
        <f>IF(B2418=0,0,O2384/B2418)</f>
        <v/>
      </c>
      <c r="Q2384">
        <f>IFERROR(1/(IF(Inputs!$B$38="pvp",15,MAX(0.1,Skills!D10-IF(Skills!E10=TRUE,Inputs!$B$32,0)))*(1-IF(AND(ArtifactsInput!$M$27,Inputs!$B$4="Chapter Hunt"),CHOOSE(ArtifactsInput!$N$27+1,20,24,28,32,36,40),0)/100)),0)</f>
        <v/>
      </c>
      <c r="R2384">
        <f>IF(AND(Inputs!$B$38&lt;&gt;"pvp",Inputs!$B$43&gt;0),IF(MAX(0,Inputs!$B$43-B2415)&lt;=0,0,(INT(MAX(0,Inputs!$B$43-B2415)/(IF(Inputs!$B$38="pvp",15,MAX(0.1,Skills!D10-IF(Skills!E10=TRUE,Inputs!$B$32,0)))*(1-IF(AND(ArtifactsInput!$M$27,Inputs!$B$4="Chapter Hunt"),CHOOSE(ArtifactsInput!$N$27+1,20,24,28,32,36,40),0)/100)))+1)),0)</f>
        <v/>
      </c>
      <c r="S2384">
        <f>IFERROR(O2384/N2384,0)</f>
        <v/>
      </c>
      <c r="T2384">
        <f>IF(C2384,(H2384*N2384*IF(AND(Inputs!$B$38&lt;&gt;"pvp",Inputs!$B$43&gt;0),((Skills!G10*((R2384-1)*IF(Skills!H10&gt;0,Skills!I10/Skills!H10,1)+IF(Skills!H10&gt;0,MIN(Skills!I10,MAX(0,MAX(0,Inputs!$B$43-B2415)-((R2384-1)*(IF(Inputs!$B$38="pvp",15,MAX(0.1,Skills!D10-IF(Skills!E10=TRUE,Inputs!$B$32,0)))*(1-IF(AND(ArtifactsInput!$M$27,Inputs!$B$4="Chapter Hunt"),CHOOSE(ArtifactsInput!$N$27+1,20,24,28,32,36,40),0)/100)))))/Skills!H10,1)))/Inputs!$B$43),G2384*Q2384)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2384*(1-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2384*(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2384*(1-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2384*(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4">
        <f>IF(C2384,(H2384*N2384*IF(AND(Inputs!$B$38&lt;&gt;"pvp",Inputs!$B$43&gt;0),((Skills!G10*((R2384-1)*IF(Skills!H10&gt;0,Skills!I10/Skills!H10,1)+IF(Skills!H10&gt;0,MIN(Skills!I10,MAX(0,MAX(0,Inputs!$B$43-B2415)-((R2384-1)*(IF(Inputs!$B$38="pvp",15,MAX(0.1,Skills!D10-IF(Skills!E10=TRUE,Inputs!$B$32,0)))*(1-IF(AND(ArtifactsInput!$M$27,Inputs!$B$4="Chapter Hunt"),CHOOSE(ArtifactsInput!$N$27+1,20,24,28,32,36,40),0)/100)))))/Skills!H10,1)))/Inputs!$B$43),G2384*Q2384))*IF(Inputs!$B$38="pvp",1,(1+(Inputs!$B$21+Skills!Q10+(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5">
      <c r="A2385">
        <f>Skills!A11</f>
        <v/>
      </c>
      <c r="B2385">
        <f>Skills!B11</f>
        <v/>
      </c>
      <c r="C2385">
        <f>Inputs!$B$3&gt;=100</f>
        <v/>
      </c>
      <c r="D2385">
        <f>IF(Skills!C11=1,60+Inputs!$B$25+Inputs!$B$29,IF(Skills!C11=2,90+Inputs!$B$26+Inputs!$B$29,IF(Skills!C11=3,120+Inputs!$B$27+Inputs!$B$29,MAX(0,(Inputs!$B$3-100)*3)+Inputs!$B$28+Inputs!$B$29)))</f>
        <v/>
      </c>
      <c r="E2385">
        <f>INDEX(FactorTable!$B$2:$Y$301, MATCH(ROUND(MIN(300,MAX(1,D2385)),0), FactorTable!$A$2:$A$301,0), Skills!M11+1)</f>
        <v/>
      </c>
      <c r="F2385">
        <f>IF(Skills!N11=TRUE,(Skills!L11/10)*(E2385/1000),Skills!L11/10)+Skills!O11</f>
        <v/>
      </c>
      <c r="G2385" t="inlineStr"/>
      <c r="H2385" t="inlineStr"/>
      <c r="I2385" t="inlineStr">
        <is>
          <t>1</t>
        </is>
      </c>
      <c r="J2385" t="inlineStr"/>
      <c r="K2385" t="inlineStr"/>
      <c r="L2385" t="inlineStr"/>
      <c r="M2385" t="inlineStr"/>
      <c r="N2385" t="inlineStr"/>
      <c r="O2385" t="inlineStr"/>
      <c r="P2385" t="inlineStr"/>
      <c r="Q2385" t="inlineStr"/>
      <c r="R2385" t="inlineStr"/>
      <c r="S2385" t="inlineStr"/>
      <c r="T2385" t="inlineStr"/>
      <c r="V2385" t="inlineStr"/>
    </row>
    <row r="2386">
      <c r="A2386">
        <f>Skills!A12</f>
        <v/>
      </c>
      <c r="B2386">
        <f>Skills!B12</f>
        <v/>
      </c>
      <c r="C2386">
        <f>Inputs!$B$3&gt;=60</f>
        <v/>
      </c>
      <c r="D2386">
        <f>IF(Skills!C12=1,60+Inputs!$B$25+Inputs!$B$29,IF(Skills!C12=2,90+Inputs!$B$26+Inputs!$B$29,IF(Skills!C12=3,120+Inputs!$B$27+Inputs!$B$29,MAX(0,(Inputs!$B$3-100)*3)+Inputs!$B$28+Inputs!$B$29)))</f>
        <v/>
      </c>
      <c r="E2386">
        <f>INDEX(FactorTable!$B$2:$Y$301, MATCH(ROUND(MIN(300,MAX(1,D2386)),0), FactorTable!$A$2:$A$301,0), Skills!M12+1)</f>
        <v/>
      </c>
      <c r="F2386">
        <f>IF(Skills!N12=TRUE,(Skills!L12/10)*(E2386/1000),Skills!L12/10)+Skills!O12</f>
        <v/>
      </c>
      <c r="G2386">
        <f>Skills!G12*IF(Skills!H12&gt;0,Skills!I12/Skills!H12,1)</f>
        <v/>
      </c>
      <c r="H2386">
        <f>1-(1-Skills!J12/100)^Skills!K12</f>
        <v/>
      </c>
      <c r="I2386" t="inlineStr">
        <is>
          <t>1</t>
        </is>
      </c>
      <c r="J2386">
        <f>((Inputs!$B$6*(1+Inputs!$B$7/100))+(((Inputs!$B$12*(1+Inputs!$B$13/100))-(Inputs!$B$12*(1+Inputs!$B$13/100)))+0.25*(Inputs!$B$14-Inputs!$B$14))*(1+Inputs!$B$7/100))*(F2386/100)</f>
        <v/>
      </c>
      <c r="K2386">
        <f>J2386*(1+((Inputs!$B$12*(1+Inputs!$B$13/100))*0.01+Inputs!$B$14*0.0025)/100)*(1+Inputs!$B$15/100)*(1+Inputs!$B$16/100)*(5000/(6000+Inputs!$B$42*(1-(100*(1-(1-(Inputs!$B$19+((C2402=TRUE)*(F2402-Calc!F28)))/100)*(1-CHOOSE(ArtifactsInput!$N$40+1,5,6,7,8,9,10)/100)^(ArtifactsInput!$M$40-ArtifactsInput!$M$40)))/100)))*(1+(Inputs!$B$24+((C2400=TRUE)*(F2400-Calc!F26))+((C2401=TRUE)*(F2401-Calc!F27))+B2414)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2387=TRUE,F2387,0)/100)*(1+(IF(Skills!A12="ARROW_STREAM",Inputs!$B$17+((C2398=TRUE)*(F2398-Calc!F24))+(((IF(AND(ArtifactsInput!$M$42,((Inputs!$B$9+((C2395=TRUE)*(F2395-Calc!F21))+B2408+(ArtifactsInput!$M$24-ArtifactsInput!$M$24)*CHOOSE(ArtifactsInput!$N$24+1,10,12,14,16,18,20)+IF(ArtifactsInput!$M$10,CHOOSE(ArtifactsInput!$N$10+1,15,18,21,24,27,30)*(IF(Inputs!$B$38="pvp",MIN(15,15)/15,IF(AND(Inputs!$B$38&lt;&gt;"pvp",Inputs!$B$43&gt;0),MIN(15,Inputs!$B$43)/(Inputs!$B$43),0))),0)))&gt;=100),MIN(100,((Inputs!$B$9+((C2395=TRUE)*(F2395-Calc!F21))+B2408+(ArtifactsInput!$M$24-ArtifactsInput!$M$24)*CHOOSE(ArtifactsInput!$N$24+1,10,12,14,16,18,20)+IF(ArtifactsInput!$M$10,CHOOSE(ArtifactsInput!$N$10+1,15,18,21,24,27,30)*(IF(Inputs!$B$38="pvp",MIN(15,15)/15,IF(AND(Inputs!$B$38&lt;&gt;"pvp",Inputs!$B$43&gt;0),MIN(15,Inputs!$B$43)/(Inputs!$B$43),0))),0)))-100),0))*CHOOSE(ArtifactsInput!$N$42+1,0.6,0.72,0.84,0.96,1.08,1.2))),Inputs!$B$18+((C2403=TRUE)*(F2403-Calc!F29))+(IF(AND(ArtifactsInput!$M$42,((Inputs!$B$9+((C2395=TRUE)*(F2395-Calc!F21))+B2408+(ArtifactsInput!$M$24-ArtifactsInput!$M$24)*CHOOSE(ArtifactsInput!$N$24+1,10,12,14,16,18,20)+IF(ArtifactsInput!$M$10,CHOOSE(ArtifactsInput!$N$10+1,15,18,21,24,27,30)*(IF(Inputs!$B$38="pvp",MIN(15,15)/15,IF(AND(Inputs!$B$38&lt;&gt;"pvp",Inputs!$B$43&gt;0),MIN(15,Inputs!$B$43)/(Inputs!$B$43),0))),0)))&gt;=100),CHOOSE(ArtifactsInput!$N$42+1,40,48,56,64,72,80),0))))/100)*((1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2386)</f>
        <v/>
      </c>
      <c r="L2386">
        <f>K2386*(MIN(Inputs!$B$22+((C2399=TRUE)*(F2399-Calc!F25)),(Inputs!$B$23+((C2404=TRUE)*(F2404-Calc!F30))+(IF(ArtifactsInput!$M$15,CHOOSE(ArtifactsInput!$N$15+1,25,30,35,40,45,50)/100*(Inputs!$B$11-Inputs!$B$11),0))))/100+(Inputs!$B$23+((C2404=TRUE)*(F2404-Calc!F30))+(IF(ArtifactsInput!$M$15,CHOOSE(ArtifactsInput!$N$15+1,25,30,35,40,45,50)/100*(Inputs!$B$11-Inputs!$B$11),0)))/100)/2</f>
        <v/>
      </c>
      <c r="M2386">
        <f>L2386*(1+(Inputs!$B$10+0+B2413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6">
        <f>L2386*(1-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2386*(MIN((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6">
        <f>(1-Summary!$B$11)*T2386+Summary!$B$11*V2386</f>
        <v/>
      </c>
      <c r="P2386">
        <f>IF(B2418=0,0,O2386/B2418)</f>
        <v/>
      </c>
      <c r="Q2386">
        <f>IFERROR(1/(IF(Inputs!$B$38="pvp",15,MAX(0.1,Skills!D12-IF(Skills!E12=TRUE,Inputs!$B$32,0)))*(1-IF(AND(ArtifactsInput!$M$27,Inputs!$B$4="Chapter Hunt"),CHOOSE(ArtifactsInput!$N$27+1,20,24,28,32,36,40),0)/100)),0)</f>
        <v/>
      </c>
      <c r="R2386">
        <f>IF(AND(Inputs!$B$38&lt;&gt;"pvp",Inputs!$B$43&gt;0),IF(MAX(0,Inputs!$B$43-B2415)&lt;=0,0,(INT(MAX(0,Inputs!$B$43-B2415)/(IF(Inputs!$B$38="pvp",15,MAX(0.1,Skills!D12-IF(Skills!E12=TRUE,Inputs!$B$32,0)))*(1-IF(AND(ArtifactsInput!$M$27,Inputs!$B$4="Chapter Hunt"),CHOOSE(ArtifactsInput!$N$27+1,20,24,28,32,36,40),0)/100)))+1)),0)</f>
        <v/>
      </c>
      <c r="S2386">
        <f>IFERROR(O2386/N2386,0)</f>
        <v/>
      </c>
      <c r="T2386">
        <f>IF(C2386,(H2386*N2386*IF(AND(Inputs!$B$38&lt;&gt;"pvp",Inputs!$B$43&gt;0),((Skills!G12*((R2386-1)*IF(Skills!H12&gt;0,Skills!I12/Skills!H12,1)+IF(Skills!H12&gt;0,MIN(Skills!I12,MAX(0,MAX(0,Inputs!$B$43-B2415)-((R2386-1)*(IF(Inputs!$B$38="pvp",15,MAX(0.1,Skills!D12-IF(Skills!E12=TRUE,Inputs!$B$32,0)))*(1-IF(AND(ArtifactsInput!$M$27,Inputs!$B$4="Chapter Hunt"),CHOOSE(ArtifactsInput!$N$27+1,20,24,28,32,36,40),0)/100)))))/Skills!H12,1)))/Inputs!$B$43),G2386*Q2386)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(5000/(6000+Inputs!$B$42*(1-(100*(1-(1-(100*(1-(1-(Inputs!$B$19+((C2402=TRUE)*(F2402-Calc!F28)))/100)*(1-CHOOSE(ArtifactsInput!$N$40+1,5,6,7,8,9,10)/100)^(ArtifactsInput!$M$40-ArtifactsInput!$M$40)))/100)*(1-IF(ArtifactsInput!$M$40,CHOOSE(ArtifactsInput!$N$40+1,5,6,7,8,9,10),0)/100)^IF(Inputs!$B$38="pvp",1,2)))/100)))/(5000/(6000+Inputs!$B$42*(1-(100*(1-(1-(Inputs!$B$19+((C2402=TRUE)*(F2402-Calc!F28)))/100)*(1-CHOOSE(ArtifactsInput!$N$40+1,5,6,7,8,9,10)/100)^(ArtifactsInput!$M$40-ArtifactsInput!$M$40)))/100))))*((L2386*(1-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2386*(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2386*(1-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2386*(MIN(100,(Inputs!$B$9+((C2395=TRUE)*(F2395-Calc!F21))+B2408+(ArtifactsInput!$M$24-ArtifactsInput!$M$24)*CHOOSE(ArtifactsInput!$N$24+1,10,12,14,16,18,20)+(IF(AND(ArtifactsInput!$M$42,((Inputs!$B$9+((C2395=TRUE)*(F2395-Calc!F21))+B2408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6">
        <f>IF(C2386,(H2386*N2386*IF(AND(Inputs!$B$38&lt;&gt;"pvp",Inputs!$B$43&gt;0),((Skills!G12*((R2386-1)*IF(Skills!H12&gt;0,Skills!I12/Skills!H12,1)+IF(Skills!H12&gt;0,MIN(Skills!I12,MAX(0,MAX(0,Inputs!$B$43-B2415)-((R2386-1)*(IF(Inputs!$B$38="pvp",15,MAX(0.1,Skills!D12-IF(Skills!E12=TRUE,Inputs!$B$32,0)))*(1-IF(AND(ArtifactsInput!$M$27,Inputs!$B$4="Chapter Hunt"),CHOOSE(ArtifactsInput!$N$27+1,20,24,28,32,36,40),0)/100)))))/Skills!H12,1)))/Inputs!$B$43),G2386*Q2386))*IF(Inputs!$B$38="pvp",1,(1+(Inputs!$B$21+Skills!Q12+(IF(ArtifactsInput!$M$33,CHOOSE(ArtifactsInput!$N$33+1,30,36,42,48,54,60),0))+(IF(AND(ArtifactsInput!$M$35,Inputs!$B$4&lt;&gt;"Chapter Hunt"),CHOOSE(ArtifactsInput!$N$35+1,15,18,21,24,27,30)*(1-EXP(-(0.2*B2410)*5)),0)+IF(AND(ArtifactsInput!$M$22,Inputs!$B$4&lt;&gt;"Chapter Hunt"),CHOOSE(ArtifactsInput!$N$22+1,10,12,14,16,18,20)*((0*(((0.15*B2410*5))^0/1)+1*(((0.15*B2410*5))^1/1)+2*(((0.15*B2410*5))^2/2)+3*(((0.15*B2410*5))^3/6)+4*(((0.15*B2410*5))^4/24)+5*(((0.15*B2410*5))^5/120))/((((0.15*B2410*5))^0/1)+(((0.15*B2410*5))^1/1)+(((0.15*B2410*5))^2/2)+(((0.15*B2410*5))^3/6)+(((0.15*B2410*5))^4/24)+(((0.15*B2410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7">
      <c r="A2387">
        <f>Skills!A13</f>
        <v/>
      </c>
      <c r="B2387">
        <f>Skills!B13</f>
        <v/>
      </c>
      <c r="C2387">
        <f>Inputs!$B$3&gt;=110</f>
        <v/>
      </c>
      <c r="D2387">
        <f>IF(Skills!C13=1,60+Inputs!$B$25+Inputs!$B$29,IF(Skills!C13=2,90+Inputs!$B$26+Inputs!$B$29,IF(Skills!C13=3,120+Inputs!$B$27+Inputs!$B$29,MAX(0,(Inputs!$B$3-100)*3)+Inputs!$B$28+Inputs!$B$29)))</f>
        <v/>
      </c>
      <c r="E2387">
        <f>INDEX(FactorTable!$B$2:$Y$301, MATCH(ROUND(MIN(300,MAX(1,D2387)),0), FactorTable!$A$2:$A$301,0), Skills!M13+1)</f>
        <v/>
      </c>
      <c r="F2387">
        <f>IF(Skills!N13=TRUE,(Skills!L13/10)*(E2387/1000),Skills!L13/10)+Skills!O13</f>
        <v/>
      </c>
      <c r="G2387" t="inlineStr"/>
      <c r="H2387" t="inlineStr"/>
      <c r="I2387" t="inlineStr">
        <is>
          <t>1</t>
        </is>
      </c>
      <c r="J2387" t="inlineStr"/>
      <c r="K2387" t="inlineStr"/>
      <c r="L2387" t="inlineStr"/>
      <c r="M2387" t="inlineStr"/>
      <c r="N2387" t="inlineStr"/>
      <c r="O2387" t="inlineStr"/>
      <c r="P2387" t="inlineStr"/>
      <c r="Q2387" t="inlineStr"/>
      <c r="R2387" t="inlineStr"/>
      <c r="S2387" t="inlineStr"/>
      <c r="T2387" t="inlineStr"/>
      <c r="V2387" t="inlineStr"/>
    </row>
    <row r="2388">
      <c r="A2388">
        <f>Skills!A14</f>
        <v/>
      </c>
      <c r="B2388">
        <f>Skills!B14</f>
        <v/>
      </c>
      <c r="C2388">
        <f>Inputs!$B$3&gt;=74</f>
        <v/>
      </c>
      <c r="D2388">
        <f>IF(Skills!C14=1,60+Inputs!$B$25+Inputs!$B$29,IF(Skills!C14=2,90+Inputs!$B$26+Inputs!$B$29,IF(Skills!C14=3,120+Inputs!$B$27+Inputs!$B$29,MAX(0,(Inputs!$B$3-100)*3)+Inputs!$B$28+Inputs!$B$29)))</f>
        <v/>
      </c>
      <c r="E2388">
        <f>INDEX(FactorTable!$B$2:$Y$301, MATCH(ROUND(MIN(300,MAX(1,D2388)),0), FactorTable!$A$2:$A$301,0), Skills!M14+1)</f>
        <v/>
      </c>
      <c r="F2388">
        <f>IF(Skills!N14=TRUE,(Skills!L14/10)*(E2388/1000),Skills!L14/10)+Skills!O14</f>
        <v/>
      </c>
      <c r="G2388">
        <f>Skills!G14*IF(Skills!H14&gt;0,Skills!I14/Skills!H14,1)</f>
        <v/>
      </c>
      <c r="H2388">
        <f>1-(1-Skills!J14/100)^Skills!K14</f>
        <v/>
      </c>
      <c r="I2388" t="inlineStr">
        <is>
          <t>1</t>
        </is>
      </c>
      <c r="J2388" t="inlineStr"/>
      <c r="K2388" t="inlineStr"/>
      <c r="L2388" t="inlineStr"/>
      <c r="M2388" t="inlineStr"/>
      <c r="N2388" t="inlineStr"/>
      <c r="O2388">
        <f>(1-Summary!$B$11)*T2388+Summary!$B$11*V2388</f>
        <v/>
      </c>
      <c r="P2388">
        <f>IF(B2418=0,0,O2388/B2418)</f>
        <v/>
      </c>
      <c r="Q2388" t="n">
        <v>0</v>
      </c>
      <c r="R2388" t="n">
        <v>0</v>
      </c>
      <c r="S2388">
        <f>IFERROR(O2388/N2388,0)</f>
        <v/>
      </c>
      <c r="T2388" t="n">
        <v>0</v>
      </c>
      <c r="V2388" t="n">
        <v>0</v>
      </c>
    </row>
    <row r="2389">
      <c r="A2389">
        <f>Skills!A15</f>
        <v/>
      </c>
      <c r="B2389">
        <f>Skills!B15</f>
        <v/>
      </c>
      <c r="C2389">
        <f>Inputs!$B$3&gt;=74</f>
        <v/>
      </c>
      <c r="D2389">
        <f>IF(Skills!C15=1,60+Inputs!$B$25+Inputs!$B$29,IF(Skills!C15=2,90+Inputs!$B$26+Inputs!$B$29,IF(Skills!C15=3,120+Inputs!$B$27+Inputs!$B$29,MAX(0,(Inputs!$B$3-100)*3)+Inputs!$B$28+Inputs!$B$29)))</f>
        <v/>
      </c>
      <c r="E2389">
        <f>INDEX(FactorTable!$B$2:$Y$301, MATCH(ROUND(MIN(300,MAX(1,D2389)),0), FactorTable!$A$2:$A$301,0), Skills!M15+1)</f>
        <v/>
      </c>
      <c r="F2389">
        <f>IF(Skills!N15=TRUE,(Skills!L15/10)*(E2389/1000),Skills!L15/10)+Skills!O15</f>
        <v/>
      </c>
      <c r="G2389">
        <f>Skills!G15*IF(Skills!H15&gt;0,Skills!I15/Skills!H15,1)</f>
        <v/>
      </c>
      <c r="H2389">
        <f>1-(1-Skills!J15/100)^Skills!K15</f>
        <v/>
      </c>
      <c r="I2389" t="inlineStr">
        <is>
          <t>1</t>
        </is>
      </c>
      <c r="J2389" t="inlineStr"/>
      <c r="K2389" t="inlineStr"/>
      <c r="L2389" t="inlineStr"/>
      <c r="M2389" t="inlineStr"/>
      <c r="N2389" t="inlineStr"/>
      <c r="O2389">
        <f>(1-Summary!$B$11)*T2389+Summary!$B$11*V2389</f>
        <v/>
      </c>
      <c r="P2389">
        <f>IF(B2418=0,0,O2389/B2418)</f>
        <v/>
      </c>
      <c r="Q2389" t="n">
        <v>0</v>
      </c>
      <c r="R2389" t="n">
        <v>0</v>
      </c>
      <c r="S2389">
        <f>IFERROR(O2389/N2389,0)</f>
        <v/>
      </c>
      <c r="T2389" t="n">
        <v>0</v>
      </c>
      <c r="V2389" t="n">
        <v>0</v>
      </c>
    </row>
    <row r="2390">
      <c r="A2390">
        <f>Skills!A16</f>
        <v/>
      </c>
      <c r="B2390">
        <f>Skills!B16</f>
        <v/>
      </c>
      <c r="C2390">
        <f>Inputs!$B$3&gt;=117</f>
        <v/>
      </c>
      <c r="D2390">
        <f>IF(Skills!C16=1,60+Inputs!$B$25+Inputs!$B$29,IF(Skills!C16=2,90+Inputs!$B$26+Inputs!$B$29,IF(Skills!C16=3,120+Inputs!$B$27+Inputs!$B$29,MAX(0,(Inputs!$B$3-100)*3)+Inputs!$B$28+Inputs!$B$29)))</f>
        <v/>
      </c>
      <c r="E2390">
        <f>INDEX(FactorTable!$B$2:$Y$301, MATCH(ROUND(MIN(300,MAX(1,D2390)),0), FactorTable!$A$2:$A$301,0), Skills!M16+1)</f>
        <v/>
      </c>
      <c r="F2390">
        <f>IF(Skills!N16=TRUE,(Skills!L16/10)*(E2390/1000),Skills!L16/10)+Skills!O16</f>
        <v/>
      </c>
      <c r="G2390">
        <f>Skills!G16*IF(Skills!H16&gt;0,Skills!I16/Skills!H16,1)</f>
        <v/>
      </c>
      <c r="H2390">
        <f>1-(1-Skills!J16/100)^Skills!K16</f>
        <v/>
      </c>
      <c r="I2390" t="inlineStr">
        <is>
          <t>1</t>
        </is>
      </c>
      <c r="J2390" t="inlineStr"/>
      <c r="K2390" t="inlineStr"/>
      <c r="L2390" t="inlineStr"/>
      <c r="M2390" t="inlineStr"/>
      <c r="N2390" t="inlineStr"/>
      <c r="O2390">
        <f>(1-Summary!$B$11)*T2390+Summary!$B$11*V2390</f>
        <v/>
      </c>
      <c r="P2390">
        <f>IF(B2418=0,0,O2390/B2418)</f>
        <v/>
      </c>
      <c r="Q2390">
        <f>IFERROR(1/(IF(Inputs!$B$38="pvp",15,MAX(0.1,Skills!D16-IF(Skills!E16=TRUE,Inputs!$B$32,0)))*(1-IF(AND(ArtifactsInput!$M$27,Inputs!$B$4="Chapter Hunt"),CHOOSE(ArtifactsInput!$N$27+1,20,24,28,32,36,40),0)/100)),0)</f>
        <v/>
      </c>
      <c r="R2390">
        <f>IF(AND(Inputs!$B$38&lt;&gt;"pvp",Inputs!$B$43&gt;0),IF(Inputs!$B$43&lt;=0,0,(INT(Inputs!$B$43/(IF(Inputs!$B$38="pvp",15,MAX(0.1,Skills!D16-IF(Skills!E16=TRUE,Inputs!$B$32,0)))*(1-IF(AND(ArtifactsInput!$M$27,Inputs!$B$4="Chapter Hunt"),CHOOSE(ArtifactsInput!$N$27+1,20,24,28,32,36,40),0)/100)))+1)),0)</f>
        <v/>
      </c>
      <c r="S2390">
        <f>IFERROR(O2390/N2390,0)</f>
        <v/>
      </c>
      <c r="T2390" t="n">
        <v>0</v>
      </c>
      <c r="V2390" t="n">
        <v>0</v>
      </c>
    </row>
    <row r="2391">
      <c r="A2391">
        <f>Skills!A17</f>
        <v/>
      </c>
      <c r="B2391">
        <f>Skills!B17</f>
        <v/>
      </c>
      <c r="C2391">
        <f>Inputs!$B$3&gt;=115</f>
        <v/>
      </c>
      <c r="D2391">
        <f>IF(Skills!C17=1,60+Inputs!$B$25+Inputs!$B$29,IF(Skills!C17=2,90+Inputs!$B$26+Inputs!$B$29,IF(Skills!C17=3,120+Inputs!$B$27+Inputs!$B$29,MAX(0,(Inputs!$B$3-100)*3)+Inputs!$B$28+Inputs!$B$29)))</f>
        <v/>
      </c>
      <c r="E2391">
        <f>INDEX(FactorTable!$B$2:$Y$301, MATCH(ROUND(MIN(300,MAX(1,D2391)),0), FactorTable!$A$2:$A$301,0), Skills!M17+1)</f>
        <v/>
      </c>
      <c r="F2391">
        <f>IF(Skills!N17=TRUE,(Skills!L17/10)*(E2391/1000),Skills!L17/10)+Skills!O17</f>
        <v/>
      </c>
      <c r="G2391">
        <f>Skills!G17*IF(Skills!H17&gt;0,Skills!I17/Skills!H17,1)</f>
        <v/>
      </c>
      <c r="H2391">
        <f>1-(1-Skills!J17/100)^Skills!K17</f>
        <v/>
      </c>
      <c r="I2391" t="inlineStr">
        <is>
          <t>1</t>
        </is>
      </c>
      <c r="J2391" t="inlineStr"/>
      <c r="K2391" t="inlineStr"/>
      <c r="L2391" t="inlineStr"/>
      <c r="M2391" t="inlineStr"/>
      <c r="N2391" t="inlineStr"/>
      <c r="O2391">
        <f>(1-Summary!$B$11)*T2391+Summary!$B$11*V2391</f>
        <v/>
      </c>
      <c r="P2391">
        <f>IF(B2418=0,0,O2391/B2418)</f>
        <v/>
      </c>
      <c r="Q2391">
        <f>IFERROR(1/(IF(Inputs!$B$38="pvp",15,MAX(0.1,Skills!D17-IF(Skills!E17=TRUE,Inputs!$B$32,0)))*(1-IF(AND(ArtifactsInput!$M$27,Inputs!$B$4="Chapter Hunt"),CHOOSE(ArtifactsInput!$N$27+1,20,24,28,32,36,40),0)/100)),0)</f>
        <v/>
      </c>
      <c r="R2391">
        <f>IF(AND(Inputs!$B$38&lt;&gt;"pvp",Inputs!$B$43&gt;0),IF(Inputs!$B$43&lt;=0,0,(INT(Inputs!$B$43/(IF(Inputs!$B$38="pvp",15,MAX(0.1,Skills!D17-IF(Skills!E17=TRUE,Inputs!$B$32,0)))*(1-IF(AND(ArtifactsInput!$M$27,Inputs!$B$4="Chapter Hunt"),CHOOSE(ArtifactsInput!$N$27+1,20,24,28,32,36,40),0)/100)))+1)),0)</f>
        <v/>
      </c>
      <c r="S2391">
        <f>IFERROR(O2391/N2391,0)</f>
        <v/>
      </c>
      <c r="T2391" t="n">
        <v>0</v>
      </c>
      <c r="V2391" t="n">
        <v>0</v>
      </c>
    </row>
    <row r="2392">
      <c r="A2392">
        <f>Skills!A18</f>
        <v/>
      </c>
      <c r="B2392">
        <f>Skills!B18</f>
        <v/>
      </c>
      <c r="C2392">
        <f>Inputs!$B$3&gt;=66</f>
        <v/>
      </c>
      <c r="D2392">
        <f>IF(Skills!C18=1,60+Inputs!$B$25+Inputs!$B$29,IF(Skills!C18=2,90+Inputs!$B$26+Inputs!$B$29,IF(Skills!C18=3,120+Inputs!$B$27+Inputs!$B$29,MAX(0,(Inputs!$B$3-100)*3)+Inputs!$B$28+Inputs!$B$29)))</f>
        <v/>
      </c>
      <c r="E2392">
        <f>INDEX(FactorTable!$B$2:$Y$301, MATCH(ROUND(MIN(300,MAX(1,D2392)),0), FactorTable!$A$2:$A$301,0), Skills!M18+1)</f>
        <v/>
      </c>
      <c r="F2392">
        <f>IF(Skills!N18=TRUE,(Skills!L18/10)*(E2392/1000),Skills!L18/10)+Skills!O18</f>
        <v/>
      </c>
      <c r="G2392">
        <f>Skills!G18*IF(Skills!H18&gt;0,Skills!I18/Skills!H18,1)</f>
        <v/>
      </c>
      <c r="H2392">
        <f>1-(1-Skills!J18/100)^Skills!K18</f>
        <v/>
      </c>
      <c r="I2392" t="inlineStr">
        <is>
          <t>1</t>
        </is>
      </c>
      <c r="J2392" t="inlineStr"/>
      <c r="K2392" t="inlineStr"/>
      <c r="L2392" t="inlineStr"/>
      <c r="M2392" t="inlineStr"/>
      <c r="N2392" t="inlineStr"/>
      <c r="O2392">
        <f>(1-Summary!$B$11)*T2392+Summary!$B$11*V2392</f>
        <v/>
      </c>
      <c r="P2392">
        <f>IF(B2418=0,0,O2392/B2418)</f>
        <v/>
      </c>
      <c r="Q2392" t="n">
        <v>0</v>
      </c>
      <c r="R2392" t="n">
        <v>0</v>
      </c>
      <c r="S2392">
        <f>IFERROR(O2392/N2392,0)</f>
        <v/>
      </c>
      <c r="T2392" t="n">
        <v>0</v>
      </c>
      <c r="V2392" t="n">
        <v>0</v>
      </c>
    </row>
    <row r="2393">
      <c r="A2393">
        <f>Skills!A19</f>
        <v/>
      </c>
      <c r="B2393">
        <f>Skills!B19</f>
        <v/>
      </c>
      <c r="C2393">
        <f>Inputs!$B$3&gt;=72</f>
        <v/>
      </c>
      <c r="D2393">
        <f>IF(Skills!C19=1,60+Inputs!$B$25+Inputs!$B$29,IF(Skills!C19=2,90+Inputs!$B$26+Inputs!$B$29,IF(Skills!C19=3,120+Inputs!$B$27+Inputs!$B$29,MAX(0,(Inputs!$B$3-100)*3)+Inputs!$B$28+Inputs!$B$29)))</f>
        <v/>
      </c>
      <c r="E2393">
        <f>INDEX(FactorTable!$B$2:$Y$301, MATCH(ROUND(MIN(300,MAX(1,D2393)),0), FactorTable!$A$2:$A$301,0), Skills!M19+1)</f>
        <v/>
      </c>
      <c r="F2393">
        <f>IF(Skills!N19=TRUE,(Skills!L19/10)*(E2393/1000),Skills!L19/10)+Skills!O19</f>
        <v/>
      </c>
      <c r="G2393">
        <f>Skills!G19*IF(Skills!H19&gt;0,Skills!I19/Skills!H19,1)</f>
        <v/>
      </c>
      <c r="H2393">
        <f>1-(1-Skills!J19/100)^Skills!K19</f>
        <v/>
      </c>
      <c r="I2393" t="inlineStr">
        <is>
          <t>1</t>
        </is>
      </c>
      <c r="J2393" t="inlineStr"/>
      <c r="K2393" t="inlineStr"/>
      <c r="L2393" t="inlineStr"/>
      <c r="M2393" t="inlineStr"/>
      <c r="N2393" t="inlineStr"/>
      <c r="O2393">
        <f>(1-Summary!$B$11)*T2393+Summary!$B$11*V2393</f>
        <v/>
      </c>
      <c r="P2393">
        <f>IF(B2418=0,0,O2393/B2418)</f>
        <v/>
      </c>
      <c r="Q2393" t="n">
        <v>0</v>
      </c>
      <c r="R2393" t="n">
        <v>0</v>
      </c>
      <c r="S2393">
        <f>IFERROR(O2393/N2393,0)</f>
        <v/>
      </c>
      <c r="T2393" t="n">
        <v>0</v>
      </c>
      <c r="V2393" t="n">
        <v>0</v>
      </c>
    </row>
    <row r="2394">
      <c r="A2394">
        <f>Skills!A20</f>
        <v/>
      </c>
      <c r="B2394">
        <f>Skills!B20</f>
        <v/>
      </c>
      <c r="C2394">
        <f>TRUE</f>
        <v/>
      </c>
      <c r="D2394">
        <f>IF(Skills!C20=1,60+Inputs!$B$25+Inputs!$B$29,IF(Skills!C20=2,90+Inputs!$B$26+Inputs!$B$29,IF(Skills!C20=3,120+Inputs!$B$27+Inputs!$B$29,MAX(0,(Inputs!$B$3-100)*3)+Inputs!$B$28+Inputs!$B$29)))</f>
        <v/>
      </c>
      <c r="E2394">
        <f>INDEX(FactorTable!$B$2:$Y$301, MATCH(ROUND(MIN(300,MAX(1,D2394)),0), FactorTable!$A$2:$A$301,0), Skills!M20+1)</f>
        <v/>
      </c>
      <c r="F2394">
        <f>IF(Skills!N20=TRUE,(Skills!L20/10)*(E2394/1000),Skills!L20/10)+Skills!O20</f>
        <v/>
      </c>
      <c r="G2394">
        <f>Skills!G20*IF(Skills!H20&gt;0,Skills!I20/Skills!H20,1)</f>
        <v/>
      </c>
      <c r="H2394">
        <f>1-(1-Skills!J20/100)^Skills!K20</f>
        <v/>
      </c>
      <c r="I2394" t="inlineStr">
        <is>
          <t>1</t>
        </is>
      </c>
      <c r="J2394" t="inlineStr"/>
      <c r="K2394" t="inlineStr"/>
      <c r="L2394" t="inlineStr"/>
      <c r="M2394" t="inlineStr"/>
      <c r="N2394" t="inlineStr"/>
      <c r="O2394">
        <f>(1-Summary!$B$11)*T2394+Summary!$B$11*V2394</f>
        <v/>
      </c>
      <c r="P2394">
        <f>IF(B2418=0,0,O2394/B2418)</f>
        <v/>
      </c>
      <c r="Q2394">
        <f>IFERROR(1/(IF(Inputs!$B$38="pvp",15,MAX(0.1,Skills!D20-IF(Skills!E20=TRUE,Inputs!$B$32,0)))*(1-IF(AND(ArtifactsInput!$M$27,Inputs!$B$4="Chapter Hunt"),CHOOSE(ArtifactsInput!$N$27+1,20,24,28,32,36,40),0)/100)),0)</f>
        <v/>
      </c>
      <c r="R2394">
        <f>IF(AND(Inputs!$B$38&lt;&gt;"pvp",Inputs!$B$43&gt;0),IF(Inputs!$B$43&lt;=0,0,(INT(Inputs!$B$43/(IF(Inputs!$B$38="pvp",15,MAX(0.1,Skills!D20-IF(Skills!E20=TRUE,Inputs!$B$32,0)))*(1-IF(AND(ArtifactsInput!$M$27,Inputs!$B$4="Chapter Hunt"),CHOOSE(ArtifactsInput!$N$27+1,20,24,28,32,36,40),0)/100)))+1)),0)</f>
        <v/>
      </c>
      <c r="S2394">
        <f>IFERROR(O2394/N2394,0)</f>
        <v/>
      </c>
      <c r="T2394" t="n">
        <v>0</v>
      </c>
      <c r="V2394" t="n">
        <v>0</v>
      </c>
    </row>
    <row r="2395">
      <c r="A2395">
        <f>Skills!A21</f>
        <v/>
      </c>
      <c r="B2395">
        <f>Skills!B21</f>
        <v/>
      </c>
      <c r="C2395">
        <f>Inputs!$B$3&gt;=15</f>
        <v/>
      </c>
      <c r="D2395">
        <f>IF(Skills!C21=1,60+Inputs!$B$25+Inputs!$B$29,IF(Skills!C21=2,90+Inputs!$B$26+Inputs!$B$29,IF(Skills!C21=3,120+Inputs!$B$27+Inputs!$B$29,MAX(0,(Inputs!$B$3-100)*3)+Inputs!$B$28+Inputs!$B$29)))</f>
        <v/>
      </c>
      <c r="E2395">
        <f>INDEX(FactorTable!$B$2:$Y$301, MATCH(ROUND(MIN(300,MAX(1,D2395)),0), FactorTable!$A$2:$A$301,0), Skills!M21+1)</f>
        <v/>
      </c>
      <c r="F2395">
        <f>IF(Skills!N21=TRUE,(Skills!L21/10)*(E2395/1000),Skills!L21/10)+Skills!O21</f>
        <v/>
      </c>
      <c r="G2395">
        <f>Skills!G21*IF(Skills!H21&gt;0,Skills!I21/Skills!H21,1)</f>
        <v/>
      </c>
      <c r="H2395">
        <f>1-(1-Skills!J21/100)^Skills!K21</f>
        <v/>
      </c>
      <c r="I2395" t="inlineStr">
        <is>
          <t>1</t>
        </is>
      </c>
      <c r="J2395" t="inlineStr"/>
      <c r="K2395" t="inlineStr"/>
      <c r="L2395" t="inlineStr"/>
      <c r="M2395" t="inlineStr"/>
      <c r="N2395" t="inlineStr"/>
      <c r="O2395">
        <f>(1-Summary!$B$11)*T2395+Summary!$B$11*V2395</f>
        <v/>
      </c>
      <c r="P2395">
        <f>IF(B2418=0,0,O2395/B2418)</f>
        <v/>
      </c>
      <c r="Q2395" t="n">
        <v>0</v>
      </c>
      <c r="R2395" t="n">
        <v>0</v>
      </c>
      <c r="S2395">
        <f>IFERROR(O2395/N2395,0)</f>
        <v/>
      </c>
      <c r="T2395" t="n">
        <v>0</v>
      </c>
      <c r="V2395" t="n">
        <v>0</v>
      </c>
    </row>
    <row r="2396">
      <c r="A2396">
        <f>Skills!A22</f>
        <v/>
      </c>
      <c r="B2396">
        <f>Skills!B22</f>
        <v/>
      </c>
      <c r="C2396">
        <f>Inputs!$B$3&gt;=10</f>
        <v/>
      </c>
      <c r="D2396">
        <f>IF(Skills!C22=1,60+Inputs!$B$25+Inputs!$B$29,IF(Skills!C22=2,90+Inputs!$B$26+Inputs!$B$29,IF(Skills!C22=3,120+Inputs!$B$27+Inputs!$B$29,MAX(0,(Inputs!$B$3-100)*3)+Inputs!$B$28+Inputs!$B$29)))</f>
        <v/>
      </c>
      <c r="E2396">
        <f>INDEX(FactorTable!$B$2:$Y$301, MATCH(ROUND(MIN(300,MAX(1,D2396)),0), FactorTable!$A$2:$A$301,0), Skills!M22+1)</f>
        <v/>
      </c>
      <c r="F2396">
        <f>IF(Skills!N22=TRUE,(Skills!L22/10)*(E2396/1000),Skills!L22/10)+Skills!O22</f>
        <v/>
      </c>
      <c r="G2396">
        <f>Skills!G22*IF(Skills!H22&gt;0,Skills!I22/Skills!H22,1)</f>
        <v/>
      </c>
      <c r="H2396">
        <f>1-(1-Skills!J22/100)^Skills!K22</f>
        <v/>
      </c>
      <c r="I2396" t="inlineStr">
        <is>
          <t>1</t>
        </is>
      </c>
      <c r="J2396" t="inlineStr"/>
      <c r="K2396" t="inlineStr"/>
      <c r="L2396" t="inlineStr"/>
      <c r="M2396" t="inlineStr"/>
      <c r="N2396" t="inlineStr"/>
      <c r="O2396">
        <f>(1-Summary!$B$11)*T2396+Summary!$B$11*V2396</f>
        <v/>
      </c>
      <c r="P2396">
        <f>IF(B2418=0,0,O2396/B2418)</f>
        <v/>
      </c>
      <c r="Q2396" t="n">
        <v>0</v>
      </c>
      <c r="R2396" t="n">
        <v>0</v>
      </c>
      <c r="S2396">
        <f>IFERROR(O2396/N2396,0)</f>
        <v/>
      </c>
      <c r="T2396" t="n">
        <v>0</v>
      </c>
      <c r="V2396" t="n">
        <v>0</v>
      </c>
    </row>
    <row r="2397">
      <c r="A2397">
        <f>Skills!A23</f>
        <v/>
      </c>
      <c r="B2397">
        <f>Skills!B23</f>
        <v/>
      </c>
      <c r="C2397">
        <f>Inputs!$B$3&gt;=33</f>
        <v/>
      </c>
      <c r="D2397">
        <f>IF(Skills!C23=1,60+Inputs!$B$25+Inputs!$B$29,IF(Skills!C23=2,90+Inputs!$B$26+Inputs!$B$29,IF(Skills!C23=3,120+Inputs!$B$27+Inputs!$B$29,MAX(0,(Inputs!$B$3-100)*3)+Inputs!$B$28+Inputs!$B$29)))</f>
        <v/>
      </c>
      <c r="E2397">
        <f>INDEX(FactorTable!$B$2:$Y$301, MATCH(ROUND(MIN(300,MAX(1,D2397)),0), FactorTable!$A$2:$A$301,0), Skills!M23+1)</f>
        <v/>
      </c>
      <c r="F2397">
        <f>IF(Skills!N23=TRUE,(Skills!L23/10)*(E2397/1000),Skills!L23/10)+Skills!O23</f>
        <v/>
      </c>
      <c r="G2397">
        <f>Skills!G23*IF(Skills!H23&gt;0,Skills!I23/Skills!H23,1)</f>
        <v/>
      </c>
      <c r="H2397">
        <f>1-(1-Skills!J23/100)^Skills!K23</f>
        <v/>
      </c>
      <c r="I2397" t="inlineStr">
        <is>
          <t>1</t>
        </is>
      </c>
      <c r="J2397" t="inlineStr"/>
      <c r="K2397" t="inlineStr"/>
      <c r="L2397" t="inlineStr"/>
      <c r="M2397" t="inlineStr"/>
      <c r="N2397" t="inlineStr"/>
      <c r="O2397">
        <f>(1-Summary!$B$11)*T2397+Summary!$B$11*V2397</f>
        <v/>
      </c>
      <c r="P2397">
        <f>IF(B2418=0,0,O2397/B2418)</f>
        <v/>
      </c>
      <c r="Q2397" t="n">
        <v>0</v>
      </c>
      <c r="R2397" t="n">
        <v>0</v>
      </c>
      <c r="S2397">
        <f>IFERROR(O2397/N2397,0)</f>
        <v/>
      </c>
      <c r="T2397" t="n">
        <v>0</v>
      </c>
      <c r="V2397" t="n">
        <v>0</v>
      </c>
    </row>
    <row r="2398">
      <c r="A2398">
        <f>Skills!A24</f>
        <v/>
      </c>
      <c r="B2398">
        <f>Skills!B24</f>
        <v/>
      </c>
      <c r="C2398">
        <f>Inputs!$B$3&gt;=38</f>
        <v/>
      </c>
      <c r="D2398">
        <f>IF(Skills!C24=1,60+Inputs!$B$25+Inputs!$B$29,IF(Skills!C24=2,90+Inputs!$B$26+Inputs!$B$29,IF(Skills!C24=3,120+Inputs!$B$27+Inputs!$B$29,MAX(0,(Inputs!$B$3-100)*3)+Inputs!$B$28+Inputs!$B$29)))</f>
        <v/>
      </c>
      <c r="E2398">
        <f>INDEX(FactorTable!$B$2:$Y$301, MATCH(ROUND(MIN(300,MAX(1,D2398)),0), FactorTable!$A$2:$A$301,0), Skills!M24+1)</f>
        <v/>
      </c>
      <c r="F2398">
        <f>IF(Skills!N24=TRUE,(Skills!L24/10)*(E2398/1000),Skills!L24/10)+Skills!O24</f>
        <v/>
      </c>
      <c r="G2398">
        <f>Skills!G24*IF(Skills!H24&gt;0,Skills!I24/Skills!H24,1)</f>
        <v/>
      </c>
      <c r="H2398">
        <f>1-(1-Skills!J24/100)^Skills!K24</f>
        <v/>
      </c>
      <c r="I2398" t="inlineStr">
        <is>
          <t>1</t>
        </is>
      </c>
      <c r="J2398" t="inlineStr"/>
      <c r="K2398" t="inlineStr"/>
      <c r="L2398" t="inlineStr"/>
      <c r="M2398" t="inlineStr"/>
      <c r="N2398" t="inlineStr"/>
      <c r="O2398">
        <f>(1-Summary!$B$11)*T2398+Summary!$B$11*V2398</f>
        <v/>
      </c>
      <c r="P2398">
        <f>IF(B2418=0,0,O2398/B2418)</f>
        <v/>
      </c>
      <c r="Q2398" t="n">
        <v>0</v>
      </c>
      <c r="R2398" t="n">
        <v>0</v>
      </c>
      <c r="S2398">
        <f>IFERROR(O2398/N2398,0)</f>
        <v/>
      </c>
      <c r="T2398" t="n">
        <v>0</v>
      </c>
      <c r="V2398" t="n">
        <v>0</v>
      </c>
    </row>
    <row r="2399">
      <c r="A2399">
        <f>Skills!A25</f>
        <v/>
      </c>
      <c r="B2399">
        <f>Skills!B25</f>
        <v/>
      </c>
      <c r="C2399">
        <f>Inputs!$B$3&gt;=43</f>
        <v/>
      </c>
      <c r="D2399">
        <f>IF(Skills!C25=1,60+Inputs!$B$25+Inputs!$B$29,IF(Skills!C25=2,90+Inputs!$B$26+Inputs!$B$29,IF(Skills!C25=3,120+Inputs!$B$27+Inputs!$B$29,MAX(0,(Inputs!$B$3-100)*3)+Inputs!$B$28+Inputs!$B$29)))</f>
        <v/>
      </c>
      <c r="E2399">
        <f>INDEX(FactorTable!$B$2:$Y$301, MATCH(ROUND(MIN(300,MAX(1,D2399)),0), FactorTable!$A$2:$A$301,0), Skills!M25+1)</f>
        <v/>
      </c>
      <c r="F2399">
        <f>IF(Skills!N25=TRUE,(Skills!L25/10)*(E2399/1000),Skills!L25/10)+Skills!O25</f>
        <v/>
      </c>
      <c r="G2399">
        <f>Skills!G25*IF(Skills!H25&gt;0,Skills!I25/Skills!H25,1)</f>
        <v/>
      </c>
      <c r="H2399">
        <f>1-(1-Skills!J25/100)^Skills!K25</f>
        <v/>
      </c>
      <c r="I2399" t="inlineStr">
        <is>
          <t>1</t>
        </is>
      </c>
      <c r="J2399" t="inlineStr"/>
      <c r="K2399" t="inlineStr"/>
      <c r="L2399" t="inlineStr"/>
      <c r="M2399" t="inlineStr"/>
      <c r="N2399" t="inlineStr"/>
      <c r="O2399">
        <f>(1-Summary!$B$11)*T2399+Summary!$B$11*V2399</f>
        <v/>
      </c>
      <c r="P2399">
        <f>IF(B2418=0,0,O2399/B2418)</f>
        <v/>
      </c>
      <c r="Q2399" t="n">
        <v>0</v>
      </c>
      <c r="R2399" t="n">
        <v>0</v>
      </c>
      <c r="S2399">
        <f>IFERROR(O2399/N2399,0)</f>
        <v/>
      </c>
      <c r="T2399" t="n">
        <v>0</v>
      </c>
      <c r="V2399" t="n">
        <v>0</v>
      </c>
    </row>
    <row r="2400">
      <c r="A2400">
        <f>Skills!A26</f>
        <v/>
      </c>
      <c r="B2400">
        <f>Skills!B26</f>
        <v/>
      </c>
      <c r="C2400">
        <f>Inputs!$B$3&gt;=75</f>
        <v/>
      </c>
      <c r="D2400">
        <f>IF(Skills!C26=1,60+Inputs!$B$25+Inputs!$B$29,IF(Skills!C26=2,90+Inputs!$B$26+Inputs!$B$29,IF(Skills!C26=3,120+Inputs!$B$27+Inputs!$B$29,MAX(0,(Inputs!$B$3-100)*3)+Inputs!$B$28+Inputs!$B$29)))</f>
        <v/>
      </c>
      <c r="E2400">
        <f>INDEX(FactorTable!$B$2:$Y$301, MATCH(ROUND(MIN(300,MAX(1,D2400)),0), FactorTable!$A$2:$A$301,0), Skills!M26+1)</f>
        <v/>
      </c>
      <c r="F2400">
        <f>IF(Skills!N26=TRUE,(Skills!L26/10)*(E2400/1000),Skills!L26/10)+Skills!O26</f>
        <v/>
      </c>
      <c r="G2400">
        <f>Skills!G26*IF(Skills!H26&gt;0,Skills!I26/Skills!H26,1)</f>
        <v/>
      </c>
      <c r="H2400">
        <f>1-(1-Skills!J26/100)^Skills!K26</f>
        <v/>
      </c>
      <c r="I2400" t="inlineStr">
        <is>
          <t>1</t>
        </is>
      </c>
      <c r="J2400" t="inlineStr"/>
      <c r="K2400" t="inlineStr"/>
      <c r="L2400" t="inlineStr"/>
      <c r="M2400" t="inlineStr"/>
      <c r="N2400" t="inlineStr"/>
      <c r="O2400">
        <f>(1-Summary!$B$11)*T2400+Summary!$B$11*V2400</f>
        <v/>
      </c>
      <c r="P2400">
        <f>IF(B2418=0,0,O2400/B2418)</f>
        <v/>
      </c>
      <c r="Q2400" t="n">
        <v>0</v>
      </c>
      <c r="R2400" t="n">
        <v>0</v>
      </c>
      <c r="S2400">
        <f>IFERROR(O2400/N2400,0)</f>
        <v/>
      </c>
      <c r="T2400" t="n">
        <v>0</v>
      </c>
      <c r="V2400" t="n">
        <v>0</v>
      </c>
    </row>
    <row r="2401">
      <c r="A2401">
        <f>Skills!A27</f>
        <v/>
      </c>
      <c r="B2401">
        <f>Skills!B27</f>
        <v/>
      </c>
      <c r="C2401">
        <f>Inputs!$B$3&gt;=125</f>
        <v/>
      </c>
      <c r="D2401">
        <f>IF(Skills!C27=1,60+Inputs!$B$25+Inputs!$B$29,IF(Skills!C27=2,90+Inputs!$B$26+Inputs!$B$29,IF(Skills!C27=3,120+Inputs!$B$27+Inputs!$B$29,MAX(0,(Inputs!$B$3-100)*3)+Inputs!$B$28+Inputs!$B$29)))</f>
        <v/>
      </c>
      <c r="E2401">
        <f>INDEX(FactorTable!$B$2:$Y$301, MATCH(ROUND(MIN(300,MAX(1,D2401)),0), FactorTable!$A$2:$A$301,0), Skills!M27+1)</f>
        <v/>
      </c>
      <c r="F2401">
        <f>IF(Skills!N27=TRUE,(Skills!L27/10)*(E2401/1000),Skills!L27/10)+Skills!O27</f>
        <v/>
      </c>
      <c r="G2401">
        <f>Skills!G27*IF(Skills!H27&gt;0,Skills!I27/Skills!H27,1)</f>
        <v/>
      </c>
      <c r="H2401">
        <f>1-(1-Skills!J27/100)^Skills!K27</f>
        <v/>
      </c>
      <c r="I2401" t="inlineStr">
        <is>
          <t>1</t>
        </is>
      </c>
      <c r="J2401" t="inlineStr"/>
      <c r="K2401" t="inlineStr"/>
      <c r="L2401" t="inlineStr"/>
      <c r="M2401" t="inlineStr"/>
      <c r="N2401" t="inlineStr"/>
      <c r="O2401">
        <f>(1-Summary!$B$11)*T2401+Summary!$B$11*V2401</f>
        <v/>
      </c>
      <c r="P2401">
        <f>IF(B2418=0,0,O2401/B2418)</f>
        <v/>
      </c>
      <c r="Q2401" t="n">
        <v>0</v>
      </c>
      <c r="R2401" t="n">
        <v>0</v>
      </c>
      <c r="S2401">
        <f>IFERROR(O2401/N2401,0)</f>
        <v/>
      </c>
      <c r="T2401" t="n">
        <v>0</v>
      </c>
      <c r="V2401" t="n">
        <v>0</v>
      </c>
    </row>
    <row r="2402">
      <c r="A2402">
        <f>Skills!A28</f>
        <v/>
      </c>
      <c r="B2402">
        <f>Skills!B28</f>
        <v/>
      </c>
      <c r="C2402">
        <f>Inputs!$B$3&gt;=125</f>
        <v/>
      </c>
      <c r="D2402">
        <f>IF(Skills!C28=1,60+Inputs!$B$25+Inputs!$B$29,IF(Skills!C28=2,90+Inputs!$B$26+Inputs!$B$29,IF(Skills!C28=3,120+Inputs!$B$27+Inputs!$B$29,MAX(0,(Inputs!$B$3-100)*3)+Inputs!$B$28+Inputs!$B$29)))</f>
        <v/>
      </c>
      <c r="E2402">
        <f>INDEX(FactorTable!$B$2:$Y$301, MATCH(ROUND(MIN(300,MAX(1,D2402)),0), FactorTable!$A$2:$A$301,0), Skills!M28+1)</f>
        <v/>
      </c>
      <c r="F2402">
        <f>IF(Skills!N28=TRUE,(Skills!L28/10)*(E2402/1000),Skills!L28/10)+Skills!O28</f>
        <v/>
      </c>
      <c r="G2402">
        <f>Skills!G28*IF(Skills!H28&gt;0,Skills!I28/Skills!H28,1)</f>
        <v/>
      </c>
      <c r="H2402">
        <f>1-(1-Skills!J28/100)^Skills!K28</f>
        <v/>
      </c>
      <c r="I2402" t="inlineStr">
        <is>
          <t>1</t>
        </is>
      </c>
      <c r="J2402" t="inlineStr"/>
      <c r="K2402" t="inlineStr"/>
      <c r="L2402" t="inlineStr"/>
      <c r="M2402" t="inlineStr"/>
      <c r="N2402" t="inlineStr"/>
      <c r="O2402">
        <f>(1-Summary!$B$11)*T2402+Summary!$B$11*V2402</f>
        <v/>
      </c>
      <c r="P2402">
        <f>IF(B2418=0,0,O2402/B2418)</f>
        <v/>
      </c>
      <c r="Q2402" t="n">
        <v>0</v>
      </c>
      <c r="R2402" t="n">
        <v>0</v>
      </c>
      <c r="S2402">
        <f>IFERROR(O2402/N2402,0)</f>
        <v/>
      </c>
      <c r="T2402" t="n">
        <v>0</v>
      </c>
      <c r="V2402" t="n">
        <v>0</v>
      </c>
    </row>
    <row r="2403">
      <c r="A2403">
        <f>Skills!A29</f>
        <v/>
      </c>
      <c r="B2403">
        <f>Skills!B29</f>
        <v/>
      </c>
      <c r="C2403">
        <f>Inputs!$B$3&gt;=120</f>
        <v/>
      </c>
      <c r="D2403">
        <f>IF(Skills!C29=1,60+Inputs!$B$25+Inputs!$B$29,IF(Skills!C29=2,90+Inputs!$B$26+Inputs!$B$29,IF(Skills!C29=3,120+Inputs!$B$27+Inputs!$B$29,MAX(0,(Inputs!$B$3-100)*3)+Inputs!$B$28+Inputs!$B$29)))</f>
        <v/>
      </c>
      <c r="E2403">
        <f>INDEX(FactorTable!$B$2:$Y$301, MATCH(ROUND(MIN(300,MAX(1,D2403)),0), FactorTable!$A$2:$A$301,0), Skills!M29+1)</f>
        <v/>
      </c>
      <c r="F2403">
        <f>IF(Skills!N29=TRUE,(Skills!L29/10)*(E2403/1000),Skills!L29/10)+Skills!O29</f>
        <v/>
      </c>
      <c r="G2403">
        <f>Skills!G29*IF(Skills!H29&gt;0,Skills!I29/Skills!H29,1)</f>
        <v/>
      </c>
      <c r="H2403">
        <f>1-(1-Skills!J29/100)^Skills!K29</f>
        <v/>
      </c>
      <c r="I2403" t="inlineStr">
        <is>
          <t>1</t>
        </is>
      </c>
      <c r="J2403" t="inlineStr"/>
      <c r="K2403" t="inlineStr"/>
      <c r="L2403" t="inlineStr"/>
      <c r="M2403" t="inlineStr"/>
      <c r="N2403" t="inlineStr"/>
      <c r="O2403">
        <f>(1-Summary!$B$11)*T2403+Summary!$B$11*V2403</f>
        <v/>
      </c>
      <c r="P2403">
        <f>IF(B2418=0,0,O2403/B2418)</f>
        <v/>
      </c>
      <c r="Q2403" t="n">
        <v>0</v>
      </c>
      <c r="R2403" t="n">
        <v>0</v>
      </c>
      <c r="S2403">
        <f>IFERROR(O2403/N2403,0)</f>
        <v/>
      </c>
      <c r="T2403" t="n">
        <v>0</v>
      </c>
      <c r="V2403" t="n">
        <v>0</v>
      </c>
    </row>
    <row r="2404">
      <c r="A2404">
        <f>Skills!A30</f>
        <v/>
      </c>
      <c r="B2404">
        <f>Skills!B30</f>
        <v/>
      </c>
      <c r="C2404">
        <f>Inputs!$B$3&gt;=120</f>
        <v/>
      </c>
      <c r="D2404">
        <f>IF(Skills!C30=1,60+Inputs!$B$25+Inputs!$B$29,IF(Skills!C30=2,90+Inputs!$B$26+Inputs!$B$29,IF(Skills!C30=3,120+Inputs!$B$27+Inputs!$B$29,MAX(0,(Inputs!$B$3-100)*3)+Inputs!$B$28+Inputs!$B$29)))</f>
        <v/>
      </c>
      <c r="E2404">
        <f>INDEX(FactorTable!$B$2:$Y$301, MATCH(ROUND(MIN(300,MAX(1,D2404)),0), FactorTable!$A$2:$A$301,0), Skills!M30+1)</f>
        <v/>
      </c>
      <c r="F2404">
        <f>IF(Skills!N30=TRUE,(Skills!L30/10)*(E2404/1000),Skills!L30/10)+Skills!O30</f>
        <v/>
      </c>
      <c r="G2404">
        <f>Skills!G30*IF(Skills!H30&gt;0,Skills!I30/Skills!H30,1)</f>
        <v/>
      </c>
      <c r="H2404">
        <f>1-(1-Skills!J30/100)^Skills!K30</f>
        <v/>
      </c>
      <c r="I2404" t="inlineStr">
        <is>
          <t>1</t>
        </is>
      </c>
      <c r="J2404" t="inlineStr"/>
      <c r="K2404" t="inlineStr"/>
      <c r="L2404" t="inlineStr"/>
      <c r="M2404" t="inlineStr"/>
      <c r="N2404" t="inlineStr"/>
      <c r="O2404">
        <f>(1-Summary!$B$11)*T2404+Summary!$B$11*V2404</f>
        <v/>
      </c>
      <c r="P2404">
        <f>IF(B2418=0,0,O2404/B2418)</f>
        <v/>
      </c>
      <c r="Q2404" t="n">
        <v>0</v>
      </c>
      <c r="R2404" t="n">
        <v>0</v>
      </c>
      <c r="S2404">
        <f>IFERROR(O2404/N2404,0)</f>
        <v/>
      </c>
      <c r="T2404" t="n">
        <v>0</v>
      </c>
      <c r="V2404" t="n">
        <v>0</v>
      </c>
    </row>
    <row r="2405">
      <c r="A2405">
        <f>Skills!A31</f>
        <v/>
      </c>
      <c r="B2405">
        <f>Skills!B31</f>
        <v/>
      </c>
      <c r="C2405">
        <f>Inputs!$B$3&gt;=45</f>
        <v/>
      </c>
      <c r="D2405">
        <f>IF(Skills!C31=1,60+Inputs!$B$25+Inputs!$B$29,IF(Skills!C31=2,90+Inputs!$B$26+Inputs!$B$29,IF(Skills!C31=3,120+Inputs!$B$27+Inputs!$B$29,MAX(0,(Inputs!$B$3-100)*3)+Inputs!$B$28+Inputs!$B$29)))</f>
        <v/>
      </c>
      <c r="E2405">
        <f>INDEX(FactorTable!$B$2:$Y$301, MATCH(ROUND(MIN(300,MAX(1,D2405)),0), FactorTable!$A$2:$A$301,0), Skills!M31+1)</f>
        <v/>
      </c>
      <c r="F2405">
        <f>IF(Skills!N31=TRUE,(Skills!L31/10)*(E2405/1000),Skills!L31/10)+Skills!O31</f>
        <v/>
      </c>
      <c r="G2405">
        <f>Skills!G31*IF(Skills!H31&gt;0,Skills!I31/Skills!H31,1)</f>
        <v/>
      </c>
      <c r="H2405">
        <f>1-(1-Skills!J31/100)^Skills!K31</f>
        <v/>
      </c>
      <c r="I2405" t="inlineStr">
        <is>
          <t>1</t>
        </is>
      </c>
      <c r="J2405" t="inlineStr"/>
      <c r="K2405" t="inlineStr"/>
      <c r="L2405" t="inlineStr"/>
      <c r="M2405" t="inlineStr"/>
      <c r="N2405" t="inlineStr"/>
      <c r="O2405">
        <f>(1-Summary!$B$11)*T2405+Summary!$B$11*V2405</f>
        <v/>
      </c>
      <c r="P2405">
        <f>IF(B2418=0,0,O2405/B2418)</f>
        <v/>
      </c>
      <c r="Q2405" t="n">
        <v>0</v>
      </c>
      <c r="R2405" t="n">
        <v>0</v>
      </c>
      <c r="S2405">
        <f>IFERROR(O2405/N2405,0)</f>
        <v/>
      </c>
      <c r="T2405" t="n">
        <v>0</v>
      </c>
      <c r="V2405" t="n">
        <v>0</v>
      </c>
    </row>
    <row r="2407">
      <c r="A2407" t="inlineStr">
        <is>
          <t>Attack% Bucket Multiplier</t>
        </is>
      </c>
      <c r="B2407">
        <f>(1+(((C2388=TRUE)*F2388)+((C2389=TRUE)*IF(Inputs!$B$38="pvp",F2389,(1-Summary!$B$11)*(F2389)+Summary!$B$11*(0)))+((C2390=TRUE)*F2390*IF(AND(Inputs!$B$38&lt;&gt;"pvp",Inputs!$B$43&gt;0),(((R2390-1)*(Skills!T16*(1+Inputs!$B$34/100))+MIN((Skills!T16*(1+Inputs!$B$34/100)),MAX(0,Inputs!$B$43-((R2390-1)*Skills!D16))))/Inputs!$B$43),IF(Inputs!$B$38="pvp",MIN((Skills!T16*(1+Inputs!$B$34/100)),15)/15,(Skills!T16*(1+Inputs!$B$34/100))/Skills!D16)))+((C2405=TRUE)*(F2405-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08">
      <c r="A2408" t="inlineStr">
        <is>
          <t>Global Crit Rate Bonus %</t>
        </is>
      </c>
      <c r="B2408">
        <f>(C2391=TRUE)*20*IF(AND(Inputs!$B$38&lt;&gt;"pvp",Inputs!$B$43&gt;0),(((R2391-1)*(Skills!T17*(1+Inputs!$B$34/100))+MIN((Skills!T17*(1+Inputs!$B$34/100)),MAX(0,Inputs!$B$43-((R2391-1)*Skills!D17))))/Inputs!$B$43),IF(Inputs!$B$38="pvp",MIN((Skills!T17*(1+Inputs!$B$34/100)),15)/15,(Skills!T17*(1+Inputs!$B$34/100))/Skills!D17))</f>
        <v/>
      </c>
    </row>
    <row r="2409">
      <c r="A2409" t="inlineStr">
        <is>
          <t>Attack Speed Buff Bonus %</t>
        </is>
      </c>
      <c r="B2409">
        <f>((C2394=TRUE)*F2394*IF(AND(Inputs!$B$38&lt;&gt;"pvp",Inputs!$B$43&gt;0),(((R2394-1)*(Skills!T20*(1+Inputs!$B$34/100))+MIN((Skills!T20*(1+Inputs!$B$34/100)),MAX(0,Inputs!$B$43-((R2394-1)*Skills!D20))))/Inputs!$B$43),IF(Inputs!$B$38="pvp",MIN((Skills!T20*(1+Inputs!$B$34/100)),15)/15,(Skills!T20*(1+Inputs!$B$34/100))/Skills!D20)))</f>
        <v/>
      </c>
    </row>
    <row r="2410">
      <c r="A2410" t="inlineStr">
        <is>
          <t>Actions Per Second</t>
        </is>
      </c>
      <c r="B2410">
        <f>1+MIN(150,150*(1-(1-(Inputs!$B$11+((C2396=TRUE)*(F2396-Calc!F22))+((C2397=TRUE)*(F2397-Calc!F23)))/150)*(1-B2409/150)))/100</f>
        <v/>
      </c>
    </row>
    <row r="2411">
      <c r="A2411" t="inlineStr">
        <is>
          <t>Skill + Buff Cast Rate</t>
        </is>
      </c>
      <c r="B2411">
        <f>IF(AND(Inputs!$B$38&lt;&gt;"pvp",Inputs!$B$43&gt;0),SUMPRODUCT((Skills!E2:E31=TRUE)*(C2376:C2405=TRUE)*R2376:R2405*Skills!F2:F31)/Inputs!$B$43,SUMPRODUCT((Skills!E2:E31=TRUE)*(C2376:C2405=TRUE)*Q2376:Q2405*Skills!F2:F31))</f>
        <v/>
      </c>
    </row>
    <row r="2412">
      <c r="A2412" t="inlineStr">
        <is>
          <t>Arrow Stream Casts Per Second</t>
        </is>
      </c>
      <c r="B2412">
        <f>MAX(0,B2410-B2411)</f>
        <v/>
      </c>
    </row>
    <row r="2413">
      <c r="A2413" t="inlineStr">
        <is>
          <t>Global Critical Damage Bonus % (Sharp Eyes + Concentration)</t>
        </is>
      </c>
      <c r="B2413">
        <f>(C2391=TRUE)*F2391*IF(AND(Inputs!$B$38&lt;&gt;"pvp",Inputs!$B$43&gt;0),(((R2391-1)*(Skills!T17*(1+Inputs!$B$34/100))+MIN((Skills!T17*(1+Inputs!$B$34/100)),MAX(0,Inputs!$B$43-((R2391-1)*Skills!D17))))/Inputs!$B$43),IF(Inputs!$B$38="pvp",MIN((Skills!T17*(1+Inputs!$B$34/100)),15)/15,(Skills!T17*(1+Inputs!$B$34/100))/Skills!D17))+(C2392=TRUE)*30</f>
        <v/>
      </c>
    </row>
    <row r="2414">
      <c r="A2414" t="inlineStr">
        <is>
          <t>Global Final Damage Bonus % (Mortal Blow)</t>
        </is>
      </c>
      <c r="B2414">
        <f>(C2393=TRUE)*F2393</f>
        <v/>
      </c>
    </row>
    <row r="2415">
      <c r="A2415" t="inlineStr">
        <is>
          <t>Buff-Casting Startup Delay (s, fixed-duration only)</t>
        </is>
      </c>
      <c r="B2415">
        <f>IF(AND(Inputs!$B$38&lt;&gt;"pvp",Inputs!$B$43&gt;0),SUMPRODUCT((Skills!T2:T31&gt;0)*(Skills!E2:E31=TRUE)*(C2376:C2405=TRUE))/B2410,0)</f>
        <v/>
      </c>
    </row>
    <row r="2416">
      <c r="A2416" t="inlineStr">
        <is>
          <t>Boss-Only Total DPS (this block's swept value)</t>
        </is>
      </c>
      <c r="B2416">
        <f>SUM(T2376:T2405)</f>
        <v/>
      </c>
    </row>
    <row r="2417">
      <c r="A2417" t="inlineStr">
        <is>
          <t>Normal-Only Total DPS (this block's swept value)</t>
        </is>
      </c>
      <c r="B2417">
        <f>SUM(V2376:V2405)</f>
        <v/>
      </c>
    </row>
    <row r="2418">
      <c r="A2418" s="6" t="inlineStr">
        <is>
          <t>TOTAL DPS</t>
        </is>
      </c>
      <c r="B2418" s="6">
        <f>SUM(O2376:O2405)</f>
        <v/>
      </c>
    </row>
    <row r="2421">
      <c r="A2421" s="6" t="inlineStr">
        <is>
          <t>Stat: Icy Soul Rock (Equip)</t>
        </is>
      </c>
    </row>
    <row r="2422">
      <c r="A2422" s="5" t="inlineStr">
        <is>
          <t>Key</t>
        </is>
      </c>
      <c r="B2422" s="5" t="inlineStr">
        <is>
          <t>Name</t>
        </is>
      </c>
      <c r="C2422" s="5" t="inlineStr">
        <is>
          <t>Unlocked</t>
        </is>
      </c>
      <c r="D2422" s="5" t="inlineStr">
        <is>
          <t>InputLevel</t>
        </is>
      </c>
      <c r="E2422" s="5" t="inlineStr">
        <is>
          <t>Factor</t>
        </is>
      </c>
      <c r="F2422" s="5" t="inlineStr">
        <is>
          <t>CoefficientPercent</t>
        </is>
      </c>
      <c r="G2422" s="5" t="inlineStr">
        <is>
          <t>EffectiveHits</t>
        </is>
      </c>
      <c r="H2422" s="5" t="inlineStr">
        <is>
          <t>ProcProbability</t>
        </is>
      </c>
      <c r="I2422" s="5" t="inlineStr">
        <is>
          <t>MapleHeroMultiplier</t>
        </is>
      </c>
      <c r="J2422" s="5" t="inlineStr">
        <is>
          <t>BaseDamage</t>
        </is>
      </c>
      <c r="K2422" s="5" t="inlineStr">
        <is>
          <t>BaseHitDamage</t>
        </is>
      </c>
      <c r="L2422" s="5" t="inlineStr">
        <is>
          <t>NonCritAvg</t>
        </is>
      </c>
      <c r="M2422" s="5" t="inlineStr">
        <is>
          <t>CritAvg</t>
        </is>
      </c>
      <c r="N2422" s="5" t="inlineStr">
        <is>
          <t>ExpectedDamage(perHit)</t>
        </is>
      </c>
      <c r="O2422" s="5" t="inlineStr">
        <is>
          <t>DPS</t>
        </is>
      </c>
      <c r="P2422" s="5" t="inlineStr">
        <is>
          <t>% of Total</t>
        </is>
      </c>
      <c r="Q2422" s="5" t="inlineStr">
        <is>
          <t>InvCooldown</t>
        </is>
      </c>
      <c r="R2422" s="5" t="inlineStr">
        <is>
          <t>CastsInFight</t>
        </is>
      </c>
      <c r="S2422" s="5" t="inlineStr">
        <is>
          <t>HitRate(perSec)</t>
        </is>
      </c>
      <c r="U2422" t="inlineStr">
        <is>
          <t>helpers</t>
        </is>
      </c>
    </row>
    <row r="2423">
      <c r="A2423">
        <f>Skills!A2</f>
        <v/>
      </c>
      <c r="B2423">
        <f>Skills!B2</f>
        <v/>
      </c>
      <c r="C2423">
        <f>Inputs!$B$3&gt;=100</f>
        <v/>
      </c>
      <c r="D2423" t="inlineStr"/>
      <c r="E2423" t="inlineStr"/>
      <c r="F2423">
        <f>U2425+Skills!O2</f>
        <v/>
      </c>
      <c r="G2423">
        <f>Skills!G2*IF(Skills!H2&gt;0,Skills!I2/Skills!H2,1)</f>
        <v/>
      </c>
      <c r="H2423">
        <f>1-(1-Skills!J2/100)^Skills!K2</f>
        <v/>
      </c>
      <c r="I2423" t="inlineStr">
        <is>
          <t>1</t>
        </is>
      </c>
      <c r="J2423">
        <f>((Inputs!$B$6*(1+Inputs!$B$7/100))+(((Inputs!$B$12*(1+Inputs!$B$13/100))-(Inputs!$B$12*(1+Inputs!$B$13/100)))+0.25*(Inputs!$B$14-Inputs!$B$14))*(1+Inputs!$B$7/100))*(F2423/100)</f>
        <v/>
      </c>
      <c r="K2423">
        <f>J2423*(1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2423)</f>
        <v/>
      </c>
      <c r="L2423">
        <f>K2423*(MIN(Inputs!$B$22+((C2446=TRUE)*(F2446-Calc!F25)),(Inputs!$B$23+((C2451=TRUE)*(F2451-Calc!F30))+(IF(ArtifactsInput!$M$15,CHOOSE(ArtifactsInput!$N$15+1,25,30,35,40,45,50)/100*(Inputs!$B$11-Inputs!$B$11),0))))/100+(Inputs!$B$23+((C2451=TRUE)*(F2451-Calc!F30))+(IF(ArtifactsInput!$M$15,CHOOSE(ArtifactsInput!$N$15+1,25,30,35,40,45,50)/100*(Inputs!$B$11-Inputs!$B$11),0)))/100)/2</f>
        <v/>
      </c>
      <c r="M2423">
        <f>L2423*(1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23">
        <f>L2423*(1-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2423*(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3">
        <f>(1-Summary!$B$11)*T2423+Summary!$B$11*V2423</f>
        <v/>
      </c>
      <c r="P2423">
        <f>IF(B2465=0,0,O2423/B2465)</f>
        <v/>
      </c>
      <c r="Q2423" t="n">
        <v>0</v>
      </c>
      <c r="R2423" t="n">
        <v>0</v>
      </c>
      <c r="S2423">
        <f>IFERROR(O2423/N2423,0)</f>
        <v/>
      </c>
      <c r="T2423">
        <f>IF(C2423,(Skills!G2*N2423*B2459)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2423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2423*(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2423*(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3">
        <f>MAX(0,(Inputs!$B$3-100)*3)+Inputs!$B$28+Inputs!$B$29</f>
        <v/>
      </c>
      <c r="V2423">
        <f>IF(C2423,(Skills!G2*N2423*B2459)*IF(Inputs!$B$38="pvp",1,(1+(Inputs!$B$21+Skills!Q2+(IF(ArtifactsInput!$M$33,CHOOSE(ArtifactsInput!$N$33+1,30,36,42,48,54,60),0))+(IF(AND(ArtifactsInput!$M$35,Inputs!$B$4&lt;&gt;"Chapter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4">
      <c r="A2424">
        <f>Skills!A3</f>
        <v/>
      </c>
      <c r="B2424">
        <f>Skills!B3</f>
        <v/>
      </c>
      <c r="C2424">
        <f>Inputs!$B$3&gt;=50</f>
        <v/>
      </c>
      <c r="D2424">
        <f>IF(Skills!C3=1,60+Inputs!$B$25+Inputs!$B$29,IF(Skills!C3=2,90+Inputs!$B$26+Inputs!$B$29,IF(Skills!C3=3,120+Inputs!$B$27+Inputs!$B$29,MAX(0,(Inputs!$B$3-100)*3)+Inputs!$B$28+Inputs!$B$29)))</f>
        <v/>
      </c>
      <c r="E2424">
        <f>INDEX(FactorTable!$B$2:$Y$301, MATCH(ROUND(MIN(300,MAX(1,D2424)),0), FactorTable!$A$2:$A$301,0), Skills!M3+1)</f>
        <v/>
      </c>
      <c r="F2424">
        <f>IF(Skills!N3=TRUE,(Skills!L3/10)*(E2424/1000),Skills!L3/10)+Skills!O3</f>
        <v/>
      </c>
      <c r="G2424">
        <f>Skills!G3*IF(Skills!H3&gt;0,Skills!I3/Skills!H3,1)</f>
        <v/>
      </c>
      <c r="H2424">
        <f>1-(1-Skills!J3/100)^Skills!K3</f>
        <v/>
      </c>
      <c r="I2424" t="inlineStr">
        <is>
          <t>1</t>
        </is>
      </c>
      <c r="J2424">
        <f>((Inputs!$B$6*(1+Inputs!$B$7/100))+(((Inputs!$B$12*(1+Inputs!$B$13/100))-(Inputs!$B$12*(1+Inputs!$B$13/100)))+0.25*(Inputs!$B$14-Inputs!$B$14))*(1+Inputs!$B$7/100))*(F2424/100)</f>
        <v/>
      </c>
      <c r="K2424">
        <f>J2424*(1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2425=TRUE,F2425,0)/100)*(1+(IF(Skills!A3="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2424)</f>
        <v/>
      </c>
      <c r="L2424">
        <f>K2424*(MIN(Inputs!$B$22+((C2446=TRUE)*(F2446-Calc!F25)),(Inputs!$B$23+((C2451=TRUE)*(F2451-Calc!F30))+(IF(ArtifactsInput!$M$15,CHOOSE(ArtifactsInput!$N$15+1,25,30,35,40,45,50)/100*(Inputs!$B$11-Inputs!$B$11),0))))/100+(Inputs!$B$23+((C2451=TRUE)*(F2451-Calc!F30))+(IF(ArtifactsInput!$M$15,CHOOSE(ArtifactsInput!$N$15+1,25,30,35,40,45,50)/100*(Inputs!$B$11-Inputs!$B$11),0)))/100)/2</f>
        <v/>
      </c>
      <c r="M2424">
        <f>L2424*(1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24">
        <f>L2424*(1-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2424*(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4">
        <f>(1-Summary!$B$11)*T2424+Summary!$B$11*V2424</f>
        <v/>
      </c>
      <c r="P2424">
        <f>IF(B2465=0,0,O2424/B2465)</f>
        <v/>
      </c>
      <c r="Q2424">
        <f>IFERROR(1/(IF(Inputs!$B$38="pvp",15,MAX(0.1,Skills!D3-IF(Skills!E3=TRUE,Inputs!$B$32,0)))*(1-IF(AND(ArtifactsInput!$M$27,Inputs!$B$4="Chapter Hunt"),CHOOSE(ArtifactsInput!$N$27+1,20,24,28,32,36,40),0)/100)),0)</f>
        <v/>
      </c>
      <c r="R2424">
        <f>IF(AND(Inputs!$B$38&lt;&gt;"pvp",Inputs!$B$43&gt;0),IF(MAX(0,Inputs!$B$43-B2462)&lt;=0,0,(INT(MAX(0,Inputs!$B$43-B2462)/(IF(Inputs!$B$38="pvp",15,MAX(0.1,Skills!D3-IF(Skills!E3=TRUE,Inputs!$B$32,0)))*(1-IF(AND(ArtifactsInput!$M$27,Inputs!$B$4="Chapter Hunt"),CHOOSE(ArtifactsInput!$N$27+1,20,24,28,32,36,40),0)/100)))+1)),0)</f>
        <v/>
      </c>
      <c r="S2424">
        <f>IFERROR(O2424/N2424,0)</f>
        <v/>
      </c>
      <c r="T2424">
        <f>IF(C2424,(H2424*N2424*IF(AND(Inputs!$B$38&lt;&gt;"pvp",Inputs!$B$43&gt;0),((Skills!G3*((R2424-1)*IF(Skills!H3&gt;0,Skills!I3/Skills!H3,1)+IF(Skills!H3&gt;0,MIN(Skills!I3,MAX(0,MAX(0,Inputs!$B$43-B2462)-((R2424-1)*(IF(Inputs!$B$38="pvp",15,MAX(0.1,Skills!D3-IF(Skills!E3=TRUE,Inputs!$B$32,0)))*(1-IF(AND(ArtifactsInput!$M$27,Inputs!$B$4="Chapter Hunt"),CHOOSE(ArtifactsInput!$N$27+1,20,24,28,32,36,40),0)/100)))))/Skills!H3,1)))/Inputs!$B$43),G2424*Q2424)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2424*(1-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2424*(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2424*(1-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2424*(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4">
        <f>INDEX(FactorTable!$B$2:$Y$301, MATCH(ROUND(MIN(300,MAX(1,U2423)),0), FactorTable!$A$2:$A$301,0), 22)</f>
        <v/>
      </c>
      <c r="V2424">
        <f>IF(C2424,(H2424*N2424*IF(AND(Inputs!$B$38&lt;&gt;"pvp",Inputs!$B$43&gt;0),((Skills!G3*((R2424-1)*IF(Skills!H3&gt;0,Skills!I3/Skills!H3,1)+IF(Skills!H3&gt;0,MIN(Skills!I3,MAX(0,MAX(0,Inputs!$B$43-B2462)-((R2424-1)*(IF(Inputs!$B$38="pvp",15,MAX(0.1,Skills!D3-IF(Skills!E3=TRUE,Inputs!$B$32,0)))*(1-IF(AND(ArtifactsInput!$M$27,Inputs!$B$4="Chapter Hunt"),CHOOSE(ArtifactsInput!$N$27+1,20,24,28,32,36,40),0)/100)))))/Skills!H3,1)))/Inputs!$B$43),G2424*Q2424))*IF(Inputs!$B$38="pvp",1,(1+(Inputs!$B$21+Skills!Q3+(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5">
      <c r="A2425">
        <f>Skills!A4</f>
        <v/>
      </c>
      <c r="B2425">
        <f>Skills!B4</f>
        <v/>
      </c>
      <c r="C2425">
        <f>Inputs!$B$3&gt;=105</f>
        <v/>
      </c>
      <c r="D2425">
        <f>IF(Skills!C4=1,60+Inputs!$B$25+Inputs!$B$29,IF(Skills!C4=2,90+Inputs!$B$26+Inputs!$B$29,IF(Skills!C4=3,120+Inputs!$B$27+Inputs!$B$29,MAX(0,(Inputs!$B$3-100)*3)+Inputs!$B$28+Inputs!$B$29)))</f>
        <v/>
      </c>
      <c r="E2425">
        <f>INDEX(FactorTable!$B$2:$Y$301, MATCH(ROUND(MIN(300,MAX(1,D2425)),0), FactorTable!$A$2:$A$301,0), Skills!M4+1)</f>
        <v/>
      </c>
      <c r="F2425">
        <f>IF(Skills!N4=TRUE,(Skills!L4/10)*(E2425/1000),Skills!L4/10)+Skills!O4</f>
        <v/>
      </c>
      <c r="G2425" t="inlineStr"/>
      <c r="H2425" t="inlineStr"/>
      <c r="I2425" t="inlineStr">
        <is>
          <t>1</t>
        </is>
      </c>
      <c r="J2425" t="inlineStr"/>
      <c r="K2425" t="inlineStr"/>
      <c r="L2425" t="inlineStr"/>
      <c r="M2425" t="inlineStr"/>
      <c r="N2425" t="inlineStr"/>
      <c r="O2425" t="inlineStr"/>
      <c r="P2425" t="inlineStr"/>
      <c r="Q2425" t="inlineStr"/>
      <c r="R2425" t="inlineStr"/>
      <c r="S2425" t="inlineStr"/>
      <c r="T2425" t="inlineStr"/>
      <c r="U2425">
        <f>290*U2424/1000</f>
        <v/>
      </c>
      <c r="V2425" t="inlineStr"/>
    </row>
    <row r="2426">
      <c r="A2426">
        <f>Skills!A5</f>
        <v/>
      </c>
      <c r="B2426">
        <f>Skills!B5</f>
        <v/>
      </c>
      <c r="C2426">
        <f>Inputs!$B$3&gt;=35</f>
        <v/>
      </c>
      <c r="D2426">
        <f>IF(Skills!C5=1,60+Inputs!$B$25+Inputs!$B$29,IF(Skills!C5=2,90+Inputs!$B$26+Inputs!$B$29,IF(Skills!C5=3,120+Inputs!$B$27+Inputs!$B$29,MAX(0,(Inputs!$B$3-100)*3)+Inputs!$B$28+Inputs!$B$29)))</f>
        <v/>
      </c>
      <c r="E2426">
        <f>INDEX(FactorTable!$B$2:$Y$301, MATCH(ROUND(MIN(300,MAX(1,D2426)),0), FactorTable!$A$2:$A$301,0), Skills!M5+1)</f>
        <v/>
      </c>
      <c r="F2426">
        <f>IF(Skills!N5=TRUE,(Skills!L5/10)*(E2426/1000),Skills!L5/10)+Skills!O5</f>
        <v/>
      </c>
      <c r="G2426">
        <f>Skills!G5*IF(Skills!H5&gt;0,Skills!I5/Skills!H5,1)</f>
        <v/>
      </c>
      <c r="H2426">
        <f>1-(1-Skills!J5/100)^Skills!K5</f>
        <v/>
      </c>
      <c r="I2426" t="inlineStr">
        <is>
          <t>1</t>
        </is>
      </c>
      <c r="J2426">
        <f>((Inputs!$B$6*(1+Inputs!$B$7/100))+(((Inputs!$B$12*(1+Inputs!$B$13/100))-(Inputs!$B$12*(1+Inputs!$B$13/100)))+0.25*(Inputs!$B$14-Inputs!$B$14))*(1+Inputs!$B$7/100))*(F2426/100)</f>
        <v/>
      </c>
      <c r="K2426">
        <f>J2426*(1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2432=TRUE,F2432,0)/100)*(1+(IF(Skills!A5="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2426)</f>
        <v/>
      </c>
      <c r="L2426">
        <f>K2426*(MIN(Inputs!$B$22+((C2446=TRUE)*(F2446-Calc!F25)),(Inputs!$B$23+((C2451=TRUE)*(F2451-Calc!F30))+(IF(ArtifactsInput!$M$15,CHOOSE(ArtifactsInput!$N$15+1,25,30,35,40,45,50)/100*(Inputs!$B$11-Inputs!$B$11),0))))/100+(Inputs!$B$23+((C2451=TRUE)*(F2451-Calc!F30))+(IF(ArtifactsInput!$M$15,CHOOSE(ArtifactsInput!$N$15+1,25,30,35,40,45,50)/100*(Inputs!$B$11-Inputs!$B$11),0)))/100)/2</f>
        <v/>
      </c>
      <c r="M2426">
        <f>L2426*(1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26">
        <f>L2426*(1-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2426*(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6">
        <f>(1-Summary!$B$11)*T2426+Summary!$B$11*V2426</f>
        <v/>
      </c>
      <c r="P2426">
        <f>IF(B2465=0,0,O2426/B2465)</f>
        <v/>
      </c>
      <c r="Q2426">
        <f>IFERROR(1/(IF(Inputs!$B$38="pvp",15,MAX(0.1,Skills!D5-IF(Skills!E5=TRUE,Inputs!$B$32,0)))*(1-IF(AND(ArtifactsInput!$M$27,Inputs!$B$4="Chapter Hunt"),CHOOSE(ArtifactsInput!$N$27+1,20,24,28,32,36,40),0)/100)),0)</f>
        <v/>
      </c>
      <c r="R2426">
        <f>IF(AND(Inputs!$B$38&lt;&gt;"pvp",Inputs!$B$43&gt;0),IF(MAX(0,Inputs!$B$43-B2462)&lt;=0,0,(INT(MAX(0,Inputs!$B$43-B2462)/(IF(Inputs!$B$38="pvp",15,MAX(0.1,Skills!D5-IF(Skills!E5=TRUE,Inputs!$B$32,0)))*(1-IF(AND(ArtifactsInput!$M$27,Inputs!$B$4="Chapter Hunt"),CHOOSE(ArtifactsInput!$N$27+1,20,24,28,32,36,40),0)/100)))+1)),0)</f>
        <v/>
      </c>
      <c r="S2426">
        <f>IFERROR(O2426/N2426,0)</f>
        <v/>
      </c>
      <c r="T2426">
        <f>IF(C2426,(H2426*N2426*IF(AND(Inputs!$B$38&lt;&gt;"pvp",Inputs!$B$43&gt;0),((Skills!G5*((R2426-1)*IF(Skills!H5&gt;0,Skills!I5/Skills!H5,1)+IF(Skills!H5&gt;0,MIN(Skills!I5,MAX(0,MAX(0,Inputs!$B$43-B2462)-((R2426-1)*(IF(Inputs!$B$38="pvp",15,MAX(0.1,Skills!D5-IF(Skills!E5=TRUE,Inputs!$B$32,0)))*(1-IF(AND(ArtifactsInput!$M$27,Inputs!$B$4="Chapter Hunt"),CHOOSE(ArtifactsInput!$N$27+1,20,24,28,32,36,40),0)/100)))))/Skills!H5,1)))/Inputs!$B$43),G2426*Q2426)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2426*(1-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2426*(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2426*(1-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2426*(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6">
        <f>IF(C2426,(H2426*N2426*IF(AND(Inputs!$B$38&lt;&gt;"pvp",Inputs!$B$43&gt;0),((Skills!G5*((R2426-1)*IF(Skills!H5&gt;0,Skills!I5/Skills!H5,1)+IF(Skills!H5&gt;0,MIN(Skills!I5,MAX(0,MAX(0,Inputs!$B$43-B2462)-((R2426-1)*(IF(Inputs!$B$38="pvp",15,MAX(0.1,Skills!D5-IF(Skills!E5=TRUE,Inputs!$B$32,0)))*(1-IF(AND(ArtifactsInput!$M$27,Inputs!$B$4="Chapter Hunt"),CHOOSE(ArtifactsInput!$N$27+1,20,24,28,32,36,40),0)/100)))))/Skills!H5,1)))/Inputs!$B$43),G2426*Q2426))*IF(Inputs!$B$38="pvp",1,(1+(Inputs!$B$21+Skills!Q5+(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7">
      <c r="A2427">
        <f>Skills!A6</f>
        <v/>
      </c>
      <c r="B2427">
        <f>Skills!B6</f>
        <v/>
      </c>
      <c r="C2427">
        <f>Inputs!$B$3&gt;=40</f>
        <v/>
      </c>
      <c r="D2427">
        <f>IF(Skills!C6=1,60+Inputs!$B$25+Inputs!$B$29,IF(Skills!C6=2,90+Inputs!$B$26+Inputs!$B$29,IF(Skills!C6=3,120+Inputs!$B$27+Inputs!$B$29,MAX(0,(Inputs!$B$3-100)*3)+Inputs!$B$28+Inputs!$B$29)))</f>
        <v/>
      </c>
      <c r="E2427">
        <f>INDEX(FactorTable!$B$2:$Y$301, MATCH(ROUND(MIN(300,MAX(1,D2427)),0), FactorTable!$A$2:$A$301,0), Skills!M6+1)</f>
        <v/>
      </c>
      <c r="F2427">
        <f>IF(Skills!N6=TRUE,(Skills!L6/10)*(E2427/1000),Skills!L6/10)+Skills!O6</f>
        <v/>
      </c>
      <c r="G2427">
        <f>Skills!G6*IF(Skills!H6&gt;0,Skills!I6/Skills!H6,1)</f>
        <v/>
      </c>
      <c r="H2427">
        <f>1-(1-Skills!J6/100)^Skills!K6</f>
        <v/>
      </c>
      <c r="I2427" t="inlineStr">
        <is>
          <t>1</t>
        </is>
      </c>
      <c r="J2427">
        <f>((Inputs!$B$6*(1+Inputs!$B$7/100))+(((Inputs!$B$12*(1+Inputs!$B$13/100))-(Inputs!$B$12*(1+Inputs!$B$13/100)))+0.25*(Inputs!$B$14-Inputs!$B$14))*(1+Inputs!$B$7/100))*(F2427/100)</f>
        <v/>
      </c>
      <c r="K2427">
        <f>J2427*(1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2428=TRUE,F2428,0)/100)*(1+(IF(Skills!A6="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2427)</f>
        <v/>
      </c>
      <c r="L2427">
        <f>K2427*(MIN(Inputs!$B$22+((C2446=TRUE)*(F2446-Calc!F25)),(Inputs!$B$23+((C2451=TRUE)*(F2451-Calc!F30))+(IF(ArtifactsInput!$M$15,CHOOSE(ArtifactsInput!$N$15+1,25,30,35,40,45,50)/100*(Inputs!$B$11-Inputs!$B$11),0))))/100+(Inputs!$B$23+((C2451=TRUE)*(F2451-Calc!F30))+(IF(ArtifactsInput!$M$15,CHOOSE(ArtifactsInput!$N$15+1,25,30,35,40,45,50)/100*(Inputs!$B$11-Inputs!$B$11),0)))/100)/2</f>
        <v/>
      </c>
      <c r="M2427">
        <f>L2427*(1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27">
        <f>L2427*(1-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2427*(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7">
        <f>(1-Summary!$B$11)*T2427+Summary!$B$11*V2427</f>
        <v/>
      </c>
      <c r="P2427">
        <f>IF(B2465=0,0,O2427/B2465)</f>
        <v/>
      </c>
      <c r="Q2427">
        <f>IFERROR(1/(IF(Inputs!$B$38="pvp",15,MAX(0.1,Skills!D6-IF(Skills!E6=TRUE,Inputs!$B$32,0)))*(1-IF(AND(ArtifactsInput!$M$27,Inputs!$B$4="Chapter Hunt"),CHOOSE(ArtifactsInput!$N$27+1,20,24,28,32,36,40),0)/100)),0)</f>
        <v/>
      </c>
      <c r="R2427">
        <f>IF(AND(Inputs!$B$38&lt;&gt;"pvp",Inputs!$B$43&gt;0),IF(MAX(0,Inputs!$B$43-B2462)&lt;=0,0,(INT(MAX(0,Inputs!$B$43-B2462)/(IF(Inputs!$B$38="pvp",15,MAX(0.1,Skills!D6-IF(Skills!E6=TRUE,Inputs!$B$32,0)))*(1-IF(AND(ArtifactsInput!$M$27,Inputs!$B$4="Chapter Hunt"),CHOOSE(ArtifactsInput!$N$27+1,20,24,28,32,36,40),0)/100)))+1)),0)</f>
        <v/>
      </c>
      <c r="S2427">
        <f>IFERROR(O2427/N2427,0)</f>
        <v/>
      </c>
      <c r="T2427">
        <f>IF(C2427,(H2427*N2427*IF(AND(Inputs!$B$38&lt;&gt;"pvp",Inputs!$B$43&gt;0),((Skills!G6*((R2427-1)*IF(Skills!H6&gt;0,Skills!I6/Skills!H6,1)+IF(Skills!H6&gt;0,MIN(Skills!I6,MAX(0,MAX(0,Inputs!$B$43-B2462)-((R2427-1)*(IF(Inputs!$B$38="pvp",15,MAX(0.1,Skills!D6-IF(Skills!E6=TRUE,Inputs!$B$32,0)))*(1-IF(AND(ArtifactsInput!$M$27,Inputs!$B$4="Chapter Hunt"),CHOOSE(ArtifactsInput!$N$27+1,20,24,28,32,36,40),0)/100)))))/Skills!H6,1)))/Inputs!$B$43),G2427*Q2427)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2427*(1-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2427*(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2427*(1-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2427*(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7">
        <f>IF(C2427,(H2427*N2427*IF(AND(Inputs!$B$38&lt;&gt;"pvp",Inputs!$B$43&gt;0),((Skills!G6*((R2427-1)*IF(Skills!H6&gt;0,Skills!I6/Skills!H6,1)+IF(Skills!H6&gt;0,MIN(Skills!I6,MAX(0,MAX(0,Inputs!$B$43-B2462)-((R2427-1)*(IF(Inputs!$B$38="pvp",15,MAX(0.1,Skills!D6-IF(Skills!E6=TRUE,Inputs!$B$32,0)))*(1-IF(AND(ArtifactsInput!$M$27,Inputs!$B$4="Chapter Hunt"),CHOOSE(ArtifactsInput!$N$27+1,20,24,28,32,36,40),0)/100)))))/Skills!H6,1)))/Inputs!$B$43),G2427*Q2427))*IF(Inputs!$B$38="pvp",1,(1+(Inputs!$B$21+Skills!Q6+(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8">
      <c r="A2428">
        <f>Skills!A7</f>
        <v/>
      </c>
      <c r="B2428">
        <f>Skills!B7</f>
        <v/>
      </c>
      <c r="C2428">
        <f>Inputs!$B$3&gt;=107</f>
        <v/>
      </c>
      <c r="D2428">
        <f>IF(Skills!C7=1,60+Inputs!$B$25+Inputs!$B$29,IF(Skills!C7=2,90+Inputs!$B$26+Inputs!$B$29,IF(Skills!C7=3,120+Inputs!$B$27+Inputs!$B$29,MAX(0,(Inputs!$B$3-100)*3)+Inputs!$B$28+Inputs!$B$29)))</f>
        <v/>
      </c>
      <c r="E2428">
        <f>INDEX(FactorTable!$B$2:$Y$301, MATCH(ROUND(MIN(300,MAX(1,D2428)),0), FactorTable!$A$2:$A$301,0), Skills!M7+1)</f>
        <v/>
      </c>
      <c r="F2428">
        <f>IF(Skills!N7=TRUE,(Skills!L7/10)*(E2428/1000),Skills!L7/10)+Skills!O7</f>
        <v/>
      </c>
      <c r="G2428" t="inlineStr"/>
      <c r="H2428" t="inlineStr"/>
      <c r="I2428" t="inlineStr">
        <is>
          <t>1</t>
        </is>
      </c>
      <c r="J2428" t="inlineStr"/>
      <c r="K2428" t="inlineStr"/>
      <c r="L2428" t="inlineStr"/>
      <c r="M2428" t="inlineStr"/>
      <c r="N2428" t="inlineStr"/>
      <c r="O2428" t="inlineStr"/>
      <c r="P2428" t="inlineStr"/>
      <c r="Q2428" t="inlineStr"/>
      <c r="R2428" t="inlineStr"/>
      <c r="S2428" t="inlineStr"/>
      <c r="T2428" t="inlineStr"/>
      <c r="V2428" t="inlineStr"/>
    </row>
    <row r="2429">
      <c r="A2429">
        <f>Skills!A8</f>
        <v/>
      </c>
      <c r="B2429">
        <f>Skills!B8</f>
        <v/>
      </c>
      <c r="C2429">
        <f>Inputs!$B$3&gt;=69</f>
        <v/>
      </c>
      <c r="D2429">
        <f>IF(Skills!C8=1,60+Inputs!$B$25+Inputs!$B$29,IF(Skills!C8=2,90+Inputs!$B$26+Inputs!$B$29,IF(Skills!C8=3,120+Inputs!$B$27+Inputs!$B$29,MAX(0,(Inputs!$B$3-100)*3)+Inputs!$B$28+Inputs!$B$29)))</f>
        <v/>
      </c>
      <c r="E2429">
        <f>INDEX(FactorTable!$B$2:$Y$301, MATCH(ROUND(MIN(300,MAX(1,D2429)),0), FactorTable!$A$2:$A$301,0), Skills!M8+1)</f>
        <v/>
      </c>
      <c r="F2429">
        <f>IF(Skills!N8=TRUE,(Skills!L8/10)*(E2429/1000),Skills!L8/10)+Skills!O8</f>
        <v/>
      </c>
      <c r="G2429">
        <f>Skills!G8*IF(Skills!H8&gt;0,Skills!I8/Skills!H8,1)</f>
        <v/>
      </c>
      <c r="H2429">
        <f>1-(1-Skills!J8/100)^Skills!K8</f>
        <v/>
      </c>
      <c r="I2429" t="inlineStr">
        <is>
          <t>1</t>
        </is>
      </c>
      <c r="J2429">
        <f>((Inputs!$B$6*(1+Inputs!$B$7/100))+(((Inputs!$B$12*(1+Inputs!$B$13/100))-(Inputs!$B$12*(1+Inputs!$B$13/100)))+0.25*(Inputs!$B$14-Inputs!$B$14))*(1+Inputs!$B$7/100))*(F2429/100)</f>
        <v/>
      </c>
      <c r="K2429">
        <f>J2429*(1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2432=TRUE,F2432,0)/100)*(1+(IF(Skills!A8="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2429)</f>
        <v/>
      </c>
      <c r="L2429">
        <f>K2429*(MIN(Inputs!$B$22+((C2446=TRUE)*(F2446-Calc!F25)),(Inputs!$B$23+((C2451=TRUE)*(F2451-Calc!F30))+(IF(ArtifactsInput!$M$15,CHOOSE(ArtifactsInput!$N$15+1,25,30,35,40,45,50)/100*(Inputs!$B$11-Inputs!$B$11),0))))/100+(Inputs!$B$23+((C2451=TRUE)*(F2451-Calc!F30))+(IF(ArtifactsInput!$M$15,CHOOSE(ArtifactsInput!$N$15+1,25,30,35,40,45,50)/100*(Inputs!$B$11-Inputs!$B$11),0)))/100)/2</f>
        <v/>
      </c>
      <c r="M2429">
        <f>L2429*(1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29">
        <f>L2429*(1-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2429*(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9">
        <f>(1-Summary!$B$11)*T2429+Summary!$B$11*V2429</f>
        <v/>
      </c>
      <c r="P2429">
        <f>IF(B2465=0,0,O2429/B2465)</f>
        <v/>
      </c>
      <c r="Q2429">
        <f>IFERROR(1/(IF(Inputs!$B$38="pvp",15,MAX(0.1,Skills!D8-IF(Skills!E8=TRUE,Inputs!$B$32,0)))*(1-IF(AND(ArtifactsInput!$M$27,Inputs!$B$4="Chapter Hunt"),CHOOSE(ArtifactsInput!$N$27+1,20,24,28,32,36,40),0)/100)),0)</f>
        <v/>
      </c>
      <c r="R2429">
        <f>IF(AND(Inputs!$B$38&lt;&gt;"pvp",Inputs!$B$43&gt;0),IF(MAX(0,Inputs!$B$43-B2462)&lt;=0,0,(INT(MAX(0,Inputs!$B$43-B2462)/(IF(Inputs!$B$38="pvp",15,MAX(0.1,Skills!D8-IF(Skills!E8=TRUE,Inputs!$B$32,0)))*(1-IF(AND(ArtifactsInput!$M$27,Inputs!$B$4="Chapter Hunt"),CHOOSE(ArtifactsInput!$N$27+1,20,24,28,32,36,40),0)/100)))+1)),0)</f>
        <v/>
      </c>
      <c r="S2429">
        <f>IFERROR(O2429/N2429,0)</f>
        <v/>
      </c>
      <c r="T2429">
        <f>IF(C2429,(H2429*N2429*IF(AND(Inputs!$B$38&lt;&gt;"pvp",Inputs!$B$43&gt;0),((Skills!G8*((R2429-1)*IF(Skills!H8&gt;0,Skills!I8/Skills!H8,1)+IF(Skills!H8&gt;0,MIN(Skills!I8,MAX(0,MAX(0,Inputs!$B$43-B2462)-((R2429-1)*(IF(Inputs!$B$38="pvp",15,MAX(0.1,Skills!D8-IF(Skills!E8=TRUE,Inputs!$B$32,0)))*(1-IF(AND(ArtifactsInput!$M$27,Inputs!$B$4="Chapter Hunt"),CHOOSE(ArtifactsInput!$N$27+1,20,24,28,32,36,40),0)/100)))))/Skills!H8,1)))/Inputs!$B$43),G2429*Q2429)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2429*(1-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2429*(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2429*(1-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2429*(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9">
        <f>IF(C2429,(H2429*N2429*IF(AND(Inputs!$B$38&lt;&gt;"pvp",Inputs!$B$43&gt;0),((Skills!G8*((R2429-1)*IF(Skills!H8&gt;0,Skills!I8/Skills!H8,1)+IF(Skills!H8&gt;0,MIN(Skills!I8,MAX(0,MAX(0,Inputs!$B$43-B2462)-((R2429-1)*(IF(Inputs!$B$38="pvp",15,MAX(0.1,Skills!D8-IF(Skills!E8=TRUE,Inputs!$B$32,0)))*(1-IF(AND(ArtifactsInput!$M$27,Inputs!$B$4="Chapter Hunt"),CHOOSE(ArtifactsInput!$N$27+1,20,24,28,32,36,40),0)/100)))))/Skills!H8,1)))/Inputs!$B$43),G2429*Q2429))*IF(Inputs!$B$38="pvp",1,(1+(Inputs!$B$21+Skills!Q8+(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0">
      <c r="A2430">
        <f>Skills!A9</f>
        <v/>
      </c>
      <c r="B2430">
        <f>Skills!B9</f>
        <v/>
      </c>
      <c r="C2430">
        <f>Inputs!$B$3&gt;=63</f>
        <v/>
      </c>
      <c r="D2430">
        <f>IF(Skills!C9=1,60+Inputs!$B$25+Inputs!$B$29,IF(Skills!C9=2,90+Inputs!$B$26+Inputs!$B$29,IF(Skills!C9=3,120+Inputs!$B$27+Inputs!$B$29,MAX(0,(Inputs!$B$3-100)*3)+Inputs!$B$28+Inputs!$B$29)))</f>
        <v/>
      </c>
      <c r="E2430">
        <f>INDEX(FactorTable!$B$2:$Y$301, MATCH(ROUND(MIN(300,MAX(1,D2430)),0), FactorTable!$A$2:$A$301,0), Skills!M9+1)</f>
        <v/>
      </c>
      <c r="F2430">
        <f>IF(Skills!N9=TRUE,(Skills!L9/10)*(E2430/1000),Skills!L9/10)+Skills!O9</f>
        <v/>
      </c>
      <c r="G2430">
        <f>Skills!G9*IF(Skills!H9&gt;0,Skills!I9/Skills!H9,1)</f>
        <v/>
      </c>
      <c r="H2430">
        <f>1-(1-Skills!J9/100)^Skills!K9</f>
        <v/>
      </c>
      <c r="I2430" t="inlineStr">
        <is>
          <t>1</t>
        </is>
      </c>
      <c r="J2430">
        <f>((Inputs!$B$6*(1+Inputs!$B$7/100))+(((Inputs!$B$12*(1+Inputs!$B$13/100))-(Inputs!$B$12*(1+Inputs!$B$13/100)))+0.25*(Inputs!$B$14-Inputs!$B$14))*(1+Inputs!$B$7/100))*(F2430/100)</f>
        <v/>
      </c>
      <c r="K2430">
        <f>J2430*(1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2432=TRUE,F2432,0)/100)*(1+(IF(Skills!A9="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2430)</f>
        <v/>
      </c>
      <c r="L2430">
        <f>K2430*(MIN(Inputs!$B$22+((C2446=TRUE)*(F2446-Calc!F25)),(Inputs!$B$23+((C2451=TRUE)*(F2451-Calc!F30))+(IF(ArtifactsInput!$M$15,CHOOSE(ArtifactsInput!$N$15+1,25,30,35,40,45,50)/100*(Inputs!$B$11-Inputs!$B$11),0))))/100+(Inputs!$B$23+((C2451=TRUE)*(F2451-Calc!F30))+(IF(ArtifactsInput!$M$15,CHOOSE(ArtifactsInput!$N$15+1,25,30,35,40,45,50)/100*(Inputs!$B$11-Inputs!$B$11),0)))/100)/2</f>
        <v/>
      </c>
      <c r="M2430">
        <f>L2430*(1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30">
        <f>L2430*(1-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2430*(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0">
        <f>(1-Summary!$B$11)*T2430+Summary!$B$11*V2430</f>
        <v/>
      </c>
      <c r="P2430">
        <f>IF(B2465=0,0,O2430/B2465)</f>
        <v/>
      </c>
      <c r="Q2430">
        <f>IFERROR(1/(IF(Inputs!$B$38="pvp",15,MAX(0.1,Skills!D9-IF(Skills!E9=TRUE,Inputs!$B$32,0)))*(1-IF(AND(ArtifactsInput!$M$27,Inputs!$B$4="Chapter Hunt"),CHOOSE(ArtifactsInput!$N$27+1,20,24,28,32,36,40),0)/100)),0)</f>
        <v/>
      </c>
      <c r="R2430">
        <f>IF(AND(Inputs!$B$38&lt;&gt;"pvp",Inputs!$B$43&gt;0),IF(MAX(0,Inputs!$B$43-B2462)&lt;=0,0,(INT(MAX(0,Inputs!$B$43-B2462)/(IF(Inputs!$B$38="pvp",15,MAX(0.1,Skills!D9-IF(Skills!E9=TRUE,Inputs!$B$32,0)))*(1-IF(AND(ArtifactsInput!$M$27,Inputs!$B$4="Chapter Hunt"),CHOOSE(ArtifactsInput!$N$27+1,20,24,28,32,36,40),0)/100)))+1)),0)</f>
        <v/>
      </c>
      <c r="S2430">
        <f>IFERROR(O2430/N2430,0)</f>
        <v/>
      </c>
      <c r="T2430">
        <f>IF(C2430,(H2430*N2430*IF(AND(Inputs!$B$38&lt;&gt;"pvp",Inputs!$B$43&gt;0),((Skills!G9*((R2430-1)*IF(Skills!H9&gt;0,Skills!I9/Skills!H9,1)+IF(Skills!H9&gt;0,MIN(Skills!I9,MAX(0,MAX(0,Inputs!$B$43-B2462)-((R2430-1)*(IF(Inputs!$B$38="pvp",15,MAX(0.1,Skills!D9-IF(Skills!E9=TRUE,Inputs!$B$32,0)))*(1-IF(AND(ArtifactsInput!$M$27,Inputs!$B$4="Chapter Hunt"),CHOOSE(ArtifactsInput!$N$27+1,20,24,28,32,36,40),0)/100)))))/Skills!H9,1)))/Inputs!$B$43),G2430*Q2430)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2430*(1-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2430*(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2430*(1-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2430*(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0">
        <f>IF(C2430,(H2430*N2430*IF(AND(Inputs!$B$38&lt;&gt;"pvp",Inputs!$B$43&gt;0),((Skills!G9*((R2430-1)*IF(Skills!H9&gt;0,Skills!I9/Skills!H9,1)+IF(Skills!H9&gt;0,MIN(Skills!I9,MAX(0,MAX(0,Inputs!$B$43-B2462)-((R2430-1)*(IF(Inputs!$B$38="pvp",15,MAX(0.1,Skills!D9-IF(Skills!E9=TRUE,Inputs!$B$32,0)))*(1-IF(AND(ArtifactsInput!$M$27,Inputs!$B$4="Chapter Hunt"),CHOOSE(ArtifactsInput!$N$27+1,20,24,28,32,36,40),0)/100)))))/Skills!H9,1)))/Inputs!$B$43),G2430*Q2430))*IF(Inputs!$B$38="pvp",1,(1+(Inputs!$B$21+Skills!Q9+(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1">
      <c r="A2431">
        <f>Skills!A10</f>
        <v/>
      </c>
      <c r="B2431">
        <f>Skills!B10</f>
        <v/>
      </c>
      <c r="C2431">
        <f>Inputs!$B$3&gt;=103</f>
        <v/>
      </c>
      <c r="D2431">
        <f>IF(Skills!C10=1,60+Inputs!$B$25+Inputs!$B$29,IF(Skills!C10=2,90+Inputs!$B$26+Inputs!$B$29,IF(Skills!C10=3,120+Inputs!$B$27+Inputs!$B$29,MAX(0,(Inputs!$B$3-100)*3)+Inputs!$B$28+Inputs!$B$29)))</f>
        <v/>
      </c>
      <c r="E2431">
        <f>INDEX(FactorTable!$B$2:$Y$301, MATCH(ROUND(MIN(300,MAX(1,D2431)),0), FactorTable!$A$2:$A$301,0), Skills!M10+1)</f>
        <v/>
      </c>
      <c r="F2431">
        <f>IF(Skills!N10=TRUE,(Skills!L10/10)*(E2431/1000),Skills!L10/10)+Skills!O10</f>
        <v/>
      </c>
      <c r="G2431">
        <f>Skills!G10*IF(Skills!H10&gt;0,Skills!I10/Skills!H10,1)</f>
        <v/>
      </c>
      <c r="H2431">
        <f>1-(1-Skills!J10/100)^Skills!K10</f>
        <v/>
      </c>
      <c r="I2431" t="inlineStr">
        <is>
          <t>1</t>
        </is>
      </c>
      <c r="J2431">
        <f>((Inputs!$B$6*(1+Inputs!$B$7/100))+(((Inputs!$B$12*(1+Inputs!$B$13/100))-(Inputs!$B$12*(1+Inputs!$B$13/100)))+0.25*(Inputs!$B$14-Inputs!$B$14))*(1+Inputs!$B$7/100))*(F2431/100)</f>
        <v/>
      </c>
      <c r="K2431">
        <f>J2431*(1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2431)</f>
        <v/>
      </c>
      <c r="L2431">
        <f>K2431*(MIN(Inputs!$B$22+((C2446=TRUE)*(F2446-Calc!F25)),(Inputs!$B$23+((C2451=TRUE)*(F2451-Calc!F30))+(IF(ArtifactsInput!$M$15,CHOOSE(ArtifactsInput!$N$15+1,25,30,35,40,45,50)/100*(Inputs!$B$11-Inputs!$B$11),0))))/100+(Inputs!$B$23+((C2451=TRUE)*(F2451-Calc!F30))+(IF(ArtifactsInput!$M$15,CHOOSE(ArtifactsInput!$N$15+1,25,30,35,40,45,50)/100*(Inputs!$B$11-Inputs!$B$11),0)))/100)/2</f>
        <v/>
      </c>
      <c r="M2431">
        <f>L2431*(1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31">
        <f>L2431*(1-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1">
        <f>(1-Summary!$B$11)*T2431+Summary!$B$11*V2431</f>
        <v/>
      </c>
      <c r="P2431">
        <f>IF(B2465=0,0,O2431/B2465)</f>
        <v/>
      </c>
      <c r="Q2431">
        <f>IFERROR(1/(IF(Inputs!$B$38="pvp",15,MAX(0.1,Skills!D10-IF(Skills!E10=TRUE,Inputs!$B$32,0)))*(1-IF(AND(ArtifactsInput!$M$27,Inputs!$B$4="Chapter Hunt"),CHOOSE(ArtifactsInput!$N$27+1,20,24,28,32,36,40),0)/100)),0)</f>
        <v/>
      </c>
      <c r="R2431">
        <f>IF(AND(Inputs!$B$38&lt;&gt;"pvp",Inputs!$B$43&gt;0),IF(MAX(0,Inputs!$B$43-B2462)&lt;=0,0,(INT(MAX(0,Inputs!$B$43-B2462)/(IF(Inputs!$B$38="pvp",15,MAX(0.1,Skills!D10-IF(Skills!E10=TRUE,Inputs!$B$32,0)))*(1-IF(AND(ArtifactsInput!$M$27,Inputs!$B$4="Chapter Hunt"),CHOOSE(ArtifactsInput!$N$27+1,20,24,28,32,36,40),0)/100)))+1)),0)</f>
        <v/>
      </c>
      <c r="S2431">
        <f>IFERROR(O2431/N2431,0)</f>
        <v/>
      </c>
      <c r="T2431">
        <f>IF(C2431,(H2431*N2431*IF(AND(Inputs!$B$38&lt;&gt;"pvp",Inputs!$B$43&gt;0),((Skills!G10*((R2431-1)*IF(Skills!H10&gt;0,Skills!I10/Skills!H10,1)+IF(Skills!H10&gt;0,MIN(Skills!I10,MAX(0,MAX(0,Inputs!$B$43-B2462)-((R2431-1)*(IF(Inputs!$B$38="pvp",15,MAX(0.1,Skills!D10-IF(Skills!E10=TRUE,Inputs!$B$32,0)))*(1-IF(AND(ArtifactsInput!$M$27,Inputs!$B$4="Chapter Hunt"),CHOOSE(ArtifactsInput!$N$27+1,20,24,28,32,36,40),0)/100)))))/Skills!H10,1)))/Inputs!$B$43),G2431*Q2431)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2431*(1-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2431*(1-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1">
        <f>IF(C2431,(H2431*N2431*IF(AND(Inputs!$B$38&lt;&gt;"pvp",Inputs!$B$43&gt;0),((Skills!G10*((R2431-1)*IF(Skills!H10&gt;0,Skills!I10/Skills!H10,1)+IF(Skills!H10&gt;0,MIN(Skills!I10,MAX(0,MAX(0,Inputs!$B$43-B2462)-((R2431-1)*(IF(Inputs!$B$38="pvp",15,MAX(0.1,Skills!D10-IF(Skills!E10=TRUE,Inputs!$B$32,0)))*(1-IF(AND(ArtifactsInput!$M$27,Inputs!$B$4="Chapter Hunt"),CHOOSE(ArtifactsInput!$N$27+1,20,24,28,32,36,40),0)/100)))))/Skills!H10,1)))/Inputs!$B$43),G2431*Q2431))*IF(Inputs!$B$38="pvp",1,(1+(Inputs!$B$21+Skills!Q10+(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2">
      <c r="A2432">
        <f>Skills!A11</f>
        <v/>
      </c>
      <c r="B2432">
        <f>Skills!B11</f>
        <v/>
      </c>
      <c r="C2432">
        <f>Inputs!$B$3&gt;=100</f>
        <v/>
      </c>
      <c r="D2432">
        <f>IF(Skills!C11=1,60+Inputs!$B$25+Inputs!$B$29,IF(Skills!C11=2,90+Inputs!$B$26+Inputs!$B$29,IF(Skills!C11=3,120+Inputs!$B$27+Inputs!$B$29,MAX(0,(Inputs!$B$3-100)*3)+Inputs!$B$28+Inputs!$B$29)))</f>
        <v/>
      </c>
      <c r="E2432">
        <f>INDEX(FactorTable!$B$2:$Y$301, MATCH(ROUND(MIN(300,MAX(1,D2432)),0), FactorTable!$A$2:$A$301,0), Skills!M11+1)</f>
        <v/>
      </c>
      <c r="F2432">
        <f>IF(Skills!N11=TRUE,(Skills!L11/10)*(E2432/1000),Skills!L11/10)+Skills!O11</f>
        <v/>
      </c>
      <c r="G2432" t="inlineStr"/>
      <c r="H2432" t="inlineStr"/>
      <c r="I2432" t="inlineStr">
        <is>
          <t>1</t>
        </is>
      </c>
      <c r="J2432" t="inlineStr"/>
      <c r="K2432" t="inlineStr"/>
      <c r="L2432" t="inlineStr"/>
      <c r="M2432" t="inlineStr"/>
      <c r="N2432" t="inlineStr"/>
      <c r="O2432" t="inlineStr"/>
      <c r="P2432" t="inlineStr"/>
      <c r="Q2432" t="inlineStr"/>
      <c r="R2432" t="inlineStr"/>
      <c r="S2432" t="inlineStr"/>
      <c r="T2432" t="inlineStr"/>
      <c r="V2432" t="inlineStr"/>
    </row>
    <row r="2433">
      <c r="A2433">
        <f>Skills!A12</f>
        <v/>
      </c>
      <c r="B2433">
        <f>Skills!B12</f>
        <v/>
      </c>
      <c r="C2433">
        <f>Inputs!$B$3&gt;=60</f>
        <v/>
      </c>
      <c r="D2433">
        <f>IF(Skills!C12=1,60+Inputs!$B$25+Inputs!$B$29,IF(Skills!C12=2,90+Inputs!$B$26+Inputs!$B$29,IF(Skills!C12=3,120+Inputs!$B$27+Inputs!$B$29,MAX(0,(Inputs!$B$3-100)*3)+Inputs!$B$28+Inputs!$B$29)))</f>
        <v/>
      </c>
      <c r="E2433">
        <f>INDEX(FactorTable!$B$2:$Y$301, MATCH(ROUND(MIN(300,MAX(1,D2433)),0), FactorTable!$A$2:$A$301,0), Skills!M12+1)</f>
        <v/>
      </c>
      <c r="F2433">
        <f>IF(Skills!N12=TRUE,(Skills!L12/10)*(E2433/1000),Skills!L12/10)+Skills!O12</f>
        <v/>
      </c>
      <c r="G2433">
        <f>Skills!G12*IF(Skills!H12&gt;0,Skills!I12/Skills!H12,1)</f>
        <v/>
      </c>
      <c r="H2433">
        <f>1-(1-Skills!J12/100)^Skills!K12</f>
        <v/>
      </c>
      <c r="I2433" t="inlineStr">
        <is>
          <t>1</t>
        </is>
      </c>
      <c r="J2433">
        <f>((Inputs!$B$6*(1+Inputs!$B$7/100))+(((Inputs!$B$12*(1+Inputs!$B$13/100))-(Inputs!$B$12*(1+Inputs!$B$13/100)))+0.25*(Inputs!$B$14-Inputs!$B$14))*(1+Inputs!$B$7/100))*(F2433/100)</f>
        <v/>
      </c>
      <c r="K2433">
        <f>J2433*(1+((Inputs!$B$12*(1+Inputs!$B$13/100))*0.01+Inputs!$B$14*0.0025)/100)*(1+Inputs!$B$15/100)*(1+Inputs!$B$16/100)*(5000/(6000+Inputs!$B$42*(1-(100*(1-(1-(Inputs!$B$19+((C2449=TRUE)*(F2449-Calc!F28)))/100)*(1-CHOOSE(ArtifactsInput!$N$40+1,5,6,7,8,9,10)/100)^(ArtifactsInput!$M$40-ArtifactsInput!$M$40)))/100)))*(1+(Inputs!$B$24+((C2447=TRUE)*(F2447-Calc!F26))+((C2448=TRUE)*(F2448-Calc!F27))+B2461)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2434=TRUE,F2434,0)/100)*(1+(IF(Skills!A12="ARROW_STREAM",Inputs!$B$17+((C2445=TRUE)*(F2445-Calc!F24))+(((IF(AND(ArtifactsInput!$M$42,((Inputs!$B$9+((C2442=TRUE)*(F2442-Calc!F21))+B2455+(ArtifactsInput!$M$24-ArtifactsInput!$M$24)*CHOOSE(ArtifactsInput!$N$24+1,10,12,14,16,18,20)+IF(ArtifactsInput!$M$10,CHOOSE(ArtifactsInput!$N$10+1,15,18,21,24,27,30)*(IF(Inputs!$B$38="pvp",MIN(15,15)/15,IF(AND(Inputs!$B$38&lt;&gt;"pvp",Inputs!$B$43&gt;0),MIN(15,Inputs!$B$43)/(Inputs!$B$43),0))),0)))&gt;=100),MIN(100,((Inputs!$B$9+((C2442=TRUE)*(F2442-Calc!F21))+B2455+(ArtifactsInput!$M$24-ArtifactsInput!$M$24)*CHOOSE(ArtifactsInput!$N$24+1,10,12,14,16,18,20)+IF(ArtifactsInput!$M$10,CHOOSE(ArtifactsInput!$N$10+1,15,18,21,24,27,30)*(IF(Inputs!$B$38="pvp",MIN(15,15)/15,IF(AND(Inputs!$B$38&lt;&gt;"pvp",Inputs!$B$43&gt;0),MIN(15,Inputs!$B$43)/(Inputs!$B$43),0))),0)))-100),0))*CHOOSE(ArtifactsInput!$N$42+1,0.6,0.72,0.84,0.96,1.08,1.2))),Inputs!$B$18+((C2450=TRUE)*(F2450-Calc!F29))+(IF(AND(ArtifactsInput!$M$42,((Inputs!$B$9+((C2442=TRUE)*(F2442-Calc!F21))+B2455+(ArtifactsInput!$M$24-ArtifactsInput!$M$24)*CHOOSE(ArtifactsInput!$N$24+1,10,12,14,16,18,20)+IF(ArtifactsInput!$M$10,CHOOSE(ArtifactsInput!$N$10+1,15,18,21,24,27,30)*(IF(Inputs!$B$38="pvp",MIN(15,15)/15,IF(AND(Inputs!$B$38&lt;&gt;"pvp",Inputs!$B$43&gt;0),MIN(15,Inputs!$B$43)/(Inputs!$B$43),0))),0)))&gt;=100),CHOOSE(ArtifactsInput!$N$42+1,40,48,56,64,72,80),0))))/100)*((1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2433)</f>
        <v/>
      </c>
      <c r="L2433">
        <f>K2433*(MIN(Inputs!$B$22+((C2446=TRUE)*(F2446-Calc!F25)),(Inputs!$B$23+((C2451=TRUE)*(F2451-Calc!F30))+(IF(ArtifactsInput!$M$15,CHOOSE(ArtifactsInput!$N$15+1,25,30,35,40,45,50)/100*(Inputs!$B$11-Inputs!$B$11),0))))/100+(Inputs!$B$23+((C2451=TRUE)*(F2451-Calc!F30))+(IF(ArtifactsInput!$M$15,CHOOSE(ArtifactsInput!$N$15+1,25,30,35,40,45,50)/100*(Inputs!$B$11-Inputs!$B$11),0)))/100)/2</f>
        <v/>
      </c>
      <c r="M2433">
        <f>L2433*(1+(Inputs!$B$10+0+B2460+(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433">
        <f>L2433*(1-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2433*(MIN((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3">
        <f>(1-Summary!$B$11)*T2433+Summary!$B$11*V2433</f>
        <v/>
      </c>
      <c r="P2433">
        <f>IF(B2465=0,0,O2433/B2465)</f>
        <v/>
      </c>
      <c r="Q2433">
        <f>IFERROR(1/(IF(Inputs!$B$38="pvp",15,MAX(0.1,Skills!D12-IF(Skills!E12=TRUE,Inputs!$B$32,0)))*(1-IF(AND(ArtifactsInput!$M$27,Inputs!$B$4="Chapter Hunt"),CHOOSE(ArtifactsInput!$N$27+1,20,24,28,32,36,40),0)/100)),0)</f>
        <v/>
      </c>
      <c r="R2433">
        <f>IF(AND(Inputs!$B$38&lt;&gt;"pvp",Inputs!$B$43&gt;0),IF(MAX(0,Inputs!$B$43-B2462)&lt;=0,0,(INT(MAX(0,Inputs!$B$43-B2462)/(IF(Inputs!$B$38="pvp",15,MAX(0.1,Skills!D12-IF(Skills!E12=TRUE,Inputs!$B$32,0)))*(1-IF(AND(ArtifactsInput!$M$27,Inputs!$B$4="Chapter Hunt"),CHOOSE(ArtifactsInput!$N$27+1,20,24,28,32,36,40),0)/100)))+1)),0)</f>
        <v/>
      </c>
      <c r="S2433">
        <f>IFERROR(O2433/N2433,0)</f>
        <v/>
      </c>
      <c r="T2433">
        <f>IF(C2433,(H2433*N2433*IF(AND(Inputs!$B$38&lt;&gt;"pvp",Inputs!$B$43&gt;0),((Skills!G12*((R2433-1)*IF(Skills!H12&gt;0,Skills!I12/Skills!H12,1)+IF(Skills!H12&gt;0,MIN(Skills!I12,MAX(0,MAX(0,Inputs!$B$43-B2462)-((R2433-1)*(IF(Inputs!$B$38="pvp",15,MAX(0.1,Skills!D12-IF(Skills!E12=TRUE,Inputs!$B$32,0)))*(1-IF(AND(ArtifactsInput!$M$27,Inputs!$B$4="Chapter Hunt"),CHOOSE(ArtifactsInput!$N$27+1,20,24,28,32,36,40),0)/100)))))/Skills!H12,1)))/Inputs!$B$43),G2433*Q2433)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(5000/(6000+Inputs!$B$42*(1-(100*(1-(1-(100*(1-(1-(Inputs!$B$19+((C2449=TRUE)*(F2449-Calc!F28)))/100)*(1-CHOOSE(ArtifactsInput!$N$40+1,5,6,7,8,9,10)/100)^(ArtifactsInput!$M$40-ArtifactsInput!$M$40)))/100)*(1-IF(ArtifactsInput!$M$40,CHOOSE(ArtifactsInput!$N$40+1,5,6,7,8,9,10),0)/100)^IF(Inputs!$B$38="pvp",1,2)))/100)))/(5000/(6000+Inputs!$B$42*(1-(100*(1-(1-(Inputs!$B$19+((C2449=TRUE)*(F2449-Calc!F28)))/100)*(1-CHOOSE(ArtifactsInput!$N$40+1,5,6,7,8,9,10)/100)^(ArtifactsInput!$M$40-ArtifactsInput!$M$40)))/100))))*((L2433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2433*(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2433*(1-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2433*(MIN(100,(Inputs!$B$9+((C2442=TRUE)*(F2442-Calc!F21))+B2455+(ArtifactsInput!$M$24-ArtifactsInput!$M$24)*CHOOSE(ArtifactsInput!$N$24+1,10,12,14,16,18,20)+(IF(AND(ArtifactsInput!$M$42,((Inputs!$B$9+((C2442=TRUE)*(F2442-Calc!F21))+B2455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3">
        <f>IF(C2433,(H2433*N2433*IF(AND(Inputs!$B$38&lt;&gt;"pvp",Inputs!$B$43&gt;0),((Skills!G12*((R2433-1)*IF(Skills!H12&gt;0,Skills!I12/Skills!H12,1)+IF(Skills!H12&gt;0,MIN(Skills!I12,MAX(0,MAX(0,Inputs!$B$43-B2462)-((R2433-1)*(IF(Inputs!$B$38="pvp",15,MAX(0.1,Skills!D12-IF(Skills!E12=TRUE,Inputs!$B$32,0)))*(1-IF(AND(ArtifactsInput!$M$27,Inputs!$B$4="Chapter Hunt"),CHOOSE(ArtifactsInput!$N$27+1,20,24,28,32,36,40),0)/100)))))/Skills!H12,1)))/Inputs!$B$43),G2433*Q2433))*IF(Inputs!$B$38="pvp",1,(1+(Inputs!$B$21+Skills!Q12+(IF(ArtifactsInput!$M$33,CHOOSE(ArtifactsInput!$N$33+1,30,36,42,48,54,60),0))+(IF(AND(ArtifactsInput!$M$35,Inputs!$B$4&lt;&gt;"Chapter Hunt"),CHOOSE(ArtifactsInput!$N$35+1,15,18,21,24,27,30)*(1-EXP(-(0.2*B2457)*5)),0)+IF(AND(ArtifactsInput!$M$22,Inputs!$B$4&lt;&gt;"Chapter Hunt"),CHOOSE(ArtifactsInput!$N$22+1,10,12,14,16,18,20)*((0*(((0.15*B2457*5))^0/1)+1*(((0.15*B2457*5))^1/1)+2*(((0.15*B2457*5))^2/2)+3*(((0.15*B2457*5))^3/6)+4*(((0.15*B2457*5))^4/24)+5*(((0.15*B2457*5))^5/120))/((((0.15*B2457*5))^0/1)+(((0.15*B2457*5))^1/1)+(((0.15*B2457*5))^2/2)+(((0.15*B2457*5))^3/6)+(((0.15*B2457*5))^4/24)+(((0.15*B2457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4">
      <c r="A2434">
        <f>Skills!A13</f>
        <v/>
      </c>
      <c r="B2434">
        <f>Skills!B13</f>
        <v/>
      </c>
      <c r="C2434">
        <f>Inputs!$B$3&gt;=110</f>
        <v/>
      </c>
      <c r="D2434">
        <f>IF(Skills!C13=1,60+Inputs!$B$25+Inputs!$B$29,IF(Skills!C13=2,90+Inputs!$B$26+Inputs!$B$29,IF(Skills!C13=3,120+Inputs!$B$27+Inputs!$B$29,MAX(0,(Inputs!$B$3-100)*3)+Inputs!$B$28+Inputs!$B$29)))</f>
        <v/>
      </c>
      <c r="E2434">
        <f>INDEX(FactorTable!$B$2:$Y$301, MATCH(ROUND(MIN(300,MAX(1,D2434)),0), FactorTable!$A$2:$A$301,0), Skills!M13+1)</f>
        <v/>
      </c>
      <c r="F2434">
        <f>IF(Skills!N13=TRUE,(Skills!L13/10)*(E2434/1000),Skills!L13/10)+Skills!O13</f>
        <v/>
      </c>
      <c r="G2434" t="inlineStr"/>
      <c r="H2434" t="inlineStr"/>
      <c r="I2434" t="inlineStr">
        <is>
          <t>1</t>
        </is>
      </c>
      <c r="J2434" t="inlineStr"/>
      <c r="K2434" t="inlineStr"/>
      <c r="L2434" t="inlineStr"/>
      <c r="M2434" t="inlineStr"/>
      <c r="N2434" t="inlineStr"/>
      <c r="O2434" t="inlineStr"/>
      <c r="P2434" t="inlineStr"/>
      <c r="Q2434" t="inlineStr"/>
      <c r="R2434" t="inlineStr"/>
      <c r="S2434" t="inlineStr"/>
      <c r="T2434" t="inlineStr"/>
      <c r="V2434" t="inlineStr"/>
    </row>
    <row r="2435">
      <c r="A2435">
        <f>Skills!A14</f>
        <v/>
      </c>
      <c r="B2435">
        <f>Skills!B14</f>
        <v/>
      </c>
      <c r="C2435">
        <f>Inputs!$B$3&gt;=74</f>
        <v/>
      </c>
      <c r="D2435">
        <f>IF(Skills!C14=1,60+Inputs!$B$25+Inputs!$B$29,IF(Skills!C14=2,90+Inputs!$B$26+Inputs!$B$29,IF(Skills!C14=3,120+Inputs!$B$27+Inputs!$B$29,MAX(0,(Inputs!$B$3-100)*3)+Inputs!$B$28+Inputs!$B$29)))</f>
        <v/>
      </c>
      <c r="E2435">
        <f>INDEX(FactorTable!$B$2:$Y$301, MATCH(ROUND(MIN(300,MAX(1,D2435)),0), FactorTable!$A$2:$A$301,0), Skills!M14+1)</f>
        <v/>
      </c>
      <c r="F2435">
        <f>IF(Skills!N14=TRUE,(Skills!L14/10)*(E2435/1000),Skills!L14/10)+Skills!O14</f>
        <v/>
      </c>
      <c r="G2435">
        <f>Skills!G14*IF(Skills!H14&gt;0,Skills!I14/Skills!H14,1)</f>
        <v/>
      </c>
      <c r="H2435">
        <f>1-(1-Skills!J14/100)^Skills!K14</f>
        <v/>
      </c>
      <c r="I2435" t="inlineStr">
        <is>
          <t>1</t>
        </is>
      </c>
      <c r="J2435" t="inlineStr"/>
      <c r="K2435" t="inlineStr"/>
      <c r="L2435" t="inlineStr"/>
      <c r="M2435" t="inlineStr"/>
      <c r="N2435" t="inlineStr"/>
      <c r="O2435">
        <f>(1-Summary!$B$11)*T2435+Summary!$B$11*V2435</f>
        <v/>
      </c>
      <c r="P2435">
        <f>IF(B2465=0,0,O2435/B2465)</f>
        <v/>
      </c>
      <c r="Q2435" t="n">
        <v>0</v>
      </c>
      <c r="R2435" t="n">
        <v>0</v>
      </c>
      <c r="S2435">
        <f>IFERROR(O2435/N2435,0)</f>
        <v/>
      </c>
      <c r="T2435" t="n">
        <v>0</v>
      </c>
      <c r="V2435" t="n">
        <v>0</v>
      </c>
    </row>
    <row r="2436">
      <c r="A2436">
        <f>Skills!A15</f>
        <v/>
      </c>
      <c r="B2436">
        <f>Skills!B15</f>
        <v/>
      </c>
      <c r="C2436">
        <f>Inputs!$B$3&gt;=74</f>
        <v/>
      </c>
      <c r="D2436">
        <f>IF(Skills!C15=1,60+Inputs!$B$25+Inputs!$B$29,IF(Skills!C15=2,90+Inputs!$B$26+Inputs!$B$29,IF(Skills!C15=3,120+Inputs!$B$27+Inputs!$B$29,MAX(0,(Inputs!$B$3-100)*3)+Inputs!$B$28+Inputs!$B$29)))</f>
        <v/>
      </c>
      <c r="E2436">
        <f>INDEX(FactorTable!$B$2:$Y$301, MATCH(ROUND(MIN(300,MAX(1,D2436)),0), FactorTable!$A$2:$A$301,0), Skills!M15+1)</f>
        <v/>
      </c>
      <c r="F2436">
        <f>IF(Skills!N15=TRUE,(Skills!L15/10)*(E2436/1000),Skills!L15/10)+Skills!O15</f>
        <v/>
      </c>
      <c r="G2436">
        <f>Skills!G15*IF(Skills!H15&gt;0,Skills!I15/Skills!H15,1)</f>
        <v/>
      </c>
      <c r="H2436">
        <f>1-(1-Skills!J15/100)^Skills!K15</f>
        <v/>
      </c>
      <c r="I2436" t="inlineStr">
        <is>
          <t>1</t>
        </is>
      </c>
      <c r="J2436" t="inlineStr"/>
      <c r="K2436" t="inlineStr"/>
      <c r="L2436" t="inlineStr"/>
      <c r="M2436" t="inlineStr"/>
      <c r="N2436" t="inlineStr"/>
      <c r="O2436">
        <f>(1-Summary!$B$11)*T2436+Summary!$B$11*V2436</f>
        <v/>
      </c>
      <c r="P2436">
        <f>IF(B2465=0,0,O2436/B2465)</f>
        <v/>
      </c>
      <c r="Q2436" t="n">
        <v>0</v>
      </c>
      <c r="R2436" t="n">
        <v>0</v>
      </c>
      <c r="S2436">
        <f>IFERROR(O2436/N2436,0)</f>
        <v/>
      </c>
      <c r="T2436" t="n">
        <v>0</v>
      </c>
      <c r="V2436" t="n">
        <v>0</v>
      </c>
    </row>
    <row r="2437">
      <c r="A2437">
        <f>Skills!A16</f>
        <v/>
      </c>
      <c r="B2437">
        <f>Skills!B16</f>
        <v/>
      </c>
      <c r="C2437">
        <f>Inputs!$B$3&gt;=117</f>
        <v/>
      </c>
      <c r="D2437">
        <f>IF(Skills!C16=1,60+Inputs!$B$25+Inputs!$B$29,IF(Skills!C16=2,90+Inputs!$B$26+Inputs!$B$29,IF(Skills!C16=3,120+Inputs!$B$27+Inputs!$B$29,MAX(0,(Inputs!$B$3-100)*3)+Inputs!$B$28+Inputs!$B$29)))</f>
        <v/>
      </c>
      <c r="E2437">
        <f>INDEX(FactorTable!$B$2:$Y$301, MATCH(ROUND(MIN(300,MAX(1,D2437)),0), FactorTable!$A$2:$A$301,0), Skills!M16+1)</f>
        <v/>
      </c>
      <c r="F2437">
        <f>IF(Skills!N16=TRUE,(Skills!L16/10)*(E2437/1000),Skills!L16/10)+Skills!O16</f>
        <v/>
      </c>
      <c r="G2437">
        <f>Skills!G16*IF(Skills!H16&gt;0,Skills!I16/Skills!H16,1)</f>
        <v/>
      </c>
      <c r="H2437">
        <f>1-(1-Skills!J16/100)^Skills!K16</f>
        <v/>
      </c>
      <c r="I2437" t="inlineStr">
        <is>
          <t>1</t>
        </is>
      </c>
      <c r="J2437" t="inlineStr"/>
      <c r="K2437" t="inlineStr"/>
      <c r="L2437" t="inlineStr"/>
      <c r="M2437" t="inlineStr"/>
      <c r="N2437" t="inlineStr"/>
      <c r="O2437">
        <f>(1-Summary!$B$11)*T2437+Summary!$B$11*V2437</f>
        <v/>
      </c>
      <c r="P2437">
        <f>IF(B2465=0,0,O2437/B2465)</f>
        <v/>
      </c>
      <c r="Q2437">
        <f>IFERROR(1/(IF(Inputs!$B$38="pvp",15,MAX(0.1,Skills!D16-IF(Skills!E16=TRUE,Inputs!$B$32,0)))*(1-IF(AND(ArtifactsInput!$M$27,Inputs!$B$4="Chapter Hunt"),CHOOSE(ArtifactsInput!$N$27+1,20,24,28,32,36,40),0)/100)),0)</f>
        <v/>
      </c>
      <c r="R2437">
        <f>IF(AND(Inputs!$B$38&lt;&gt;"pvp",Inputs!$B$43&gt;0),IF(Inputs!$B$43&lt;=0,0,(INT(Inputs!$B$43/(IF(Inputs!$B$38="pvp",15,MAX(0.1,Skills!D16-IF(Skills!E16=TRUE,Inputs!$B$32,0)))*(1-IF(AND(ArtifactsInput!$M$27,Inputs!$B$4="Chapter Hunt"),CHOOSE(ArtifactsInput!$N$27+1,20,24,28,32,36,40),0)/100)))+1)),0)</f>
        <v/>
      </c>
      <c r="S2437">
        <f>IFERROR(O2437/N2437,0)</f>
        <v/>
      </c>
      <c r="T2437" t="n">
        <v>0</v>
      </c>
      <c r="V2437" t="n">
        <v>0</v>
      </c>
    </row>
    <row r="2438">
      <c r="A2438">
        <f>Skills!A17</f>
        <v/>
      </c>
      <c r="B2438">
        <f>Skills!B17</f>
        <v/>
      </c>
      <c r="C2438">
        <f>Inputs!$B$3&gt;=115</f>
        <v/>
      </c>
      <c r="D2438">
        <f>IF(Skills!C17=1,60+Inputs!$B$25+Inputs!$B$29,IF(Skills!C17=2,90+Inputs!$B$26+Inputs!$B$29,IF(Skills!C17=3,120+Inputs!$B$27+Inputs!$B$29,MAX(0,(Inputs!$B$3-100)*3)+Inputs!$B$28+Inputs!$B$29)))</f>
        <v/>
      </c>
      <c r="E2438">
        <f>INDEX(FactorTable!$B$2:$Y$301, MATCH(ROUND(MIN(300,MAX(1,D2438)),0), FactorTable!$A$2:$A$301,0), Skills!M17+1)</f>
        <v/>
      </c>
      <c r="F2438">
        <f>IF(Skills!N17=TRUE,(Skills!L17/10)*(E2438/1000),Skills!L17/10)+Skills!O17</f>
        <v/>
      </c>
      <c r="G2438">
        <f>Skills!G17*IF(Skills!H17&gt;0,Skills!I17/Skills!H17,1)</f>
        <v/>
      </c>
      <c r="H2438">
        <f>1-(1-Skills!J17/100)^Skills!K17</f>
        <v/>
      </c>
      <c r="I2438" t="inlineStr">
        <is>
          <t>1</t>
        </is>
      </c>
      <c r="J2438" t="inlineStr"/>
      <c r="K2438" t="inlineStr"/>
      <c r="L2438" t="inlineStr"/>
      <c r="M2438" t="inlineStr"/>
      <c r="N2438" t="inlineStr"/>
      <c r="O2438">
        <f>(1-Summary!$B$11)*T2438+Summary!$B$11*V2438</f>
        <v/>
      </c>
      <c r="P2438">
        <f>IF(B2465=0,0,O2438/B2465)</f>
        <v/>
      </c>
      <c r="Q2438">
        <f>IFERROR(1/(IF(Inputs!$B$38="pvp",15,MAX(0.1,Skills!D17-IF(Skills!E17=TRUE,Inputs!$B$32,0)))*(1-IF(AND(ArtifactsInput!$M$27,Inputs!$B$4="Chapter Hunt"),CHOOSE(ArtifactsInput!$N$27+1,20,24,28,32,36,40),0)/100)),0)</f>
        <v/>
      </c>
      <c r="R2438">
        <f>IF(AND(Inputs!$B$38&lt;&gt;"pvp",Inputs!$B$43&gt;0),IF(Inputs!$B$43&lt;=0,0,(INT(Inputs!$B$43/(IF(Inputs!$B$38="pvp",15,MAX(0.1,Skills!D17-IF(Skills!E17=TRUE,Inputs!$B$32,0)))*(1-IF(AND(ArtifactsInput!$M$27,Inputs!$B$4="Chapter Hunt"),CHOOSE(ArtifactsInput!$N$27+1,20,24,28,32,36,40),0)/100)))+1)),0)</f>
        <v/>
      </c>
      <c r="S2438">
        <f>IFERROR(O2438/N2438,0)</f>
        <v/>
      </c>
      <c r="T2438" t="n">
        <v>0</v>
      </c>
      <c r="V2438" t="n">
        <v>0</v>
      </c>
    </row>
    <row r="2439">
      <c r="A2439">
        <f>Skills!A18</f>
        <v/>
      </c>
      <c r="B2439">
        <f>Skills!B18</f>
        <v/>
      </c>
      <c r="C2439">
        <f>Inputs!$B$3&gt;=66</f>
        <v/>
      </c>
      <c r="D2439">
        <f>IF(Skills!C18=1,60+Inputs!$B$25+Inputs!$B$29,IF(Skills!C18=2,90+Inputs!$B$26+Inputs!$B$29,IF(Skills!C18=3,120+Inputs!$B$27+Inputs!$B$29,MAX(0,(Inputs!$B$3-100)*3)+Inputs!$B$28+Inputs!$B$29)))</f>
        <v/>
      </c>
      <c r="E2439">
        <f>INDEX(FactorTable!$B$2:$Y$301, MATCH(ROUND(MIN(300,MAX(1,D2439)),0), FactorTable!$A$2:$A$301,0), Skills!M18+1)</f>
        <v/>
      </c>
      <c r="F2439">
        <f>IF(Skills!N18=TRUE,(Skills!L18/10)*(E2439/1000),Skills!L18/10)+Skills!O18</f>
        <v/>
      </c>
      <c r="G2439">
        <f>Skills!G18*IF(Skills!H18&gt;0,Skills!I18/Skills!H18,1)</f>
        <v/>
      </c>
      <c r="H2439">
        <f>1-(1-Skills!J18/100)^Skills!K18</f>
        <v/>
      </c>
      <c r="I2439" t="inlineStr">
        <is>
          <t>1</t>
        </is>
      </c>
      <c r="J2439" t="inlineStr"/>
      <c r="K2439" t="inlineStr"/>
      <c r="L2439" t="inlineStr"/>
      <c r="M2439" t="inlineStr"/>
      <c r="N2439" t="inlineStr"/>
      <c r="O2439">
        <f>(1-Summary!$B$11)*T2439+Summary!$B$11*V2439</f>
        <v/>
      </c>
      <c r="P2439">
        <f>IF(B2465=0,0,O2439/B2465)</f>
        <v/>
      </c>
      <c r="Q2439" t="n">
        <v>0</v>
      </c>
      <c r="R2439" t="n">
        <v>0</v>
      </c>
      <c r="S2439">
        <f>IFERROR(O2439/N2439,0)</f>
        <v/>
      </c>
      <c r="T2439" t="n">
        <v>0</v>
      </c>
      <c r="V2439" t="n">
        <v>0</v>
      </c>
    </row>
    <row r="2440">
      <c r="A2440">
        <f>Skills!A19</f>
        <v/>
      </c>
      <c r="B2440">
        <f>Skills!B19</f>
        <v/>
      </c>
      <c r="C2440">
        <f>Inputs!$B$3&gt;=72</f>
        <v/>
      </c>
      <c r="D2440">
        <f>IF(Skills!C19=1,60+Inputs!$B$25+Inputs!$B$29,IF(Skills!C19=2,90+Inputs!$B$26+Inputs!$B$29,IF(Skills!C19=3,120+Inputs!$B$27+Inputs!$B$29,MAX(0,(Inputs!$B$3-100)*3)+Inputs!$B$28+Inputs!$B$29)))</f>
        <v/>
      </c>
      <c r="E2440">
        <f>INDEX(FactorTable!$B$2:$Y$301, MATCH(ROUND(MIN(300,MAX(1,D2440)),0), FactorTable!$A$2:$A$301,0), Skills!M19+1)</f>
        <v/>
      </c>
      <c r="F2440">
        <f>IF(Skills!N19=TRUE,(Skills!L19/10)*(E2440/1000),Skills!L19/10)+Skills!O19</f>
        <v/>
      </c>
      <c r="G2440">
        <f>Skills!G19*IF(Skills!H19&gt;0,Skills!I19/Skills!H19,1)</f>
        <v/>
      </c>
      <c r="H2440">
        <f>1-(1-Skills!J19/100)^Skills!K19</f>
        <v/>
      </c>
      <c r="I2440" t="inlineStr">
        <is>
          <t>1</t>
        </is>
      </c>
      <c r="J2440" t="inlineStr"/>
      <c r="K2440" t="inlineStr"/>
      <c r="L2440" t="inlineStr"/>
      <c r="M2440" t="inlineStr"/>
      <c r="N2440" t="inlineStr"/>
      <c r="O2440">
        <f>(1-Summary!$B$11)*T2440+Summary!$B$11*V2440</f>
        <v/>
      </c>
      <c r="P2440">
        <f>IF(B2465=0,0,O2440/B2465)</f>
        <v/>
      </c>
      <c r="Q2440" t="n">
        <v>0</v>
      </c>
      <c r="R2440" t="n">
        <v>0</v>
      </c>
      <c r="S2440">
        <f>IFERROR(O2440/N2440,0)</f>
        <v/>
      </c>
      <c r="T2440" t="n">
        <v>0</v>
      </c>
      <c r="V2440" t="n">
        <v>0</v>
      </c>
    </row>
    <row r="2441">
      <c r="A2441">
        <f>Skills!A20</f>
        <v/>
      </c>
      <c r="B2441">
        <f>Skills!B20</f>
        <v/>
      </c>
      <c r="C2441">
        <f>TRUE</f>
        <v/>
      </c>
      <c r="D2441">
        <f>IF(Skills!C20=1,60+Inputs!$B$25+Inputs!$B$29,IF(Skills!C20=2,90+Inputs!$B$26+Inputs!$B$29,IF(Skills!C20=3,120+Inputs!$B$27+Inputs!$B$29,MAX(0,(Inputs!$B$3-100)*3)+Inputs!$B$28+Inputs!$B$29)))</f>
        <v/>
      </c>
      <c r="E2441">
        <f>INDEX(FactorTable!$B$2:$Y$301, MATCH(ROUND(MIN(300,MAX(1,D2441)),0), FactorTable!$A$2:$A$301,0), Skills!M20+1)</f>
        <v/>
      </c>
      <c r="F2441">
        <f>IF(Skills!N20=TRUE,(Skills!L20/10)*(E2441/1000),Skills!L20/10)+Skills!O20</f>
        <v/>
      </c>
      <c r="G2441">
        <f>Skills!G20*IF(Skills!H20&gt;0,Skills!I20/Skills!H20,1)</f>
        <v/>
      </c>
      <c r="H2441">
        <f>1-(1-Skills!J20/100)^Skills!K20</f>
        <v/>
      </c>
      <c r="I2441" t="inlineStr">
        <is>
          <t>1</t>
        </is>
      </c>
      <c r="J2441" t="inlineStr"/>
      <c r="K2441" t="inlineStr"/>
      <c r="L2441" t="inlineStr"/>
      <c r="M2441" t="inlineStr"/>
      <c r="N2441" t="inlineStr"/>
      <c r="O2441">
        <f>(1-Summary!$B$11)*T2441+Summary!$B$11*V2441</f>
        <v/>
      </c>
      <c r="P2441">
        <f>IF(B2465=0,0,O2441/B2465)</f>
        <v/>
      </c>
      <c r="Q2441">
        <f>IFERROR(1/(IF(Inputs!$B$38="pvp",15,MAX(0.1,Skills!D20-IF(Skills!E20=TRUE,Inputs!$B$32,0)))*(1-IF(AND(ArtifactsInput!$M$27,Inputs!$B$4="Chapter Hunt"),CHOOSE(ArtifactsInput!$N$27+1,20,24,28,32,36,40),0)/100)),0)</f>
        <v/>
      </c>
      <c r="R2441">
        <f>IF(AND(Inputs!$B$38&lt;&gt;"pvp",Inputs!$B$43&gt;0),IF(Inputs!$B$43&lt;=0,0,(INT(Inputs!$B$43/(IF(Inputs!$B$38="pvp",15,MAX(0.1,Skills!D20-IF(Skills!E20=TRUE,Inputs!$B$32,0)))*(1-IF(AND(ArtifactsInput!$M$27,Inputs!$B$4="Chapter Hunt"),CHOOSE(ArtifactsInput!$N$27+1,20,24,28,32,36,40),0)/100)))+1)),0)</f>
        <v/>
      </c>
      <c r="S2441">
        <f>IFERROR(O2441/N2441,0)</f>
        <v/>
      </c>
      <c r="T2441" t="n">
        <v>0</v>
      </c>
      <c r="V2441" t="n">
        <v>0</v>
      </c>
    </row>
    <row r="2442">
      <c r="A2442">
        <f>Skills!A21</f>
        <v/>
      </c>
      <c r="B2442">
        <f>Skills!B21</f>
        <v/>
      </c>
      <c r="C2442">
        <f>Inputs!$B$3&gt;=15</f>
        <v/>
      </c>
      <c r="D2442">
        <f>IF(Skills!C21=1,60+Inputs!$B$25+Inputs!$B$29,IF(Skills!C21=2,90+Inputs!$B$26+Inputs!$B$29,IF(Skills!C21=3,120+Inputs!$B$27+Inputs!$B$29,MAX(0,(Inputs!$B$3-100)*3)+Inputs!$B$28+Inputs!$B$29)))</f>
        <v/>
      </c>
      <c r="E2442">
        <f>INDEX(FactorTable!$B$2:$Y$301, MATCH(ROUND(MIN(300,MAX(1,D2442)),0), FactorTable!$A$2:$A$301,0), Skills!M21+1)</f>
        <v/>
      </c>
      <c r="F2442">
        <f>IF(Skills!N21=TRUE,(Skills!L21/10)*(E2442/1000),Skills!L21/10)+Skills!O21</f>
        <v/>
      </c>
      <c r="G2442">
        <f>Skills!G21*IF(Skills!H21&gt;0,Skills!I21/Skills!H21,1)</f>
        <v/>
      </c>
      <c r="H2442">
        <f>1-(1-Skills!J21/100)^Skills!K21</f>
        <v/>
      </c>
      <c r="I2442" t="inlineStr">
        <is>
          <t>1</t>
        </is>
      </c>
      <c r="J2442" t="inlineStr"/>
      <c r="K2442" t="inlineStr"/>
      <c r="L2442" t="inlineStr"/>
      <c r="M2442" t="inlineStr"/>
      <c r="N2442" t="inlineStr"/>
      <c r="O2442">
        <f>(1-Summary!$B$11)*T2442+Summary!$B$11*V2442</f>
        <v/>
      </c>
      <c r="P2442">
        <f>IF(B2465=0,0,O2442/B2465)</f>
        <v/>
      </c>
      <c r="Q2442" t="n">
        <v>0</v>
      </c>
      <c r="R2442" t="n">
        <v>0</v>
      </c>
      <c r="S2442">
        <f>IFERROR(O2442/N2442,0)</f>
        <v/>
      </c>
      <c r="T2442" t="n">
        <v>0</v>
      </c>
      <c r="V2442" t="n">
        <v>0</v>
      </c>
    </row>
    <row r="2443">
      <c r="A2443">
        <f>Skills!A22</f>
        <v/>
      </c>
      <c r="B2443">
        <f>Skills!B22</f>
        <v/>
      </c>
      <c r="C2443">
        <f>Inputs!$B$3&gt;=10</f>
        <v/>
      </c>
      <c r="D2443">
        <f>IF(Skills!C22=1,60+Inputs!$B$25+Inputs!$B$29,IF(Skills!C22=2,90+Inputs!$B$26+Inputs!$B$29,IF(Skills!C22=3,120+Inputs!$B$27+Inputs!$B$29,MAX(0,(Inputs!$B$3-100)*3)+Inputs!$B$28+Inputs!$B$29)))</f>
        <v/>
      </c>
      <c r="E2443">
        <f>INDEX(FactorTable!$B$2:$Y$301, MATCH(ROUND(MIN(300,MAX(1,D2443)),0), FactorTable!$A$2:$A$301,0), Skills!M22+1)</f>
        <v/>
      </c>
      <c r="F2443">
        <f>IF(Skills!N22=TRUE,(Skills!L22/10)*(E2443/1000),Skills!L22/10)+Skills!O22</f>
        <v/>
      </c>
      <c r="G2443">
        <f>Skills!G22*IF(Skills!H22&gt;0,Skills!I22/Skills!H22,1)</f>
        <v/>
      </c>
      <c r="H2443">
        <f>1-(1-Skills!J22/100)^Skills!K22</f>
        <v/>
      </c>
      <c r="I2443" t="inlineStr">
        <is>
          <t>1</t>
        </is>
      </c>
      <c r="J2443" t="inlineStr"/>
      <c r="K2443" t="inlineStr"/>
      <c r="L2443" t="inlineStr"/>
      <c r="M2443" t="inlineStr"/>
      <c r="N2443" t="inlineStr"/>
      <c r="O2443">
        <f>(1-Summary!$B$11)*T2443+Summary!$B$11*V2443</f>
        <v/>
      </c>
      <c r="P2443">
        <f>IF(B2465=0,0,O2443/B2465)</f>
        <v/>
      </c>
      <c r="Q2443" t="n">
        <v>0</v>
      </c>
      <c r="R2443" t="n">
        <v>0</v>
      </c>
      <c r="S2443">
        <f>IFERROR(O2443/N2443,0)</f>
        <v/>
      </c>
      <c r="T2443" t="n">
        <v>0</v>
      </c>
      <c r="V2443" t="n">
        <v>0</v>
      </c>
    </row>
    <row r="2444">
      <c r="A2444">
        <f>Skills!A23</f>
        <v/>
      </c>
      <c r="B2444">
        <f>Skills!B23</f>
        <v/>
      </c>
      <c r="C2444">
        <f>Inputs!$B$3&gt;=33</f>
        <v/>
      </c>
      <c r="D2444">
        <f>IF(Skills!C23=1,60+Inputs!$B$25+Inputs!$B$29,IF(Skills!C23=2,90+Inputs!$B$26+Inputs!$B$29,IF(Skills!C23=3,120+Inputs!$B$27+Inputs!$B$29,MAX(0,(Inputs!$B$3-100)*3)+Inputs!$B$28+Inputs!$B$29)))</f>
        <v/>
      </c>
      <c r="E2444">
        <f>INDEX(FactorTable!$B$2:$Y$301, MATCH(ROUND(MIN(300,MAX(1,D2444)),0), FactorTable!$A$2:$A$301,0), Skills!M23+1)</f>
        <v/>
      </c>
      <c r="F2444">
        <f>IF(Skills!N23=TRUE,(Skills!L23/10)*(E2444/1000),Skills!L23/10)+Skills!O23</f>
        <v/>
      </c>
      <c r="G2444">
        <f>Skills!G23*IF(Skills!H23&gt;0,Skills!I23/Skills!H23,1)</f>
        <v/>
      </c>
      <c r="H2444">
        <f>1-(1-Skills!J23/100)^Skills!K23</f>
        <v/>
      </c>
      <c r="I2444" t="inlineStr">
        <is>
          <t>1</t>
        </is>
      </c>
      <c r="J2444" t="inlineStr"/>
      <c r="K2444" t="inlineStr"/>
      <c r="L2444" t="inlineStr"/>
      <c r="M2444" t="inlineStr"/>
      <c r="N2444" t="inlineStr"/>
      <c r="O2444">
        <f>(1-Summary!$B$11)*T2444+Summary!$B$11*V2444</f>
        <v/>
      </c>
      <c r="P2444">
        <f>IF(B2465=0,0,O2444/B2465)</f>
        <v/>
      </c>
      <c r="Q2444" t="n">
        <v>0</v>
      </c>
      <c r="R2444" t="n">
        <v>0</v>
      </c>
      <c r="S2444">
        <f>IFERROR(O2444/N2444,0)</f>
        <v/>
      </c>
      <c r="T2444" t="n">
        <v>0</v>
      </c>
      <c r="V2444" t="n">
        <v>0</v>
      </c>
    </row>
    <row r="2445">
      <c r="A2445">
        <f>Skills!A24</f>
        <v/>
      </c>
      <c r="B2445">
        <f>Skills!B24</f>
        <v/>
      </c>
      <c r="C2445">
        <f>Inputs!$B$3&gt;=38</f>
        <v/>
      </c>
      <c r="D2445">
        <f>IF(Skills!C24=1,60+Inputs!$B$25+Inputs!$B$29,IF(Skills!C24=2,90+Inputs!$B$26+Inputs!$B$29,IF(Skills!C24=3,120+Inputs!$B$27+Inputs!$B$29,MAX(0,(Inputs!$B$3-100)*3)+Inputs!$B$28+Inputs!$B$29)))</f>
        <v/>
      </c>
      <c r="E2445">
        <f>INDEX(FactorTable!$B$2:$Y$301, MATCH(ROUND(MIN(300,MAX(1,D2445)),0), FactorTable!$A$2:$A$301,0), Skills!M24+1)</f>
        <v/>
      </c>
      <c r="F2445">
        <f>IF(Skills!N24=TRUE,(Skills!L24/10)*(E2445/1000),Skills!L24/10)+Skills!O24</f>
        <v/>
      </c>
      <c r="G2445">
        <f>Skills!G24*IF(Skills!H24&gt;0,Skills!I24/Skills!H24,1)</f>
        <v/>
      </c>
      <c r="H2445">
        <f>1-(1-Skills!J24/100)^Skills!K24</f>
        <v/>
      </c>
      <c r="I2445" t="inlineStr">
        <is>
          <t>1</t>
        </is>
      </c>
      <c r="J2445" t="inlineStr"/>
      <c r="K2445" t="inlineStr"/>
      <c r="L2445" t="inlineStr"/>
      <c r="M2445" t="inlineStr"/>
      <c r="N2445" t="inlineStr"/>
      <c r="O2445">
        <f>(1-Summary!$B$11)*T2445+Summary!$B$11*V2445</f>
        <v/>
      </c>
      <c r="P2445">
        <f>IF(B2465=0,0,O2445/B2465)</f>
        <v/>
      </c>
      <c r="Q2445" t="n">
        <v>0</v>
      </c>
      <c r="R2445" t="n">
        <v>0</v>
      </c>
      <c r="S2445">
        <f>IFERROR(O2445/N2445,0)</f>
        <v/>
      </c>
      <c r="T2445" t="n">
        <v>0</v>
      </c>
      <c r="V2445" t="n">
        <v>0</v>
      </c>
    </row>
    <row r="2446">
      <c r="A2446">
        <f>Skills!A25</f>
        <v/>
      </c>
      <c r="B2446">
        <f>Skills!B25</f>
        <v/>
      </c>
      <c r="C2446">
        <f>Inputs!$B$3&gt;=43</f>
        <v/>
      </c>
      <c r="D2446">
        <f>IF(Skills!C25=1,60+Inputs!$B$25+Inputs!$B$29,IF(Skills!C25=2,90+Inputs!$B$26+Inputs!$B$29,IF(Skills!C25=3,120+Inputs!$B$27+Inputs!$B$29,MAX(0,(Inputs!$B$3-100)*3)+Inputs!$B$28+Inputs!$B$29)))</f>
        <v/>
      </c>
      <c r="E2446">
        <f>INDEX(FactorTable!$B$2:$Y$301, MATCH(ROUND(MIN(300,MAX(1,D2446)),0), FactorTable!$A$2:$A$301,0), Skills!M25+1)</f>
        <v/>
      </c>
      <c r="F2446">
        <f>IF(Skills!N25=TRUE,(Skills!L25/10)*(E2446/1000),Skills!L25/10)+Skills!O25</f>
        <v/>
      </c>
      <c r="G2446">
        <f>Skills!G25*IF(Skills!H25&gt;0,Skills!I25/Skills!H25,1)</f>
        <v/>
      </c>
      <c r="H2446">
        <f>1-(1-Skills!J25/100)^Skills!K25</f>
        <v/>
      </c>
      <c r="I2446" t="inlineStr">
        <is>
          <t>1</t>
        </is>
      </c>
      <c r="J2446" t="inlineStr"/>
      <c r="K2446" t="inlineStr"/>
      <c r="L2446" t="inlineStr"/>
      <c r="M2446" t="inlineStr"/>
      <c r="N2446" t="inlineStr"/>
      <c r="O2446">
        <f>(1-Summary!$B$11)*T2446+Summary!$B$11*V2446</f>
        <v/>
      </c>
      <c r="P2446">
        <f>IF(B2465=0,0,O2446/B2465)</f>
        <v/>
      </c>
      <c r="Q2446" t="n">
        <v>0</v>
      </c>
      <c r="R2446" t="n">
        <v>0</v>
      </c>
      <c r="S2446">
        <f>IFERROR(O2446/N2446,0)</f>
        <v/>
      </c>
      <c r="T2446" t="n">
        <v>0</v>
      </c>
      <c r="V2446" t="n">
        <v>0</v>
      </c>
    </row>
    <row r="2447">
      <c r="A2447">
        <f>Skills!A26</f>
        <v/>
      </c>
      <c r="B2447">
        <f>Skills!B26</f>
        <v/>
      </c>
      <c r="C2447">
        <f>Inputs!$B$3&gt;=75</f>
        <v/>
      </c>
      <c r="D2447">
        <f>IF(Skills!C26=1,60+Inputs!$B$25+Inputs!$B$29,IF(Skills!C26=2,90+Inputs!$B$26+Inputs!$B$29,IF(Skills!C26=3,120+Inputs!$B$27+Inputs!$B$29,MAX(0,(Inputs!$B$3-100)*3)+Inputs!$B$28+Inputs!$B$29)))</f>
        <v/>
      </c>
      <c r="E2447">
        <f>INDEX(FactorTable!$B$2:$Y$301, MATCH(ROUND(MIN(300,MAX(1,D2447)),0), FactorTable!$A$2:$A$301,0), Skills!M26+1)</f>
        <v/>
      </c>
      <c r="F2447">
        <f>IF(Skills!N26=TRUE,(Skills!L26/10)*(E2447/1000),Skills!L26/10)+Skills!O26</f>
        <v/>
      </c>
      <c r="G2447">
        <f>Skills!G26*IF(Skills!H26&gt;0,Skills!I26/Skills!H26,1)</f>
        <v/>
      </c>
      <c r="H2447">
        <f>1-(1-Skills!J26/100)^Skills!K26</f>
        <v/>
      </c>
      <c r="I2447" t="inlineStr">
        <is>
          <t>1</t>
        </is>
      </c>
      <c r="J2447" t="inlineStr"/>
      <c r="K2447" t="inlineStr"/>
      <c r="L2447" t="inlineStr"/>
      <c r="M2447" t="inlineStr"/>
      <c r="N2447" t="inlineStr"/>
      <c r="O2447">
        <f>(1-Summary!$B$11)*T2447+Summary!$B$11*V2447</f>
        <v/>
      </c>
      <c r="P2447">
        <f>IF(B2465=0,0,O2447/B2465)</f>
        <v/>
      </c>
      <c r="Q2447" t="n">
        <v>0</v>
      </c>
      <c r="R2447" t="n">
        <v>0</v>
      </c>
      <c r="S2447">
        <f>IFERROR(O2447/N2447,0)</f>
        <v/>
      </c>
      <c r="T2447" t="n">
        <v>0</v>
      </c>
      <c r="V2447" t="n">
        <v>0</v>
      </c>
    </row>
    <row r="2448">
      <c r="A2448">
        <f>Skills!A27</f>
        <v/>
      </c>
      <c r="B2448">
        <f>Skills!B27</f>
        <v/>
      </c>
      <c r="C2448">
        <f>Inputs!$B$3&gt;=125</f>
        <v/>
      </c>
      <c r="D2448">
        <f>IF(Skills!C27=1,60+Inputs!$B$25+Inputs!$B$29,IF(Skills!C27=2,90+Inputs!$B$26+Inputs!$B$29,IF(Skills!C27=3,120+Inputs!$B$27+Inputs!$B$29,MAX(0,(Inputs!$B$3-100)*3)+Inputs!$B$28+Inputs!$B$29)))</f>
        <v/>
      </c>
      <c r="E2448">
        <f>INDEX(FactorTable!$B$2:$Y$301, MATCH(ROUND(MIN(300,MAX(1,D2448)),0), FactorTable!$A$2:$A$301,0), Skills!M27+1)</f>
        <v/>
      </c>
      <c r="F2448">
        <f>IF(Skills!N27=TRUE,(Skills!L27/10)*(E2448/1000),Skills!L27/10)+Skills!O27</f>
        <v/>
      </c>
      <c r="G2448">
        <f>Skills!G27*IF(Skills!H27&gt;0,Skills!I27/Skills!H27,1)</f>
        <v/>
      </c>
      <c r="H2448">
        <f>1-(1-Skills!J27/100)^Skills!K27</f>
        <v/>
      </c>
      <c r="I2448" t="inlineStr">
        <is>
          <t>1</t>
        </is>
      </c>
      <c r="J2448" t="inlineStr"/>
      <c r="K2448" t="inlineStr"/>
      <c r="L2448" t="inlineStr"/>
      <c r="M2448" t="inlineStr"/>
      <c r="N2448" t="inlineStr"/>
      <c r="O2448">
        <f>(1-Summary!$B$11)*T2448+Summary!$B$11*V2448</f>
        <v/>
      </c>
      <c r="P2448">
        <f>IF(B2465=0,0,O2448/B2465)</f>
        <v/>
      </c>
      <c r="Q2448" t="n">
        <v>0</v>
      </c>
      <c r="R2448" t="n">
        <v>0</v>
      </c>
      <c r="S2448">
        <f>IFERROR(O2448/N2448,0)</f>
        <v/>
      </c>
      <c r="T2448" t="n">
        <v>0</v>
      </c>
      <c r="V2448" t="n">
        <v>0</v>
      </c>
    </row>
    <row r="2449">
      <c r="A2449">
        <f>Skills!A28</f>
        <v/>
      </c>
      <c r="B2449">
        <f>Skills!B28</f>
        <v/>
      </c>
      <c r="C2449">
        <f>Inputs!$B$3&gt;=125</f>
        <v/>
      </c>
      <c r="D2449">
        <f>IF(Skills!C28=1,60+Inputs!$B$25+Inputs!$B$29,IF(Skills!C28=2,90+Inputs!$B$26+Inputs!$B$29,IF(Skills!C28=3,120+Inputs!$B$27+Inputs!$B$29,MAX(0,(Inputs!$B$3-100)*3)+Inputs!$B$28+Inputs!$B$29)))</f>
        <v/>
      </c>
      <c r="E2449">
        <f>INDEX(FactorTable!$B$2:$Y$301, MATCH(ROUND(MIN(300,MAX(1,D2449)),0), FactorTable!$A$2:$A$301,0), Skills!M28+1)</f>
        <v/>
      </c>
      <c r="F2449">
        <f>IF(Skills!N28=TRUE,(Skills!L28/10)*(E2449/1000),Skills!L28/10)+Skills!O28</f>
        <v/>
      </c>
      <c r="G2449">
        <f>Skills!G28*IF(Skills!H28&gt;0,Skills!I28/Skills!H28,1)</f>
        <v/>
      </c>
      <c r="H2449">
        <f>1-(1-Skills!J28/100)^Skills!K28</f>
        <v/>
      </c>
      <c r="I2449" t="inlineStr">
        <is>
          <t>1</t>
        </is>
      </c>
      <c r="J2449" t="inlineStr"/>
      <c r="K2449" t="inlineStr"/>
      <c r="L2449" t="inlineStr"/>
      <c r="M2449" t="inlineStr"/>
      <c r="N2449" t="inlineStr"/>
      <c r="O2449">
        <f>(1-Summary!$B$11)*T2449+Summary!$B$11*V2449</f>
        <v/>
      </c>
      <c r="P2449">
        <f>IF(B2465=0,0,O2449/B2465)</f>
        <v/>
      </c>
      <c r="Q2449" t="n">
        <v>0</v>
      </c>
      <c r="R2449" t="n">
        <v>0</v>
      </c>
      <c r="S2449">
        <f>IFERROR(O2449/N2449,0)</f>
        <v/>
      </c>
      <c r="T2449" t="n">
        <v>0</v>
      </c>
      <c r="V2449" t="n">
        <v>0</v>
      </c>
    </row>
    <row r="2450">
      <c r="A2450">
        <f>Skills!A29</f>
        <v/>
      </c>
      <c r="B2450">
        <f>Skills!B29</f>
        <v/>
      </c>
      <c r="C2450">
        <f>Inputs!$B$3&gt;=120</f>
        <v/>
      </c>
      <c r="D2450">
        <f>IF(Skills!C29=1,60+Inputs!$B$25+Inputs!$B$29,IF(Skills!C29=2,90+Inputs!$B$26+Inputs!$B$29,IF(Skills!C29=3,120+Inputs!$B$27+Inputs!$B$29,MAX(0,(Inputs!$B$3-100)*3)+Inputs!$B$28+Inputs!$B$29)))</f>
        <v/>
      </c>
      <c r="E2450">
        <f>INDEX(FactorTable!$B$2:$Y$301, MATCH(ROUND(MIN(300,MAX(1,D2450)),0), FactorTable!$A$2:$A$301,0), Skills!M29+1)</f>
        <v/>
      </c>
      <c r="F2450">
        <f>IF(Skills!N29=TRUE,(Skills!L29/10)*(E2450/1000),Skills!L29/10)+Skills!O29</f>
        <v/>
      </c>
      <c r="G2450">
        <f>Skills!G29*IF(Skills!H29&gt;0,Skills!I29/Skills!H29,1)</f>
        <v/>
      </c>
      <c r="H2450">
        <f>1-(1-Skills!J29/100)^Skills!K29</f>
        <v/>
      </c>
      <c r="I2450" t="inlineStr">
        <is>
          <t>1</t>
        </is>
      </c>
      <c r="J2450" t="inlineStr"/>
      <c r="K2450" t="inlineStr"/>
      <c r="L2450" t="inlineStr"/>
      <c r="M2450" t="inlineStr"/>
      <c r="N2450" t="inlineStr"/>
      <c r="O2450">
        <f>(1-Summary!$B$11)*T2450+Summary!$B$11*V2450</f>
        <v/>
      </c>
      <c r="P2450">
        <f>IF(B2465=0,0,O2450/B2465)</f>
        <v/>
      </c>
      <c r="Q2450" t="n">
        <v>0</v>
      </c>
      <c r="R2450" t="n">
        <v>0</v>
      </c>
      <c r="S2450">
        <f>IFERROR(O2450/N2450,0)</f>
        <v/>
      </c>
      <c r="T2450" t="n">
        <v>0</v>
      </c>
      <c r="V2450" t="n">
        <v>0</v>
      </c>
    </row>
    <row r="2451">
      <c r="A2451">
        <f>Skills!A30</f>
        <v/>
      </c>
      <c r="B2451">
        <f>Skills!B30</f>
        <v/>
      </c>
      <c r="C2451">
        <f>Inputs!$B$3&gt;=120</f>
        <v/>
      </c>
      <c r="D2451">
        <f>IF(Skills!C30=1,60+Inputs!$B$25+Inputs!$B$29,IF(Skills!C30=2,90+Inputs!$B$26+Inputs!$B$29,IF(Skills!C30=3,120+Inputs!$B$27+Inputs!$B$29,MAX(0,(Inputs!$B$3-100)*3)+Inputs!$B$28+Inputs!$B$29)))</f>
        <v/>
      </c>
      <c r="E2451">
        <f>INDEX(FactorTable!$B$2:$Y$301, MATCH(ROUND(MIN(300,MAX(1,D2451)),0), FactorTable!$A$2:$A$301,0), Skills!M30+1)</f>
        <v/>
      </c>
      <c r="F2451">
        <f>IF(Skills!N30=TRUE,(Skills!L30/10)*(E2451/1000),Skills!L30/10)+Skills!O30</f>
        <v/>
      </c>
      <c r="G2451">
        <f>Skills!G30*IF(Skills!H30&gt;0,Skills!I30/Skills!H30,1)</f>
        <v/>
      </c>
      <c r="H2451">
        <f>1-(1-Skills!J30/100)^Skills!K30</f>
        <v/>
      </c>
      <c r="I2451" t="inlineStr">
        <is>
          <t>1</t>
        </is>
      </c>
      <c r="J2451" t="inlineStr"/>
      <c r="K2451" t="inlineStr"/>
      <c r="L2451" t="inlineStr"/>
      <c r="M2451" t="inlineStr"/>
      <c r="N2451" t="inlineStr"/>
      <c r="O2451">
        <f>(1-Summary!$B$11)*T2451+Summary!$B$11*V2451</f>
        <v/>
      </c>
      <c r="P2451">
        <f>IF(B2465=0,0,O2451/B2465)</f>
        <v/>
      </c>
      <c r="Q2451" t="n">
        <v>0</v>
      </c>
      <c r="R2451" t="n">
        <v>0</v>
      </c>
      <c r="S2451">
        <f>IFERROR(O2451/N2451,0)</f>
        <v/>
      </c>
      <c r="T2451" t="n">
        <v>0</v>
      </c>
      <c r="V2451" t="n">
        <v>0</v>
      </c>
    </row>
    <row r="2452">
      <c r="A2452">
        <f>Skills!A31</f>
        <v/>
      </c>
      <c r="B2452">
        <f>Skills!B31</f>
        <v/>
      </c>
      <c r="C2452">
        <f>Inputs!$B$3&gt;=45</f>
        <v/>
      </c>
      <c r="D2452">
        <f>IF(Skills!C31=1,60+Inputs!$B$25+Inputs!$B$29,IF(Skills!C31=2,90+Inputs!$B$26+Inputs!$B$29,IF(Skills!C31=3,120+Inputs!$B$27+Inputs!$B$29,MAX(0,(Inputs!$B$3-100)*3)+Inputs!$B$28+Inputs!$B$29)))</f>
        <v/>
      </c>
      <c r="E2452">
        <f>INDEX(FactorTable!$B$2:$Y$301, MATCH(ROUND(MIN(300,MAX(1,D2452)),0), FactorTable!$A$2:$A$301,0), Skills!M31+1)</f>
        <v/>
      </c>
      <c r="F2452">
        <f>IF(Skills!N31=TRUE,(Skills!L31/10)*(E2452/1000),Skills!L31/10)+Skills!O31</f>
        <v/>
      </c>
      <c r="G2452">
        <f>Skills!G31*IF(Skills!H31&gt;0,Skills!I31/Skills!H31,1)</f>
        <v/>
      </c>
      <c r="H2452">
        <f>1-(1-Skills!J31/100)^Skills!K31</f>
        <v/>
      </c>
      <c r="I2452" t="inlineStr">
        <is>
          <t>1</t>
        </is>
      </c>
      <c r="J2452" t="inlineStr"/>
      <c r="K2452" t="inlineStr"/>
      <c r="L2452" t="inlineStr"/>
      <c r="M2452" t="inlineStr"/>
      <c r="N2452" t="inlineStr"/>
      <c r="O2452">
        <f>(1-Summary!$B$11)*T2452+Summary!$B$11*V2452</f>
        <v/>
      </c>
      <c r="P2452">
        <f>IF(B2465=0,0,O2452/B2465)</f>
        <v/>
      </c>
      <c r="Q2452" t="n">
        <v>0</v>
      </c>
      <c r="R2452" t="n">
        <v>0</v>
      </c>
      <c r="S2452">
        <f>IFERROR(O2452/N2452,0)</f>
        <v/>
      </c>
      <c r="T2452" t="n">
        <v>0</v>
      </c>
      <c r="V2452" t="n">
        <v>0</v>
      </c>
    </row>
    <row r="2454">
      <c r="A2454" t="inlineStr">
        <is>
          <t>Attack% Bucket Multiplier</t>
        </is>
      </c>
      <c r="B2454">
        <f>(1+(((C2435=TRUE)*F2435)+((C2436=TRUE)*IF(Inputs!$B$38="pvp",F2436,(1-Summary!$B$11)*(F2436)+Summary!$B$11*(0)))+((C2437=TRUE)*F2437*IF(AND(Inputs!$B$38&lt;&gt;"pvp",Inputs!$B$43&gt;0),(((R2437-1)*(Skills!T16*(1+Inputs!$B$34/100))+MIN((Skills!T16*(1+Inputs!$B$34/100)),MAX(0,Inputs!$B$43-((R2437-1)*Skills!D16))))/Inputs!$B$43),IF(Inputs!$B$38="pvp",MIN((Skills!T16*(1+Inputs!$B$34/100)),15)/15,(Skills!T16*(1+Inputs!$B$34/100))/Skills!D16)))+((C2452=TRUE)*(F2452-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55">
      <c r="A2455" t="inlineStr">
        <is>
          <t>Global Crit Rate Bonus %</t>
        </is>
      </c>
      <c r="B2455">
        <f>(C2438=TRUE)*20*IF(AND(Inputs!$B$38&lt;&gt;"pvp",Inputs!$B$43&gt;0),(((R2438-1)*(Skills!T17*(1+Inputs!$B$34/100))+MIN((Skills!T17*(1+Inputs!$B$34/100)),MAX(0,Inputs!$B$43-((R2438-1)*Skills!D17))))/Inputs!$B$43),IF(Inputs!$B$38="pvp",MIN((Skills!T17*(1+Inputs!$B$34/100)),15)/15,(Skills!T17*(1+Inputs!$B$34/100))/Skills!D17))</f>
        <v/>
      </c>
    </row>
    <row r="2456">
      <c r="A2456" t="inlineStr">
        <is>
          <t>Attack Speed Buff Bonus %</t>
        </is>
      </c>
      <c r="B2456">
        <f>((C2441=TRUE)*F2441*IF(AND(Inputs!$B$38&lt;&gt;"pvp",Inputs!$B$43&gt;0),(((R2441-1)*(Skills!T20*(1+Inputs!$B$34/100))+MIN((Skills!T20*(1+Inputs!$B$34/100)),MAX(0,Inputs!$B$43-((R2441-1)*Skills!D20))))/Inputs!$B$43),IF(Inputs!$B$38="pvp",MIN((Skills!T20*(1+Inputs!$B$34/100)),15)/15,(Skills!T20*(1+Inputs!$B$34/100))/Skills!D20)))</f>
        <v/>
      </c>
    </row>
    <row r="2457">
      <c r="A2457" t="inlineStr">
        <is>
          <t>Actions Per Second</t>
        </is>
      </c>
      <c r="B2457">
        <f>1+MIN(150,150*(1-(1-(Inputs!$B$11+((C2443=TRUE)*(F2443-Calc!F22))+((C2444=TRUE)*(F2444-Calc!F23)))/150)*(1-B2456/150)))/100</f>
        <v/>
      </c>
    </row>
    <row r="2458">
      <c r="A2458" t="inlineStr">
        <is>
          <t>Skill + Buff Cast Rate</t>
        </is>
      </c>
      <c r="B2458">
        <f>IF(AND(Inputs!$B$38&lt;&gt;"pvp",Inputs!$B$43&gt;0),SUMPRODUCT((Skills!E2:E31=TRUE)*(C2423:C2452=TRUE)*R2423:R2452*Skills!F2:F31)/Inputs!$B$43,SUMPRODUCT((Skills!E2:E31=TRUE)*(C2423:C2452=TRUE)*Q2423:Q2452*Skills!F2:F31))</f>
        <v/>
      </c>
    </row>
    <row r="2459">
      <c r="A2459" t="inlineStr">
        <is>
          <t>Arrow Stream Casts Per Second</t>
        </is>
      </c>
      <c r="B2459">
        <f>MAX(0,B2457-B2458)</f>
        <v/>
      </c>
    </row>
    <row r="2460">
      <c r="A2460" t="inlineStr">
        <is>
          <t>Global Critical Damage Bonus % (Sharp Eyes + Concentration)</t>
        </is>
      </c>
      <c r="B2460">
        <f>(C2438=TRUE)*F2438*IF(AND(Inputs!$B$38&lt;&gt;"pvp",Inputs!$B$43&gt;0),(((R2438-1)*(Skills!T17*(1+Inputs!$B$34/100))+MIN((Skills!T17*(1+Inputs!$B$34/100)),MAX(0,Inputs!$B$43-((R2438-1)*Skills!D17))))/Inputs!$B$43),IF(Inputs!$B$38="pvp",MIN((Skills!T17*(1+Inputs!$B$34/100)),15)/15,(Skills!T17*(1+Inputs!$B$34/100))/Skills!D17))+(C2439=TRUE)*30</f>
        <v/>
      </c>
    </row>
    <row r="2461">
      <c r="A2461" t="inlineStr">
        <is>
          <t>Global Final Damage Bonus % (Mortal Blow)</t>
        </is>
      </c>
      <c r="B2461">
        <f>(C2440=TRUE)*F2440</f>
        <v/>
      </c>
    </row>
    <row r="2462">
      <c r="A2462" t="inlineStr">
        <is>
          <t>Buff-Casting Startup Delay (s, fixed-duration only)</t>
        </is>
      </c>
      <c r="B2462">
        <f>IF(AND(Inputs!$B$38&lt;&gt;"pvp",Inputs!$B$43&gt;0),SUMPRODUCT((Skills!T2:T31&gt;0)*(Skills!E2:E31=TRUE)*(C2423:C2452=TRUE))/B2457,0)</f>
        <v/>
      </c>
    </row>
    <row r="2463">
      <c r="A2463" t="inlineStr">
        <is>
          <t>Boss-Only Total DPS (this block's swept value)</t>
        </is>
      </c>
      <c r="B2463">
        <f>SUM(T2423:T2452)</f>
        <v/>
      </c>
    </row>
    <row r="2464">
      <c r="A2464" t="inlineStr">
        <is>
          <t>Normal-Only Total DPS (this block's swept value)</t>
        </is>
      </c>
      <c r="B2464">
        <f>SUM(V2423:V2452)</f>
        <v/>
      </c>
    </row>
    <row r="2465">
      <c r="A2465" s="6" t="inlineStr">
        <is>
          <t>TOTAL DPS</t>
        </is>
      </c>
      <c r="B2465" s="6">
        <f>SUM(O2423:O2452)</f>
        <v/>
      </c>
    </row>
    <row r="2468">
      <c r="A2468" s="6" t="inlineStr">
        <is>
          <t>Stat: Flaming Lava (Equip)</t>
        </is>
      </c>
    </row>
    <row r="2469">
      <c r="A2469" s="5" t="inlineStr">
        <is>
          <t>Key</t>
        </is>
      </c>
      <c r="B2469" s="5" t="inlineStr">
        <is>
          <t>Name</t>
        </is>
      </c>
      <c r="C2469" s="5" t="inlineStr">
        <is>
          <t>Unlocked</t>
        </is>
      </c>
      <c r="D2469" s="5" t="inlineStr">
        <is>
          <t>InputLevel</t>
        </is>
      </c>
      <c r="E2469" s="5" t="inlineStr">
        <is>
          <t>Factor</t>
        </is>
      </c>
      <c r="F2469" s="5" t="inlineStr">
        <is>
          <t>CoefficientPercent</t>
        </is>
      </c>
      <c r="G2469" s="5" t="inlineStr">
        <is>
          <t>EffectiveHits</t>
        </is>
      </c>
      <c r="H2469" s="5" t="inlineStr">
        <is>
          <t>ProcProbability</t>
        </is>
      </c>
      <c r="I2469" s="5" t="inlineStr">
        <is>
          <t>MapleHeroMultiplier</t>
        </is>
      </c>
      <c r="J2469" s="5" t="inlineStr">
        <is>
          <t>BaseDamage</t>
        </is>
      </c>
      <c r="K2469" s="5" t="inlineStr">
        <is>
          <t>BaseHitDamage</t>
        </is>
      </c>
      <c r="L2469" s="5" t="inlineStr">
        <is>
          <t>NonCritAvg</t>
        </is>
      </c>
      <c r="M2469" s="5" t="inlineStr">
        <is>
          <t>CritAvg</t>
        </is>
      </c>
      <c r="N2469" s="5" t="inlineStr">
        <is>
          <t>ExpectedDamage(perHit)</t>
        </is>
      </c>
      <c r="O2469" s="5" t="inlineStr">
        <is>
          <t>DPS</t>
        </is>
      </c>
      <c r="P2469" s="5" t="inlineStr">
        <is>
          <t>% of Total</t>
        </is>
      </c>
      <c r="Q2469" s="5" t="inlineStr">
        <is>
          <t>InvCooldown</t>
        </is>
      </c>
      <c r="R2469" s="5" t="inlineStr">
        <is>
          <t>CastsInFight</t>
        </is>
      </c>
      <c r="S2469" s="5" t="inlineStr">
        <is>
          <t>HitRate(perSec)</t>
        </is>
      </c>
      <c r="U2469" t="inlineStr">
        <is>
          <t>helpers</t>
        </is>
      </c>
    </row>
    <row r="2470">
      <c r="A2470">
        <f>Skills!A2</f>
        <v/>
      </c>
      <c r="B2470">
        <f>Skills!B2</f>
        <v/>
      </c>
      <c r="C2470">
        <f>Inputs!$B$3&gt;=100</f>
        <v/>
      </c>
      <c r="D2470" t="inlineStr"/>
      <c r="E2470" t="inlineStr"/>
      <c r="F2470">
        <f>U2472+Skills!O2</f>
        <v/>
      </c>
      <c r="G2470">
        <f>Skills!G2*IF(Skills!H2&gt;0,Skills!I2/Skills!H2,1)</f>
        <v/>
      </c>
      <c r="H2470">
        <f>1-(1-Skills!J2/100)^Skills!K2</f>
        <v/>
      </c>
      <c r="I2470" t="inlineStr">
        <is>
          <t>1</t>
        </is>
      </c>
      <c r="J2470">
        <f>((Inputs!$B$6*(1+Inputs!$B$7/100))+(((Inputs!$B$12*(1+Inputs!$B$13/100))-(Inputs!$B$12*(1+Inputs!$B$13/100)))+0.25*(Inputs!$B$14-Inputs!$B$14))*(1+Inputs!$B$7/100))*(F2470/100)</f>
        <v/>
      </c>
      <c r="K2470">
        <f>J2470*(1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2470)</f>
        <v/>
      </c>
      <c r="L2470">
        <f>K2470*(MIN(Inputs!$B$22+((C2493=TRUE)*(F2493-Calc!F25)),(Inputs!$B$23+((C2498=TRUE)*(F2498-Calc!F30))+(IF(ArtifactsInput!$M$15,CHOOSE(ArtifactsInput!$N$15+1,25,30,35,40,45,50)/100*(Inputs!$B$11-Inputs!$B$11),0))))/100+(Inputs!$B$23+((C2498=TRUE)*(F2498-Calc!F30))+(IF(ArtifactsInput!$M$15,CHOOSE(ArtifactsInput!$N$15+1,25,30,35,40,45,50)/100*(Inputs!$B$11-Inputs!$B$11),0)))/100)/2</f>
        <v/>
      </c>
      <c r="M2470">
        <f>L2470*(1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0">
        <f>L2470*(1-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2470*(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0">
        <f>(1-Summary!$B$11)*T2470+Summary!$B$11*V2470</f>
        <v/>
      </c>
      <c r="P2470">
        <f>IF(B2512=0,0,O2470/B2512)</f>
        <v/>
      </c>
      <c r="Q2470" t="n">
        <v>0</v>
      </c>
      <c r="R2470" t="n">
        <v>0</v>
      </c>
      <c r="S2470">
        <f>IFERROR(O2470/N2470,0)</f>
        <v/>
      </c>
      <c r="T2470">
        <f>IF(C2470,(Skills!G2*N2470*B2506)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2470*(1-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2470*(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2470*(1-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2470*(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0">
        <f>MAX(0,(Inputs!$B$3-100)*3)+Inputs!$B$28+Inputs!$B$29</f>
        <v/>
      </c>
      <c r="V2470">
        <f>IF(C2470,(Skills!G2*N2470*B2506)*IF(Inputs!$B$38="pvp",1,(1+(Inputs!$B$21+Skills!Q2+(IF(ArtifactsInput!$M$33,CHOOSE(ArtifactsInput!$N$33+1,30,36,42,48,54,60),0))+(IF(AND(ArtifactsInput!$M$35,Inputs!$B$4&lt;&gt;"Chapter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1">
      <c r="A2471">
        <f>Skills!A3</f>
        <v/>
      </c>
      <c r="B2471">
        <f>Skills!B3</f>
        <v/>
      </c>
      <c r="C2471">
        <f>Inputs!$B$3&gt;=50</f>
        <v/>
      </c>
      <c r="D2471">
        <f>IF(Skills!C3=1,60+Inputs!$B$25+Inputs!$B$29,IF(Skills!C3=2,90+Inputs!$B$26+Inputs!$B$29,IF(Skills!C3=3,120+Inputs!$B$27+Inputs!$B$29,MAX(0,(Inputs!$B$3-100)*3)+Inputs!$B$28+Inputs!$B$29)))</f>
        <v/>
      </c>
      <c r="E2471">
        <f>INDEX(FactorTable!$B$2:$Y$301, MATCH(ROUND(MIN(300,MAX(1,D2471)),0), FactorTable!$A$2:$A$301,0), Skills!M3+1)</f>
        <v/>
      </c>
      <c r="F2471">
        <f>IF(Skills!N3=TRUE,(Skills!L3/10)*(E2471/1000),Skills!L3/10)+Skills!O3</f>
        <v/>
      </c>
      <c r="G2471">
        <f>Skills!G3*IF(Skills!H3&gt;0,Skills!I3/Skills!H3,1)</f>
        <v/>
      </c>
      <c r="H2471">
        <f>1-(1-Skills!J3/100)^Skills!K3</f>
        <v/>
      </c>
      <c r="I2471" t="inlineStr">
        <is>
          <t>1</t>
        </is>
      </c>
      <c r="J2471">
        <f>((Inputs!$B$6*(1+Inputs!$B$7/100))+(((Inputs!$B$12*(1+Inputs!$B$13/100))-(Inputs!$B$12*(1+Inputs!$B$13/100)))+0.25*(Inputs!$B$14-Inputs!$B$14))*(1+Inputs!$B$7/100))*(F2471/100)</f>
        <v/>
      </c>
      <c r="K2471">
        <f>J2471*(1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2472=TRUE,F2472,0)/100)*(1+(IF(Skills!A3="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2471)</f>
        <v/>
      </c>
      <c r="L2471">
        <f>K2471*(MIN(Inputs!$B$22+((C2493=TRUE)*(F2493-Calc!F25)),(Inputs!$B$23+((C2498=TRUE)*(F2498-Calc!F30))+(IF(ArtifactsInput!$M$15,CHOOSE(ArtifactsInput!$N$15+1,25,30,35,40,45,50)/100*(Inputs!$B$11-Inputs!$B$11),0))))/100+(Inputs!$B$23+((C2498=TRUE)*(F2498-Calc!F30))+(IF(ArtifactsInput!$M$15,CHOOSE(ArtifactsInput!$N$15+1,25,30,35,40,45,50)/100*(Inputs!$B$11-Inputs!$B$11),0)))/100)/2</f>
        <v/>
      </c>
      <c r="M2471">
        <f>L2471*(1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1">
        <f>L2471*(1-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1">
        <f>(1-Summary!$B$11)*T2471+Summary!$B$11*V2471</f>
        <v/>
      </c>
      <c r="P2471">
        <f>IF(B2512=0,0,O2471/B2512)</f>
        <v/>
      </c>
      <c r="Q2471">
        <f>IFERROR(1/(IF(Inputs!$B$38="pvp",15,MAX(0.1,Skills!D3-IF(Skills!E3=TRUE,Inputs!$B$32,0)))*(1-IF(AND(ArtifactsInput!$M$27,Inputs!$B$4="Chapter Hunt"),CHOOSE(ArtifactsInput!$N$27+1,20,24,28,32,36,40),0)/100)),0)</f>
        <v/>
      </c>
      <c r="R2471">
        <f>IF(AND(Inputs!$B$38&lt;&gt;"pvp",Inputs!$B$43&gt;0),IF(MAX(0,Inputs!$B$43-B2509)&lt;=0,0,(INT(MAX(0,Inputs!$B$43-B2509)/(IF(Inputs!$B$38="pvp",15,MAX(0.1,Skills!D3-IF(Skills!E3=TRUE,Inputs!$B$32,0)))*(1-IF(AND(ArtifactsInput!$M$27,Inputs!$B$4="Chapter Hunt"),CHOOSE(ArtifactsInput!$N$27+1,20,24,28,32,36,40),0)/100)))+1)),0)</f>
        <v/>
      </c>
      <c r="S2471">
        <f>IFERROR(O2471/N2471,0)</f>
        <v/>
      </c>
      <c r="T2471">
        <f>IF(C2471,(H2471*N2471*IF(AND(Inputs!$B$38&lt;&gt;"pvp",Inputs!$B$43&gt;0),((Skills!G3*((R2471-1)*IF(Skills!H3&gt;0,Skills!I3/Skills!H3,1)+IF(Skills!H3&gt;0,MIN(Skills!I3,MAX(0,MAX(0,Inputs!$B$43-B2509)-((R2471-1)*(IF(Inputs!$B$38="pvp",15,MAX(0.1,Skills!D3-IF(Skills!E3=TRUE,Inputs!$B$32,0)))*(1-IF(AND(ArtifactsInput!$M$27,Inputs!$B$4="Chapter Hunt"),CHOOSE(ArtifactsInput!$N$27+1,20,24,28,32,36,40),0)/100)))))/Skills!H3,1)))/Inputs!$B$43),G2471*Q2471)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2471*(1-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2471*(1-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1">
        <f>INDEX(FactorTable!$B$2:$Y$301, MATCH(ROUND(MIN(300,MAX(1,U2470)),0), FactorTable!$A$2:$A$301,0), 22)</f>
        <v/>
      </c>
      <c r="V2471">
        <f>IF(C2471,(H2471*N2471*IF(AND(Inputs!$B$38&lt;&gt;"pvp",Inputs!$B$43&gt;0),((Skills!G3*((R2471-1)*IF(Skills!H3&gt;0,Skills!I3/Skills!H3,1)+IF(Skills!H3&gt;0,MIN(Skills!I3,MAX(0,MAX(0,Inputs!$B$43-B2509)-((R2471-1)*(IF(Inputs!$B$38="pvp",15,MAX(0.1,Skills!D3-IF(Skills!E3=TRUE,Inputs!$B$32,0)))*(1-IF(AND(ArtifactsInput!$M$27,Inputs!$B$4="Chapter Hunt"),CHOOSE(ArtifactsInput!$N$27+1,20,24,28,32,36,40),0)/100)))))/Skills!H3,1)))/Inputs!$B$43),G2471*Q2471))*IF(Inputs!$B$38="pvp",1,(1+(Inputs!$B$21+Skills!Q3+(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2">
      <c r="A2472">
        <f>Skills!A4</f>
        <v/>
      </c>
      <c r="B2472">
        <f>Skills!B4</f>
        <v/>
      </c>
      <c r="C2472">
        <f>Inputs!$B$3&gt;=105</f>
        <v/>
      </c>
      <c r="D2472">
        <f>IF(Skills!C4=1,60+Inputs!$B$25+Inputs!$B$29,IF(Skills!C4=2,90+Inputs!$B$26+Inputs!$B$29,IF(Skills!C4=3,120+Inputs!$B$27+Inputs!$B$29,MAX(0,(Inputs!$B$3-100)*3)+Inputs!$B$28+Inputs!$B$29)))</f>
        <v/>
      </c>
      <c r="E2472">
        <f>INDEX(FactorTable!$B$2:$Y$301, MATCH(ROUND(MIN(300,MAX(1,D2472)),0), FactorTable!$A$2:$A$301,0), Skills!M4+1)</f>
        <v/>
      </c>
      <c r="F2472">
        <f>IF(Skills!N4=TRUE,(Skills!L4/10)*(E2472/1000),Skills!L4/10)+Skills!O4</f>
        <v/>
      </c>
      <c r="G2472" t="inlineStr"/>
      <c r="H2472" t="inlineStr"/>
      <c r="I2472" t="inlineStr">
        <is>
          <t>1</t>
        </is>
      </c>
      <c r="J2472" t="inlineStr"/>
      <c r="K2472" t="inlineStr"/>
      <c r="L2472" t="inlineStr"/>
      <c r="M2472" t="inlineStr"/>
      <c r="N2472" t="inlineStr"/>
      <c r="O2472" t="inlineStr"/>
      <c r="P2472" t="inlineStr"/>
      <c r="Q2472" t="inlineStr"/>
      <c r="R2472" t="inlineStr"/>
      <c r="S2472" t="inlineStr"/>
      <c r="T2472" t="inlineStr"/>
      <c r="U2472">
        <f>290*U2471/1000</f>
        <v/>
      </c>
      <c r="V2472" t="inlineStr"/>
    </row>
    <row r="2473">
      <c r="A2473">
        <f>Skills!A5</f>
        <v/>
      </c>
      <c r="B2473">
        <f>Skills!B5</f>
        <v/>
      </c>
      <c r="C2473">
        <f>Inputs!$B$3&gt;=35</f>
        <v/>
      </c>
      <c r="D2473">
        <f>IF(Skills!C5=1,60+Inputs!$B$25+Inputs!$B$29,IF(Skills!C5=2,90+Inputs!$B$26+Inputs!$B$29,IF(Skills!C5=3,120+Inputs!$B$27+Inputs!$B$29,MAX(0,(Inputs!$B$3-100)*3)+Inputs!$B$28+Inputs!$B$29)))</f>
        <v/>
      </c>
      <c r="E2473">
        <f>INDEX(FactorTable!$B$2:$Y$301, MATCH(ROUND(MIN(300,MAX(1,D2473)),0), FactorTable!$A$2:$A$301,0), Skills!M5+1)</f>
        <v/>
      </c>
      <c r="F2473">
        <f>IF(Skills!N5=TRUE,(Skills!L5/10)*(E2473/1000),Skills!L5/10)+Skills!O5</f>
        <v/>
      </c>
      <c r="G2473">
        <f>Skills!G5*IF(Skills!H5&gt;0,Skills!I5/Skills!H5,1)</f>
        <v/>
      </c>
      <c r="H2473">
        <f>1-(1-Skills!J5/100)^Skills!K5</f>
        <v/>
      </c>
      <c r="I2473" t="inlineStr">
        <is>
          <t>1</t>
        </is>
      </c>
      <c r="J2473">
        <f>((Inputs!$B$6*(1+Inputs!$B$7/100))+(((Inputs!$B$12*(1+Inputs!$B$13/100))-(Inputs!$B$12*(1+Inputs!$B$13/100)))+0.25*(Inputs!$B$14-Inputs!$B$14))*(1+Inputs!$B$7/100))*(F2473/100)</f>
        <v/>
      </c>
      <c r="K2473">
        <f>J2473*(1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2479=TRUE,F2479,0)/100)*(1+(IF(Skills!A5="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2473)</f>
        <v/>
      </c>
      <c r="L2473">
        <f>K2473*(MIN(Inputs!$B$22+((C2493=TRUE)*(F2493-Calc!F25)),(Inputs!$B$23+((C2498=TRUE)*(F2498-Calc!F30))+(IF(ArtifactsInput!$M$15,CHOOSE(ArtifactsInput!$N$15+1,25,30,35,40,45,50)/100*(Inputs!$B$11-Inputs!$B$11),0))))/100+(Inputs!$B$23+((C2498=TRUE)*(F2498-Calc!F30))+(IF(ArtifactsInput!$M$15,CHOOSE(ArtifactsInput!$N$15+1,25,30,35,40,45,50)/100*(Inputs!$B$11-Inputs!$B$11),0)))/100)/2</f>
        <v/>
      </c>
      <c r="M2473">
        <f>L2473*(1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3">
        <f>L2473*(1-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2473*(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3">
        <f>(1-Summary!$B$11)*T2473+Summary!$B$11*V2473</f>
        <v/>
      </c>
      <c r="P2473">
        <f>IF(B2512=0,0,O2473/B2512)</f>
        <v/>
      </c>
      <c r="Q2473">
        <f>IFERROR(1/(IF(Inputs!$B$38="pvp",15,MAX(0.1,Skills!D5-IF(Skills!E5=TRUE,Inputs!$B$32,0)))*(1-IF(AND(ArtifactsInput!$M$27,Inputs!$B$4="Chapter Hunt"),CHOOSE(ArtifactsInput!$N$27+1,20,24,28,32,36,40),0)/100)),0)</f>
        <v/>
      </c>
      <c r="R2473">
        <f>IF(AND(Inputs!$B$38&lt;&gt;"pvp",Inputs!$B$43&gt;0),IF(MAX(0,Inputs!$B$43-B2509)&lt;=0,0,(INT(MAX(0,Inputs!$B$43-B2509)/(IF(Inputs!$B$38="pvp",15,MAX(0.1,Skills!D5-IF(Skills!E5=TRUE,Inputs!$B$32,0)))*(1-IF(AND(ArtifactsInput!$M$27,Inputs!$B$4="Chapter Hunt"),CHOOSE(ArtifactsInput!$N$27+1,20,24,28,32,36,40),0)/100)))+1)),0)</f>
        <v/>
      </c>
      <c r="S2473">
        <f>IFERROR(O2473/N2473,0)</f>
        <v/>
      </c>
      <c r="T2473">
        <f>IF(C2473,(H2473*N2473*IF(AND(Inputs!$B$38&lt;&gt;"pvp",Inputs!$B$43&gt;0),((Skills!G5*((R2473-1)*IF(Skills!H5&gt;0,Skills!I5/Skills!H5,1)+IF(Skills!H5&gt;0,MIN(Skills!I5,MAX(0,MAX(0,Inputs!$B$43-B2509)-((R2473-1)*(IF(Inputs!$B$38="pvp",15,MAX(0.1,Skills!D5-IF(Skills!E5=TRUE,Inputs!$B$32,0)))*(1-IF(AND(ArtifactsInput!$M$27,Inputs!$B$4="Chapter Hunt"),CHOOSE(ArtifactsInput!$N$27+1,20,24,28,32,36,40),0)/100)))))/Skills!H5,1)))/Inputs!$B$43),G2473*Q2473)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2473*(1-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2473*(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2473*(1-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2473*(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3">
        <f>IF(C2473,(H2473*N2473*IF(AND(Inputs!$B$38&lt;&gt;"pvp",Inputs!$B$43&gt;0),((Skills!G5*((R2473-1)*IF(Skills!H5&gt;0,Skills!I5/Skills!H5,1)+IF(Skills!H5&gt;0,MIN(Skills!I5,MAX(0,MAX(0,Inputs!$B$43-B2509)-((R2473-1)*(IF(Inputs!$B$38="pvp",15,MAX(0.1,Skills!D5-IF(Skills!E5=TRUE,Inputs!$B$32,0)))*(1-IF(AND(ArtifactsInput!$M$27,Inputs!$B$4="Chapter Hunt"),CHOOSE(ArtifactsInput!$N$27+1,20,24,28,32,36,40),0)/100)))))/Skills!H5,1)))/Inputs!$B$43),G2473*Q2473))*IF(Inputs!$B$38="pvp",1,(1+(Inputs!$B$21+Skills!Q5+(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4">
      <c r="A2474">
        <f>Skills!A6</f>
        <v/>
      </c>
      <c r="B2474">
        <f>Skills!B6</f>
        <v/>
      </c>
      <c r="C2474">
        <f>Inputs!$B$3&gt;=40</f>
        <v/>
      </c>
      <c r="D2474">
        <f>IF(Skills!C6=1,60+Inputs!$B$25+Inputs!$B$29,IF(Skills!C6=2,90+Inputs!$B$26+Inputs!$B$29,IF(Skills!C6=3,120+Inputs!$B$27+Inputs!$B$29,MAX(0,(Inputs!$B$3-100)*3)+Inputs!$B$28+Inputs!$B$29)))</f>
        <v/>
      </c>
      <c r="E2474">
        <f>INDEX(FactorTable!$B$2:$Y$301, MATCH(ROUND(MIN(300,MAX(1,D2474)),0), FactorTable!$A$2:$A$301,0), Skills!M6+1)</f>
        <v/>
      </c>
      <c r="F2474">
        <f>IF(Skills!N6=TRUE,(Skills!L6/10)*(E2474/1000),Skills!L6/10)+Skills!O6</f>
        <v/>
      </c>
      <c r="G2474">
        <f>Skills!G6*IF(Skills!H6&gt;0,Skills!I6/Skills!H6,1)</f>
        <v/>
      </c>
      <c r="H2474">
        <f>1-(1-Skills!J6/100)^Skills!K6</f>
        <v/>
      </c>
      <c r="I2474" t="inlineStr">
        <is>
          <t>1</t>
        </is>
      </c>
      <c r="J2474">
        <f>((Inputs!$B$6*(1+Inputs!$B$7/100))+(((Inputs!$B$12*(1+Inputs!$B$13/100))-(Inputs!$B$12*(1+Inputs!$B$13/100)))+0.25*(Inputs!$B$14-Inputs!$B$14))*(1+Inputs!$B$7/100))*(F2474/100)</f>
        <v/>
      </c>
      <c r="K2474">
        <f>J2474*(1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2475=TRUE,F2475,0)/100)*(1+(IF(Skills!A6="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2474)</f>
        <v/>
      </c>
      <c r="L2474">
        <f>K2474*(MIN(Inputs!$B$22+((C2493=TRUE)*(F2493-Calc!F25)),(Inputs!$B$23+((C2498=TRUE)*(F2498-Calc!F30))+(IF(ArtifactsInput!$M$15,CHOOSE(ArtifactsInput!$N$15+1,25,30,35,40,45,50)/100*(Inputs!$B$11-Inputs!$B$11),0))))/100+(Inputs!$B$23+((C2498=TRUE)*(F2498-Calc!F30))+(IF(ArtifactsInput!$M$15,CHOOSE(ArtifactsInput!$N$15+1,25,30,35,40,45,50)/100*(Inputs!$B$11-Inputs!$B$11),0)))/100)/2</f>
        <v/>
      </c>
      <c r="M2474">
        <f>L2474*(1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4">
        <f>L2474*(1-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2474*(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4">
        <f>(1-Summary!$B$11)*T2474+Summary!$B$11*V2474</f>
        <v/>
      </c>
      <c r="P2474">
        <f>IF(B2512=0,0,O2474/B2512)</f>
        <v/>
      </c>
      <c r="Q2474">
        <f>IFERROR(1/(IF(Inputs!$B$38="pvp",15,MAX(0.1,Skills!D6-IF(Skills!E6=TRUE,Inputs!$B$32,0)))*(1-IF(AND(ArtifactsInput!$M$27,Inputs!$B$4="Chapter Hunt"),CHOOSE(ArtifactsInput!$N$27+1,20,24,28,32,36,40),0)/100)),0)</f>
        <v/>
      </c>
      <c r="R2474">
        <f>IF(AND(Inputs!$B$38&lt;&gt;"pvp",Inputs!$B$43&gt;0),IF(MAX(0,Inputs!$B$43-B2509)&lt;=0,0,(INT(MAX(0,Inputs!$B$43-B2509)/(IF(Inputs!$B$38="pvp",15,MAX(0.1,Skills!D6-IF(Skills!E6=TRUE,Inputs!$B$32,0)))*(1-IF(AND(ArtifactsInput!$M$27,Inputs!$B$4="Chapter Hunt"),CHOOSE(ArtifactsInput!$N$27+1,20,24,28,32,36,40),0)/100)))+1)),0)</f>
        <v/>
      </c>
      <c r="S2474">
        <f>IFERROR(O2474/N2474,0)</f>
        <v/>
      </c>
      <c r="T2474">
        <f>IF(C2474,(H2474*N2474*IF(AND(Inputs!$B$38&lt;&gt;"pvp",Inputs!$B$43&gt;0),((Skills!G6*((R2474-1)*IF(Skills!H6&gt;0,Skills!I6/Skills!H6,1)+IF(Skills!H6&gt;0,MIN(Skills!I6,MAX(0,MAX(0,Inputs!$B$43-B2509)-((R2474-1)*(IF(Inputs!$B$38="pvp",15,MAX(0.1,Skills!D6-IF(Skills!E6=TRUE,Inputs!$B$32,0)))*(1-IF(AND(ArtifactsInput!$M$27,Inputs!$B$4="Chapter Hunt"),CHOOSE(ArtifactsInput!$N$27+1,20,24,28,32,36,40),0)/100)))))/Skills!H6,1)))/Inputs!$B$43),G2474*Q2474)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2474*(1-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2474*(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2474*(1-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2474*(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4">
        <f>IF(C2474,(H2474*N2474*IF(AND(Inputs!$B$38&lt;&gt;"pvp",Inputs!$B$43&gt;0),((Skills!G6*((R2474-1)*IF(Skills!H6&gt;0,Skills!I6/Skills!H6,1)+IF(Skills!H6&gt;0,MIN(Skills!I6,MAX(0,MAX(0,Inputs!$B$43-B2509)-((R2474-1)*(IF(Inputs!$B$38="pvp",15,MAX(0.1,Skills!D6-IF(Skills!E6=TRUE,Inputs!$B$32,0)))*(1-IF(AND(ArtifactsInput!$M$27,Inputs!$B$4="Chapter Hunt"),CHOOSE(ArtifactsInput!$N$27+1,20,24,28,32,36,40),0)/100)))))/Skills!H6,1)))/Inputs!$B$43),G2474*Q2474))*IF(Inputs!$B$38="pvp",1,(1+(Inputs!$B$21+Skills!Q6+(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5">
      <c r="A2475">
        <f>Skills!A7</f>
        <v/>
      </c>
      <c r="B2475">
        <f>Skills!B7</f>
        <v/>
      </c>
      <c r="C2475">
        <f>Inputs!$B$3&gt;=107</f>
        <v/>
      </c>
      <c r="D2475">
        <f>IF(Skills!C7=1,60+Inputs!$B$25+Inputs!$B$29,IF(Skills!C7=2,90+Inputs!$B$26+Inputs!$B$29,IF(Skills!C7=3,120+Inputs!$B$27+Inputs!$B$29,MAX(0,(Inputs!$B$3-100)*3)+Inputs!$B$28+Inputs!$B$29)))</f>
        <v/>
      </c>
      <c r="E2475">
        <f>INDEX(FactorTable!$B$2:$Y$301, MATCH(ROUND(MIN(300,MAX(1,D2475)),0), FactorTable!$A$2:$A$301,0), Skills!M7+1)</f>
        <v/>
      </c>
      <c r="F2475">
        <f>IF(Skills!N7=TRUE,(Skills!L7/10)*(E2475/1000),Skills!L7/10)+Skills!O7</f>
        <v/>
      </c>
      <c r="G2475" t="inlineStr"/>
      <c r="H2475" t="inlineStr"/>
      <c r="I2475" t="inlineStr">
        <is>
          <t>1</t>
        </is>
      </c>
      <c r="J2475" t="inlineStr"/>
      <c r="K2475" t="inlineStr"/>
      <c r="L2475" t="inlineStr"/>
      <c r="M2475" t="inlineStr"/>
      <c r="N2475" t="inlineStr"/>
      <c r="O2475" t="inlineStr"/>
      <c r="P2475" t="inlineStr"/>
      <c r="Q2475" t="inlineStr"/>
      <c r="R2475" t="inlineStr"/>
      <c r="S2475" t="inlineStr"/>
      <c r="T2475" t="inlineStr"/>
      <c r="V2475" t="inlineStr"/>
    </row>
    <row r="2476">
      <c r="A2476">
        <f>Skills!A8</f>
        <v/>
      </c>
      <c r="B2476">
        <f>Skills!B8</f>
        <v/>
      </c>
      <c r="C2476">
        <f>Inputs!$B$3&gt;=69</f>
        <v/>
      </c>
      <c r="D2476">
        <f>IF(Skills!C8=1,60+Inputs!$B$25+Inputs!$B$29,IF(Skills!C8=2,90+Inputs!$B$26+Inputs!$B$29,IF(Skills!C8=3,120+Inputs!$B$27+Inputs!$B$29,MAX(0,(Inputs!$B$3-100)*3)+Inputs!$B$28+Inputs!$B$29)))</f>
        <v/>
      </c>
      <c r="E2476">
        <f>INDEX(FactorTable!$B$2:$Y$301, MATCH(ROUND(MIN(300,MAX(1,D2476)),0), FactorTable!$A$2:$A$301,0), Skills!M8+1)</f>
        <v/>
      </c>
      <c r="F2476">
        <f>IF(Skills!N8=TRUE,(Skills!L8/10)*(E2476/1000),Skills!L8/10)+Skills!O8</f>
        <v/>
      </c>
      <c r="G2476">
        <f>Skills!G8*IF(Skills!H8&gt;0,Skills!I8/Skills!H8,1)</f>
        <v/>
      </c>
      <c r="H2476">
        <f>1-(1-Skills!J8/100)^Skills!K8</f>
        <v/>
      </c>
      <c r="I2476" t="inlineStr">
        <is>
          <t>1</t>
        </is>
      </c>
      <c r="J2476">
        <f>((Inputs!$B$6*(1+Inputs!$B$7/100))+(((Inputs!$B$12*(1+Inputs!$B$13/100))-(Inputs!$B$12*(1+Inputs!$B$13/100)))+0.25*(Inputs!$B$14-Inputs!$B$14))*(1+Inputs!$B$7/100))*(F2476/100)</f>
        <v/>
      </c>
      <c r="K2476">
        <f>J2476*(1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2479=TRUE,F2479,0)/100)*(1+(IF(Skills!A8="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2476)</f>
        <v/>
      </c>
      <c r="L2476">
        <f>K2476*(MIN(Inputs!$B$22+((C2493=TRUE)*(F2493-Calc!F25)),(Inputs!$B$23+((C2498=TRUE)*(F2498-Calc!F30))+(IF(ArtifactsInput!$M$15,CHOOSE(ArtifactsInput!$N$15+1,25,30,35,40,45,50)/100*(Inputs!$B$11-Inputs!$B$11),0))))/100+(Inputs!$B$23+((C2498=TRUE)*(F2498-Calc!F30))+(IF(ArtifactsInput!$M$15,CHOOSE(ArtifactsInput!$N$15+1,25,30,35,40,45,50)/100*(Inputs!$B$11-Inputs!$B$11),0)))/100)/2</f>
        <v/>
      </c>
      <c r="M2476">
        <f>L2476*(1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6">
        <f>L2476*(1-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2476*(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6">
        <f>(1-Summary!$B$11)*T2476+Summary!$B$11*V2476</f>
        <v/>
      </c>
      <c r="P2476">
        <f>IF(B2512=0,0,O2476/B2512)</f>
        <v/>
      </c>
      <c r="Q2476">
        <f>IFERROR(1/(IF(Inputs!$B$38="pvp",15,MAX(0.1,Skills!D8-IF(Skills!E8=TRUE,Inputs!$B$32,0)))*(1-IF(AND(ArtifactsInput!$M$27,Inputs!$B$4="Chapter Hunt"),CHOOSE(ArtifactsInput!$N$27+1,20,24,28,32,36,40),0)/100)),0)</f>
        <v/>
      </c>
      <c r="R2476">
        <f>IF(AND(Inputs!$B$38&lt;&gt;"pvp",Inputs!$B$43&gt;0),IF(MAX(0,Inputs!$B$43-B2509)&lt;=0,0,(INT(MAX(0,Inputs!$B$43-B2509)/(IF(Inputs!$B$38="pvp",15,MAX(0.1,Skills!D8-IF(Skills!E8=TRUE,Inputs!$B$32,0)))*(1-IF(AND(ArtifactsInput!$M$27,Inputs!$B$4="Chapter Hunt"),CHOOSE(ArtifactsInput!$N$27+1,20,24,28,32,36,40),0)/100)))+1)),0)</f>
        <v/>
      </c>
      <c r="S2476">
        <f>IFERROR(O2476/N2476,0)</f>
        <v/>
      </c>
      <c r="T2476">
        <f>IF(C2476,(H2476*N2476*IF(AND(Inputs!$B$38&lt;&gt;"pvp",Inputs!$B$43&gt;0),((Skills!G8*((R2476-1)*IF(Skills!H8&gt;0,Skills!I8/Skills!H8,1)+IF(Skills!H8&gt;0,MIN(Skills!I8,MAX(0,MAX(0,Inputs!$B$43-B2509)-((R2476-1)*(IF(Inputs!$B$38="pvp",15,MAX(0.1,Skills!D8-IF(Skills!E8=TRUE,Inputs!$B$32,0)))*(1-IF(AND(ArtifactsInput!$M$27,Inputs!$B$4="Chapter Hunt"),CHOOSE(ArtifactsInput!$N$27+1,20,24,28,32,36,40),0)/100)))))/Skills!H8,1)))/Inputs!$B$43),G2476*Q2476)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2476*(1-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2476*(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2476*(1-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2476*(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6">
        <f>IF(C2476,(H2476*N2476*IF(AND(Inputs!$B$38&lt;&gt;"pvp",Inputs!$B$43&gt;0),((Skills!G8*((R2476-1)*IF(Skills!H8&gt;0,Skills!I8/Skills!H8,1)+IF(Skills!H8&gt;0,MIN(Skills!I8,MAX(0,MAX(0,Inputs!$B$43-B2509)-((R2476-1)*(IF(Inputs!$B$38="pvp",15,MAX(0.1,Skills!D8-IF(Skills!E8=TRUE,Inputs!$B$32,0)))*(1-IF(AND(ArtifactsInput!$M$27,Inputs!$B$4="Chapter Hunt"),CHOOSE(ArtifactsInput!$N$27+1,20,24,28,32,36,40),0)/100)))))/Skills!H8,1)))/Inputs!$B$43),G2476*Q2476))*IF(Inputs!$B$38="pvp",1,(1+(Inputs!$B$21+Skills!Q8+(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7">
      <c r="A2477">
        <f>Skills!A9</f>
        <v/>
      </c>
      <c r="B2477">
        <f>Skills!B9</f>
        <v/>
      </c>
      <c r="C2477">
        <f>Inputs!$B$3&gt;=63</f>
        <v/>
      </c>
      <c r="D2477">
        <f>IF(Skills!C9=1,60+Inputs!$B$25+Inputs!$B$29,IF(Skills!C9=2,90+Inputs!$B$26+Inputs!$B$29,IF(Skills!C9=3,120+Inputs!$B$27+Inputs!$B$29,MAX(0,(Inputs!$B$3-100)*3)+Inputs!$B$28+Inputs!$B$29)))</f>
        <v/>
      </c>
      <c r="E2477">
        <f>INDEX(FactorTable!$B$2:$Y$301, MATCH(ROUND(MIN(300,MAX(1,D2477)),0), FactorTable!$A$2:$A$301,0), Skills!M9+1)</f>
        <v/>
      </c>
      <c r="F2477">
        <f>IF(Skills!N9=TRUE,(Skills!L9/10)*(E2477/1000),Skills!L9/10)+Skills!O9</f>
        <v/>
      </c>
      <c r="G2477">
        <f>Skills!G9*IF(Skills!H9&gt;0,Skills!I9/Skills!H9,1)</f>
        <v/>
      </c>
      <c r="H2477">
        <f>1-(1-Skills!J9/100)^Skills!K9</f>
        <v/>
      </c>
      <c r="I2477" t="inlineStr">
        <is>
          <t>1</t>
        </is>
      </c>
      <c r="J2477">
        <f>((Inputs!$B$6*(1+Inputs!$B$7/100))+(((Inputs!$B$12*(1+Inputs!$B$13/100))-(Inputs!$B$12*(1+Inputs!$B$13/100)))+0.25*(Inputs!$B$14-Inputs!$B$14))*(1+Inputs!$B$7/100))*(F2477/100)</f>
        <v/>
      </c>
      <c r="K2477">
        <f>J2477*(1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2479=TRUE,F2479,0)/100)*(1+(IF(Skills!A9="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2477)</f>
        <v/>
      </c>
      <c r="L2477">
        <f>K2477*(MIN(Inputs!$B$22+((C2493=TRUE)*(F2493-Calc!F25)),(Inputs!$B$23+((C2498=TRUE)*(F2498-Calc!F30))+(IF(ArtifactsInput!$M$15,CHOOSE(ArtifactsInput!$N$15+1,25,30,35,40,45,50)/100*(Inputs!$B$11-Inputs!$B$11),0))))/100+(Inputs!$B$23+((C2498=TRUE)*(F2498-Calc!F30))+(IF(ArtifactsInput!$M$15,CHOOSE(ArtifactsInput!$N$15+1,25,30,35,40,45,50)/100*(Inputs!$B$11-Inputs!$B$11),0)))/100)/2</f>
        <v/>
      </c>
      <c r="M2477">
        <f>L2477*(1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7">
        <f>L2477*(1-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2477*(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7">
        <f>(1-Summary!$B$11)*T2477+Summary!$B$11*V2477</f>
        <v/>
      </c>
      <c r="P2477">
        <f>IF(B2512=0,0,O2477/B2512)</f>
        <v/>
      </c>
      <c r="Q2477">
        <f>IFERROR(1/(IF(Inputs!$B$38="pvp",15,MAX(0.1,Skills!D9-IF(Skills!E9=TRUE,Inputs!$B$32,0)))*(1-IF(AND(ArtifactsInput!$M$27,Inputs!$B$4="Chapter Hunt"),CHOOSE(ArtifactsInput!$N$27+1,20,24,28,32,36,40),0)/100)),0)</f>
        <v/>
      </c>
      <c r="R2477">
        <f>IF(AND(Inputs!$B$38&lt;&gt;"pvp",Inputs!$B$43&gt;0),IF(MAX(0,Inputs!$B$43-B2509)&lt;=0,0,(INT(MAX(0,Inputs!$B$43-B2509)/(IF(Inputs!$B$38="pvp",15,MAX(0.1,Skills!D9-IF(Skills!E9=TRUE,Inputs!$B$32,0)))*(1-IF(AND(ArtifactsInput!$M$27,Inputs!$B$4="Chapter Hunt"),CHOOSE(ArtifactsInput!$N$27+1,20,24,28,32,36,40),0)/100)))+1)),0)</f>
        <v/>
      </c>
      <c r="S2477">
        <f>IFERROR(O2477/N2477,0)</f>
        <v/>
      </c>
      <c r="T2477">
        <f>IF(C2477,(H2477*N2477*IF(AND(Inputs!$B$38&lt;&gt;"pvp",Inputs!$B$43&gt;0),((Skills!G9*((R2477-1)*IF(Skills!H9&gt;0,Skills!I9/Skills!H9,1)+IF(Skills!H9&gt;0,MIN(Skills!I9,MAX(0,MAX(0,Inputs!$B$43-B2509)-((R2477-1)*(IF(Inputs!$B$38="pvp",15,MAX(0.1,Skills!D9-IF(Skills!E9=TRUE,Inputs!$B$32,0)))*(1-IF(AND(ArtifactsInput!$M$27,Inputs!$B$4="Chapter Hunt"),CHOOSE(ArtifactsInput!$N$27+1,20,24,28,32,36,40),0)/100)))))/Skills!H9,1)))/Inputs!$B$43),G2477*Q2477)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2477*(1-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2477*(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2477*(1-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2477*(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7">
        <f>IF(C2477,(H2477*N2477*IF(AND(Inputs!$B$38&lt;&gt;"pvp",Inputs!$B$43&gt;0),((Skills!G9*((R2477-1)*IF(Skills!H9&gt;0,Skills!I9/Skills!H9,1)+IF(Skills!H9&gt;0,MIN(Skills!I9,MAX(0,MAX(0,Inputs!$B$43-B2509)-((R2477-1)*(IF(Inputs!$B$38="pvp",15,MAX(0.1,Skills!D9-IF(Skills!E9=TRUE,Inputs!$B$32,0)))*(1-IF(AND(ArtifactsInput!$M$27,Inputs!$B$4="Chapter Hunt"),CHOOSE(ArtifactsInput!$N$27+1,20,24,28,32,36,40),0)/100)))))/Skills!H9,1)))/Inputs!$B$43),G2477*Q2477))*IF(Inputs!$B$38="pvp",1,(1+(Inputs!$B$21+Skills!Q9+(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8">
      <c r="A2478">
        <f>Skills!A10</f>
        <v/>
      </c>
      <c r="B2478">
        <f>Skills!B10</f>
        <v/>
      </c>
      <c r="C2478">
        <f>Inputs!$B$3&gt;=103</f>
        <v/>
      </c>
      <c r="D2478">
        <f>IF(Skills!C10=1,60+Inputs!$B$25+Inputs!$B$29,IF(Skills!C10=2,90+Inputs!$B$26+Inputs!$B$29,IF(Skills!C10=3,120+Inputs!$B$27+Inputs!$B$29,MAX(0,(Inputs!$B$3-100)*3)+Inputs!$B$28+Inputs!$B$29)))</f>
        <v/>
      </c>
      <c r="E2478">
        <f>INDEX(FactorTable!$B$2:$Y$301, MATCH(ROUND(MIN(300,MAX(1,D2478)),0), FactorTable!$A$2:$A$301,0), Skills!M10+1)</f>
        <v/>
      </c>
      <c r="F2478">
        <f>IF(Skills!N10=TRUE,(Skills!L10/10)*(E2478/1000),Skills!L10/10)+Skills!O10</f>
        <v/>
      </c>
      <c r="G2478">
        <f>Skills!G10*IF(Skills!H10&gt;0,Skills!I10/Skills!H10,1)</f>
        <v/>
      </c>
      <c r="H2478">
        <f>1-(1-Skills!J10/100)^Skills!K10</f>
        <v/>
      </c>
      <c r="I2478" t="inlineStr">
        <is>
          <t>1</t>
        </is>
      </c>
      <c r="J2478">
        <f>((Inputs!$B$6*(1+Inputs!$B$7/100))+(((Inputs!$B$12*(1+Inputs!$B$13/100))-(Inputs!$B$12*(1+Inputs!$B$13/100)))+0.25*(Inputs!$B$14-Inputs!$B$14))*(1+Inputs!$B$7/100))*(F2478/100)</f>
        <v/>
      </c>
      <c r="K2478">
        <f>J2478*(1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2478)</f>
        <v/>
      </c>
      <c r="L2478">
        <f>K2478*(MIN(Inputs!$B$22+((C2493=TRUE)*(F2493-Calc!F25)),(Inputs!$B$23+((C2498=TRUE)*(F2498-Calc!F30))+(IF(ArtifactsInput!$M$15,CHOOSE(ArtifactsInput!$N$15+1,25,30,35,40,45,50)/100*(Inputs!$B$11-Inputs!$B$11),0))))/100+(Inputs!$B$23+((C2498=TRUE)*(F2498-Calc!F30))+(IF(ArtifactsInput!$M$15,CHOOSE(ArtifactsInput!$N$15+1,25,30,35,40,45,50)/100*(Inputs!$B$11-Inputs!$B$11),0)))/100)/2</f>
        <v/>
      </c>
      <c r="M2478">
        <f>L2478*(1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8">
        <f>L2478*(1-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2478*(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8">
        <f>(1-Summary!$B$11)*T2478+Summary!$B$11*V2478</f>
        <v/>
      </c>
      <c r="P2478">
        <f>IF(B2512=0,0,O2478/B2512)</f>
        <v/>
      </c>
      <c r="Q2478">
        <f>IFERROR(1/(IF(Inputs!$B$38="pvp",15,MAX(0.1,Skills!D10-IF(Skills!E10=TRUE,Inputs!$B$32,0)))*(1-IF(AND(ArtifactsInput!$M$27,Inputs!$B$4="Chapter Hunt"),CHOOSE(ArtifactsInput!$N$27+1,20,24,28,32,36,40),0)/100)),0)</f>
        <v/>
      </c>
      <c r="R2478">
        <f>IF(AND(Inputs!$B$38&lt;&gt;"pvp",Inputs!$B$43&gt;0),IF(MAX(0,Inputs!$B$43-B2509)&lt;=0,0,(INT(MAX(0,Inputs!$B$43-B2509)/(IF(Inputs!$B$38="pvp",15,MAX(0.1,Skills!D10-IF(Skills!E10=TRUE,Inputs!$B$32,0)))*(1-IF(AND(ArtifactsInput!$M$27,Inputs!$B$4="Chapter Hunt"),CHOOSE(ArtifactsInput!$N$27+1,20,24,28,32,36,40),0)/100)))+1)),0)</f>
        <v/>
      </c>
      <c r="S2478">
        <f>IFERROR(O2478/N2478,0)</f>
        <v/>
      </c>
      <c r="T2478">
        <f>IF(C2478,(H2478*N2478*IF(AND(Inputs!$B$38&lt;&gt;"pvp",Inputs!$B$43&gt;0),((Skills!G10*((R2478-1)*IF(Skills!H10&gt;0,Skills!I10/Skills!H10,1)+IF(Skills!H10&gt;0,MIN(Skills!I10,MAX(0,MAX(0,Inputs!$B$43-B2509)-((R2478-1)*(IF(Inputs!$B$38="pvp",15,MAX(0.1,Skills!D10-IF(Skills!E10=TRUE,Inputs!$B$32,0)))*(1-IF(AND(ArtifactsInput!$M$27,Inputs!$B$4="Chapter Hunt"),CHOOSE(ArtifactsInput!$N$27+1,20,24,28,32,36,40),0)/100)))))/Skills!H10,1)))/Inputs!$B$43),G2478*Q2478)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2478*(1-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2478*(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2478*(1-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2478*(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8">
        <f>IF(C2478,(H2478*N2478*IF(AND(Inputs!$B$38&lt;&gt;"pvp",Inputs!$B$43&gt;0),((Skills!G10*((R2478-1)*IF(Skills!H10&gt;0,Skills!I10/Skills!H10,1)+IF(Skills!H10&gt;0,MIN(Skills!I10,MAX(0,MAX(0,Inputs!$B$43-B2509)-((R2478-1)*(IF(Inputs!$B$38="pvp",15,MAX(0.1,Skills!D10-IF(Skills!E10=TRUE,Inputs!$B$32,0)))*(1-IF(AND(ArtifactsInput!$M$27,Inputs!$B$4="Chapter Hunt"),CHOOSE(ArtifactsInput!$N$27+1,20,24,28,32,36,40),0)/100)))))/Skills!H10,1)))/Inputs!$B$43),G2478*Q2478))*IF(Inputs!$B$38="pvp",1,(1+(Inputs!$B$21+Skills!Q10+(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9">
      <c r="A2479">
        <f>Skills!A11</f>
        <v/>
      </c>
      <c r="B2479">
        <f>Skills!B11</f>
        <v/>
      </c>
      <c r="C2479">
        <f>Inputs!$B$3&gt;=100</f>
        <v/>
      </c>
      <c r="D2479">
        <f>IF(Skills!C11=1,60+Inputs!$B$25+Inputs!$B$29,IF(Skills!C11=2,90+Inputs!$B$26+Inputs!$B$29,IF(Skills!C11=3,120+Inputs!$B$27+Inputs!$B$29,MAX(0,(Inputs!$B$3-100)*3)+Inputs!$B$28+Inputs!$B$29)))</f>
        <v/>
      </c>
      <c r="E2479">
        <f>INDEX(FactorTable!$B$2:$Y$301, MATCH(ROUND(MIN(300,MAX(1,D2479)),0), FactorTable!$A$2:$A$301,0), Skills!M11+1)</f>
        <v/>
      </c>
      <c r="F2479">
        <f>IF(Skills!N11=TRUE,(Skills!L11/10)*(E2479/1000),Skills!L11/10)+Skills!O11</f>
        <v/>
      </c>
      <c r="G2479" t="inlineStr"/>
      <c r="H2479" t="inlineStr"/>
      <c r="I2479" t="inlineStr">
        <is>
          <t>1</t>
        </is>
      </c>
      <c r="J2479" t="inlineStr"/>
      <c r="K2479" t="inlineStr"/>
      <c r="L2479" t="inlineStr"/>
      <c r="M2479" t="inlineStr"/>
      <c r="N2479" t="inlineStr"/>
      <c r="O2479" t="inlineStr"/>
      <c r="P2479" t="inlineStr"/>
      <c r="Q2479" t="inlineStr"/>
      <c r="R2479" t="inlineStr"/>
      <c r="S2479" t="inlineStr"/>
      <c r="T2479" t="inlineStr"/>
      <c r="V2479" t="inlineStr"/>
    </row>
    <row r="2480">
      <c r="A2480">
        <f>Skills!A12</f>
        <v/>
      </c>
      <c r="B2480">
        <f>Skills!B12</f>
        <v/>
      </c>
      <c r="C2480">
        <f>Inputs!$B$3&gt;=60</f>
        <v/>
      </c>
      <c r="D2480">
        <f>IF(Skills!C12=1,60+Inputs!$B$25+Inputs!$B$29,IF(Skills!C12=2,90+Inputs!$B$26+Inputs!$B$29,IF(Skills!C12=3,120+Inputs!$B$27+Inputs!$B$29,MAX(0,(Inputs!$B$3-100)*3)+Inputs!$B$28+Inputs!$B$29)))</f>
        <v/>
      </c>
      <c r="E2480">
        <f>INDEX(FactorTable!$B$2:$Y$301, MATCH(ROUND(MIN(300,MAX(1,D2480)),0), FactorTable!$A$2:$A$301,0), Skills!M12+1)</f>
        <v/>
      </c>
      <c r="F2480">
        <f>IF(Skills!N12=TRUE,(Skills!L12/10)*(E2480/1000),Skills!L12/10)+Skills!O12</f>
        <v/>
      </c>
      <c r="G2480">
        <f>Skills!G12*IF(Skills!H12&gt;0,Skills!I12/Skills!H12,1)</f>
        <v/>
      </c>
      <c r="H2480">
        <f>1-(1-Skills!J12/100)^Skills!K12</f>
        <v/>
      </c>
      <c r="I2480" t="inlineStr">
        <is>
          <t>1</t>
        </is>
      </c>
      <c r="J2480">
        <f>((Inputs!$B$6*(1+Inputs!$B$7/100))+(((Inputs!$B$12*(1+Inputs!$B$13/100))-(Inputs!$B$12*(1+Inputs!$B$13/100)))+0.25*(Inputs!$B$14-Inputs!$B$14))*(1+Inputs!$B$7/100))*(F2480/100)</f>
        <v/>
      </c>
      <c r="K2480">
        <f>J2480*(1+((Inputs!$B$12*(1+Inputs!$B$13/100))*0.01+Inputs!$B$14*0.0025)/100)*(1+Inputs!$B$15/100)*(1+Inputs!$B$16/100)*(5000/(6000+Inputs!$B$42*(1-(100*(1-(1-(Inputs!$B$19+((C2496=TRUE)*(F2496-Calc!F28)))/100)*(1-CHOOSE(ArtifactsInput!$N$40+1,5,6,7,8,9,10)/100)^(ArtifactsInput!$M$40-ArtifactsInput!$M$40)))/100)))*(1+(Inputs!$B$24+((C2494=TRUE)*(F2494-Calc!F26))+((C2495=TRUE)*(F2495-Calc!F27))+B2508)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2481=TRUE,F2481,0)/100)*(1+(IF(Skills!A12="ARROW_STREAM",Inputs!$B$17+((C2492=TRUE)*(F2492-Calc!F24))+(((IF(AND(ArtifactsInput!$M$42,((Inputs!$B$9+((C2489=TRUE)*(F2489-Calc!F21))+B2502+(ArtifactsInput!$M$24-ArtifactsInput!$M$24)*CHOOSE(ArtifactsInput!$N$24+1,10,12,14,16,18,20)+IF(ArtifactsInput!$M$10,CHOOSE(ArtifactsInput!$N$10+1,15,18,21,24,27,30)*(IF(Inputs!$B$38="pvp",MIN(15,15)/15,IF(AND(Inputs!$B$38&lt;&gt;"pvp",Inputs!$B$43&gt;0),MIN(15,Inputs!$B$43)/(Inputs!$B$43),0))),0)))&gt;=100),MIN(100,((Inputs!$B$9+((C2489=TRUE)*(F2489-Calc!F21))+B2502+(ArtifactsInput!$M$24-ArtifactsInput!$M$24)*CHOOSE(ArtifactsInput!$N$24+1,10,12,14,16,18,20)+IF(ArtifactsInput!$M$10,CHOOSE(ArtifactsInput!$N$10+1,15,18,21,24,27,30)*(IF(Inputs!$B$38="pvp",MIN(15,15)/15,IF(AND(Inputs!$B$38&lt;&gt;"pvp",Inputs!$B$43&gt;0),MIN(15,Inputs!$B$43)/(Inputs!$B$43),0))),0)))-100),0))*CHOOSE(ArtifactsInput!$N$42+1,0.6,0.72,0.84,0.96,1.08,1.2))),Inputs!$B$18+((C2497=TRUE)*(F2497-Calc!F29))+(IF(AND(ArtifactsInput!$M$42,((Inputs!$B$9+((C2489=TRUE)*(F2489-Calc!F21))+B2502+(ArtifactsInput!$M$24-ArtifactsInput!$M$24)*CHOOSE(ArtifactsInput!$N$24+1,10,12,14,16,18,20)+IF(ArtifactsInput!$M$10,CHOOSE(ArtifactsInput!$N$10+1,15,18,21,24,27,30)*(IF(Inputs!$B$38="pvp",MIN(15,15)/15,IF(AND(Inputs!$B$38&lt;&gt;"pvp",Inputs!$B$43&gt;0),MIN(15,Inputs!$B$43)/(Inputs!$B$43),0))),0)))&gt;=100),CHOOSE(ArtifactsInput!$N$42+1,40,48,56,64,72,80),0))))/100)*((1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2480)</f>
        <v/>
      </c>
      <c r="L2480">
        <f>K2480*(MIN(Inputs!$B$22+((C2493=TRUE)*(F2493-Calc!F25)),(Inputs!$B$23+((C2498=TRUE)*(F2498-Calc!F30))+(IF(ArtifactsInput!$M$15,CHOOSE(ArtifactsInput!$N$15+1,25,30,35,40,45,50)/100*(Inputs!$B$11-Inputs!$B$11),0))))/100+(Inputs!$B$23+((C2498=TRUE)*(F2498-Calc!F30))+(IF(ArtifactsInput!$M$15,CHOOSE(ArtifactsInput!$N$15+1,25,30,35,40,45,50)/100*(Inputs!$B$11-Inputs!$B$11),0)))/100)/2</f>
        <v/>
      </c>
      <c r="M2480">
        <f>L2480*(1+(Inputs!$B$10+0+B2507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0">
        <f>L2480*(1-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2480*(MIN((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0">
        <f>(1-Summary!$B$11)*T2480+Summary!$B$11*V2480</f>
        <v/>
      </c>
      <c r="P2480">
        <f>IF(B2512=0,0,O2480/B2512)</f>
        <v/>
      </c>
      <c r="Q2480">
        <f>IFERROR(1/(IF(Inputs!$B$38="pvp",15,MAX(0.1,Skills!D12-IF(Skills!E12=TRUE,Inputs!$B$32,0)))*(1-IF(AND(ArtifactsInput!$M$27,Inputs!$B$4="Chapter Hunt"),CHOOSE(ArtifactsInput!$N$27+1,20,24,28,32,36,40),0)/100)),0)</f>
        <v/>
      </c>
      <c r="R2480">
        <f>IF(AND(Inputs!$B$38&lt;&gt;"pvp",Inputs!$B$43&gt;0),IF(MAX(0,Inputs!$B$43-B2509)&lt;=0,0,(INT(MAX(0,Inputs!$B$43-B2509)/(IF(Inputs!$B$38="pvp",15,MAX(0.1,Skills!D12-IF(Skills!E12=TRUE,Inputs!$B$32,0)))*(1-IF(AND(ArtifactsInput!$M$27,Inputs!$B$4="Chapter Hunt"),CHOOSE(ArtifactsInput!$N$27+1,20,24,28,32,36,40),0)/100)))+1)),0)</f>
        <v/>
      </c>
      <c r="S2480">
        <f>IFERROR(O2480/N2480,0)</f>
        <v/>
      </c>
      <c r="T2480">
        <f>IF(C2480,(H2480*N2480*IF(AND(Inputs!$B$38&lt;&gt;"pvp",Inputs!$B$43&gt;0),((Skills!G12*((R2480-1)*IF(Skills!H12&gt;0,Skills!I12/Skills!H12,1)+IF(Skills!H12&gt;0,MIN(Skills!I12,MAX(0,MAX(0,Inputs!$B$43-B2509)-((R2480-1)*(IF(Inputs!$B$38="pvp",15,MAX(0.1,Skills!D12-IF(Skills!E12=TRUE,Inputs!$B$32,0)))*(1-IF(AND(ArtifactsInput!$M$27,Inputs!$B$4="Chapter Hunt"),CHOOSE(ArtifactsInput!$N$27+1,20,24,28,32,36,40),0)/100)))))/Skills!H12,1)))/Inputs!$B$43),G2480*Q2480)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(5000/(6000+Inputs!$B$42*(1-(100*(1-(1-(100*(1-(1-(Inputs!$B$19+((C2496=TRUE)*(F2496-Calc!F28)))/100)*(1-CHOOSE(ArtifactsInput!$N$40+1,5,6,7,8,9,10)/100)^(ArtifactsInput!$M$40-ArtifactsInput!$M$40)))/100)*(1-IF(ArtifactsInput!$M$40,CHOOSE(ArtifactsInput!$N$40+1,5,6,7,8,9,10),0)/100)^IF(Inputs!$B$38="pvp",1,2)))/100)))/(5000/(6000+Inputs!$B$42*(1-(100*(1-(1-(Inputs!$B$19+((C2496=TRUE)*(F2496-Calc!F28)))/100)*(1-CHOOSE(ArtifactsInput!$N$40+1,5,6,7,8,9,10)/100)^(ArtifactsInput!$M$40-ArtifactsInput!$M$40)))/100))))*((L2480*(1-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2480*(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2480*(1-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2480*(MIN(100,(Inputs!$B$9+((C2489=TRUE)*(F2489-Calc!F21))+B2502+(ArtifactsInput!$M$24-ArtifactsInput!$M$24)*CHOOSE(ArtifactsInput!$N$24+1,10,12,14,16,18,20)+(IF(AND(ArtifactsInput!$M$42,((Inputs!$B$9+((C2489=TRUE)*(F2489-Calc!F21))+B2502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80">
        <f>IF(C2480,(H2480*N2480*IF(AND(Inputs!$B$38&lt;&gt;"pvp",Inputs!$B$43&gt;0),((Skills!G12*((R2480-1)*IF(Skills!H12&gt;0,Skills!I12/Skills!H12,1)+IF(Skills!H12&gt;0,MIN(Skills!I12,MAX(0,MAX(0,Inputs!$B$43-B2509)-((R2480-1)*(IF(Inputs!$B$38="pvp",15,MAX(0.1,Skills!D12-IF(Skills!E12=TRUE,Inputs!$B$32,0)))*(1-IF(AND(ArtifactsInput!$M$27,Inputs!$B$4="Chapter Hunt"),CHOOSE(ArtifactsInput!$N$27+1,20,24,28,32,36,40),0)/100)))))/Skills!H12,1)))/Inputs!$B$43),G2480*Q2480))*IF(Inputs!$B$38="pvp",1,(1+(Inputs!$B$21+Skills!Q12+(IF(ArtifactsInput!$M$33,CHOOSE(ArtifactsInput!$N$33+1,30,36,42,48,54,60),0))+(IF(AND(ArtifactsInput!$M$35,Inputs!$B$4&lt;&gt;"Chapter Hunt"),CHOOSE(ArtifactsInput!$N$35+1,15,18,21,24,27,30)*(1-EXP(-(0.2*B2504)*5)),0)+IF(AND(ArtifactsInput!$M$22,Inputs!$B$4&lt;&gt;"Chapter Hunt"),CHOOSE(ArtifactsInput!$N$22+1,10,12,14,16,18,20)*((0*(((0.15*B2504*5))^0/1)+1*(((0.15*B2504*5))^1/1)+2*(((0.15*B2504*5))^2/2)+3*(((0.15*B2504*5))^3/6)+4*(((0.15*B2504*5))^4/24)+5*(((0.15*B2504*5))^5/120))/((((0.15*B2504*5))^0/1)+(((0.15*B2504*5))^1/1)+(((0.15*B2504*5))^2/2)+(((0.15*B2504*5))^3/6)+(((0.15*B2504*5))^4/24)+(((0.15*B2504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1">
      <c r="A2481">
        <f>Skills!A13</f>
        <v/>
      </c>
      <c r="B2481">
        <f>Skills!B13</f>
        <v/>
      </c>
      <c r="C2481">
        <f>Inputs!$B$3&gt;=110</f>
        <v/>
      </c>
      <c r="D2481">
        <f>IF(Skills!C13=1,60+Inputs!$B$25+Inputs!$B$29,IF(Skills!C13=2,90+Inputs!$B$26+Inputs!$B$29,IF(Skills!C13=3,120+Inputs!$B$27+Inputs!$B$29,MAX(0,(Inputs!$B$3-100)*3)+Inputs!$B$28+Inputs!$B$29)))</f>
        <v/>
      </c>
      <c r="E2481">
        <f>INDEX(FactorTable!$B$2:$Y$301, MATCH(ROUND(MIN(300,MAX(1,D2481)),0), FactorTable!$A$2:$A$301,0), Skills!M13+1)</f>
        <v/>
      </c>
      <c r="F2481">
        <f>IF(Skills!N13=TRUE,(Skills!L13/10)*(E2481/1000),Skills!L13/10)+Skills!O13</f>
        <v/>
      </c>
      <c r="G2481" t="inlineStr"/>
      <c r="H2481" t="inlineStr"/>
      <c r="I2481" t="inlineStr">
        <is>
          <t>1</t>
        </is>
      </c>
      <c r="J2481" t="inlineStr"/>
      <c r="K2481" t="inlineStr"/>
      <c r="L2481" t="inlineStr"/>
      <c r="M2481" t="inlineStr"/>
      <c r="N2481" t="inlineStr"/>
      <c r="O2481" t="inlineStr"/>
      <c r="P2481" t="inlineStr"/>
      <c r="Q2481" t="inlineStr"/>
      <c r="R2481" t="inlineStr"/>
      <c r="S2481" t="inlineStr"/>
      <c r="T2481" t="inlineStr"/>
      <c r="V2481" t="inlineStr"/>
    </row>
    <row r="2482">
      <c r="A2482">
        <f>Skills!A14</f>
        <v/>
      </c>
      <c r="B2482">
        <f>Skills!B14</f>
        <v/>
      </c>
      <c r="C2482">
        <f>Inputs!$B$3&gt;=74</f>
        <v/>
      </c>
      <c r="D2482">
        <f>IF(Skills!C14=1,60+Inputs!$B$25+Inputs!$B$29,IF(Skills!C14=2,90+Inputs!$B$26+Inputs!$B$29,IF(Skills!C14=3,120+Inputs!$B$27+Inputs!$B$29,MAX(0,(Inputs!$B$3-100)*3)+Inputs!$B$28+Inputs!$B$29)))</f>
        <v/>
      </c>
      <c r="E2482">
        <f>INDEX(FactorTable!$B$2:$Y$301, MATCH(ROUND(MIN(300,MAX(1,D2482)),0), FactorTable!$A$2:$A$301,0), Skills!M14+1)</f>
        <v/>
      </c>
      <c r="F2482">
        <f>IF(Skills!N14=TRUE,(Skills!L14/10)*(E2482/1000),Skills!L14/10)+Skills!O14</f>
        <v/>
      </c>
      <c r="G2482">
        <f>Skills!G14*IF(Skills!H14&gt;0,Skills!I14/Skills!H14,1)</f>
        <v/>
      </c>
      <c r="H2482">
        <f>1-(1-Skills!J14/100)^Skills!K14</f>
        <v/>
      </c>
      <c r="I2482" t="inlineStr">
        <is>
          <t>1</t>
        </is>
      </c>
      <c r="J2482" t="inlineStr"/>
      <c r="K2482" t="inlineStr"/>
      <c r="L2482" t="inlineStr"/>
      <c r="M2482" t="inlineStr"/>
      <c r="N2482" t="inlineStr"/>
      <c r="O2482">
        <f>(1-Summary!$B$11)*T2482+Summary!$B$11*V2482</f>
        <v/>
      </c>
      <c r="P2482">
        <f>IF(B2512=0,0,O2482/B2512)</f>
        <v/>
      </c>
      <c r="Q2482" t="n">
        <v>0</v>
      </c>
      <c r="R2482" t="n">
        <v>0</v>
      </c>
      <c r="S2482">
        <f>IFERROR(O2482/N2482,0)</f>
        <v/>
      </c>
      <c r="T2482" t="n">
        <v>0</v>
      </c>
      <c r="V2482" t="n">
        <v>0</v>
      </c>
    </row>
    <row r="2483">
      <c r="A2483">
        <f>Skills!A15</f>
        <v/>
      </c>
      <c r="B2483">
        <f>Skills!B15</f>
        <v/>
      </c>
      <c r="C2483">
        <f>Inputs!$B$3&gt;=74</f>
        <v/>
      </c>
      <c r="D2483">
        <f>IF(Skills!C15=1,60+Inputs!$B$25+Inputs!$B$29,IF(Skills!C15=2,90+Inputs!$B$26+Inputs!$B$29,IF(Skills!C15=3,120+Inputs!$B$27+Inputs!$B$29,MAX(0,(Inputs!$B$3-100)*3)+Inputs!$B$28+Inputs!$B$29)))</f>
        <v/>
      </c>
      <c r="E2483">
        <f>INDEX(FactorTable!$B$2:$Y$301, MATCH(ROUND(MIN(300,MAX(1,D2483)),0), FactorTable!$A$2:$A$301,0), Skills!M15+1)</f>
        <v/>
      </c>
      <c r="F2483">
        <f>IF(Skills!N15=TRUE,(Skills!L15/10)*(E2483/1000),Skills!L15/10)+Skills!O15</f>
        <v/>
      </c>
      <c r="G2483">
        <f>Skills!G15*IF(Skills!H15&gt;0,Skills!I15/Skills!H15,1)</f>
        <v/>
      </c>
      <c r="H2483">
        <f>1-(1-Skills!J15/100)^Skills!K15</f>
        <v/>
      </c>
      <c r="I2483" t="inlineStr">
        <is>
          <t>1</t>
        </is>
      </c>
      <c r="J2483" t="inlineStr"/>
      <c r="K2483" t="inlineStr"/>
      <c r="L2483" t="inlineStr"/>
      <c r="M2483" t="inlineStr"/>
      <c r="N2483" t="inlineStr"/>
      <c r="O2483">
        <f>(1-Summary!$B$11)*T2483+Summary!$B$11*V2483</f>
        <v/>
      </c>
      <c r="P2483">
        <f>IF(B2512=0,0,O2483/B2512)</f>
        <v/>
      </c>
      <c r="Q2483" t="n">
        <v>0</v>
      </c>
      <c r="R2483" t="n">
        <v>0</v>
      </c>
      <c r="S2483">
        <f>IFERROR(O2483/N2483,0)</f>
        <v/>
      </c>
      <c r="T2483" t="n">
        <v>0</v>
      </c>
      <c r="V2483" t="n">
        <v>0</v>
      </c>
    </row>
    <row r="2484">
      <c r="A2484">
        <f>Skills!A16</f>
        <v/>
      </c>
      <c r="B2484">
        <f>Skills!B16</f>
        <v/>
      </c>
      <c r="C2484">
        <f>Inputs!$B$3&gt;=117</f>
        <v/>
      </c>
      <c r="D2484">
        <f>IF(Skills!C16=1,60+Inputs!$B$25+Inputs!$B$29,IF(Skills!C16=2,90+Inputs!$B$26+Inputs!$B$29,IF(Skills!C16=3,120+Inputs!$B$27+Inputs!$B$29,MAX(0,(Inputs!$B$3-100)*3)+Inputs!$B$28+Inputs!$B$29)))</f>
        <v/>
      </c>
      <c r="E2484">
        <f>INDEX(FactorTable!$B$2:$Y$301, MATCH(ROUND(MIN(300,MAX(1,D2484)),0), FactorTable!$A$2:$A$301,0), Skills!M16+1)</f>
        <v/>
      </c>
      <c r="F2484">
        <f>IF(Skills!N16=TRUE,(Skills!L16/10)*(E2484/1000),Skills!L16/10)+Skills!O16</f>
        <v/>
      </c>
      <c r="G2484">
        <f>Skills!G16*IF(Skills!H16&gt;0,Skills!I16/Skills!H16,1)</f>
        <v/>
      </c>
      <c r="H2484">
        <f>1-(1-Skills!J16/100)^Skills!K16</f>
        <v/>
      </c>
      <c r="I2484" t="inlineStr">
        <is>
          <t>1</t>
        </is>
      </c>
      <c r="J2484" t="inlineStr"/>
      <c r="K2484" t="inlineStr"/>
      <c r="L2484" t="inlineStr"/>
      <c r="M2484" t="inlineStr"/>
      <c r="N2484" t="inlineStr"/>
      <c r="O2484">
        <f>(1-Summary!$B$11)*T2484+Summary!$B$11*V2484</f>
        <v/>
      </c>
      <c r="P2484">
        <f>IF(B2512=0,0,O2484/B2512)</f>
        <v/>
      </c>
      <c r="Q2484">
        <f>IFERROR(1/(IF(Inputs!$B$38="pvp",15,MAX(0.1,Skills!D16-IF(Skills!E16=TRUE,Inputs!$B$32,0)))*(1-IF(AND(ArtifactsInput!$M$27,Inputs!$B$4="Chapter Hunt"),CHOOSE(ArtifactsInput!$N$27+1,20,24,28,32,36,40),0)/100)),0)</f>
        <v/>
      </c>
      <c r="R2484">
        <f>IF(AND(Inputs!$B$38&lt;&gt;"pvp",Inputs!$B$43&gt;0),IF(Inputs!$B$43&lt;=0,0,(INT(Inputs!$B$43/(IF(Inputs!$B$38="pvp",15,MAX(0.1,Skills!D16-IF(Skills!E16=TRUE,Inputs!$B$32,0)))*(1-IF(AND(ArtifactsInput!$M$27,Inputs!$B$4="Chapter Hunt"),CHOOSE(ArtifactsInput!$N$27+1,20,24,28,32,36,40),0)/100)))+1)),0)</f>
        <v/>
      </c>
      <c r="S2484">
        <f>IFERROR(O2484/N2484,0)</f>
        <v/>
      </c>
      <c r="T2484" t="n">
        <v>0</v>
      </c>
      <c r="V2484" t="n">
        <v>0</v>
      </c>
    </row>
    <row r="2485">
      <c r="A2485">
        <f>Skills!A17</f>
        <v/>
      </c>
      <c r="B2485">
        <f>Skills!B17</f>
        <v/>
      </c>
      <c r="C2485">
        <f>Inputs!$B$3&gt;=115</f>
        <v/>
      </c>
      <c r="D2485">
        <f>IF(Skills!C17=1,60+Inputs!$B$25+Inputs!$B$29,IF(Skills!C17=2,90+Inputs!$B$26+Inputs!$B$29,IF(Skills!C17=3,120+Inputs!$B$27+Inputs!$B$29,MAX(0,(Inputs!$B$3-100)*3)+Inputs!$B$28+Inputs!$B$29)))</f>
        <v/>
      </c>
      <c r="E2485">
        <f>INDEX(FactorTable!$B$2:$Y$301, MATCH(ROUND(MIN(300,MAX(1,D2485)),0), FactorTable!$A$2:$A$301,0), Skills!M17+1)</f>
        <v/>
      </c>
      <c r="F2485">
        <f>IF(Skills!N17=TRUE,(Skills!L17/10)*(E2485/1000),Skills!L17/10)+Skills!O17</f>
        <v/>
      </c>
      <c r="G2485">
        <f>Skills!G17*IF(Skills!H17&gt;0,Skills!I17/Skills!H17,1)</f>
        <v/>
      </c>
      <c r="H2485">
        <f>1-(1-Skills!J17/100)^Skills!K17</f>
        <v/>
      </c>
      <c r="I2485" t="inlineStr">
        <is>
          <t>1</t>
        </is>
      </c>
      <c r="J2485" t="inlineStr"/>
      <c r="K2485" t="inlineStr"/>
      <c r="L2485" t="inlineStr"/>
      <c r="M2485" t="inlineStr"/>
      <c r="N2485" t="inlineStr"/>
      <c r="O2485">
        <f>(1-Summary!$B$11)*T2485+Summary!$B$11*V2485</f>
        <v/>
      </c>
      <c r="P2485">
        <f>IF(B2512=0,0,O2485/B2512)</f>
        <v/>
      </c>
      <c r="Q2485">
        <f>IFERROR(1/(IF(Inputs!$B$38="pvp",15,MAX(0.1,Skills!D17-IF(Skills!E17=TRUE,Inputs!$B$32,0)))*(1-IF(AND(ArtifactsInput!$M$27,Inputs!$B$4="Chapter Hunt"),CHOOSE(ArtifactsInput!$N$27+1,20,24,28,32,36,40),0)/100)),0)</f>
        <v/>
      </c>
      <c r="R2485">
        <f>IF(AND(Inputs!$B$38&lt;&gt;"pvp",Inputs!$B$43&gt;0),IF(Inputs!$B$43&lt;=0,0,(INT(Inputs!$B$43/(IF(Inputs!$B$38="pvp",15,MAX(0.1,Skills!D17-IF(Skills!E17=TRUE,Inputs!$B$32,0)))*(1-IF(AND(ArtifactsInput!$M$27,Inputs!$B$4="Chapter Hunt"),CHOOSE(ArtifactsInput!$N$27+1,20,24,28,32,36,40),0)/100)))+1)),0)</f>
        <v/>
      </c>
      <c r="S2485">
        <f>IFERROR(O2485/N2485,0)</f>
        <v/>
      </c>
      <c r="T2485" t="n">
        <v>0</v>
      </c>
      <c r="V2485" t="n">
        <v>0</v>
      </c>
    </row>
    <row r="2486">
      <c r="A2486">
        <f>Skills!A18</f>
        <v/>
      </c>
      <c r="B2486">
        <f>Skills!B18</f>
        <v/>
      </c>
      <c r="C2486">
        <f>Inputs!$B$3&gt;=66</f>
        <v/>
      </c>
      <c r="D2486">
        <f>IF(Skills!C18=1,60+Inputs!$B$25+Inputs!$B$29,IF(Skills!C18=2,90+Inputs!$B$26+Inputs!$B$29,IF(Skills!C18=3,120+Inputs!$B$27+Inputs!$B$29,MAX(0,(Inputs!$B$3-100)*3)+Inputs!$B$28+Inputs!$B$29)))</f>
        <v/>
      </c>
      <c r="E2486">
        <f>INDEX(FactorTable!$B$2:$Y$301, MATCH(ROUND(MIN(300,MAX(1,D2486)),0), FactorTable!$A$2:$A$301,0), Skills!M18+1)</f>
        <v/>
      </c>
      <c r="F2486">
        <f>IF(Skills!N18=TRUE,(Skills!L18/10)*(E2486/1000),Skills!L18/10)+Skills!O18</f>
        <v/>
      </c>
      <c r="G2486">
        <f>Skills!G18*IF(Skills!H18&gt;0,Skills!I18/Skills!H18,1)</f>
        <v/>
      </c>
      <c r="H2486">
        <f>1-(1-Skills!J18/100)^Skills!K18</f>
        <v/>
      </c>
      <c r="I2486" t="inlineStr">
        <is>
          <t>1</t>
        </is>
      </c>
      <c r="J2486" t="inlineStr"/>
      <c r="K2486" t="inlineStr"/>
      <c r="L2486" t="inlineStr"/>
      <c r="M2486" t="inlineStr"/>
      <c r="N2486" t="inlineStr"/>
      <c r="O2486">
        <f>(1-Summary!$B$11)*T2486+Summary!$B$11*V2486</f>
        <v/>
      </c>
      <c r="P2486">
        <f>IF(B2512=0,0,O2486/B2512)</f>
        <v/>
      </c>
      <c r="Q2486" t="n">
        <v>0</v>
      </c>
      <c r="R2486" t="n">
        <v>0</v>
      </c>
      <c r="S2486">
        <f>IFERROR(O2486/N2486,0)</f>
        <v/>
      </c>
      <c r="T2486" t="n">
        <v>0</v>
      </c>
      <c r="V2486" t="n">
        <v>0</v>
      </c>
    </row>
    <row r="2487">
      <c r="A2487">
        <f>Skills!A19</f>
        <v/>
      </c>
      <c r="B2487">
        <f>Skills!B19</f>
        <v/>
      </c>
      <c r="C2487">
        <f>Inputs!$B$3&gt;=72</f>
        <v/>
      </c>
      <c r="D2487">
        <f>IF(Skills!C19=1,60+Inputs!$B$25+Inputs!$B$29,IF(Skills!C19=2,90+Inputs!$B$26+Inputs!$B$29,IF(Skills!C19=3,120+Inputs!$B$27+Inputs!$B$29,MAX(0,(Inputs!$B$3-100)*3)+Inputs!$B$28+Inputs!$B$29)))</f>
        <v/>
      </c>
      <c r="E2487">
        <f>INDEX(FactorTable!$B$2:$Y$301, MATCH(ROUND(MIN(300,MAX(1,D2487)),0), FactorTable!$A$2:$A$301,0), Skills!M19+1)</f>
        <v/>
      </c>
      <c r="F2487">
        <f>IF(Skills!N19=TRUE,(Skills!L19/10)*(E2487/1000),Skills!L19/10)+Skills!O19</f>
        <v/>
      </c>
      <c r="G2487">
        <f>Skills!G19*IF(Skills!H19&gt;0,Skills!I19/Skills!H19,1)</f>
        <v/>
      </c>
      <c r="H2487">
        <f>1-(1-Skills!J19/100)^Skills!K19</f>
        <v/>
      </c>
      <c r="I2487" t="inlineStr">
        <is>
          <t>1</t>
        </is>
      </c>
      <c r="J2487" t="inlineStr"/>
      <c r="K2487" t="inlineStr"/>
      <c r="L2487" t="inlineStr"/>
      <c r="M2487" t="inlineStr"/>
      <c r="N2487" t="inlineStr"/>
      <c r="O2487">
        <f>(1-Summary!$B$11)*T2487+Summary!$B$11*V2487</f>
        <v/>
      </c>
      <c r="P2487">
        <f>IF(B2512=0,0,O2487/B2512)</f>
        <v/>
      </c>
      <c r="Q2487" t="n">
        <v>0</v>
      </c>
      <c r="R2487" t="n">
        <v>0</v>
      </c>
      <c r="S2487">
        <f>IFERROR(O2487/N2487,0)</f>
        <v/>
      </c>
      <c r="T2487" t="n">
        <v>0</v>
      </c>
      <c r="V2487" t="n">
        <v>0</v>
      </c>
    </row>
    <row r="2488">
      <c r="A2488">
        <f>Skills!A20</f>
        <v/>
      </c>
      <c r="B2488">
        <f>Skills!B20</f>
        <v/>
      </c>
      <c r="C2488">
        <f>TRUE</f>
        <v/>
      </c>
      <c r="D2488">
        <f>IF(Skills!C20=1,60+Inputs!$B$25+Inputs!$B$29,IF(Skills!C20=2,90+Inputs!$B$26+Inputs!$B$29,IF(Skills!C20=3,120+Inputs!$B$27+Inputs!$B$29,MAX(0,(Inputs!$B$3-100)*3)+Inputs!$B$28+Inputs!$B$29)))</f>
        <v/>
      </c>
      <c r="E2488">
        <f>INDEX(FactorTable!$B$2:$Y$301, MATCH(ROUND(MIN(300,MAX(1,D2488)),0), FactorTable!$A$2:$A$301,0), Skills!M20+1)</f>
        <v/>
      </c>
      <c r="F2488">
        <f>IF(Skills!N20=TRUE,(Skills!L20/10)*(E2488/1000),Skills!L20/10)+Skills!O20</f>
        <v/>
      </c>
      <c r="G2488">
        <f>Skills!G20*IF(Skills!H20&gt;0,Skills!I20/Skills!H20,1)</f>
        <v/>
      </c>
      <c r="H2488">
        <f>1-(1-Skills!J20/100)^Skills!K20</f>
        <v/>
      </c>
      <c r="I2488" t="inlineStr">
        <is>
          <t>1</t>
        </is>
      </c>
      <c r="J2488" t="inlineStr"/>
      <c r="K2488" t="inlineStr"/>
      <c r="L2488" t="inlineStr"/>
      <c r="M2488" t="inlineStr"/>
      <c r="N2488" t="inlineStr"/>
      <c r="O2488">
        <f>(1-Summary!$B$11)*T2488+Summary!$B$11*V2488</f>
        <v/>
      </c>
      <c r="P2488">
        <f>IF(B2512=0,0,O2488/B2512)</f>
        <v/>
      </c>
      <c r="Q2488">
        <f>IFERROR(1/(IF(Inputs!$B$38="pvp",15,MAX(0.1,Skills!D20-IF(Skills!E20=TRUE,Inputs!$B$32,0)))*(1-IF(AND(ArtifactsInput!$M$27,Inputs!$B$4="Chapter Hunt"),CHOOSE(ArtifactsInput!$N$27+1,20,24,28,32,36,40),0)/100)),0)</f>
        <v/>
      </c>
      <c r="R2488">
        <f>IF(AND(Inputs!$B$38&lt;&gt;"pvp",Inputs!$B$43&gt;0),IF(Inputs!$B$43&lt;=0,0,(INT(Inputs!$B$43/(IF(Inputs!$B$38="pvp",15,MAX(0.1,Skills!D20-IF(Skills!E20=TRUE,Inputs!$B$32,0)))*(1-IF(AND(ArtifactsInput!$M$27,Inputs!$B$4="Chapter Hunt"),CHOOSE(ArtifactsInput!$N$27+1,20,24,28,32,36,40),0)/100)))+1)),0)</f>
        <v/>
      </c>
      <c r="S2488">
        <f>IFERROR(O2488/N2488,0)</f>
        <v/>
      </c>
      <c r="T2488" t="n">
        <v>0</v>
      </c>
      <c r="V2488" t="n">
        <v>0</v>
      </c>
    </row>
    <row r="2489">
      <c r="A2489">
        <f>Skills!A21</f>
        <v/>
      </c>
      <c r="B2489">
        <f>Skills!B21</f>
        <v/>
      </c>
      <c r="C2489">
        <f>Inputs!$B$3&gt;=15</f>
        <v/>
      </c>
      <c r="D2489">
        <f>IF(Skills!C21=1,60+Inputs!$B$25+Inputs!$B$29,IF(Skills!C21=2,90+Inputs!$B$26+Inputs!$B$29,IF(Skills!C21=3,120+Inputs!$B$27+Inputs!$B$29,MAX(0,(Inputs!$B$3-100)*3)+Inputs!$B$28+Inputs!$B$29)))</f>
        <v/>
      </c>
      <c r="E2489">
        <f>INDEX(FactorTable!$B$2:$Y$301, MATCH(ROUND(MIN(300,MAX(1,D2489)),0), FactorTable!$A$2:$A$301,0), Skills!M21+1)</f>
        <v/>
      </c>
      <c r="F2489">
        <f>IF(Skills!N21=TRUE,(Skills!L21/10)*(E2489/1000),Skills!L21/10)+Skills!O21</f>
        <v/>
      </c>
      <c r="G2489">
        <f>Skills!G21*IF(Skills!H21&gt;0,Skills!I21/Skills!H21,1)</f>
        <v/>
      </c>
      <c r="H2489">
        <f>1-(1-Skills!J21/100)^Skills!K21</f>
        <v/>
      </c>
      <c r="I2489" t="inlineStr">
        <is>
          <t>1</t>
        </is>
      </c>
      <c r="J2489" t="inlineStr"/>
      <c r="K2489" t="inlineStr"/>
      <c r="L2489" t="inlineStr"/>
      <c r="M2489" t="inlineStr"/>
      <c r="N2489" t="inlineStr"/>
      <c r="O2489">
        <f>(1-Summary!$B$11)*T2489+Summary!$B$11*V2489</f>
        <v/>
      </c>
      <c r="P2489">
        <f>IF(B2512=0,0,O2489/B2512)</f>
        <v/>
      </c>
      <c r="Q2489" t="n">
        <v>0</v>
      </c>
      <c r="R2489" t="n">
        <v>0</v>
      </c>
      <c r="S2489">
        <f>IFERROR(O2489/N2489,0)</f>
        <v/>
      </c>
      <c r="T2489" t="n">
        <v>0</v>
      </c>
      <c r="V2489" t="n">
        <v>0</v>
      </c>
    </row>
    <row r="2490">
      <c r="A2490">
        <f>Skills!A22</f>
        <v/>
      </c>
      <c r="B2490">
        <f>Skills!B22</f>
        <v/>
      </c>
      <c r="C2490">
        <f>Inputs!$B$3&gt;=10</f>
        <v/>
      </c>
      <c r="D2490">
        <f>IF(Skills!C22=1,60+Inputs!$B$25+Inputs!$B$29,IF(Skills!C22=2,90+Inputs!$B$26+Inputs!$B$29,IF(Skills!C22=3,120+Inputs!$B$27+Inputs!$B$29,MAX(0,(Inputs!$B$3-100)*3)+Inputs!$B$28+Inputs!$B$29)))</f>
        <v/>
      </c>
      <c r="E2490">
        <f>INDEX(FactorTable!$B$2:$Y$301, MATCH(ROUND(MIN(300,MAX(1,D2490)),0), FactorTable!$A$2:$A$301,0), Skills!M22+1)</f>
        <v/>
      </c>
      <c r="F2490">
        <f>IF(Skills!N22=TRUE,(Skills!L22/10)*(E2490/1000),Skills!L22/10)+Skills!O22</f>
        <v/>
      </c>
      <c r="G2490">
        <f>Skills!G22*IF(Skills!H22&gt;0,Skills!I22/Skills!H22,1)</f>
        <v/>
      </c>
      <c r="H2490">
        <f>1-(1-Skills!J22/100)^Skills!K22</f>
        <v/>
      </c>
      <c r="I2490" t="inlineStr">
        <is>
          <t>1</t>
        </is>
      </c>
      <c r="J2490" t="inlineStr"/>
      <c r="K2490" t="inlineStr"/>
      <c r="L2490" t="inlineStr"/>
      <c r="M2490" t="inlineStr"/>
      <c r="N2490" t="inlineStr"/>
      <c r="O2490">
        <f>(1-Summary!$B$11)*T2490+Summary!$B$11*V2490</f>
        <v/>
      </c>
      <c r="P2490">
        <f>IF(B2512=0,0,O2490/B2512)</f>
        <v/>
      </c>
      <c r="Q2490" t="n">
        <v>0</v>
      </c>
      <c r="R2490" t="n">
        <v>0</v>
      </c>
      <c r="S2490">
        <f>IFERROR(O2490/N2490,0)</f>
        <v/>
      </c>
      <c r="T2490" t="n">
        <v>0</v>
      </c>
      <c r="V2490" t="n">
        <v>0</v>
      </c>
    </row>
    <row r="2491">
      <c r="A2491">
        <f>Skills!A23</f>
        <v/>
      </c>
      <c r="B2491">
        <f>Skills!B23</f>
        <v/>
      </c>
      <c r="C2491">
        <f>Inputs!$B$3&gt;=33</f>
        <v/>
      </c>
      <c r="D2491">
        <f>IF(Skills!C23=1,60+Inputs!$B$25+Inputs!$B$29,IF(Skills!C23=2,90+Inputs!$B$26+Inputs!$B$29,IF(Skills!C23=3,120+Inputs!$B$27+Inputs!$B$29,MAX(0,(Inputs!$B$3-100)*3)+Inputs!$B$28+Inputs!$B$29)))</f>
        <v/>
      </c>
      <c r="E2491">
        <f>INDEX(FactorTable!$B$2:$Y$301, MATCH(ROUND(MIN(300,MAX(1,D2491)),0), FactorTable!$A$2:$A$301,0), Skills!M23+1)</f>
        <v/>
      </c>
      <c r="F2491">
        <f>IF(Skills!N23=TRUE,(Skills!L23/10)*(E2491/1000),Skills!L23/10)+Skills!O23</f>
        <v/>
      </c>
      <c r="G2491">
        <f>Skills!G23*IF(Skills!H23&gt;0,Skills!I23/Skills!H23,1)</f>
        <v/>
      </c>
      <c r="H2491">
        <f>1-(1-Skills!J23/100)^Skills!K23</f>
        <v/>
      </c>
      <c r="I2491" t="inlineStr">
        <is>
          <t>1</t>
        </is>
      </c>
      <c r="J2491" t="inlineStr"/>
      <c r="K2491" t="inlineStr"/>
      <c r="L2491" t="inlineStr"/>
      <c r="M2491" t="inlineStr"/>
      <c r="N2491" t="inlineStr"/>
      <c r="O2491">
        <f>(1-Summary!$B$11)*T2491+Summary!$B$11*V2491</f>
        <v/>
      </c>
      <c r="P2491">
        <f>IF(B2512=0,0,O2491/B2512)</f>
        <v/>
      </c>
      <c r="Q2491" t="n">
        <v>0</v>
      </c>
      <c r="R2491" t="n">
        <v>0</v>
      </c>
      <c r="S2491">
        <f>IFERROR(O2491/N2491,0)</f>
        <v/>
      </c>
      <c r="T2491" t="n">
        <v>0</v>
      </c>
      <c r="V2491" t="n">
        <v>0</v>
      </c>
    </row>
    <row r="2492">
      <c r="A2492">
        <f>Skills!A24</f>
        <v/>
      </c>
      <c r="B2492">
        <f>Skills!B24</f>
        <v/>
      </c>
      <c r="C2492">
        <f>Inputs!$B$3&gt;=38</f>
        <v/>
      </c>
      <c r="D2492">
        <f>IF(Skills!C24=1,60+Inputs!$B$25+Inputs!$B$29,IF(Skills!C24=2,90+Inputs!$B$26+Inputs!$B$29,IF(Skills!C24=3,120+Inputs!$B$27+Inputs!$B$29,MAX(0,(Inputs!$B$3-100)*3)+Inputs!$B$28+Inputs!$B$29)))</f>
        <v/>
      </c>
      <c r="E2492">
        <f>INDEX(FactorTable!$B$2:$Y$301, MATCH(ROUND(MIN(300,MAX(1,D2492)),0), FactorTable!$A$2:$A$301,0), Skills!M24+1)</f>
        <v/>
      </c>
      <c r="F2492">
        <f>IF(Skills!N24=TRUE,(Skills!L24/10)*(E2492/1000),Skills!L24/10)+Skills!O24</f>
        <v/>
      </c>
      <c r="G2492">
        <f>Skills!G24*IF(Skills!H24&gt;0,Skills!I24/Skills!H24,1)</f>
        <v/>
      </c>
      <c r="H2492">
        <f>1-(1-Skills!J24/100)^Skills!K24</f>
        <v/>
      </c>
      <c r="I2492" t="inlineStr">
        <is>
          <t>1</t>
        </is>
      </c>
      <c r="J2492" t="inlineStr"/>
      <c r="K2492" t="inlineStr"/>
      <c r="L2492" t="inlineStr"/>
      <c r="M2492" t="inlineStr"/>
      <c r="N2492" t="inlineStr"/>
      <c r="O2492">
        <f>(1-Summary!$B$11)*T2492+Summary!$B$11*V2492</f>
        <v/>
      </c>
      <c r="P2492">
        <f>IF(B2512=0,0,O2492/B2512)</f>
        <v/>
      </c>
      <c r="Q2492" t="n">
        <v>0</v>
      </c>
      <c r="R2492" t="n">
        <v>0</v>
      </c>
      <c r="S2492">
        <f>IFERROR(O2492/N2492,0)</f>
        <v/>
      </c>
      <c r="T2492" t="n">
        <v>0</v>
      </c>
      <c r="V2492" t="n">
        <v>0</v>
      </c>
    </row>
    <row r="2493">
      <c r="A2493">
        <f>Skills!A25</f>
        <v/>
      </c>
      <c r="B2493">
        <f>Skills!B25</f>
        <v/>
      </c>
      <c r="C2493">
        <f>Inputs!$B$3&gt;=43</f>
        <v/>
      </c>
      <c r="D2493">
        <f>IF(Skills!C25=1,60+Inputs!$B$25+Inputs!$B$29,IF(Skills!C25=2,90+Inputs!$B$26+Inputs!$B$29,IF(Skills!C25=3,120+Inputs!$B$27+Inputs!$B$29,MAX(0,(Inputs!$B$3-100)*3)+Inputs!$B$28+Inputs!$B$29)))</f>
        <v/>
      </c>
      <c r="E2493">
        <f>INDEX(FactorTable!$B$2:$Y$301, MATCH(ROUND(MIN(300,MAX(1,D2493)),0), FactorTable!$A$2:$A$301,0), Skills!M25+1)</f>
        <v/>
      </c>
      <c r="F2493">
        <f>IF(Skills!N25=TRUE,(Skills!L25/10)*(E2493/1000),Skills!L25/10)+Skills!O25</f>
        <v/>
      </c>
      <c r="G2493">
        <f>Skills!G25*IF(Skills!H25&gt;0,Skills!I25/Skills!H25,1)</f>
        <v/>
      </c>
      <c r="H2493">
        <f>1-(1-Skills!J25/100)^Skills!K25</f>
        <v/>
      </c>
      <c r="I2493" t="inlineStr">
        <is>
          <t>1</t>
        </is>
      </c>
      <c r="J2493" t="inlineStr"/>
      <c r="K2493" t="inlineStr"/>
      <c r="L2493" t="inlineStr"/>
      <c r="M2493" t="inlineStr"/>
      <c r="N2493" t="inlineStr"/>
      <c r="O2493">
        <f>(1-Summary!$B$11)*T2493+Summary!$B$11*V2493</f>
        <v/>
      </c>
      <c r="P2493">
        <f>IF(B2512=0,0,O2493/B2512)</f>
        <v/>
      </c>
      <c r="Q2493" t="n">
        <v>0</v>
      </c>
      <c r="R2493" t="n">
        <v>0</v>
      </c>
      <c r="S2493">
        <f>IFERROR(O2493/N2493,0)</f>
        <v/>
      </c>
      <c r="T2493" t="n">
        <v>0</v>
      </c>
      <c r="V2493" t="n">
        <v>0</v>
      </c>
    </row>
    <row r="2494">
      <c r="A2494">
        <f>Skills!A26</f>
        <v/>
      </c>
      <c r="B2494">
        <f>Skills!B26</f>
        <v/>
      </c>
      <c r="C2494">
        <f>Inputs!$B$3&gt;=75</f>
        <v/>
      </c>
      <c r="D2494">
        <f>IF(Skills!C26=1,60+Inputs!$B$25+Inputs!$B$29,IF(Skills!C26=2,90+Inputs!$B$26+Inputs!$B$29,IF(Skills!C26=3,120+Inputs!$B$27+Inputs!$B$29,MAX(0,(Inputs!$B$3-100)*3)+Inputs!$B$28+Inputs!$B$29)))</f>
        <v/>
      </c>
      <c r="E2494">
        <f>INDEX(FactorTable!$B$2:$Y$301, MATCH(ROUND(MIN(300,MAX(1,D2494)),0), FactorTable!$A$2:$A$301,0), Skills!M26+1)</f>
        <v/>
      </c>
      <c r="F2494">
        <f>IF(Skills!N26=TRUE,(Skills!L26/10)*(E2494/1000),Skills!L26/10)+Skills!O26</f>
        <v/>
      </c>
      <c r="G2494">
        <f>Skills!G26*IF(Skills!H26&gt;0,Skills!I26/Skills!H26,1)</f>
        <v/>
      </c>
      <c r="H2494">
        <f>1-(1-Skills!J26/100)^Skills!K26</f>
        <v/>
      </c>
      <c r="I2494" t="inlineStr">
        <is>
          <t>1</t>
        </is>
      </c>
      <c r="J2494" t="inlineStr"/>
      <c r="K2494" t="inlineStr"/>
      <c r="L2494" t="inlineStr"/>
      <c r="M2494" t="inlineStr"/>
      <c r="N2494" t="inlineStr"/>
      <c r="O2494">
        <f>(1-Summary!$B$11)*T2494+Summary!$B$11*V2494</f>
        <v/>
      </c>
      <c r="P2494">
        <f>IF(B2512=0,0,O2494/B2512)</f>
        <v/>
      </c>
      <c r="Q2494" t="n">
        <v>0</v>
      </c>
      <c r="R2494" t="n">
        <v>0</v>
      </c>
      <c r="S2494">
        <f>IFERROR(O2494/N2494,0)</f>
        <v/>
      </c>
      <c r="T2494" t="n">
        <v>0</v>
      </c>
      <c r="V2494" t="n">
        <v>0</v>
      </c>
    </row>
    <row r="2495">
      <c r="A2495">
        <f>Skills!A27</f>
        <v/>
      </c>
      <c r="B2495">
        <f>Skills!B27</f>
        <v/>
      </c>
      <c r="C2495">
        <f>Inputs!$B$3&gt;=125</f>
        <v/>
      </c>
      <c r="D2495">
        <f>IF(Skills!C27=1,60+Inputs!$B$25+Inputs!$B$29,IF(Skills!C27=2,90+Inputs!$B$26+Inputs!$B$29,IF(Skills!C27=3,120+Inputs!$B$27+Inputs!$B$29,MAX(0,(Inputs!$B$3-100)*3)+Inputs!$B$28+Inputs!$B$29)))</f>
        <v/>
      </c>
      <c r="E2495">
        <f>INDEX(FactorTable!$B$2:$Y$301, MATCH(ROUND(MIN(300,MAX(1,D2495)),0), FactorTable!$A$2:$A$301,0), Skills!M27+1)</f>
        <v/>
      </c>
      <c r="F2495">
        <f>IF(Skills!N27=TRUE,(Skills!L27/10)*(E2495/1000),Skills!L27/10)+Skills!O27</f>
        <v/>
      </c>
      <c r="G2495">
        <f>Skills!G27*IF(Skills!H27&gt;0,Skills!I27/Skills!H27,1)</f>
        <v/>
      </c>
      <c r="H2495">
        <f>1-(1-Skills!J27/100)^Skills!K27</f>
        <v/>
      </c>
      <c r="I2495" t="inlineStr">
        <is>
          <t>1</t>
        </is>
      </c>
      <c r="J2495" t="inlineStr"/>
      <c r="K2495" t="inlineStr"/>
      <c r="L2495" t="inlineStr"/>
      <c r="M2495" t="inlineStr"/>
      <c r="N2495" t="inlineStr"/>
      <c r="O2495">
        <f>(1-Summary!$B$11)*T2495+Summary!$B$11*V2495</f>
        <v/>
      </c>
      <c r="P2495">
        <f>IF(B2512=0,0,O2495/B2512)</f>
        <v/>
      </c>
      <c r="Q2495" t="n">
        <v>0</v>
      </c>
      <c r="R2495" t="n">
        <v>0</v>
      </c>
      <c r="S2495">
        <f>IFERROR(O2495/N2495,0)</f>
        <v/>
      </c>
      <c r="T2495" t="n">
        <v>0</v>
      </c>
      <c r="V2495" t="n">
        <v>0</v>
      </c>
    </row>
    <row r="2496">
      <c r="A2496">
        <f>Skills!A28</f>
        <v/>
      </c>
      <c r="B2496">
        <f>Skills!B28</f>
        <v/>
      </c>
      <c r="C2496">
        <f>Inputs!$B$3&gt;=125</f>
        <v/>
      </c>
      <c r="D2496">
        <f>IF(Skills!C28=1,60+Inputs!$B$25+Inputs!$B$29,IF(Skills!C28=2,90+Inputs!$B$26+Inputs!$B$29,IF(Skills!C28=3,120+Inputs!$B$27+Inputs!$B$29,MAX(0,(Inputs!$B$3-100)*3)+Inputs!$B$28+Inputs!$B$29)))</f>
        <v/>
      </c>
      <c r="E2496">
        <f>INDEX(FactorTable!$B$2:$Y$301, MATCH(ROUND(MIN(300,MAX(1,D2496)),0), FactorTable!$A$2:$A$301,0), Skills!M28+1)</f>
        <v/>
      </c>
      <c r="F2496">
        <f>IF(Skills!N28=TRUE,(Skills!L28/10)*(E2496/1000),Skills!L28/10)+Skills!O28</f>
        <v/>
      </c>
      <c r="G2496">
        <f>Skills!G28*IF(Skills!H28&gt;0,Skills!I28/Skills!H28,1)</f>
        <v/>
      </c>
      <c r="H2496">
        <f>1-(1-Skills!J28/100)^Skills!K28</f>
        <v/>
      </c>
      <c r="I2496" t="inlineStr">
        <is>
          <t>1</t>
        </is>
      </c>
      <c r="J2496" t="inlineStr"/>
      <c r="K2496" t="inlineStr"/>
      <c r="L2496" t="inlineStr"/>
      <c r="M2496" t="inlineStr"/>
      <c r="N2496" t="inlineStr"/>
      <c r="O2496">
        <f>(1-Summary!$B$11)*T2496+Summary!$B$11*V2496</f>
        <v/>
      </c>
      <c r="P2496">
        <f>IF(B2512=0,0,O2496/B2512)</f>
        <v/>
      </c>
      <c r="Q2496" t="n">
        <v>0</v>
      </c>
      <c r="R2496" t="n">
        <v>0</v>
      </c>
      <c r="S2496">
        <f>IFERROR(O2496/N2496,0)</f>
        <v/>
      </c>
      <c r="T2496" t="n">
        <v>0</v>
      </c>
      <c r="V2496" t="n">
        <v>0</v>
      </c>
    </row>
    <row r="2497">
      <c r="A2497">
        <f>Skills!A29</f>
        <v/>
      </c>
      <c r="B2497">
        <f>Skills!B29</f>
        <v/>
      </c>
      <c r="C2497">
        <f>Inputs!$B$3&gt;=120</f>
        <v/>
      </c>
      <c r="D2497">
        <f>IF(Skills!C29=1,60+Inputs!$B$25+Inputs!$B$29,IF(Skills!C29=2,90+Inputs!$B$26+Inputs!$B$29,IF(Skills!C29=3,120+Inputs!$B$27+Inputs!$B$29,MAX(0,(Inputs!$B$3-100)*3)+Inputs!$B$28+Inputs!$B$29)))</f>
        <v/>
      </c>
      <c r="E2497">
        <f>INDEX(FactorTable!$B$2:$Y$301, MATCH(ROUND(MIN(300,MAX(1,D2497)),0), FactorTable!$A$2:$A$301,0), Skills!M29+1)</f>
        <v/>
      </c>
      <c r="F2497">
        <f>IF(Skills!N29=TRUE,(Skills!L29/10)*(E2497/1000),Skills!L29/10)+Skills!O29</f>
        <v/>
      </c>
      <c r="G2497">
        <f>Skills!G29*IF(Skills!H29&gt;0,Skills!I29/Skills!H29,1)</f>
        <v/>
      </c>
      <c r="H2497">
        <f>1-(1-Skills!J29/100)^Skills!K29</f>
        <v/>
      </c>
      <c r="I2497" t="inlineStr">
        <is>
          <t>1</t>
        </is>
      </c>
      <c r="J2497" t="inlineStr"/>
      <c r="K2497" t="inlineStr"/>
      <c r="L2497" t="inlineStr"/>
      <c r="M2497" t="inlineStr"/>
      <c r="N2497" t="inlineStr"/>
      <c r="O2497">
        <f>(1-Summary!$B$11)*T2497+Summary!$B$11*V2497</f>
        <v/>
      </c>
      <c r="P2497">
        <f>IF(B2512=0,0,O2497/B2512)</f>
        <v/>
      </c>
      <c r="Q2497" t="n">
        <v>0</v>
      </c>
      <c r="R2497" t="n">
        <v>0</v>
      </c>
      <c r="S2497">
        <f>IFERROR(O2497/N2497,0)</f>
        <v/>
      </c>
      <c r="T2497" t="n">
        <v>0</v>
      </c>
      <c r="V2497" t="n">
        <v>0</v>
      </c>
    </row>
    <row r="2498">
      <c r="A2498">
        <f>Skills!A30</f>
        <v/>
      </c>
      <c r="B2498">
        <f>Skills!B30</f>
        <v/>
      </c>
      <c r="C2498">
        <f>Inputs!$B$3&gt;=120</f>
        <v/>
      </c>
      <c r="D2498">
        <f>IF(Skills!C30=1,60+Inputs!$B$25+Inputs!$B$29,IF(Skills!C30=2,90+Inputs!$B$26+Inputs!$B$29,IF(Skills!C30=3,120+Inputs!$B$27+Inputs!$B$29,MAX(0,(Inputs!$B$3-100)*3)+Inputs!$B$28+Inputs!$B$29)))</f>
        <v/>
      </c>
      <c r="E2498">
        <f>INDEX(FactorTable!$B$2:$Y$301, MATCH(ROUND(MIN(300,MAX(1,D2498)),0), FactorTable!$A$2:$A$301,0), Skills!M30+1)</f>
        <v/>
      </c>
      <c r="F2498">
        <f>IF(Skills!N30=TRUE,(Skills!L30/10)*(E2498/1000),Skills!L30/10)+Skills!O30</f>
        <v/>
      </c>
      <c r="G2498">
        <f>Skills!G30*IF(Skills!H30&gt;0,Skills!I30/Skills!H30,1)</f>
        <v/>
      </c>
      <c r="H2498">
        <f>1-(1-Skills!J30/100)^Skills!K30</f>
        <v/>
      </c>
      <c r="I2498" t="inlineStr">
        <is>
          <t>1</t>
        </is>
      </c>
      <c r="J2498" t="inlineStr"/>
      <c r="K2498" t="inlineStr"/>
      <c r="L2498" t="inlineStr"/>
      <c r="M2498" t="inlineStr"/>
      <c r="N2498" t="inlineStr"/>
      <c r="O2498">
        <f>(1-Summary!$B$11)*T2498+Summary!$B$11*V2498</f>
        <v/>
      </c>
      <c r="P2498">
        <f>IF(B2512=0,0,O2498/B2512)</f>
        <v/>
      </c>
      <c r="Q2498" t="n">
        <v>0</v>
      </c>
      <c r="R2498" t="n">
        <v>0</v>
      </c>
      <c r="S2498">
        <f>IFERROR(O2498/N2498,0)</f>
        <v/>
      </c>
      <c r="T2498" t="n">
        <v>0</v>
      </c>
      <c r="V2498" t="n">
        <v>0</v>
      </c>
    </row>
    <row r="2499">
      <c r="A2499">
        <f>Skills!A31</f>
        <v/>
      </c>
      <c r="B2499">
        <f>Skills!B31</f>
        <v/>
      </c>
      <c r="C2499">
        <f>Inputs!$B$3&gt;=45</f>
        <v/>
      </c>
      <c r="D2499">
        <f>IF(Skills!C31=1,60+Inputs!$B$25+Inputs!$B$29,IF(Skills!C31=2,90+Inputs!$B$26+Inputs!$B$29,IF(Skills!C31=3,120+Inputs!$B$27+Inputs!$B$29,MAX(0,(Inputs!$B$3-100)*3)+Inputs!$B$28+Inputs!$B$29)))</f>
        <v/>
      </c>
      <c r="E2499">
        <f>INDEX(FactorTable!$B$2:$Y$301, MATCH(ROUND(MIN(300,MAX(1,D2499)),0), FactorTable!$A$2:$A$301,0), Skills!M31+1)</f>
        <v/>
      </c>
      <c r="F2499">
        <f>IF(Skills!N31=TRUE,(Skills!L31/10)*(E2499/1000),Skills!L31/10)+Skills!O31</f>
        <v/>
      </c>
      <c r="G2499">
        <f>Skills!G31*IF(Skills!H31&gt;0,Skills!I31/Skills!H31,1)</f>
        <v/>
      </c>
      <c r="H2499">
        <f>1-(1-Skills!J31/100)^Skills!K31</f>
        <v/>
      </c>
      <c r="I2499" t="inlineStr">
        <is>
          <t>1</t>
        </is>
      </c>
      <c r="J2499" t="inlineStr"/>
      <c r="K2499" t="inlineStr"/>
      <c r="L2499" t="inlineStr"/>
      <c r="M2499" t="inlineStr"/>
      <c r="N2499" t="inlineStr"/>
      <c r="O2499">
        <f>(1-Summary!$B$11)*T2499+Summary!$B$11*V2499</f>
        <v/>
      </c>
      <c r="P2499">
        <f>IF(B2512=0,0,O2499/B2512)</f>
        <v/>
      </c>
      <c r="Q2499" t="n">
        <v>0</v>
      </c>
      <c r="R2499" t="n">
        <v>0</v>
      </c>
      <c r="S2499">
        <f>IFERROR(O2499/N2499,0)</f>
        <v/>
      </c>
      <c r="T2499" t="n">
        <v>0</v>
      </c>
      <c r="V2499" t="n">
        <v>0</v>
      </c>
    </row>
    <row r="2501">
      <c r="A2501" t="inlineStr">
        <is>
          <t>Attack% Bucket Multiplier</t>
        </is>
      </c>
      <c r="B2501">
        <f>(1+(((C2482=TRUE)*F2482)+((C2483=TRUE)*IF(Inputs!$B$38="pvp",F2483,(1-Summary!$B$11)*(F2483)+Summary!$B$11*(0)))+((C2484=TRUE)*F2484*IF(AND(Inputs!$B$38&lt;&gt;"pvp",Inputs!$B$43&gt;0),(((R2484-1)*(Skills!T16*(1+Inputs!$B$34/100))+MIN((Skills!T16*(1+Inputs!$B$34/100)),MAX(0,Inputs!$B$43-((R2484-1)*Skills!D16))))/Inputs!$B$43),IF(Inputs!$B$38="pvp",MIN((Skills!T16*(1+Inputs!$B$34/100)),15)/15,(Skills!T16*(1+Inputs!$B$34/100))/Skills!D16)))+((C2499=TRUE)*(F2499-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02">
      <c r="A2502" t="inlineStr">
        <is>
          <t>Global Crit Rate Bonus %</t>
        </is>
      </c>
      <c r="B2502">
        <f>(C2485=TRUE)*20*IF(AND(Inputs!$B$38&lt;&gt;"pvp",Inputs!$B$43&gt;0),(((R2485-1)*(Skills!T17*(1+Inputs!$B$34/100))+MIN((Skills!T17*(1+Inputs!$B$34/100)),MAX(0,Inputs!$B$43-((R2485-1)*Skills!D17))))/Inputs!$B$43),IF(Inputs!$B$38="pvp",MIN((Skills!T17*(1+Inputs!$B$34/100)),15)/15,(Skills!T17*(1+Inputs!$B$34/100))/Skills!D17))</f>
        <v/>
      </c>
    </row>
    <row r="2503">
      <c r="A2503" t="inlineStr">
        <is>
          <t>Attack Speed Buff Bonus %</t>
        </is>
      </c>
      <c r="B2503">
        <f>((C2488=TRUE)*F2488*IF(AND(Inputs!$B$38&lt;&gt;"pvp",Inputs!$B$43&gt;0),(((R2488-1)*(Skills!T20*(1+Inputs!$B$34/100))+MIN((Skills!T20*(1+Inputs!$B$34/100)),MAX(0,Inputs!$B$43-((R2488-1)*Skills!D20))))/Inputs!$B$43),IF(Inputs!$B$38="pvp",MIN((Skills!T20*(1+Inputs!$B$34/100)),15)/15,(Skills!T20*(1+Inputs!$B$34/100))/Skills!D20)))</f>
        <v/>
      </c>
    </row>
    <row r="2504">
      <c r="A2504" t="inlineStr">
        <is>
          <t>Actions Per Second</t>
        </is>
      </c>
      <c r="B2504">
        <f>1+MIN(150,150*(1-(1-(Inputs!$B$11+((C2490=TRUE)*(F2490-Calc!F22))+((C2491=TRUE)*(F2491-Calc!F23)))/150)*(1-B2503/150)))/100</f>
        <v/>
      </c>
    </row>
    <row r="2505">
      <c r="A2505" t="inlineStr">
        <is>
          <t>Skill + Buff Cast Rate</t>
        </is>
      </c>
      <c r="B2505">
        <f>IF(AND(Inputs!$B$38&lt;&gt;"pvp",Inputs!$B$43&gt;0),SUMPRODUCT((Skills!E2:E31=TRUE)*(C2470:C2499=TRUE)*R2470:R2499*Skills!F2:F31)/Inputs!$B$43,SUMPRODUCT((Skills!E2:E31=TRUE)*(C2470:C2499=TRUE)*Q2470:Q2499*Skills!F2:F31))</f>
        <v/>
      </c>
    </row>
    <row r="2506">
      <c r="A2506" t="inlineStr">
        <is>
          <t>Arrow Stream Casts Per Second</t>
        </is>
      </c>
      <c r="B2506">
        <f>MAX(0,B2504-B2505)</f>
        <v/>
      </c>
    </row>
    <row r="2507">
      <c r="A2507" t="inlineStr">
        <is>
          <t>Global Critical Damage Bonus % (Sharp Eyes + Concentration)</t>
        </is>
      </c>
      <c r="B2507">
        <f>(C2485=TRUE)*F2485*IF(AND(Inputs!$B$38&lt;&gt;"pvp",Inputs!$B$43&gt;0),(((R2485-1)*(Skills!T17*(1+Inputs!$B$34/100))+MIN((Skills!T17*(1+Inputs!$B$34/100)),MAX(0,Inputs!$B$43-((R2485-1)*Skills!D17))))/Inputs!$B$43),IF(Inputs!$B$38="pvp",MIN((Skills!T17*(1+Inputs!$B$34/100)),15)/15,(Skills!T17*(1+Inputs!$B$34/100))/Skills!D17))+(C2486=TRUE)*30</f>
        <v/>
      </c>
    </row>
    <row r="2508">
      <c r="A2508" t="inlineStr">
        <is>
          <t>Global Final Damage Bonus % (Mortal Blow)</t>
        </is>
      </c>
      <c r="B2508">
        <f>(C2487=TRUE)*F2487</f>
        <v/>
      </c>
    </row>
    <row r="2509">
      <c r="A2509" t="inlineStr">
        <is>
          <t>Buff-Casting Startup Delay (s, fixed-duration only)</t>
        </is>
      </c>
      <c r="B2509">
        <f>IF(AND(Inputs!$B$38&lt;&gt;"pvp",Inputs!$B$43&gt;0),SUMPRODUCT((Skills!T2:T31&gt;0)*(Skills!E2:E31=TRUE)*(C2470:C2499=TRUE))/B2504,0)</f>
        <v/>
      </c>
    </row>
    <row r="2510">
      <c r="A2510" t="inlineStr">
        <is>
          <t>Boss-Only Total DPS (this block's swept value)</t>
        </is>
      </c>
      <c r="B2510">
        <f>SUM(T2470:T2499)</f>
        <v/>
      </c>
    </row>
    <row r="2511">
      <c r="A2511" t="inlineStr">
        <is>
          <t>Normal-Only Total DPS (this block's swept value)</t>
        </is>
      </c>
      <c r="B2511">
        <f>SUM(V2470:V2499)</f>
        <v/>
      </c>
    </row>
    <row r="2512">
      <c r="A2512" s="6" t="inlineStr">
        <is>
          <t>TOTAL DPS</t>
        </is>
      </c>
      <c r="B2512" s="6">
        <f>SUM(O2470:O2499)</f>
        <v/>
      </c>
    </row>
    <row r="2515">
      <c r="A2515" s="6" t="inlineStr">
        <is>
          <t>Stat: Sayram's Necklace (Equip)</t>
        </is>
      </c>
    </row>
    <row r="2516">
      <c r="A2516" s="5" t="inlineStr">
        <is>
          <t>Key</t>
        </is>
      </c>
      <c r="B2516" s="5" t="inlineStr">
        <is>
          <t>Name</t>
        </is>
      </c>
      <c r="C2516" s="5" t="inlineStr">
        <is>
          <t>Unlocked</t>
        </is>
      </c>
      <c r="D2516" s="5" t="inlineStr">
        <is>
          <t>InputLevel</t>
        </is>
      </c>
      <c r="E2516" s="5" t="inlineStr">
        <is>
          <t>Factor</t>
        </is>
      </c>
      <c r="F2516" s="5" t="inlineStr">
        <is>
          <t>CoefficientPercent</t>
        </is>
      </c>
      <c r="G2516" s="5" t="inlineStr">
        <is>
          <t>EffectiveHits</t>
        </is>
      </c>
      <c r="H2516" s="5" t="inlineStr">
        <is>
          <t>ProcProbability</t>
        </is>
      </c>
      <c r="I2516" s="5" t="inlineStr">
        <is>
          <t>MapleHeroMultiplier</t>
        </is>
      </c>
      <c r="J2516" s="5" t="inlineStr">
        <is>
          <t>BaseDamage</t>
        </is>
      </c>
      <c r="K2516" s="5" t="inlineStr">
        <is>
          <t>BaseHitDamage</t>
        </is>
      </c>
      <c r="L2516" s="5" t="inlineStr">
        <is>
          <t>NonCritAvg</t>
        </is>
      </c>
      <c r="M2516" s="5" t="inlineStr">
        <is>
          <t>CritAvg</t>
        </is>
      </c>
      <c r="N2516" s="5" t="inlineStr">
        <is>
          <t>ExpectedDamage(perHit)</t>
        </is>
      </c>
      <c r="O2516" s="5" t="inlineStr">
        <is>
          <t>DPS</t>
        </is>
      </c>
      <c r="P2516" s="5" t="inlineStr">
        <is>
          <t>% of Total</t>
        </is>
      </c>
      <c r="Q2516" s="5" t="inlineStr">
        <is>
          <t>InvCooldown</t>
        </is>
      </c>
      <c r="R2516" s="5" t="inlineStr">
        <is>
          <t>CastsInFight</t>
        </is>
      </c>
      <c r="S2516" s="5" t="inlineStr">
        <is>
          <t>HitRate(perSec)</t>
        </is>
      </c>
      <c r="U2516" t="inlineStr">
        <is>
          <t>helpers</t>
        </is>
      </c>
    </row>
    <row r="2517">
      <c r="A2517">
        <f>Skills!A2</f>
        <v/>
      </c>
      <c r="B2517">
        <f>Skills!B2</f>
        <v/>
      </c>
      <c r="C2517">
        <f>Inputs!$B$3&gt;=100</f>
        <v/>
      </c>
      <c r="D2517" t="inlineStr"/>
      <c r="E2517" t="inlineStr"/>
      <c r="F2517">
        <f>U2519+Skills!O2</f>
        <v/>
      </c>
      <c r="G2517">
        <f>Skills!G2*IF(Skills!H2&gt;0,Skills!I2/Skills!H2,1)</f>
        <v/>
      </c>
      <c r="H2517">
        <f>1-(1-Skills!J2/100)^Skills!K2</f>
        <v/>
      </c>
      <c r="I2517" t="inlineStr">
        <is>
          <t>1</t>
        </is>
      </c>
      <c r="J2517">
        <f>((Inputs!$B$6*(1+Inputs!$B$7/100))+(((Inputs!$B$12*(1+Inputs!$B$13/100))-(Inputs!$B$12*(1+Inputs!$B$13/100)))+0.25*(Inputs!$B$14-Inputs!$B$14))*(1+Inputs!$B$7/100))*(F2517/100)</f>
        <v/>
      </c>
      <c r="K2517">
        <f>J2517*(1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2517)</f>
        <v/>
      </c>
      <c r="L2517">
        <f>K2517*(MIN(Inputs!$B$22+((C2540=TRUE)*(F2540-Calc!F25)),(Inputs!$B$23+((C2545=TRUE)*(F2545-Calc!F30))+(IF(ArtifactsInput!$M$15,CHOOSE(ArtifactsInput!$N$15+1,25,30,35,40,45,50)/100*(Inputs!$B$11-Inputs!$B$11),0))))/100+(Inputs!$B$23+((C2545=TRUE)*(F2545-Calc!F30))+(IF(ArtifactsInput!$M$15,CHOOSE(ArtifactsInput!$N$15+1,25,30,35,40,45,50)/100*(Inputs!$B$11-Inputs!$B$11),0)))/100)/2</f>
        <v/>
      </c>
      <c r="M2517">
        <f>L2517*(1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7">
        <f>L2517*(1-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2517*(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7">
        <f>(1-Summary!$B$11)*T2517+Summary!$B$11*V2517</f>
        <v/>
      </c>
      <c r="P2517">
        <f>IF(B2559=0,0,O2517/B2559)</f>
        <v/>
      </c>
      <c r="Q2517" t="n">
        <v>0</v>
      </c>
      <c r="R2517" t="n">
        <v>0</v>
      </c>
      <c r="S2517">
        <f>IFERROR(O2517/N2517,0)</f>
        <v/>
      </c>
      <c r="T2517">
        <f>IF(C2517,(Skills!G2*N2517*B2553)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2517*(1-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2517*(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2517*(1-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2517*(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7">
        <f>MAX(0,(Inputs!$B$3-100)*3)+Inputs!$B$28+Inputs!$B$29</f>
        <v/>
      </c>
      <c r="V2517">
        <f>IF(C2517,(Skills!G2*N2517*B2553)*IF(Inputs!$B$38="pvp",1,(1+(Inputs!$B$21+Skills!Q2+(IF(IF(ArtifactsInput!$M$33,FALSE,TRUE),CHOOSE(ArtifactsInput!$N$33+1,30,36,42,48,54,60),0))+(IF(AND(ArtifactsInput!$M$35,Inputs!$B$4&lt;&gt;"Chapter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8">
      <c r="A2518">
        <f>Skills!A3</f>
        <v/>
      </c>
      <c r="B2518">
        <f>Skills!B3</f>
        <v/>
      </c>
      <c r="C2518">
        <f>Inputs!$B$3&gt;=50</f>
        <v/>
      </c>
      <c r="D2518">
        <f>IF(Skills!C3=1,60+Inputs!$B$25+Inputs!$B$29,IF(Skills!C3=2,90+Inputs!$B$26+Inputs!$B$29,IF(Skills!C3=3,120+Inputs!$B$27+Inputs!$B$29,MAX(0,(Inputs!$B$3-100)*3)+Inputs!$B$28+Inputs!$B$29)))</f>
        <v/>
      </c>
      <c r="E2518">
        <f>INDEX(FactorTable!$B$2:$Y$301, MATCH(ROUND(MIN(300,MAX(1,D2518)),0), FactorTable!$A$2:$A$301,0), Skills!M3+1)</f>
        <v/>
      </c>
      <c r="F2518">
        <f>IF(Skills!N3=TRUE,(Skills!L3/10)*(E2518/1000),Skills!L3/10)+Skills!O3</f>
        <v/>
      </c>
      <c r="G2518">
        <f>Skills!G3*IF(Skills!H3&gt;0,Skills!I3/Skills!H3,1)</f>
        <v/>
      </c>
      <c r="H2518">
        <f>1-(1-Skills!J3/100)^Skills!K3</f>
        <v/>
      </c>
      <c r="I2518" t="inlineStr">
        <is>
          <t>1</t>
        </is>
      </c>
      <c r="J2518">
        <f>((Inputs!$B$6*(1+Inputs!$B$7/100))+(((Inputs!$B$12*(1+Inputs!$B$13/100))-(Inputs!$B$12*(1+Inputs!$B$13/100)))+0.25*(Inputs!$B$14-Inputs!$B$14))*(1+Inputs!$B$7/100))*(F2518/100)</f>
        <v/>
      </c>
      <c r="K2518">
        <f>J2518*(1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2519=TRUE,F2519,0)/100)*(1+(IF(Skills!A3="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2518)</f>
        <v/>
      </c>
      <c r="L2518">
        <f>K2518*(MIN(Inputs!$B$22+((C2540=TRUE)*(F2540-Calc!F25)),(Inputs!$B$23+((C2545=TRUE)*(F2545-Calc!F30))+(IF(ArtifactsInput!$M$15,CHOOSE(ArtifactsInput!$N$15+1,25,30,35,40,45,50)/100*(Inputs!$B$11-Inputs!$B$11),0))))/100+(Inputs!$B$23+((C2545=TRUE)*(F2545-Calc!F30))+(IF(ArtifactsInput!$M$15,CHOOSE(ArtifactsInput!$N$15+1,25,30,35,40,45,50)/100*(Inputs!$B$11-Inputs!$B$11),0)))/100)/2</f>
        <v/>
      </c>
      <c r="M2518">
        <f>L2518*(1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8">
        <f>L2518*(1-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2518*(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8">
        <f>(1-Summary!$B$11)*T2518+Summary!$B$11*V2518</f>
        <v/>
      </c>
      <c r="P2518">
        <f>IF(B2559=0,0,O2518/B2559)</f>
        <v/>
      </c>
      <c r="Q2518">
        <f>IFERROR(1/(IF(Inputs!$B$38="pvp",15,MAX(0.1,Skills!D3-IF(Skills!E3=TRUE,Inputs!$B$32,0)))*(1-IF(AND(ArtifactsInput!$M$27,Inputs!$B$4="Chapter Hunt"),CHOOSE(ArtifactsInput!$N$27+1,20,24,28,32,36,40),0)/100)),0)</f>
        <v/>
      </c>
      <c r="R2518">
        <f>IF(AND(Inputs!$B$38&lt;&gt;"pvp",Inputs!$B$43&gt;0),IF(MAX(0,Inputs!$B$43-B2556)&lt;=0,0,(INT(MAX(0,Inputs!$B$43-B2556)/(IF(Inputs!$B$38="pvp",15,MAX(0.1,Skills!D3-IF(Skills!E3=TRUE,Inputs!$B$32,0)))*(1-IF(AND(ArtifactsInput!$M$27,Inputs!$B$4="Chapter Hunt"),CHOOSE(ArtifactsInput!$N$27+1,20,24,28,32,36,40),0)/100)))+1)),0)</f>
        <v/>
      </c>
      <c r="S2518">
        <f>IFERROR(O2518/N2518,0)</f>
        <v/>
      </c>
      <c r="T2518">
        <f>IF(C2518,(H2518*N2518*IF(AND(Inputs!$B$38&lt;&gt;"pvp",Inputs!$B$43&gt;0),((Skills!G3*((R2518-1)*IF(Skills!H3&gt;0,Skills!I3/Skills!H3,1)+IF(Skills!H3&gt;0,MIN(Skills!I3,MAX(0,MAX(0,Inputs!$B$43-B2556)-((R2518-1)*(IF(Inputs!$B$38="pvp",15,MAX(0.1,Skills!D3-IF(Skills!E3=TRUE,Inputs!$B$32,0)))*(1-IF(AND(ArtifactsInput!$M$27,Inputs!$B$4="Chapter Hunt"),CHOOSE(ArtifactsInput!$N$27+1,20,24,28,32,36,40),0)/100)))))/Skills!H3,1)))/Inputs!$B$43),G2518*Q2518)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2518*(1-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2518*(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2518*(1-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2518*(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8">
        <f>INDEX(FactorTable!$B$2:$Y$301, MATCH(ROUND(MIN(300,MAX(1,U2517)),0), FactorTable!$A$2:$A$301,0), 22)</f>
        <v/>
      </c>
      <c r="V2518">
        <f>IF(C2518,(H2518*N2518*IF(AND(Inputs!$B$38&lt;&gt;"pvp",Inputs!$B$43&gt;0),((Skills!G3*((R2518-1)*IF(Skills!H3&gt;0,Skills!I3/Skills!H3,1)+IF(Skills!H3&gt;0,MIN(Skills!I3,MAX(0,MAX(0,Inputs!$B$43-B2556)-((R2518-1)*(IF(Inputs!$B$38="pvp",15,MAX(0.1,Skills!D3-IF(Skills!E3=TRUE,Inputs!$B$32,0)))*(1-IF(AND(ArtifactsInput!$M$27,Inputs!$B$4="Chapter Hunt"),CHOOSE(ArtifactsInput!$N$27+1,20,24,28,32,36,40),0)/100)))))/Skills!H3,1)))/Inputs!$B$43),G2518*Q2518))*IF(Inputs!$B$38="pvp",1,(1+(Inputs!$B$21+Skills!Q3+(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9">
      <c r="A2519">
        <f>Skills!A4</f>
        <v/>
      </c>
      <c r="B2519">
        <f>Skills!B4</f>
        <v/>
      </c>
      <c r="C2519">
        <f>Inputs!$B$3&gt;=105</f>
        <v/>
      </c>
      <c r="D2519">
        <f>IF(Skills!C4=1,60+Inputs!$B$25+Inputs!$B$29,IF(Skills!C4=2,90+Inputs!$B$26+Inputs!$B$29,IF(Skills!C4=3,120+Inputs!$B$27+Inputs!$B$29,MAX(0,(Inputs!$B$3-100)*3)+Inputs!$B$28+Inputs!$B$29)))</f>
        <v/>
      </c>
      <c r="E2519">
        <f>INDEX(FactorTable!$B$2:$Y$301, MATCH(ROUND(MIN(300,MAX(1,D2519)),0), FactorTable!$A$2:$A$301,0), Skills!M4+1)</f>
        <v/>
      </c>
      <c r="F2519">
        <f>IF(Skills!N4=TRUE,(Skills!L4/10)*(E2519/1000),Skills!L4/10)+Skills!O4</f>
        <v/>
      </c>
      <c r="G2519" t="inlineStr"/>
      <c r="H2519" t="inlineStr"/>
      <c r="I2519" t="inlineStr">
        <is>
          <t>1</t>
        </is>
      </c>
      <c r="J2519" t="inlineStr"/>
      <c r="K2519" t="inlineStr"/>
      <c r="L2519" t="inlineStr"/>
      <c r="M2519" t="inlineStr"/>
      <c r="N2519" t="inlineStr"/>
      <c r="O2519" t="inlineStr"/>
      <c r="P2519" t="inlineStr"/>
      <c r="Q2519" t="inlineStr"/>
      <c r="R2519" t="inlineStr"/>
      <c r="S2519" t="inlineStr"/>
      <c r="T2519" t="inlineStr"/>
      <c r="U2519">
        <f>290*U2518/1000</f>
        <v/>
      </c>
      <c r="V2519" t="inlineStr"/>
    </row>
    <row r="2520">
      <c r="A2520">
        <f>Skills!A5</f>
        <v/>
      </c>
      <c r="B2520">
        <f>Skills!B5</f>
        <v/>
      </c>
      <c r="C2520">
        <f>Inputs!$B$3&gt;=35</f>
        <v/>
      </c>
      <c r="D2520">
        <f>IF(Skills!C5=1,60+Inputs!$B$25+Inputs!$B$29,IF(Skills!C5=2,90+Inputs!$B$26+Inputs!$B$29,IF(Skills!C5=3,120+Inputs!$B$27+Inputs!$B$29,MAX(0,(Inputs!$B$3-100)*3)+Inputs!$B$28+Inputs!$B$29)))</f>
        <v/>
      </c>
      <c r="E2520">
        <f>INDEX(FactorTable!$B$2:$Y$301, MATCH(ROUND(MIN(300,MAX(1,D2520)),0), FactorTable!$A$2:$A$301,0), Skills!M5+1)</f>
        <v/>
      </c>
      <c r="F2520">
        <f>IF(Skills!N5=TRUE,(Skills!L5/10)*(E2520/1000),Skills!L5/10)+Skills!O5</f>
        <v/>
      </c>
      <c r="G2520">
        <f>Skills!G5*IF(Skills!H5&gt;0,Skills!I5/Skills!H5,1)</f>
        <v/>
      </c>
      <c r="H2520">
        <f>1-(1-Skills!J5/100)^Skills!K5</f>
        <v/>
      </c>
      <c r="I2520" t="inlineStr">
        <is>
          <t>1</t>
        </is>
      </c>
      <c r="J2520">
        <f>((Inputs!$B$6*(1+Inputs!$B$7/100))+(((Inputs!$B$12*(1+Inputs!$B$13/100))-(Inputs!$B$12*(1+Inputs!$B$13/100)))+0.25*(Inputs!$B$14-Inputs!$B$14))*(1+Inputs!$B$7/100))*(F2520/100)</f>
        <v/>
      </c>
      <c r="K2520">
        <f>J2520*(1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2526=TRUE,F2526,0)/100)*(1+(IF(Skills!A5="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2520)</f>
        <v/>
      </c>
      <c r="L2520">
        <f>K2520*(MIN(Inputs!$B$22+((C2540=TRUE)*(F2540-Calc!F25)),(Inputs!$B$23+((C2545=TRUE)*(F2545-Calc!F30))+(IF(ArtifactsInput!$M$15,CHOOSE(ArtifactsInput!$N$15+1,25,30,35,40,45,50)/100*(Inputs!$B$11-Inputs!$B$11),0))))/100+(Inputs!$B$23+((C2545=TRUE)*(F2545-Calc!F30))+(IF(ArtifactsInput!$M$15,CHOOSE(ArtifactsInput!$N$15+1,25,30,35,40,45,50)/100*(Inputs!$B$11-Inputs!$B$11),0)))/100)/2</f>
        <v/>
      </c>
      <c r="M2520">
        <f>L2520*(1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0">
        <f>L2520*(1-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2520*(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0">
        <f>(1-Summary!$B$11)*T2520+Summary!$B$11*V2520</f>
        <v/>
      </c>
      <c r="P2520">
        <f>IF(B2559=0,0,O2520/B2559)</f>
        <v/>
      </c>
      <c r="Q2520">
        <f>IFERROR(1/(IF(Inputs!$B$38="pvp",15,MAX(0.1,Skills!D5-IF(Skills!E5=TRUE,Inputs!$B$32,0)))*(1-IF(AND(ArtifactsInput!$M$27,Inputs!$B$4="Chapter Hunt"),CHOOSE(ArtifactsInput!$N$27+1,20,24,28,32,36,40),0)/100)),0)</f>
        <v/>
      </c>
      <c r="R2520">
        <f>IF(AND(Inputs!$B$38&lt;&gt;"pvp",Inputs!$B$43&gt;0),IF(MAX(0,Inputs!$B$43-B2556)&lt;=0,0,(INT(MAX(0,Inputs!$B$43-B2556)/(IF(Inputs!$B$38="pvp",15,MAX(0.1,Skills!D5-IF(Skills!E5=TRUE,Inputs!$B$32,0)))*(1-IF(AND(ArtifactsInput!$M$27,Inputs!$B$4="Chapter Hunt"),CHOOSE(ArtifactsInput!$N$27+1,20,24,28,32,36,40),0)/100)))+1)),0)</f>
        <v/>
      </c>
      <c r="S2520">
        <f>IFERROR(O2520/N2520,0)</f>
        <v/>
      </c>
      <c r="T2520">
        <f>IF(C2520,(H2520*N2520*IF(AND(Inputs!$B$38&lt;&gt;"pvp",Inputs!$B$43&gt;0),((Skills!G5*((R2520-1)*IF(Skills!H5&gt;0,Skills!I5/Skills!H5,1)+IF(Skills!H5&gt;0,MIN(Skills!I5,MAX(0,MAX(0,Inputs!$B$43-B2556)-((R2520-1)*(IF(Inputs!$B$38="pvp",15,MAX(0.1,Skills!D5-IF(Skills!E5=TRUE,Inputs!$B$32,0)))*(1-IF(AND(ArtifactsInput!$M$27,Inputs!$B$4="Chapter Hunt"),CHOOSE(ArtifactsInput!$N$27+1,20,24,28,32,36,40),0)/100)))))/Skills!H5,1)))/Inputs!$B$43),G2520*Q2520)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2520*(1-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2520*(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2520*(1-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2520*(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0">
        <f>IF(C2520,(H2520*N2520*IF(AND(Inputs!$B$38&lt;&gt;"pvp",Inputs!$B$43&gt;0),((Skills!G5*((R2520-1)*IF(Skills!H5&gt;0,Skills!I5/Skills!H5,1)+IF(Skills!H5&gt;0,MIN(Skills!I5,MAX(0,MAX(0,Inputs!$B$43-B2556)-((R2520-1)*(IF(Inputs!$B$38="pvp",15,MAX(0.1,Skills!D5-IF(Skills!E5=TRUE,Inputs!$B$32,0)))*(1-IF(AND(ArtifactsInput!$M$27,Inputs!$B$4="Chapter Hunt"),CHOOSE(ArtifactsInput!$N$27+1,20,24,28,32,36,40),0)/100)))))/Skills!H5,1)))/Inputs!$B$43),G2520*Q2520))*IF(Inputs!$B$38="pvp",1,(1+(Inputs!$B$21+Skills!Q5+(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1">
      <c r="A2521">
        <f>Skills!A6</f>
        <v/>
      </c>
      <c r="B2521">
        <f>Skills!B6</f>
        <v/>
      </c>
      <c r="C2521">
        <f>Inputs!$B$3&gt;=40</f>
        <v/>
      </c>
      <c r="D2521">
        <f>IF(Skills!C6=1,60+Inputs!$B$25+Inputs!$B$29,IF(Skills!C6=2,90+Inputs!$B$26+Inputs!$B$29,IF(Skills!C6=3,120+Inputs!$B$27+Inputs!$B$29,MAX(0,(Inputs!$B$3-100)*3)+Inputs!$B$28+Inputs!$B$29)))</f>
        <v/>
      </c>
      <c r="E2521">
        <f>INDEX(FactorTable!$B$2:$Y$301, MATCH(ROUND(MIN(300,MAX(1,D2521)),0), FactorTable!$A$2:$A$301,0), Skills!M6+1)</f>
        <v/>
      </c>
      <c r="F2521">
        <f>IF(Skills!N6=TRUE,(Skills!L6/10)*(E2521/1000),Skills!L6/10)+Skills!O6</f>
        <v/>
      </c>
      <c r="G2521">
        <f>Skills!G6*IF(Skills!H6&gt;0,Skills!I6/Skills!H6,1)</f>
        <v/>
      </c>
      <c r="H2521">
        <f>1-(1-Skills!J6/100)^Skills!K6</f>
        <v/>
      </c>
      <c r="I2521" t="inlineStr">
        <is>
          <t>1</t>
        </is>
      </c>
      <c r="J2521">
        <f>((Inputs!$B$6*(1+Inputs!$B$7/100))+(((Inputs!$B$12*(1+Inputs!$B$13/100))-(Inputs!$B$12*(1+Inputs!$B$13/100)))+0.25*(Inputs!$B$14-Inputs!$B$14))*(1+Inputs!$B$7/100))*(F2521/100)</f>
        <v/>
      </c>
      <c r="K2521">
        <f>J2521*(1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2522=TRUE,F2522,0)/100)*(1+(IF(Skills!A6="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2521)</f>
        <v/>
      </c>
      <c r="L2521">
        <f>K2521*(MIN(Inputs!$B$22+((C2540=TRUE)*(F2540-Calc!F25)),(Inputs!$B$23+((C2545=TRUE)*(F2545-Calc!F30))+(IF(ArtifactsInput!$M$15,CHOOSE(ArtifactsInput!$N$15+1,25,30,35,40,45,50)/100*(Inputs!$B$11-Inputs!$B$11),0))))/100+(Inputs!$B$23+((C2545=TRUE)*(F2545-Calc!F30))+(IF(ArtifactsInput!$M$15,CHOOSE(ArtifactsInput!$N$15+1,25,30,35,40,45,50)/100*(Inputs!$B$11-Inputs!$B$11),0)))/100)/2</f>
        <v/>
      </c>
      <c r="M2521">
        <f>L2521*(1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1">
        <f>L2521*(1-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1">
        <f>(1-Summary!$B$11)*T2521+Summary!$B$11*V2521</f>
        <v/>
      </c>
      <c r="P2521">
        <f>IF(B2559=0,0,O2521/B2559)</f>
        <v/>
      </c>
      <c r="Q2521">
        <f>IFERROR(1/(IF(Inputs!$B$38="pvp",15,MAX(0.1,Skills!D6-IF(Skills!E6=TRUE,Inputs!$B$32,0)))*(1-IF(AND(ArtifactsInput!$M$27,Inputs!$B$4="Chapter Hunt"),CHOOSE(ArtifactsInput!$N$27+1,20,24,28,32,36,40),0)/100)),0)</f>
        <v/>
      </c>
      <c r="R2521">
        <f>IF(AND(Inputs!$B$38&lt;&gt;"pvp",Inputs!$B$43&gt;0),IF(MAX(0,Inputs!$B$43-B2556)&lt;=0,0,(INT(MAX(0,Inputs!$B$43-B2556)/(IF(Inputs!$B$38="pvp",15,MAX(0.1,Skills!D6-IF(Skills!E6=TRUE,Inputs!$B$32,0)))*(1-IF(AND(ArtifactsInput!$M$27,Inputs!$B$4="Chapter Hunt"),CHOOSE(ArtifactsInput!$N$27+1,20,24,28,32,36,40),0)/100)))+1)),0)</f>
        <v/>
      </c>
      <c r="S2521">
        <f>IFERROR(O2521/N2521,0)</f>
        <v/>
      </c>
      <c r="T2521">
        <f>IF(C2521,(H2521*N2521*IF(AND(Inputs!$B$38&lt;&gt;"pvp",Inputs!$B$43&gt;0),((Skills!G6*((R2521-1)*IF(Skills!H6&gt;0,Skills!I6/Skills!H6,1)+IF(Skills!H6&gt;0,MIN(Skills!I6,MAX(0,MAX(0,Inputs!$B$43-B2556)-((R2521-1)*(IF(Inputs!$B$38="pvp",15,MAX(0.1,Skills!D6-IF(Skills!E6=TRUE,Inputs!$B$32,0)))*(1-IF(AND(ArtifactsInput!$M$27,Inputs!$B$4="Chapter Hunt"),CHOOSE(ArtifactsInput!$N$27+1,20,24,28,32,36,40),0)/100)))))/Skills!H6,1)))/Inputs!$B$43),G2521*Q2521)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2521*(1-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2521*(1-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1">
        <f>IF(C2521,(H2521*N2521*IF(AND(Inputs!$B$38&lt;&gt;"pvp",Inputs!$B$43&gt;0),((Skills!G6*((R2521-1)*IF(Skills!H6&gt;0,Skills!I6/Skills!H6,1)+IF(Skills!H6&gt;0,MIN(Skills!I6,MAX(0,MAX(0,Inputs!$B$43-B2556)-((R2521-1)*(IF(Inputs!$B$38="pvp",15,MAX(0.1,Skills!D6-IF(Skills!E6=TRUE,Inputs!$B$32,0)))*(1-IF(AND(ArtifactsInput!$M$27,Inputs!$B$4="Chapter Hunt"),CHOOSE(ArtifactsInput!$N$27+1,20,24,28,32,36,40),0)/100)))))/Skills!H6,1)))/Inputs!$B$43),G2521*Q2521))*IF(Inputs!$B$38="pvp",1,(1+(Inputs!$B$21+Skills!Q6+(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2">
      <c r="A2522">
        <f>Skills!A7</f>
        <v/>
      </c>
      <c r="B2522">
        <f>Skills!B7</f>
        <v/>
      </c>
      <c r="C2522">
        <f>Inputs!$B$3&gt;=107</f>
        <v/>
      </c>
      <c r="D2522">
        <f>IF(Skills!C7=1,60+Inputs!$B$25+Inputs!$B$29,IF(Skills!C7=2,90+Inputs!$B$26+Inputs!$B$29,IF(Skills!C7=3,120+Inputs!$B$27+Inputs!$B$29,MAX(0,(Inputs!$B$3-100)*3)+Inputs!$B$28+Inputs!$B$29)))</f>
        <v/>
      </c>
      <c r="E2522">
        <f>INDEX(FactorTable!$B$2:$Y$301, MATCH(ROUND(MIN(300,MAX(1,D2522)),0), FactorTable!$A$2:$A$301,0), Skills!M7+1)</f>
        <v/>
      </c>
      <c r="F2522">
        <f>IF(Skills!N7=TRUE,(Skills!L7/10)*(E2522/1000),Skills!L7/10)+Skills!O7</f>
        <v/>
      </c>
      <c r="G2522" t="inlineStr"/>
      <c r="H2522" t="inlineStr"/>
      <c r="I2522" t="inlineStr">
        <is>
          <t>1</t>
        </is>
      </c>
      <c r="J2522" t="inlineStr"/>
      <c r="K2522" t="inlineStr"/>
      <c r="L2522" t="inlineStr"/>
      <c r="M2522" t="inlineStr"/>
      <c r="N2522" t="inlineStr"/>
      <c r="O2522" t="inlineStr"/>
      <c r="P2522" t="inlineStr"/>
      <c r="Q2522" t="inlineStr"/>
      <c r="R2522" t="inlineStr"/>
      <c r="S2522" t="inlineStr"/>
      <c r="T2522" t="inlineStr"/>
      <c r="V2522" t="inlineStr"/>
    </row>
    <row r="2523">
      <c r="A2523">
        <f>Skills!A8</f>
        <v/>
      </c>
      <c r="B2523">
        <f>Skills!B8</f>
        <v/>
      </c>
      <c r="C2523">
        <f>Inputs!$B$3&gt;=69</f>
        <v/>
      </c>
      <c r="D2523">
        <f>IF(Skills!C8=1,60+Inputs!$B$25+Inputs!$B$29,IF(Skills!C8=2,90+Inputs!$B$26+Inputs!$B$29,IF(Skills!C8=3,120+Inputs!$B$27+Inputs!$B$29,MAX(0,(Inputs!$B$3-100)*3)+Inputs!$B$28+Inputs!$B$29)))</f>
        <v/>
      </c>
      <c r="E2523">
        <f>INDEX(FactorTable!$B$2:$Y$301, MATCH(ROUND(MIN(300,MAX(1,D2523)),0), FactorTable!$A$2:$A$301,0), Skills!M8+1)</f>
        <v/>
      </c>
      <c r="F2523">
        <f>IF(Skills!N8=TRUE,(Skills!L8/10)*(E2523/1000),Skills!L8/10)+Skills!O8</f>
        <v/>
      </c>
      <c r="G2523">
        <f>Skills!G8*IF(Skills!H8&gt;0,Skills!I8/Skills!H8,1)</f>
        <v/>
      </c>
      <c r="H2523">
        <f>1-(1-Skills!J8/100)^Skills!K8</f>
        <v/>
      </c>
      <c r="I2523" t="inlineStr">
        <is>
          <t>1</t>
        </is>
      </c>
      <c r="J2523">
        <f>((Inputs!$B$6*(1+Inputs!$B$7/100))+(((Inputs!$B$12*(1+Inputs!$B$13/100))-(Inputs!$B$12*(1+Inputs!$B$13/100)))+0.25*(Inputs!$B$14-Inputs!$B$14))*(1+Inputs!$B$7/100))*(F2523/100)</f>
        <v/>
      </c>
      <c r="K2523">
        <f>J2523*(1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2526=TRUE,F2526,0)/100)*(1+(IF(Skills!A8="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2523)</f>
        <v/>
      </c>
      <c r="L2523">
        <f>K2523*(MIN(Inputs!$B$22+((C2540=TRUE)*(F2540-Calc!F25)),(Inputs!$B$23+((C2545=TRUE)*(F2545-Calc!F30))+(IF(ArtifactsInput!$M$15,CHOOSE(ArtifactsInput!$N$15+1,25,30,35,40,45,50)/100*(Inputs!$B$11-Inputs!$B$11),0))))/100+(Inputs!$B$23+((C2545=TRUE)*(F2545-Calc!F30))+(IF(ArtifactsInput!$M$15,CHOOSE(ArtifactsInput!$N$15+1,25,30,35,40,45,50)/100*(Inputs!$B$11-Inputs!$B$11),0)))/100)/2</f>
        <v/>
      </c>
      <c r="M2523">
        <f>L2523*(1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3">
        <f>L2523*(1-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2523*(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3">
        <f>(1-Summary!$B$11)*T2523+Summary!$B$11*V2523</f>
        <v/>
      </c>
      <c r="P2523">
        <f>IF(B2559=0,0,O2523/B2559)</f>
        <v/>
      </c>
      <c r="Q2523">
        <f>IFERROR(1/(IF(Inputs!$B$38="pvp",15,MAX(0.1,Skills!D8-IF(Skills!E8=TRUE,Inputs!$B$32,0)))*(1-IF(AND(ArtifactsInput!$M$27,Inputs!$B$4="Chapter Hunt"),CHOOSE(ArtifactsInput!$N$27+1,20,24,28,32,36,40),0)/100)),0)</f>
        <v/>
      </c>
      <c r="R2523">
        <f>IF(AND(Inputs!$B$38&lt;&gt;"pvp",Inputs!$B$43&gt;0),IF(MAX(0,Inputs!$B$43-B2556)&lt;=0,0,(INT(MAX(0,Inputs!$B$43-B2556)/(IF(Inputs!$B$38="pvp",15,MAX(0.1,Skills!D8-IF(Skills!E8=TRUE,Inputs!$B$32,0)))*(1-IF(AND(ArtifactsInput!$M$27,Inputs!$B$4="Chapter Hunt"),CHOOSE(ArtifactsInput!$N$27+1,20,24,28,32,36,40),0)/100)))+1)),0)</f>
        <v/>
      </c>
      <c r="S2523">
        <f>IFERROR(O2523/N2523,0)</f>
        <v/>
      </c>
      <c r="T2523">
        <f>IF(C2523,(H2523*N2523*IF(AND(Inputs!$B$38&lt;&gt;"pvp",Inputs!$B$43&gt;0),((Skills!G8*((R2523-1)*IF(Skills!H8&gt;0,Skills!I8/Skills!H8,1)+IF(Skills!H8&gt;0,MIN(Skills!I8,MAX(0,MAX(0,Inputs!$B$43-B2556)-((R2523-1)*(IF(Inputs!$B$38="pvp",15,MAX(0.1,Skills!D8-IF(Skills!E8=TRUE,Inputs!$B$32,0)))*(1-IF(AND(ArtifactsInput!$M$27,Inputs!$B$4="Chapter Hunt"),CHOOSE(ArtifactsInput!$N$27+1,20,24,28,32,36,40),0)/100)))))/Skills!H8,1)))/Inputs!$B$43),G2523*Q2523)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2523*(1-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2523*(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2523*(1-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2523*(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3">
        <f>IF(C2523,(H2523*N2523*IF(AND(Inputs!$B$38&lt;&gt;"pvp",Inputs!$B$43&gt;0),((Skills!G8*((R2523-1)*IF(Skills!H8&gt;0,Skills!I8/Skills!H8,1)+IF(Skills!H8&gt;0,MIN(Skills!I8,MAX(0,MAX(0,Inputs!$B$43-B2556)-((R2523-1)*(IF(Inputs!$B$38="pvp",15,MAX(0.1,Skills!D8-IF(Skills!E8=TRUE,Inputs!$B$32,0)))*(1-IF(AND(ArtifactsInput!$M$27,Inputs!$B$4="Chapter Hunt"),CHOOSE(ArtifactsInput!$N$27+1,20,24,28,32,36,40),0)/100)))))/Skills!H8,1)))/Inputs!$B$43),G2523*Q2523))*IF(Inputs!$B$38="pvp",1,(1+(Inputs!$B$21+Skills!Q8+(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4">
      <c r="A2524">
        <f>Skills!A9</f>
        <v/>
      </c>
      <c r="B2524">
        <f>Skills!B9</f>
        <v/>
      </c>
      <c r="C2524">
        <f>Inputs!$B$3&gt;=63</f>
        <v/>
      </c>
      <c r="D2524">
        <f>IF(Skills!C9=1,60+Inputs!$B$25+Inputs!$B$29,IF(Skills!C9=2,90+Inputs!$B$26+Inputs!$B$29,IF(Skills!C9=3,120+Inputs!$B$27+Inputs!$B$29,MAX(0,(Inputs!$B$3-100)*3)+Inputs!$B$28+Inputs!$B$29)))</f>
        <v/>
      </c>
      <c r="E2524">
        <f>INDEX(FactorTable!$B$2:$Y$301, MATCH(ROUND(MIN(300,MAX(1,D2524)),0), FactorTable!$A$2:$A$301,0), Skills!M9+1)</f>
        <v/>
      </c>
      <c r="F2524">
        <f>IF(Skills!N9=TRUE,(Skills!L9/10)*(E2524/1000),Skills!L9/10)+Skills!O9</f>
        <v/>
      </c>
      <c r="G2524">
        <f>Skills!G9*IF(Skills!H9&gt;0,Skills!I9/Skills!H9,1)</f>
        <v/>
      </c>
      <c r="H2524">
        <f>1-(1-Skills!J9/100)^Skills!K9</f>
        <v/>
      </c>
      <c r="I2524" t="inlineStr">
        <is>
          <t>1</t>
        </is>
      </c>
      <c r="J2524">
        <f>((Inputs!$B$6*(1+Inputs!$B$7/100))+(((Inputs!$B$12*(1+Inputs!$B$13/100))-(Inputs!$B$12*(1+Inputs!$B$13/100)))+0.25*(Inputs!$B$14-Inputs!$B$14))*(1+Inputs!$B$7/100))*(F2524/100)</f>
        <v/>
      </c>
      <c r="K2524">
        <f>J2524*(1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2526=TRUE,F2526,0)/100)*(1+(IF(Skills!A9="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2524)</f>
        <v/>
      </c>
      <c r="L2524">
        <f>K2524*(MIN(Inputs!$B$22+((C2540=TRUE)*(F2540-Calc!F25)),(Inputs!$B$23+((C2545=TRUE)*(F2545-Calc!F30))+(IF(ArtifactsInput!$M$15,CHOOSE(ArtifactsInput!$N$15+1,25,30,35,40,45,50)/100*(Inputs!$B$11-Inputs!$B$11),0))))/100+(Inputs!$B$23+((C2545=TRUE)*(F2545-Calc!F30))+(IF(ArtifactsInput!$M$15,CHOOSE(ArtifactsInput!$N$15+1,25,30,35,40,45,50)/100*(Inputs!$B$11-Inputs!$B$11),0)))/100)/2</f>
        <v/>
      </c>
      <c r="M2524">
        <f>L2524*(1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4">
        <f>L2524*(1-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2524*(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4">
        <f>(1-Summary!$B$11)*T2524+Summary!$B$11*V2524</f>
        <v/>
      </c>
      <c r="P2524">
        <f>IF(B2559=0,0,O2524/B2559)</f>
        <v/>
      </c>
      <c r="Q2524">
        <f>IFERROR(1/(IF(Inputs!$B$38="pvp",15,MAX(0.1,Skills!D9-IF(Skills!E9=TRUE,Inputs!$B$32,0)))*(1-IF(AND(ArtifactsInput!$M$27,Inputs!$B$4="Chapter Hunt"),CHOOSE(ArtifactsInput!$N$27+1,20,24,28,32,36,40),0)/100)),0)</f>
        <v/>
      </c>
      <c r="R2524">
        <f>IF(AND(Inputs!$B$38&lt;&gt;"pvp",Inputs!$B$43&gt;0),IF(MAX(0,Inputs!$B$43-B2556)&lt;=0,0,(INT(MAX(0,Inputs!$B$43-B2556)/(IF(Inputs!$B$38="pvp",15,MAX(0.1,Skills!D9-IF(Skills!E9=TRUE,Inputs!$B$32,0)))*(1-IF(AND(ArtifactsInput!$M$27,Inputs!$B$4="Chapter Hunt"),CHOOSE(ArtifactsInput!$N$27+1,20,24,28,32,36,40),0)/100)))+1)),0)</f>
        <v/>
      </c>
      <c r="S2524">
        <f>IFERROR(O2524/N2524,0)</f>
        <v/>
      </c>
      <c r="T2524">
        <f>IF(C2524,(H2524*N2524*IF(AND(Inputs!$B$38&lt;&gt;"pvp",Inputs!$B$43&gt;0),((Skills!G9*((R2524-1)*IF(Skills!H9&gt;0,Skills!I9/Skills!H9,1)+IF(Skills!H9&gt;0,MIN(Skills!I9,MAX(0,MAX(0,Inputs!$B$43-B2556)-((R2524-1)*(IF(Inputs!$B$38="pvp",15,MAX(0.1,Skills!D9-IF(Skills!E9=TRUE,Inputs!$B$32,0)))*(1-IF(AND(ArtifactsInput!$M$27,Inputs!$B$4="Chapter Hunt"),CHOOSE(ArtifactsInput!$N$27+1,20,24,28,32,36,40),0)/100)))))/Skills!H9,1)))/Inputs!$B$43),G2524*Q2524)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2524*(1-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2524*(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2524*(1-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2524*(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4">
        <f>IF(C2524,(H2524*N2524*IF(AND(Inputs!$B$38&lt;&gt;"pvp",Inputs!$B$43&gt;0),((Skills!G9*((R2524-1)*IF(Skills!H9&gt;0,Skills!I9/Skills!H9,1)+IF(Skills!H9&gt;0,MIN(Skills!I9,MAX(0,MAX(0,Inputs!$B$43-B2556)-((R2524-1)*(IF(Inputs!$B$38="pvp",15,MAX(0.1,Skills!D9-IF(Skills!E9=TRUE,Inputs!$B$32,0)))*(1-IF(AND(ArtifactsInput!$M$27,Inputs!$B$4="Chapter Hunt"),CHOOSE(ArtifactsInput!$N$27+1,20,24,28,32,36,40),0)/100)))))/Skills!H9,1)))/Inputs!$B$43),G2524*Q2524))*IF(Inputs!$B$38="pvp",1,(1+(Inputs!$B$21+Skills!Q9+(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5">
      <c r="A2525">
        <f>Skills!A10</f>
        <v/>
      </c>
      <c r="B2525">
        <f>Skills!B10</f>
        <v/>
      </c>
      <c r="C2525">
        <f>Inputs!$B$3&gt;=103</f>
        <v/>
      </c>
      <c r="D2525">
        <f>IF(Skills!C10=1,60+Inputs!$B$25+Inputs!$B$29,IF(Skills!C10=2,90+Inputs!$B$26+Inputs!$B$29,IF(Skills!C10=3,120+Inputs!$B$27+Inputs!$B$29,MAX(0,(Inputs!$B$3-100)*3)+Inputs!$B$28+Inputs!$B$29)))</f>
        <v/>
      </c>
      <c r="E2525">
        <f>INDEX(FactorTable!$B$2:$Y$301, MATCH(ROUND(MIN(300,MAX(1,D2525)),0), FactorTable!$A$2:$A$301,0), Skills!M10+1)</f>
        <v/>
      </c>
      <c r="F2525">
        <f>IF(Skills!N10=TRUE,(Skills!L10/10)*(E2525/1000),Skills!L10/10)+Skills!O10</f>
        <v/>
      </c>
      <c r="G2525">
        <f>Skills!G10*IF(Skills!H10&gt;0,Skills!I10/Skills!H10,1)</f>
        <v/>
      </c>
      <c r="H2525">
        <f>1-(1-Skills!J10/100)^Skills!K10</f>
        <v/>
      </c>
      <c r="I2525" t="inlineStr">
        <is>
          <t>1</t>
        </is>
      </c>
      <c r="J2525">
        <f>((Inputs!$B$6*(1+Inputs!$B$7/100))+(((Inputs!$B$12*(1+Inputs!$B$13/100))-(Inputs!$B$12*(1+Inputs!$B$13/100)))+0.25*(Inputs!$B$14-Inputs!$B$14))*(1+Inputs!$B$7/100))*(F2525/100)</f>
        <v/>
      </c>
      <c r="K2525">
        <f>J2525*(1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2525)</f>
        <v/>
      </c>
      <c r="L2525">
        <f>K2525*(MIN(Inputs!$B$22+((C2540=TRUE)*(F2540-Calc!F25)),(Inputs!$B$23+((C2545=TRUE)*(F2545-Calc!F30))+(IF(ArtifactsInput!$M$15,CHOOSE(ArtifactsInput!$N$15+1,25,30,35,40,45,50)/100*(Inputs!$B$11-Inputs!$B$11),0))))/100+(Inputs!$B$23+((C2545=TRUE)*(F2545-Calc!F30))+(IF(ArtifactsInput!$M$15,CHOOSE(ArtifactsInput!$N$15+1,25,30,35,40,45,50)/100*(Inputs!$B$11-Inputs!$B$11),0)))/100)/2</f>
        <v/>
      </c>
      <c r="M2525">
        <f>L2525*(1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5">
        <f>L2525*(1-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2525*(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5">
        <f>(1-Summary!$B$11)*T2525+Summary!$B$11*V2525</f>
        <v/>
      </c>
      <c r="P2525">
        <f>IF(B2559=0,0,O2525/B2559)</f>
        <v/>
      </c>
      <c r="Q2525">
        <f>IFERROR(1/(IF(Inputs!$B$38="pvp",15,MAX(0.1,Skills!D10-IF(Skills!E10=TRUE,Inputs!$B$32,0)))*(1-IF(AND(ArtifactsInput!$M$27,Inputs!$B$4="Chapter Hunt"),CHOOSE(ArtifactsInput!$N$27+1,20,24,28,32,36,40),0)/100)),0)</f>
        <v/>
      </c>
      <c r="R2525">
        <f>IF(AND(Inputs!$B$38&lt;&gt;"pvp",Inputs!$B$43&gt;0),IF(MAX(0,Inputs!$B$43-B2556)&lt;=0,0,(INT(MAX(0,Inputs!$B$43-B2556)/(IF(Inputs!$B$38="pvp",15,MAX(0.1,Skills!D10-IF(Skills!E10=TRUE,Inputs!$B$32,0)))*(1-IF(AND(ArtifactsInput!$M$27,Inputs!$B$4="Chapter Hunt"),CHOOSE(ArtifactsInput!$N$27+1,20,24,28,32,36,40),0)/100)))+1)),0)</f>
        <v/>
      </c>
      <c r="S2525">
        <f>IFERROR(O2525/N2525,0)</f>
        <v/>
      </c>
      <c r="T2525">
        <f>IF(C2525,(H2525*N2525*IF(AND(Inputs!$B$38&lt;&gt;"pvp",Inputs!$B$43&gt;0),((Skills!G10*((R2525-1)*IF(Skills!H10&gt;0,Skills!I10/Skills!H10,1)+IF(Skills!H10&gt;0,MIN(Skills!I10,MAX(0,MAX(0,Inputs!$B$43-B2556)-((R2525-1)*(IF(Inputs!$B$38="pvp",15,MAX(0.1,Skills!D10-IF(Skills!E10=TRUE,Inputs!$B$32,0)))*(1-IF(AND(ArtifactsInput!$M$27,Inputs!$B$4="Chapter Hunt"),CHOOSE(ArtifactsInput!$N$27+1,20,24,28,32,36,40),0)/100)))))/Skills!H10,1)))/Inputs!$B$43),G2525*Q2525)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2525*(1-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2525*(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2525*(1-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2525*(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5">
        <f>IF(C2525,(H2525*N2525*IF(AND(Inputs!$B$38&lt;&gt;"pvp",Inputs!$B$43&gt;0),((Skills!G10*((R2525-1)*IF(Skills!H10&gt;0,Skills!I10/Skills!H10,1)+IF(Skills!H10&gt;0,MIN(Skills!I10,MAX(0,MAX(0,Inputs!$B$43-B2556)-((R2525-1)*(IF(Inputs!$B$38="pvp",15,MAX(0.1,Skills!D10-IF(Skills!E10=TRUE,Inputs!$B$32,0)))*(1-IF(AND(ArtifactsInput!$M$27,Inputs!$B$4="Chapter Hunt"),CHOOSE(ArtifactsInput!$N$27+1,20,24,28,32,36,40),0)/100)))))/Skills!H10,1)))/Inputs!$B$43),G2525*Q2525))*IF(Inputs!$B$38="pvp",1,(1+(Inputs!$B$21+Skills!Q10+(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6">
      <c r="A2526">
        <f>Skills!A11</f>
        <v/>
      </c>
      <c r="B2526">
        <f>Skills!B11</f>
        <v/>
      </c>
      <c r="C2526">
        <f>Inputs!$B$3&gt;=100</f>
        <v/>
      </c>
      <c r="D2526">
        <f>IF(Skills!C11=1,60+Inputs!$B$25+Inputs!$B$29,IF(Skills!C11=2,90+Inputs!$B$26+Inputs!$B$29,IF(Skills!C11=3,120+Inputs!$B$27+Inputs!$B$29,MAX(0,(Inputs!$B$3-100)*3)+Inputs!$B$28+Inputs!$B$29)))</f>
        <v/>
      </c>
      <c r="E2526">
        <f>INDEX(FactorTable!$B$2:$Y$301, MATCH(ROUND(MIN(300,MAX(1,D2526)),0), FactorTable!$A$2:$A$301,0), Skills!M11+1)</f>
        <v/>
      </c>
      <c r="F2526">
        <f>IF(Skills!N11=TRUE,(Skills!L11/10)*(E2526/1000),Skills!L11/10)+Skills!O11</f>
        <v/>
      </c>
      <c r="G2526" t="inlineStr"/>
      <c r="H2526" t="inlineStr"/>
      <c r="I2526" t="inlineStr">
        <is>
          <t>1</t>
        </is>
      </c>
      <c r="J2526" t="inlineStr"/>
      <c r="K2526" t="inlineStr"/>
      <c r="L2526" t="inlineStr"/>
      <c r="M2526" t="inlineStr"/>
      <c r="N2526" t="inlineStr"/>
      <c r="O2526" t="inlineStr"/>
      <c r="P2526" t="inlineStr"/>
      <c r="Q2526" t="inlineStr"/>
      <c r="R2526" t="inlineStr"/>
      <c r="S2526" t="inlineStr"/>
      <c r="T2526" t="inlineStr"/>
      <c r="V2526" t="inlineStr"/>
    </row>
    <row r="2527">
      <c r="A2527">
        <f>Skills!A12</f>
        <v/>
      </c>
      <c r="B2527">
        <f>Skills!B12</f>
        <v/>
      </c>
      <c r="C2527">
        <f>Inputs!$B$3&gt;=60</f>
        <v/>
      </c>
      <c r="D2527">
        <f>IF(Skills!C12=1,60+Inputs!$B$25+Inputs!$B$29,IF(Skills!C12=2,90+Inputs!$B$26+Inputs!$B$29,IF(Skills!C12=3,120+Inputs!$B$27+Inputs!$B$29,MAX(0,(Inputs!$B$3-100)*3)+Inputs!$B$28+Inputs!$B$29)))</f>
        <v/>
      </c>
      <c r="E2527">
        <f>INDEX(FactorTable!$B$2:$Y$301, MATCH(ROUND(MIN(300,MAX(1,D2527)),0), FactorTable!$A$2:$A$301,0), Skills!M12+1)</f>
        <v/>
      </c>
      <c r="F2527">
        <f>IF(Skills!N12=TRUE,(Skills!L12/10)*(E2527/1000),Skills!L12/10)+Skills!O12</f>
        <v/>
      </c>
      <c r="G2527">
        <f>Skills!G12*IF(Skills!H12&gt;0,Skills!I12/Skills!H12,1)</f>
        <v/>
      </c>
      <c r="H2527">
        <f>1-(1-Skills!J12/100)^Skills!K12</f>
        <v/>
      </c>
      <c r="I2527" t="inlineStr">
        <is>
          <t>1</t>
        </is>
      </c>
      <c r="J2527">
        <f>((Inputs!$B$6*(1+Inputs!$B$7/100))+(((Inputs!$B$12*(1+Inputs!$B$13/100))-(Inputs!$B$12*(1+Inputs!$B$13/100)))+0.25*(Inputs!$B$14-Inputs!$B$14))*(1+Inputs!$B$7/100))*(F2527/100)</f>
        <v/>
      </c>
      <c r="K2527">
        <f>J2527*(1+((Inputs!$B$12*(1+Inputs!$B$13/100))*0.01+Inputs!$B$14*0.0025)/100)*(1+Inputs!$B$15/100)*(1+Inputs!$B$16/100)*(5000/(6000+Inputs!$B$42*(1-(100*(1-(1-(Inputs!$B$19+((C2543=TRUE)*(F2543-Calc!F28)))/100)*(1-CHOOSE(ArtifactsInput!$N$40+1,5,6,7,8,9,10)/100)^(ArtifactsInput!$M$40-ArtifactsInput!$M$40)))/100)))*(1+(Inputs!$B$24+((C2541=TRUE)*(F2541-Calc!F26))+((C2542=TRUE)*(F2542-Calc!F27))+B2555)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2528=TRUE,F2528,0)/100)*(1+(IF(Skills!A12="ARROW_STREAM",Inputs!$B$17+((C2539=TRUE)*(F2539-Calc!F24))+(((IF(AND(ArtifactsInput!$M$42,((Inputs!$B$9+((C2536=TRUE)*(F2536-Calc!F21))+B2549+(ArtifactsInput!$M$24-ArtifactsInput!$M$24)*CHOOSE(ArtifactsInput!$N$24+1,10,12,14,16,18,20)+IF(ArtifactsInput!$M$10,CHOOSE(ArtifactsInput!$N$10+1,15,18,21,24,27,30)*(IF(Inputs!$B$38="pvp",MIN(15,15)/15,IF(AND(Inputs!$B$38&lt;&gt;"pvp",Inputs!$B$43&gt;0),MIN(15,Inputs!$B$43)/(Inputs!$B$43),0))),0)))&gt;=100),MIN(100,((Inputs!$B$9+((C2536=TRUE)*(F2536-Calc!F21))+B2549+(ArtifactsInput!$M$24-ArtifactsInput!$M$24)*CHOOSE(ArtifactsInput!$N$24+1,10,12,14,16,18,20)+IF(ArtifactsInput!$M$10,CHOOSE(ArtifactsInput!$N$10+1,15,18,21,24,27,30)*(IF(Inputs!$B$38="pvp",MIN(15,15)/15,IF(AND(Inputs!$B$38&lt;&gt;"pvp",Inputs!$B$43&gt;0),MIN(15,Inputs!$B$43)/(Inputs!$B$43),0))),0)))-100),0))*CHOOSE(ArtifactsInput!$N$42+1,0.6,0.72,0.84,0.96,1.08,1.2))),Inputs!$B$18+((C2544=TRUE)*(F2544-Calc!F29))+(IF(AND(ArtifactsInput!$M$42,((Inputs!$B$9+((C2536=TRUE)*(F2536-Calc!F21))+B2549+(ArtifactsInput!$M$24-ArtifactsInput!$M$24)*CHOOSE(ArtifactsInput!$N$24+1,10,12,14,16,18,20)+IF(ArtifactsInput!$M$10,CHOOSE(ArtifactsInput!$N$10+1,15,18,21,24,27,30)*(IF(Inputs!$B$38="pvp",MIN(15,15)/15,IF(AND(Inputs!$B$38&lt;&gt;"pvp",Inputs!$B$43&gt;0),MIN(15,Inputs!$B$43)/(Inputs!$B$43),0))),0)))&gt;=100),CHOOSE(ArtifactsInput!$N$42+1,40,48,56,64,72,80),0))))/100)*((1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2527)</f>
        <v/>
      </c>
      <c r="L2527">
        <f>K2527*(MIN(Inputs!$B$22+((C2540=TRUE)*(F2540-Calc!F25)),(Inputs!$B$23+((C2545=TRUE)*(F2545-Calc!F30))+(IF(ArtifactsInput!$M$15,CHOOSE(ArtifactsInput!$N$15+1,25,30,35,40,45,50)/100*(Inputs!$B$11-Inputs!$B$11),0))))/100+(Inputs!$B$23+((C2545=TRUE)*(F2545-Calc!F30))+(IF(ArtifactsInput!$M$15,CHOOSE(ArtifactsInput!$N$15+1,25,30,35,40,45,50)/100*(Inputs!$B$11-Inputs!$B$11),0)))/100)/2</f>
        <v/>
      </c>
      <c r="M2527">
        <f>L2527*(1+(Inputs!$B$10+0+B2554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7">
        <f>L2527*(1-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2527*(MIN((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7">
        <f>(1-Summary!$B$11)*T2527+Summary!$B$11*V2527</f>
        <v/>
      </c>
      <c r="P2527">
        <f>IF(B2559=0,0,O2527/B2559)</f>
        <v/>
      </c>
      <c r="Q2527">
        <f>IFERROR(1/(IF(Inputs!$B$38="pvp",15,MAX(0.1,Skills!D12-IF(Skills!E12=TRUE,Inputs!$B$32,0)))*(1-IF(AND(ArtifactsInput!$M$27,Inputs!$B$4="Chapter Hunt"),CHOOSE(ArtifactsInput!$N$27+1,20,24,28,32,36,40),0)/100)),0)</f>
        <v/>
      </c>
      <c r="R2527">
        <f>IF(AND(Inputs!$B$38&lt;&gt;"pvp",Inputs!$B$43&gt;0),IF(MAX(0,Inputs!$B$43-B2556)&lt;=0,0,(INT(MAX(0,Inputs!$B$43-B2556)/(IF(Inputs!$B$38="pvp",15,MAX(0.1,Skills!D12-IF(Skills!E12=TRUE,Inputs!$B$32,0)))*(1-IF(AND(ArtifactsInput!$M$27,Inputs!$B$4="Chapter Hunt"),CHOOSE(ArtifactsInput!$N$27+1,20,24,28,32,36,40),0)/100)))+1)),0)</f>
        <v/>
      </c>
      <c r="S2527">
        <f>IFERROR(O2527/N2527,0)</f>
        <v/>
      </c>
      <c r="T2527">
        <f>IF(C2527,(H2527*N2527*IF(AND(Inputs!$B$38&lt;&gt;"pvp",Inputs!$B$43&gt;0),((Skills!G12*((R2527-1)*IF(Skills!H12&gt;0,Skills!I12/Skills!H12,1)+IF(Skills!H12&gt;0,MIN(Skills!I12,MAX(0,MAX(0,Inputs!$B$43-B2556)-((R2527-1)*(IF(Inputs!$B$38="pvp",15,MAX(0.1,Skills!D12-IF(Skills!E12=TRUE,Inputs!$B$32,0)))*(1-IF(AND(ArtifactsInput!$M$27,Inputs!$B$4="Chapter Hunt"),CHOOSE(ArtifactsInput!$N$27+1,20,24,28,32,36,40),0)/100)))))/Skills!H12,1)))/Inputs!$B$43),G2527*Q2527)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(5000/(6000+Inputs!$B$42*(1-(100*(1-(1-(100*(1-(1-(Inputs!$B$19+((C2543=TRUE)*(F2543-Calc!F28)))/100)*(1-CHOOSE(ArtifactsInput!$N$40+1,5,6,7,8,9,10)/100)^(ArtifactsInput!$M$40-ArtifactsInput!$M$40)))/100)*(1-IF(ArtifactsInput!$M$40,CHOOSE(ArtifactsInput!$N$40+1,5,6,7,8,9,10),0)/100)^IF(Inputs!$B$38="pvp",1,2)))/100)))/(5000/(6000+Inputs!$B$42*(1-(100*(1-(1-(Inputs!$B$19+((C2543=TRUE)*(F2543-Calc!F28)))/100)*(1-CHOOSE(ArtifactsInput!$N$40+1,5,6,7,8,9,10)/100)^(ArtifactsInput!$M$40-ArtifactsInput!$M$40)))/100))))*((L2527*(1-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2527*(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2527*(1-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2527*(MIN(100,(Inputs!$B$9+((C2536=TRUE)*(F2536-Calc!F21))+B2549+(ArtifactsInput!$M$24-ArtifactsInput!$M$24)*CHOOSE(ArtifactsInput!$N$24+1,10,12,14,16,18,20)+(IF(AND(ArtifactsInput!$M$42,((Inputs!$B$9+((C2536=TRUE)*(F2536-Calc!F21))+B2549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7">
        <f>IF(C2527,(H2527*N2527*IF(AND(Inputs!$B$38&lt;&gt;"pvp",Inputs!$B$43&gt;0),((Skills!G12*((R2527-1)*IF(Skills!H12&gt;0,Skills!I12/Skills!H12,1)+IF(Skills!H12&gt;0,MIN(Skills!I12,MAX(0,MAX(0,Inputs!$B$43-B2556)-((R2527-1)*(IF(Inputs!$B$38="pvp",15,MAX(0.1,Skills!D12-IF(Skills!E12=TRUE,Inputs!$B$32,0)))*(1-IF(AND(ArtifactsInput!$M$27,Inputs!$B$4="Chapter Hunt"),CHOOSE(ArtifactsInput!$N$27+1,20,24,28,32,36,40),0)/100)))))/Skills!H12,1)))/Inputs!$B$43),G2527*Q2527))*IF(Inputs!$B$38="pvp",1,(1+(Inputs!$B$21+Skills!Q12+(IF(IF(ArtifactsInput!$M$33,FALSE,TRUE),CHOOSE(ArtifactsInput!$N$33+1,30,36,42,48,54,60),0))+(IF(AND(ArtifactsInput!$M$35,Inputs!$B$4&lt;&gt;"Chapter Hunt"),CHOOSE(ArtifactsInput!$N$35+1,15,18,21,24,27,30)*(1-EXP(-(0.2*B2551)*5)),0)+IF(AND(ArtifactsInput!$M$22,Inputs!$B$4&lt;&gt;"Chapter Hunt"),CHOOSE(ArtifactsInput!$N$22+1,10,12,14,16,18,20)*((0*(((0.15*B2551*5))^0/1)+1*(((0.15*B2551*5))^1/1)+2*(((0.15*B2551*5))^2/2)+3*(((0.15*B2551*5))^3/6)+4*(((0.15*B2551*5))^4/24)+5*(((0.15*B2551*5))^5/120))/((((0.15*B2551*5))^0/1)+(((0.15*B2551*5))^1/1)+(((0.15*B2551*5))^2/2)+(((0.15*B2551*5))^3/6)+(((0.15*B2551*5))^4/24)+(((0.15*B2551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8">
      <c r="A2528">
        <f>Skills!A13</f>
        <v/>
      </c>
      <c r="B2528">
        <f>Skills!B13</f>
        <v/>
      </c>
      <c r="C2528">
        <f>Inputs!$B$3&gt;=110</f>
        <v/>
      </c>
      <c r="D2528">
        <f>IF(Skills!C13=1,60+Inputs!$B$25+Inputs!$B$29,IF(Skills!C13=2,90+Inputs!$B$26+Inputs!$B$29,IF(Skills!C13=3,120+Inputs!$B$27+Inputs!$B$29,MAX(0,(Inputs!$B$3-100)*3)+Inputs!$B$28+Inputs!$B$29)))</f>
        <v/>
      </c>
      <c r="E2528">
        <f>INDEX(FactorTable!$B$2:$Y$301, MATCH(ROUND(MIN(300,MAX(1,D2528)),0), FactorTable!$A$2:$A$301,0), Skills!M13+1)</f>
        <v/>
      </c>
      <c r="F2528">
        <f>IF(Skills!N13=TRUE,(Skills!L13/10)*(E2528/1000),Skills!L13/10)+Skills!O13</f>
        <v/>
      </c>
      <c r="G2528" t="inlineStr"/>
      <c r="H2528" t="inlineStr"/>
      <c r="I2528" t="inlineStr">
        <is>
          <t>1</t>
        </is>
      </c>
      <c r="J2528" t="inlineStr"/>
      <c r="K2528" t="inlineStr"/>
      <c r="L2528" t="inlineStr"/>
      <c r="M2528" t="inlineStr"/>
      <c r="N2528" t="inlineStr"/>
      <c r="O2528" t="inlineStr"/>
      <c r="P2528" t="inlineStr"/>
      <c r="Q2528" t="inlineStr"/>
      <c r="R2528" t="inlineStr"/>
      <c r="S2528" t="inlineStr"/>
      <c r="T2528" t="inlineStr"/>
      <c r="V2528" t="inlineStr"/>
    </row>
    <row r="2529">
      <c r="A2529">
        <f>Skills!A14</f>
        <v/>
      </c>
      <c r="B2529">
        <f>Skills!B14</f>
        <v/>
      </c>
      <c r="C2529">
        <f>Inputs!$B$3&gt;=74</f>
        <v/>
      </c>
      <c r="D2529">
        <f>IF(Skills!C14=1,60+Inputs!$B$25+Inputs!$B$29,IF(Skills!C14=2,90+Inputs!$B$26+Inputs!$B$29,IF(Skills!C14=3,120+Inputs!$B$27+Inputs!$B$29,MAX(0,(Inputs!$B$3-100)*3)+Inputs!$B$28+Inputs!$B$29)))</f>
        <v/>
      </c>
      <c r="E2529">
        <f>INDEX(FactorTable!$B$2:$Y$301, MATCH(ROUND(MIN(300,MAX(1,D2529)),0), FactorTable!$A$2:$A$301,0), Skills!M14+1)</f>
        <v/>
      </c>
      <c r="F2529">
        <f>IF(Skills!N14=TRUE,(Skills!L14/10)*(E2529/1000),Skills!L14/10)+Skills!O14</f>
        <v/>
      </c>
      <c r="G2529">
        <f>Skills!G14*IF(Skills!H14&gt;0,Skills!I14/Skills!H14,1)</f>
        <v/>
      </c>
      <c r="H2529">
        <f>1-(1-Skills!J14/100)^Skills!K14</f>
        <v/>
      </c>
      <c r="I2529" t="inlineStr">
        <is>
          <t>1</t>
        </is>
      </c>
      <c r="J2529" t="inlineStr"/>
      <c r="K2529" t="inlineStr"/>
      <c r="L2529" t="inlineStr"/>
      <c r="M2529" t="inlineStr"/>
      <c r="N2529" t="inlineStr"/>
      <c r="O2529">
        <f>(1-Summary!$B$11)*T2529+Summary!$B$11*V2529</f>
        <v/>
      </c>
      <c r="P2529">
        <f>IF(B2559=0,0,O2529/B2559)</f>
        <v/>
      </c>
      <c r="Q2529" t="n">
        <v>0</v>
      </c>
      <c r="R2529" t="n">
        <v>0</v>
      </c>
      <c r="S2529">
        <f>IFERROR(O2529/N2529,0)</f>
        <v/>
      </c>
      <c r="T2529" t="n">
        <v>0</v>
      </c>
      <c r="V2529" t="n">
        <v>0</v>
      </c>
    </row>
    <row r="2530">
      <c r="A2530">
        <f>Skills!A15</f>
        <v/>
      </c>
      <c r="B2530">
        <f>Skills!B15</f>
        <v/>
      </c>
      <c r="C2530">
        <f>Inputs!$B$3&gt;=74</f>
        <v/>
      </c>
      <c r="D2530">
        <f>IF(Skills!C15=1,60+Inputs!$B$25+Inputs!$B$29,IF(Skills!C15=2,90+Inputs!$B$26+Inputs!$B$29,IF(Skills!C15=3,120+Inputs!$B$27+Inputs!$B$29,MAX(0,(Inputs!$B$3-100)*3)+Inputs!$B$28+Inputs!$B$29)))</f>
        <v/>
      </c>
      <c r="E2530">
        <f>INDEX(FactorTable!$B$2:$Y$301, MATCH(ROUND(MIN(300,MAX(1,D2530)),0), FactorTable!$A$2:$A$301,0), Skills!M15+1)</f>
        <v/>
      </c>
      <c r="F2530">
        <f>IF(Skills!N15=TRUE,(Skills!L15/10)*(E2530/1000),Skills!L15/10)+Skills!O15</f>
        <v/>
      </c>
      <c r="G2530">
        <f>Skills!G15*IF(Skills!H15&gt;0,Skills!I15/Skills!H15,1)</f>
        <v/>
      </c>
      <c r="H2530">
        <f>1-(1-Skills!J15/100)^Skills!K15</f>
        <v/>
      </c>
      <c r="I2530" t="inlineStr">
        <is>
          <t>1</t>
        </is>
      </c>
      <c r="J2530" t="inlineStr"/>
      <c r="K2530" t="inlineStr"/>
      <c r="L2530" t="inlineStr"/>
      <c r="M2530" t="inlineStr"/>
      <c r="N2530" t="inlineStr"/>
      <c r="O2530">
        <f>(1-Summary!$B$11)*T2530+Summary!$B$11*V2530</f>
        <v/>
      </c>
      <c r="P2530">
        <f>IF(B2559=0,0,O2530/B2559)</f>
        <v/>
      </c>
      <c r="Q2530" t="n">
        <v>0</v>
      </c>
      <c r="R2530" t="n">
        <v>0</v>
      </c>
      <c r="S2530">
        <f>IFERROR(O2530/N2530,0)</f>
        <v/>
      </c>
      <c r="T2530" t="n">
        <v>0</v>
      </c>
      <c r="V2530" t="n">
        <v>0</v>
      </c>
    </row>
    <row r="2531">
      <c r="A2531">
        <f>Skills!A16</f>
        <v/>
      </c>
      <c r="B2531">
        <f>Skills!B16</f>
        <v/>
      </c>
      <c r="C2531">
        <f>Inputs!$B$3&gt;=117</f>
        <v/>
      </c>
      <c r="D2531">
        <f>IF(Skills!C16=1,60+Inputs!$B$25+Inputs!$B$29,IF(Skills!C16=2,90+Inputs!$B$26+Inputs!$B$29,IF(Skills!C16=3,120+Inputs!$B$27+Inputs!$B$29,MAX(0,(Inputs!$B$3-100)*3)+Inputs!$B$28+Inputs!$B$29)))</f>
        <v/>
      </c>
      <c r="E2531">
        <f>INDEX(FactorTable!$B$2:$Y$301, MATCH(ROUND(MIN(300,MAX(1,D2531)),0), FactorTable!$A$2:$A$301,0), Skills!M16+1)</f>
        <v/>
      </c>
      <c r="F2531">
        <f>IF(Skills!N16=TRUE,(Skills!L16/10)*(E2531/1000),Skills!L16/10)+Skills!O16</f>
        <v/>
      </c>
      <c r="G2531">
        <f>Skills!G16*IF(Skills!H16&gt;0,Skills!I16/Skills!H16,1)</f>
        <v/>
      </c>
      <c r="H2531">
        <f>1-(1-Skills!J16/100)^Skills!K16</f>
        <v/>
      </c>
      <c r="I2531" t="inlineStr">
        <is>
          <t>1</t>
        </is>
      </c>
      <c r="J2531" t="inlineStr"/>
      <c r="K2531" t="inlineStr"/>
      <c r="L2531" t="inlineStr"/>
      <c r="M2531" t="inlineStr"/>
      <c r="N2531" t="inlineStr"/>
      <c r="O2531">
        <f>(1-Summary!$B$11)*T2531+Summary!$B$11*V2531</f>
        <v/>
      </c>
      <c r="P2531">
        <f>IF(B2559=0,0,O2531/B2559)</f>
        <v/>
      </c>
      <c r="Q2531">
        <f>IFERROR(1/(IF(Inputs!$B$38="pvp",15,MAX(0.1,Skills!D16-IF(Skills!E16=TRUE,Inputs!$B$32,0)))*(1-IF(AND(ArtifactsInput!$M$27,Inputs!$B$4="Chapter Hunt"),CHOOSE(ArtifactsInput!$N$27+1,20,24,28,32,36,40),0)/100)),0)</f>
        <v/>
      </c>
      <c r="R2531">
        <f>IF(AND(Inputs!$B$38&lt;&gt;"pvp",Inputs!$B$43&gt;0),IF(Inputs!$B$43&lt;=0,0,(INT(Inputs!$B$43/(IF(Inputs!$B$38="pvp",15,MAX(0.1,Skills!D16-IF(Skills!E16=TRUE,Inputs!$B$32,0)))*(1-IF(AND(ArtifactsInput!$M$27,Inputs!$B$4="Chapter Hunt"),CHOOSE(ArtifactsInput!$N$27+1,20,24,28,32,36,40),0)/100)))+1)),0)</f>
        <v/>
      </c>
      <c r="S2531">
        <f>IFERROR(O2531/N2531,0)</f>
        <v/>
      </c>
      <c r="T2531" t="n">
        <v>0</v>
      </c>
      <c r="V2531" t="n">
        <v>0</v>
      </c>
    </row>
    <row r="2532">
      <c r="A2532">
        <f>Skills!A17</f>
        <v/>
      </c>
      <c r="B2532">
        <f>Skills!B17</f>
        <v/>
      </c>
      <c r="C2532">
        <f>Inputs!$B$3&gt;=115</f>
        <v/>
      </c>
      <c r="D2532">
        <f>IF(Skills!C17=1,60+Inputs!$B$25+Inputs!$B$29,IF(Skills!C17=2,90+Inputs!$B$26+Inputs!$B$29,IF(Skills!C17=3,120+Inputs!$B$27+Inputs!$B$29,MAX(0,(Inputs!$B$3-100)*3)+Inputs!$B$28+Inputs!$B$29)))</f>
        <v/>
      </c>
      <c r="E2532">
        <f>INDEX(FactorTable!$B$2:$Y$301, MATCH(ROUND(MIN(300,MAX(1,D2532)),0), FactorTable!$A$2:$A$301,0), Skills!M17+1)</f>
        <v/>
      </c>
      <c r="F2532">
        <f>IF(Skills!N17=TRUE,(Skills!L17/10)*(E2532/1000),Skills!L17/10)+Skills!O17</f>
        <v/>
      </c>
      <c r="G2532">
        <f>Skills!G17*IF(Skills!H17&gt;0,Skills!I17/Skills!H17,1)</f>
        <v/>
      </c>
      <c r="H2532">
        <f>1-(1-Skills!J17/100)^Skills!K17</f>
        <v/>
      </c>
      <c r="I2532" t="inlineStr">
        <is>
          <t>1</t>
        </is>
      </c>
      <c r="J2532" t="inlineStr"/>
      <c r="K2532" t="inlineStr"/>
      <c r="L2532" t="inlineStr"/>
      <c r="M2532" t="inlineStr"/>
      <c r="N2532" t="inlineStr"/>
      <c r="O2532">
        <f>(1-Summary!$B$11)*T2532+Summary!$B$11*V2532</f>
        <v/>
      </c>
      <c r="P2532">
        <f>IF(B2559=0,0,O2532/B2559)</f>
        <v/>
      </c>
      <c r="Q2532">
        <f>IFERROR(1/(IF(Inputs!$B$38="pvp",15,MAX(0.1,Skills!D17-IF(Skills!E17=TRUE,Inputs!$B$32,0)))*(1-IF(AND(ArtifactsInput!$M$27,Inputs!$B$4="Chapter Hunt"),CHOOSE(ArtifactsInput!$N$27+1,20,24,28,32,36,40),0)/100)),0)</f>
        <v/>
      </c>
      <c r="R2532">
        <f>IF(AND(Inputs!$B$38&lt;&gt;"pvp",Inputs!$B$43&gt;0),IF(Inputs!$B$43&lt;=0,0,(INT(Inputs!$B$43/(IF(Inputs!$B$38="pvp",15,MAX(0.1,Skills!D17-IF(Skills!E17=TRUE,Inputs!$B$32,0)))*(1-IF(AND(ArtifactsInput!$M$27,Inputs!$B$4="Chapter Hunt"),CHOOSE(ArtifactsInput!$N$27+1,20,24,28,32,36,40),0)/100)))+1)),0)</f>
        <v/>
      </c>
      <c r="S2532">
        <f>IFERROR(O2532/N2532,0)</f>
        <v/>
      </c>
      <c r="T2532" t="n">
        <v>0</v>
      </c>
      <c r="V2532" t="n">
        <v>0</v>
      </c>
    </row>
    <row r="2533">
      <c r="A2533">
        <f>Skills!A18</f>
        <v/>
      </c>
      <c r="B2533">
        <f>Skills!B18</f>
        <v/>
      </c>
      <c r="C2533">
        <f>Inputs!$B$3&gt;=66</f>
        <v/>
      </c>
      <c r="D2533">
        <f>IF(Skills!C18=1,60+Inputs!$B$25+Inputs!$B$29,IF(Skills!C18=2,90+Inputs!$B$26+Inputs!$B$29,IF(Skills!C18=3,120+Inputs!$B$27+Inputs!$B$29,MAX(0,(Inputs!$B$3-100)*3)+Inputs!$B$28+Inputs!$B$29)))</f>
        <v/>
      </c>
      <c r="E2533">
        <f>INDEX(FactorTable!$B$2:$Y$301, MATCH(ROUND(MIN(300,MAX(1,D2533)),0), FactorTable!$A$2:$A$301,0), Skills!M18+1)</f>
        <v/>
      </c>
      <c r="F2533">
        <f>IF(Skills!N18=TRUE,(Skills!L18/10)*(E2533/1000),Skills!L18/10)+Skills!O18</f>
        <v/>
      </c>
      <c r="G2533">
        <f>Skills!G18*IF(Skills!H18&gt;0,Skills!I18/Skills!H18,1)</f>
        <v/>
      </c>
      <c r="H2533">
        <f>1-(1-Skills!J18/100)^Skills!K18</f>
        <v/>
      </c>
      <c r="I2533" t="inlineStr">
        <is>
          <t>1</t>
        </is>
      </c>
      <c r="J2533" t="inlineStr"/>
      <c r="K2533" t="inlineStr"/>
      <c r="L2533" t="inlineStr"/>
      <c r="M2533" t="inlineStr"/>
      <c r="N2533" t="inlineStr"/>
      <c r="O2533">
        <f>(1-Summary!$B$11)*T2533+Summary!$B$11*V2533</f>
        <v/>
      </c>
      <c r="P2533">
        <f>IF(B2559=0,0,O2533/B2559)</f>
        <v/>
      </c>
      <c r="Q2533" t="n">
        <v>0</v>
      </c>
      <c r="R2533" t="n">
        <v>0</v>
      </c>
      <c r="S2533">
        <f>IFERROR(O2533/N2533,0)</f>
        <v/>
      </c>
      <c r="T2533" t="n">
        <v>0</v>
      </c>
      <c r="V2533" t="n">
        <v>0</v>
      </c>
    </row>
    <row r="2534">
      <c r="A2534">
        <f>Skills!A19</f>
        <v/>
      </c>
      <c r="B2534">
        <f>Skills!B19</f>
        <v/>
      </c>
      <c r="C2534">
        <f>Inputs!$B$3&gt;=72</f>
        <v/>
      </c>
      <c r="D2534">
        <f>IF(Skills!C19=1,60+Inputs!$B$25+Inputs!$B$29,IF(Skills!C19=2,90+Inputs!$B$26+Inputs!$B$29,IF(Skills!C19=3,120+Inputs!$B$27+Inputs!$B$29,MAX(0,(Inputs!$B$3-100)*3)+Inputs!$B$28+Inputs!$B$29)))</f>
        <v/>
      </c>
      <c r="E2534">
        <f>INDEX(FactorTable!$B$2:$Y$301, MATCH(ROUND(MIN(300,MAX(1,D2534)),0), FactorTable!$A$2:$A$301,0), Skills!M19+1)</f>
        <v/>
      </c>
      <c r="F2534">
        <f>IF(Skills!N19=TRUE,(Skills!L19/10)*(E2534/1000),Skills!L19/10)+Skills!O19</f>
        <v/>
      </c>
      <c r="G2534">
        <f>Skills!G19*IF(Skills!H19&gt;0,Skills!I19/Skills!H19,1)</f>
        <v/>
      </c>
      <c r="H2534">
        <f>1-(1-Skills!J19/100)^Skills!K19</f>
        <v/>
      </c>
      <c r="I2534" t="inlineStr">
        <is>
          <t>1</t>
        </is>
      </c>
      <c r="J2534" t="inlineStr"/>
      <c r="K2534" t="inlineStr"/>
      <c r="L2534" t="inlineStr"/>
      <c r="M2534" t="inlineStr"/>
      <c r="N2534" t="inlineStr"/>
      <c r="O2534">
        <f>(1-Summary!$B$11)*T2534+Summary!$B$11*V2534</f>
        <v/>
      </c>
      <c r="P2534">
        <f>IF(B2559=0,0,O2534/B2559)</f>
        <v/>
      </c>
      <c r="Q2534" t="n">
        <v>0</v>
      </c>
      <c r="R2534" t="n">
        <v>0</v>
      </c>
      <c r="S2534">
        <f>IFERROR(O2534/N2534,0)</f>
        <v/>
      </c>
      <c r="T2534" t="n">
        <v>0</v>
      </c>
      <c r="V2534" t="n">
        <v>0</v>
      </c>
    </row>
    <row r="2535">
      <c r="A2535">
        <f>Skills!A20</f>
        <v/>
      </c>
      <c r="B2535">
        <f>Skills!B20</f>
        <v/>
      </c>
      <c r="C2535">
        <f>TRUE</f>
        <v/>
      </c>
      <c r="D2535">
        <f>IF(Skills!C20=1,60+Inputs!$B$25+Inputs!$B$29,IF(Skills!C20=2,90+Inputs!$B$26+Inputs!$B$29,IF(Skills!C20=3,120+Inputs!$B$27+Inputs!$B$29,MAX(0,(Inputs!$B$3-100)*3)+Inputs!$B$28+Inputs!$B$29)))</f>
        <v/>
      </c>
      <c r="E2535">
        <f>INDEX(FactorTable!$B$2:$Y$301, MATCH(ROUND(MIN(300,MAX(1,D2535)),0), FactorTable!$A$2:$A$301,0), Skills!M20+1)</f>
        <v/>
      </c>
      <c r="F2535">
        <f>IF(Skills!N20=TRUE,(Skills!L20/10)*(E2535/1000),Skills!L20/10)+Skills!O20</f>
        <v/>
      </c>
      <c r="G2535">
        <f>Skills!G20*IF(Skills!H20&gt;0,Skills!I20/Skills!H20,1)</f>
        <v/>
      </c>
      <c r="H2535">
        <f>1-(1-Skills!J20/100)^Skills!K20</f>
        <v/>
      </c>
      <c r="I2535" t="inlineStr">
        <is>
          <t>1</t>
        </is>
      </c>
      <c r="J2535" t="inlineStr"/>
      <c r="K2535" t="inlineStr"/>
      <c r="L2535" t="inlineStr"/>
      <c r="M2535" t="inlineStr"/>
      <c r="N2535" t="inlineStr"/>
      <c r="O2535">
        <f>(1-Summary!$B$11)*T2535+Summary!$B$11*V2535</f>
        <v/>
      </c>
      <c r="P2535">
        <f>IF(B2559=0,0,O2535/B2559)</f>
        <v/>
      </c>
      <c r="Q2535">
        <f>IFERROR(1/(IF(Inputs!$B$38="pvp",15,MAX(0.1,Skills!D20-IF(Skills!E20=TRUE,Inputs!$B$32,0)))*(1-IF(AND(ArtifactsInput!$M$27,Inputs!$B$4="Chapter Hunt"),CHOOSE(ArtifactsInput!$N$27+1,20,24,28,32,36,40),0)/100)),0)</f>
        <v/>
      </c>
      <c r="R2535">
        <f>IF(AND(Inputs!$B$38&lt;&gt;"pvp",Inputs!$B$43&gt;0),IF(Inputs!$B$43&lt;=0,0,(INT(Inputs!$B$43/(IF(Inputs!$B$38="pvp",15,MAX(0.1,Skills!D20-IF(Skills!E20=TRUE,Inputs!$B$32,0)))*(1-IF(AND(ArtifactsInput!$M$27,Inputs!$B$4="Chapter Hunt"),CHOOSE(ArtifactsInput!$N$27+1,20,24,28,32,36,40),0)/100)))+1)),0)</f>
        <v/>
      </c>
      <c r="S2535">
        <f>IFERROR(O2535/N2535,0)</f>
        <v/>
      </c>
      <c r="T2535" t="n">
        <v>0</v>
      </c>
      <c r="V2535" t="n">
        <v>0</v>
      </c>
    </row>
    <row r="2536">
      <c r="A2536">
        <f>Skills!A21</f>
        <v/>
      </c>
      <c r="B2536">
        <f>Skills!B21</f>
        <v/>
      </c>
      <c r="C2536">
        <f>Inputs!$B$3&gt;=15</f>
        <v/>
      </c>
      <c r="D2536">
        <f>IF(Skills!C21=1,60+Inputs!$B$25+Inputs!$B$29,IF(Skills!C21=2,90+Inputs!$B$26+Inputs!$B$29,IF(Skills!C21=3,120+Inputs!$B$27+Inputs!$B$29,MAX(0,(Inputs!$B$3-100)*3)+Inputs!$B$28+Inputs!$B$29)))</f>
        <v/>
      </c>
      <c r="E2536">
        <f>INDEX(FactorTable!$B$2:$Y$301, MATCH(ROUND(MIN(300,MAX(1,D2536)),0), FactorTable!$A$2:$A$301,0), Skills!M21+1)</f>
        <v/>
      </c>
      <c r="F2536">
        <f>IF(Skills!N21=TRUE,(Skills!L21/10)*(E2536/1000),Skills!L21/10)+Skills!O21</f>
        <v/>
      </c>
      <c r="G2536">
        <f>Skills!G21*IF(Skills!H21&gt;0,Skills!I21/Skills!H21,1)</f>
        <v/>
      </c>
      <c r="H2536">
        <f>1-(1-Skills!J21/100)^Skills!K21</f>
        <v/>
      </c>
      <c r="I2536" t="inlineStr">
        <is>
          <t>1</t>
        </is>
      </c>
      <c r="J2536" t="inlineStr"/>
      <c r="K2536" t="inlineStr"/>
      <c r="L2536" t="inlineStr"/>
      <c r="M2536" t="inlineStr"/>
      <c r="N2536" t="inlineStr"/>
      <c r="O2536">
        <f>(1-Summary!$B$11)*T2536+Summary!$B$11*V2536</f>
        <v/>
      </c>
      <c r="P2536">
        <f>IF(B2559=0,0,O2536/B2559)</f>
        <v/>
      </c>
      <c r="Q2536" t="n">
        <v>0</v>
      </c>
      <c r="R2536" t="n">
        <v>0</v>
      </c>
      <c r="S2536">
        <f>IFERROR(O2536/N2536,0)</f>
        <v/>
      </c>
      <c r="T2536" t="n">
        <v>0</v>
      </c>
      <c r="V2536" t="n">
        <v>0</v>
      </c>
    </row>
    <row r="2537">
      <c r="A2537">
        <f>Skills!A22</f>
        <v/>
      </c>
      <c r="B2537">
        <f>Skills!B22</f>
        <v/>
      </c>
      <c r="C2537">
        <f>Inputs!$B$3&gt;=10</f>
        <v/>
      </c>
      <c r="D2537">
        <f>IF(Skills!C22=1,60+Inputs!$B$25+Inputs!$B$29,IF(Skills!C22=2,90+Inputs!$B$26+Inputs!$B$29,IF(Skills!C22=3,120+Inputs!$B$27+Inputs!$B$29,MAX(0,(Inputs!$B$3-100)*3)+Inputs!$B$28+Inputs!$B$29)))</f>
        <v/>
      </c>
      <c r="E2537">
        <f>INDEX(FactorTable!$B$2:$Y$301, MATCH(ROUND(MIN(300,MAX(1,D2537)),0), FactorTable!$A$2:$A$301,0), Skills!M22+1)</f>
        <v/>
      </c>
      <c r="F2537">
        <f>IF(Skills!N22=TRUE,(Skills!L22/10)*(E2537/1000),Skills!L22/10)+Skills!O22</f>
        <v/>
      </c>
      <c r="G2537">
        <f>Skills!G22*IF(Skills!H22&gt;0,Skills!I22/Skills!H22,1)</f>
        <v/>
      </c>
      <c r="H2537">
        <f>1-(1-Skills!J22/100)^Skills!K22</f>
        <v/>
      </c>
      <c r="I2537" t="inlineStr">
        <is>
          <t>1</t>
        </is>
      </c>
      <c r="J2537" t="inlineStr"/>
      <c r="K2537" t="inlineStr"/>
      <c r="L2537" t="inlineStr"/>
      <c r="M2537" t="inlineStr"/>
      <c r="N2537" t="inlineStr"/>
      <c r="O2537">
        <f>(1-Summary!$B$11)*T2537+Summary!$B$11*V2537</f>
        <v/>
      </c>
      <c r="P2537">
        <f>IF(B2559=0,0,O2537/B2559)</f>
        <v/>
      </c>
      <c r="Q2537" t="n">
        <v>0</v>
      </c>
      <c r="R2537" t="n">
        <v>0</v>
      </c>
      <c r="S2537">
        <f>IFERROR(O2537/N2537,0)</f>
        <v/>
      </c>
      <c r="T2537" t="n">
        <v>0</v>
      </c>
      <c r="V2537" t="n">
        <v>0</v>
      </c>
    </row>
    <row r="2538">
      <c r="A2538">
        <f>Skills!A23</f>
        <v/>
      </c>
      <c r="B2538">
        <f>Skills!B23</f>
        <v/>
      </c>
      <c r="C2538">
        <f>Inputs!$B$3&gt;=33</f>
        <v/>
      </c>
      <c r="D2538">
        <f>IF(Skills!C23=1,60+Inputs!$B$25+Inputs!$B$29,IF(Skills!C23=2,90+Inputs!$B$26+Inputs!$B$29,IF(Skills!C23=3,120+Inputs!$B$27+Inputs!$B$29,MAX(0,(Inputs!$B$3-100)*3)+Inputs!$B$28+Inputs!$B$29)))</f>
        <v/>
      </c>
      <c r="E2538">
        <f>INDEX(FactorTable!$B$2:$Y$301, MATCH(ROUND(MIN(300,MAX(1,D2538)),0), FactorTable!$A$2:$A$301,0), Skills!M23+1)</f>
        <v/>
      </c>
      <c r="F2538">
        <f>IF(Skills!N23=TRUE,(Skills!L23/10)*(E2538/1000),Skills!L23/10)+Skills!O23</f>
        <v/>
      </c>
      <c r="G2538">
        <f>Skills!G23*IF(Skills!H23&gt;0,Skills!I23/Skills!H23,1)</f>
        <v/>
      </c>
      <c r="H2538">
        <f>1-(1-Skills!J23/100)^Skills!K23</f>
        <v/>
      </c>
      <c r="I2538" t="inlineStr">
        <is>
          <t>1</t>
        </is>
      </c>
      <c r="J2538" t="inlineStr"/>
      <c r="K2538" t="inlineStr"/>
      <c r="L2538" t="inlineStr"/>
      <c r="M2538" t="inlineStr"/>
      <c r="N2538" t="inlineStr"/>
      <c r="O2538">
        <f>(1-Summary!$B$11)*T2538+Summary!$B$11*V2538</f>
        <v/>
      </c>
      <c r="P2538">
        <f>IF(B2559=0,0,O2538/B2559)</f>
        <v/>
      </c>
      <c r="Q2538" t="n">
        <v>0</v>
      </c>
      <c r="R2538" t="n">
        <v>0</v>
      </c>
      <c r="S2538">
        <f>IFERROR(O2538/N2538,0)</f>
        <v/>
      </c>
      <c r="T2538" t="n">
        <v>0</v>
      </c>
      <c r="V2538" t="n">
        <v>0</v>
      </c>
    </row>
    <row r="2539">
      <c r="A2539">
        <f>Skills!A24</f>
        <v/>
      </c>
      <c r="B2539">
        <f>Skills!B24</f>
        <v/>
      </c>
      <c r="C2539">
        <f>Inputs!$B$3&gt;=38</f>
        <v/>
      </c>
      <c r="D2539">
        <f>IF(Skills!C24=1,60+Inputs!$B$25+Inputs!$B$29,IF(Skills!C24=2,90+Inputs!$B$26+Inputs!$B$29,IF(Skills!C24=3,120+Inputs!$B$27+Inputs!$B$29,MAX(0,(Inputs!$B$3-100)*3)+Inputs!$B$28+Inputs!$B$29)))</f>
        <v/>
      </c>
      <c r="E2539">
        <f>INDEX(FactorTable!$B$2:$Y$301, MATCH(ROUND(MIN(300,MAX(1,D2539)),0), FactorTable!$A$2:$A$301,0), Skills!M24+1)</f>
        <v/>
      </c>
      <c r="F2539">
        <f>IF(Skills!N24=TRUE,(Skills!L24/10)*(E2539/1000),Skills!L24/10)+Skills!O24</f>
        <v/>
      </c>
      <c r="G2539">
        <f>Skills!G24*IF(Skills!H24&gt;0,Skills!I24/Skills!H24,1)</f>
        <v/>
      </c>
      <c r="H2539">
        <f>1-(1-Skills!J24/100)^Skills!K24</f>
        <v/>
      </c>
      <c r="I2539" t="inlineStr">
        <is>
          <t>1</t>
        </is>
      </c>
      <c r="J2539" t="inlineStr"/>
      <c r="K2539" t="inlineStr"/>
      <c r="L2539" t="inlineStr"/>
      <c r="M2539" t="inlineStr"/>
      <c r="N2539" t="inlineStr"/>
      <c r="O2539">
        <f>(1-Summary!$B$11)*T2539+Summary!$B$11*V2539</f>
        <v/>
      </c>
      <c r="P2539">
        <f>IF(B2559=0,0,O2539/B2559)</f>
        <v/>
      </c>
      <c r="Q2539" t="n">
        <v>0</v>
      </c>
      <c r="R2539" t="n">
        <v>0</v>
      </c>
      <c r="S2539">
        <f>IFERROR(O2539/N2539,0)</f>
        <v/>
      </c>
      <c r="T2539" t="n">
        <v>0</v>
      </c>
      <c r="V2539" t="n">
        <v>0</v>
      </c>
    </row>
    <row r="2540">
      <c r="A2540">
        <f>Skills!A25</f>
        <v/>
      </c>
      <c r="B2540">
        <f>Skills!B25</f>
        <v/>
      </c>
      <c r="C2540">
        <f>Inputs!$B$3&gt;=43</f>
        <v/>
      </c>
      <c r="D2540">
        <f>IF(Skills!C25=1,60+Inputs!$B$25+Inputs!$B$29,IF(Skills!C25=2,90+Inputs!$B$26+Inputs!$B$29,IF(Skills!C25=3,120+Inputs!$B$27+Inputs!$B$29,MAX(0,(Inputs!$B$3-100)*3)+Inputs!$B$28+Inputs!$B$29)))</f>
        <v/>
      </c>
      <c r="E2540">
        <f>INDEX(FactorTable!$B$2:$Y$301, MATCH(ROUND(MIN(300,MAX(1,D2540)),0), FactorTable!$A$2:$A$301,0), Skills!M25+1)</f>
        <v/>
      </c>
      <c r="F2540">
        <f>IF(Skills!N25=TRUE,(Skills!L25/10)*(E2540/1000),Skills!L25/10)+Skills!O25</f>
        <v/>
      </c>
      <c r="G2540">
        <f>Skills!G25*IF(Skills!H25&gt;0,Skills!I25/Skills!H25,1)</f>
        <v/>
      </c>
      <c r="H2540">
        <f>1-(1-Skills!J25/100)^Skills!K25</f>
        <v/>
      </c>
      <c r="I2540" t="inlineStr">
        <is>
          <t>1</t>
        </is>
      </c>
      <c r="J2540" t="inlineStr"/>
      <c r="K2540" t="inlineStr"/>
      <c r="L2540" t="inlineStr"/>
      <c r="M2540" t="inlineStr"/>
      <c r="N2540" t="inlineStr"/>
      <c r="O2540">
        <f>(1-Summary!$B$11)*T2540+Summary!$B$11*V2540</f>
        <v/>
      </c>
      <c r="P2540">
        <f>IF(B2559=0,0,O2540/B2559)</f>
        <v/>
      </c>
      <c r="Q2540" t="n">
        <v>0</v>
      </c>
      <c r="R2540" t="n">
        <v>0</v>
      </c>
      <c r="S2540">
        <f>IFERROR(O2540/N2540,0)</f>
        <v/>
      </c>
      <c r="T2540" t="n">
        <v>0</v>
      </c>
      <c r="V2540" t="n">
        <v>0</v>
      </c>
    </row>
    <row r="2541">
      <c r="A2541">
        <f>Skills!A26</f>
        <v/>
      </c>
      <c r="B2541">
        <f>Skills!B26</f>
        <v/>
      </c>
      <c r="C2541">
        <f>Inputs!$B$3&gt;=75</f>
        <v/>
      </c>
      <c r="D2541">
        <f>IF(Skills!C26=1,60+Inputs!$B$25+Inputs!$B$29,IF(Skills!C26=2,90+Inputs!$B$26+Inputs!$B$29,IF(Skills!C26=3,120+Inputs!$B$27+Inputs!$B$29,MAX(0,(Inputs!$B$3-100)*3)+Inputs!$B$28+Inputs!$B$29)))</f>
        <v/>
      </c>
      <c r="E2541">
        <f>INDEX(FactorTable!$B$2:$Y$301, MATCH(ROUND(MIN(300,MAX(1,D2541)),0), FactorTable!$A$2:$A$301,0), Skills!M26+1)</f>
        <v/>
      </c>
      <c r="F2541">
        <f>IF(Skills!N26=TRUE,(Skills!L26/10)*(E2541/1000),Skills!L26/10)+Skills!O26</f>
        <v/>
      </c>
      <c r="G2541">
        <f>Skills!G26*IF(Skills!H26&gt;0,Skills!I26/Skills!H26,1)</f>
        <v/>
      </c>
      <c r="H2541">
        <f>1-(1-Skills!J26/100)^Skills!K26</f>
        <v/>
      </c>
      <c r="I2541" t="inlineStr">
        <is>
          <t>1</t>
        </is>
      </c>
      <c r="J2541" t="inlineStr"/>
      <c r="K2541" t="inlineStr"/>
      <c r="L2541" t="inlineStr"/>
      <c r="M2541" t="inlineStr"/>
      <c r="N2541" t="inlineStr"/>
      <c r="O2541">
        <f>(1-Summary!$B$11)*T2541+Summary!$B$11*V2541</f>
        <v/>
      </c>
      <c r="P2541">
        <f>IF(B2559=0,0,O2541/B2559)</f>
        <v/>
      </c>
      <c r="Q2541" t="n">
        <v>0</v>
      </c>
      <c r="R2541" t="n">
        <v>0</v>
      </c>
      <c r="S2541">
        <f>IFERROR(O2541/N2541,0)</f>
        <v/>
      </c>
      <c r="T2541" t="n">
        <v>0</v>
      </c>
      <c r="V2541" t="n">
        <v>0</v>
      </c>
    </row>
    <row r="2542">
      <c r="A2542">
        <f>Skills!A27</f>
        <v/>
      </c>
      <c r="B2542">
        <f>Skills!B27</f>
        <v/>
      </c>
      <c r="C2542">
        <f>Inputs!$B$3&gt;=125</f>
        <v/>
      </c>
      <c r="D2542">
        <f>IF(Skills!C27=1,60+Inputs!$B$25+Inputs!$B$29,IF(Skills!C27=2,90+Inputs!$B$26+Inputs!$B$29,IF(Skills!C27=3,120+Inputs!$B$27+Inputs!$B$29,MAX(0,(Inputs!$B$3-100)*3)+Inputs!$B$28+Inputs!$B$29)))</f>
        <v/>
      </c>
      <c r="E2542">
        <f>INDEX(FactorTable!$B$2:$Y$301, MATCH(ROUND(MIN(300,MAX(1,D2542)),0), FactorTable!$A$2:$A$301,0), Skills!M27+1)</f>
        <v/>
      </c>
      <c r="F2542">
        <f>IF(Skills!N27=TRUE,(Skills!L27/10)*(E2542/1000),Skills!L27/10)+Skills!O27</f>
        <v/>
      </c>
      <c r="G2542">
        <f>Skills!G27*IF(Skills!H27&gt;0,Skills!I27/Skills!H27,1)</f>
        <v/>
      </c>
      <c r="H2542">
        <f>1-(1-Skills!J27/100)^Skills!K27</f>
        <v/>
      </c>
      <c r="I2542" t="inlineStr">
        <is>
          <t>1</t>
        </is>
      </c>
      <c r="J2542" t="inlineStr"/>
      <c r="K2542" t="inlineStr"/>
      <c r="L2542" t="inlineStr"/>
      <c r="M2542" t="inlineStr"/>
      <c r="N2542" t="inlineStr"/>
      <c r="O2542">
        <f>(1-Summary!$B$11)*T2542+Summary!$B$11*V2542</f>
        <v/>
      </c>
      <c r="P2542">
        <f>IF(B2559=0,0,O2542/B2559)</f>
        <v/>
      </c>
      <c r="Q2542" t="n">
        <v>0</v>
      </c>
      <c r="R2542" t="n">
        <v>0</v>
      </c>
      <c r="S2542">
        <f>IFERROR(O2542/N2542,0)</f>
        <v/>
      </c>
      <c r="T2542" t="n">
        <v>0</v>
      </c>
      <c r="V2542" t="n">
        <v>0</v>
      </c>
    </row>
    <row r="2543">
      <c r="A2543">
        <f>Skills!A28</f>
        <v/>
      </c>
      <c r="B2543">
        <f>Skills!B28</f>
        <v/>
      </c>
      <c r="C2543">
        <f>Inputs!$B$3&gt;=125</f>
        <v/>
      </c>
      <c r="D2543">
        <f>IF(Skills!C28=1,60+Inputs!$B$25+Inputs!$B$29,IF(Skills!C28=2,90+Inputs!$B$26+Inputs!$B$29,IF(Skills!C28=3,120+Inputs!$B$27+Inputs!$B$29,MAX(0,(Inputs!$B$3-100)*3)+Inputs!$B$28+Inputs!$B$29)))</f>
        <v/>
      </c>
      <c r="E2543">
        <f>INDEX(FactorTable!$B$2:$Y$301, MATCH(ROUND(MIN(300,MAX(1,D2543)),0), FactorTable!$A$2:$A$301,0), Skills!M28+1)</f>
        <v/>
      </c>
      <c r="F2543">
        <f>IF(Skills!N28=TRUE,(Skills!L28/10)*(E2543/1000),Skills!L28/10)+Skills!O28</f>
        <v/>
      </c>
      <c r="G2543">
        <f>Skills!G28*IF(Skills!H28&gt;0,Skills!I28/Skills!H28,1)</f>
        <v/>
      </c>
      <c r="H2543">
        <f>1-(1-Skills!J28/100)^Skills!K28</f>
        <v/>
      </c>
      <c r="I2543" t="inlineStr">
        <is>
          <t>1</t>
        </is>
      </c>
      <c r="J2543" t="inlineStr"/>
      <c r="K2543" t="inlineStr"/>
      <c r="L2543" t="inlineStr"/>
      <c r="M2543" t="inlineStr"/>
      <c r="N2543" t="inlineStr"/>
      <c r="O2543">
        <f>(1-Summary!$B$11)*T2543+Summary!$B$11*V2543</f>
        <v/>
      </c>
      <c r="P2543">
        <f>IF(B2559=0,0,O2543/B2559)</f>
        <v/>
      </c>
      <c r="Q2543" t="n">
        <v>0</v>
      </c>
      <c r="R2543" t="n">
        <v>0</v>
      </c>
      <c r="S2543">
        <f>IFERROR(O2543/N2543,0)</f>
        <v/>
      </c>
      <c r="T2543" t="n">
        <v>0</v>
      </c>
      <c r="V2543" t="n">
        <v>0</v>
      </c>
    </row>
    <row r="2544">
      <c r="A2544">
        <f>Skills!A29</f>
        <v/>
      </c>
      <c r="B2544">
        <f>Skills!B29</f>
        <v/>
      </c>
      <c r="C2544">
        <f>Inputs!$B$3&gt;=120</f>
        <v/>
      </c>
      <c r="D2544">
        <f>IF(Skills!C29=1,60+Inputs!$B$25+Inputs!$B$29,IF(Skills!C29=2,90+Inputs!$B$26+Inputs!$B$29,IF(Skills!C29=3,120+Inputs!$B$27+Inputs!$B$29,MAX(0,(Inputs!$B$3-100)*3)+Inputs!$B$28+Inputs!$B$29)))</f>
        <v/>
      </c>
      <c r="E2544">
        <f>INDEX(FactorTable!$B$2:$Y$301, MATCH(ROUND(MIN(300,MAX(1,D2544)),0), FactorTable!$A$2:$A$301,0), Skills!M29+1)</f>
        <v/>
      </c>
      <c r="F2544">
        <f>IF(Skills!N29=TRUE,(Skills!L29/10)*(E2544/1000),Skills!L29/10)+Skills!O29</f>
        <v/>
      </c>
      <c r="G2544">
        <f>Skills!G29*IF(Skills!H29&gt;0,Skills!I29/Skills!H29,1)</f>
        <v/>
      </c>
      <c r="H2544">
        <f>1-(1-Skills!J29/100)^Skills!K29</f>
        <v/>
      </c>
      <c r="I2544" t="inlineStr">
        <is>
          <t>1</t>
        </is>
      </c>
      <c r="J2544" t="inlineStr"/>
      <c r="K2544" t="inlineStr"/>
      <c r="L2544" t="inlineStr"/>
      <c r="M2544" t="inlineStr"/>
      <c r="N2544" t="inlineStr"/>
      <c r="O2544">
        <f>(1-Summary!$B$11)*T2544+Summary!$B$11*V2544</f>
        <v/>
      </c>
      <c r="P2544">
        <f>IF(B2559=0,0,O2544/B2559)</f>
        <v/>
      </c>
      <c r="Q2544" t="n">
        <v>0</v>
      </c>
      <c r="R2544" t="n">
        <v>0</v>
      </c>
      <c r="S2544">
        <f>IFERROR(O2544/N2544,0)</f>
        <v/>
      </c>
      <c r="T2544" t="n">
        <v>0</v>
      </c>
      <c r="V2544" t="n">
        <v>0</v>
      </c>
    </row>
    <row r="2545">
      <c r="A2545">
        <f>Skills!A30</f>
        <v/>
      </c>
      <c r="B2545">
        <f>Skills!B30</f>
        <v/>
      </c>
      <c r="C2545">
        <f>Inputs!$B$3&gt;=120</f>
        <v/>
      </c>
      <c r="D2545">
        <f>IF(Skills!C30=1,60+Inputs!$B$25+Inputs!$B$29,IF(Skills!C30=2,90+Inputs!$B$26+Inputs!$B$29,IF(Skills!C30=3,120+Inputs!$B$27+Inputs!$B$29,MAX(0,(Inputs!$B$3-100)*3)+Inputs!$B$28+Inputs!$B$29)))</f>
        <v/>
      </c>
      <c r="E2545">
        <f>INDEX(FactorTable!$B$2:$Y$301, MATCH(ROUND(MIN(300,MAX(1,D2545)),0), FactorTable!$A$2:$A$301,0), Skills!M30+1)</f>
        <v/>
      </c>
      <c r="F2545">
        <f>IF(Skills!N30=TRUE,(Skills!L30/10)*(E2545/1000),Skills!L30/10)+Skills!O30</f>
        <v/>
      </c>
      <c r="G2545">
        <f>Skills!G30*IF(Skills!H30&gt;0,Skills!I30/Skills!H30,1)</f>
        <v/>
      </c>
      <c r="H2545">
        <f>1-(1-Skills!J30/100)^Skills!K30</f>
        <v/>
      </c>
      <c r="I2545" t="inlineStr">
        <is>
          <t>1</t>
        </is>
      </c>
      <c r="J2545" t="inlineStr"/>
      <c r="K2545" t="inlineStr"/>
      <c r="L2545" t="inlineStr"/>
      <c r="M2545" t="inlineStr"/>
      <c r="N2545" t="inlineStr"/>
      <c r="O2545">
        <f>(1-Summary!$B$11)*T2545+Summary!$B$11*V2545</f>
        <v/>
      </c>
      <c r="P2545">
        <f>IF(B2559=0,0,O2545/B2559)</f>
        <v/>
      </c>
      <c r="Q2545" t="n">
        <v>0</v>
      </c>
      <c r="R2545" t="n">
        <v>0</v>
      </c>
      <c r="S2545">
        <f>IFERROR(O2545/N2545,0)</f>
        <v/>
      </c>
      <c r="T2545" t="n">
        <v>0</v>
      </c>
      <c r="V2545" t="n">
        <v>0</v>
      </c>
    </row>
    <row r="2546">
      <c r="A2546">
        <f>Skills!A31</f>
        <v/>
      </c>
      <c r="B2546">
        <f>Skills!B31</f>
        <v/>
      </c>
      <c r="C2546">
        <f>Inputs!$B$3&gt;=45</f>
        <v/>
      </c>
      <c r="D2546">
        <f>IF(Skills!C31=1,60+Inputs!$B$25+Inputs!$B$29,IF(Skills!C31=2,90+Inputs!$B$26+Inputs!$B$29,IF(Skills!C31=3,120+Inputs!$B$27+Inputs!$B$29,MAX(0,(Inputs!$B$3-100)*3)+Inputs!$B$28+Inputs!$B$29)))</f>
        <v/>
      </c>
      <c r="E2546">
        <f>INDEX(FactorTable!$B$2:$Y$301, MATCH(ROUND(MIN(300,MAX(1,D2546)),0), FactorTable!$A$2:$A$301,0), Skills!M31+1)</f>
        <v/>
      </c>
      <c r="F2546">
        <f>IF(Skills!N31=TRUE,(Skills!L31/10)*(E2546/1000),Skills!L31/10)+Skills!O31</f>
        <v/>
      </c>
      <c r="G2546">
        <f>Skills!G31*IF(Skills!H31&gt;0,Skills!I31/Skills!H31,1)</f>
        <v/>
      </c>
      <c r="H2546">
        <f>1-(1-Skills!J31/100)^Skills!K31</f>
        <v/>
      </c>
      <c r="I2546" t="inlineStr">
        <is>
          <t>1</t>
        </is>
      </c>
      <c r="J2546" t="inlineStr"/>
      <c r="K2546" t="inlineStr"/>
      <c r="L2546" t="inlineStr"/>
      <c r="M2546" t="inlineStr"/>
      <c r="N2546" t="inlineStr"/>
      <c r="O2546">
        <f>(1-Summary!$B$11)*T2546+Summary!$B$11*V2546</f>
        <v/>
      </c>
      <c r="P2546">
        <f>IF(B2559=0,0,O2546/B2559)</f>
        <v/>
      </c>
      <c r="Q2546" t="n">
        <v>0</v>
      </c>
      <c r="R2546" t="n">
        <v>0</v>
      </c>
      <c r="S2546">
        <f>IFERROR(O2546/N2546,0)</f>
        <v/>
      </c>
      <c r="T2546" t="n">
        <v>0</v>
      </c>
      <c r="V2546" t="n">
        <v>0</v>
      </c>
    </row>
    <row r="2548">
      <c r="A2548" t="inlineStr">
        <is>
          <t>Attack% Bucket Multiplier</t>
        </is>
      </c>
      <c r="B2548">
        <f>(1+(((C2529=TRUE)*F2529)+((C2530=TRUE)*IF(Inputs!$B$38="pvp",F2530,(1-Summary!$B$11)*(F2530)+Summary!$B$11*(0)))+((C2531=TRUE)*F2531*IF(AND(Inputs!$B$38&lt;&gt;"pvp",Inputs!$B$43&gt;0),(((R2531-1)*(Skills!T16*(1+Inputs!$B$34/100))+MIN((Skills!T16*(1+Inputs!$B$34/100)),MAX(0,Inputs!$B$43-((R2531-1)*Skills!D16))))/Inputs!$B$43),IF(Inputs!$B$38="pvp",MIN((Skills!T16*(1+Inputs!$B$34/100)),15)/15,(Skills!T16*(1+Inputs!$B$34/100))/Skills!D16)))+((C2546=TRUE)*(F2546-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49">
      <c r="A2549" t="inlineStr">
        <is>
          <t>Global Crit Rate Bonus %</t>
        </is>
      </c>
      <c r="B2549">
        <f>(C2532=TRUE)*20*IF(AND(Inputs!$B$38&lt;&gt;"pvp",Inputs!$B$43&gt;0),(((R2532-1)*(Skills!T17*(1+Inputs!$B$34/100))+MIN((Skills!T17*(1+Inputs!$B$34/100)),MAX(0,Inputs!$B$43-((R2532-1)*Skills!D17))))/Inputs!$B$43),IF(Inputs!$B$38="pvp",MIN((Skills!T17*(1+Inputs!$B$34/100)),15)/15,(Skills!T17*(1+Inputs!$B$34/100))/Skills!D17))</f>
        <v/>
      </c>
    </row>
    <row r="2550">
      <c r="A2550" t="inlineStr">
        <is>
          <t>Attack Speed Buff Bonus %</t>
        </is>
      </c>
      <c r="B2550">
        <f>((C2535=TRUE)*F2535*IF(AND(Inputs!$B$38&lt;&gt;"pvp",Inputs!$B$43&gt;0),(((R2535-1)*(Skills!T20*(1+Inputs!$B$34/100))+MIN((Skills!T20*(1+Inputs!$B$34/100)),MAX(0,Inputs!$B$43-((R2535-1)*Skills!D20))))/Inputs!$B$43),IF(Inputs!$B$38="pvp",MIN((Skills!T20*(1+Inputs!$B$34/100)),15)/15,(Skills!T20*(1+Inputs!$B$34/100))/Skills!D20)))</f>
        <v/>
      </c>
    </row>
    <row r="2551">
      <c r="A2551" t="inlineStr">
        <is>
          <t>Actions Per Second</t>
        </is>
      </c>
      <c r="B2551">
        <f>1+MIN(150,150*(1-(1-(Inputs!$B$11+((C2537=TRUE)*(F2537-Calc!F22))+((C2538=TRUE)*(F2538-Calc!F23)))/150)*(1-B2550/150)))/100</f>
        <v/>
      </c>
    </row>
    <row r="2552">
      <c r="A2552" t="inlineStr">
        <is>
          <t>Skill + Buff Cast Rate</t>
        </is>
      </c>
      <c r="B2552">
        <f>IF(AND(Inputs!$B$38&lt;&gt;"pvp",Inputs!$B$43&gt;0),SUMPRODUCT((Skills!E2:E31=TRUE)*(C2517:C2546=TRUE)*R2517:R2546*Skills!F2:F31)/Inputs!$B$43,SUMPRODUCT((Skills!E2:E31=TRUE)*(C2517:C2546=TRUE)*Q2517:Q2546*Skills!F2:F31))</f>
        <v/>
      </c>
    </row>
    <row r="2553">
      <c r="A2553" t="inlineStr">
        <is>
          <t>Arrow Stream Casts Per Second</t>
        </is>
      </c>
      <c r="B2553">
        <f>MAX(0,B2551-B2552)</f>
        <v/>
      </c>
    </row>
    <row r="2554">
      <c r="A2554" t="inlineStr">
        <is>
          <t>Global Critical Damage Bonus % (Sharp Eyes + Concentration)</t>
        </is>
      </c>
      <c r="B2554">
        <f>(C2532=TRUE)*F2532*IF(AND(Inputs!$B$38&lt;&gt;"pvp",Inputs!$B$43&gt;0),(((R2532-1)*(Skills!T17*(1+Inputs!$B$34/100))+MIN((Skills!T17*(1+Inputs!$B$34/100)),MAX(0,Inputs!$B$43-((R2532-1)*Skills!D17))))/Inputs!$B$43),IF(Inputs!$B$38="pvp",MIN((Skills!T17*(1+Inputs!$B$34/100)),15)/15,(Skills!T17*(1+Inputs!$B$34/100))/Skills!D17))+(C2533=TRUE)*30</f>
        <v/>
      </c>
    </row>
    <row r="2555">
      <c r="A2555" t="inlineStr">
        <is>
          <t>Global Final Damage Bonus % (Mortal Blow)</t>
        </is>
      </c>
      <c r="B2555">
        <f>(C2534=TRUE)*F2534</f>
        <v/>
      </c>
    </row>
    <row r="2556">
      <c r="A2556" t="inlineStr">
        <is>
          <t>Buff-Casting Startup Delay (s, fixed-duration only)</t>
        </is>
      </c>
      <c r="B2556">
        <f>IF(AND(Inputs!$B$38&lt;&gt;"pvp",Inputs!$B$43&gt;0),SUMPRODUCT((Skills!T2:T31&gt;0)*(Skills!E2:E31=TRUE)*(C2517:C2546=TRUE))/B2551,0)</f>
        <v/>
      </c>
    </row>
    <row r="2557">
      <c r="A2557" t="inlineStr">
        <is>
          <t>Boss-Only Total DPS (this block's swept value)</t>
        </is>
      </c>
      <c r="B2557">
        <f>SUM(T2517:T2546)</f>
        <v/>
      </c>
    </row>
    <row r="2558">
      <c r="A2558" t="inlineStr">
        <is>
          <t>Normal-Only Total DPS (this block's swept value)</t>
        </is>
      </c>
      <c r="B2558">
        <f>SUM(V2517:V2546)</f>
        <v/>
      </c>
    </row>
    <row r="2559">
      <c r="A2559" s="6" t="inlineStr">
        <is>
          <t>TOTAL DPS</t>
        </is>
      </c>
      <c r="B2559" s="6">
        <f>SUM(O2517:O2546)</f>
        <v/>
      </c>
    </row>
    <row r="2562">
      <c r="A2562" s="6" t="inlineStr">
        <is>
          <t>Stat: Bottle of Emotion (Equip)</t>
        </is>
      </c>
    </row>
    <row r="2563">
      <c r="A2563" s="5" t="inlineStr">
        <is>
          <t>Key</t>
        </is>
      </c>
      <c r="B2563" s="5" t="inlineStr">
        <is>
          <t>Name</t>
        </is>
      </c>
      <c r="C2563" s="5" t="inlineStr">
        <is>
          <t>Unlocked</t>
        </is>
      </c>
      <c r="D2563" s="5" t="inlineStr">
        <is>
          <t>InputLevel</t>
        </is>
      </c>
      <c r="E2563" s="5" t="inlineStr">
        <is>
          <t>Factor</t>
        </is>
      </c>
      <c r="F2563" s="5" t="inlineStr">
        <is>
          <t>CoefficientPercent</t>
        </is>
      </c>
      <c r="G2563" s="5" t="inlineStr">
        <is>
          <t>EffectiveHits</t>
        </is>
      </c>
      <c r="H2563" s="5" t="inlineStr">
        <is>
          <t>ProcProbability</t>
        </is>
      </c>
      <c r="I2563" s="5" t="inlineStr">
        <is>
          <t>MapleHeroMultiplier</t>
        </is>
      </c>
      <c r="J2563" s="5" t="inlineStr">
        <is>
          <t>BaseDamage</t>
        </is>
      </c>
      <c r="K2563" s="5" t="inlineStr">
        <is>
          <t>BaseHitDamage</t>
        </is>
      </c>
      <c r="L2563" s="5" t="inlineStr">
        <is>
          <t>NonCritAvg</t>
        </is>
      </c>
      <c r="M2563" s="5" t="inlineStr">
        <is>
          <t>CritAvg</t>
        </is>
      </c>
      <c r="N2563" s="5" t="inlineStr">
        <is>
          <t>ExpectedDamage(perHit)</t>
        </is>
      </c>
      <c r="O2563" s="5" t="inlineStr">
        <is>
          <t>DPS</t>
        </is>
      </c>
      <c r="P2563" s="5" t="inlineStr">
        <is>
          <t>% of Total</t>
        </is>
      </c>
      <c r="Q2563" s="5" t="inlineStr">
        <is>
          <t>InvCooldown</t>
        </is>
      </c>
      <c r="R2563" s="5" t="inlineStr">
        <is>
          <t>CastsInFight</t>
        </is>
      </c>
      <c r="S2563" s="5" t="inlineStr">
        <is>
          <t>HitRate(perSec)</t>
        </is>
      </c>
      <c r="U2563" t="inlineStr">
        <is>
          <t>helpers</t>
        </is>
      </c>
    </row>
    <row r="2564">
      <c r="A2564">
        <f>Skills!A2</f>
        <v/>
      </c>
      <c r="B2564">
        <f>Skills!B2</f>
        <v/>
      </c>
      <c r="C2564">
        <f>Inputs!$B$3&gt;=100</f>
        <v/>
      </c>
      <c r="D2564" t="inlineStr"/>
      <c r="E2564" t="inlineStr"/>
      <c r="F2564">
        <f>U2566+Skills!O2</f>
        <v/>
      </c>
      <c r="G2564">
        <f>Skills!G2*IF(Skills!H2&gt;0,Skills!I2/Skills!H2,1)</f>
        <v/>
      </c>
      <c r="H2564">
        <f>1-(1-Skills!J2/100)^Skills!K2</f>
        <v/>
      </c>
      <c r="I2564" t="inlineStr">
        <is>
          <t>1</t>
        </is>
      </c>
      <c r="J2564">
        <f>((Inputs!$B$6*(1+Inputs!$B$7/100))+(((Inputs!$B$12*(1+Inputs!$B$13/100))-(Inputs!$B$12*(1+Inputs!$B$13/100)))+0.25*(Inputs!$B$14-Inputs!$B$14))*(1+Inputs!$B$7/100))*(F2564/100)</f>
        <v/>
      </c>
      <c r="K2564">
        <f>J2564*(1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2564)</f>
        <v/>
      </c>
      <c r="L2564">
        <f>K2564*(MIN(Inputs!$B$22+((C2587=TRUE)*(F2587-Calc!F25)),(Inputs!$B$23+((C2592=TRUE)*(F2592-Calc!F30))+(IF(ArtifactsInput!$M$15,CHOOSE(ArtifactsInput!$N$15+1,25,30,35,40,45,50)/100*(Inputs!$B$11-Inputs!$B$11),0))))/100+(Inputs!$B$23+((C2592=TRUE)*(F2592-Calc!F30))+(IF(ArtifactsInput!$M$15,CHOOSE(ArtifactsInput!$N$15+1,25,30,35,40,45,50)/100*(Inputs!$B$11-Inputs!$B$11),0)))/100)/2</f>
        <v/>
      </c>
      <c r="M2564">
        <f>L2564*(1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4">
        <f>L2564*(1-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2564*(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4">
        <f>(1-Summary!$B$11)*T2564+Summary!$B$11*V2564</f>
        <v/>
      </c>
      <c r="P2564">
        <f>IF(B2606=0,0,O2564/B2606)</f>
        <v/>
      </c>
      <c r="Q2564" t="n">
        <v>0</v>
      </c>
      <c r="R2564" t="n">
        <v>0</v>
      </c>
      <c r="S2564">
        <f>IFERROR(O2564/N2564,0)</f>
        <v/>
      </c>
      <c r="T2564">
        <f>IF(C2564,(Skills!G2*N2564*B2600)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2564*(1-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2564*(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2564*(1-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2564*(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4">
        <f>MAX(0,(Inputs!$B$3-100)*3)+Inputs!$B$28+Inputs!$B$29</f>
        <v/>
      </c>
      <c r="V2564">
        <f>IF(C2564,(Skills!G2*N2564*B2600)*IF(Inputs!$B$38="pvp",1,(1+(Inputs!$B$21+Skills!Q2+(IF(ArtifactsInput!$M$33,CHOOSE(ArtifactsInput!$N$33+1,30,36,42,48,54,60),0))+(IF(AND(ArtifactsInput!$M$35,Inputs!$B$4&lt;&gt;"Chapter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5">
      <c r="A2565">
        <f>Skills!A3</f>
        <v/>
      </c>
      <c r="B2565">
        <f>Skills!B3</f>
        <v/>
      </c>
      <c r="C2565">
        <f>Inputs!$B$3&gt;=50</f>
        <v/>
      </c>
      <c r="D2565">
        <f>IF(Skills!C3=1,60+Inputs!$B$25+Inputs!$B$29,IF(Skills!C3=2,90+Inputs!$B$26+Inputs!$B$29,IF(Skills!C3=3,120+Inputs!$B$27+Inputs!$B$29,MAX(0,(Inputs!$B$3-100)*3)+Inputs!$B$28+Inputs!$B$29)))</f>
        <v/>
      </c>
      <c r="E2565">
        <f>INDEX(FactorTable!$B$2:$Y$301, MATCH(ROUND(MIN(300,MAX(1,D2565)),0), FactorTable!$A$2:$A$301,0), Skills!M3+1)</f>
        <v/>
      </c>
      <c r="F2565">
        <f>IF(Skills!N3=TRUE,(Skills!L3/10)*(E2565/1000),Skills!L3/10)+Skills!O3</f>
        <v/>
      </c>
      <c r="G2565">
        <f>Skills!G3*IF(Skills!H3&gt;0,Skills!I3/Skills!H3,1)</f>
        <v/>
      </c>
      <c r="H2565">
        <f>1-(1-Skills!J3/100)^Skills!K3</f>
        <v/>
      </c>
      <c r="I2565" t="inlineStr">
        <is>
          <t>1</t>
        </is>
      </c>
      <c r="J2565">
        <f>((Inputs!$B$6*(1+Inputs!$B$7/100))+(((Inputs!$B$12*(1+Inputs!$B$13/100))-(Inputs!$B$12*(1+Inputs!$B$13/100)))+0.25*(Inputs!$B$14-Inputs!$B$14))*(1+Inputs!$B$7/100))*(F2565/100)</f>
        <v/>
      </c>
      <c r="K2565">
        <f>J2565*(1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2566=TRUE,F2566,0)/100)*(1+(IF(Skills!A3="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2565)</f>
        <v/>
      </c>
      <c r="L2565">
        <f>K2565*(MIN(Inputs!$B$22+((C2587=TRUE)*(F2587-Calc!F25)),(Inputs!$B$23+((C2592=TRUE)*(F2592-Calc!F30))+(IF(ArtifactsInput!$M$15,CHOOSE(ArtifactsInput!$N$15+1,25,30,35,40,45,50)/100*(Inputs!$B$11-Inputs!$B$11),0))))/100+(Inputs!$B$23+((C2592=TRUE)*(F2592-Calc!F30))+(IF(ArtifactsInput!$M$15,CHOOSE(ArtifactsInput!$N$15+1,25,30,35,40,45,50)/100*(Inputs!$B$11-Inputs!$B$11),0)))/100)/2</f>
        <v/>
      </c>
      <c r="M2565">
        <f>L2565*(1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5">
        <f>L2565*(1-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2565*(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5">
        <f>(1-Summary!$B$11)*T2565+Summary!$B$11*V2565</f>
        <v/>
      </c>
      <c r="P2565">
        <f>IF(B2606=0,0,O2565/B2606)</f>
        <v/>
      </c>
      <c r="Q2565">
        <f>IFERROR(1/(IF(Inputs!$B$38="pvp",15,MAX(0.1,Skills!D3-IF(Skills!E3=TRUE,Inputs!$B$32,0)))*(1-IF(AND(ArtifactsInput!$M$27,Inputs!$B$4="Chapter Hunt"),CHOOSE(ArtifactsInput!$N$27+1,20,24,28,32,36,40),0)/100)),0)</f>
        <v/>
      </c>
      <c r="R2565">
        <f>IF(AND(Inputs!$B$38&lt;&gt;"pvp",Inputs!$B$43&gt;0),IF(MAX(0,Inputs!$B$43-B2603)&lt;=0,0,(INT(MAX(0,Inputs!$B$43-B2603)/(IF(Inputs!$B$38="pvp",15,MAX(0.1,Skills!D3-IF(Skills!E3=TRUE,Inputs!$B$32,0)))*(1-IF(AND(ArtifactsInput!$M$27,Inputs!$B$4="Chapter Hunt"),CHOOSE(ArtifactsInput!$N$27+1,20,24,28,32,36,40),0)/100)))+1)),0)</f>
        <v/>
      </c>
      <c r="S2565">
        <f>IFERROR(O2565/N2565,0)</f>
        <v/>
      </c>
      <c r="T2565">
        <f>IF(C2565,(H2565*N2565*IF(AND(Inputs!$B$38&lt;&gt;"pvp",Inputs!$B$43&gt;0),((Skills!G3*((R2565-1)*IF(Skills!H3&gt;0,Skills!I3/Skills!H3,1)+IF(Skills!H3&gt;0,MIN(Skills!I3,MAX(0,MAX(0,Inputs!$B$43-B2603)-((R2565-1)*(IF(Inputs!$B$38="pvp",15,MAX(0.1,Skills!D3-IF(Skills!E3=TRUE,Inputs!$B$32,0)))*(1-IF(AND(ArtifactsInput!$M$27,Inputs!$B$4="Chapter Hunt"),CHOOSE(ArtifactsInput!$N$27+1,20,24,28,32,36,40),0)/100)))))/Skills!H3,1)))/Inputs!$B$43),G2565*Q2565)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2565*(1-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2565*(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2565*(1-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2565*(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5">
        <f>INDEX(FactorTable!$B$2:$Y$301, MATCH(ROUND(MIN(300,MAX(1,U2564)),0), FactorTable!$A$2:$A$301,0), 22)</f>
        <v/>
      </c>
      <c r="V2565">
        <f>IF(C2565,(H2565*N2565*IF(AND(Inputs!$B$38&lt;&gt;"pvp",Inputs!$B$43&gt;0),((Skills!G3*((R2565-1)*IF(Skills!H3&gt;0,Skills!I3/Skills!H3,1)+IF(Skills!H3&gt;0,MIN(Skills!I3,MAX(0,MAX(0,Inputs!$B$43-B2603)-((R2565-1)*(IF(Inputs!$B$38="pvp",15,MAX(0.1,Skills!D3-IF(Skills!E3=TRUE,Inputs!$B$32,0)))*(1-IF(AND(ArtifactsInput!$M$27,Inputs!$B$4="Chapter Hunt"),CHOOSE(ArtifactsInput!$N$27+1,20,24,28,32,36,40),0)/100)))))/Skills!H3,1)))/Inputs!$B$43),G2565*Q2565))*IF(Inputs!$B$38="pvp",1,(1+(Inputs!$B$21+Skills!Q3+(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6">
      <c r="A2566">
        <f>Skills!A4</f>
        <v/>
      </c>
      <c r="B2566">
        <f>Skills!B4</f>
        <v/>
      </c>
      <c r="C2566">
        <f>Inputs!$B$3&gt;=105</f>
        <v/>
      </c>
      <c r="D2566">
        <f>IF(Skills!C4=1,60+Inputs!$B$25+Inputs!$B$29,IF(Skills!C4=2,90+Inputs!$B$26+Inputs!$B$29,IF(Skills!C4=3,120+Inputs!$B$27+Inputs!$B$29,MAX(0,(Inputs!$B$3-100)*3)+Inputs!$B$28+Inputs!$B$29)))</f>
        <v/>
      </c>
      <c r="E2566">
        <f>INDEX(FactorTable!$B$2:$Y$301, MATCH(ROUND(MIN(300,MAX(1,D2566)),0), FactorTable!$A$2:$A$301,0), Skills!M4+1)</f>
        <v/>
      </c>
      <c r="F2566">
        <f>IF(Skills!N4=TRUE,(Skills!L4/10)*(E2566/1000),Skills!L4/10)+Skills!O4</f>
        <v/>
      </c>
      <c r="G2566" t="inlineStr"/>
      <c r="H2566" t="inlineStr"/>
      <c r="I2566" t="inlineStr">
        <is>
          <t>1</t>
        </is>
      </c>
      <c r="J2566" t="inlineStr"/>
      <c r="K2566" t="inlineStr"/>
      <c r="L2566" t="inlineStr"/>
      <c r="M2566" t="inlineStr"/>
      <c r="N2566" t="inlineStr"/>
      <c r="O2566" t="inlineStr"/>
      <c r="P2566" t="inlineStr"/>
      <c r="Q2566" t="inlineStr"/>
      <c r="R2566" t="inlineStr"/>
      <c r="S2566" t="inlineStr"/>
      <c r="T2566" t="inlineStr"/>
      <c r="U2566">
        <f>290*U2565/1000</f>
        <v/>
      </c>
      <c r="V2566" t="inlineStr"/>
    </row>
    <row r="2567">
      <c r="A2567">
        <f>Skills!A5</f>
        <v/>
      </c>
      <c r="B2567">
        <f>Skills!B5</f>
        <v/>
      </c>
      <c r="C2567">
        <f>Inputs!$B$3&gt;=35</f>
        <v/>
      </c>
      <c r="D2567">
        <f>IF(Skills!C5=1,60+Inputs!$B$25+Inputs!$B$29,IF(Skills!C5=2,90+Inputs!$B$26+Inputs!$B$29,IF(Skills!C5=3,120+Inputs!$B$27+Inputs!$B$29,MAX(0,(Inputs!$B$3-100)*3)+Inputs!$B$28+Inputs!$B$29)))</f>
        <v/>
      </c>
      <c r="E2567">
        <f>INDEX(FactorTable!$B$2:$Y$301, MATCH(ROUND(MIN(300,MAX(1,D2567)),0), FactorTable!$A$2:$A$301,0), Skills!M5+1)</f>
        <v/>
      </c>
      <c r="F2567">
        <f>IF(Skills!N5=TRUE,(Skills!L5/10)*(E2567/1000),Skills!L5/10)+Skills!O5</f>
        <v/>
      </c>
      <c r="G2567">
        <f>Skills!G5*IF(Skills!H5&gt;0,Skills!I5/Skills!H5,1)</f>
        <v/>
      </c>
      <c r="H2567">
        <f>1-(1-Skills!J5/100)^Skills!K5</f>
        <v/>
      </c>
      <c r="I2567" t="inlineStr">
        <is>
          <t>1</t>
        </is>
      </c>
      <c r="J2567">
        <f>((Inputs!$B$6*(1+Inputs!$B$7/100))+(((Inputs!$B$12*(1+Inputs!$B$13/100))-(Inputs!$B$12*(1+Inputs!$B$13/100)))+0.25*(Inputs!$B$14-Inputs!$B$14))*(1+Inputs!$B$7/100))*(F2567/100)</f>
        <v/>
      </c>
      <c r="K2567">
        <f>J2567*(1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+4.0*IF(C2573=TRUE,F2573,0)/100)*(1+(IF(Skills!A5="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2567)</f>
        <v/>
      </c>
      <c r="L2567">
        <f>K2567*(MIN(Inputs!$B$22+((C2587=TRUE)*(F2587-Calc!F25)),(Inputs!$B$23+((C2592=TRUE)*(F2592-Calc!F30))+(IF(ArtifactsInput!$M$15,CHOOSE(ArtifactsInput!$N$15+1,25,30,35,40,45,50)/100*(Inputs!$B$11-Inputs!$B$11),0))))/100+(Inputs!$B$23+((C2592=TRUE)*(F2592-Calc!F30))+(IF(ArtifactsInput!$M$15,CHOOSE(ArtifactsInput!$N$15+1,25,30,35,40,45,50)/100*(Inputs!$B$11-Inputs!$B$11),0)))/100)/2</f>
        <v/>
      </c>
      <c r="M2567">
        <f>L2567*(1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7">
        <f>L2567*(1-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2567*(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7">
        <f>(1-Summary!$B$11)*T2567+Summary!$B$11*V2567</f>
        <v/>
      </c>
      <c r="P2567">
        <f>IF(B2606=0,0,O2567/B2606)</f>
        <v/>
      </c>
      <c r="Q2567">
        <f>IFERROR(1/(IF(Inputs!$B$38="pvp",15,MAX(0.1,Skills!D5-IF(Skills!E5=TRUE,Inputs!$B$32,0)))*(1-IF(AND(ArtifactsInput!$M$27,Inputs!$B$4="Chapter Hunt"),CHOOSE(ArtifactsInput!$N$27+1,20,24,28,32,36,40),0)/100)),0)</f>
        <v/>
      </c>
      <c r="R2567">
        <f>IF(AND(Inputs!$B$38&lt;&gt;"pvp",Inputs!$B$43&gt;0),IF(MAX(0,Inputs!$B$43-B2603)&lt;=0,0,(INT(MAX(0,Inputs!$B$43-B2603)/(IF(Inputs!$B$38="pvp",15,MAX(0.1,Skills!D5-IF(Skills!E5=TRUE,Inputs!$B$32,0)))*(1-IF(AND(ArtifactsInput!$M$27,Inputs!$B$4="Chapter Hunt"),CHOOSE(ArtifactsInput!$N$27+1,20,24,28,32,36,40),0)/100)))+1)),0)</f>
        <v/>
      </c>
      <c r="S2567">
        <f>IFERROR(O2567/N2567,0)</f>
        <v/>
      </c>
      <c r="T2567">
        <f>IF(C2567,(H2567*N2567*IF(AND(Inputs!$B$38&lt;&gt;"pvp",Inputs!$B$43&gt;0),((Skills!G5*((R2567-1)*IF(Skills!H5&gt;0,Skills!I5/Skills!H5,1)+IF(Skills!H5&gt;0,MIN(Skills!I5,MAX(0,MAX(0,Inputs!$B$43-B2603)-((R2567-1)*(IF(Inputs!$B$38="pvp",15,MAX(0.1,Skills!D5-IF(Skills!E5=TRUE,Inputs!$B$32,0)))*(1-IF(AND(ArtifactsInput!$M$27,Inputs!$B$4="Chapter Hunt"),CHOOSE(ArtifactsInput!$N$27+1,20,24,28,32,36,40),0)/100)))))/Skills!H5,1)))/Inputs!$B$43),G2567*Q2567)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2567*(1-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2567*(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2567*(1-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2567*(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7">
        <f>IF(C2567,(H2567*N2567*IF(AND(Inputs!$B$38&lt;&gt;"pvp",Inputs!$B$43&gt;0),((Skills!G5*((R2567-1)*IF(Skills!H5&gt;0,Skills!I5/Skills!H5,1)+IF(Skills!H5&gt;0,MIN(Skills!I5,MAX(0,MAX(0,Inputs!$B$43-B2603)-((R2567-1)*(IF(Inputs!$B$38="pvp",15,MAX(0.1,Skills!D5-IF(Skills!E5=TRUE,Inputs!$B$32,0)))*(1-IF(AND(ArtifactsInput!$M$27,Inputs!$B$4="Chapter Hunt"),CHOOSE(ArtifactsInput!$N$27+1,20,24,28,32,36,40),0)/100)))))/Skills!H5,1)))/Inputs!$B$43),G2567*Q2567))*IF(Inputs!$B$38="pvp",1,(1+(Inputs!$B$21+Skills!Q5+(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8">
      <c r="A2568">
        <f>Skills!A6</f>
        <v/>
      </c>
      <c r="B2568">
        <f>Skills!B6</f>
        <v/>
      </c>
      <c r="C2568">
        <f>Inputs!$B$3&gt;=40</f>
        <v/>
      </c>
      <c r="D2568">
        <f>IF(Skills!C6=1,60+Inputs!$B$25+Inputs!$B$29,IF(Skills!C6=2,90+Inputs!$B$26+Inputs!$B$29,IF(Skills!C6=3,120+Inputs!$B$27+Inputs!$B$29,MAX(0,(Inputs!$B$3-100)*3)+Inputs!$B$28+Inputs!$B$29)))</f>
        <v/>
      </c>
      <c r="E2568">
        <f>INDEX(FactorTable!$B$2:$Y$301, MATCH(ROUND(MIN(300,MAX(1,D2568)),0), FactorTable!$A$2:$A$301,0), Skills!M6+1)</f>
        <v/>
      </c>
      <c r="F2568">
        <f>IF(Skills!N6=TRUE,(Skills!L6/10)*(E2568/1000),Skills!L6/10)+Skills!O6</f>
        <v/>
      </c>
      <c r="G2568">
        <f>Skills!G6*IF(Skills!H6&gt;0,Skills!I6/Skills!H6,1)</f>
        <v/>
      </c>
      <c r="H2568">
        <f>1-(1-Skills!J6/100)^Skills!K6</f>
        <v/>
      </c>
      <c r="I2568" t="inlineStr">
        <is>
          <t>1</t>
        </is>
      </c>
      <c r="J2568">
        <f>((Inputs!$B$6*(1+Inputs!$B$7/100))+(((Inputs!$B$12*(1+Inputs!$B$13/100))-(Inputs!$B$12*(1+Inputs!$B$13/100)))+0.25*(Inputs!$B$14-Inputs!$B$14))*(1+Inputs!$B$7/100))*(F2568/100)</f>
        <v/>
      </c>
      <c r="K2568">
        <f>J2568*(1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2569=TRUE,F2569,0)/100)*(1+(IF(Skills!A6="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2568)</f>
        <v/>
      </c>
      <c r="L2568">
        <f>K2568*(MIN(Inputs!$B$22+((C2587=TRUE)*(F2587-Calc!F25)),(Inputs!$B$23+((C2592=TRUE)*(F2592-Calc!F30))+(IF(ArtifactsInput!$M$15,CHOOSE(ArtifactsInput!$N$15+1,25,30,35,40,45,50)/100*(Inputs!$B$11-Inputs!$B$11),0))))/100+(Inputs!$B$23+((C2592=TRUE)*(F2592-Calc!F30))+(IF(ArtifactsInput!$M$15,CHOOSE(ArtifactsInput!$N$15+1,25,30,35,40,45,50)/100*(Inputs!$B$11-Inputs!$B$11),0)))/100)/2</f>
        <v/>
      </c>
      <c r="M2568">
        <f>L2568*(1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8">
        <f>L2568*(1-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2568*(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8">
        <f>(1-Summary!$B$11)*T2568+Summary!$B$11*V2568</f>
        <v/>
      </c>
      <c r="P2568">
        <f>IF(B2606=0,0,O2568/B2606)</f>
        <v/>
      </c>
      <c r="Q2568">
        <f>IFERROR(1/(IF(Inputs!$B$38="pvp",15,MAX(0.1,Skills!D6-IF(Skills!E6=TRUE,Inputs!$B$32,0)))*(1-IF(AND(ArtifactsInput!$M$27,Inputs!$B$4="Chapter Hunt"),CHOOSE(ArtifactsInput!$N$27+1,20,24,28,32,36,40),0)/100)),0)</f>
        <v/>
      </c>
      <c r="R2568">
        <f>IF(AND(Inputs!$B$38&lt;&gt;"pvp",Inputs!$B$43&gt;0),IF(MAX(0,Inputs!$B$43-B2603)&lt;=0,0,(INT(MAX(0,Inputs!$B$43-B2603)/(IF(Inputs!$B$38="pvp",15,MAX(0.1,Skills!D6-IF(Skills!E6=TRUE,Inputs!$B$32,0)))*(1-IF(AND(ArtifactsInput!$M$27,Inputs!$B$4="Chapter Hunt"),CHOOSE(ArtifactsInput!$N$27+1,20,24,28,32,36,40),0)/100)))+1)),0)</f>
        <v/>
      </c>
      <c r="S2568">
        <f>IFERROR(O2568/N2568,0)</f>
        <v/>
      </c>
      <c r="T2568">
        <f>IF(C2568,(H2568*N2568*IF(AND(Inputs!$B$38&lt;&gt;"pvp",Inputs!$B$43&gt;0),((Skills!G6*((R2568-1)*IF(Skills!H6&gt;0,Skills!I6/Skills!H6,1)+IF(Skills!H6&gt;0,MIN(Skills!I6,MAX(0,MAX(0,Inputs!$B$43-B2603)-((R2568-1)*(IF(Inputs!$B$38="pvp",15,MAX(0.1,Skills!D6-IF(Skills!E6=TRUE,Inputs!$B$32,0)))*(1-IF(AND(ArtifactsInput!$M$27,Inputs!$B$4="Chapter Hunt"),CHOOSE(ArtifactsInput!$N$27+1,20,24,28,32,36,40),0)/100)))))/Skills!H6,1)))/Inputs!$B$43),G2568*Q2568)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2568*(1-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2568*(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2568*(1-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2568*(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8">
        <f>IF(C2568,(H2568*N2568*IF(AND(Inputs!$B$38&lt;&gt;"pvp",Inputs!$B$43&gt;0),((Skills!G6*((R2568-1)*IF(Skills!H6&gt;0,Skills!I6/Skills!H6,1)+IF(Skills!H6&gt;0,MIN(Skills!I6,MAX(0,MAX(0,Inputs!$B$43-B2603)-((R2568-1)*(IF(Inputs!$B$38="pvp",15,MAX(0.1,Skills!D6-IF(Skills!E6=TRUE,Inputs!$B$32,0)))*(1-IF(AND(ArtifactsInput!$M$27,Inputs!$B$4="Chapter Hunt"),CHOOSE(ArtifactsInput!$N$27+1,20,24,28,32,36,40),0)/100)))))/Skills!H6,1)))/Inputs!$B$43),G2568*Q2568))*IF(Inputs!$B$38="pvp",1,(1+(Inputs!$B$21+Skills!Q6+(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9">
      <c r="A2569">
        <f>Skills!A7</f>
        <v/>
      </c>
      <c r="B2569">
        <f>Skills!B7</f>
        <v/>
      </c>
      <c r="C2569">
        <f>Inputs!$B$3&gt;=107</f>
        <v/>
      </c>
      <c r="D2569">
        <f>IF(Skills!C7=1,60+Inputs!$B$25+Inputs!$B$29,IF(Skills!C7=2,90+Inputs!$B$26+Inputs!$B$29,IF(Skills!C7=3,120+Inputs!$B$27+Inputs!$B$29,MAX(0,(Inputs!$B$3-100)*3)+Inputs!$B$28+Inputs!$B$29)))</f>
        <v/>
      </c>
      <c r="E2569">
        <f>INDEX(FactorTable!$B$2:$Y$301, MATCH(ROUND(MIN(300,MAX(1,D2569)),0), FactorTable!$A$2:$A$301,0), Skills!M7+1)</f>
        <v/>
      </c>
      <c r="F2569">
        <f>IF(Skills!N7=TRUE,(Skills!L7/10)*(E2569/1000),Skills!L7/10)+Skills!O7</f>
        <v/>
      </c>
      <c r="G2569" t="inlineStr"/>
      <c r="H2569" t="inlineStr"/>
      <c r="I2569" t="inlineStr">
        <is>
          <t>1</t>
        </is>
      </c>
      <c r="J2569" t="inlineStr"/>
      <c r="K2569" t="inlineStr"/>
      <c r="L2569" t="inlineStr"/>
      <c r="M2569" t="inlineStr"/>
      <c r="N2569" t="inlineStr"/>
      <c r="O2569" t="inlineStr"/>
      <c r="P2569" t="inlineStr"/>
      <c r="Q2569" t="inlineStr"/>
      <c r="R2569" t="inlineStr"/>
      <c r="S2569" t="inlineStr"/>
      <c r="T2569" t="inlineStr"/>
      <c r="V2569" t="inlineStr"/>
    </row>
    <row r="2570">
      <c r="A2570">
        <f>Skills!A8</f>
        <v/>
      </c>
      <c r="B2570">
        <f>Skills!B8</f>
        <v/>
      </c>
      <c r="C2570">
        <f>Inputs!$B$3&gt;=69</f>
        <v/>
      </c>
      <c r="D2570">
        <f>IF(Skills!C8=1,60+Inputs!$B$25+Inputs!$B$29,IF(Skills!C8=2,90+Inputs!$B$26+Inputs!$B$29,IF(Skills!C8=3,120+Inputs!$B$27+Inputs!$B$29,MAX(0,(Inputs!$B$3-100)*3)+Inputs!$B$28+Inputs!$B$29)))</f>
        <v/>
      </c>
      <c r="E2570">
        <f>INDEX(FactorTable!$B$2:$Y$301, MATCH(ROUND(MIN(300,MAX(1,D2570)),0), FactorTable!$A$2:$A$301,0), Skills!M8+1)</f>
        <v/>
      </c>
      <c r="F2570">
        <f>IF(Skills!N8=TRUE,(Skills!L8/10)*(E2570/1000),Skills!L8/10)+Skills!O8</f>
        <v/>
      </c>
      <c r="G2570">
        <f>Skills!G8*IF(Skills!H8&gt;0,Skills!I8/Skills!H8,1)</f>
        <v/>
      </c>
      <c r="H2570">
        <f>1-(1-Skills!J8/100)^Skills!K8</f>
        <v/>
      </c>
      <c r="I2570" t="inlineStr">
        <is>
          <t>1</t>
        </is>
      </c>
      <c r="J2570">
        <f>((Inputs!$B$6*(1+Inputs!$B$7/100))+(((Inputs!$B$12*(1+Inputs!$B$13/100))-(Inputs!$B$12*(1+Inputs!$B$13/100)))+0.25*(Inputs!$B$14-Inputs!$B$14))*(1+Inputs!$B$7/100))*(F2570/100)</f>
        <v/>
      </c>
      <c r="K2570">
        <f>J2570*(1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+1.2*IF(C2573=TRUE,F2573,0)/100)*(1+(IF(Skills!A8="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2570)</f>
        <v/>
      </c>
      <c r="L2570">
        <f>K2570*(MIN(Inputs!$B$22+((C2587=TRUE)*(F2587-Calc!F25)),(Inputs!$B$23+((C2592=TRUE)*(F2592-Calc!F30))+(IF(ArtifactsInput!$M$15,CHOOSE(ArtifactsInput!$N$15+1,25,30,35,40,45,50)/100*(Inputs!$B$11-Inputs!$B$11),0))))/100+(Inputs!$B$23+((C2592=TRUE)*(F2592-Calc!F30))+(IF(ArtifactsInput!$M$15,CHOOSE(ArtifactsInput!$N$15+1,25,30,35,40,45,50)/100*(Inputs!$B$11-Inputs!$B$11),0)))/100)/2</f>
        <v/>
      </c>
      <c r="M2570">
        <f>L2570*(1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0">
        <f>L2570*(1-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2570*(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0">
        <f>(1-Summary!$B$11)*T2570+Summary!$B$11*V2570</f>
        <v/>
      </c>
      <c r="P2570">
        <f>IF(B2606=0,0,O2570/B2606)</f>
        <v/>
      </c>
      <c r="Q2570">
        <f>IFERROR(1/(IF(Inputs!$B$38="pvp",15,MAX(0.1,Skills!D8-IF(Skills!E8=TRUE,Inputs!$B$32,0)))*(1-IF(AND(ArtifactsInput!$M$27,Inputs!$B$4="Chapter Hunt"),CHOOSE(ArtifactsInput!$N$27+1,20,24,28,32,36,40),0)/100)),0)</f>
        <v/>
      </c>
      <c r="R2570">
        <f>IF(AND(Inputs!$B$38&lt;&gt;"pvp",Inputs!$B$43&gt;0),IF(MAX(0,Inputs!$B$43-B2603)&lt;=0,0,(INT(MAX(0,Inputs!$B$43-B2603)/(IF(Inputs!$B$38="pvp",15,MAX(0.1,Skills!D8-IF(Skills!E8=TRUE,Inputs!$B$32,0)))*(1-IF(AND(ArtifactsInput!$M$27,Inputs!$B$4="Chapter Hunt"),CHOOSE(ArtifactsInput!$N$27+1,20,24,28,32,36,40),0)/100)))+1)),0)</f>
        <v/>
      </c>
      <c r="S2570">
        <f>IFERROR(O2570/N2570,0)</f>
        <v/>
      </c>
      <c r="T2570">
        <f>IF(C2570,(H2570*N2570*IF(AND(Inputs!$B$38&lt;&gt;"pvp",Inputs!$B$43&gt;0),((Skills!G8*((R2570-1)*IF(Skills!H8&gt;0,Skills!I8/Skills!H8,1)+IF(Skills!H8&gt;0,MIN(Skills!I8,MAX(0,MAX(0,Inputs!$B$43-B2603)-((R2570-1)*(IF(Inputs!$B$38="pvp",15,MAX(0.1,Skills!D8-IF(Skills!E8=TRUE,Inputs!$B$32,0)))*(1-IF(AND(ArtifactsInput!$M$27,Inputs!$B$4="Chapter Hunt"),CHOOSE(ArtifactsInput!$N$27+1,20,24,28,32,36,40),0)/100)))))/Skills!H8,1)))/Inputs!$B$43),G2570*Q2570)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2570*(1-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2570*(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2570*(1-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2570*(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0">
        <f>IF(C2570,(H2570*N2570*IF(AND(Inputs!$B$38&lt;&gt;"pvp",Inputs!$B$43&gt;0),((Skills!G8*((R2570-1)*IF(Skills!H8&gt;0,Skills!I8/Skills!H8,1)+IF(Skills!H8&gt;0,MIN(Skills!I8,MAX(0,MAX(0,Inputs!$B$43-B2603)-((R2570-1)*(IF(Inputs!$B$38="pvp",15,MAX(0.1,Skills!D8-IF(Skills!E8=TRUE,Inputs!$B$32,0)))*(1-IF(AND(ArtifactsInput!$M$27,Inputs!$B$4="Chapter Hunt"),CHOOSE(ArtifactsInput!$N$27+1,20,24,28,32,36,40),0)/100)))))/Skills!H8,1)))/Inputs!$B$43),G2570*Q2570))*IF(Inputs!$B$38="pvp",1,(1+(Inputs!$B$21+Skills!Q8+(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1">
      <c r="A2571">
        <f>Skills!A9</f>
        <v/>
      </c>
      <c r="B2571">
        <f>Skills!B9</f>
        <v/>
      </c>
      <c r="C2571">
        <f>Inputs!$B$3&gt;=63</f>
        <v/>
      </c>
      <c r="D2571">
        <f>IF(Skills!C9=1,60+Inputs!$B$25+Inputs!$B$29,IF(Skills!C9=2,90+Inputs!$B$26+Inputs!$B$29,IF(Skills!C9=3,120+Inputs!$B$27+Inputs!$B$29,MAX(0,(Inputs!$B$3-100)*3)+Inputs!$B$28+Inputs!$B$29)))</f>
        <v/>
      </c>
      <c r="E2571">
        <f>INDEX(FactorTable!$B$2:$Y$301, MATCH(ROUND(MIN(300,MAX(1,D2571)),0), FactorTable!$A$2:$A$301,0), Skills!M9+1)</f>
        <v/>
      </c>
      <c r="F2571">
        <f>IF(Skills!N9=TRUE,(Skills!L9/10)*(E2571/1000),Skills!L9/10)+Skills!O9</f>
        <v/>
      </c>
      <c r="G2571">
        <f>Skills!G9*IF(Skills!H9&gt;0,Skills!I9/Skills!H9,1)</f>
        <v/>
      </c>
      <c r="H2571">
        <f>1-(1-Skills!J9/100)^Skills!K9</f>
        <v/>
      </c>
      <c r="I2571" t="inlineStr">
        <is>
          <t>1</t>
        </is>
      </c>
      <c r="J2571">
        <f>((Inputs!$B$6*(1+Inputs!$B$7/100))+(((Inputs!$B$12*(1+Inputs!$B$13/100))-(Inputs!$B$12*(1+Inputs!$B$13/100)))+0.25*(Inputs!$B$14-Inputs!$B$14))*(1+Inputs!$B$7/100))*(F2571/100)</f>
        <v/>
      </c>
      <c r="K2571">
        <f>J2571*(1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2573=TRUE,F2573,0)/100)*(1+(IF(Skills!A9="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2571)</f>
        <v/>
      </c>
      <c r="L2571">
        <f>K2571*(MIN(Inputs!$B$22+((C2587=TRUE)*(F2587-Calc!F25)),(Inputs!$B$23+((C2592=TRUE)*(F2592-Calc!F30))+(IF(ArtifactsInput!$M$15,CHOOSE(ArtifactsInput!$N$15+1,25,30,35,40,45,50)/100*(Inputs!$B$11-Inputs!$B$11),0))))/100+(Inputs!$B$23+((C2592=TRUE)*(F2592-Calc!F30))+(IF(ArtifactsInput!$M$15,CHOOSE(ArtifactsInput!$N$15+1,25,30,35,40,45,50)/100*(Inputs!$B$11-Inputs!$B$11),0)))/100)/2</f>
        <v/>
      </c>
      <c r="M2571">
        <f>L2571*(1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1">
        <f>L2571*(1-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1">
        <f>(1-Summary!$B$11)*T2571+Summary!$B$11*V2571</f>
        <v/>
      </c>
      <c r="P2571">
        <f>IF(B2606=0,0,O2571/B2606)</f>
        <v/>
      </c>
      <c r="Q2571">
        <f>IFERROR(1/(IF(Inputs!$B$38="pvp",15,MAX(0.1,Skills!D9-IF(Skills!E9=TRUE,Inputs!$B$32,0)))*(1-IF(AND(ArtifactsInput!$M$27,Inputs!$B$4="Chapter Hunt"),CHOOSE(ArtifactsInput!$N$27+1,20,24,28,32,36,40),0)/100)),0)</f>
        <v/>
      </c>
      <c r="R2571">
        <f>IF(AND(Inputs!$B$38&lt;&gt;"pvp",Inputs!$B$43&gt;0),IF(MAX(0,Inputs!$B$43-B2603)&lt;=0,0,(INT(MAX(0,Inputs!$B$43-B2603)/(IF(Inputs!$B$38="pvp",15,MAX(0.1,Skills!D9-IF(Skills!E9=TRUE,Inputs!$B$32,0)))*(1-IF(AND(ArtifactsInput!$M$27,Inputs!$B$4="Chapter Hunt"),CHOOSE(ArtifactsInput!$N$27+1,20,24,28,32,36,40),0)/100)))+1)),0)</f>
        <v/>
      </c>
      <c r="S2571">
        <f>IFERROR(O2571/N2571,0)</f>
        <v/>
      </c>
      <c r="T2571">
        <f>IF(C2571,(H2571*N2571*IF(AND(Inputs!$B$38&lt;&gt;"pvp",Inputs!$B$43&gt;0),((Skills!G9*((R2571-1)*IF(Skills!H9&gt;0,Skills!I9/Skills!H9,1)+IF(Skills!H9&gt;0,MIN(Skills!I9,MAX(0,MAX(0,Inputs!$B$43-B2603)-((R2571-1)*(IF(Inputs!$B$38="pvp",15,MAX(0.1,Skills!D9-IF(Skills!E9=TRUE,Inputs!$B$32,0)))*(1-IF(AND(ArtifactsInput!$M$27,Inputs!$B$4="Chapter Hunt"),CHOOSE(ArtifactsInput!$N$27+1,20,24,28,32,36,40),0)/100)))))/Skills!H9,1)))/Inputs!$B$43),G2571*Q2571)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2571*(1-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2571*(1-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1">
        <f>IF(C2571,(H2571*N2571*IF(AND(Inputs!$B$38&lt;&gt;"pvp",Inputs!$B$43&gt;0),((Skills!G9*((R2571-1)*IF(Skills!H9&gt;0,Skills!I9/Skills!H9,1)+IF(Skills!H9&gt;0,MIN(Skills!I9,MAX(0,MAX(0,Inputs!$B$43-B2603)-((R2571-1)*(IF(Inputs!$B$38="pvp",15,MAX(0.1,Skills!D9-IF(Skills!E9=TRUE,Inputs!$B$32,0)))*(1-IF(AND(ArtifactsInput!$M$27,Inputs!$B$4="Chapter Hunt"),CHOOSE(ArtifactsInput!$N$27+1,20,24,28,32,36,40),0)/100)))))/Skills!H9,1)))/Inputs!$B$43),G2571*Q2571))*IF(Inputs!$B$38="pvp",1,(1+(Inputs!$B$21+Skills!Q9+(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2">
      <c r="A2572">
        <f>Skills!A10</f>
        <v/>
      </c>
      <c r="B2572">
        <f>Skills!B10</f>
        <v/>
      </c>
      <c r="C2572">
        <f>Inputs!$B$3&gt;=103</f>
        <v/>
      </c>
      <c r="D2572">
        <f>IF(Skills!C10=1,60+Inputs!$B$25+Inputs!$B$29,IF(Skills!C10=2,90+Inputs!$B$26+Inputs!$B$29,IF(Skills!C10=3,120+Inputs!$B$27+Inputs!$B$29,MAX(0,(Inputs!$B$3-100)*3)+Inputs!$B$28+Inputs!$B$29)))</f>
        <v/>
      </c>
      <c r="E2572">
        <f>INDEX(FactorTable!$B$2:$Y$301, MATCH(ROUND(MIN(300,MAX(1,D2572)),0), FactorTable!$A$2:$A$301,0), Skills!M10+1)</f>
        <v/>
      </c>
      <c r="F2572">
        <f>IF(Skills!N10=TRUE,(Skills!L10/10)*(E2572/1000),Skills!L10/10)+Skills!O10</f>
        <v/>
      </c>
      <c r="G2572">
        <f>Skills!G10*IF(Skills!H10&gt;0,Skills!I10/Skills!H10,1)</f>
        <v/>
      </c>
      <c r="H2572">
        <f>1-(1-Skills!J10/100)^Skills!K10</f>
        <v/>
      </c>
      <c r="I2572" t="inlineStr">
        <is>
          <t>1</t>
        </is>
      </c>
      <c r="J2572">
        <f>((Inputs!$B$6*(1+Inputs!$B$7/100))+(((Inputs!$B$12*(1+Inputs!$B$13/100))-(Inputs!$B$12*(1+Inputs!$B$13/100)))+0.25*(Inputs!$B$14-Inputs!$B$14))*(1+Inputs!$B$7/100))*(F2572/100)</f>
        <v/>
      </c>
      <c r="K2572">
        <f>J2572*(1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2572)</f>
        <v/>
      </c>
      <c r="L2572">
        <f>K2572*(MIN(Inputs!$B$22+((C2587=TRUE)*(F2587-Calc!F25)),(Inputs!$B$23+((C2592=TRUE)*(F2592-Calc!F30))+(IF(ArtifactsInput!$M$15,CHOOSE(ArtifactsInput!$N$15+1,25,30,35,40,45,50)/100*(Inputs!$B$11-Inputs!$B$11),0))))/100+(Inputs!$B$23+((C2592=TRUE)*(F2592-Calc!F30))+(IF(ArtifactsInput!$M$15,CHOOSE(ArtifactsInput!$N$15+1,25,30,35,40,45,50)/100*(Inputs!$B$11-Inputs!$B$11),0)))/100)/2</f>
        <v/>
      </c>
      <c r="M2572">
        <f>L2572*(1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2">
        <f>L2572*(1-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2572*(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2">
        <f>(1-Summary!$B$11)*T2572+Summary!$B$11*V2572</f>
        <v/>
      </c>
      <c r="P2572">
        <f>IF(B2606=0,0,O2572/B2606)</f>
        <v/>
      </c>
      <c r="Q2572">
        <f>IFERROR(1/(IF(Inputs!$B$38="pvp",15,MAX(0.1,Skills!D10-IF(Skills!E10=TRUE,Inputs!$B$32,0)))*(1-IF(AND(ArtifactsInput!$M$27,Inputs!$B$4="Chapter Hunt"),CHOOSE(ArtifactsInput!$N$27+1,20,24,28,32,36,40),0)/100)),0)</f>
        <v/>
      </c>
      <c r="R2572">
        <f>IF(AND(Inputs!$B$38&lt;&gt;"pvp",Inputs!$B$43&gt;0),IF(MAX(0,Inputs!$B$43-B2603)&lt;=0,0,(INT(MAX(0,Inputs!$B$43-B2603)/(IF(Inputs!$B$38="pvp",15,MAX(0.1,Skills!D10-IF(Skills!E10=TRUE,Inputs!$B$32,0)))*(1-IF(AND(ArtifactsInput!$M$27,Inputs!$B$4="Chapter Hunt"),CHOOSE(ArtifactsInput!$N$27+1,20,24,28,32,36,40),0)/100)))+1)),0)</f>
        <v/>
      </c>
      <c r="S2572">
        <f>IFERROR(O2572/N2572,0)</f>
        <v/>
      </c>
      <c r="T2572">
        <f>IF(C2572,(H2572*N2572*IF(AND(Inputs!$B$38&lt;&gt;"pvp",Inputs!$B$43&gt;0),((Skills!G10*((R2572-1)*IF(Skills!H10&gt;0,Skills!I10/Skills!H10,1)+IF(Skills!H10&gt;0,MIN(Skills!I10,MAX(0,MAX(0,Inputs!$B$43-B2603)-((R2572-1)*(IF(Inputs!$B$38="pvp",15,MAX(0.1,Skills!D10-IF(Skills!E10=TRUE,Inputs!$B$32,0)))*(1-IF(AND(ArtifactsInput!$M$27,Inputs!$B$4="Chapter Hunt"),CHOOSE(ArtifactsInput!$N$27+1,20,24,28,32,36,40),0)/100)))))/Skills!H10,1)))/Inputs!$B$43),G2572*Q2572)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2572*(1-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2572*(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2572*(1-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2572*(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2">
        <f>IF(C2572,(H2572*N2572*IF(AND(Inputs!$B$38&lt;&gt;"pvp",Inputs!$B$43&gt;0),((Skills!G10*((R2572-1)*IF(Skills!H10&gt;0,Skills!I10/Skills!H10,1)+IF(Skills!H10&gt;0,MIN(Skills!I10,MAX(0,MAX(0,Inputs!$B$43-B2603)-((R2572-1)*(IF(Inputs!$B$38="pvp",15,MAX(0.1,Skills!D10-IF(Skills!E10=TRUE,Inputs!$B$32,0)))*(1-IF(AND(ArtifactsInput!$M$27,Inputs!$B$4="Chapter Hunt"),CHOOSE(ArtifactsInput!$N$27+1,20,24,28,32,36,40),0)/100)))))/Skills!H10,1)))/Inputs!$B$43),G2572*Q2572))*IF(Inputs!$B$38="pvp",1,(1+(Inputs!$B$21+Skills!Q10+(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3">
      <c r="A2573">
        <f>Skills!A11</f>
        <v/>
      </c>
      <c r="B2573">
        <f>Skills!B11</f>
        <v/>
      </c>
      <c r="C2573">
        <f>Inputs!$B$3&gt;=100</f>
        <v/>
      </c>
      <c r="D2573">
        <f>IF(Skills!C11=1,60+Inputs!$B$25+Inputs!$B$29,IF(Skills!C11=2,90+Inputs!$B$26+Inputs!$B$29,IF(Skills!C11=3,120+Inputs!$B$27+Inputs!$B$29,MAX(0,(Inputs!$B$3-100)*3)+Inputs!$B$28+Inputs!$B$29)))</f>
        <v/>
      </c>
      <c r="E2573">
        <f>INDEX(FactorTable!$B$2:$Y$301, MATCH(ROUND(MIN(300,MAX(1,D2573)),0), FactorTable!$A$2:$A$301,0), Skills!M11+1)</f>
        <v/>
      </c>
      <c r="F2573">
        <f>IF(Skills!N11=TRUE,(Skills!L11/10)*(E2573/1000),Skills!L11/10)+Skills!O11</f>
        <v/>
      </c>
      <c r="G2573" t="inlineStr"/>
      <c r="H2573" t="inlineStr"/>
      <c r="I2573" t="inlineStr">
        <is>
          <t>1</t>
        </is>
      </c>
      <c r="J2573" t="inlineStr"/>
      <c r="K2573" t="inlineStr"/>
      <c r="L2573" t="inlineStr"/>
      <c r="M2573" t="inlineStr"/>
      <c r="N2573" t="inlineStr"/>
      <c r="O2573" t="inlineStr"/>
      <c r="P2573" t="inlineStr"/>
      <c r="Q2573" t="inlineStr"/>
      <c r="R2573" t="inlineStr"/>
      <c r="S2573" t="inlineStr"/>
      <c r="T2573" t="inlineStr"/>
      <c r="V2573" t="inlineStr"/>
    </row>
    <row r="2574">
      <c r="A2574">
        <f>Skills!A12</f>
        <v/>
      </c>
      <c r="B2574">
        <f>Skills!B12</f>
        <v/>
      </c>
      <c r="C2574">
        <f>Inputs!$B$3&gt;=60</f>
        <v/>
      </c>
      <c r="D2574">
        <f>IF(Skills!C12=1,60+Inputs!$B$25+Inputs!$B$29,IF(Skills!C12=2,90+Inputs!$B$26+Inputs!$B$29,IF(Skills!C12=3,120+Inputs!$B$27+Inputs!$B$29,MAX(0,(Inputs!$B$3-100)*3)+Inputs!$B$28+Inputs!$B$29)))</f>
        <v/>
      </c>
      <c r="E2574">
        <f>INDEX(FactorTable!$B$2:$Y$301, MATCH(ROUND(MIN(300,MAX(1,D2574)),0), FactorTable!$A$2:$A$301,0), Skills!M12+1)</f>
        <v/>
      </c>
      <c r="F2574">
        <f>IF(Skills!N12=TRUE,(Skills!L12/10)*(E2574/1000),Skills!L12/10)+Skills!O12</f>
        <v/>
      </c>
      <c r="G2574">
        <f>Skills!G12*IF(Skills!H12&gt;0,Skills!I12/Skills!H12,1)</f>
        <v/>
      </c>
      <c r="H2574">
        <f>1-(1-Skills!J12/100)^Skills!K12</f>
        <v/>
      </c>
      <c r="I2574" t="inlineStr">
        <is>
          <t>1</t>
        </is>
      </c>
      <c r="J2574">
        <f>((Inputs!$B$6*(1+Inputs!$B$7/100))+(((Inputs!$B$12*(1+Inputs!$B$13/100))-(Inputs!$B$12*(1+Inputs!$B$13/100)))+0.25*(Inputs!$B$14-Inputs!$B$14))*(1+Inputs!$B$7/100))*(F2574/100)</f>
        <v/>
      </c>
      <c r="K2574">
        <f>J2574*(1+((Inputs!$B$12*(1+Inputs!$B$13/100))*0.01+Inputs!$B$14*0.0025)/100)*(1+Inputs!$B$15/100)*(1+Inputs!$B$16/100)*(5000/(6000+Inputs!$B$42*(1-(100*(1-(1-(Inputs!$B$19+((C2590=TRUE)*(F2590-Calc!F28)))/100)*(1-CHOOSE(ArtifactsInput!$N$40+1,5,6,7,8,9,10)/100)^(ArtifactsInput!$M$40-ArtifactsInput!$M$40)))/100)))*(1+(Inputs!$B$24+((C2588=TRUE)*(F2588-Calc!F26))+((C2589=TRUE)*(F2589-Calc!F27))+B2602)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2575=TRUE,F2575,0)/100)*(1+(IF(Skills!A12="ARROW_STREAM",Inputs!$B$17+((C2586=TRUE)*(F2586-Calc!F24))+(((IF(AND(ArtifactsInput!$M$42,((Inputs!$B$9+((C2583=TRUE)*(F2583-Calc!F21))+B2596+(ArtifactsInput!$M$24-ArtifactsInput!$M$24)*CHOOSE(ArtifactsInput!$N$24+1,10,12,14,16,18,20)+IF(ArtifactsInput!$M$10,CHOOSE(ArtifactsInput!$N$10+1,15,18,21,24,27,30)*(IF(Inputs!$B$38="pvp",MIN(15,15)/15,IF(AND(Inputs!$B$38&lt;&gt;"pvp",Inputs!$B$43&gt;0),MIN(15,Inputs!$B$43)/(Inputs!$B$43),0))),0)))&gt;=100),MIN(100,((Inputs!$B$9+((C2583=TRUE)*(F2583-Calc!F21))+B2596+(ArtifactsInput!$M$24-ArtifactsInput!$M$24)*CHOOSE(ArtifactsInput!$N$24+1,10,12,14,16,18,20)+IF(ArtifactsInput!$M$10,CHOOSE(ArtifactsInput!$N$10+1,15,18,21,24,27,30)*(IF(Inputs!$B$38="pvp",MIN(15,15)/15,IF(AND(Inputs!$B$38&lt;&gt;"pvp",Inputs!$B$43&gt;0),MIN(15,Inputs!$B$43)/(Inputs!$B$43),0))),0)))-100),0))*CHOOSE(ArtifactsInput!$N$42+1,0.6,0.72,0.84,0.96,1.08,1.2))),Inputs!$B$18+((C2591=TRUE)*(F2591-Calc!F29))+(IF(AND(ArtifactsInput!$M$42,((Inputs!$B$9+((C2583=TRUE)*(F2583-Calc!F21))+B2596+(ArtifactsInput!$M$24-ArtifactsInput!$M$24)*CHOOSE(ArtifactsInput!$N$24+1,10,12,14,16,18,20)+IF(ArtifactsInput!$M$10,CHOOSE(ArtifactsInput!$N$10+1,15,18,21,24,27,30)*(IF(Inputs!$B$38="pvp",MIN(15,15)/15,IF(AND(Inputs!$B$38&lt;&gt;"pvp",Inputs!$B$43&gt;0),MIN(15,Inputs!$B$43)/(Inputs!$B$43),0))),0)))&gt;=100),CHOOSE(ArtifactsInput!$N$42+1,40,48,56,64,72,80),0))))/100)*((1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2574)</f>
        <v/>
      </c>
      <c r="L2574">
        <f>K2574*(MIN(Inputs!$B$22+((C2587=TRUE)*(F2587-Calc!F25)),(Inputs!$B$23+((C2592=TRUE)*(F2592-Calc!F30))+(IF(ArtifactsInput!$M$15,CHOOSE(ArtifactsInput!$N$15+1,25,30,35,40,45,50)/100*(Inputs!$B$11-Inputs!$B$11),0))))/100+(Inputs!$B$23+((C2592=TRUE)*(F2592-Calc!F30))+(IF(ArtifactsInput!$M$15,CHOOSE(ArtifactsInput!$N$15+1,25,30,35,40,45,50)/100*(Inputs!$B$11-Inputs!$B$11),0)))/100)/2</f>
        <v/>
      </c>
      <c r="M2574">
        <f>L2574*(1+(Inputs!$B$10+0+B2601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4">
        <f>L2574*(1-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2574*(MIN((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4">
        <f>(1-Summary!$B$11)*T2574+Summary!$B$11*V2574</f>
        <v/>
      </c>
      <c r="P2574">
        <f>IF(B2606=0,0,O2574/B2606)</f>
        <v/>
      </c>
      <c r="Q2574">
        <f>IFERROR(1/(IF(Inputs!$B$38="pvp",15,MAX(0.1,Skills!D12-IF(Skills!E12=TRUE,Inputs!$B$32,0)))*(1-IF(AND(ArtifactsInput!$M$27,Inputs!$B$4="Chapter Hunt"),CHOOSE(ArtifactsInput!$N$27+1,20,24,28,32,36,40),0)/100)),0)</f>
        <v/>
      </c>
      <c r="R2574">
        <f>IF(AND(Inputs!$B$38&lt;&gt;"pvp",Inputs!$B$43&gt;0),IF(MAX(0,Inputs!$B$43-B2603)&lt;=0,0,(INT(MAX(0,Inputs!$B$43-B2603)/(IF(Inputs!$B$38="pvp",15,MAX(0.1,Skills!D12-IF(Skills!E12=TRUE,Inputs!$B$32,0)))*(1-IF(AND(ArtifactsInput!$M$27,Inputs!$B$4="Chapter Hunt"),CHOOSE(ArtifactsInput!$N$27+1,20,24,28,32,36,40),0)/100)))+1)),0)</f>
        <v/>
      </c>
      <c r="S2574">
        <f>IFERROR(O2574/N2574,0)</f>
        <v/>
      </c>
      <c r="T2574">
        <f>IF(C2574,(H2574*N2574*IF(AND(Inputs!$B$38&lt;&gt;"pvp",Inputs!$B$43&gt;0),((Skills!G12*((R2574-1)*IF(Skills!H12&gt;0,Skills!I12/Skills!H12,1)+IF(Skills!H12&gt;0,MIN(Skills!I12,MAX(0,MAX(0,Inputs!$B$43-B2603)-((R2574-1)*(IF(Inputs!$B$38="pvp",15,MAX(0.1,Skills!D12-IF(Skills!E12=TRUE,Inputs!$B$32,0)))*(1-IF(AND(ArtifactsInput!$M$27,Inputs!$B$4="Chapter Hunt"),CHOOSE(ArtifactsInput!$N$27+1,20,24,28,32,36,40),0)/100)))))/Skills!H12,1)))/Inputs!$B$43),G2574*Q2574)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(5000/(6000+Inputs!$B$42*(1-(100*(1-(1-(100*(1-(1-(Inputs!$B$19+((C2590=TRUE)*(F2590-Calc!F28)))/100)*(1-CHOOSE(ArtifactsInput!$N$40+1,5,6,7,8,9,10)/100)^(ArtifactsInput!$M$40-ArtifactsInput!$M$40)))/100)*(1-IF(ArtifactsInput!$M$40,CHOOSE(ArtifactsInput!$N$40+1,5,6,7,8,9,10),0)/100)^IF(Inputs!$B$38="pvp",1,2)))/100)))/(5000/(6000+Inputs!$B$42*(1-(100*(1-(1-(Inputs!$B$19+((C2590=TRUE)*(F2590-Calc!F28)))/100)*(1-CHOOSE(ArtifactsInput!$N$40+1,5,6,7,8,9,10)/100)^(ArtifactsInput!$M$40-ArtifactsInput!$M$40)))/100))))*((L2574*(1-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2574*(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2574*(1-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2574*(MIN(100,(Inputs!$B$9+((C2583=TRUE)*(F2583-Calc!F21))+B2596+(ArtifactsInput!$M$24-ArtifactsInput!$M$24)*CHOOSE(ArtifactsInput!$N$24+1,10,12,14,16,18,20)+(IF(AND(ArtifactsInput!$M$42,((Inputs!$B$9+((C2583=TRUE)*(F2583-Calc!F21))+B2596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4">
        <f>IF(C2574,(H2574*N2574*IF(AND(Inputs!$B$38&lt;&gt;"pvp",Inputs!$B$43&gt;0),((Skills!G12*((R2574-1)*IF(Skills!H12&gt;0,Skills!I12/Skills!H12,1)+IF(Skills!H12&gt;0,MIN(Skills!I12,MAX(0,MAX(0,Inputs!$B$43-B2603)-((R2574-1)*(IF(Inputs!$B$38="pvp",15,MAX(0.1,Skills!D12-IF(Skills!E12=TRUE,Inputs!$B$32,0)))*(1-IF(AND(ArtifactsInput!$M$27,Inputs!$B$4="Chapter Hunt"),CHOOSE(ArtifactsInput!$N$27+1,20,24,28,32,36,40),0)/100)))))/Skills!H12,1)))/Inputs!$B$43),G2574*Q2574))*IF(Inputs!$B$38="pvp",1,(1+(Inputs!$B$21+Skills!Q12+(IF(ArtifactsInput!$M$33,CHOOSE(ArtifactsInput!$N$33+1,30,36,42,48,54,60),0))+(IF(AND(ArtifactsInput!$M$35,Inputs!$B$4&lt;&gt;"Chapter Hunt"),CHOOSE(ArtifactsInput!$N$35+1,15,18,21,24,27,30)*(1-EXP(-(0.2*B2598)*5)),0)+IF(AND(ArtifactsInput!$M$22,Inputs!$B$4&lt;&gt;"Chapter Hunt"),CHOOSE(ArtifactsInput!$N$22+1,10,12,14,16,18,20)*((0*(((0.15*B2598*5))^0/1)+1*(((0.15*B2598*5))^1/1)+2*(((0.15*B2598*5))^2/2)+3*(((0.15*B2598*5))^3/6)+4*(((0.15*B2598*5))^4/24)+5*(((0.15*B2598*5))^5/120))/((((0.15*B2598*5))^0/1)+(((0.15*B2598*5))^1/1)+(((0.15*B2598*5))^2/2)+(((0.15*B2598*5))^3/6)+(((0.15*B2598*5))^4/24)+(((0.15*B2598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5">
      <c r="A2575">
        <f>Skills!A13</f>
        <v/>
      </c>
      <c r="B2575">
        <f>Skills!B13</f>
        <v/>
      </c>
      <c r="C2575">
        <f>Inputs!$B$3&gt;=110</f>
        <v/>
      </c>
      <c r="D2575">
        <f>IF(Skills!C13=1,60+Inputs!$B$25+Inputs!$B$29,IF(Skills!C13=2,90+Inputs!$B$26+Inputs!$B$29,IF(Skills!C13=3,120+Inputs!$B$27+Inputs!$B$29,MAX(0,(Inputs!$B$3-100)*3)+Inputs!$B$28+Inputs!$B$29)))</f>
        <v/>
      </c>
      <c r="E2575">
        <f>INDEX(FactorTable!$B$2:$Y$301, MATCH(ROUND(MIN(300,MAX(1,D2575)),0), FactorTable!$A$2:$A$301,0), Skills!M13+1)</f>
        <v/>
      </c>
      <c r="F2575">
        <f>IF(Skills!N13=TRUE,(Skills!L13/10)*(E2575/1000),Skills!L13/10)+Skills!O13</f>
        <v/>
      </c>
      <c r="G2575" t="inlineStr"/>
      <c r="H2575" t="inlineStr"/>
      <c r="I2575" t="inlineStr">
        <is>
          <t>1</t>
        </is>
      </c>
      <c r="J2575" t="inlineStr"/>
      <c r="K2575" t="inlineStr"/>
      <c r="L2575" t="inlineStr"/>
      <c r="M2575" t="inlineStr"/>
      <c r="N2575" t="inlineStr"/>
      <c r="O2575" t="inlineStr"/>
      <c r="P2575" t="inlineStr"/>
      <c r="Q2575" t="inlineStr"/>
      <c r="R2575" t="inlineStr"/>
      <c r="S2575" t="inlineStr"/>
      <c r="T2575" t="inlineStr"/>
      <c r="V2575" t="inlineStr"/>
    </row>
    <row r="2576">
      <c r="A2576">
        <f>Skills!A14</f>
        <v/>
      </c>
      <c r="B2576">
        <f>Skills!B14</f>
        <v/>
      </c>
      <c r="C2576">
        <f>Inputs!$B$3&gt;=74</f>
        <v/>
      </c>
      <c r="D2576">
        <f>IF(Skills!C14=1,60+Inputs!$B$25+Inputs!$B$29,IF(Skills!C14=2,90+Inputs!$B$26+Inputs!$B$29,IF(Skills!C14=3,120+Inputs!$B$27+Inputs!$B$29,MAX(0,(Inputs!$B$3-100)*3)+Inputs!$B$28+Inputs!$B$29)))</f>
        <v/>
      </c>
      <c r="E2576">
        <f>INDEX(FactorTable!$B$2:$Y$301, MATCH(ROUND(MIN(300,MAX(1,D2576)),0), FactorTable!$A$2:$A$301,0), Skills!M14+1)</f>
        <v/>
      </c>
      <c r="F2576">
        <f>IF(Skills!N14=TRUE,(Skills!L14/10)*(E2576/1000),Skills!L14/10)+Skills!O14</f>
        <v/>
      </c>
      <c r="G2576">
        <f>Skills!G14*IF(Skills!H14&gt;0,Skills!I14/Skills!H14,1)</f>
        <v/>
      </c>
      <c r="H2576">
        <f>1-(1-Skills!J14/100)^Skills!K14</f>
        <v/>
      </c>
      <c r="I2576" t="inlineStr">
        <is>
          <t>1</t>
        </is>
      </c>
      <c r="J2576" t="inlineStr"/>
      <c r="K2576" t="inlineStr"/>
      <c r="L2576" t="inlineStr"/>
      <c r="M2576" t="inlineStr"/>
      <c r="N2576" t="inlineStr"/>
      <c r="O2576">
        <f>(1-Summary!$B$11)*T2576+Summary!$B$11*V2576</f>
        <v/>
      </c>
      <c r="P2576">
        <f>IF(B2606=0,0,O2576/B2606)</f>
        <v/>
      </c>
      <c r="Q2576" t="n">
        <v>0</v>
      </c>
      <c r="R2576" t="n">
        <v>0</v>
      </c>
      <c r="S2576">
        <f>IFERROR(O2576/N2576,0)</f>
        <v/>
      </c>
      <c r="T2576" t="n">
        <v>0</v>
      </c>
      <c r="V2576" t="n">
        <v>0</v>
      </c>
    </row>
    <row r="2577">
      <c r="A2577">
        <f>Skills!A15</f>
        <v/>
      </c>
      <c r="B2577">
        <f>Skills!B15</f>
        <v/>
      </c>
      <c r="C2577">
        <f>Inputs!$B$3&gt;=74</f>
        <v/>
      </c>
      <c r="D2577">
        <f>IF(Skills!C15=1,60+Inputs!$B$25+Inputs!$B$29,IF(Skills!C15=2,90+Inputs!$B$26+Inputs!$B$29,IF(Skills!C15=3,120+Inputs!$B$27+Inputs!$B$29,MAX(0,(Inputs!$B$3-100)*3)+Inputs!$B$28+Inputs!$B$29)))</f>
        <v/>
      </c>
      <c r="E2577">
        <f>INDEX(FactorTable!$B$2:$Y$301, MATCH(ROUND(MIN(300,MAX(1,D2577)),0), FactorTable!$A$2:$A$301,0), Skills!M15+1)</f>
        <v/>
      </c>
      <c r="F2577">
        <f>IF(Skills!N15=TRUE,(Skills!L15/10)*(E2577/1000),Skills!L15/10)+Skills!O15</f>
        <v/>
      </c>
      <c r="G2577">
        <f>Skills!G15*IF(Skills!H15&gt;0,Skills!I15/Skills!H15,1)</f>
        <v/>
      </c>
      <c r="H2577">
        <f>1-(1-Skills!J15/100)^Skills!K15</f>
        <v/>
      </c>
      <c r="I2577" t="inlineStr">
        <is>
          <t>1</t>
        </is>
      </c>
      <c r="J2577" t="inlineStr"/>
      <c r="K2577" t="inlineStr"/>
      <c r="L2577" t="inlineStr"/>
      <c r="M2577" t="inlineStr"/>
      <c r="N2577" t="inlineStr"/>
      <c r="O2577">
        <f>(1-Summary!$B$11)*T2577+Summary!$B$11*V2577</f>
        <v/>
      </c>
      <c r="P2577">
        <f>IF(B2606=0,0,O2577/B2606)</f>
        <v/>
      </c>
      <c r="Q2577" t="n">
        <v>0</v>
      </c>
      <c r="R2577" t="n">
        <v>0</v>
      </c>
      <c r="S2577">
        <f>IFERROR(O2577/N2577,0)</f>
        <v/>
      </c>
      <c r="T2577" t="n">
        <v>0</v>
      </c>
      <c r="V2577" t="n">
        <v>0</v>
      </c>
    </row>
    <row r="2578">
      <c r="A2578">
        <f>Skills!A16</f>
        <v/>
      </c>
      <c r="B2578">
        <f>Skills!B16</f>
        <v/>
      </c>
      <c r="C2578">
        <f>Inputs!$B$3&gt;=117</f>
        <v/>
      </c>
      <c r="D2578">
        <f>IF(Skills!C16=1,60+Inputs!$B$25+Inputs!$B$29,IF(Skills!C16=2,90+Inputs!$B$26+Inputs!$B$29,IF(Skills!C16=3,120+Inputs!$B$27+Inputs!$B$29,MAX(0,(Inputs!$B$3-100)*3)+Inputs!$B$28+Inputs!$B$29)))</f>
        <v/>
      </c>
      <c r="E2578">
        <f>INDEX(FactorTable!$B$2:$Y$301, MATCH(ROUND(MIN(300,MAX(1,D2578)),0), FactorTable!$A$2:$A$301,0), Skills!M16+1)</f>
        <v/>
      </c>
      <c r="F2578">
        <f>IF(Skills!N16=TRUE,(Skills!L16/10)*(E2578/1000),Skills!L16/10)+Skills!O16</f>
        <v/>
      </c>
      <c r="G2578">
        <f>Skills!G16*IF(Skills!H16&gt;0,Skills!I16/Skills!H16,1)</f>
        <v/>
      </c>
      <c r="H2578">
        <f>1-(1-Skills!J16/100)^Skills!K16</f>
        <v/>
      </c>
      <c r="I2578" t="inlineStr">
        <is>
          <t>1</t>
        </is>
      </c>
      <c r="J2578" t="inlineStr"/>
      <c r="K2578" t="inlineStr"/>
      <c r="L2578" t="inlineStr"/>
      <c r="M2578" t="inlineStr"/>
      <c r="N2578" t="inlineStr"/>
      <c r="O2578">
        <f>(1-Summary!$B$11)*T2578+Summary!$B$11*V2578</f>
        <v/>
      </c>
      <c r="P2578">
        <f>IF(B2606=0,0,O2578/B2606)</f>
        <v/>
      </c>
      <c r="Q2578">
        <f>IFERROR(1/(IF(Inputs!$B$38="pvp",15,MAX(0.1,Skills!D16-IF(Skills!E16=TRUE,Inputs!$B$32,0)))*(1-IF(AND(ArtifactsInput!$M$27,Inputs!$B$4="Chapter Hunt"),CHOOSE(ArtifactsInput!$N$27+1,20,24,28,32,36,40),0)/100)),0)</f>
        <v/>
      </c>
      <c r="R2578">
        <f>IF(AND(Inputs!$B$38&lt;&gt;"pvp",Inputs!$B$43&gt;0),IF(Inputs!$B$43&lt;=0,0,(INT(Inputs!$B$43/(IF(Inputs!$B$38="pvp",15,MAX(0.1,Skills!D16-IF(Skills!E16=TRUE,Inputs!$B$32,0)))*(1-IF(AND(ArtifactsInput!$M$27,Inputs!$B$4="Chapter Hunt"),CHOOSE(ArtifactsInput!$N$27+1,20,24,28,32,36,40),0)/100)))+1)),0)</f>
        <v/>
      </c>
      <c r="S2578">
        <f>IFERROR(O2578/N2578,0)</f>
        <v/>
      </c>
      <c r="T2578" t="n">
        <v>0</v>
      </c>
      <c r="V2578" t="n">
        <v>0</v>
      </c>
    </row>
    <row r="2579">
      <c r="A2579">
        <f>Skills!A17</f>
        <v/>
      </c>
      <c r="B2579">
        <f>Skills!B17</f>
        <v/>
      </c>
      <c r="C2579">
        <f>Inputs!$B$3&gt;=115</f>
        <v/>
      </c>
      <c r="D2579">
        <f>IF(Skills!C17=1,60+Inputs!$B$25+Inputs!$B$29,IF(Skills!C17=2,90+Inputs!$B$26+Inputs!$B$29,IF(Skills!C17=3,120+Inputs!$B$27+Inputs!$B$29,MAX(0,(Inputs!$B$3-100)*3)+Inputs!$B$28+Inputs!$B$29)))</f>
        <v/>
      </c>
      <c r="E2579">
        <f>INDEX(FactorTable!$B$2:$Y$301, MATCH(ROUND(MIN(300,MAX(1,D2579)),0), FactorTable!$A$2:$A$301,0), Skills!M17+1)</f>
        <v/>
      </c>
      <c r="F2579">
        <f>IF(Skills!N17=TRUE,(Skills!L17/10)*(E2579/1000),Skills!L17/10)+Skills!O17</f>
        <v/>
      </c>
      <c r="G2579">
        <f>Skills!G17*IF(Skills!H17&gt;0,Skills!I17/Skills!H17,1)</f>
        <v/>
      </c>
      <c r="H2579">
        <f>1-(1-Skills!J17/100)^Skills!K17</f>
        <v/>
      </c>
      <c r="I2579" t="inlineStr">
        <is>
          <t>1</t>
        </is>
      </c>
      <c r="J2579" t="inlineStr"/>
      <c r="K2579" t="inlineStr"/>
      <c r="L2579" t="inlineStr"/>
      <c r="M2579" t="inlineStr"/>
      <c r="N2579" t="inlineStr"/>
      <c r="O2579">
        <f>(1-Summary!$B$11)*T2579+Summary!$B$11*V2579</f>
        <v/>
      </c>
      <c r="P2579">
        <f>IF(B2606=0,0,O2579/B2606)</f>
        <v/>
      </c>
      <c r="Q2579">
        <f>IFERROR(1/(IF(Inputs!$B$38="pvp",15,MAX(0.1,Skills!D17-IF(Skills!E17=TRUE,Inputs!$B$32,0)))*(1-IF(AND(ArtifactsInput!$M$27,Inputs!$B$4="Chapter Hunt"),CHOOSE(ArtifactsInput!$N$27+1,20,24,28,32,36,40),0)/100)),0)</f>
        <v/>
      </c>
      <c r="R2579">
        <f>IF(AND(Inputs!$B$38&lt;&gt;"pvp",Inputs!$B$43&gt;0),IF(Inputs!$B$43&lt;=0,0,(INT(Inputs!$B$43/(IF(Inputs!$B$38="pvp",15,MAX(0.1,Skills!D17-IF(Skills!E17=TRUE,Inputs!$B$32,0)))*(1-IF(AND(ArtifactsInput!$M$27,Inputs!$B$4="Chapter Hunt"),CHOOSE(ArtifactsInput!$N$27+1,20,24,28,32,36,40),0)/100)))+1)),0)</f>
        <v/>
      </c>
      <c r="S2579">
        <f>IFERROR(O2579/N2579,0)</f>
        <v/>
      </c>
      <c r="T2579" t="n">
        <v>0</v>
      </c>
      <c r="V2579" t="n">
        <v>0</v>
      </c>
    </row>
    <row r="2580">
      <c r="A2580">
        <f>Skills!A18</f>
        <v/>
      </c>
      <c r="B2580">
        <f>Skills!B18</f>
        <v/>
      </c>
      <c r="C2580">
        <f>Inputs!$B$3&gt;=66</f>
        <v/>
      </c>
      <c r="D2580">
        <f>IF(Skills!C18=1,60+Inputs!$B$25+Inputs!$B$29,IF(Skills!C18=2,90+Inputs!$B$26+Inputs!$B$29,IF(Skills!C18=3,120+Inputs!$B$27+Inputs!$B$29,MAX(0,(Inputs!$B$3-100)*3)+Inputs!$B$28+Inputs!$B$29)))</f>
        <v/>
      </c>
      <c r="E2580">
        <f>INDEX(FactorTable!$B$2:$Y$301, MATCH(ROUND(MIN(300,MAX(1,D2580)),0), FactorTable!$A$2:$A$301,0), Skills!M18+1)</f>
        <v/>
      </c>
      <c r="F2580">
        <f>IF(Skills!N18=TRUE,(Skills!L18/10)*(E2580/1000),Skills!L18/10)+Skills!O18</f>
        <v/>
      </c>
      <c r="G2580">
        <f>Skills!G18*IF(Skills!H18&gt;0,Skills!I18/Skills!H18,1)</f>
        <v/>
      </c>
      <c r="H2580">
        <f>1-(1-Skills!J18/100)^Skills!K18</f>
        <v/>
      </c>
      <c r="I2580" t="inlineStr">
        <is>
          <t>1</t>
        </is>
      </c>
      <c r="J2580" t="inlineStr"/>
      <c r="K2580" t="inlineStr"/>
      <c r="L2580" t="inlineStr"/>
      <c r="M2580" t="inlineStr"/>
      <c r="N2580" t="inlineStr"/>
      <c r="O2580">
        <f>(1-Summary!$B$11)*T2580+Summary!$B$11*V2580</f>
        <v/>
      </c>
      <c r="P2580">
        <f>IF(B2606=0,0,O2580/B2606)</f>
        <v/>
      </c>
      <c r="Q2580" t="n">
        <v>0</v>
      </c>
      <c r="R2580" t="n">
        <v>0</v>
      </c>
      <c r="S2580">
        <f>IFERROR(O2580/N2580,0)</f>
        <v/>
      </c>
      <c r="T2580" t="n">
        <v>0</v>
      </c>
      <c r="V2580" t="n">
        <v>0</v>
      </c>
    </row>
    <row r="2581">
      <c r="A2581">
        <f>Skills!A19</f>
        <v/>
      </c>
      <c r="B2581">
        <f>Skills!B19</f>
        <v/>
      </c>
      <c r="C2581">
        <f>Inputs!$B$3&gt;=72</f>
        <v/>
      </c>
      <c r="D2581">
        <f>IF(Skills!C19=1,60+Inputs!$B$25+Inputs!$B$29,IF(Skills!C19=2,90+Inputs!$B$26+Inputs!$B$29,IF(Skills!C19=3,120+Inputs!$B$27+Inputs!$B$29,MAX(0,(Inputs!$B$3-100)*3)+Inputs!$B$28+Inputs!$B$29)))</f>
        <v/>
      </c>
      <c r="E2581">
        <f>INDEX(FactorTable!$B$2:$Y$301, MATCH(ROUND(MIN(300,MAX(1,D2581)),0), FactorTable!$A$2:$A$301,0), Skills!M19+1)</f>
        <v/>
      </c>
      <c r="F2581">
        <f>IF(Skills!N19=TRUE,(Skills!L19/10)*(E2581/1000),Skills!L19/10)+Skills!O19</f>
        <v/>
      </c>
      <c r="G2581">
        <f>Skills!G19*IF(Skills!H19&gt;0,Skills!I19/Skills!H19,1)</f>
        <v/>
      </c>
      <c r="H2581">
        <f>1-(1-Skills!J19/100)^Skills!K19</f>
        <v/>
      </c>
      <c r="I2581" t="inlineStr">
        <is>
          <t>1</t>
        </is>
      </c>
      <c r="J2581" t="inlineStr"/>
      <c r="K2581" t="inlineStr"/>
      <c r="L2581" t="inlineStr"/>
      <c r="M2581" t="inlineStr"/>
      <c r="N2581" t="inlineStr"/>
      <c r="O2581">
        <f>(1-Summary!$B$11)*T2581+Summary!$B$11*V2581</f>
        <v/>
      </c>
      <c r="P2581">
        <f>IF(B2606=0,0,O2581/B2606)</f>
        <v/>
      </c>
      <c r="Q2581" t="n">
        <v>0</v>
      </c>
      <c r="R2581" t="n">
        <v>0</v>
      </c>
      <c r="S2581">
        <f>IFERROR(O2581/N2581,0)</f>
        <v/>
      </c>
      <c r="T2581" t="n">
        <v>0</v>
      </c>
      <c r="V2581" t="n">
        <v>0</v>
      </c>
    </row>
    <row r="2582">
      <c r="A2582">
        <f>Skills!A20</f>
        <v/>
      </c>
      <c r="B2582">
        <f>Skills!B20</f>
        <v/>
      </c>
      <c r="C2582">
        <f>TRUE</f>
        <v/>
      </c>
      <c r="D2582">
        <f>IF(Skills!C20=1,60+Inputs!$B$25+Inputs!$B$29,IF(Skills!C20=2,90+Inputs!$B$26+Inputs!$B$29,IF(Skills!C20=3,120+Inputs!$B$27+Inputs!$B$29,MAX(0,(Inputs!$B$3-100)*3)+Inputs!$B$28+Inputs!$B$29)))</f>
        <v/>
      </c>
      <c r="E2582">
        <f>INDEX(FactorTable!$B$2:$Y$301, MATCH(ROUND(MIN(300,MAX(1,D2582)),0), FactorTable!$A$2:$A$301,0), Skills!M20+1)</f>
        <v/>
      </c>
      <c r="F2582">
        <f>IF(Skills!N20=TRUE,(Skills!L20/10)*(E2582/1000),Skills!L20/10)+Skills!O20</f>
        <v/>
      </c>
      <c r="G2582">
        <f>Skills!G20*IF(Skills!H20&gt;0,Skills!I20/Skills!H20,1)</f>
        <v/>
      </c>
      <c r="H2582">
        <f>1-(1-Skills!J20/100)^Skills!K20</f>
        <v/>
      </c>
      <c r="I2582" t="inlineStr">
        <is>
          <t>1</t>
        </is>
      </c>
      <c r="J2582" t="inlineStr"/>
      <c r="K2582" t="inlineStr"/>
      <c r="L2582" t="inlineStr"/>
      <c r="M2582" t="inlineStr"/>
      <c r="N2582" t="inlineStr"/>
      <c r="O2582">
        <f>(1-Summary!$B$11)*T2582+Summary!$B$11*V2582</f>
        <v/>
      </c>
      <c r="P2582">
        <f>IF(B2606=0,0,O2582/B2606)</f>
        <v/>
      </c>
      <c r="Q2582">
        <f>IFERROR(1/(IF(Inputs!$B$38="pvp",15,MAX(0.1,Skills!D20-IF(Skills!E20=TRUE,Inputs!$B$32,0)))*(1-IF(AND(ArtifactsInput!$M$27,Inputs!$B$4="Chapter Hunt"),CHOOSE(ArtifactsInput!$N$27+1,20,24,28,32,36,40),0)/100)),0)</f>
        <v/>
      </c>
      <c r="R2582">
        <f>IF(AND(Inputs!$B$38&lt;&gt;"pvp",Inputs!$B$43&gt;0),IF(Inputs!$B$43&lt;=0,0,(INT(Inputs!$B$43/(IF(Inputs!$B$38="pvp",15,MAX(0.1,Skills!D20-IF(Skills!E20=TRUE,Inputs!$B$32,0)))*(1-IF(AND(ArtifactsInput!$M$27,Inputs!$B$4="Chapter Hunt"),CHOOSE(ArtifactsInput!$N$27+1,20,24,28,32,36,40),0)/100)))+1)),0)</f>
        <v/>
      </c>
      <c r="S2582">
        <f>IFERROR(O2582/N2582,0)</f>
        <v/>
      </c>
      <c r="T2582" t="n">
        <v>0</v>
      </c>
      <c r="V2582" t="n">
        <v>0</v>
      </c>
    </row>
    <row r="2583">
      <c r="A2583">
        <f>Skills!A21</f>
        <v/>
      </c>
      <c r="B2583">
        <f>Skills!B21</f>
        <v/>
      </c>
      <c r="C2583">
        <f>Inputs!$B$3&gt;=15</f>
        <v/>
      </c>
      <c r="D2583">
        <f>IF(Skills!C21=1,60+Inputs!$B$25+Inputs!$B$29,IF(Skills!C21=2,90+Inputs!$B$26+Inputs!$B$29,IF(Skills!C21=3,120+Inputs!$B$27+Inputs!$B$29,MAX(0,(Inputs!$B$3-100)*3)+Inputs!$B$28+Inputs!$B$29)))</f>
        <v/>
      </c>
      <c r="E2583">
        <f>INDEX(FactorTable!$B$2:$Y$301, MATCH(ROUND(MIN(300,MAX(1,D2583)),0), FactorTable!$A$2:$A$301,0), Skills!M21+1)</f>
        <v/>
      </c>
      <c r="F2583">
        <f>IF(Skills!N21=TRUE,(Skills!L21/10)*(E2583/1000),Skills!L21/10)+Skills!O21</f>
        <v/>
      </c>
      <c r="G2583">
        <f>Skills!G21*IF(Skills!H21&gt;0,Skills!I21/Skills!H21,1)</f>
        <v/>
      </c>
      <c r="H2583">
        <f>1-(1-Skills!J21/100)^Skills!K21</f>
        <v/>
      </c>
      <c r="I2583" t="inlineStr">
        <is>
          <t>1</t>
        </is>
      </c>
      <c r="J2583" t="inlineStr"/>
      <c r="K2583" t="inlineStr"/>
      <c r="L2583" t="inlineStr"/>
      <c r="M2583" t="inlineStr"/>
      <c r="N2583" t="inlineStr"/>
      <c r="O2583">
        <f>(1-Summary!$B$11)*T2583+Summary!$B$11*V2583</f>
        <v/>
      </c>
      <c r="P2583">
        <f>IF(B2606=0,0,O2583/B2606)</f>
        <v/>
      </c>
      <c r="Q2583" t="n">
        <v>0</v>
      </c>
      <c r="R2583" t="n">
        <v>0</v>
      </c>
      <c r="S2583">
        <f>IFERROR(O2583/N2583,0)</f>
        <v/>
      </c>
      <c r="T2583" t="n">
        <v>0</v>
      </c>
      <c r="V2583" t="n">
        <v>0</v>
      </c>
    </row>
    <row r="2584">
      <c r="A2584">
        <f>Skills!A22</f>
        <v/>
      </c>
      <c r="B2584">
        <f>Skills!B22</f>
        <v/>
      </c>
      <c r="C2584">
        <f>Inputs!$B$3&gt;=10</f>
        <v/>
      </c>
      <c r="D2584">
        <f>IF(Skills!C22=1,60+Inputs!$B$25+Inputs!$B$29,IF(Skills!C22=2,90+Inputs!$B$26+Inputs!$B$29,IF(Skills!C22=3,120+Inputs!$B$27+Inputs!$B$29,MAX(0,(Inputs!$B$3-100)*3)+Inputs!$B$28+Inputs!$B$29)))</f>
        <v/>
      </c>
      <c r="E2584">
        <f>INDEX(FactorTable!$B$2:$Y$301, MATCH(ROUND(MIN(300,MAX(1,D2584)),0), FactorTable!$A$2:$A$301,0), Skills!M22+1)</f>
        <v/>
      </c>
      <c r="F2584">
        <f>IF(Skills!N22=TRUE,(Skills!L22/10)*(E2584/1000),Skills!L22/10)+Skills!O22</f>
        <v/>
      </c>
      <c r="G2584">
        <f>Skills!G22*IF(Skills!H22&gt;0,Skills!I22/Skills!H22,1)</f>
        <v/>
      </c>
      <c r="H2584">
        <f>1-(1-Skills!J22/100)^Skills!K22</f>
        <v/>
      </c>
      <c r="I2584" t="inlineStr">
        <is>
          <t>1</t>
        </is>
      </c>
      <c r="J2584" t="inlineStr"/>
      <c r="K2584" t="inlineStr"/>
      <c r="L2584" t="inlineStr"/>
      <c r="M2584" t="inlineStr"/>
      <c r="N2584" t="inlineStr"/>
      <c r="O2584">
        <f>(1-Summary!$B$11)*T2584+Summary!$B$11*V2584</f>
        <v/>
      </c>
      <c r="P2584">
        <f>IF(B2606=0,0,O2584/B2606)</f>
        <v/>
      </c>
      <c r="Q2584" t="n">
        <v>0</v>
      </c>
      <c r="R2584" t="n">
        <v>0</v>
      </c>
      <c r="S2584">
        <f>IFERROR(O2584/N2584,0)</f>
        <v/>
      </c>
      <c r="T2584" t="n">
        <v>0</v>
      </c>
      <c r="V2584" t="n">
        <v>0</v>
      </c>
    </row>
    <row r="2585">
      <c r="A2585">
        <f>Skills!A23</f>
        <v/>
      </c>
      <c r="B2585">
        <f>Skills!B23</f>
        <v/>
      </c>
      <c r="C2585">
        <f>Inputs!$B$3&gt;=33</f>
        <v/>
      </c>
      <c r="D2585">
        <f>IF(Skills!C23=1,60+Inputs!$B$25+Inputs!$B$29,IF(Skills!C23=2,90+Inputs!$B$26+Inputs!$B$29,IF(Skills!C23=3,120+Inputs!$B$27+Inputs!$B$29,MAX(0,(Inputs!$B$3-100)*3)+Inputs!$B$28+Inputs!$B$29)))</f>
        <v/>
      </c>
      <c r="E2585">
        <f>INDEX(FactorTable!$B$2:$Y$301, MATCH(ROUND(MIN(300,MAX(1,D2585)),0), FactorTable!$A$2:$A$301,0), Skills!M23+1)</f>
        <v/>
      </c>
      <c r="F2585">
        <f>IF(Skills!N23=TRUE,(Skills!L23/10)*(E2585/1000),Skills!L23/10)+Skills!O23</f>
        <v/>
      </c>
      <c r="G2585">
        <f>Skills!G23*IF(Skills!H23&gt;0,Skills!I23/Skills!H23,1)</f>
        <v/>
      </c>
      <c r="H2585">
        <f>1-(1-Skills!J23/100)^Skills!K23</f>
        <v/>
      </c>
      <c r="I2585" t="inlineStr">
        <is>
          <t>1</t>
        </is>
      </c>
      <c r="J2585" t="inlineStr"/>
      <c r="K2585" t="inlineStr"/>
      <c r="L2585" t="inlineStr"/>
      <c r="M2585" t="inlineStr"/>
      <c r="N2585" t="inlineStr"/>
      <c r="O2585">
        <f>(1-Summary!$B$11)*T2585+Summary!$B$11*V2585</f>
        <v/>
      </c>
      <c r="P2585">
        <f>IF(B2606=0,0,O2585/B2606)</f>
        <v/>
      </c>
      <c r="Q2585" t="n">
        <v>0</v>
      </c>
      <c r="R2585" t="n">
        <v>0</v>
      </c>
      <c r="S2585">
        <f>IFERROR(O2585/N2585,0)</f>
        <v/>
      </c>
      <c r="T2585" t="n">
        <v>0</v>
      </c>
      <c r="V2585" t="n">
        <v>0</v>
      </c>
    </row>
    <row r="2586">
      <c r="A2586">
        <f>Skills!A24</f>
        <v/>
      </c>
      <c r="B2586">
        <f>Skills!B24</f>
        <v/>
      </c>
      <c r="C2586">
        <f>Inputs!$B$3&gt;=38</f>
        <v/>
      </c>
      <c r="D2586">
        <f>IF(Skills!C24=1,60+Inputs!$B$25+Inputs!$B$29,IF(Skills!C24=2,90+Inputs!$B$26+Inputs!$B$29,IF(Skills!C24=3,120+Inputs!$B$27+Inputs!$B$29,MAX(0,(Inputs!$B$3-100)*3)+Inputs!$B$28+Inputs!$B$29)))</f>
        <v/>
      </c>
      <c r="E2586">
        <f>INDEX(FactorTable!$B$2:$Y$301, MATCH(ROUND(MIN(300,MAX(1,D2586)),0), FactorTable!$A$2:$A$301,0), Skills!M24+1)</f>
        <v/>
      </c>
      <c r="F2586">
        <f>IF(Skills!N24=TRUE,(Skills!L24/10)*(E2586/1000),Skills!L24/10)+Skills!O24</f>
        <v/>
      </c>
      <c r="G2586">
        <f>Skills!G24*IF(Skills!H24&gt;0,Skills!I24/Skills!H24,1)</f>
        <v/>
      </c>
      <c r="H2586">
        <f>1-(1-Skills!J24/100)^Skills!K24</f>
        <v/>
      </c>
      <c r="I2586" t="inlineStr">
        <is>
          <t>1</t>
        </is>
      </c>
      <c r="J2586" t="inlineStr"/>
      <c r="K2586" t="inlineStr"/>
      <c r="L2586" t="inlineStr"/>
      <c r="M2586" t="inlineStr"/>
      <c r="N2586" t="inlineStr"/>
      <c r="O2586">
        <f>(1-Summary!$B$11)*T2586+Summary!$B$11*V2586</f>
        <v/>
      </c>
      <c r="P2586">
        <f>IF(B2606=0,0,O2586/B2606)</f>
        <v/>
      </c>
      <c r="Q2586" t="n">
        <v>0</v>
      </c>
      <c r="R2586" t="n">
        <v>0</v>
      </c>
      <c r="S2586">
        <f>IFERROR(O2586/N2586,0)</f>
        <v/>
      </c>
      <c r="T2586" t="n">
        <v>0</v>
      </c>
      <c r="V2586" t="n">
        <v>0</v>
      </c>
    </row>
    <row r="2587">
      <c r="A2587">
        <f>Skills!A25</f>
        <v/>
      </c>
      <c r="B2587">
        <f>Skills!B25</f>
        <v/>
      </c>
      <c r="C2587">
        <f>Inputs!$B$3&gt;=43</f>
        <v/>
      </c>
      <c r="D2587">
        <f>IF(Skills!C25=1,60+Inputs!$B$25+Inputs!$B$29,IF(Skills!C25=2,90+Inputs!$B$26+Inputs!$B$29,IF(Skills!C25=3,120+Inputs!$B$27+Inputs!$B$29,MAX(0,(Inputs!$B$3-100)*3)+Inputs!$B$28+Inputs!$B$29)))</f>
        <v/>
      </c>
      <c r="E2587">
        <f>INDEX(FactorTable!$B$2:$Y$301, MATCH(ROUND(MIN(300,MAX(1,D2587)),0), FactorTable!$A$2:$A$301,0), Skills!M25+1)</f>
        <v/>
      </c>
      <c r="F2587">
        <f>IF(Skills!N25=TRUE,(Skills!L25/10)*(E2587/1000),Skills!L25/10)+Skills!O25</f>
        <v/>
      </c>
      <c r="G2587">
        <f>Skills!G25*IF(Skills!H25&gt;0,Skills!I25/Skills!H25,1)</f>
        <v/>
      </c>
      <c r="H2587">
        <f>1-(1-Skills!J25/100)^Skills!K25</f>
        <v/>
      </c>
      <c r="I2587" t="inlineStr">
        <is>
          <t>1</t>
        </is>
      </c>
      <c r="J2587" t="inlineStr"/>
      <c r="K2587" t="inlineStr"/>
      <c r="L2587" t="inlineStr"/>
      <c r="M2587" t="inlineStr"/>
      <c r="N2587" t="inlineStr"/>
      <c r="O2587">
        <f>(1-Summary!$B$11)*T2587+Summary!$B$11*V2587</f>
        <v/>
      </c>
      <c r="P2587">
        <f>IF(B2606=0,0,O2587/B2606)</f>
        <v/>
      </c>
      <c r="Q2587" t="n">
        <v>0</v>
      </c>
      <c r="R2587" t="n">
        <v>0</v>
      </c>
      <c r="S2587">
        <f>IFERROR(O2587/N2587,0)</f>
        <v/>
      </c>
      <c r="T2587" t="n">
        <v>0</v>
      </c>
      <c r="V2587" t="n">
        <v>0</v>
      </c>
    </row>
    <row r="2588">
      <c r="A2588">
        <f>Skills!A26</f>
        <v/>
      </c>
      <c r="B2588">
        <f>Skills!B26</f>
        <v/>
      </c>
      <c r="C2588">
        <f>Inputs!$B$3&gt;=75</f>
        <v/>
      </c>
      <c r="D2588">
        <f>IF(Skills!C26=1,60+Inputs!$B$25+Inputs!$B$29,IF(Skills!C26=2,90+Inputs!$B$26+Inputs!$B$29,IF(Skills!C26=3,120+Inputs!$B$27+Inputs!$B$29,MAX(0,(Inputs!$B$3-100)*3)+Inputs!$B$28+Inputs!$B$29)))</f>
        <v/>
      </c>
      <c r="E2588">
        <f>INDEX(FactorTable!$B$2:$Y$301, MATCH(ROUND(MIN(300,MAX(1,D2588)),0), FactorTable!$A$2:$A$301,0), Skills!M26+1)</f>
        <v/>
      </c>
      <c r="F2588">
        <f>IF(Skills!N26=TRUE,(Skills!L26/10)*(E2588/1000),Skills!L26/10)+Skills!O26</f>
        <v/>
      </c>
      <c r="G2588">
        <f>Skills!G26*IF(Skills!H26&gt;0,Skills!I26/Skills!H26,1)</f>
        <v/>
      </c>
      <c r="H2588">
        <f>1-(1-Skills!J26/100)^Skills!K26</f>
        <v/>
      </c>
      <c r="I2588" t="inlineStr">
        <is>
          <t>1</t>
        </is>
      </c>
      <c r="J2588" t="inlineStr"/>
      <c r="K2588" t="inlineStr"/>
      <c r="L2588" t="inlineStr"/>
      <c r="M2588" t="inlineStr"/>
      <c r="N2588" t="inlineStr"/>
      <c r="O2588">
        <f>(1-Summary!$B$11)*T2588+Summary!$B$11*V2588</f>
        <v/>
      </c>
      <c r="P2588">
        <f>IF(B2606=0,0,O2588/B2606)</f>
        <v/>
      </c>
      <c r="Q2588" t="n">
        <v>0</v>
      </c>
      <c r="R2588" t="n">
        <v>0</v>
      </c>
      <c r="S2588">
        <f>IFERROR(O2588/N2588,0)</f>
        <v/>
      </c>
      <c r="T2588" t="n">
        <v>0</v>
      </c>
      <c r="V2588" t="n">
        <v>0</v>
      </c>
    </row>
    <row r="2589">
      <c r="A2589">
        <f>Skills!A27</f>
        <v/>
      </c>
      <c r="B2589">
        <f>Skills!B27</f>
        <v/>
      </c>
      <c r="C2589">
        <f>Inputs!$B$3&gt;=125</f>
        <v/>
      </c>
      <c r="D2589">
        <f>IF(Skills!C27=1,60+Inputs!$B$25+Inputs!$B$29,IF(Skills!C27=2,90+Inputs!$B$26+Inputs!$B$29,IF(Skills!C27=3,120+Inputs!$B$27+Inputs!$B$29,MAX(0,(Inputs!$B$3-100)*3)+Inputs!$B$28+Inputs!$B$29)))</f>
        <v/>
      </c>
      <c r="E2589">
        <f>INDEX(FactorTable!$B$2:$Y$301, MATCH(ROUND(MIN(300,MAX(1,D2589)),0), FactorTable!$A$2:$A$301,0), Skills!M27+1)</f>
        <v/>
      </c>
      <c r="F2589">
        <f>IF(Skills!N27=TRUE,(Skills!L27/10)*(E2589/1000),Skills!L27/10)+Skills!O27</f>
        <v/>
      </c>
      <c r="G2589">
        <f>Skills!G27*IF(Skills!H27&gt;0,Skills!I27/Skills!H27,1)</f>
        <v/>
      </c>
      <c r="H2589">
        <f>1-(1-Skills!J27/100)^Skills!K27</f>
        <v/>
      </c>
      <c r="I2589" t="inlineStr">
        <is>
          <t>1</t>
        </is>
      </c>
      <c r="J2589" t="inlineStr"/>
      <c r="K2589" t="inlineStr"/>
      <c r="L2589" t="inlineStr"/>
      <c r="M2589" t="inlineStr"/>
      <c r="N2589" t="inlineStr"/>
      <c r="O2589">
        <f>(1-Summary!$B$11)*T2589+Summary!$B$11*V2589</f>
        <v/>
      </c>
      <c r="P2589">
        <f>IF(B2606=0,0,O2589/B2606)</f>
        <v/>
      </c>
      <c r="Q2589" t="n">
        <v>0</v>
      </c>
      <c r="R2589" t="n">
        <v>0</v>
      </c>
      <c r="S2589">
        <f>IFERROR(O2589/N2589,0)</f>
        <v/>
      </c>
      <c r="T2589" t="n">
        <v>0</v>
      </c>
      <c r="V2589" t="n">
        <v>0</v>
      </c>
    </row>
    <row r="2590">
      <c r="A2590">
        <f>Skills!A28</f>
        <v/>
      </c>
      <c r="B2590">
        <f>Skills!B28</f>
        <v/>
      </c>
      <c r="C2590">
        <f>Inputs!$B$3&gt;=125</f>
        <v/>
      </c>
      <c r="D2590">
        <f>IF(Skills!C28=1,60+Inputs!$B$25+Inputs!$B$29,IF(Skills!C28=2,90+Inputs!$B$26+Inputs!$B$29,IF(Skills!C28=3,120+Inputs!$B$27+Inputs!$B$29,MAX(0,(Inputs!$B$3-100)*3)+Inputs!$B$28+Inputs!$B$29)))</f>
        <v/>
      </c>
      <c r="E2590">
        <f>INDEX(FactorTable!$B$2:$Y$301, MATCH(ROUND(MIN(300,MAX(1,D2590)),0), FactorTable!$A$2:$A$301,0), Skills!M28+1)</f>
        <v/>
      </c>
      <c r="F2590">
        <f>IF(Skills!N28=TRUE,(Skills!L28/10)*(E2590/1000),Skills!L28/10)+Skills!O28</f>
        <v/>
      </c>
      <c r="G2590">
        <f>Skills!G28*IF(Skills!H28&gt;0,Skills!I28/Skills!H28,1)</f>
        <v/>
      </c>
      <c r="H2590">
        <f>1-(1-Skills!J28/100)^Skills!K28</f>
        <v/>
      </c>
      <c r="I2590" t="inlineStr">
        <is>
          <t>1</t>
        </is>
      </c>
      <c r="J2590" t="inlineStr"/>
      <c r="K2590" t="inlineStr"/>
      <c r="L2590" t="inlineStr"/>
      <c r="M2590" t="inlineStr"/>
      <c r="N2590" t="inlineStr"/>
      <c r="O2590">
        <f>(1-Summary!$B$11)*T2590+Summary!$B$11*V2590</f>
        <v/>
      </c>
      <c r="P2590">
        <f>IF(B2606=0,0,O2590/B2606)</f>
        <v/>
      </c>
      <c r="Q2590" t="n">
        <v>0</v>
      </c>
      <c r="R2590" t="n">
        <v>0</v>
      </c>
      <c r="S2590">
        <f>IFERROR(O2590/N2590,0)</f>
        <v/>
      </c>
      <c r="T2590" t="n">
        <v>0</v>
      </c>
      <c r="V2590" t="n">
        <v>0</v>
      </c>
    </row>
    <row r="2591">
      <c r="A2591">
        <f>Skills!A29</f>
        <v/>
      </c>
      <c r="B2591">
        <f>Skills!B29</f>
        <v/>
      </c>
      <c r="C2591">
        <f>Inputs!$B$3&gt;=120</f>
        <v/>
      </c>
      <c r="D2591">
        <f>IF(Skills!C29=1,60+Inputs!$B$25+Inputs!$B$29,IF(Skills!C29=2,90+Inputs!$B$26+Inputs!$B$29,IF(Skills!C29=3,120+Inputs!$B$27+Inputs!$B$29,MAX(0,(Inputs!$B$3-100)*3)+Inputs!$B$28+Inputs!$B$29)))</f>
        <v/>
      </c>
      <c r="E2591">
        <f>INDEX(FactorTable!$B$2:$Y$301, MATCH(ROUND(MIN(300,MAX(1,D2591)),0), FactorTable!$A$2:$A$301,0), Skills!M29+1)</f>
        <v/>
      </c>
      <c r="F2591">
        <f>IF(Skills!N29=TRUE,(Skills!L29/10)*(E2591/1000),Skills!L29/10)+Skills!O29</f>
        <v/>
      </c>
      <c r="G2591">
        <f>Skills!G29*IF(Skills!H29&gt;0,Skills!I29/Skills!H29,1)</f>
        <v/>
      </c>
      <c r="H2591">
        <f>1-(1-Skills!J29/100)^Skills!K29</f>
        <v/>
      </c>
      <c r="I2591" t="inlineStr">
        <is>
          <t>1</t>
        </is>
      </c>
      <c r="J2591" t="inlineStr"/>
      <c r="K2591" t="inlineStr"/>
      <c r="L2591" t="inlineStr"/>
      <c r="M2591" t="inlineStr"/>
      <c r="N2591" t="inlineStr"/>
      <c r="O2591">
        <f>(1-Summary!$B$11)*T2591+Summary!$B$11*V2591</f>
        <v/>
      </c>
      <c r="P2591">
        <f>IF(B2606=0,0,O2591/B2606)</f>
        <v/>
      </c>
      <c r="Q2591" t="n">
        <v>0</v>
      </c>
      <c r="R2591" t="n">
        <v>0</v>
      </c>
      <c r="S2591">
        <f>IFERROR(O2591/N2591,0)</f>
        <v/>
      </c>
      <c r="T2591" t="n">
        <v>0</v>
      </c>
      <c r="V2591" t="n">
        <v>0</v>
      </c>
    </row>
    <row r="2592">
      <c r="A2592">
        <f>Skills!A30</f>
        <v/>
      </c>
      <c r="B2592">
        <f>Skills!B30</f>
        <v/>
      </c>
      <c r="C2592">
        <f>Inputs!$B$3&gt;=120</f>
        <v/>
      </c>
      <c r="D2592">
        <f>IF(Skills!C30=1,60+Inputs!$B$25+Inputs!$B$29,IF(Skills!C30=2,90+Inputs!$B$26+Inputs!$B$29,IF(Skills!C30=3,120+Inputs!$B$27+Inputs!$B$29,MAX(0,(Inputs!$B$3-100)*3)+Inputs!$B$28+Inputs!$B$29)))</f>
        <v/>
      </c>
      <c r="E2592">
        <f>INDEX(FactorTable!$B$2:$Y$301, MATCH(ROUND(MIN(300,MAX(1,D2592)),0), FactorTable!$A$2:$A$301,0), Skills!M30+1)</f>
        <v/>
      </c>
      <c r="F2592">
        <f>IF(Skills!N30=TRUE,(Skills!L30/10)*(E2592/1000),Skills!L30/10)+Skills!O30</f>
        <v/>
      </c>
      <c r="G2592">
        <f>Skills!G30*IF(Skills!H30&gt;0,Skills!I30/Skills!H30,1)</f>
        <v/>
      </c>
      <c r="H2592">
        <f>1-(1-Skills!J30/100)^Skills!K30</f>
        <v/>
      </c>
      <c r="I2592" t="inlineStr">
        <is>
          <t>1</t>
        </is>
      </c>
      <c r="J2592" t="inlineStr"/>
      <c r="K2592" t="inlineStr"/>
      <c r="L2592" t="inlineStr"/>
      <c r="M2592" t="inlineStr"/>
      <c r="N2592" t="inlineStr"/>
      <c r="O2592">
        <f>(1-Summary!$B$11)*T2592+Summary!$B$11*V2592</f>
        <v/>
      </c>
      <c r="P2592">
        <f>IF(B2606=0,0,O2592/B2606)</f>
        <v/>
      </c>
      <c r="Q2592" t="n">
        <v>0</v>
      </c>
      <c r="R2592" t="n">
        <v>0</v>
      </c>
      <c r="S2592">
        <f>IFERROR(O2592/N2592,0)</f>
        <v/>
      </c>
      <c r="T2592" t="n">
        <v>0</v>
      </c>
      <c r="V2592" t="n">
        <v>0</v>
      </c>
    </row>
    <row r="2593">
      <c r="A2593">
        <f>Skills!A31</f>
        <v/>
      </c>
      <c r="B2593">
        <f>Skills!B31</f>
        <v/>
      </c>
      <c r="C2593">
        <f>Inputs!$B$3&gt;=45</f>
        <v/>
      </c>
      <c r="D2593">
        <f>IF(Skills!C31=1,60+Inputs!$B$25+Inputs!$B$29,IF(Skills!C31=2,90+Inputs!$B$26+Inputs!$B$29,IF(Skills!C31=3,120+Inputs!$B$27+Inputs!$B$29,MAX(0,(Inputs!$B$3-100)*3)+Inputs!$B$28+Inputs!$B$29)))</f>
        <v/>
      </c>
      <c r="E2593">
        <f>INDEX(FactorTable!$B$2:$Y$301, MATCH(ROUND(MIN(300,MAX(1,D2593)),0), FactorTable!$A$2:$A$301,0), Skills!M31+1)</f>
        <v/>
      </c>
      <c r="F2593">
        <f>IF(Skills!N31=TRUE,(Skills!L31/10)*(E2593/1000),Skills!L31/10)+Skills!O31</f>
        <v/>
      </c>
      <c r="G2593">
        <f>Skills!G31*IF(Skills!H31&gt;0,Skills!I31/Skills!H31,1)</f>
        <v/>
      </c>
      <c r="H2593">
        <f>1-(1-Skills!J31/100)^Skills!K31</f>
        <v/>
      </c>
      <c r="I2593" t="inlineStr">
        <is>
          <t>1</t>
        </is>
      </c>
      <c r="J2593" t="inlineStr"/>
      <c r="K2593" t="inlineStr"/>
      <c r="L2593" t="inlineStr"/>
      <c r="M2593" t="inlineStr"/>
      <c r="N2593" t="inlineStr"/>
      <c r="O2593">
        <f>(1-Summary!$B$11)*T2593+Summary!$B$11*V2593</f>
        <v/>
      </c>
      <c r="P2593">
        <f>IF(B2606=0,0,O2593/B2606)</f>
        <v/>
      </c>
      <c r="Q2593" t="n">
        <v>0</v>
      </c>
      <c r="R2593" t="n">
        <v>0</v>
      </c>
      <c r="S2593">
        <f>IFERROR(O2593/N2593,0)</f>
        <v/>
      </c>
      <c r="T2593" t="n">
        <v>0</v>
      </c>
      <c r="V2593" t="n">
        <v>0</v>
      </c>
    </row>
    <row r="2595">
      <c r="A2595" t="inlineStr">
        <is>
          <t>Attack% Bucket Multiplier</t>
        </is>
      </c>
      <c r="B2595">
        <f>(1+(((C2576=TRUE)*F2576)+((C2577=TRUE)*IF(Inputs!$B$38="pvp",F2577,(1-Summary!$B$11)*(F2577)+Summary!$B$11*(0)))+((C2578=TRUE)*F2578*IF(AND(Inputs!$B$38&lt;&gt;"pvp",Inputs!$B$43&gt;0),(((R2578-1)*(Skills!T16*(1+Inputs!$B$34/100))+MIN((Skills!T16*(1+Inputs!$B$34/100)),MAX(0,Inputs!$B$43-((R2578-1)*Skills!D16))))/Inputs!$B$43),IF(Inputs!$B$38="pvp",MIN((Skills!T16*(1+Inputs!$B$34/100)),15)/15,(Skills!T16*(1+Inputs!$B$34/100))/Skills!D16)))+((C2593=TRUE)*(F2593-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596">
      <c r="A2596" t="inlineStr">
        <is>
          <t>Global Crit Rate Bonus %</t>
        </is>
      </c>
      <c r="B2596">
        <f>(C2579=TRUE)*20*IF(AND(Inputs!$B$38&lt;&gt;"pvp",Inputs!$B$43&gt;0),(((R2579-1)*(Skills!T17*(1+Inputs!$B$34/100))+MIN((Skills!T17*(1+Inputs!$B$34/100)),MAX(0,Inputs!$B$43-((R2579-1)*Skills!D17))))/Inputs!$B$43),IF(Inputs!$B$38="pvp",MIN((Skills!T17*(1+Inputs!$B$34/100)),15)/15,(Skills!T17*(1+Inputs!$B$34/100))/Skills!D17))</f>
        <v/>
      </c>
    </row>
    <row r="2597">
      <c r="A2597" t="inlineStr">
        <is>
          <t>Attack Speed Buff Bonus %</t>
        </is>
      </c>
      <c r="B2597">
        <f>((C2582=TRUE)*F2582*IF(AND(Inputs!$B$38&lt;&gt;"pvp",Inputs!$B$43&gt;0),(((R2582-1)*(Skills!T20*(1+Inputs!$B$34/100))+MIN((Skills!T20*(1+Inputs!$B$34/100)),MAX(0,Inputs!$B$43-((R2582-1)*Skills!D20))))/Inputs!$B$43),IF(Inputs!$B$38="pvp",MIN((Skills!T20*(1+Inputs!$B$34/100)),15)/15,(Skills!T20*(1+Inputs!$B$34/100))/Skills!D20)))</f>
        <v/>
      </c>
    </row>
    <row r="2598">
      <c r="A2598" t="inlineStr">
        <is>
          <t>Actions Per Second</t>
        </is>
      </c>
      <c r="B2598">
        <f>1+MIN(150,150*(1-(1-(Inputs!$B$11+((C2584=TRUE)*(F2584-Calc!F22))+((C2585=TRUE)*(F2585-Calc!F23)))/150)*(1-B2597/150)))/100</f>
        <v/>
      </c>
    </row>
    <row r="2599">
      <c r="A2599" t="inlineStr">
        <is>
          <t>Skill + Buff Cast Rate</t>
        </is>
      </c>
      <c r="B2599">
        <f>IF(AND(Inputs!$B$38&lt;&gt;"pvp",Inputs!$B$43&gt;0),SUMPRODUCT((Skills!E2:E31=TRUE)*(C2564:C2593=TRUE)*R2564:R2593*Skills!F2:F31)/Inputs!$B$43,SUMPRODUCT((Skills!E2:E31=TRUE)*(C2564:C2593=TRUE)*Q2564:Q2593*Skills!F2:F31))</f>
        <v/>
      </c>
    </row>
    <row r="2600">
      <c r="A2600" t="inlineStr">
        <is>
          <t>Arrow Stream Casts Per Second</t>
        </is>
      </c>
      <c r="B2600">
        <f>MAX(0,B2598-B2599)</f>
        <v/>
      </c>
    </row>
    <row r="2601">
      <c r="A2601" t="inlineStr">
        <is>
          <t>Global Critical Damage Bonus % (Sharp Eyes + Concentration)</t>
        </is>
      </c>
      <c r="B2601">
        <f>(C2579=TRUE)*F2579*IF(AND(Inputs!$B$38&lt;&gt;"pvp",Inputs!$B$43&gt;0),(((R2579-1)*(Skills!T17*(1+Inputs!$B$34/100))+MIN((Skills!T17*(1+Inputs!$B$34/100)),MAX(0,Inputs!$B$43-((R2579-1)*Skills!D17))))/Inputs!$B$43),IF(Inputs!$B$38="pvp",MIN((Skills!T17*(1+Inputs!$B$34/100)),15)/15,(Skills!T17*(1+Inputs!$B$34/100))/Skills!D17))+(C2580=TRUE)*30</f>
        <v/>
      </c>
    </row>
    <row r="2602">
      <c r="A2602" t="inlineStr">
        <is>
          <t>Global Final Damage Bonus % (Mortal Blow)</t>
        </is>
      </c>
      <c r="B2602">
        <f>(C2581=TRUE)*F2581</f>
        <v/>
      </c>
    </row>
    <row r="2603">
      <c r="A2603" t="inlineStr">
        <is>
          <t>Buff-Casting Startup Delay (s, fixed-duration only)</t>
        </is>
      </c>
      <c r="B2603">
        <f>IF(AND(Inputs!$B$38&lt;&gt;"pvp",Inputs!$B$43&gt;0),SUMPRODUCT((Skills!T2:T31&gt;0)*(Skills!E2:E31=TRUE)*(C2564:C2593=TRUE))/B2598,0)</f>
        <v/>
      </c>
    </row>
    <row r="2604">
      <c r="A2604" t="inlineStr">
        <is>
          <t>Boss-Only Total DPS (this block's swept value)</t>
        </is>
      </c>
      <c r="B2604">
        <f>SUM(T2564:T2593)</f>
        <v/>
      </c>
    </row>
    <row r="2605">
      <c r="A2605" t="inlineStr">
        <is>
          <t>Normal-Only Total DPS (this block's swept value)</t>
        </is>
      </c>
      <c r="B2605">
        <f>SUM(V2564:V2593)</f>
        <v/>
      </c>
    </row>
    <row r="2606">
      <c r="A2606" s="6" t="inlineStr">
        <is>
          <t>TOTAL DPS</t>
        </is>
      </c>
      <c r="B2606" s="6">
        <f>SUM(O2564:O2593)</f>
        <v/>
      </c>
    </row>
    <row r="2609">
      <c r="A2609" s="6" t="inlineStr">
        <is>
          <t>Stat: Peach Tree Herb Pouch (Equip)</t>
        </is>
      </c>
    </row>
    <row r="2610">
      <c r="A2610" s="5" t="inlineStr">
        <is>
          <t>Key</t>
        </is>
      </c>
      <c r="B2610" s="5" t="inlineStr">
        <is>
          <t>Name</t>
        </is>
      </c>
      <c r="C2610" s="5" t="inlineStr">
        <is>
          <t>Unlocked</t>
        </is>
      </c>
      <c r="D2610" s="5" t="inlineStr">
        <is>
          <t>InputLevel</t>
        </is>
      </c>
      <c r="E2610" s="5" t="inlineStr">
        <is>
          <t>Factor</t>
        </is>
      </c>
      <c r="F2610" s="5" t="inlineStr">
        <is>
          <t>CoefficientPercent</t>
        </is>
      </c>
      <c r="G2610" s="5" t="inlineStr">
        <is>
          <t>EffectiveHits</t>
        </is>
      </c>
      <c r="H2610" s="5" t="inlineStr">
        <is>
          <t>ProcProbability</t>
        </is>
      </c>
      <c r="I2610" s="5" t="inlineStr">
        <is>
          <t>MapleHeroMultiplier</t>
        </is>
      </c>
      <c r="J2610" s="5" t="inlineStr">
        <is>
          <t>BaseDamage</t>
        </is>
      </c>
      <c r="K2610" s="5" t="inlineStr">
        <is>
          <t>BaseHitDamage</t>
        </is>
      </c>
      <c r="L2610" s="5" t="inlineStr">
        <is>
          <t>NonCritAvg</t>
        </is>
      </c>
      <c r="M2610" s="5" t="inlineStr">
        <is>
          <t>CritAvg</t>
        </is>
      </c>
      <c r="N2610" s="5" t="inlineStr">
        <is>
          <t>ExpectedDamage(perHit)</t>
        </is>
      </c>
      <c r="O2610" s="5" t="inlineStr">
        <is>
          <t>DPS</t>
        </is>
      </c>
      <c r="P2610" s="5" t="inlineStr">
        <is>
          <t>% of Total</t>
        </is>
      </c>
      <c r="Q2610" s="5" t="inlineStr">
        <is>
          <t>InvCooldown</t>
        </is>
      </c>
      <c r="R2610" s="5" t="inlineStr">
        <is>
          <t>CastsInFight</t>
        </is>
      </c>
      <c r="S2610" s="5" t="inlineStr">
        <is>
          <t>HitRate(perSec)</t>
        </is>
      </c>
      <c r="U2610" t="inlineStr">
        <is>
          <t>helpers</t>
        </is>
      </c>
    </row>
    <row r="2611">
      <c r="A2611">
        <f>Skills!A2</f>
        <v/>
      </c>
      <c r="B2611">
        <f>Skills!B2</f>
        <v/>
      </c>
      <c r="C2611">
        <f>Inputs!$B$3&gt;=100</f>
        <v/>
      </c>
      <c r="D2611" t="inlineStr"/>
      <c r="E2611" t="inlineStr"/>
      <c r="F2611">
        <f>U2613+Skills!O2</f>
        <v/>
      </c>
      <c r="G2611">
        <f>Skills!G2*IF(Skills!H2&gt;0,Skills!I2/Skills!H2,1)</f>
        <v/>
      </c>
      <c r="H2611">
        <f>1-(1-Skills!J2/100)^Skills!K2</f>
        <v/>
      </c>
      <c r="I2611" t="inlineStr">
        <is>
          <t>1</t>
        </is>
      </c>
      <c r="J2611">
        <f>((Inputs!$B$6*(1+Inputs!$B$7/100))+(((Inputs!$B$12*(1+Inputs!$B$13/100))-(Inputs!$B$12*(1+Inputs!$B$13/100)))+0.25*(Inputs!$B$14-Inputs!$B$14))*(1+Inputs!$B$7/100))*(F2611/100)</f>
        <v/>
      </c>
      <c r="K2611">
        <f>J2611*(1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2611)</f>
        <v/>
      </c>
      <c r="L2611">
        <f>K2611*(MIN(Inputs!$B$22+((C2634=TRUE)*(F2634-Calc!F25)),(Inputs!$B$23+((C2639=TRUE)*(F2639-Calc!F30))+(IF(ArtifactsInput!$M$15,CHOOSE(ArtifactsInput!$N$15+1,25,30,35,40,45,50)/100*(Inputs!$B$11-Inputs!$B$11),0))))/100+(Inputs!$B$23+((C2639=TRUE)*(F2639-Calc!F30))+(IF(ArtifactsInput!$M$15,CHOOSE(ArtifactsInput!$N$15+1,25,30,35,40,45,50)/100*(Inputs!$B$11-Inputs!$B$11),0)))/100)/2</f>
        <v/>
      </c>
      <c r="M2611">
        <f>L2611*(1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1">
        <f>L2611*(1-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1">
        <f>(1-Summary!$B$11)*T2611+Summary!$B$11*V2611</f>
        <v/>
      </c>
      <c r="P2611">
        <f>IF(B2653=0,0,O2611/B2653)</f>
        <v/>
      </c>
      <c r="Q2611" t="n">
        <v>0</v>
      </c>
      <c r="R2611" t="n">
        <v>0</v>
      </c>
      <c r="S2611">
        <f>IFERROR(O2611/N2611,0)</f>
        <v/>
      </c>
      <c r="T2611">
        <f>IF(C2611,(Skills!G2*N2611*B2647)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11">
        <f>MAX(0,(Inputs!$B$3-100)*3)+Inputs!$B$28+Inputs!$B$29</f>
        <v/>
      </c>
      <c r="V2611">
        <f>IF(C2611,(Skills!G2*N2611*B2647)*IF(Inputs!$B$38="pvp",1,(1+(Inputs!$B$21+Skills!Q2+(IF(ArtifactsInput!$M$33,CHOOSE(ArtifactsInput!$N$33+1,30,36,42,48,54,60),0))+(IF(AND(IF(ArtifactsInput!$M$35,FALSE,TRUE),Inputs!$B$4&lt;&gt;"Chapter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2">
      <c r="A2612">
        <f>Skills!A3</f>
        <v/>
      </c>
      <c r="B2612">
        <f>Skills!B3</f>
        <v/>
      </c>
      <c r="C2612">
        <f>Inputs!$B$3&gt;=50</f>
        <v/>
      </c>
      <c r="D2612">
        <f>IF(Skills!C3=1,60+Inputs!$B$25+Inputs!$B$29,IF(Skills!C3=2,90+Inputs!$B$26+Inputs!$B$29,IF(Skills!C3=3,120+Inputs!$B$27+Inputs!$B$29,MAX(0,(Inputs!$B$3-100)*3)+Inputs!$B$28+Inputs!$B$29)))</f>
        <v/>
      </c>
      <c r="E2612">
        <f>INDEX(FactorTable!$B$2:$Y$301, MATCH(ROUND(MIN(300,MAX(1,D2612)),0), FactorTable!$A$2:$A$301,0), Skills!M3+1)</f>
        <v/>
      </c>
      <c r="F2612">
        <f>IF(Skills!N3=TRUE,(Skills!L3/10)*(E2612/1000),Skills!L3/10)+Skills!O3</f>
        <v/>
      </c>
      <c r="G2612">
        <f>Skills!G3*IF(Skills!H3&gt;0,Skills!I3/Skills!H3,1)</f>
        <v/>
      </c>
      <c r="H2612">
        <f>1-(1-Skills!J3/100)^Skills!K3</f>
        <v/>
      </c>
      <c r="I2612" t="inlineStr">
        <is>
          <t>1</t>
        </is>
      </c>
      <c r="J2612">
        <f>((Inputs!$B$6*(1+Inputs!$B$7/100))+(((Inputs!$B$12*(1+Inputs!$B$13/100))-(Inputs!$B$12*(1+Inputs!$B$13/100)))+0.25*(Inputs!$B$14-Inputs!$B$14))*(1+Inputs!$B$7/100))*(F2612/100)</f>
        <v/>
      </c>
      <c r="K2612">
        <f>J2612*(1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2613=TRUE,F2613,0)/100)*(1+(IF(Skills!A3="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2612)</f>
        <v/>
      </c>
      <c r="L2612">
        <f>K2612*(MIN(Inputs!$B$22+((C2634=TRUE)*(F2634-Calc!F25)),(Inputs!$B$23+((C2639=TRUE)*(F2639-Calc!F30))+(IF(ArtifactsInput!$M$15,CHOOSE(ArtifactsInput!$N$15+1,25,30,35,40,45,50)/100*(Inputs!$B$11-Inputs!$B$11),0))))/100+(Inputs!$B$23+((C2639=TRUE)*(F2639-Calc!F30))+(IF(ArtifactsInput!$M$15,CHOOSE(ArtifactsInput!$N$15+1,25,30,35,40,45,50)/100*(Inputs!$B$11-Inputs!$B$11),0)))/100)/2</f>
        <v/>
      </c>
      <c r="M2612">
        <f>L2612*(1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2">
        <f>L2612*(1-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2612*(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2">
        <f>(1-Summary!$B$11)*T2612+Summary!$B$11*V2612</f>
        <v/>
      </c>
      <c r="P2612">
        <f>IF(B2653=0,0,O2612/B2653)</f>
        <v/>
      </c>
      <c r="Q2612">
        <f>IFERROR(1/(IF(Inputs!$B$38="pvp",15,MAX(0.1,Skills!D3-IF(Skills!E3=TRUE,Inputs!$B$32,0)))*(1-IF(AND(ArtifactsInput!$M$27,Inputs!$B$4="Chapter Hunt"),CHOOSE(ArtifactsInput!$N$27+1,20,24,28,32,36,40),0)/100)),0)</f>
        <v/>
      </c>
      <c r="R2612">
        <f>IF(AND(Inputs!$B$38&lt;&gt;"pvp",Inputs!$B$43&gt;0),IF(MAX(0,Inputs!$B$43-B2650)&lt;=0,0,(INT(MAX(0,Inputs!$B$43-B2650)/(IF(Inputs!$B$38="pvp",15,MAX(0.1,Skills!D3-IF(Skills!E3=TRUE,Inputs!$B$32,0)))*(1-IF(AND(ArtifactsInput!$M$27,Inputs!$B$4="Chapter Hunt"),CHOOSE(ArtifactsInput!$N$27+1,20,24,28,32,36,40),0)/100)))+1)),0)</f>
        <v/>
      </c>
      <c r="S2612">
        <f>IFERROR(O2612/N2612,0)</f>
        <v/>
      </c>
      <c r="T2612">
        <f>IF(C2612,(H2612*N2612*IF(AND(Inputs!$B$38&lt;&gt;"pvp",Inputs!$B$43&gt;0),((Skills!G3*((R2612-1)*IF(Skills!H3&gt;0,Skills!I3/Skills!H3,1)+IF(Skills!H3&gt;0,MIN(Skills!I3,MAX(0,MAX(0,Inputs!$B$43-B2650)-((R2612-1)*(IF(Inputs!$B$38="pvp",15,MAX(0.1,Skills!D3-IF(Skills!E3=TRUE,Inputs!$B$32,0)))*(1-IF(AND(ArtifactsInput!$M$27,Inputs!$B$4="Chapter Hunt"),CHOOSE(ArtifactsInput!$N$27+1,20,24,28,32,36,40),0)/100)))))/Skills!H3,1)))/Inputs!$B$43),G2612*Q2612)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2612*(1-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2612*(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2612*(1-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2612*(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12">
        <f>INDEX(FactorTable!$B$2:$Y$301, MATCH(ROUND(MIN(300,MAX(1,U2611)),0), FactorTable!$A$2:$A$301,0), 22)</f>
        <v/>
      </c>
      <c r="V2612">
        <f>IF(C2612,(H2612*N2612*IF(AND(Inputs!$B$38&lt;&gt;"pvp",Inputs!$B$43&gt;0),((Skills!G3*((R2612-1)*IF(Skills!H3&gt;0,Skills!I3/Skills!H3,1)+IF(Skills!H3&gt;0,MIN(Skills!I3,MAX(0,MAX(0,Inputs!$B$43-B2650)-((R2612-1)*(IF(Inputs!$B$38="pvp",15,MAX(0.1,Skills!D3-IF(Skills!E3=TRUE,Inputs!$B$32,0)))*(1-IF(AND(ArtifactsInput!$M$27,Inputs!$B$4="Chapter Hunt"),CHOOSE(ArtifactsInput!$N$27+1,20,24,28,32,36,40),0)/100)))))/Skills!H3,1)))/Inputs!$B$43),G2612*Q2612))*IF(Inputs!$B$38="pvp",1,(1+(Inputs!$B$21+Skills!Q3+(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3">
      <c r="A2613">
        <f>Skills!A4</f>
        <v/>
      </c>
      <c r="B2613">
        <f>Skills!B4</f>
        <v/>
      </c>
      <c r="C2613">
        <f>Inputs!$B$3&gt;=105</f>
        <v/>
      </c>
      <c r="D2613">
        <f>IF(Skills!C4=1,60+Inputs!$B$25+Inputs!$B$29,IF(Skills!C4=2,90+Inputs!$B$26+Inputs!$B$29,IF(Skills!C4=3,120+Inputs!$B$27+Inputs!$B$29,MAX(0,(Inputs!$B$3-100)*3)+Inputs!$B$28+Inputs!$B$29)))</f>
        <v/>
      </c>
      <c r="E2613">
        <f>INDEX(FactorTable!$B$2:$Y$301, MATCH(ROUND(MIN(300,MAX(1,D2613)),0), FactorTable!$A$2:$A$301,0), Skills!M4+1)</f>
        <v/>
      </c>
      <c r="F2613">
        <f>IF(Skills!N4=TRUE,(Skills!L4/10)*(E2613/1000),Skills!L4/10)+Skills!O4</f>
        <v/>
      </c>
      <c r="G2613" t="inlineStr"/>
      <c r="H2613" t="inlineStr"/>
      <c r="I2613" t="inlineStr">
        <is>
          <t>1</t>
        </is>
      </c>
      <c r="J2613" t="inlineStr"/>
      <c r="K2613" t="inlineStr"/>
      <c r="L2613" t="inlineStr"/>
      <c r="M2613" t="inlineStr"/>
      <c r="N2613" t="inlineStr"/>
      <c r="O2613" t="inlineStr"/>
      <c r="P2613" t="inlineStr"/>
      <c r="Q2613" t="inlineStr"/>
      <c r="R2613" t="inlineStr"/>
      <c r="S2613" t="inlineStr"/>
      <c r="T2613" t="inlineStr"/>
      <c r="U2613">
        <f>290*U2612/1000</f>
        <v/>
      </c>
      <c r="V2613" t="inlineStr"/>
    </row>
    <row r="2614">
      <c r="A2614">
        <f>Skills!A5</f>
        <v/>
      </c>
      <c r="B2614">
        <f>Skills!B5</f>
        <v/>
      </c>
      <c r="C2614">
        <f>Inputs!$B$3&gt;=35</f>
        <v/>
      </c>
      <c r="D2614">
        <f>IF(Skills!C5=1,60+Inputs!$B$25+Inputs!$B$29,IF(Skills!C5=2,90+Inputs!$B$26+Inputs!$B$29,IF(Skills!C5=3,120+Inputs!$B$27+Inputs!$B$29,MAX(0,(Inputs!$B$3-100)*3)+Inputs!$B$28+Inputs!$B$29)))</f>
        <v/>
      </c>
      <c r="E2614">
        <f>INDEX(FactorTable!$B$2:$Y$301, MATCH(ROUND(MIN(300,MAX(1,D2614)),0), FactorTable!$A$2:$A$301,0), Skills!M5+1)</f>
        <v/>
      </c>
      <c r="F2614">
        <f>IF(Skills!N5=TRUE,(Skills!L5/10)*(E2614/1000),Skills!L5/10)+Skills!O5</f>
        <v/>
      </c>
      <c r="G2614">
        <f>Skills!G5*IF(Skills!H5&gt;0,Skills!I5/Skills!H5,1)</f>
        <v/>
      </c>
      <c r="H2614">
        <f>1-(1-Skills!J5/100)^Skills!K5</f>
        <v/>
      </c>
      <c r="I2614" t="inlineStr">
        <is>
          <t>1</t>
        </is>
      </c>
      <c r="J2614">
        <f>((Inputs!$B$6*(1+Inputs!$B$7/100))+(((Inputs!$B$12*(1+Inputs!$B$13/100))-(Inputs!$B$12*(1+Inputs!$B$13/100)))+0.25*(Inputs!$B$14-Inputs!$B$14))*(1+Inputs!$B$7/100))*(F2614/100)</f>
        <v/>
      </c>
      <c r="K2614">
        <f>J2614*(1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2620=TRUE,F2620,0)/100)*(1+(IF(Skills!A5="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2614)</f>
        <v/>
      </c>
      <c r="L2614">
        <f>K2614*(MIN(Inputs!$B$22+((C2634=TRUE)*(F2634-Calc!F25)),(Inputs!$B$23+((C2639=TRUE)*(F2639-Calc!F30))+(IF(ArtifactsInput!$M$15,CHOOSE(ArtifactsInput!$N$15+1,25,30,35,40,45,50)/100*(Inputs!$B$11-Inputs!$B$11),0))))/100+(Inputs!$B$23+((C2639=TRUE)*(F2639-Calc!F30))+(IF(ArtifactsInput!$M$15,CHOOSE(ArtifactsInput!$N$15+1,25,30,35,40,45,50)/100*(Inputs!$B$11-Inputs!$B$11),0)))/100)/2</f>
        <v/>
      </c>
      <c r="M2614">
        <f>L2614*(1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4">
        <f>L2614*(1-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2614*(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4">
        <f>(1-Summary!$B$11)*T2614+Summary!$B$11*V2614</f>
        <v/>
      </c>
      <c r="P2614">
        <f>IF(B2653=0,0,O2614/B2653)</f>
        <v/>
      </c>
      <c r="Q2614">
        <f>IFERROR(1/(IF(Inputs!$B$38="pvp",15,MAX(0.1,Skills!D5-IF(Skills!E5=TRUE,Inputs!$B$32,0)))*(1-IF(AND(ArtifactsInput!$M$27,Inputs!$B$4="Chapter Hunt"),CHOOSE(ArtifactsInput!$N$27+1,20,24,28,32,36,40),0)/100)),0)</f>
        <v/>
      </c>
      <c r="R2614">
        <f>IF(AND(Inputs!$B$38&lt;&gt;"pvp",Inputs!$B$43&gt;0),IF(MAX(0,Inputs!$B$43-B2650)&lt;=0,0,(INT(MAX(0,Inputs!$B$43-B2650)/(IF(Inputs!$B$38="pvp",15,MAX(0.1,Skills!D5-IF(Skills!E5=TRUE,Inputs!$B$32,0)))*(1-IF(AND(ArtifactsInput!$M$27,Inputs!$B$4="Chapter Hunt"),CHOOSE(ArtifactsInput!$N$27+1,20,24,28,32,36,40),0)/100)))+1)),0)</f>
        <v/>
      </c>
      <c r="S2614">
        <f>IFERROR(O2614/N2614,0)</f>
        <v/>
      </c>
      <c r="T2614">
        <f>IF(C2614,(H2614*N2614*IF(AND(Inputs!$B$38&lt;&gt;"pvp",Inputs!$B$43&gt;0),((Skills!G5*((R2614-1)*IF(Skills!H5&gt;0,Skills!I5/Skills!H5,1)+IF(Skills!H5&gt;0,MIN(Skills!I5,MAX(0,MAX(0,Inputs!$B$43-B2650)-((R2614-1)*(IF(Inputs!$B$38="pvp",15,MAX(0.1,Skills!D5-IF(Skills!E5=TRUE,Inputs!$B$32,0)))*(1-IF(AND(ArtifactsInput!$M$27,Inputs!$B$4="Chapter Hunt"),CHOOSE(ArtifactsInput!$N$27+1,20,24,28,32,36,40),0)/100)))))/Skills!H5,1)))/Inputs!$B$43),G2614*Q2614)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2614*(1-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2614*(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2614*(1-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2614*(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4">
        <f>IF(C2614,(H2614*N2614*IF(AND(Inputs!$B$38&lt;&gt;"pvp",Inputs!$B$43&gt;0),((Skills!G5*((R2614-1)*IF(Skills!H5&gt;0,Skills!I5/Skills!H5,1)+IF(Skills!H5&gt;0,MIN(Skills!I5,MAX(0,MAX(0,Inputs!$B$43-B2650)-((R2614-1)*(IF(Inputs!$B$38="pvp",15,MAX(0.1,Skills!D5-IF(Skills!E5=TRUE,Inputs!$B$32,0)))*(1-IF(AND(ArtifactsInput!$M$27,Inputs!$B$4="Chapter Hunt"),CHOOSE(ArtifactsInput!$N$27+1,20,24,28,32,36,40),0)/100)))))/Skills!H5,1)))/Inputs!$B$43),G2614*Q2614))*IF(Inputs!$B$38="pvp",1,(1+(Inputs!$B$21+Skills!Q5+(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5">
      <c r="A2615">
        <f>Skills!A6</f>
        <v/>
      </c>
      <c r="B2615">
        <f>Skills!B6</f>
        <v/>
      </c>
      <c r="C2615">
        <f>Inputs!$B$3&gt;=40</f>
        <v/>
      </c>
      <c r="D2615">
        <f>IF(Skills!C6=1,60+Inputs!$B$25+Inputs!$B$29,IF(Skills!C6=2,90+Inputs!$B$26+Inputs!$B$29,IF(Skills!C6=3,120+Inputs!$B$27+Inputs!$B$29,MAX(0,(Inputs!$B$3-100)*3)+Inputs!$B$28+Inputs!$B$29)))</f>
        <v/>
      </c>
      <c r="E2615">
        <f>INDEX(FactorTable!$B$2:$Y$301, MATCH(ROUND(MIN(300,MAX(1,D2615)),0), FactorTable!$A$2:$A$301,0), Skills!M6+1)</f>
        <v/>
      </c>
      <c r="F2615">
        <f>IF(Skills!N6=TRUE,(Skills!L6/10)*(E2615/1000),Skills!L6/10)+Skills!O6</f>
        <v/>
      </c>
      <c r="G2615">
        <f>Skills!G6*IF(Skills!H6&gt;0,Skills!I6/Skills!H6,1)</f>
        <v/>
      </c>
      <c r="H2615">
        <f>1-(1-Skills!J6/100)^Skills!K6</f>
        <v/>
      </c>
      <c r="I2615" t="inlineStr">
        <is>
          <t>1</t>
        </is>
      </c>
      <c r="J2615">
        <f>((Inputs!$B$6*(1+Inputs!$B$7/100))+(((Inputs!$B$12*(1+Inputs!$B$13/100))-(Inputs!$B$12*(1+Inputs!$B$13/100)))+0.25*(Inputs!$B$14-Inputs!$B$14))*(1+Inputs!$B$7/100))*(F2615/100)</f>
        <v/>
      </c>
      <c r="K2615">
        <f>J2615*(1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2616=TRUE,F2616,0)/100)*(1+(IF(Skills!A6="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2615)</f>
        <v/>
      </c>
      <c r="L2615">
        <f>K2615*(MIN(Inputs!$B$22+((C2634=TRUE)*(F2634-Calc!F25)),(Inputs!$B$23+((C2639=TRUE)*(F2639-Calc!F30))+(IF(ArtifactsInput!$M$15,CHOOSE(ArtifactsInput!$N$15+1,25,30,35,40,45,50)/100*(Inputs!$B$11-Inputs!$B$11),0))))/100+(Inputs!$B$23+((C2639=TRUE)*(F2639-Calc!F30))+(IF(ArtifactsInput!$M$15,CHOOSE(ArtifactsInput!$N$15+1,25,30,35,40,45,50)/100*(Inputs!$B$11-Inputs!$B$11),0)))/100)/2</f>
        <v/>
      </c>
      <c r="M2615">
        <f>L2615*(1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5">
        <f>L2615*(1-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2615*(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5">
        <f>(1-Summary!$B$11)*T2615+Summary!$B$11*V2615</f>
        <v/>
      </c>
      <c r="P2615">
        <f>IF(B2653=0,0,O2615/B2653)</f>
        <v/>
      </c>
      <c r="Q2615">
        <f>IFERROR(1/(IF(Inputs!$B$38="pvp",15,MAX(0.1,Skills!D6-IF(Skills!E6=TRUE,Inputs!$B$32,0)))*(1-IF(AND(ArtifactsInput!$M$27,Inputs!$B$4="Chapter Hunt"),CHOOSE(ArtifactsInput!$N$27+1,20,24,28,32,36,40),0)/100)),0)</f>
        <v/>
      </c>
      <c r="R2615">
        <f>IF(AND(Inputs!$B$38&lt;&gt;"pvp",Inputs!$B$43&gt;0),IF(MAX(0,Inputs!$B$43-B2650)&lt;=0,0,(INT(MAX(0,Inputs!$B$43-B2650)/(IF(Inputs!$B$38="pvp",15,MAX(0.1,Skills!D6-IF(Skills!E6=TRUE,Inputs!$B$32,0)))*(1-IF(AND(ArtifactsInput!$M$27,Inputs!$B$4="Chapter Hunt"),CHOOSE(ArtifactsInput!$N$27+1,20,24,28,32,36,40),0)/100)))+1)),0)</f>
        <v/>
      </c>
      <c r="S2615">
        <f>IFERROR(O2615/N2615,0)</f>
        <v/>
      </c>
      <c r="T2615">
        <f>IF(C2615,(H2615*N2615*IF(AND(Inputs!$B$38&lt;&gt;"pvp",Inputs!$B$43&gt;0),((Skills!G6*((R2615-1)*IF(Skills!H6&gt;0,Skills!I6/Skills!H6,1)+IF(Skills!H6&gt;0,MIN(Skills!I6,MAX(0,MAX(0,Inputs!$B$43-B2650)-((R2615-1)*(IF(Inputs!$B$38="pvp",15,MAX(0.1,Skills!D6-IF(Skills!E6=TRUE,Inputs!$B$32,0)))*(1-IF(AND(ArtifactsInput!$M$27,Inputs!$B$4="Chapter Hunt"),CHOOSE(ArtifactsInput!$N$27+1,20,24,28,32,36,40),0)/100)))))/Skills!H6,1)))/Inputs!$B$43),G2615*Q2615)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2615*(1-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2615*(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2615*(1-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2615*(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5">
        <f>IF(C2615,(H2615*N2615*IF(AND(Inputs!$B$38&lt;&gt;"pvp",Inputs!$B$43&gt;0),((Skills!G6*((R2615-1)*IF(Skills!H6&gt;0,Skills!I6/Skills!H6,1)+IF(Skills!H6&gt;0,MIN(Skills!I6,MAX(0,MAX(0,Inputs!$B$43-B2650)-((R2615-1)*(IF(Inputs!$B$38="pvp",15,MAX(0.1,Skills!D6-IF(Skills!E6=TRUE,Inputs!$B$32,0)))*(1-IF(AND(ArtifactsInput!$M$27,Inputs!$B$4="Chapter Hunt"),CHOOSE(ArtifactsInput!$N$27+1,20,24,28,32,36,40),0)/100)))))/Skills!H6,1)))/Inputs!$B$43),G2615*Q2615))*IF(Inputs!$B$38="pvp",1,(1+(Inputs!$B$21+Skills!Q6+(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6">
      <c r="A2616">
        <f>Skills!A7</f>
        <v/>
      </c>
      <c r="B2616">
        <f>Skills!B7</f>
        <v/>
      </c>
      <c r="C2616">
        <f>Inputs!$B$3&gt;=107</f>
        <v/>
      </c>
      <c r="D2616">
        <f>IF(Skills!C7=1,60+Inputs!$B$25+Inputs!$B$29,IF(Skills!C7=2,90+Inputs!$B$26+Inputs!$B$29,IF(Skills!C7=3,120+Inputs!$B$27+Inputs!$B$29,MAX(0,(Inputs!$B$3-100)*3)+Inputs!$B$28+Inputs!$B$29)))</f>
        <v/>
      </c>
      <c r="E2616">
        <f>INDEX(FactorTable!$B$2:$Y$301, MATCH(ROUND(MIN(300,MAX(1,D2616)),0), FactorTable!$A$2:$A$301,0), Skills!M7+1)</f>
        <v/>
      </c>
      <c r="F2616">
        <f>IF(Skills!N7=TRUE,(Skills!L7/10)*(E2616/1000),Skills!L7/10)+Skills!O7</f>
        <v/>
      </c>
      <c r="G2616" t="inlineStr"/>
      <c r="H2616" t="inlineStr"/>
      <c r="I2616" t="inlineStr">
        <is>
          <t>1</t>
        </is>
      </c>
      <c r="J2616" t="inlineStr"/>
      <c r="K2616" t="inlineStr"/>
      <c r="L2616" t="inlineStr"/>
      <c r="M2616" t="inlineStr"/>
      <c r="N2616" t="inlineStr"/>
      <c r="O2616" t="inlineStr"/>
      <c r="P2616" t="inlineStr"/>
      <c r="Q2616" t="inlineStr"/>
      <c r="R2616" t="inlineStr"/>
      <c r="S2616" t="inlineStr"/>
      <c r="T2616" t="inlineStr"/>
      <c r="V2616" t="inlineStr"/>
    </row>
    <row r="2617">
      <c r="A2617">
        <f>Skills!A8</f>
        <v/>
      </c>
      <c r="B2617">
        <f>Skills!B8</f>
        <v/>
      </c>
      <c r="C2617">
        <f>Inputs!$B$3&gt;=69</f>
        <v/>
      </c>
      <c r="D2617">
        <f>IF(Skills!C8=1,60+Inputs!$B$25+Inputs!$B$29,IF(Skills!C8=2,90+Inputs!$B$26+Inputs!$B$29,IF(Skills!C8=3,120+Inputs!$B$27+Inputs!$B$29,MAX(0,(Inputs!$B$3-100)*3)+Inputs!$B$28+Inputs!$B$29)))</f>
        <v/>
      </c>
      <c r="E2617">
        <f>INDEX(FactorTable!$B$2:$Y$301, MATCH(ROUND(MIN(300,MAX(1,D2617)),0), FactorTable!$A$2:$A$301,0), Skills!M8+1)</f>
        <v/>
      </c>
      <c r="F2617">
        <f>IF(Skills!N8=TRUE,(Skills!L8/10)*(E2617/1000),Skills!L8/10)+Skills!O8</f>
        <v/>
      </c>
      <c r="G2617">
        <f>Skills!G8*IF(Skills!H8&gt;0,Skills!I8/Skills!H8,1)</f>
        <v/>
      </c>
      <c r="H2617">
        <f>1-(1-Skills!J8/100)^Skills!K8</f>
        <v/>
      </c>
      <c r="I2617" t="inlineStr">
        <is>
          <t>1</t>
        </is>
      </c>
      <c r="J2617">
        <f>((Inputs!$B$6*(1+Inputs!$B$7/100))+(((Inputs!$B$12*(1+Inputs!$B$13/100))-(Inputs!$B$12*(1+Inputs!$B$13/100)))+0.25*(Inputs!$B$14-Inputs!$B$14))*(1+Inputs!$B$7/100))*(F2617/100)</f>
        <v/>
      </c>
      <c r="K2617">
        <f>J2617*(1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2620=TRUE,F2620,0)/100)*(1+(IF(Skills!A8="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2617)</f>
        <v/>
      </c>
      <c r="L2617">
        <f>K2617*(MIN(Inputs!$B$22+((C2634=TRUE)*(F2634-Calc!F25)),(Inputs!$B$23+((C2639=TRUE)*(F2639-Calc!F30))+(IF(ArtifactsInput!$M$15,CHOOSE(ArtifactsInput!$N$15+1,25,30,35,40,45,50)/100*(Inputs!$B$11-Inputs!$B$11),0))))/100+(Inputs!$B$23+((C2639=TRUE)*(F2639-Calc!F30))+(IF(ArtifactsInput!$M$15,CHOOSE(ArtifactsInput!$N$15+1,25,30,35,40,45,50)/100*(Inputs!$B$11-Inputs!$B$11),0)))/100)/2</f>
        <v/>
      </c>
      <c r="M2617">
        <f>L2617*(1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7">
        <f>L2617*(1-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2617*(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7">
        <f>(1-Summary!$B$11)*T2617+Summary!$B$11*V2617</f>
        <v/>
      </c>
      <c r="P2617">
        <f>IF(B2653=0,0,O2617/B2653)</f>
        <v/>
      </c>
      <c r="Q2617">
        <f>IFERROR(1/(IF(Inputs!$B$38="pvp",15,MAX(0.1,Skills!D8-IF(Skills!E8=TRUE,Inputs!$B$32,0)))*(1-IF(AND(ArtifactsInput!$M$27,Inputs!$B$4="Chapter Hunt"),CHOOSE(ArtifactsInput!$N$27+1,20,24,28,32,36,40),0)/100)),0)</f>
        <v/>
      </c>
      <c r="R2617">
        <f>IF(AND(Inputs!$B$38&lt;&gt;"pvp",Inputs!$B$43&gt;0),IF(MAX(0,Inputs!$B$43-B2650)&lt;=0,0,(INT(MAX(0,Inputs!$B$43-B2650)/(IF(Inputs!$B$38="pvp",15,MAX(0.1,Skills!D8-IF(Skills!E8=TRUE,Inputs!$B$32,0)))*(1-IF(AND(ArtifactsInput!$M$27,Inputs!$B$4="Chapter Hunt"),CHOOSE(ArtifactsInput!$N$27+1,20,24,28,32,36,40),0)/100)))+1)),0)</f>
        <v/>
      </c>
      <c r="S2617">
        <f>IFERROR(O2617/N2617,0)</f>
        <v/>
      </c>
      <c r="T2617">
        <f>IF(C2617,(H2617*N2617*IF(AND(Inputs!$B$38&lt;&gt;"pvp",Inputs!$B$43&gt;0),((Skills!G8*((R2617-1)*IF(Skills!H8&gt;0,Skills!I8/Skills!H8,1)+IF(Skills!H8&gt;0,MIN(Skills!I8,MAX(0,MAX(0,Inputs!$B$43-B2650)-((R2617-1)*(IF(Inputs!$B$38="pvp",15,MAX(0.1,Skills!D8-IF(Skills!E8=TRUE,Inputs!$B$32,0)))*(1-IF(AND(ArtifactsInput!$M$27,Inputs!$B$4="Chapter Hunt"),CHOOSE(ArtifactsInput!$N$27+1,20,24,28,32,36,40),0)/100)))))/Skills!H8,1)))/Inputs!$B$43),G2617*Q2617)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2617*(1-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2617*(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2617*(1-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2617*(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7">
        <f>IF(C2617,(H2617*N2617*IF(AND(Inputs!$B$38&lt;&gt;"pvp",Inputs!$B$43&gt;0),((Skills!G8*((R2617-1)*IF(Skills!H8&gt;0,Skills!I8/Skills!H8,1)+IF(Skills!H8&gt;0,MIN(Skills!I8,MAX(0,MAX(0,Inputs!$B$43-B2650)-((R2617-1)*(IF(Inputs!$B$38="pvp",15,MAX(0.1,Skills!D8-IF(Skills!E8=TRUE,Inputs!$B$32,0)))*(1-IF(AND(ArtifactsInput!$M$27,Inputs!$B$4="Chapter Hunt"),CHOOSE(ArtifactsInput!$N$27+1,20,24,28,32,36,40),0)/100)))))/Skills!H8,1)))/Inputs!$B$43),G2617*Q2617))*IF(Inputs!$B$38="pvp",1,(1+(Inputs!$B$21+Skills!Q8+(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8">
      <c r="A2618">
        <f>Skills!A9</f>
        <v/>
      </c>
      <c r="B2618">
        <f>Skills!B9</f>
        <v/>
      </c>
      <c r="C2618">
        <f>Inputs!$B$3&gt;=63</f>
        <v/>
      </c>
      <c r="D2618">
        <f>IF(Skills!C9=1,60+Inputs!$B$25+Inputs!$B$29,IF(Skills!C9=2,90+Inputs!$B$26+Inputs!$B$29,IF(Skills!C9=3,120+Inputs!$B$27+Inputs!$B$29,MAX(0,(Inputs!$B$3-100)*3)+Inputs!$B$28+Inputs!$B$29)))</f>
        <v/>
      </c>
      <c r="E2618">
        <f>INDEX(FactorTable!$B$2:$Y$301, MATCH(ROUND(MIN(300,MAX(1,D2618)),0), FactorTable!$A$2:$A$301,0), Skills!M9+1)</f>
        <v/>
      </c>
      <c r="F2618">
        <f>IF(Skills!N9=TRUE,(Skills!L9/10)*(E2618/1000),Skills!L9/10)+Skills!O9</f>
        <v/>
      </c>
      <c r="G2618">
        <f>Skills!G9*IF(Skills!H9&gt;0,Skills!I9/Skills!H9,1)</f>
        <v/>
      </c>
      <c r="H2618">
        <f>1-(1-Skills!J9/100)^Skills!K9</f>
        <v/>
      </c>
      <c r="I2618" t="inlineStr">
        <is>
          <t>1</t>
        </is>
      </c>
      <c r="J2618">
        <f>((Inputs!$B$6*(1+Inputs!$B$7/100))+(((Inputs!$B$12*(1+Inputs!$B$13/100))-(Inputs!$B$12*(1+Inputs!$B$13/100)))+0.25*(Inputs!$B$14-Inputs!$B$14))*(1+Inputs!$B$7/100))*(F2618/100)</f>
        <v/>
      </c>
      <c r="K2618">
        <f>J2618*(1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2620=TRUE,F2620,0)/100)*(1+(IF(Skills!A9="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2618)</f>
        <v/>
      </c>
      <c r="L2618">
        <f>K2618*(MIN(Inputs!$B$22+((C2634=TRUE)*(F2634-Calc!F25)),(Inputs!$B$23+((C2639=TRUE)*(F2639-Calc!F30))+(IF(ArtifactsInput!$M$15,CHOOSE(ArtifactsInput!$N$15+1,25,30,35,40,45,50)/100*(Inputs!$B$11-Inputs!$B$11),0))))/100+(Inputs!$B$23+((C2639=TRUE)*(F2639-Calc!F30))+(IF(ArtifactsInput!$M$15,CHOOSE(ArtifactsInput!$N$15+1,25,30,35,40,45,50)/100*(Inputs!$B$11-Inputs!$B$11),0)))/100)/2</f>
        <v/>
      </c>
      <c r="M2618">
        <f>L2618*(1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8">
        <f>L2618*(1-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2618*(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8">
        <f>(1-Summary!$B$11)*T2618+Summary!$B$11*V2618</f>
        <v/>
      </c>
      <c r="P2618">
        <f>IF(B2653=0,0,O2618/B2653)</f>
        <v/>
      </c>
      <c r="Q2618">
        <f>IFERROR(1/(IF(Inputs!$B$38="pvp",15,MAX(0.1,Skills!D9-IF(Skills!E9=TRUE,Inputs!$B$32,0)))*(1-IF(AND(ArtifactsInput!$M$27,Inputs!$B$4="Chapter Hunt"),CHOOSE(ArtifactsInput!$N$27+1,20,24,28,32,36,40),0)/100)),0)</f>
        <v/>
      </c>
      <c r="R2618">
        <f>IF(AND(Inputs!$B$38&lt;&gt;"pvp",Inputs!$B$43&gt;0),IF(MAX(0,Inputs!$B$43-B2650)&lt;=0,0,(INT(MAX(0,Inputs!$B$43-B2650)/(IF(Inputs!$B$38="pvp",15,MAX(0.1,Skills!D9-IF(Skills!E9=TRUE,Inputs!$B$32,0)))*(1-IF(AND(ArtifactsInput!$M$27,Inputs!$B$4="Chapter Hunt"),CHOOSE(ArtifactsInput!$N$27+1,20,24,28,32,36,40),0)/100)))+1)),0)</f>
        <v/>
      </c>
      <c r="S2618">
        <f>IFERROR(O2618/N2618,0)</f>
        <v/>
      </c>
      <c r="T2618">
        <f>IF(C2618,(H2618*N2618*IF(AND(Inputs!$B$38&lt;&gt;"pvp",Inputs!$B$43&gt;0),((Skills!G9*((R2618-1)*IF(Skills!H9&gt;0,Skills!I9/Skills!H9,1)+IF(Skills!H9&gt;0,MIN(Skills!I9,MAX(0,MAX(0,Inputs!$B$43-B2650)-((R2618-1)*(IF(Inputs!$B$38="pvp",15,MAX(0.1,Skills!D9-IF(Skills!E9=TRUE,Inputs!$B$32,0)))*(1-IF(AND(ArtifactsInput!$M$27,Inputs!$B$4="Chapter Hunt"),CHOOSE(ArtifactsInput!$N$27+1,20,24,28,32,36,40),0)/100)))))/Skills!H9,1)))/Inputs!$B$43),G2618*Q2618)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2618*(1-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2618*(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2618*(1-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2618*(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8">
        <f>IF(C2618,(H2618*N2618*IF(AND(Inputs!$B$38&lt;&gt;"pvp",Inputs!$B$43&gt;0),((Skills!G9*((R2618-1)*IF(Skills!H9&gt;0,Skills!I9/Skills!H9,1)+IF(Skills!H9&gt;0,MIN(Skills!I9,MAX(0,MAX(0,Inputs!$B$43-B2650)-((R2618-1)*(IF(Inputs!$B$38="pvp",15,MAX(0.1,Skills!D9-IF(Skills!E9=TRUE,Inputs!$B$32,0)))*(1-IF(AND(ArtifactsInput!$M$27,Inputs!$B$4="Chapter Hunt"),CHOOSE(ArtifactsInput!$N$27+1,20,24,28,32,36,40),0)/100)))))/Skills!H9,1)))/Inputs!$B$43),G2618*Q2618))*IF(Inputs!$B$38="pvp",1,(1+(Inputs!$B$21+Skills!Q9+(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9">
      <c r="A2619">
        <f>Skills!A10</f>
        <v/>
      </c>
      <c r="B2619">
        <f>Skills!B10</f>
        <v/>
      </c>
      <c r="C2619">
        <f>Inputs!$B$3&gt;=103</f>
        <v/>
      </c>
      <c r="D2619">
        <f>IF(Skills!C10=1,60+Inputs!$B$25+Inputs!$B$29,IF(Skills!C10=2,90+Inputs!$B$26+Inputs!$B$29,IF(Skills!C10=3,120+Inputs!$B$27+Inputs!$B$29,MAX(0,(Inputs!$B$3-100)*3)+Inputs!$B$28+Inputs!$B$29)))</f>
        <v/>
      </c>
      <c r="E2619">
        <f>INDEX(FactorTable!$B$2:$Y$301, MATCH(ROUND(MIN(300,MAX(1,D2619)),0), FactorTable!$A$2:$A$301,0), Skills!M10+1)</f>
        <v/>
      </c>
      <c r="F2619">
        <f>IF(Skills!N10=TRUE,(Skills!L10/10)*(E2619/1000),Skills!L10/10)+Skills!O10</f>
        <v/>
      </c>
      <c r="G2619">
        <f>Skills!G10*IF(Skills!H10&gt;0,Skills!I10/Skills!H10,1)</f>
        <v/>
      </c>
      <c r="H2619">
        <f>1-(1-Skills!J10/100)^Skills!K10</f>
        <v/>
      </c>
      <c r="I2619" t="inlineStr">
        <is>
          <t>1</t>
        </is>
      </c>
      <c r="J2619">
        <f>((Inputs!$B$6*(1+Inputs!$B$7/100))+(((Inputs!$B$12*(1+Inputs!$B$13/100))-(Inputs!$B$12*(1+Inputs!$B$13/100)))+0.25*(Inputs!$B$14-Inputs!$B$14))*(1+Inputs!$B$7/100))*(F2619/100)</f>
        <v/>
      </c>
      <c r="K2619">
        <f>J2619*(1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2619)</f>
        <v/>
      </c>
      <c r="L2619">
        <f>K2619*(MIN(Inputs!$B$22+((C2634=TRUE)*(F2634-Calc!F25)),(Inputs!$B$23+((C2639=TRUE)*(F2639-Calc!F30))+(IF(ArtifactsInput!$M$15,CHOOSE(ArtifactsInput!$N$15+1,25,30,35,40,45,50)/100*(Inputs!$B$11-Inputs!$B$11),0))))/100+(Inputs!$B$23+((C2639=TRUE)*(F2639-Calc!F30))+(IF(ArtifactsInput!$M$15,CHOOSE(ArtifactsInput!$N$15+1,25,30,35,40,45,50)/100*(Inputs!$B$11-Inputs!$B$11),0)))/100)/2</f>
        <v/>
      </c>
      <c r="M2619">
        <f>L2619*(1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9">
        <f>L2619*(1-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2619*(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9">
        <f>(1-Summary!$B$11)*T2619+Summary!$B$11*V2619</f>
        <v/>
      </c>
      <c r="P2619">
        <f>IF(B2653=0,0,O2619/B2653)</f>
        <v/>
      </c>
      <c r="Q2619">
        <f>IFERROR(1/(IF(Inputs!$B$38="pvp",15,MAX(0.1,Skills!D10-IF(Skills!E10=TRUE,Inputs!$B$32,0)))*(1-IF(AND(ArtifactsInput!$M$27,Inputs!$B$4="Chapter Hunt"),CHOOSE(ArtifactsInput!$N$27+1,20,24,28,32,36,40),0)/100)),0)</f>
        <v/>
      </c>
      <c r="R2619">
        <f>IF(AND(Inputs!$B$38&lt;&gt;"pvp",Inputs!$B$43&gt;0),IF(MAX(0,Inputs!$B$43-B2650)&lt;=0,0,(INT(MAX(0,Inputs!$B$43-B2650)/(IF(Inputs!$B$38="pvp",15,MAX(0.1,Skills!D10-IF(Skills!E10=TRUE,Inputs!$B$32,0)))*(1-IF(AND(ArtifactsInput!$M$27,Inputs!$B$4="Chapter Hunt"),CHOOSE(ArtifactsInput!$N$27+1,20,24,28,32,36,40),0)/100)))+1)),0)</f>
        <v/>
      </c>
      <c r="S2619">
        <f>IFERROR(O2619/N2619,0)</f>
        <v/>
      </c>
      <c r="T2619">
        <f>IF(C2619,(H2619*N2619*IF(AND(Inputs!$B$38&lt;&gt;"pvp",Inputs!$B$43&gt;0),((Skills!G10*((R2619-1)*IF(Skills!H10&gt;0,Skills!I10/Skills!H10,1)+IF(Skills!H10&gt;0,MIN(Skills!I10,MAX(0,MAX(0,Inputs!$B$43-B2650)-((R2619-1)*(IF(Inputs!$B$38="pvp",15,MAX(0.1,Skills!D10-IF(Skills!E10=TRUE,Inputs!$B$32,0)))*(1-IF(AND(ArtifactsInput!$M$27,Inputs!$B$4="Chapter Hunt"),CHOOSE(ArtifactsInput!$N$27+1,20,24,28,32,36,40),0)/100)))))/Skills!H10,1)))/Inputs!$B$43),G2619*Q2619)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2619*(1-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2619*(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2619*(1-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2619*(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9">
        <f>IF(C2619,(H2619*N2619*IF(AND(Inputs!$B$38&lt;&gt;"pvp",Inputs!$B$43&gt;0),((Skills!G10*((R2619-1)*IF(Skills!H10&gt;0,Skills!I10/Skills!H10,1)+IF(Skills!H10&gt;0,MIN(Skills!I10,MAX(0,MAX(0,Inputs!$B$43-B2650)-((R2619-1)*(IF(Inputs!$B$38="pvp",15,MAX(0.1,Skills!D10-IF(Skills!E10=TRUE,Inputs!$B$32,0)))*(1-IF(AND(ArtifactsInput!$M$27,Inputs!$B$4="Chapter Hunt"),CHOOSE(ArtifactsInput!$N$27+1,20,24,28,32,36,40),0)/100)))))/Skills!H10,1)))/Inputs!$B$43),G2619*Q2619))*IF(Inputs!$B$38="pvp",1,(1+(Inputs!$B$21+Skills!Q10+(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0">
      <c r="A2620">
        <f>Skills!A11</f>
        <v/>
      </c>
      <c r="B2620">
        <f>Skills!B11</f>
        <v/>
      </c>
      <c r="C2620">
        <f>Inputs!$B$3&gt;=100</f>
        <v/>
      </c>
      <c r="D2620">
        <f>IF(Skills!C11=1,60+Inputs!$B$25+Inputs!$B$29,IF(Skills!C11=2,90+Inputs!$B$26+Inputs!$B$29,IF(Skills!C11=3,120+Inputs!$B$27+Inputs!$B$29,MAX(0,(Inputs!$B$3-100)*3)+Inputs!$B$28+Inputs!$B$29)))</f>
        <v/>
      </c>
      <c r="E2620">
        <f>INDEX(FactorTable!$B$2:$Y$301, MATCH(ROUND(MIN(300,MAX(1,D2620)),0), FactorTable!$A$2:$A$301,0), Skills!M11+1)</f>
        <v/>
      </c>
      <c r="F2620">
        <f>IF(Skills!N11=TRUE,(Skills!L11/10)*(E2620/1000),Skills!L11/10)+Skills!O11</f>
        <v/>
      </c>
      <c r="G2620" t="inlineStr"/>
      <c r="H2620" t="inlineStr"/>
      <c r="I2620" t="inlineStr">
        <is>
          <t>1</t>
        </is>
      </c>
      <c r="J2620" t="inlineStr"/>
      <c r="K2620" t="inlineStr"/>
      <c r="L2620" t="inlineStr"/>
      <c r="M2620" t="inlineStr"/>
      <c r="N2620" t="inlineStr"/>
      <c r="O2620" t="inlineStr"/>
      <c r="P2620" t="inlineStr"/>
      <c r="Q2620" t="inlineStr"/>
      <c r="R2620" t="inlineStr"/>
      <c r="S2620" t="inlineStr"/>
      <c r="T2620" t="inlineStr"/>
      <c r="V2620" t="inlineStr"/>
    </row>
    <row r="2621">
      <c r="A2621">
        <f>Skills!A12</f>
        <v/>
      </c>
      <c r="B2621">
        <f>Skills!B12</f>
        <v/>
      </c>
      <c r="C2621">
        <f>Inputs!$B$3&gt;=60</f>
        <v/>
      </c>
      <c r="D2621">
        <f>IF(Skills!C12=1,60+Inputs!$B$25+Inputs!$B$29,IF(Skills!C12=2,90+Inputs!$B$26+Inputs!$B$29,IF(Skills!C12=3,120+Inputs!$B$27+Inputs!$B$29,MAX(0,(Inputs!$B$3-100)*3)+Inputs!$B$28+Inputs!$B$29)))</f>
        <v/>
      </c>
      <c r="E2621">
        <f>INDEX(FactorTable!$B$2:$Y$301, MATCH(ROUND(MIN(300,MAX(1,D2621)),0), FactorTable!$A$2:$A$301,0), Skills!M12+1)</f>
        <v/>
      </c>
      <c r="F2621">
        <f>IF(Skills!N12=TRUE,(Skills!L12/10)*(E2621/1000),Skills!L12/10)+Skills!O12</f>
        <v/>
      </c>
      <c r="G2621">
        <f>Skills!G12*IF(Skills!H12&gt;0,Skills!I12/Skills!H12,1)</f>
        <v/>
      </c>
      <c r="H2621">
        <f>1-(1-Skills!J12/100)^Skills!K12</f>
        <v/>
      </c>
      <c r="I2621" t="inlineStr">
        <is>
          <t>1</t>
        </is>
      </c>
      <c r="J2621">
        <f>((Inputs!$B$6*(1+Inputs!$B$7/100))+(((Inputs!$B$12*(1+Inputs!$B$13/100))-(Inputs!$B$12*(1+Inputs!$B$13/100)))+0.25*(Inputs!$B$14-Inputs!$B$14))*(1+Inputs!$B$7/100))*(F2621/100)</f>
        <v/>
      </c>
      <c r="K2621">
        <f>J2621*(1+((Inputs!$B$12*(1+Inputs!$B$13/100))*0.01+Inputs!$B$14*0.0025)/100)*(1+Inputs!$B$15/100)*(1+Inputs!$B$16/100)*(5000/(6000+Inputs!$B$42*(1-(100*(1-(1-(Inputs!$B$19+((C2637=TRUE)*(F2637-Calc!F28)))/100)*(1-CHOOSE(ArtifactsInput!$N$40+1,5,6,7,8,9,10)/100)^(ArtifactsInput!$M$40-ArtifactsInput!$M$40)))/100)))*(1+(Inputs!$B$24+((C2635=TRUE)*(F2635-Calc!F26))+((C2636=TRUE)*(F2636-Calc!F27))+B2649)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2622=TRUE,F2622,0)/100)*(1+(IF(Skills!A12="ARROW_STREAM",Inputs!$B$17+((C2633=TRUE)*(F2633-Calc!F24))+(((IF(AND(ArtifactsInput!$M$42,((Inputs!$B$9+((C2630=TRUE)*(F2630-Calc!F21))+B2643+(ArtifactsInput!$M$24-ArtifactsInput!$M$24)*CHOOSE(ArtifactsInput!$N$24+1,10,12,14,16,18,20)+IF(ArtifactsInput!$M$10,CHOOSE(ArtifactsInput!$N$10+1,15,18,21,24,27,30)*(IF(Inputs!$B$38="pvp",MIN(15,15)/15,IF(AND(Inputs!$B$38&lt;&gt;"pvp",Inputs!$B$43&gt;0),MIN(15,Inputs!$B$43)/(Inputs!$B$43),0))),0)))&gt;=100),MIN(100,((Inputs!$B$9+((C2630=TRUE)*(F2630-Calc!F21))+B2643+(ArtifactsInput!$M$24-ArtifactsInput!$M$24)*CHOOSE(ArtifactsInput!$N$24+1,10,12,14,16,18,20)+IF(ArtifactsInput!$M$10,CHOOSE(ArtifactsInput!$N$10+1,15,18,21,24,27,30)*(IF(Inputs!$B$38="pvp",MIN(15,15)/15,IF(AND(Inputs!$B$38&lt;&gt;"pvp",Inputs!$B$43&gt;0),MIN(15,Inputs!$B$43)/(Inputs!$B$43),0))),0)))-100),0))*CHOOSE(ArtifactsInput!$N$42+1,0.6,0.72,0.84,0.96,1.08,1.2))),Inputs!$B$18+((C2638=TRUE)*(F2638-Calc!F29))+(IF(AND(ArtifactsInput!$M$42,((Inputs!$B$9+((C2630=TRUE)*(F2630-Calc!F21))+B2643+(ArtifactsInput!$M$24-ArtifactsInput!$M$24)*CHOOSE(ArtifactsInput!$N$24+1,10,12,14,16,18,20)+IF(ArtifactsInput!$M$10,CHOOSE(ArtifactsInput!$N$10+1,15,18,21,24,27,30)*(IF(Inputs!$B$38="pvp",MIN(15,15)/15,IF(AND(Inputs!$B$38&lt;&gt;"pvp",Inputs!$B$43&gt;0),MIN(15,Inputs!$B$43)/(Inputs!$B$43),0))),0)))&gt;=100),CHOOSE(ArtifactsInput!$N$42+1,40,48,56,64,72,80),0))))/100)*((1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2621)</f>
        <v/>
      </c>
      <c r="L2621">
        <f>K2621*(MIN(Inputs!$B$22+((C2634=TRUE)*(F2634-Calc!F25)),(Inputs!$B$23+((C2639=TRUE)*(F2639-Calc!F30))+(IF(ArtifactsInput!$M$15,CHOOSE(ArtifactsInput!$N$15+1,25,30,35,40,45,50)/100*(Inputs!$B$11-Inputs!$B$11),0))))/100+(Inputs!$B$23+((C2639=TRUE)*(F2639-Calc!F30))+(IF(ArtifactsInput!$M$15,CHOOSE(ArtifactsInput!$N$15+1,25,30,35,40,45,50)/100*(Inputs!$B$11-Inputs!$B$11),0)))/100)/2</f>
        <v/>
      </c>
      <c r="M2621">
        <f>L2621*(1+(Inputs!$B$10+0+B2648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1">
        <f>L2621*(1-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2621*(MIN((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1">
        <f>(1-Summary!$B$11)*T2621+Summary!$B$11*V2621</f>
        <v/>
      </c>
      <c r="P2621">
        <f>IF(B2653=0,0,O2621/B2653)</f>
        <v/>
      </c>
      <c r="Q2621">
        <f>IFERROR(1/(IF(Inputs!$B$38="pvp",15,MAX(0.1,Skills!D12-IF(Skills!E12=TRUE,Inputs!$B$32,0)))*(1-IF(AND(ArtifactsInput!$M$27,Inputs!$B$4="Chapter Hunt"),CHOOSE(ArtifactsInput!$N$27+1,20,24,28,32,36,40),0)/100)),0)</f>
        <v/>
      </c>
      <c r="R2621">
        <f>IF(AND(Inputs!$B$38&lt;&gt;"pvp",Inputs!$B$43&gt;0),IF(MAX(0,Inputs!$B$43-B2650)&lt;=0,0,(INT(MAX(0,Inputs!$B$43-B2650)/(IF(Inputs!$B$38="pvp",15,MAX(0.1,Skills!D12-IF(Skills!E12=TRUE,Inputs!$B$32,0)))*(1-IF(AND(ArtifactsInput!$M$27,Inputs!$B$4="Chapter Hunt"),CHOOSE(ArtifactsInput!$N$27+1,20,24,28,32,36,40),0)/100)))+1)),0)</f>
        <v/>
      </c>
      <c r="S2621">
        <f>IFERROR(O2621/N2621,0)</f>
        <v/>
      </c>
      <c r="T2621">
        <f>IF(C2621,(H2621*N2621*IF(AND(Inputs!$B$38&lt;&gt;"pvp",Inputs!$B$43&gt;0),((Skills!G12*((R2621-1)*IF(Skills!H12&gt;0,Skills!I12/Skills!H12,1)+IF(Skills!H12&gt;0,MIN(Skills!I12,MAX(0,MAX(0,Inputs!$B$43-B2650)-((R2621-1)*(IF(Inputs!$B$38="pvp",15,MAX(0.1,Skills!D12-IF(Skills!E12=TRUE,Inputs!$B$32,0)))*(1-IF(AND(ArtifactsInput!$M$27,Inputs!$B$4="Chapter Hunt"),CHOOSE(ArtifactsInput!$N$27+1,20,24,28,32,36,40),0)/100)))))/Skills!H12,1)))/Inputs!$B$43),G2621*Q2621)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(5000/(6000+Inputs!$B$42*(1-(100*(1-(1-(100*(1-(1-(Inputs!$B$19+((C2637=TRUE)*(F2637-Calc!F28)))/100)*(1-CHOOSE(ArtifactsInput!$N$40+1,5,6,7,8,9,10)/100)^(ArtifactsInput!$M$40-ArtifactsInput!$M$40)))/100)*(1-IF(ArtifactsInput!$M$40,CHOOSE(ArtifactsInput!$N$40+1,5,6,7,8,9,10),0)/100)^IF(Inputs!$B$38="pvp",1,2)))/100)))/(5000/(6000+Inputs!$B$42*(1-(100*(1-(1-(Inputs!$B$19+((C2637=TRUE)*(F2637-Calc!F28)))/100)*(1-CHOOSE(ArtifactsInput!$N$40+1,5,6,7,8,9,10)/100)^(ArtifactsInput!$M$40-ArtifactsInput!$M$40)))/100))))*((L2621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2621*(MIN(100,(Inputs!$B$9+((C2630=TRUE)*(F2630-Calc!F21))+B2643+(ArtifactsInput!$M$24-ArtifactsInput!$M$24)*CHOOSE(ArtifactsInput!$N$24+1,10,12,14,16,18,20)+(IF(AND(ArtifactsInput!$M$42,((Inputs!$B$9+((C2630=TRUE)*(F2630-Calc!F21))+B2643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21">
        <f>IF(C2621,(H2621*N2621*IF(AND(Inputs!$B$38&lt;&gt;"pvp",Inputs!$B$43&gt;0),((Skills!G12*((R2621-1)*IF(Skills!H12&gt;0,Skills!I12/Skills!H12,1)+IF(Skills!H12&gt;0,MIN(Skills!I12,MAX(0,MAX(0,Inputs!$B$43-B2650)-((R2621-1)*(IF(Inputs!$B$38="pvp",15,MAX(0.1,Skills!D12-IF(Skills!E12=TRUE,Inputs!$B$32,0)))*(1-IF(AND(ArtifactsInput!$M$27,Inputs!$B$4="Chapter Hunt"),CHOOSE(ArtifactsInput!$N$27+1,20,24,28,32,36,40),0)/100)))))/Skills!H12,1)))/Inputs!$B$43),G2621*Q2621))*IF(Inputs!$B$38="pvp",1,(1+(Inputs!$B$21+Skills!Q12+(IF(ArtifactsInput!$M$33,CHOOSE(ArtifactsInput!$N$33+1,30,36,42,48,54,60),0))+(IF(AND(IF(ArtifactsInput!$M$35,FALSE,TRUE),Inputs!$B$4&lt;&gt;"Chapter Hunt"),CHOOSE(ArtifactsInput!$N$35+1,15,18,21,24,27,30)*(1-EXP(-(0.2*B2645)*5)),0)+IF(AND(ArtifactsInput!$M$22,Inputs!$B$4&lt;&gt;"Chapter Hunt"),CHOOSE(ArtifactsInput!$N$22+1,10,12,14,16,18,20)*((0*(((0.15*B2645*5))^0/1)+1*(((0.15*B2645*5))^1/1)+2*(((0.15*B2645*5))^2/2)+3*(((0.15*B2645*5))^3/6)+4*(((0.15*B2645*5))^4/24)+5*(((0.15*B2645*5))^5/120))/((((0.15*B2645*5))^0/1)+(((0.15*B2645*5))^1/1)+(((0.15*B2645*5))^2/2)+(((0.15*B2645*5))^3/6)+(((0.15*B2645*5))^4/24)+(((0.15*B2645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2">
      <c r="A2622">
        <f>Skills!A13</f>
        <v/>
      </c>
      <c r="B2622">
        <f>Skills!B13</f>
        <v/>
      </c>
      <c r="C2622">
        <f>Inputs!$B$3&gt;=110</f>
        <v/>
      </c>
      <c r="D2622">
        <f>IF(Skills!C13=1,60+Inputs!$B$25+Inputs!$B$29,IF(Skills!C13=2,90+Inputs!$B$26+Inputs!$B$29,IF(Skills!C13=3,120+Inputs!$B$27+Inputs!$B$29,MAX(0,(Inputs!$B$3-100)*3)+Inputs!$B$28+Inputs!$B$29)))</f>
        <v/>
      </c>
      <c r="E2622">
        <f>INDEX(FactorTable!$B$2:$Y$301, MATCH(ROUND(MIN(300,MAX(1,D2622)),0), FactorTable!$A$2:$A$301,0), Skills!M13+1)</f>
        <v/>
      </c>
      <c r="F2622">
        <f>IF(Skills!N13=TRUE,(Skills!L13/10)*(E2622/1000),Skills!L13/10)+Skills!O13</f>
        <v/>
      </c>
      <c r="G2622" t="inlineStr"/>
      <c r="H2622" t="inlineStr"/>
      <c r="I2622" t="inlineStr">
        <is>
          <t>1</t>
        </is>
      </c>
      <c r="J2622" t="inlineStr"/>
      <c r="K2622" t="inlineStr"/>
      <c r="L2622" t="inlineStr"/>
      <c r="M2622" t="inlineStr"/>
      <c r="N2622" t="inlineStr"/>
      <c r="O2622" t="inlineStr"/>
      <c r="P2622" t="inlineStr"/>
      <c r="Q2622" t="inlineStr"/>
      <c r="R2622" t="inlineStr"/>
      <c r="S2622" t="inlineStr"/>
      <c r="T2622" t="inlineStr"/>
      <c r="V2622" t="inlineStr"/>
    </row>
    <row r="2623">
      <c r="A2623">
        <f>Skills!A14</f>
        <v/>
      </c>
      <c r="B2623">
        <f>Skills!B14</f>
        <v/>
      </c>
      <c r="C2623">
        <f>Inputs!$B$3&gt;=74</f>
        <v/>
      </c>
      <c r="D2623">
        <f>IF(Skills!C14=1,60+Inputs!$B$25+Inputs!$B$29,IF(Skills!C14=2,90+Inputs!$B$26+Inputs!$B$29,IF(Skills!C14=3,120+Inputs!$B$27+Inputs!$B$29,MAX(0,(Inputs!$B$3-100)*3)+Inputs!$B$28+Inputs!$B$29)))</f>
        <v/>
      </c>
      <c r="E2623">
        <f>INDEX(FactorTable!$B$2:$Y$301, MATCH(ROUND(MIN(300,MAX(1,D2623)),0), FactorTable!$A$2:$A$301,0), Skills!M14+1)</f>
        <v/>
      </c>
      <c r="F2623">
        <f>IF(Skills!N14=TRUE,(Skills!L14/10)*(E2623/1000),Skills!L14/10)+Skills!O14</f>
        <v/>
      </c>
      <c r="G2623">
        <f>Skills!G14*IF(Skills!H14&gt;0,Skills!I14/Skills!H14,1)</f>
        <v/>
      </c>
      <c r="H2623">
        <f>1-(1-Skills!J14/100)^Skills!K14</f>
        <v/>
      </c>
      <c r="I2623" t="inlineStr">
        <is>
          <t>1</t>
        </is>
      </c>
      <c r="J2623" t="inlineStr"/>
      <c r="K2623" t="inlineStr"/>
      <c r="L2623" t="inlineStr"/>
      <c r="M2623" t="inlineStr"/>
      <c r="N2623" t="inlineStr"/>
      <c r="O2623">
        <f>(1-Summary!$B$11)*T2623+Summary!$B$11*V2623</f>
        <v/>
      </c>
      <c r="P2623">
        <f>IF(B2653=0,0,O2623/B2653)</f>
        <v/>
      </c>
      <c r="Q2623" t="n">
        <v>0</v>
      </c>
      <c r="R2623" t="n">
        <v>0</v>
      </c>
      <c r="S2623">
        <f>IFERROR(O2623/N2623,0)</f>
        <v/>
      </c>
      <c r="T2623" t="n">
        <v>0</v>
      </c>
      <c r="V2623" t="n">
        <v>0</v>
      </c>
    </row>
    <row r="2624">
      <c r="A2624">
        <f>Skills!A15</f>
        <v/>
      </c>
      <c r="B2624">
        <f>Skills!B15</f>
        <v/>
      </c>
      <c r="C2624">
        <f>Inputs!$B$3&gt;=74</f>
        <v/>
      </c>
      <c r="D2624">
        <f>IF(Skills!C15=1,60+Inputs!$B$25+Inputs!$B$29,IF(Skills!C15=2,90+Inputs!$B$26+Inputs!$B$29,IF(Skills!C15=3,120+Inputs!$B$27+Inputs!$B$29,MAX(0,(Inputs!$B$3-100)*3)+Inputs!$B$28+Inputs!$B$29)))</f>
        <v/>
      </c>
      <c r="E2624">
        <f>INDEX(FactorTable!$B$2:$Y$301, MATCH(ROUND(MIN(300,MAX(1,D2624)),0), FactorTable!$A$2:$A$301,0), Skills!M15+1)</f>
        <v/>
      </c>
      <c r="F2624">
        <f>IF(Skills!N15=TRUE,(Skills!L15/10)*(E2624/1000),Skills!L15/10)+Skills!O15</f>
        <v/>
      </c>
      <c r="G2624">
        <f>Skills!G15*IF(Skills!H15&gt;0,Skills!I15/Skills!H15,1)</f>
        <v/>
      </c>
      <c r="H2624">
        <f>1-(1-Skills!J15/100)^Skills!K15</f>
        <v/>
      </c>
      <c r="I2624" t="inlineStr">
        <is>
          <t>1</t>
        </is>
      </c>
      <c r="J2624" t="inlineStr"/>
      <c r="K2624" t="inlineStr"/>
      <c r="L2624" t="inlineStr"/>
      <c r="M2624" t="inlineStr"/>
      <c r="N2624" t="inlineStr"/>
      <c r="O2624">
        <f>(1-Summary!$B$11)*T2624+Summary!$B$11*V2624</f>
        <v/>
      </c>
      <c r="P2624">
        <f>IF(B2653=0,0,O2624/B2653)</f>
        <v/>
      </c>
      <c r="Q2624" t="n">
        <v>0</v>
      </c>
      <c r="R2624" t="n">
        <v>0</v>
      </c>
      <c r="S2624">
        <f>IFERROR(O2624/N2624,0)</f>
        <v/>
      </c>
      <c r="T2624" t="n">
        <v>0</v>
      </c>
      <c r="V2624" t="n">
        <v>0</v>
      </c>
    </row>
    <row r="2625">
      <c r="A2625">
        <f>Skills!A16</f>
        <v/>
      </c>
      <c r="B2625">
        <f>Skills!B16</f>
        <v/>
      </c>
      <c r="C2625">
        <f>Inputs!$B$3&gt;=117</f>
        <v/>
      </c>
      <c r="D2625">
        <f>IF(Skills!C16=1,60+Inputs!$B$25+Inputs!$B$29,IF(Skills!C16=2,90+Inputs!$B$26+Inputs!$B$29,IF(Skills!C16=3,120+Inputs!$B$27+Inputs!$B$29,MAX(0,(Inputs!$B$3-100)*3)+Inputs!$B$28+Inputs!$B$29)))</f>
        <v/>
      </c>
      <c r="E2625">
        <f>INDEX(FactorTable!$B$2:$Y$301, MATCH(ROUND(MIN(300,MAX(1,D2625)),0), FactorTable!$A$2:$A$301,0), Skills!M16+1)</f>
        <v/>
      </c>
      <c r="F2625">
        <f>IF(Skills!N16=TRUE,(Skills!L16/10)*(E2625/1000),Skills!L16/10)+Skills!O16</f>
        <v/>
      </c>
      <c r="G2625">
        <f>Skills!G16*IF(Skills!H16&gt;0,Skills!I16/Skills!H16,1)</f>
        <v/>
      </c>
      <c r="H2625">
        <f>1-(1-Skills!J16/100)^Skills!K16</f>
        <v/>
      </c>
      <c r="I2625" t="inlineStr">
        <is>
          <t>1</t>
        </is>
      </c>
      <c r="J2625" t="inlineStr"/>
      <c r="K2625" t="inlineStr"/>
      <c r="L2625" t="inlineStr"/>
      <c r="M2625" t="inlineStr"/>
      <c r="N2625" t="inlineStr"/>
      <c r="O2625">
        <f>(1-Summary!$B$11)*T2625+Summary!$B$11*V2625</f>
        <v/>
      </c>
      <c r="P2625">
        <f>IF(B2653=0,0,O2625/B2653)</f>
        <v/>
      </c>
      <c r="Q2625">
        <f>IFERROR(1/(IF(Inputs!$B$38="pvp",15,MAX(0.1,Skills!D16-IF(Skills!E16=TRUE,Inputs!$B$32,0)))*(1-IF(AND(ArtifactsInput!$M$27,Inputs!$B$4="Chapter Hunt"),CHOOSE(ArtifactsInput!$N$27+1,20,24,28,32,36,40),0)/100)),0)</f>
        <v/>
      </c>
      <c r="R2625">
        <f>IF(AND(Inputs!$B$38&lt;&gt;"pvp",Inputs!$B$43&gt;0),IF(Inputs!$B$43&lt;=0,0,(INT(Inputs!$B$43/(IF(Inputs!$B$38="pvp",15,MAX(0.1,Skills!D16-IF(Skills!E16=TRUE,Inputs!$B$32,0)))*(1-IF(AND(ArtifactsInput!$M$27,Inputs!$B$4="Chapter Hunt"),CHOOSE(ArtifactsInput!$N$27+1,20,24,28,32,36,40),0)/100)))+1)),0)</f>
        <v/>
      </c>
      <c r="S2625">
        <f>IFERROR(O2625/N2625,0)</f>
        <v/>
      </c>
      <c r="T2625" t="n">
        <v>0</v>
      </c>
      <c r="V2625" t="n">
        <v>0</v>
      </c>
    </row>
    <row r="2626">
      <c r="A2626">
        <f>Skills!A17</f>
        <v/>
      </c>
      <c r="B2626">
        <f>Skills!B17</f>
        <v/>
      </c>
      <c r="C2626">
        <f>Inputs!$B$3&gt;=115</f>
        <v/>
      </c>
      <c r="D2626">
        <f>IF(Skills!C17=1,60+Inputs!$B$25+Inputs!$B$29,IF(Skills!C17=2,90+Inputs!$B$26+Inputs!$B$29,IF(Skills!C17=3,120+Inputs!$B$27+Inputs!$B$29,MAX(0,(Inputs!$B$3-100)*3)+Inputs!$B$28+Inputs!$B$29)))</f>
        <v/>
      </c>
      <c r="E2626">
        <f>INDEX(FactorTable!$B$2:$Y$301, MATCH(ROUND(MIN(300,MAX(1,D2626)),0), FactorTable!$A$2:$A$301,0), Skills!M17+1)</f>
        <v/>
      </c>
      <c r="F2626">
        <f>IF(Skills!N17=TRUE,(Skills!L17/10)*(E2626/1000),Skills!L17/10)+Skills!O17</f>
        <v/>
      </c>
      <c r="G2626">
        <f>Skills!G17*IF(Skills!H17&gt;0,Skills!I17/Skills!H17,1)</f>
        <v/>
      </c>
      <c r="H2626">
        <f>1-(1-Skills!J17/100)^Skills!K17</f>
        <v/>
      </c>
      <c r="I2626" t="inlineStr">
        <is>
          <t>1</t>
        </is>
      </c>
      <c r="J2626" t="inlineStr"/>
      <c r="K2626" t="inlineStr"/>
      <c r="L2626" t="inlineStr"/>
      <c r="M2626" t="inlineStr"/>
      <c r="N2626" t="inlineStr"/>
      <c r="O2626">
        <f>(1-Summary!$B$11)*T2626+Summary!$B$11*V2626</f>
        <v/>
      </c>
      <c r="P2626">
        <f>IF(B2653=0,0,O2626/B2653)</f>
        <v/>
      </c>
      <c r="Q2626">
        <f>IFERROR(1/(IF(Inputs!$B$38="pvp",15,MAX(0.1,Skills!D17-IF(Skills!E17=TRUE,Inputs!$B$32,0)))*(1-IF(AND(ArtifactsInput!$M$27,Inputs!$B$4="Chapter Hunt"),CHOOSE(ArtifactsInput!$N$27+1,20,24,28,32,36,40),0)/100)),0)</f>
        <v/>
      </c>
      <c r="R2626">
        <f>IF(AND(Inputs!$B$38&lt;&gt;"pvp",Inputs!$B$43&gt;0),IF(Inputs!$B$43&lt;=0,0,(INT(Inputs!$B$43/(IF(Inputs!$B$38="pvp",15,MAX(0.1,Skills!D17-IF(Skills!E17=TRUE,Inputs!$B$32,0)))*(1-IF(AND(ArtifactsInput!$M$27,Inputs!$B$4="Chapter Hunt"),CHOOSE(ArtifactsInput!$N$27+1,20,24,28,32,36,40),0)/100)))+1)),0)</f>
        <v/>
      </c>
      <c r="S2626">
        <f>IFERROR(O2626/N2626,0)</f>
        <v/>
      </c>
      <c r="T2626" t="n">
        <v>0</v>
      </c>
      <c r="V2626" t="n">
        <v>0</v>
      </c>
    </row>
    <row r="2627">
      <c r="A2627">
        <f>Skills!A18</f>
        <v/>
      </c>
      <c r="B2627">
        <f>Skills!B18</f>
        <v/>
      </c>
      <c r="C2627">
        <f>Inputs!$B$3&gt;=66</f>
        <v/>
      </c>
      <c r="D2627">
        <f>IF(Skills!C18=1,60+Inputs!$B$25+Inputs!$B$29,IF(Skills!C18=2,90+Inputs!$B$26+Inputs!$B$29,IF(Skills!C18=3,120+Inputs!$B$27+Inputs!$B$29,MAX(0,(Inputs!$B$3-100)*3)+Inputs!$B$28+Inputs!$B$29)))</f>
        <v/>
      </c>
      <c r="E2627">
        <f>INDEX(FactorTable!$B$2:$Y$301, MATCH(ROUND(MIN(300,MAX(1,D2627)),0), FactorTable!$A$2:$A$301,0), Skills!M18+1)</f>
        <v/>
      </c>
      <c r="F2627">
        <f>IF(Skills!N18=TRUE,(Skills!L18/10)*(E2627/1000),Skills!L18/10)+Skills!O18</f>
        <v/>
      </c>
      <c r="G2627">
        <f>Skills!G18*IF(Skills!H18&gt;0,Skills!I18/Skills!H18,1)</f>
        <v/>
      </c>
      <c r="H2627">
        <f>1-(1-Skills!J18/100)^Skills!K18</f>
        <v/>
      </c>
      <c r="I2627" t="inlineStr">
        <is>
          <t>1</t>
        </is>
      </c>
      <c r="J2627" t="inlineStr"/>
      <c r="K2627" t="inlineStr"/>
      <c r="L2627" t="inlineStr"/>
      <c r="M2627" t="inlineStr"/>
      <c r="N2627" t="inlineStr"/>
      <c r="O2627">
        <f>(1-Summary!$B$11)*T2627+Summary!$B$11*V2627</f>
        <v/>
      </c>
      <c r="P2627">
        <f>IF(B2653=0,0,O2627/B2653)</f>
        <v/>
      </c>
      <c r="Q2627" t="n">
        <v>0</v>
      </c>
      <c r="R2627" t="n">
        <v>0</v>
      </c>
      <c r="S2627">
        <f>IFERROR(O2627/N2627,0)</f>
        <v/>
      </c>
      <c r="T2627" t="n">
        <v>0</v>
      </c>
      <c r="V2627" t="n">
        <v>0</v>
      </c>
    </row>
    <row r="2628">
      <c r="A2628">
        <f>Skills!A19</f>
        <v/>
      </c>
      <c r="B2628">
        <f>Skills!B19</f>
        <v/>
      </c>
      <c r="C2628">
        <f>Inputs!$B$3&gt;=72</f>
        <v/>
      </c>
      <c r="D2628">
        <f>IF(Skills!C19=1,60+Inputs!$B$25+Inputs!$B$29,IF(Skills!C19=2,90+Inputs!$B$26+Inputs!$B$29,IF(Skills!C19=3,120+Inputs!$B$27+Inputs!$B$29,MAX(0,(Inputs!$B$3-100)*3)+Inputs!$B$28+Inputs!$B$29)))</f>
        <v/>
      </c>
      <c r="E2628">
        <f>INDEX(FactorTable!$B$2:$Y$301, MATCH(ROUND(MIN(300,MAX(1,D2628)),0), FactorTable!$A$2:$A$301,0), Skills!M19+1)</f>
        <v/>
      </c>
      <c r="F2628">
        <f>IF(Skills!N19=TRUE,(Skills!L19/10)*(E2628/1000),Skills!L19/10)+Skills!O19</f>
        <v/>
      </c>
      <c r="G2628">
        <f>Skills!G19*IF(Skills!H19&gt;0,Skills!I19/Skills!H19,1)</f>
        <v/>
      </c>
      <c r="H2628">
        <f>1-(1-Skills!J19/100)^Skills!K19</f>
        <v/>
      </c>
      <c r="I2628" t="inlineStr">
        <is>
          <t>1</t>
        </is>
      </c>
      <c r="J2628" t="inlineStr"/>
      <c r="K2628" t="inlineStr"/>
      <c r="L2628" t="inlineStr"/>
      <c r="M2628" t="inlineStr"/>
      <c r="N2628" t="inlineStr"/>
      <c r="O2628">
        <f>(1-Summary!$B$11)*T2628+Summary!$B$11*V2628</f>
        <v/>
      </c>
      <c r="P2628">
        <f>IF(B2653=0,0,O2628/B2653)</f>
        <v/>
      </c>
      <c r="Q2628" t="n">
        <v>0</v>
      </c>
      <c r="R2628" t="n">
        <v>0</v>
      </c>
      <c r="S2628">
        <f>IFERROR(O2628/N2628,0)</f>
        <v/>
      </c>
      <c r="T2628" t="n">
        <v>0</v>
      </c>
      <c r="V2628" t="n">
        <v>0</v>
      </c>
    </row>
    <row r="2629">
      <c r="A2629">
        <f>Skills!A20</f>
        <v/>
      </c>
      <c r="B2629">
        <f>Skills!B20</f>
        <v/>
      </c>
      <c r="C2629">
        <f>TRUE</f>
        <v/>
      </c>
      <c r="D2629">
        <f>IF(Skills!C20=1,60+Inputs!$B$25+Inputs!$B$29,IF(Skills!C20=2,90+Inputs!$B$26+Inputs!$B$29,IF(Skills!C20=3,120+Inputs!$B$27+Inputs!$B$29,MAX(0,(Inputs!$B$3-100)*3)+Inputs!$B$28+Inputs!$B$29)))</f>
        <v/>
      </c>
      <c r="E2629">
        <f>INDEX(FactorTable!$B$2:$Y$301, MATCH(ROUND(MIN(300,MAX(1,D2629)),0), FactorTable!$A$2:$A$301,0), Skills!M20+1)</f>
        <v/>
      </c>
      <c r="F2629">
        <f>IF(Skills!N20=TRUE,(Skills!L20/10)*(E2629/1000),Skills!L20/10)+Skills!O20</f>
        <v/>
      </c>
      <c r="G2629">
        <f>Skills!G20*IF(Skills!H20&gt;0,Skills!I20/Skills!H20,1)</f>
        <v/>
      </c>
      <c r="H2629">
        <f>1-(1-Skills!J20/100)^Skills!K20</f>
        <v/>
      </c>
      <c r="I2629" t="inlineStr">
        <is>
          <t>1</t>
        </is>
      </c>
      <c r="J2629" t="inlineStr"/>
      <c r="K2629" t="inlineStr"/>
      <c r="L2629" t="inlineStr"/>
      <c r="M2629" t="inlineStr"/>
      <c r="N2629" t="inlineStr"/>
      <c r="O2629">
        <f>(1-Summary!$B$11)*T2629+Summary!$B$11*V2629</f>
        <v/>
      </c>
      <c r="P2629">
        <f>IF(B2653=0,0,O2629/B2653)</f>
        <v/>
      </c>
      <c r="Q2629">
        <f>IFERROR(1/(IF(Inputs!$B$38="pvp",15,MAX(0.1,Skills!D20-IF(Skills!E20=TRUE,Inputs!$B$32,0)))*(1-IF(AND(ArtifactsInput!$M$27,Inputs!$B$4="Chapter Hunt"),CHOOSE(ArtifactsInput!$N$27+1,20,24,28,32,36,40),0)/100)),0)</f>
        <v/>
      </c>
      <c r="R2629">
        <f>IF(AND(Inputs!$B$38&lt;&gt;"pvp",Inputs!$B$43&gt;0),IF(Inputs!$B$43&lt;=0,0,(INT(Inputs!$B$43/(IF(Inputs!$B$38="pvp",15,MAX(0.1,Skills!D20-IF(Skills!E20=TRUE,Inputs!$B$32,0)))*(1-IF(AND(ArtifactsInput!$M$27,Inputs!$B$4="Chapter Hunt"),CHOOSE(ArtifactsInput!$N$27+1,20,24,28,32,36,40),0)/100)))+1)),0)</f>
        <v/>
      </c>
      <c r="S2629">
        <f>IFERROR(O2629/N2629,0)</f>
        <v/>
      </c>
      <c r="T2629" t="n">
        <v>0</v>
      </c>
      <c r="V2629" t="n">
        <v>0</v>
      </c>
    </row>
    <row r="2630">
      <c r="A2630">
        <f>Skills!A21</f>
        <v/>
      </c>
      <c r="B2630">
        <f>Skills!B21</f>
        <v/>
      </c>
      <c r="C2630">
        <f>Inputs!$B$3&gt;=15</f>
        <v/>
      </c>
      <c r="D2630">
        <f>IF(Skills!C21=1,60+Inputs!$B$25+Inputs!$B$29,IF(Skills!C21=2,90+Inputs!$B$26+Inputs!$B$29,IF(Skills!C21=3,120+Inputs!$B$27+Inputs!$B$29,MAX(0,(Inputs!$B$3-100)*3)+Inputs!$B$28+Inputs!$B$29)))</f>
        <v/>
      </c>
      <c r="E2630">
        <f>INDEX(FactorTable!$B$2:$Y$301, MATCH(ROUND(MIN(300,MAX(1,D2630)),0), FactorTable!$A$2:$A$301,0), Skills!M21+1)</f>
        <v/>
      </c>
      <c r="F2630">
        <f>IF(Skills!N21=TRUE,(Skills!L21/10)*(E2630/1000),Skills!L21/10)+Skills!O21</f>
        <v/>
      </c>
      <c r="G2630">
        <f>Skills!G21*IF(Skills!H21&gt;0,Skills!I21/Skills!H21,1)</f>
        <v/>
      </c>
      <c r="H2630">
        <f>1-(1-Skills!J21/100)^Skills!K21</f>
        <v/>
      </c>
      <c r="I2630" t="inlineStr">
        <is>
          <t>1</t>
        </is>
      </c>
      <c r="J2630" t="inlineStr"/>
      <c r="K2630" t="inlineStr"/>
      <c r="L2630" t="inlineStr"/>
      <c r="M2630" t="inlineStr"/>
      <c r="N2630" t="inlineStr"/>
      <c r="O2630">
        <f>(1-Summary!$B$11)*T2630+Summary!$B$11*V2630</f>
        <v/>
      </c>
      <c r="P2630">
        <f>IF(B2653=0,0,O2630/B2653)</f>
        <v/>
      </c>
      <c r="Q2630" t="n">
        <v>0</v>
      </c>
      <c r="R2630" t="n">
        <v>0</v>
      </c>
      <c r="S2630">
        <f>IFERROR(O2630/N2630,0)</f>
        <v/>
      </c>
      <c r="T2630" t="n">
        <v>0</v>
      </c>
      <c r="V2630" t="n">
        <v>0</v>
      </c>
    </row>
    <row r="2631">
      <c r="A2631">
        <f>Skills!A22</f>
        <v/>
      </c>
      <c r="B2631">
        <f>Skills!B22</f>
        <v/>
      </c>
      <c r="C2631">
        <f>Inputs!$B$3&gt;=10</f>
        <v/>
      </c>
      <c r="D2631">
        <f>IF(Skills!C22=1,60+Inputs!$B$25+Inputs!$B$29,IF(Skills!C22=2,90+Inputs!$B$26+Inputs!$B$29,IF(Skills!C22=3,120+Inputs!$B$27+Inputs!$B$29,MAX(0,(Inputs!$B$3-100)*3)+Inputs!$B$28+Inputs!$B$29)))</f>
        <v/>
      </c>
      <c r="E2631">
        <f>INDEX(FactorTable!$B$2:$Y$301, MATCH(ROUND(MIN(300,MAX(1,D2631)),0), FactorTable!$A$2:$A$301,0), Skills!M22+1)</f>
        <v/>
      </c>
      <c r="F2631">
        <f>IF(Skills!N22=TRUE,(Skills!L22/10)*(E2631/1000),Skills!L22/10)+Skills!O22</f>
        <v/>
      </c>
      <c r="G2631">
        <f>Skills!G22*IF(Skills!H22&gt;0,Skills!I22/Skills!H22,1)</f>
        <v/>
      </c>
      <c r="H2631">
        <f>1-(1-Skills!J22/100)^Skills!K22</f>
        <v/>
      </c>
      <c r="I2631" t="inlineStr">
        <is>
          <t>1</t>
        </is>
      </c>
      <c r="J2631" t="inlineStr"/>
      <c r="K2631" t="inlineStr"/>
      <c r="L2631" t="inlineStr"/>
      <c r="M2631" t="inlineStr"/>
      <c r="N2631" t="inlineStr"/>
      <c r="O2631">
        <f>(1-Summary!$B$11)*T2631+Summary!$B$11*V2631</f>
        <v/>
      </c>
      <c r="P2631">
        <f>IF(B2653=0,0,O2631/B2653)</f>
        <v/>
      </c>
      <c r="Q2631" t="n">
        <v>0</v>
      </c>
      <c r="R2631" t="n">
        <v>0</v>
      </c>
      <c r="S2631">
        <f>IFERROR(O2631/N2631,0)</f>
        <v/>
      </c>
      <c r="T2631" t="n">
        <v>0</v>
      </c>
      <c r="V2631" t="n">
        <v>0</v>
      </c>
    </row>
    <row r="2632">
      <c r="A2632">
        <f>Skills!A23</f>
        <v/>
      </c>
      <c r="B2632">
        <f>Skills!B23</f>
        <v/>
      </c>
      <c r="C2632">
        <f>Inputs!$B$3&gt;=33</f>
        <v/>
      </c>
      <c r="D2632">
        <f>IF(Skills!C23=1,60+Inputs!$B$25+Inputs!$B$29,IF(Skills!C23=2,90+Inputs!$B$26+Inputs!$B$29,IF(Skills!C23=3,120+Inputs!$B$27+Inputs!$B$29,MAX(0,(Inputs!$B$3-100)*3)+Inputs!$B$28+Inputs!$B$29)))</f>
        <v/>
      </c>
      <c r="E2632">
        <f>INDEX(FactorTable!$B$2:$Y$301, MATCH(ROUND(MIN(300,MAX(1,D2632)),0), FactorTable!$A$2:$A$301,0), Skills!M23+1)</f>
        <v/>
      </c>
      <c r="F2632">
        <f>IF(Skills!N23=TRUE,(Skills!L23/10)*(E2632/1000),Skills!L23/10)+Skills!O23</f>
        <v/>
      </c>
      <c r="G2632">
        <f>Skills!G23*IF(Skills!H23&gt;0,Skills!I23/Skills!H23,1)</f>
        <v/>
      </c>
      <c r="H2632">
        <f>1-(1-Skills!J23/100)^Skills!K23</f>
        <v/>
      </c>
      <c r="I2632" t="inlineStr">
        <is>
          <t>1</t>
        </is>
      </c>
      <c r="J2632" t="inlineStr"/>
      <c r="K2632" t="inlineStr"/>
      <c r="L2632" t="inlineStr"/>
      <c r="M2632" t="inlineStr"/>
      <c r="N2632" t="inlineStr"/>
      <c r="O2632">
        <f>(1-Summary!$B$11)*T2632+Summary!$B$11*V2632</f>
        <v/>
      </c>
      <c r="P2632">
        <f>IF(B2653=0,0,O2632/B2653)</f>
        <v/>
      </c>
      <c r="Q2632" t="n">
        <v>0</v>
      </c>
      <c r="R2632" t="n">
        <v>0</v>
      </c>
      <c r="S2632">
        <f>IFERROR(O2632/N2632,0)</f>
        <v/>
      </c>
      <c r="T2632" t="n">
        <v>0</v>
      </c>
      <c r="V2632" t="n">
        <v>0</v>
      </c>
    </row>
    <row r="2633">
      <c r="A2633">
        <f>Skills!A24</f>
        <v/>
      </c>
      <c r="B2633">
        <f>Skills!B24</f>
        <v/>
      </c>
      <c r="C2633">
        <f>Inputs!$B$3&gt;=38</f>
        <v/>
      </c>
      <c r="D2633">
        <f>IF(Skills!C24=1,60+Inputs!$B$25+Inputs!$B$29,IF(Skills!C24=2,90+Inputs!$B$26+Inputs!$B$29,IF(Skills!C24=3,120+Inputs!$B$27+Inputs!$B$29,MAX(0,(Inputs!$B$3-100)*3)+Inputs!$B$28+Inputs!$B$29)))</f>
        <v/>
      </c>
      <c r="E2633">
        <f>INDEX(FactorTable!$B$2:$Y$301, MATCH(ROUND(MIN(300,MAX(1,D2633)),0), FactorTable!$A$2:$A$301,0), Skills!M24+1)</f>
        <v/>
      </c>
      <c r="F2633">
        <f>IF(Skills!N24=TRUE,(Skills!L24/10)*(E2633/1000),Skills!L24/10)+Skills!O24</f>
        <v/>
      </c>
      <c r="G2633">
        <f>Skills!G24*IF(Skills!H24&gt;0,Skills!I24/Skills!H24,1)</f>
        <v/>
      </c>
      <c r="H2633">
        <f>1-(1-Skills!J24/100)^Skills!K24</f>
        <v/>
      </c>
      <c r="I2633" t="inlineStr">
        <is>
          <t>1</t>
        </is>
      </c>
      <c r="J2633" t="inlineStr"/>
      <c r="K2633" t="inlineStr"/>
      <c r="L2633" t="inlineStr"/>
      <c r="M2633" t="inlineStr"/>
      <c r="N2633" t="inlineStr"/>
      <c r="O2633">
        <f>(1-Summary!$B$11)*T2633+Summary!$B$11*V2633</f>
        <v/>
      </c>
      <c r="P2633">
        <f>IF(B2653=0,0,O2633/B2653)</f>
        <v/>
      </c>
      <c r="Q2633" t="n">
        <v>0</v>
      </c>
      <c r="R2633" t="n">
        <v>0</v>
      </c>
      <c r="S2633">
        <f>IFERROR(O2633/N2633,0)</f>
        <v/>
      </c>
      <c r="T2633" t="n">
        <v>0</v>
      </c>
      <c r="V2633" t="n">
        <v>0</v>
      </c>
    </row>
    <row r="2634">
      <c r="A2634">
        <f>Skills!A25</f>
        <v/>
      </c>
      <c r="B2634">
        <f>Skills!B25</f>
        <v/>
      </c>
      <c r="C2634">
        <f>Inputs!$B$3&gt;=43</f>
        <v/>
      </c>
      <c r="D2634">
        <f>IF(Skills!C25=1,60+Inputs!$B$25+Inputs!$B$29,IF(Skills!C25=2,90+Inputs!$B$26+Inputs!$B$29,IF(Skills!C25=3,120+Inputs!$B$27+Inputs!$B$29,MAX(0,(Inputs!$B$3-100)*3)+Inputs!$B$28+Inputs!$B$29)))</f>
        <v/>
      </c>
      <c r="E2634">
        <f>INDEX(FactorTable!$B$2:$Y$301, MATCH(ROUND(MIN(300,MAX(1,D2634)),0), FactorTable!$A$2:$A$301,0), Skills!M25+1)</f>
        <v/>
      </c>
      <c r="F2634">
        <f>IF(Skills!N25=TRUE,(Skills!L25/10)*(E2634/1000),Skills!L25/10)+Skills!O25</f>
        <v/>
      </c>
      <c r="G2634">
        <f>Skills!G25*IF(Skills!H25&gt;0,Skills!I25/Skills!H25,1)</f>
        <v/>
      </c>
      <c r="H2634">
        <f>1-(1-Skills!J25/100)^Skills!K25</f>
        <v/>
      </c>
      <c r="I2634" t="inlineStr">
        <is>
          <t>1</t>
        </is>
      </c>
      <c r="J2634" t="inlineStr"/>
      <c r="K2634" t="inlineStr"/>
      <c r="L2634" t="inlineStr"/>
      <c r="M2634" t="inlineStr"/>
      <c r="N2634" t="inlineStr"/>
      <c r="O2634">
        <f>(1-Summary!$B$11)*T2634+Summary!$B$11*V2634</f>
        <v/>
      </c>
      <c r="P2634">
        <f>IF(B2653=0,0,O2634/B2653)</f>
        <v/>
      </c>
      <c r="Q2634" t="n">
        <v>0</v>
      </c>
      <c r="R2634" t="n">
        <v>0</v>
      </c>
      <c r="S2634">
        <f>IFERROR(O2634/N2634,0)</f>
        <v/>
      </c>
      <c r="T2634" t="n">
        <v>0</v>
      </c>
      <c r="V2634" t="n">
        <v>0</v>
      </c>
    </row>
    <row r="2635">
      <c r="A2635">
        <f>Skills!A26</f>
        <v/>
      </c>
      <c r="B2635">
        <f>Skills!B26</f>
        <v/>
      </c>
      <c r="C2635">
        <f>Inputs!$B$3&gt;=75</f>
        <v/>
      </c>
      <c r="D2635">
        <f>IF(Skills!C26=1,60+Inputs!$B$25+Inputs!$B$29,IF(Skills!C26=2,90+Inputs!$B$26+Inputs!$B$29,IF(Skills!C26=3,120+Inputs!$B$27+Inputs!$B$29,MAX(0,(Inputs!$B$3-100)*3)+Inputs!$B$28+Inputs!$B$29)))</f>
        <v/>
      </c>
      <c r="E2635">
        <f>INDEX(FactorTable!$B$2:$Y$301, MATCH(ROUND(MIN(300,MAX(1,D2635)),0), FactorTable!$A$2:$A$301,0), Skills!M26+1)</f>
        <v/>
      </c>
      <c r="F2635">
        <f>IF(Skills!N26=TRUE,(Skills!L26/10)*(E2635/1000),Skills!L26/10)+Skills!O26</f>
        <v/>
      </c>
      <c r="G2635">
        <f>Skills!G26*IF(Skills!H26&gt;0,Skills!I26/Skills!H26,1)</f>
        <v/>
      </c>
      <c r="H2635">
        <f>1-(1-Skills!J26/100)^Skills!K26</f>
        <v/>
      </c>
      <c r="I2635" t="inlineStr">
        <is>
          <t>1</t>
        </is>
      </c>
      <c r="J2635" t="inlineStr"/>
      <c r="K2635" t="inlineStr"/>
      <c r="L2635" t="inlineStr"/>
      <c r="M2635" t="inlineStr"/>
      <c r="N2635" t="inlineStr"/>
      <c r="O2635">
        <f>(1-Summary!$B$11)*T2635+Summary!$B$11*V2635</f>
        <v/>
      </c>
      <c r="P2635">
        <f>IF(B2653=0,0,O2635/B2653)</f>
        <v/>
      </c>
      <c r="Q2635" t="n">
        <v>0</v>
      </c>
      <c r="R2635" t="n">
        <v>0</v>
      </c>
      <c r="S2635">
        <f>IFERROR(O2635/N2635,0)</f>
        <v/>
      </c>
      <c r="T2635" t="n">
        <v>0</v>
      </c>
      <c r="V2635" t="n">
        <v>0</v>
      </c>
    </row>
    <row r="2636">
      <c r="A2636">
        <f>Skills!A27</f>
        <v/>
      </c>
      <c r="B2636">
        <f>Skills!B27</f>
        <v/>
      </c>
      <c r="C2636">
        <f>Inputs!$B$3&gt;=125</f>
        <v/>
      </c>
      <c r="D2636">
        <f>IF(Skills!C27=1,60+Inputs!$B$25+Inputs!$B$29,IF(Skills!C27=2,90+Inputs!$B$26+Inputs!$B$29,IF(Skills!C27=3,120+Inputs!$B$27+Inputs!$B$29,MAX(0,(Inputs!$B$3-100)*3)+Inputs!$B$28+Inputs!$B$29)))</f>
        <v/>
      </c>
      <c r="E2636">
        <f>INDEX(FactorTable!$B$2:$Y$301, MATCH(ROUND(MIN(300,MAX(1,D2636)),0), FactorTable!$A$2:$A$301,0), Skills!M27+1)</f>
        <v/>
      </c>
      <c r="F2636">
        <f>IF(Skills!N27=TRUE,(Skills!L27/10)*(E2636/1000),Skills!L27/10)+Skills!O27</f>
        <v/>
      </c>
      <c r="G2636">
        <f>Skills!G27*IF(Skills!H27&gt;0,Skills!I27/Skills!H27,1)</f>
        <v/>
      </c>
      <c r="H2636">
        <f>1-(1-Skills!J27/100)^Skills!K27</f>
        <v/>
      </c>
      <c r="I2636" t="inlineStr">
        <is>
          <t>1</t>
        </is>
      </c>
      <c r="J2636" t="inlineStr"/>
      <c r="K2636" t="inlineStr"/>
      <c r="L2636" t="inlineStr"/>
      <c r="M2636" t="inlineStr"/>
      <c r="N2636" t="inlineStr"/>
      <c r="O2636">
        <f>(1-Summary!$B$11)*T2636+Summary!$B$11*V2636</f>
        <v/>
      </c>
      <c r="P2636">
        <f>IF(B2653=0,0,O2636/B2653)</f>
        <v/>
      </c>
      <c r="Q2636" t="n">
        <v>0</v>
      </c>
      <c r="R2636" t="n">
        <v>0</v>
      </c>
      <c r="S2636">
        <f>IFERROR(O2636/N2636,0)</f>
        <v/>
      </c>
      <c r="T2636" t="n">
        <v>0</v>
      </c>
      <c r="V2636" t="n">
        <v>0</v>
      </c>
    </row>
    <row r="2637">
      <c r="A2637">
        <f>Skills!A28</f>
        <v/>
      </c>
      <c r="B2637">
        <f>Skills!B28</f>
        <v/>
      </c>
      <c r="C2637">
        <f>Inputs!$B$3&gt;=125</f>
        <v/>
      </c>
      <c r="D2637">
        <f>IF(Skills!C28=1,60+Inputs!$B$25+Inputs!$B$29,IF(Skills!C28=2,90+Inputs!$B$26+Inputs!$B$29,IF(Skills!C28=3,120+Inputs!$B$27+Inputs!$B$29,MAX(0,(Inputs!$B$3-100)*3)+Inputs!$B$28+Inputs!$B$29)))</f>
        <v/>
      </c>
      <c r="E2637">
        <f>INDEX(FactorTable!$B$2:$Y$301, MATCH(ROUND(MIN(300,MAX(1,D2637)),0), FactorTable!$A$2:$A$301,0), Skills!M28+1)</f>
        <v/>
      </c>
      <c r="F2637">
        <f>IF(Skills!N28=TRUE,(Skills!L28/10)*(E2637/1000),Skills!L28/10)+Skills!O28</f>
        <v/>
      </c>
      <c r="G2637">
        <f>Skills!G28*IF(Skills!H28&gt;0,Skills!I28/Skills!H28,1)</f>
        <v/>
      </c>
      <c r="H2637">
        <f>1-(1-Skills!J28/100)^Skills!K28</f>
        <v/>
      </c>
      <c r="I2637" t="inlineStr">
        <is>
          <t>1</t>
        </is>
      </c>
      <c r="J2637" t="inlineStr"/>
      <c r="K2637" t="inlineStr"/>
      <c r="L2637" t="inlineStr"/>
      <c r="M2637" t="inlineStr"/>
      <c r="N2637" t="inlineStr"/>
      <c r="O2637">
        <f>(1-Summary!$B$11)*T2637+Summary!$B$11*V2637</f>
        <v/>
      </c>
      <c r="P2637">
        <f>IF(B2653=0,0,O2637/B2653)</f>
        <v/>
      </c>
      <c r="Q2637" t="n">
        <v>0</v>
      </c>
      <c r="R2637" t="n">
        <v>0</v>
      </c>
      <c r="S2637">
        <f>IFERROR(O2637/N2637,0)</f>
        <v/>
      </c>
      <c r="T2637" t="n">
        <v>0</v>
      </c>
      <c r="V2637" t="n">
        <v>0</v>
      </c>
    </row>
    <row r="2638">
      <c r="A2638">
        <f>Skills!A29</f>
        <v/>
      </c>
      <c r="B2638">
        <f>Skills!B29</f>
        <v/>
      </c>
      <c r="C2638">
        <f>Inputs!$B$3&gt;=120</f>
        <v/>
      </c>
      <c r="D2638">
        <f>IF(Skills!C29=1,60+Inputs!$B$25+Inputs!$B$29,IF(Skills!C29=2,90+Inputs!$B$26+Inputs!$B$29,IF(Skills!C29=3,120+Inputs!$B$27+Inputs!$B$29,MAX(0,(Inputs!$B$3-100)*3)+Inputs!$B$28+Inputs!$B$29)))</f>
        <v/>
      </c>
      <c r="E2638">
        <f>INDEX(FactorTable!$B$2:$Y$301, MATCH(ROUND(MIN(300,MAX(1,D2638)),0), FactorTable!$A$2:$A$301,0), Skills!M29+1)</f>
        <v/>
      </c>
      <c r="F2638">
        <f>IF(Skills!N29=TRUE,(Skills!L29/10)*(E2638/1000),Skills!L29/10)+Skills!O29</f>
        <v/>
      </c>
      <c r="G2638">
        <f>Skills!G29*IF(Skills!H29&gt;0,Skills!I29/Skills!H29,1)</f>
        <v/>
      </c>
      <c r="H2638">
        <f>1-(1-Skills!J29/100)^Skills!K29</f>
        <v/>
      </c>
      <c r="I2638" t="inlineStr">
        <is>
          <t>1</t>
        </is>
      </c>
      <c r="J2638" t="inlineStr"/>
      <c r="K2638" t="inlineStr"/>
      <c r="L2638" t="inlineStr"/>
      <c r="M2638" t="inlineStr"/>
      <c r="N2638" t="inlineStr"/>
      <c r="O2638">
        <f>(1-Summary!$B$11)*T2638+Summary!$B$11*V2638</f>
        <v/>
      </c>
      <c r="P2638">
        <f>IF(B2653=0,0,O2638/B2653)</f>
        <v/>
      </c>
      <c r="Q2638" t="n">
        <v>0</v>
      </c>
      <c r="R2638" t="n">
        <v>0</v>
      </c>
      <c r="S2638">
        <f>IFERROR(O2638/N2638,0)</f>
        <v/>
      </c>
      <c r="T2638" t="n">
        <v>0</v>
      </c>
      <c r="V2638" t="n">
        <v>0</v>
      </c>
    </row>
    <row r="2639">
      <c r="A2639">
        <f>Skills!A30</f>
        <v/>
      </c>
      <c r="B2639">
        <f>Skills!B30</f>
        <v/>
      </c>
      <c r="C2639">
        <f>Inputs!$B$3&gt;=120</f>
        <v/>
      </c>
      <c r="D2639">
        <f>IF(Skills!C30=1,60+Inputs!$B$25+Inputs!$B$29,IF(Skills!C30=2,90+Inputs!$B$26+Inputs!$B$29,IF(Skills!C30=3,120+Inputs!$B$27+Inputs!$B$29,MAX(0,(Inputs!$B$3-100)*3)+Inputs!$B$28+Inputs!$B$29)))</f>
        <v/>
      </c>
      <c r="E2639">
        <f>INDEX(FactorTable!$B$2:$Y$301, MATCH(ROUND(MIN(300,MAX(1,D2639)),0), FactorTable!$A$2:$A$301,0), Skills!M30+1)</f>
        <v/>
      </c>
      <c r="F2639">
        <f>IF(Skills!N30=TRUE,(Skills!L30/10)*(E2639/1000),Skills!L30/10)+Skills!O30</f>
        <v/>
      </c>
      <c r="G2639">
        <f>Skills!G30*IF(Skills!H30&gt;0,Skills!I30/Skills!H30,1)</f>
        <v/>
      </c>
      <c r="H2639">
        <f>1-(1-Skills!J30/100)^Skills!K30</f>
        <v/>
      </c>
      <c r="I2639" t="inlineStr">
        <is>
          <t>1</t>
        </is>
      </c>
      <c r="J2639" t="inlineStr"/>
      <c r="K2639" t="inlineStr"/>
      <c r="L2639" t="inlineStr"/>
      <c r="M2639" t="inlineStr"/>
      <c r="N2639" t="inlineStr"/>
      <c r="O2639">
        <f>(1-Summary!$B$11)*T2639+Summary!$B$11*V2639</f>
        <v/>
      </c>
      <c r="P2639">
        <f>IF(B2653=0,0,O2639/B2653)</f>
        <v/>
      </c>
      <c r="Q2639" t="n">
        <v>0</v>
      </c>
      <c r="R2639" t="n">
        <v>0</v>
      </c>
      <c r="S2639">
        <f>IFERROR(O2639/N2639,0)</f>
        <v/>
      </c>
      <c r="T2639" t="n">
        <v>0</v>
      </c>
      <c r="V2639" t="n">
        <v>0</v>
      </c>
    </row>
    <row r="2640">
      <c r="A2640">
        <f>Skills!A31</f>
        <v/>
      </c>
      <c r="B2640">
        <f>Skills!B31</f>
        <v/>
      </c>
      <c r="C2640">
        <f>Inputs!$B$3&gt;=45</f>
        <v/>
      </c>
      <c r="D2640">
        <f>IF(Skills!C31=1,60+Inputs!$B$25+Inputs!$B$29,IF(Skills!C31=2,90+Inputs!$B$26+Inputs!$B$29,IF(Skills!C31=3,120+Inputs!$B$27+Inputs!$B$29,MAX(0,(Inputs!$B$3-100)*3)+Inputs!$B$28+Inputs!$B$29)))</f>
        <v/>
      </c>
      <c r="E2640">
        <f>INDEX(FactorTable!$B$2:$Y$301, MATCH(ROUND(MIN(300,MAX(1,D2640)),0), FactorTable!$A$2:$A$301,0), Skills!M31+1)</f>
        <v/>
      </c>
      <c r="F2640">
        <f>IF(Skills!N31=TRUE,(Skills!L31/10)*(E2640/1000),Skills!L31/10)+Skills!O31</f>
        <v/>
      </c>
      <c r="G2640">
        <f>Skills!G31*IF(Skills!H31&gt;0,Skills!I31/Skills!H31,1)</f>
        <v/>
      </c>
      <c r="H2640">
        <f>1-(1-Skills!J31/100)^Skills!K31</f>
        <v/>
      </c>
      <c r="I2640" t="inlineStr">
        <is>
          <t>1</t>
        </is>
      </c>
      <c r="J2640" t="inlineStr"/>
      <c r="K2640" t="inlineStr"/>
      <c r="L2640" t="inlineStr"/>
      <c r="M2640" t="inlineStr"/>
      <c r="N2640" t="inlineStr"/>
      <c r="O2640">
        <f>(1-Summary!$B$11)*T2640+Summary!$B$11*V2640</f>
        <v/>
      </c>
      <c r="P2640">
        <f>IF(B2653=0,0,O2640/B2653)</f>
        <v/>
      </c>
      <c r="Q2640" t="n">
        <v>0</v>
      </c>
      <c r="R2640" t="n">
        <v>0</v>
      </c>
      <c r="S2640">
        <f>IFERROR(O2640/N2640,0)</f>
        <v/>
      </c>
      <c r="T2640" t="n">
        <v>0</v>
      </c>
      <c r="V2640" t="n">
        <v>0</v>
      </c>
    </row>
    <row r="2642">
      <c r="A2642" t="inlineStr">
        <is>
          <t>Attack% Bucket Multiplier</t>
        </is>
      </c>
      <c r="B2642">
        <f>(1+(((C2623=TRUE)*F2623)+((C2624=TRUE)*IF(Inputs!$B$38="pvp",F2624,(1-Summary!$B$11)*(F2624)+Summary!$B$11*(0)))+((C2625=TRUE)*F2625*IF(AND(Inputs!$B$38&lt;&gt;"pvp",Inputs!$B$43&gt;0),(((R2625-1)*(Skills!T16*(1+Inputs!$B$34/100))+MIN((Skills!T16*(1+Inputs!$B$34/100)),MAX(0,Inputs!$B$43-((R2625-1)*Skills!D16))))/Inputs!$B$43),IF(Inputs!$B$38="pvp",MIN((Skills!T16*(1+Inputs!$B$34/100)),15)/15,(Skills!T16*(1+Inputs!$B$34/100))/Skills!D16)))+((C2640=TRUE)*(F2640-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43">
      <c r="A2643" t="inlineStr">
        <is>
          <t>Global Crit Rate Bonus %</t>
        </is>
      </c>
      <c r="B2643">
        <f>(C2626=TRUE)*20*IF(AND(Inputs!$B$38&lt;&gt;"pvp",Inputs!$B$43&gt;0),(((R2626-1)*(Skills!T17*(1+Inputs!$B$34/100))+MIN((Skills!T17*(1+Inputs!$B$34/100)),MAX(0,Inputs!$B$43-((R2626-1)*Skills!D17))))/Inputs!$B$43),IF(Inputs!$B$38="pvp",MIN((Skills!T17*(1+Inputs!$B$34/100)),15)/15,(Skills!T17*(1+Inputs!$B$34/100))/Skills!D17))</f>
        <v/>
      </c>
    </row>
    <row r="2644">
      <c r="A2644" t="inlineStr">
        <is>
          <t>Attack Speed Buff Bonus %</t>
        </is>
      </c>
      <c r="B2644">
        <f>((C2629=TRUE)*F2629*IF(AND(Inputs!$B$38&lt;&gt;"pvp",Inputs!$B$43&gt;0),(((R2629-1)*(Skills!T20*(1+Inputs!$B$34/100))+MIN((Skills!T20*(1+Inputs!$B$34/100)),MAX(0,Inputs!$B$43-((R2629-1)*Skills!D20))))/Inputs!$B$43),IF(Inputs!$B$38="pvp",MIN((Skills!T20*(1+Inputs!$B$34/100)),15)/15,(Skills!T20*(1+Inputs!$B$34/100))/Skills!D20)))</f>
        <v/>
      </c>
    </row>
    <row r="2645">
      <c r="A2645" t="inlineStr">
        <is>
          <t>Actions Per Second</t>
        </is>
      </c>
      <c r="B2645">
        <f>1+MIN(150,150*(1-(1-(Inputs!$B$11+((C2631=TRUE)*(F2631-Calc!F22))+((C2632=TRUE)*(F2632-Calc!F23)))/150)*(1-B2644/150)))/100</f>
        <v/>
      </c>
    </row>
    <row r="2646">
      <c r="A2646" t="inlineStr">
        <is>
          <t>Skill + Buff Cast Rate</t>
        </is>
      </c>
      <c r="B2646">
        <f>IF(AND(Inputs!$B$38&lt;&gt;"pvp",Inputs!$B$43&gt;0),SUMPRODUCT((Skills!E2:E31=TRUE)*(C2611:C2640=TRUE)*R2611:R2640*Skills!F2:F31)/Inputs!$B$43,SUMPRODUCT((Skills!E2:E31=TRUE)*(C2611:C2640=TRUE)*Q2611:Q2640*Skills!F2:F31))</f>
        <v/>
      </c>
    </row>
    <row r="2647">
      <c r="A2647" t="inlineStr">
        <is>
          <t>Arrow Stream Casts Per Second</t>
        </is>
      </c>
      <c r="B2647">
        <f>MAX(0,B2645-B2646)</f>
        <v/>
      </c>
    </row>
    <row r="2648">
      <c r="A2648" t="inlineStr">
        <is>
          <t>Global Critical Damage Bonus % (Sharp Eyes + Concentration)</t>
        </is>
      </c>
      <c r="B2648">
        <f>(C2626=TRUE)*F2626*IF(AND(Inputs!$B$38&lt;&gt;"pvp",Inputs!$B$43&gt;0),(((R2626-1)*(Skills!T17*(1+Inputs!$B$34/100))+MIN((Skills!T17*(1+Inputs!$B$34/100)),MAX(0,Inputs!$B$43-((R2626-1)*Skills!D17))))/Inputs!$B$43),IF(Inputs!$B$38="pvp",MIN((Skills!T17*(1+Inputs!$B$34/100)),15)/15,(Skills!T17*(1+Inputs!$B$34/100))/Skills!D17))+(C2627=TRUE)*30</f>
        <v/>
      </c>
    </row>
    <row r="2649">
      <c r="A2649" t="inlineStr">
        <is>
          <t>Global Final Damage Bonus % (Mortal Blow)</t>
        </is>
      </c>
      <c r="B2649">
        <f>(C2628=TRUE)*F2628</f>
        <v/>
      </c>
    </row>
    <row r="2650">
      <c r="A2650" t="inlineStr">
        <is>
          <t>Buff-Casting Startup Delay (s, fixed-duration only)</t>
        </is>
      </c>
      <c r="B2650">
        <f>IF(AND(Inputs!$B$38&lt;&gt;"pvp",Inputs!$B$43&gt;0),SUMPRODUCT((Skills!T2:T31&gt;0)*(Skills!E2:E31=TRUE)*(C2611:C2640=TRUE))/B2645,0)</f>
        <v/>
      </c>
    </row>
    <row r="2651">
      <c r="A2651" t="inlineStr">
        <is>
          <t>Boss-Only Total DPS (this block's swept value)</t>
        </is>
      </c>
      <c r="B2651">
        <f>SUM(T2611:T2640)</f>
        <v/>
      </c>
    </row>
    <row r="2652">
      <c r="A2652" t="inlineStr">
        <is>
          <t>Normal-Only Total DPS (this block's swept value)</t>
        </is>
      </c>
      <c r="B2652">
        <f>SUM(V2611:V2640)</f>
        <v/>
      </c>
    </row>
    <row r="2653">
      <c r="A2653" s="6" t="inlineStr">
        <is>
          <t>TOTAL DPS</t>
        </is>
      </c>
      <c r="B2653" s="6">
        <f>SUM(O2611:O2640)</f>
        <v/>
      </c>
    </row>
    <row r="2656">
      <c r="A2656" s="6" t="inlineStr">
        <is>
          <t>Stat: Candle (Equip)</t>
        </is>
      </c>
    </row>
    <row r="2657">
      <c r="A2657" s="5" t="inlineStr">
        <is>
          <t>Key</t>
        </is>
      </c>
      <c r="B2657" s="5" t="inlineStr">
        <is>
          <t>Name</t>
        </is>
      </c>
      <c r="C2657" s="5" t="inlineStr">
        <is>
          <t>Unlocked</t>
        </is>
      </c>
      <c r="D2657" s="5" t="inlineStr">
        <is>
          <t>InputLevel</t>
        </is>
      </c>
      <c r="E2657" s="5" t="inlineStr">
        <is>
          <t>Factor</t>
        </is>
      </c>
      <c r="F2657" s="5" t="inlineStr">
        <is>
          <t>CoefficientPercent</t>
        </is>
      </c>
      <c r="G2657" s="5" t="inlineStr">
        <is>
          <t>EffectiveHits</t>
        </is>
      </c>
      <c r="H2657" s="5" t="inlineStr">
        <is>
          <t>ProcProbability</t>
        </is>
      </c>
      <c r="I2657" s="5" t="inlineStr">
        <is>
          <t>MapleHeroMultiplier</t>
        </is>
      </c>
      <c r="J2657" s="5" t="inlineStr">
        <is>
          <t>BaseDamage</t>
        </is>
      </c>
      <c r="K2657" s="5" t="inlineStr">
        <is>
          <t>BaseHitDamage</t>
        </is>
      </c>
      <c r="L2657" s="5" t="inlineStr">
        <is>
          <t>NonCritAvg</t>
        </is>
      </c>
      <c r="M2657" s="5" t="inlineStr">
        <is>
          <t>CritAvg</t>
        </is>
      </c>
      <c r="N2657" s="5" t="inlineStr">
        <is>
          <t>ExpectedDamage(perHit)</t>
        </is>
      </c>
      <c r="O2657" s="5" t="inlineStr">
        <is>
          <t>DPS</t>
        </is>
      </c>
      <c r="P2657" s="5" t="inlineStr">
        <is>
          <t>% of Total</t>
        </is>
      </c>
      <c r="Q2657" s="5" t="inlineStr">
        <is>
          <t>InvCooldown</t>
        </is>
      </c>
      <c r="R2657" s="5" t="inlineStr">
        <is>
          <t>CastsInFight</t>
        </is>
      </c>
      <c r="S2657" s="5" t="inlineStr">
        <is>
          <t>HitRate(perSec)</t>
        </is>
      </c>
      <c r="U2657" t="inlineStr">
        <is>
          <t>helpers</t>
        </is>
      </c>
    </row>
    <row r="2658">
      <c r="A2658">
        <f>Skills!A2</f>
        <v/>
      </c>
      <c r="B2658">
        <f>Skills!B2</f>
        <v/>
      </c>
      <c r="C2658">
        <f>Inputs!$B$3&gt;=100</f>
        <v/>
      </c>
      <c r="D2658" t="inlineStr"/>
      <c r="E2658" t="inlineStr"/>
      <c r="F2658">
        <f>U2660+Skills!O2</f>
        <v/>
      </c>
      <c r="G2658">
        <f>Skills!G2*IF(Skills!H2&gt;0,Skills!I2/Skills!H2,1)</f>
        <v/>
      </c>
      <c r="H2658">
        <f>1-(1-Skills!J2/100)^Skills!K2</f>
        <v/>
      </c>
      <c r="I2658" t="inlineStr">
        <is>
          <t>1</t>
        </is>
      </c>
      <c r="J2658">
        <f>((Inputs!$B$6*(1+Inputs!$B$7/100))+(((Inputs!$B$12*(1+Inputs!$B$13/100))-(Inputs!$B$12*(1+Inputs!$B$13/100)))+0.25*(Inputs!$B$14-Inputs!$B$14))*(1+Inputs!$B$7/100))*(F2658/100)</f>
        <v/>
      </c>
      <c r="K2658">
        <f>J2658*(1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2658)</f>
        <v/>
      </c>
      <c r="L2658">
        <f>K2658*(MIN(Inputs!$B$22+((C2681=TRUE)*(F2681-Calc!F25)),(Inputs!$B$23+((C2686=TRUE)*(F2686-Calc!F30))+(IF(ArtifactsInput!$M$15,CHOOSE(ArtifactsInput!$N$15+1,25,30,35,40,45,50)/100*(Inputs!$B$11-Inputs!$B$11),0))))/100+(Inputs!$B$23+((C2686=TRUE)*(F2686-Calc!F30))+(IF(ArtifactsInput!$M$15,CHOOSE(ArtifactsInput!$N$15+1,25,30,35,40,45,50)/100*(Inputs!$B$11-Inputs!$B$11),0)))/100)/2</f>
        <v/>
      </c>
      <c r="M2658">
        <f>L2658*(1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8">
        <f>L2658*(1-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2658*(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8">
        <f>(1-Summary!$B$11)*T2658+Summary!$B$11*V2658</f>
        <v/>
      </c>
      <c r="P2658">
        <f>IF(B2700=0,0,O2658/B2700)</f>
        <v/>
      </c>
      <c r="Q2658" t="n">
        <v>0</v>
      </c>
      <c r="R2658" t="n">
        <v>0</v>
      </c>
      <c r="S2658">
        <f>IFERROR(O2658/N2658,0)</f>
        <v/>
      </c>
      <c r="T2658">
        <f>IF(C2658,(Skills!G2*N2658*B2694)*IF(Inputs!$B$38="pvp",1,1+(Inputs!$B$20+0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2658*(1-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2658*(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2658*(1-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2658*(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58">
        <f>MAX(0,(Inputs!$B$3-100)*3)+Inputs!$B$28+Inputs!$B$29</f>
        <v/>
      </c>
      <c r="V2658">
        <f>IF(C2658,(Skills!G2*N2658*B2694)*IF(Inputs!$B$38="pvp",1,(1+(Inputs!$B$21+Skills!Q2+(IF(ArtifactsInput!$M$33,CHOOSE(ArtifactsInput!$N$33+1,30,36,42,48,54,60),0))+(IF(AND(ArtifactsInput!$M$35,Inputs!$B$4&lt;&gt;"Chapter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9">
      <c r="A2659">
        <f>Skills!A3</f>
        <v/>
      </c>
      <c r="B2659">
        <f>Skills!B3</f>
        <v/>
      </c>
      <c r="C2659">
        <f>Inputs!$B$3&gt;=50</f>
        <v/>
      </c>
      <c r="D2659">
        <f>IF(Skills!C3=1,60+Inputs!$B$25+Inputs!$B$29,IF(Skills!C3=2,90+Inputs!$B$26+Inputs!$B$29,IF(Skills!C3=3,120+Inputs!$B$27+Inputs!$B$29,MAX(0,(Inputs!$B$3-100)*3)+Inputs!$B$28+Inputs!$B$29)))</f>
        <v/>
      </c>
      <c r="E2659">
        <f>INDEX(FactorTable!$B$2:$Y$301, MATCH(ROUND(MIN(300,MAX(1,D2659)),0), FactorTable!$A$2:$A$301,0), Skills!M3+1)</f>
        <v/>
      </c>
      <c r="F2659">
        <f>IF(Skills!N3=TRUE,(Skills!L3/10)*(E2659/1000),Skills!L3/10)+Skills!O3</f>
        <v/>
      </c>
      <c r="G2659">
        <f>Skills!G3*IF(Skills!H3&gt;0,Skills!I3/Skills!H3,1)</f>
        <v/>
      </c>
      <c r="H2659">
        <f>1-(1-Skills!J3/100)^Skills!K3</f>
        <v/>
      </c>
      <c r="I2659" t="inlineStr">
        <is>
          <t>1</t>
        </is>
      </c>
      <c r="J2659">
        <f>((Inputs!$B$6*(1+Inputs!$B$7/100))+(((Inputs!$B$12*(1+Inputs!$B$13/100))-(Inputs!$B$12*(1+Inputs!$B$13/100)))+0.25*(Inputs!$B$14-Inputs!$B$14))*(1+Inputs!$B$7/100))*(F2659/100)</f>
        <v/>
      </c>
      <c r="K2659">
        <f>J2659*(1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2660=TRUE,F2660,0)/100)*(1+(IF(Skills!A3="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2659)</f>
        <v/>
      </c>
      <c r="L2659">
        <f>K2659*(MIN(Inputs!$B$22+((C2681=TRUE)*(F2681-Calc!F25)),(Inputs!$B$23+((C2686=TRUE)*(F2686-Calc!F30))+(IF(ArtifactsInput!$M$15,CHOOSE(ArtifactsInput!$N$15+1,25,30,35,40,45,50)/100*(Inputs!$B$11-Inputs!$B$11),0))))/100+(Inputs!$B$23+((C2686=TRUE)*(F2686-Calc!F30))+(IF(ArtifactsInput!$M$15,CHOOSE(ArtifactsInput!$N$15+1,25,30,35,40,45,50)/100*(Inputs!$B$11-Inputs!$B$11),0)))/100)/2</f>
        <v/>
      </c>
      <c r="M2659">
        <f>L2659*(1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9">
        <f>L2659*(1-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2659*(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9">
        <f>(1-Summary!$B$11)*T2659+Summary!$B$11*V2659</f>
        <v/>
      </c>
      <c r="P2659">
        <f>IF(B2700=0,0,O2659/B2700)</f>
        <v/>
      </c>
      <c r="Q2659">
        <f>IFERROR(1/(IF(Inputs!$B$38="pvp",15,MAX(0.1,Skills!D3-IF(Skills!E3=TRUE,Inputs!$B$32,0)))*(1-IF(AND(ArtifactsInput!$M$27,Inputs!$B$4="Chapter Hunt"),CHOOSE(ArtifactsInput!$N$27+1,20,24,28,32,36,40),0)/100)),0)</f>
        <v/>
      </c>
      <c r="R2659">
        <f>IF(AND(Inputs!$B$38&lt;&gt;"pvp",Inputs!$B$43&gt;0),IF(MAX(0,Inputs!$B$43-B2697)&lt;=0,0,(INT(MAX(0,Inputs!$B$43-B2697)/(IF(Inputs!$B$38="pvp",15,MAX(0.1,Skills!D3-IF(Skills!E3=TRUE,Inputs!$B$32,0)))*(1-IF(AND(ArtifactsInput!$M$27,Inputs!$B$4="Chapter Hunt"),CHOOSE(ArtifactsInput!$N$27+1,20,24,28,32,36,40),0)/100)))+1)),0)</f>
        <v/>
      </c>
      <c r="S2659">
        <f>IFERROR(O2659/N2659,0)</f>
        <v/>
      </c>
      <c r="T2659">
        <f>IF(C2659,(H2659*N2659*IF(AND(Inputs!$B$38&lt;&gt;"pvp",Inputs!$B$43&gt;0),((Skills!G3*((R2659-1)*IF(Skills!H3&gt;0,Skills!I3/Skills!H3,1)+IF(Skills!H3&gt;0,MIN(Skills!I3,MAX(0,MAX(0,Inputs!$B$43-B2697)-((R2659-1)*(IF(Inputs!$B$38="pvp",15,MAX(0.1,Skills!D3-IF(Skills!E3=TRUE,Inputs!$B$32,0)))*(1-IF(AND(ArtifactsInput!$M$27,Inputs!$B$4="Chapter Hunt"),CHOOSE(ArtifactsInput!$N$27+1,20,24,28,32,36,40),0)/100)))))/Skills!H3,1)))/Inputs!$B$43),G2659*Q2659))*IF(Inputs!$B$38="pvp",1,1+(Inputs!$B$20+0+Skills!P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2659*(1-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2659*(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2659*(1-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2659*(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59">
        <f>INDEX(FactorTable!$B$2:$Y$301, MATCH(ROUND(MIN(300,MAX(1,U2658)),0), FactorTable!$A$2:$A$301,0), 22)</f>
        <v/>
      </c>
      <c r="V2659">
        <f>IF(C2659,(H2659*N2659*IF(AND(Inputs!$B$38&lt;&gt;"pvp",Inputs!$B$43&gt;0),((Skills!G3*((R2659-1)*IF(Skills!H3&gt;0,Skills!I3/Skills!H3,1)+IF(Skills!H3&gt;0,MIN(Skills!I3,MAX(0,MAX(0,Inputs!$B$43-B2697)-((R2659-1)*(IF(Inputs!$B$38="pvp",15,MAX(0.1,Skills!D3-IF(Skills!E3=TRUE,Inputs!$B$32,0)))*(1-IF(AND(ArtifactsInput!$M$27,Inputs!$B$4="Chapter Hunt"),CHOOSE(ArtifactsInput!$N$27+1,20,24,28,32,36,40),0)/100)))))/Skills!H3,1)))/Inputs!$B$43),G2659*Q2659))*IF(Inputs!$B$38="pvp",1,(1+(Inputs!$B$21+Skills!Q3+(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0">
      <c r="A2660">
        <f>Skills!A4</f>
        <v/>
      </c>
      <c r="B2660">
        <f>Skills!B4</f>
        <v/>
      </c>
      <c r="C2660">
        <f>Inputs!$B$3&gt;=105</f>
        <v/>
      </c>
      <c r="D2660">
        <f>IF(Skills!C4=1,60+Inputs!$B$25+Inputs!$B$29,IF(Skills!C4=2,90+Inputs!$B$26+Inputs!$B$29,IF(Skills!C4=3,120+Inputs!$B$27+Inputs!$B$29,MAX(0,(Inputs!$B$3-100)*3)+Inputs!$B$28+Inputs!$B$29)))</f>
        <v/>
      </c>
      <c r="E2660">
        <f>INDEX(FactorTable!$B$2:$Y$301, MATCH(ROUND(MIN(300,MAX(1,D2660)),0), FactorTable!$A$2:$A$301,0), Skills!M4+1)</f>
        <v/>
      </c>
      <c r="F2660">
        <f>IF(Skills!N4=TRUE,(Skills!L4/10)*(E2660/1000),Skills!L4/10)+Skills!O4</f>
        <v/>
      </c>
      <c r="G2660" t="inlineStr"/>
      <c r="H2660" t="inlineStr"/>
      <c r="I2660" t="inlineStr">
        <is>
          <t>1</t>
        </is>
      </c>
      <c r="J2660" t="inlineStr"/>
      <c r="K2660" t="inlineStr"/>
      <c r="L2660" t="inlineStr"/>
      <c r="M2660" t="inlineStr"/>
      <c r="N2660" t="inlineStr"/>
      <c r="O2660" t="inlineStr"/>
      <c r="P2660" t="inlineStr"/>
      <c r="Q2660" t="inlineStr"/>
      <c r="R2660" t="inlineStr"/>
      <c r="S2660" t="inlineStr"/>
      <c r="T2660" t="inlineStr"/>
      <c r="U2660">
        <f>290*U2659/1000</f>
        <v/>
      </c>
      <c r="V2660" t="inlineStr"/>
    </row>
    <row r="2661">
      <c r="A2661">
        <f>Skills!A5</f>
        <v/>
      </c>
      <c r="B2661">
        <f>Skills!B5</f>
        <v/>
      </c>
      <c r="C2661">
        <f>Inputs!$B$3&gt;=35</f>
        <v/>
      </c>
      <c r="D2661">
        <f>IF(Skills!C5=1,60+Inputs!$B$25+Inputs!$B$29,IF(Skills!C5=2,90+Inputs!$B$26+Inputs!$B$29,IF(Skills!C5=3,120+Inputs!$B$27+Inputs!$B$29,MAX(0,(Inputs!$B$3-100)*3)+Inputs!$B$28+Inputs!$B$29)))</f>
        <v/>
      </c>
      <c r="E2661">
        <f>INDEX(FactorTable!$B$2:$Y$301, MATCH(ROUND(MIN(300,MAX(1,D2661)),0), FactorTable!$A$2:$A$301,0), Skills!M5+1)</f>
        <v/>
      </c>
      <c r="F2661">
        <f>IF(Skills!N5=TRUE,(Skills!L5/10)*(E2661/1000),Skills!L5/10)+Skills!O5</f>
        <v/>
      </c>
      <c r="G2661">
        <f>Skills!G5*IF(Skills!H5&gt;0,Skills!I5/Skills!H5,1)</f>
        <v/>
      </c>
      <c r="H2661">
        <f>1-(1-Skills!J5/100)^Skills!K5</f>
        <v/>
      </c>
      <c r="I2661" t="inlineStr">
        <is>
          <t>1</t>
        </is>
      </c>
      <c r="J2661">
        <f>((Inputs!$B$6*(1+Inputs!$B$7/100))+(((Inputs!$B$12*(1+Inputs!$B$13/100))-(Inputs!$B$12*(1+Inputs!$B$13/100)))+0.25*(Inputs!$B$14-Inputs!$B$14))*(1+Inputs!$B$7/100))*(F2661/100)</f>
        <v/>
      </c>
      <c r="K2661">
        <f>J2661*(1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2667=TRUE,F2667,0)/100)*(1+(IF(Skills!A5="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2661)</f>
        <v/>
      </c>
      <c r="L2661">
        <f>K2661*(MIN(Inputs!$B$22+((C2681=TRUE)*(F2681-Calc!F25)),(Inputs!$B$23+((C2686=TRUE)*(F2686-Calc!F30))+(IF(ArtifactsInput!$M$15,CHOOSE(ArtifactsInput!$N$15+1,25,30,35,40,45,50)/100*(Inputs!$B$11-Inputs!$B$11),0))))/100+(Inputs!$B$23+((C2686=TRUE)*(F2686-Calc!F30))+(IF(ArtifactsInput!$M$15,CHOOSE(ArtifactsInput!$N$15+1,25,30,35,40,45,50)/100*(Inputs!$B$11-Inputs!$B$11),0)))/100)/2</f>
        <v/>
      </c>
      <c r="M2661">
        <f>L2661*(1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1">
        <f>L2661*(1-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1">
        <f>(1-Summary!$B$11)*T2661+Summary!$B$11*V2661</f>
        <v/>
      </c>
      <c r="P2661">
        <f>IF(B2700=0,0,O2661/B2700)</f>
        <v/>
      </c>
      <c r="Q2661">
        <f>IFERROR(1/(IF(Inputs!$B$38="pvp",15,MAX(0.1,Skills!D5-IF(Skills!E5=TRUE,Inputs!$B$32,0)))*(1-IF(AND(ArtifactsInput!$M$27,Inputs!$B$4="Chapter Hunt"),CHOOSE(ArtifactsInput!$N$27+1,20,24,28,32,36,40),0)/100)),0)</f>
        <v/>
      </c>
      <c r="R2661">
        <f>IF(AND(Inputs!$B$38&lt;&gt;"pvp",Inputs!$B$43&gt;0),IF(MAX(0,Inputs!$B$43-B2697)&lt;=0,0,(INT(MAX(0,Inputs!$B$43-B2697)/(IF(Inputs!$B$38="pvp",15,MAX(0.1,Skills!D5-IF(Skills!E5=TRUE,Inputs!$B$32,0)))*(1-IF(AND(ArtifactsInput!$M$27,Inputs!$B$4="Chapter Hunt"),CHOOSE(ArtifactsInput!$N$27+1,20,24,28,32,36,40),0)/100)))+1)),0)</f>
        <v/>
      </c>
      <c r="S2661">
        <f>IFERROR(O2661/N2661,0)</f>
        <v/>
      </c>
      <c r="T2661">
        <f>IF(C2661,(H2661*N2661*IF(AND(Inputs!$B$38&lt;&gt;"pvp",Inputs!$B$43&gt;0),((Skills!G5*((R2661-1)*IF(Skills!H5&gt;0,Skills!I5/Skills!H5,1)+IF(Skills!H5&gt;0,MIN(Skills!I5,MAX(0,MAX(0,Inputs!$B$43-B2697)-((R2661-1)*(IF(Inputs!$B$38="pvp",15,MAX(0.1,Skills!D5-IF(Skills!E5=TRUE,Inputs!$B$32,0)))*(1-IF(AND(ArtifactsInput!$M$27,Inputs!$B$4="Chapter Hunt"),CHOOSE(ArtifactsInput!$N$27+1,20,24,28,32,36,40),0)/100)))))/Skills!H5,1)))/Inputs!$B$43),G2661*Q2661))*IF(Inputs!$B$38="pvp",1,1+(Inputs!$B$20+0+Skills!P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2661*(1-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2661*(1-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1">
        <f>IF(C2661,(H2661*N2661*IF(AND(Inputs!$B$38&lt;&gt;"pvp",Inputs!$B$43&gt;0),((Skills!G5*((R2661-1)*IF(Skills!H5&gt;0,Skills!I5/Skills!H5,1)+IF(Skills!H5&gt;0,MIN(Skills!I5,MAX(0,MAX(0,Inputs!$B$43-B2697)-((R2661-1)*(IF(Inputs!$B$38="pvp",15,MAX(0.1,Skills!D5-IF(Skills!E5=TRUE,Inputs!$B$32,0)))*(1-IF(AND(ArtifactsInput!$M$27,Inputs!$B$4="Chapter Hunt"),CHOOSE(ArtifactsInput!$N$27+1,20,24,28,32,36,40),0)/100)))))/Skills!H5,1)))/Inputs!$B$43),G2661*Q2661))*IF(Inputs!$B$38="pvp",1,(1+(Inputs!$B$21+Skills!Q5+(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2">
      <c r="A2662">
        <f>Skills!A6</f>
        <v/>
      </c>
      <c r="B2662">
        <f>Skills!B6</f>
        <v/>
      </c>
      <c r="C2662">
        <f>Inputs!$B$3&gt;=40</f>
        <v/>
      </c>
      <c r="D2662">
        <f>IF(Skills!C6=1,60+Inputs!$B$25+Inputs!$B$29,IF(Skills!C6=2,90+Inputs!$B$26+Inputs!$B$29,IF(Skills!C6=3,120+Inputs!$B$27+Inputs!$B$29,MAX(0,(Inputs!$B$3-100)*3)+Inputs!$B$28+Inputs!$B$29)))</f>
        <v/>
      </c>
      <c r="E2662">
        <f>INDEX(FactorTable!$B$2:$Y$301, MATCH(ROUND(MIN(300,MAX(1,D2662)),0), FactorTable!$A$2:$A$301,0), Skills!M6+1)</f>
        <v/>
      </c>
      <c r="F2662">
        <f>IF(Skills!N6=TRUE,(Skills!L6/10)*(E2662/1000),Skills!L6/10)+Skills!O6</f>
        <v/>
      </c>
      <c r="G2662">
        <f>Skills!G6*IF(Skills!H6&gt;0,Skills!I6/Skills!H6,1)</f>
        <v/>
      </c>
      <c r="H2662">
        <f>1-(1-Skills!J6/100)^Skills!K6</f>
        <v/>
      </c>
      <c r="I2662" t="inlineStr">
        <is>
          <t>1</t>
        </is>
      </c>
      <c r="J2662">
        <f>((Inputs!$B$6*(1+Inputs!$B$7/100))+(((Inputs!$B$12*(1+Inputs!$B$13/100))-(Inputs!$B$12*(1+Inputs!$B$13/100)))+0.25*(Inputs!$B$14-Inputs!$B$14))*(1+Inputs!$B$7/100))*(F2662/100)</f>
        <v/>
      </c>
      <c r="K2662">
        <f>J2662*(1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2663=TRUE,F2663,0)/100)*(1+(IF(Skills!A6="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2662)</f>
        <v/>
      </c>
      <c r="L2662">
        <f>K2662*(MIN(Inputs!$B$22+((C2681=TRUE)*(F2681-Calc!F25)),(Inputs!$B$23+((C2686=TRUE)*(F2686-Calc!F30))+(IF(ArtifactsInput!$M$15,CHOOSE(ArtifactsInput!$N$15+1,25,30,35,40,45,50)/100*(Inputs!$B$11-Inputs!$B$11),0))))/100+(Inputs!$B$23+((C2686=TRUE)*(F2686-Calc!F30))+(IF(ArtifactsInput!$M$15,CHOOSE(ArtifactsInput!$N$15+1,25,30,35,40,45,50)/100*(Inputs!$B$11-Inputs!$B$11),0)))/100)/2</f>
        <v/>
      </c>
      <c r="M2662">
        <f>L2662*(1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2">
        <f>L2662*(1-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2662*(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2">
        <f>(1-Summary!$B$11)*T2662+Summary!$B$11*V2662</f>
        <v/>
      </c>
      <c r="P2662">
        <f>IF(B2700=0,0,O2662/B2700)</f>
        <v/>
      </c>
      <c r="Q2662">
        <f>IFERROR(1/(IF(Inputs!$B$38="pvp",15,MAX(0.1,Skills!D6-IF(Skills!E6=TRUE,Inputs!$B$32,0)))*(1-IF(AND(ArtifactsInput!$M$27,Inputs!$B$4="Chapter Hunt"),CHOOSE(ArtifactsInput!$N$27+1,20,24,28,32,36,40),0)/100)),0)</f>
        <v/>
      </c>
      <c r="R2662">
        <f>IF(AND(Inputs!$B$38&lt;&gt;"pvp",Inputs!$B$43&gt;0),IF(MAX(0,Inputs!$B$43-B2697)&lt;=0,0,(INT(MAX(0,Inputs!$B$43-B2697)/(IF(Inputs!$B$38="pvp",15,MAX(0.1,Skills!D6-IF(Skills!E6=TRUE,Inputs!$B$32,0)))*(1-IF(AND(ArtifactsInput!$M$27,Inputs!$B$4="Chapter Hunt"),CHOOSE(ArtifactsInput!$N$27+1,20,24,28,32,36,40),0)/100)))+1)),0)</f>
        <v/>
      </c>
      <c r="S2662">
        <f>IFERROR(O2662/N2662,0)</f>
        <v/>
      </c>
      <c r="T2662">
        <f>IF(C2662,(H2662*N2662*IF(AND(Inputs!$B$38&lt;&gt;"pvp",Inputs!$B$43&gt;0),((Skills!G6*((R2662-1)*IF(Skills!H6&gt;0,Skills!I6/Skills!H6,1)+IF(Skills!H6&gt;0,MIN(Skills!I6,MAX(0,MAX(0,Inputs!$B$43-B2697)-((R2662-1)*(IF(Inputs!$B$38="pvp",15,MAX(0.1,Skills!D6-IF(Skills!E6=TRUE,Inputs!$B$32,0)))*(1-IF(AND(ArtifactsInput!$M$27,Inputs!$B$4="Chapter Hunt"),CHOOSE(ArtifactsInput!$N$27+1,20,24,28,32,36,40),0)/100)))))/Skills!H6,1)))/Inputs!$B$43),G2662*Q2662))*IF(Inputs!$B$38="pvp",1,1+(Inputs!$B$20+0+Skills!P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2662*(1-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2662*(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2662*(1-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2662*(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2">
        <f>IF(C2662,(H2662*N2662*IF(AND(Inputs!$B$38&lt;&gt;"pvp",Inputs!$B$43&gt;0),((Skills!G6*((R2662-1)*IF(Skills!H6&gt;0,Skills!I6/Skills!H6,1)+IF(Skills!H6&gt;0,MIN(Skills!I6,MAX(0,MAX(0,Inputs!$B$43-B2697)-((R2662-1)*(IF(Inputs!$B$38="pvp",15,MAX(0.1,Skills!D6-IF(Skills!E6=TRUE,Inputs!$B$32,0)))*(1-IF(AND(ArtifactsInput!$M$27,Inputs!$B$4="Chapter Hunt"),CHOOSE(ArtifactsInput!$N$27+1,20,24,28,32,36,40),0)/100)))))/Skills!H6,1)))/Inputs!$B$43),G2662*Q2662))*IF(Inputs!$B$38="pvp",1,(1+(Inputs!$B$21+Skills!Q6+(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3">
      <c r="A2663">
        <f>Skills!A7</f>
        <v/>
      </c>
      <c r="B2663">
        <f>Skills!B7</f>
        <v/>
      </c>
      <c r="C2663">
        <f>Inputs!$B$3&gt;=107</f>
        <v/>
      </c>
      <c r="D2663">
        <f>IF(Skills!C7=1,60+Inputs!$B$25+Inputs!$B$29,IF(Skills!C7=2,90+Inputs!$B$26+Inputs!$B$29,IF(Skills!C7=3,120+Inputs!$B$27+Inputs!$B$29,MAX(0,(Inputs!$B$3-100)*3)+Inputs!$B$28+Inputs!$B$29)))</f>
        <v/>
      </c>
      <c r="E2663">
        <f>INDEX(FactorTable!$B$2:$Y$301, MATCH(ROUND(MIN(300,MAX(1,D2663)),0), FactorTable!$A$2:$A$301,0), Skills!M7+1)</f>
        <v/>
      </c>
      <c r="F2663">
        <f>IF(Skills!N7=TRUE,(Skills!L7/10)*(E2663/1000),Skills!L7/10)+Skills!O7</f>
        <v/>
      </c>
      <c r="G2663" t="inlineStr"/>
      <c r="H2663" t="inlineStr"/>
      <c r="I2663" t="inlineStr">
        <is>
          <t>1</t>
        </is>
      </c>
      <c r="J2663" t="inlineStr"/>
      <c r="K2663" t="inlineStr"/>
      <c r="L2663" t="inlineStr"/>
      <c r="M2663" t="inlineStr"/>
      <c r="N2663" t="inlineStr"/>
      <c r="O2663" t="inlineStr"/>
      <c r="P2663" t="inlineStr"/>
      <c r="Q2663" t="inlineStr"/>
      <c r="R2663" t="inlineStr"/>
      <c r="S2663" t="inlineStr"/>
      <c r="T2663" t="inlineStr"/>
      <c r="V2663" t="inlineStr"/>
    </row>
    <row r="2664">
      <c r="A2664">
        <f>Skills!A8</f>
        <v/>
      </c>
      <c r="B2664">
        <f>Skills!B8</f>
        <v/>
      </c>
      <c r="C2664">
        <f>Inputs!$B$3&gt;=69</f>
        <v/>
      </c>
      <c r="D2664">
        <f>IF(Skills!C8=1,60+Inputs!$B$25+Inputs!$B$29,IF(Skills!C8=2,90+Inputs!$B$26+Inputs!$B$29,IF(Skills!C8=3,120+Inputs!$B$27+Inputs!$B$29,MAX(0,(Inputs!$B$3-100)*3)+Inputs!$B$28+Inputs!$B$29)))</f>
        <v/>
      </c>
      <c r="E2664">
        <f>INDEX(FactorTable!$B$2:$Y$301, MATCH(ROUND(MIN(300,MAX(1,D2664)),0), FactorTable!$A$2:$A$301,0), Skills!M8+1)</f>
        <v/>
      </c>
      <c r="F2664">
        <f>IF(Skills!N8=TRUE,(Skills!L8/10)*(E2664/1000),Skills!L8/10)+Skills!O8</f>
        <v/>
      </c>
      <c r="G2664">
        <f>Skills!G8*IF(Skills!H8&gt;0,Skills!I8/Skills!H8,1)</f>
        <v/>
      </c>
      <c r="H2664">
        <f>1-(1-Skills!J8/100)^Skills!K8</f>
        <v/>
      </c>
      <c r="I2664" t="inlineStr">
        <is>
          <t>1</t>
        </is>
      </c>
      <c r="J2664">
        <f>((Inputs!$B$6*(1+Inputs!$B$7/100))+(((Inputs!$B$12*(1+Inputs!$B$13/100))-(Inputs!$B$12*(1+Inputs!$B$13/100)))+0.25*(Inputs!$B$14-Inputs!$B$14))*(1+Inputs!$B$7/100))*(F2664/100)</f>
        <v/>
      </c>
      <c r="K2664">
        <f>J2664*(1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2667=TRUE,F2667,0)/100)*(1+(IF(Skills!A8="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2664)</f>
        <v/>
      </c>
      <c r="L2664">
        <f>K2664*(MIN(Inputs!$B$22+((C2681=TRUE)*(F2681-Calc!F25)),(Inputs!$B$23+((C2686=TRUE)*(F2686-Calc!F30))+(IF(ArtifactsInput!$M$15,CHOOSE(ArtifactsInput!$N$15+1,25,30,35,40,45,50)/100*(Inputs!$B$11-Inputs!$B$11),0))))/100+(Inputs!$B$23+((C2686=TRUE)*(F2686-Calc!F30))+(IF(ArtifactsInput!$M$15,CHOOSE(ArtifactsInput!$N$15+1,25,30,35,40,45,50)/100*(Inputs!$B$11-Inputs!$B$11),0)))/100)/2</f>
        <v/>
      </c>
      <c r="M2664">
        <f>L2664*(1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4">
        <f>L2664*(1-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2664*(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4">
        <f>(1-Summary!$B$11)*T2664+Summary!$B$11*V2664</f>
        <v/>
      </c>
      <c r="P2664">
        <f>IF(B2700=0,0,O2664/B2700)</f>
        <v/>
      </c>
      <c r="Q2664">
        <f>IFERROR(1/(IF(Inputs!$B$38="pvp",15,MAX(0.1,Skills!D8-IF(Skills!E8=TRUE,Inputs!$B$32,0)))*(1-IF(AND(ArtifactsInput!$M$27,Inputs!$B$4="Chapter Hunt"),CHOOSE(ArtifactsInput!$N$27+1,20,24,28,32,36,40),0)/100)),0)</f>
        <v/>
      </c>
      <c r="R2664">
        <f>IF(AND(Inputs!$B$38&lt;&gt;"pvp",Inputs!$B$43&gt;0),IF(MAX(0,Inputs!$B$43-B2697)&lt;=0,0,(INT(MAX(0,Inputs!$B$43-B2697)/(IF(Inputs!$B$38="pvp",15,MAX(0.1,Skills!D8-IF(Skills!E8=TRUE,Inputs!$B$32,0)))*(1-IF(AND(ArtifactsInput!$M$27,Inputs!$B$4="Chapter Hunt"),CHOOSE(ArtifactsInput!$N$27+1,20,24,28,32,36,40),0)/100)))+1)),0)</f>
        <v/>
      </c>
      <c r="S2664">
        <f>IFERROR(O2664/N2664,0)</f>
        <v/>
      </c>
      <c r="T2664">
        <f>IF(C2664,(H2664*N2664*IF(AND(Inputs!$B$38&lt;&gt;"pvp",Inputs!$B$43&gt;0),((Skills!G8*((R2664-1)*IF(Skills!H8&gt;0,Skills!I8/Skills!H8,1)+IF(Skills!H8&gt;0,MIN(Skills!I8,MAX(0,MAX(0,Inputs!$B$43-B2697)-((R2664-1)*(IF(Inputs!$B$38="pvp",15,MAX(0.1,Skills!D8-IF(Skills!E8=TRUE,Inputs!$B$32,0)))*(1-IF(AND(ArtifactsInput!$M$27,Inputs!$B$4="Chapter Hunt"),CHOOSE(ArtifactsInput!$N$27+1,20,24,28,32,36,40),0)/100)))))/Skills!H8,1)))/Inputs!$B$43),G2664*Q2664))*IF(Inputs!$B$38="pvp",1,1+(Inputs!$B$20+0+Skills!P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2664*(1-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2664*(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2664*(1-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2664*(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4">
        <f>IF(C2664,(H2664*N2664*IF(AND(Inputs!$B$38&lt;&gt;"pvp",Inputs!$B$43&gt;0),((Skills!G8*((R2664-1)*IF(Skills!H8&gt;0,Skills!I8/Skills!H8,1)+IF(Skills!H8&gt;0,MIN(Skills!I8,MAX(0,MAX(0,Inputs!$B$43-B2697)-((R2664-1)*(IF(Inputs!$B$38="pvp",15,MAX(0.1,Skills!D8-IF(Skills!E8=TRUE,Inputs!$B$32,0)))*(1-IF(AND(ArtifactsInput!$M$27,Inputs!$B$4="Chapter Hunt"),CHOOSE(ArtifactsInput!$N$27+1,20,24,28,32,36,40),0)/100)))))/Skills!H8,1)))/Inputs!$B$43),G2664*Q2664))*IF(Inputs!$B$38="pvp",1,(1+(Inputs!$B$21+Skills!Q8+(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5">
      <c r="A2665">
        <f>Skills!A9</f>
        <v/>
      </c>
      <c r="B2665">
        <f>Skills!B9</f>
        <v/>
      </c>
      <c r="C2665">
        <f>Inputs!$B$3&gt;=63</f>
        <v/>
      </c>
      <c r="D2665">
        <f>IF(Skills!C9=1,60+Inputs!$B$25+Inputs!$B$29,IF(Skills!C9=2,90+Inputs!$B$26+Inputs!$B$29,IF(Skills!C9=3,120+Inputs!$B$27+Inputs!$B$29,MAX(0,(Inputs!$B$3-100)*3)+Inputs!$B$28+Inputs!$B$29)))</f>
        <v/>
      </c>
      <c r="E2665">
        <f>INDEX(FactorTable!$B$2:$Y$301, MATCH(ROUND(MIN(300,MAX(1,D2665)),0), FactorTable!$A$2:$A$301,0), Skills!M9+1)</f>
        <v/>
      </c>
      <c r="F2665">
        <f>IF(Skills!N9=TRUE,(Skills!L9/10)*(E2665/1000),Skills!L9/10)+Skills!O9</f>
        <v/>
      </c>
      <c r="G2665">
        <f>Skills!G9*IF(Skills!H9&gt;0,Skills!I9/Skills!H9,1)</f>
        <v/>
      </c>
      <c r="H2665">
        <f>1-(1-Skills!J9/100)^Skills!K9</f>
        <v/>
      </c>
      <c r="I2665" t="inlineStr">
        <is>
          <t>1</t>
        </is>
      </c>
      <c r="J2665">
        <f>((Inputs!$B$6*(1+Inputs!$B$7/100))+(((Inputs!$B$12*(1+Inputs!$B$13/100))-(Inputs!$B$12*(1+Inputs!$B$13/100)))+0.25*(Inputs!$B$14-Inputs!$B$14))*(1+Inputs!$B$7/100))*(F2665/100)</f>
        <v/>
      </c>
      <c r="K2665">
        <f>J2665*(1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2667=TRUE,F2667,0)/100)*(1+(IF(Skills!A9="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2665)</f>
        <v/>
      </c>
      <c r="L2665">
        <f>K2665*(MIN(Inputs!$B$22+((C2681=TRUE)*(F2681-Calc!F25)),(Inputs!$B$23+((C2686=TRUE)*(F2686-Calc!F30))+(IF(ArtifactsInput!$M$15,CHOOSE(ArtifactsInput!$N$15+1,25,30,35,40,45,50)/100*(Inputs!$B$11-Inputs!$B$11),0))))/100+(Inputs!$B$23+((C2686=TRUE)*(F2686-Calc!F30))+(IF(ArtifactsInput!$M$15,CHOOSE(ArtifactsInput!$N$15+1,25,30,35,40,45,50)/100*(Inputs!$B$11-Inputs!$B$11),0)))/100)/2</f>
        <v/>
      </c>
      <c r="M2665">
        <f>L2665*(1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5">
        <f>L2665*(1-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2665*(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5">
        <f>(1-Summary!$B$11)*T2665+Summary!$B$11*V2665</f>
        <v/>
      </c>
      <c r="P2665">
        <f>IF(B2700=0,0,O2665/B2700)</f>
        <v/>
      </c>
      <c r="Q2665">
        <f>IFERROR(1/(IF(Inputs!$B$38="pvp",15,MAX(0.1,Skills!D9-IF(Skills!E9=TRUE,Inputs!$B$32,0)))*(1-IF(AND(ArtifactsInput!$M$27,Inputs!$B$4="Chapter Hunt"),CHOOSE(ArtifactsInput!$N$27+1,20,24,28,32,36,40),0)/100)),0)</f>
        <v/>
      </c>
      <c r="R2665">
        <f>IF(AND(Inputs!$B$38&lt;&gt;"pvp",Inputs!$B$43&gt;0),IF(MAX(0,Inputs!$B$43-B2697)&lt;=0,0,(INT(MAX(0,Inputs!$B$43-B2697)/(IF(Inputs!$B$38="pvp",15,MAX(0.1,Skills!D9-IF(Skills!E9=TRUE,Inputs!$B$32,0)))*(1-IF(AND(ArtifactsInput!$M$27,Inputs!$B$4="Chapter Hunt"),CHOOSE(ArtifactsInput!$N$27+1,20,24,28,32,36,40),0)/100)))+1)),0)</f>
        <v/>
      </c>
      <c r="S2665">
        <f>IFERROR(O2665/N2665,0)</f>
        <v/>
      </c>
      <c r="T2665">
        <f>IF(C2665,(H2665*N2665*IF(AND(Inputs!$B$38&lt;&gt;"pvp",Inputs!$B$43&gt;0),((Skills!G9*((R2665-1)*IF(Skills!H9&gt;0,Skills!I9/Skills!H9,1)+IF(Skills!H9&gt;0,MIN(Skills!I9,MAX(0,MAX(0,Inputs!$B$43-B2697)-((R2665-1)*(IF(Inputs!$B$38="pvp",15,MAX(0.1,Skills!D9-IF(Skills!E9=TRUE,Inputs!$B$32,0)))*(1-IF(AND(ArtifactsInput!$M$27,Inputs!$B$4="Chapter Hunt"),CHOOSE(ArtifactsInput!$N$27+1,20,24,28,32,36,40),0)/100)))))/Skills!H9,1)))/Inputs!$B$43),G2665*Q2665))*IF(Inputs!$B$38="pvp",1,1+(Inputs!$B$20+0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2665*(1-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2665*(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2665*(1-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2665*(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5">
        <f>IF(C2665,(H2665*N2665*IF(AND(Inputs!$B$38&lt;&gt;"pvp",Inputs!$B$43&gt;0),((Skills!G9*((R2665-1)*IF(Skills!H9&gt;0,Skills!I9/Skills!H9,1)+IF(Skills!H9&gt;0,MIN(Skills!I9,MAX(0,MAX(0,Inputs!$B$43-B2697)-((R2665-1)*(IF(Inputs!$B$38="pvp",15,MAX(0.1,Skills!D9-IF(Skills!E9=TRUE,Inputs!$B$32,0)))*(1-IF(AND(ArtifactsInput!$M$27,Inputs!$B$4="Chapter Hunt"),CHOOSE(ArtifactsInput!$N$27+1,20,24,28,32,36,40),0)/100)))))/Skills!H9,1)))/Inputs!$B$43),G2665*Q2665))*IF(Inputs!$B$38="pvp",1,(1+(Inputs!$B$21+Skills!Q9+(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6">
      <c r="A2666">
        <f>Skills!A10</f>
        <v/>
      </c>
      <c r="B2666">
        <f>Skills!B10</f>
        <v/>
      </c>
      <c r="C2666">
        <f>Inputs!$B$3&gt;=103</f>
        <v/>
      </c>
      <c r="D2666">
        <f>IF(Skills!C10=1,60+Inputs!$B$25+Inputs!$B$29,IF(Skills!C10=2,90+Inputs!$B$26+Inputs!$B$29,IF(Skills!C10=3,120+Inputs!$B$27+Inputs!$B$29,MAX(0,(Inputs!$B$3-100)*3)+Inputs!$B$28+Inputs!$B$29)))</f>
        <v/>
      </c>
      <c r="E2666">
        <f>INDEX(FactorTable!$B$2:$Y$301, MATCH(ROUND(MIN(300,MAX(1,D2666)),0), FactorTable!$A$2:$A$301,0), Skills!M10+1)</f>
        <v/>
      </c>
      <c r="F2666">
        <f>IF(Skills!N10=TRUE,(Skills!L10/10)*(E2666/1000),Skills!L10/10)+Skills!O10</f>
        <v/>
      </c>
      <c r="G2666">
        <f>Skills!G10*IF(Skills!H10&gt;0,Skills!I10/Skills!H10,1)</f>
        <v/>
      </c>
      <c r="H2666">
        <f>1-(1-Skills!J10/100)^Skills!K10</f>
        <v/>
      </c>
      <c r="I2666" t="inlineStr">
        <is>
          <t>1</t>
        </is>
      </c>
      <c r="J2666">
        <f>((Inputs!$B$6*(1+Inputs!$B$7/100))+(((Inputs!$B$12*(1+Inputs!$B$13/100))-(Inputs!$B$12*(1+Inputs!$B$13/100)))+0.25*(Inputs!$B$14-Inputs!$B$14))*(1+Inputs!$B$7/100))*(F2666/100)</f>
        <v/>
      </c>
      <c r="K2666">
        <f>J2666*(1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2666)</f>
        <v/>
      </c>
      <c r="L2666">
        <f>K2666*(MIN(Inputs!$B$22+((C2681=TRUE)*(F2681-Calc!F25)),(Inputs!$B$23+((C2686=TRUE)*(F2686-Calc!F30))+(IF(ArtifactsInput!$M$15,CHOOSE(ArtifactsInput!$N$15+1,25,30,35,40,45,50)/100*(Inputs!$B$11-Inputs!$B$11),0))))/100+(Inputs!$B$23+((C2686=TRUE)*(F2686-Calc!F30))+(IF(ArtifactsInput!$M$15,CHOOSE(ArtifactsInput!$N$15+1,25,30,35,40,45,50)/100*(Inputs!$B$11-Inputs!$B$11),0)))/100)/2</f>
        <v/>
      </c>
      <c r="M2666">
        <f>L2666*(1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6">
        <f>L2666*(1-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2666*(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6">
        <f>(1-Summary!$B$11)*T2666+Summary!$B$11*V2666</f>
        <v/>
      </c>
      <c r="P2666">
        <f>IF(B2700=0,0,O2666/B2700)</f>
        <v/>
      </c>
      <c r="Q2666">
        <f>IFERROR(1/(IF(Inputs!$B$38="pvp",15,MAX(0.1,Skills!D10-IF(Skills!E10=TRUE,Inputs!$B$32,0)))*(1-IF(AND(ArtifactsInput!$M$27,Inputs!$B$4="Chapter Hunt"),CHOOSE(ArtifactsInput!$N$27+1,20,24,28,32,36,40),0)/100)),0)</f>
        <v/>
      </c>
      <c r="R2666">
        <f>IF(AND(Inputs!$B$38&lt;&gt;"pvp",Inputs!$B$43&gt;0),IF(MAX(0,Inputs!$B$43-B2697)&lt;=0,0,(INT(MAX(0,Inputs!$B$43-B2697)/(IF(Inputs!$B$38="pvp",15,MAX(0.1,Skills!D10-IF(Skills!E10=TRUE,Inputs!$B$32,0)))*(1-IF(AND(ArtifactsInput!$M$27,Inputs!$B$4="Chapter Hunt"),CHOOSE(ArtifactsInput!$N$27+1,20,24,28,32,36,40),0)/100)))+1)),0)</f>
        <v/>
      </c>
      <c r="S2666">
        <f>IFERROR(O2666/N2666,0)</f>
        <v/>
      </c>
      <c r="T2666">
        <f>IF(C2666,(H2666*N2666*IF(AND(Inputs!$B$38&lt;&gt;"pvp",Inputs!$B$43&gt;0),((Skills!G10*((R2666-1)*IF(Skills!H10&gt;0,Skills!I10/Skills!H10,1)+IF(Skills!H10&gt;0,MIN(Skills!I10,MAX(0,MAX(0,Inputs!$B$43-B2697)-((R2666-1)*(IF(Inputs!$B$38="pvp",15,MAX(0.1,Skills!D10-IF(Skills!E10=TRUE,Inputs!$B$32,0)))*(1-IF(AND(ArtifactsInput!$M$27,Inputs!$B$4="Chapter Hunt"),CHOOSE(ArtifactsInput!$N$27+1,20,24,28,32,36,40),0)/100)))))/Skills!H10,1)))/Inputs!$B$43),G2666*Q2666))*IF(Inputs!$B$38="pvp",1,1+(Inputs!$B$20+0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2666*(1-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2666*(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2666*(1-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2666*(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6">
        <f>IF(C2666,(H2666*N2666*IF(AND(Inputs!$B$38&lt;&gt;"pvp",Inputs!$B$43&gt;0),((Skills!G10*((R2666-1)*IF(Skills!H10&gt;0,Skills!I10/Skills!H10,1)+IF(Skills!H10&gt;0,MIN(Skills!I10,MAX(0,MAX(0,Inputs!$B$43-B2697)-((R2666-1)*(IF(Inputs!$B$38="pvp",15,MAX(0.1,Skills!D10-IF(Skills!E10=TRUE,Inputs!$B$32,0)))*(1-IF(AND(ArtifactsInput!$M$27,Inputs!$B$4="Chapter Hunt"),CHOOSE(ArtifactsInput!$N$27+1,20,24,28,32,36,40),0)/100)))))/Skills!H10,1)))/Inputs!$B$43),G2666*Q2666))*IF(Inputs!$B$38="pvp",1,(1+(Inputs!$B$21+Skills!Q10+(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7">
      <c r="A2667">
        <f>Skills!A11</f>
        <v/>
      </c>
      <c r="B2667">
        <f>Skills!B11</f>
        <v/>
      </c>
      <c r="C2667">
        <f>Inputs!$B$3&gt;=100</f>
        <v/>
      </c>
      <c r="D2667">
        <f>IF(Skills!C11=1,60+Inputs!$B$25+Inputs!$B$29,IF(Skills!C11=2,90+Inputs!$B$26+Inputs!$B$29,IF(Skills!C11=3,120+Inputs!$B$27+Inputs!$B$29,MAX(0,(Inputs!$B$3-100)*3)+Inputs!$B$28+Inputs!$B$29)))</f>
        <v/>
      </c>
      <c r="E2667">
        <f>INDEX(FactorTable!$B$2:$Y$301, MATCH(ROUND(MIN(300,MAX(1,D2667)),0), FactorTable!$A$2:$A$301,0), Skills!M11+1)</f>
        <v/>
      </c>
      <c r="F2667">
        <f>IF(Skills!N11=TRUE,(Skills!L11/10)*(E2667/1000),Skills!L11/10)+Skills!O11</f>
        <v/>
      </c>
      <c r="G2667" t="inlineStr"/>
      <c r="H2667" t="inlineStr"/>
      <c r="I2667" t="inlineStr">
        <is>
          <t>1</t>
        </is>
      </c>
      <c r="J2667" t="inlineStr"/>
      <c r="K2667" t="inlineStr"/>
      <c r="L2667" t="inlineStr"/>
      <c r="M2667" t="inlineStr"/>
      <c r="N2667" t="inlineStr"/>
      <c r="O2667" t="inlineStr"/>
      <c r="P2667" t="inlineStr"/>
      <c r="Q2667" t="inlineStr"/>
      <c r="R2667" t="inlineStr"/>
      <c r="S2667" t="inlineStr"/>
      <c r="T2667" t="inlineStr"/>
      <c r="V2667" t="inlineStr"/>
    </row>
    <row r="2668">
      <c r="A2668">
        <f>Skills!A12</f>
        <v/>
      </c>
      <c r="B2668">
        <f>Skills!B12</f>
        <v/>
      </c>
      <c r="C2668">
        <f>Inputs!$B$3&gt;=60</f>
        <v/>
      </c>
      <c r="D2668">
        <f>IF(Skills!C12=1,60+Inputs!$B$25+Inputs!$B$29,IF(Skills!C12=2,90+Inputs!$B$26+Inputs!$B$29,IF(Skills!C12=3,120+Inputs!$B$27+Inputs!$B$29,MAX(0,(Inputs!$B$3-100)*3)+Inputs!$B$28+Inputs!$B$29)))</f>
        <v/>
      </c>
      <c r="E2668">
        <f>INDEX(FactorTable!$B$2:$Y$301, MATCH(ROUND(MIN(300,MAX(1,D2668)),0), FactorTable!$A$2:$A$301,0), Skills!M12+1)</f>
        <v/>
      </c>
      <c r="F2668">
        <f>IF(Skills!N12=TRUE,(Skills!L12/10)*(E2668/1000),Skills!L12/10)+Skills!O12</f>
        <v/>
      </c>
      <c r="G2668">
        <f>Skills!G12*IF(Skills!H12&gt;0,Skills!I12/Skills!H12,1)</f>
        <v/>
      </c>
      <c r="H2668">
        <f>1-(1-Skills!J12/100)^Skills!K12</f>
        <v/>
      </c>
      <c r="I2668" t="inlineStr">
        <is>
          <t>1</t>
        </is>
      </c>
      <c r="J2668">
        <f>((Inputs!$B$6*(1+Inputs!$B$7/100))+(((Inputs!$B$12*(1+Inputs!$B$13/100))-(Inputs!$B$12*(1+Inputs!$B$13/100)))+0.25*(Inputs!$B$14-Inputs!$B$14))*(1+Inputs!$B$7/100))*(F2668/100)</f>
        <v/>
      </c>
      <c r="K2668">
        <f>J2668*(1+((Inputs!$B$12*(1+Inputs!$B$13/100))*0.01+Inputs!$B$14*0.0025)/100)*(1+Inputs!$B$15/100)*(1+Inputs!$B$16/100)*(5000/(6000+Inputs!$B$42*(1-(100*(1-(1-(Inputs!$B$19+((C2684=TRUE)*(F2684-Calc!F28)))/100)*(1-CHOOSE(ArtifactsInput!$N$40+1,5,6,7,8,9,10)/100)^(ArtifactsInput!$M$40-ArtifactsInput!$M$40)))/100)))*(1+(Inputs!$B$24+((C2682=TRUE)*(F2682-Calc!F26))+((C2683=TRUE)*(F2683-Calc!F27))+B2696)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2669=TRUE,F2669,0)/100)*(1+(IF(Skills!A12="ARROW_STREAM",Inputs!$B$17+((C2680=TRUE)*(F2680-Calc!F24))+(((IF(AND(ArtifactsInput!$M$42,((Inputs!$B$9+((C2677=TRUE)*(F2677-Calc!F21))+B2690+(ArtifactsInput!$M$24-ArtifactsInput!$M$24)*CHOOSE(ArtifactsInput!$N$24+1,10,12,14,16,18,20)+IF(ArtifactsInput!$M$10,CHOOSE(ArtifactsInput!$N$10+1,15,18,21,24,27,30)*(IF(Inputs!$B$38="pvp",MIN(15,15)/15,IF(AND(Inputs!$B$38&lt;&gt;"pvp",Inputs!$B$43&gt;0),MIN(15,Inputs!$B$43)/(Inputs!$B$43),0))),0)))&gt;=100),MIN(100,((Inputs!$B$9+((C2677=TRUE)*(F2677-Calc!F21))+B2690+(ArtifactsInput!$M$24-ArtifactsInput!$M$24)*CHOOSE(ArtifactsInput!$N$24+1,10,12,14,16,18,20)+IF(ArtifactsInput!$M$10,CHOOSE(ArtifactsInput!$N$10+1,15,18,21,24,27,30)*(IF(Inputs!$B$38="pvp",MIN(15,15)/15,IF(AND(Inputs!$B$38&lt;&gt;"pvp",Inputs!$B$43&gt;0),MIN(15,Inputs!$B$43)/(Inputs!$B$43),0))),0)))-100),0))*CHOOSE(ArtifactsInput!$N$42+1,0.6,0.72,0.84,0.96,1.08,1.2))),Inputs!$B$18+((C2685=TRUE)*(F2685-Calc!F29))+(IF(AND(ArtifactsInput!$M$42,((Inputs!$B$9+((C2677=TRUE)*(F2677-Calc!F21))+B2690+(ArtifactsInput!$M$24-ArtifactsInput!$M$24)*CHOOSE(ArtifactsInput!$N$24+1,10,12,14,16,18,20)+IF(ArtifactsInput!$M$10,CHOOSE(ArtifactsInput!$N$10+1,15,18,21,24,27,30)*(IF(Inputs!$B$38="pvp",MIN(15,15)/15,IF(AND(Inputs!$B$38&lt;&gt;"pvp",Inputs!$B$43&gt;0),MIN(15,Inputs!$B$43)/(Inputs!$B$43),0))),0)))&gt;=100),CHOOSE(ArtifactsInput!$N$42+1,40,48,56,64,72,80),0))))/100)*((1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2668)</f>
        <v/>
      </c>
      <c r="L2668">
        <f>K2668*(MIN(Inputs!$B$22+((C2681=TRUE)*(F2681-Calc!F25)),(Inputs!$B$23+((C2686=TRUE)*(F2686-Calc!F30))+(IF(ArtifactsInput!$M$15,CHOOSE(ArtifactsInput!$N$15+1,25,30,35,40,45,50)/100*(Inputs!$B$11-Inputs!$B$11),0))))/100+(Inputs!$B$23+((C2686=TRUE)*(F2686-Calc!F30))+(IF(ArtifactsInput!$M$15,CHOOSE(ArtifactsInput!$N$15+1,25,30,35,40,45,50)/100*(Inputs!$B$11-Inputs!$B$11),0)))/100)/2</f>
        <v/>
      </c>
      <c r="M2668">
        <f>L2668*(1+(Inputs!$B$10+0+B2695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8">
        <f>L2668*(1-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2668*(MIN((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8">
        <f>(1-Summary!$B$11)*T2668+Summary!$B$11*V2668</f>
        <v/>
      </c>
      <c r="P2668">
        <f>IF(B2700=0,0,O2668/B2700)</f>
        <v/>
      </c>
      <c r="Q2668">
        <f>IFERROR(1/(IF(Inputs!$B$38="pvp",15,MAX(0.1,Skills!D12-IF(Skills!E12=TRUE,Inputs!$B$32,0)))*(1-IF(AND(ArtifactsInput!$M$27,Inputs!$B$4="Chapter Hunt"),CHOOSE(ArtifactsInput!$N$27+1,20,24,28,32,36,40),0)/100)),0)</f>
        <v/>
      </c>
      <c r="R2668">
        <f>IF(AND(Inputs!$B$38&lt;&gt;"pvp",Inputs!$B$43&gt;0),IF(MAX(0,Inputs!$B$43-B2697)&lt;=0,0,(INT(MAX(0,Inputs!$B$43-B2697)/(IF(Inputs!$B$38="pvp",15,MAX(0.1,Skills!D12-IF(Skills!E12=TRUE,Inputs!$B$32,0)))*(1-IF(AND(ArtifactsInput!$M$27,Inputs!$B$4="Chapter Hunt"),CHOOSE(ArtifactsInput!$N$27+1,20,24,28,32,36,40),0)/100)))+1)),0)</f>
        <v/>
      </c>
      <c r="S2668">
        <f>IFERROR(O2668/N2668,0)</f>
        <v/>
      </c>
      <c r="T2668">
        <f>IF(C2668,(H2668*N2668*IF(AND(Inputs!$B$38&lt;&gt;"pvp",Inputs!$B$43&gt;0),((Skills!G12*((R2668-1)*IF(Skills!H12&gt;0,Skills!I12/Skills!H12,1)+IF(Skills!H12&gt;0,MIN(Skills!I12,MAX(0,MAX(0,Inputs!$B$43-B2697)-((R2668-1)*(IF(Inputs!$B$38="pvp",15,MAX(0.1,Skills!D12-IF(Skills!E12=TRUE,Inputs!$B$32,0)))*(1-IF(AND(ArtifactsInput!$M$27,Inputs!$B$4="Chapter Hunt"),CHOOSE(ArtifactsInput!$N$27+1,20,24,28,32,36,40),0)/100)))))/Skills!H12,1)))/Inputs!$B$43),G2668*Q2668))*IF(Inputs!$B$38="pvp",1,1+(Inputs!$B$20+0+Skills!P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(5000/(6000+Inputs!$B$42*(1-(100*(1-(1-(100*(1-(1-(Inputs!$B$19+((C2684=TRUE)*(F2684-Calc!F28)))/100)*(1-CHOOSE(ArtifactsInput!$N$40+1,5,6,7,8,9,10)/100)^(ArtifactsInput!$M$40-ArtifactsInput!$M$40)))/100)*(1-IF(ArtifactsInput!$M$40,CHOOSE(ArtifactsInput!$N$40+1,5,6,7,8,9,10),0)/100)^IF(Inputs!$B$38="pvp",1,2)))/100)))/(5000/(6000+Inputs!$B$42*(1-(100*(1-(1-(Inputs!$B$19+((C2684=TRUE)*(F2684-Calc!F28)))/100)*(1-CHOOSE(ArtifactsInput!$N$40+1,5,6,7,8,9,10)/100)^(ArtifactsInput!$M$40-ArtifactsInput!$M$40)))/100))))*((L2668*(1-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2668*(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2668*(1-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2668*(MIN(100,(Inputs!$B$9+((C2677=TRUE)*(F2677-Calc!F21))+B2690+(ArtifactsInput!$M$24-ArtifactsInput!$M$24)*CHOOSE(ArtifactsInput!$N$24+1,10,12,14,16,18,20)+(IF(AND(ArtifactsInput!$M$42,((Inputs!$B$9+((C2677=TRUE)*(F2677-Calc!F21))+B2690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8">
        <f>IF(C2668,(H2668*N2668*IF(AND(Inputs!$B$38&lt;&gt;"pvp",Inputs!$B$43&gt;0),((Skills!G12*((R2668-1)*IF(Skills!H12&gt;0,Skills!I12/Skills!H12,1)+IF(Skills!H12&gt;0,MIN(Skills!I12,MAX(0,MAX(0,Inputs!$B$43-B2697)-((R2668-1)*(IF(Inputs!$B$38="pvp",15,MAX(0.1,Skills!D12-IF(Skills!E12=TRUE,Inputs!$B$32,0)))*(1-IF(AND(ArtifactsInput!$M$27,Inputs!$B$4="Chapter Hunt"),CHOOSE(ArtifactsInput!$N$27+1,20,24,28,32,36,40),0)/100)))))/Skills!H12,1)))/Inputs!$B$43),G2668*Q2668))*IF(Inputs!$B$38="pvp",1,(1+(Inputs!$B$21+Skills!Q12+(IF(ArtifactsInput!$M$33,CHOOSE(ArtifactsInput!$N$33+1,30,36,42,48,54,60),0))+(IF(AND(ArtifactsInput!$M$35,Inputs!$B$4&lt;&gt;"Chapter Hunt"),CHOOSE(ArtifactsInput!$N$35+1,15,18,21,24,27,30)*(1-EXP(-(0.2*B2692)*5)),0)+IF(AND(ArtifactsInput!$M$22,Inputs!$B$4&lt;&gt;"Chapter Hunt"),CHOOSE(ArtifactsInput!$N$22+1,10,12,14,16,18,20)*((0*(((0.15*B2692*5))^0/1)+1*(((0.15*B2692*5))^1/1)+2*(((0.15*B2692*5))^2/2)+3*(((0.15*B2692*5))^3/6)+4*(((0.15*B2692*5))^4/24)+5*(((0.15*B2692*5))^5/120))/((((0.15*B2692*5))^0/1)+(((0.15*B2692*5))^1/1)+(((0.15*B2692*5))^2/2)+(((0.15*B2692*5))^3/6)+(((0.15*B2692*5))^4/24)+(((0.15*B2692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9">
      <c r="A2669">
        <f>Skills!A13</f>
        <v/>
      </c>
      <c r="B2669">
        <f>Skills!B13</f>
        <v/>
      </c>
      <c r="C2669">
        <f>Inputs!$B$3&gt;=110</f>
        <v/>
      </c>
      <c r="D2669">
        <f>IF(Skills!C13=1,60+Inputs!$B$25+Inputs!$B$29,IF(Skills!C13=2,90+Inputs!$B$26+Inputs!$B$29,IF(Skills!C13=3,120+Inputs!$B$27+Inputs!$B$29,MAX(0,(Inputs!$B$3-100)*3)+Inputs!$B$28+Inputs!$B$29)))</f>
        <v/>
      </c>
      <c r="E2669">
        <f>INDEX(FactorTable!$B$2:$Y$301, MATCH(ROUND(MIN(300,MAX(1,D2669)),0), FactorTable!$A$2:$A$301,0), Skills!M13+1)</f>
        <v/>
      </c>
      <c r="F2669">
        <f>IF(Skills!N13=TRUE,(Skills!L13/10)*(E2669/1000),Skills!L13/10)+Skills!O13</f>
        <v/>
      </c>
      <c r="G2669" t="inlineStr"/>
      <c r="H2669" t="inlineStr"/>
      <c r="I2669" t="inlineStr">
        <is>
          <t>1</t>
        </is>
      </c>
      <c r="J2669" t="inlineStr"/>
      <c r="K2669" t="inlineStr"/>
      <c r="L2669" t="inlineStr"/>
      <c r="M2669" t="inlineStr"/>
      <c r="N2669" t="inlineStr"/>
      <c r="O2669" t="inlineStr"/>
      <c r="P2669" t="inlineStr"/>
      <c r="Q2669" t="inlineStr"/>
      <c r="R2669" t="inlineStr"/>
      <c r="S2669" t="inlineStr"/>
      <c r="T2669" t="inlineStr"/>
      <c r="V2669" t="inlineStr"/>
    </row>
    <row r="2670">
      <c r="A2670">
        <f>Skills!A14</f>
        <v/>
      </c>
      <c r="B2670">
        <f>Skills!B14</f>
        <v/>
      </c>
      <c r="C2670">
        <f>Inputs!$B$3&gt;=74</f>
        <v/>
      </c>
      <c r="D2670">
        <f>IF(Skills!C14=1,60+Inputs!$B$25+Inputs!$B$29,IF(Skills!C14=2,90+Inputs!$B$26+Inputs!$B$29,IF(Skills!C14=3,120+Inputs!$B$27+Inputs!$B$29,MAX(0,(Inputs!$B$3-100)*3)+Inputs!$B$28+Inputs!$B$29)))</f>
        <v/>
      </c>
      <c r="E2670">
        <f>INDEX(FactorTable!$B$2:$Y$301, MATCH(ROUND(MIN(300,MAX(1,D2670)),0), FactorTable!$A$2:$A$301,0), Skills!M14+1)</f>
        <v/>
      </c>
      <c r="F2670">
        <f>IF(Skills!N14=TRUE,(Skills!L14/10)*(E2670/1000),Skills!L14/10)+Skills!O14</f>
        <v/>
      </c>
      <c r="G2670">
        <f>Skills!G14*IF(Skills!H14&gt;0,Skills!I14/Skills!H14,1)</f>
        <v/>
      </c>
      <c r="H2670">
        <f>1-(1-Skills!J14/100)^Skills!K14</f>
        <v/>
      </c>
      <c r="I2670" t="inlineStr">
        <is>
          <t>1</t>
        </is>
      </c>
      <c r="J2670" t="inlineStr"/>
      <c r="K2670" t="inlineStr"/>
      <c r="L2670" t="inlineStr"/>
      <c r="M2670" t="inlineStr"/>
      <c r="N2670" t="inlineStr"/>
      <c r="O2670">
        <f>(1-Summary!$B$11)*T2670+Summary!$B$11*V2670</f>
        <v/>
      </c>
      <c r="P2670">
        <f>IF(B2700=0,0,O2670/B2700)</f>
        <v/>
      </c>
      <c r="Q2670" t="n">
        <v>0</v>
      </c>
      <c r="R2670" t="n">
        <v>0</v>
      </c>
      <c r="S2670">
        <f>IFERROR(O2670/N2670,0)</f>
        <v/>
      </c>
      <c r="T2670" t="n">
        <v>0</v>
      </c>
      <c r="V2670" t="n">
        <v>0</v>
      </c>
    </row>
    <row r="2671">
      <c r="A2671">
        <f>Skills!A15</f>
        <v/>
      </c>
      <c r="B2671">
        <f>Skills!B15</f>
        <v/>
      </c>
      <c r="C2671">
        <f>Inputs!$B$3&gt;=74</f>
        <v/>
      </c>
      <c r="D2671">
        <f>IF(Skills!C15=1,60+Inputs!$B$25+Inputs!$B$29,IF(Skills!C15=2,90+Inputs!$B$26+Inputs!$B$29,IF(Skills!C15=3,120+Inputs!$B$27+Inputs!$B$29,MAX(0,(Inputs!$B$3-100)*3)+Inputs!$B$28+Inputs!$B$29)))</f>
        <v/>
      </c>
      <c r="E2671">
        <f>INDEX(FactorTable!$B$2:$Y$301, MATCH(ROUND(MIN(300,MAX(1,D2671)),0), FactorTable!$A$2:$A$301,0), Skills!M15+1)</f>
        <v/>
      </c>
      <c r="F2671">
        <f>IF(Skills!N15=TRUE,(Skills!L15/10)*(E2671/1000),Skills!L15/10)+Skills!O15</f>
        <v/>
      </c>
      <c r="G2671">
        <f>Skills!G15*IF(Skills!H15&gt;0,Skills!I15/Skills!H15,1)</f>
        <v/>
      </c>
      <c r="H2671">
        <f>1-(1-Skills!J15/100)^Skills!K15</f>
        <v/>
      </c>
      <c r="I2671" t="inlineStr">
        <is>
          <t>1</t>
        </is>
      </c>
      <c r="J2671" t="inlineStr"/>
      <c r="K2671" t="inlineStr"/>
      <c r="L2671" t="inlineStr"/>
      <c r="M2671" t="inlineStr"/>
      <c r="N2671" t="inlineStr"/>
      <c r="O2671">
        <f>(1-Summary!$B$11)*T2671+Summary!$B$11*V2671</f>
        <v/>
      </c>
      <c r="P2671">
        <f>IF(B2700=0,0,O2671/B2700)</f>
        <v/>
      </c>
      <c r="Q2671" t="n">
        <v>0</v>
      </c>
      <c r="R2671" t="n">
        <v>0</v>
      </c>
      <c r="S2671">
        <f>IFERROR(O2671/N2671,0)</f>
        <v/>
      </c>
      <c r="T2671" t="n">
        <v>0</v>
      </c>
      <c r="V2671" t="n">
        <v>0</v>
      </c>
    </row>
    <row r="2672">
      <c r="A2672">
        <f>Skills!A16</f>
        <v/>
      </c>
      <c r="B2672">
        <f>Skills!B16</f>
        <v/>
      </c>
      <c r="C2672">
        <f>Inputs!$B$3&gt;=117</f>
        <v/>
      </c>
      <c r="D2672">
        <f>IF(Skills!C16=1,60+Inputs!$B$25+Inputs!$B$29,IF(Skills!C16=2,90+Inputs!$B$26+Inputs!$B$29,IF(Skills!C16=3,120+Inputs!$B$27+Inputs!$B$29,MAX(0,(Inputs!$B$3-100)*3)+Inputs!$B$28+Inputs!$B$29)))</f>
        <v/>
      </c>
      <c r="E2672">
        <f>INDEX(FactorTable!$B$2:$Y$301, MATCH(ROUND(MIN(300,MAX(1,D2672)),0), FactorTable!$A$2:$A$301,0), Skills!M16+1)</f>
        <v/>
      </c>
      <c r="F2672">
        <f>IF(Skills!N16=TRUE,(Skills!L16/10)*(E2672/1000),Skills!L16/10)+Skills!O16</f>
        <v/>
      </c>
      <c r="G2672">
        <f>Skills!G16*IF(Skills!H16&gt;0,Skills!I16/Skills!H16,1)</f>
        <v/>
      </c>
      <c r="H2672">
        <f>1-(1-Skills!J16/100)^Skills!K16</f>
        <v/>
      </c>
      <c r="I2672" t="inlineStr">
        <is>
          <t>1</t>
        </is>
      </c>
      <c r="J2672" t="inlineStr"/>
      <c r="K2672" t="inlineStr"/>
      <c r="L2672" t="inlineStr"/>
      <c r="M2672" t="inlineStr"/>
      <c r="N2672" t="inlineStr"/>
      <c r="O2672">
        <f>(1-Summary!$B$11)*T2672+Summary!$B$11*V2672</f>
        <v/>
      </c>
      <c r="P2672">
        <f>IF(B2700=0,0,O2672/B2700)</f>
        <v/>
      </c>
      <c r="Q2672">
        <f>IFERROR(1/(IF(Inputs!$B$38="pvp",15,MAX(0.1,Skills!D16-IF(Skills!E16=TRUE,Inputs!$B$32,0)))*(1-IF(AND(ArtifactsInput!$M$27,Inputs!$B$4="Chapter Hunt"),CHOOSE(ArtifactsInput!$N$27+1,20,24,28,32,36,40),0)/100)),0)</f>
        <v/>
      </c>
      <c r="R2672">
        <f>IF(AND(Inputs!$B$38&lt;&gt;"pvp",Inputs!$B$43&gt;0),IF(Inputs!$B$43&lt;=0,0,(INT(Inputs!$B$43/(IF(Inputs!$B$38="pvp",15,MAX(0.1,Skills!D16-IF(Skills!E16=TRUE,Inputs!$B$32,0)))*(1-IF(AND(ArtifactsInput!$M$27,Inputs!$B$4="Chapter Hunt"),CHOOSE(ArtifactsInput!$N$27+1,20,24,28,32,36,40),0)/100)))+1)),0)</f>
        <v/>
      </c>
      <c r="S2672">
        <f>IFERROR(O2672/N2672,0)</f>
        <v/>
      </c>
      <c r="T2672" t="n">
        <v>0</v>
      </c>
      <c r="V2672" t="n">
        <v>0</v>
      </c>
    </row>
    <row r="2673">
      <c r="A2673">
        <f>Skills!A17</f>
        <v/>
      </c>
      <c r="B2673">
        <f>Skills!B17</f>
        <v/>
      </c>
      <c r="C2673">
        <f>Inputs!$B$3&gt;=115</f>
        <v/>
      </c>
      <c r="D2673">
        <f>IF(Skills!C17=1,60+Inputs!$B$25+Inputs!$B$29,IF(Skills!C17=2,90+Inputs!$B$26+Inputs!$B$29,IF(Skills!C17=3,120+Inputs!$B$27+Inputs!$B$29,MAX(0,(Inputs!$B$3-100)*3)+Inputs!$B$28+Inputs!$B$29)))</f>
        <v/>
      </c>
      <c r="E2673">
        <f>INDEX(FactorTable!$B$2:$Y$301, MATCH(ROUND(MIN(300,MAX(1,D2673)),0), FactorTable!$A$2:$A$301,0), Skills!M17+1)</f>
        <v/>
      </c>
      <c r="F2673">
        <f>IF(Skills!N17=TRUE,(Skills!L17/10)*(E2673/1000),Skills!L17/10)+Skills!O17</f>
        <v/>
      </c>
      <c r="G2673">
        <f>Skills!G17*IF(Skills!H17&gt;0,Skills!I17/Skills!H17,1)</f>
        <v/>
      </c>
      <c r="H2673">
        <f>1-(1-Skills!J17/100)^Skills!K17</f>
        <v/>
      </c>
      <c r="I2673" t="inlineStr">
        <is>
          <t>1</t>
        </is>
      </c>
      <c r="J2673" t="inlineStr"/>
      <c r="K2673" t="inlineStr"/>
      <c r="L2673" t="inlineStr"/>
      <c r="M2673" t="inlineStr"/>
      <c r="N2673" t="inlineStr"/>
      <c r="O2673">
        <f>(1-Summary!$B$11)*T2673+Summary!$B$11*V2673</f>
        <v/>
      </c>
      <c r="P2673">
        <f>IF(B2700=0,0,O2673/B2700)</f>
        <v/>
      </c>
      <c r="Q2673">
        <f>IFERROR(1/(IF(Inputs!$B$38="pvp",15,MAX(0.1,Skills!D17-IF(Skills!E17=TRUE,Inputs!$B$32,0)))*(1-IF(AND(ArtifactsInput!$M$27,Inputs!$B$4="Chapter Hunt"),CHOOSE(ArtifactsInput!$N$27+1,20,24,28,32,36,40),0)/100)),0)</f>
        <v/>
      </c>
      <c r="R2673">
        <f>IF(AND(Inputs!$B$38&lt;&gt;"pvp",Inputs!$B$43&gt;0),IF(Inputs!$B$43&lt;=0,0,(INT(Inputs!$B$43/(IF(Inputs!$B$38="pvp",15,MAX(0.1,Skills!D17-IF(Skills!E17=TRUE,Inputs!$B$32,0)))*(1-IF(AND(ArtifactsInput!$M$27,Inputs!$B$4="Chapter Hunt"),CHOOSE(ArtifactsInput!$N$27+1,20,24,28,32,36,40),0)/100)))+1)),0)</f>
        <v/>
      </c>
      <c r="S2673">
        <f>IFERROR(O2673/N2673,0)</f>
        <v/>
      </c>
      <c r="T2673" t="n">
        <v>0</v>
      </c>
      <c r="V2673" t="n">
        <v>0</v>
      </c>
    </row>
    <row r="2674">
      <c r="A2674">
        <f>Skills!A18</f>
        <v/>
      </c>
      <c r="B2674">
        <f>Skills!B18</f>
        <v/>
      </c>
      <c r="C2674">
        <f>Inputs!$B$3&gt;=66</f>
        <v/>
      </c>
      <c r="D2674">
        <f>IF(Skills!C18=1,60+Inputs!$B$25+Inputs!$B$29,IF(Skills!C18=2,90+Inputs!$B$26+Inputs!$B$29,IF(Skills!C18=3,120+Inputs!$B$27+Inputs!$B$29,MAX(0,(Inputs!$B$3-100)*3)+Inputs!$B$28+Inputs!$B$29)))</f>
        <v/>
      </c>
      <c r="E2674">
        <f>INDEX(FactorTable!$B$2:$Y$301, MATCH(ROUND(MIN(300,MAX(1,D2674)),0), FactorTable!$A$2:$A$301,0), Skills!M18+1)</f>
        <v/>
      </c>
      <c r="F2674">
        <f>IF(Skills!N18=TRUE,(Skills!L18/10)*(E2674/1000),Skills!L18/10)+Skills!O18</f>
        <v/>
      </c>
      <c r="G2674">
        <f>Skills!G18*IF(Skills!H18&gt;0,Skills!I18/Skills!H18,1)</f>
        <v/>
      </c>
      <c r="H2674">
        <f>1-(1-Skills!J18/100)^Skills!K18</f>
        <v/>
      </c>
      <c r="I2674" t="inlineStr">
        <is>
          <t>1</t>
        </is>
      </c>
      <c r="J2674" t="inlineStr"/>
      <c r="K2674" t="inlineStr"/>
      <c r="L2674" t="inlineStr"/>
      <c r="M2674" t="inlineStr"/>
      <c r="N2674" t="inlineStr"/>
      <c r="O2674">
        <f>(1-Summary!$B$11)*T2674+Summary!$B$11*V2674</f>
        <v/>
      </c>
      <c r="P2674">
        <f>IF(B2700=0,0,O2674/B2700)</f>
        <v/>
      </c>
      <c r="Q2674" t="n">
        <v>0</v>
      </c>
      <c r="R2674" t="n">
        <v>0</v>
      </c>
      <c r="S2674">
        <f>IFERROR(O2674/N2674,0)</f>
        <v/>
      </c>
      <c r="T2674" t="n">
        <v>0</v>
      </c>
      <c r="V2674" t="n">
        <v>0</v>
      </c>
    </row>
    <row r="2675">
      <c r="A2675">
        <f>Skills!A19</f>
        <v/>
      </c>
      <c r="B2675">
        <f>Skills!B19</f>
        <v/>
      </c>
      <c r="C2675">
        <f>Inputs!$B$3&gt;=72</f>
        <v/>
      </c>
      <c r="D2675">
        <f>IF(Skills!C19=1,60+Inputs!$B$25+Inputs!$B$29,IF(Skills!C19=2,90+Inputs!$B$26+Inputs!$B$29,IF(Skills!C19=3,120+Inputs!$B$27+Inputs!$B$29,MAX(0,(Inputs!$B$3-100)*3)+Inputs!$B$28+Inputs!$B$29)))</f>
        <v/>
      </c>
      <c r="E2675">
        <f>INDEX(FactorTable!$B$2:$Y$301, MATCH(ROUND(MIN(300,MAX(1,D2675)),0), FactorTable!$A$2:$A$301,0), Skills!M19+1)</f>
        <v/>
      </c>
      <c r="F2675">
        <f>IF(Skills!N19=TRUE,(Skills!L19/10)*(E2675/1000),Skills!L19/10)+Skills!O19</f>
        <v/>
      </c>
      <c r="G2675">
        <f>Skills!G19*IF(Skills!H19&gt;0,Skills!I19/Skills!H19,1)</f>
        <v/>
      </c>
      <c r="H2675">
        <f>1-(1-Skills!J19/100)^Skills!K19</f>
        <v/>
      </c>
      <c r="I2675" t="inlineStr">
        <is>
          <t>1</t>
        </is>
      </c>
      <c r="J2675" t="inlineStr"/>
      <c r="K2675" t="inlineStr"/>
      <c r="L2675" t="inlineStr"/>
      <c r="M2675" t="inlineStr"/>
      <c r="N2675" t="inlineStr"/>
      <c r="O2675">
        <f>(1-Summary!$B$11)*T2675+Summary!$B$11*V2675</f>
        <v/>
      </c>
      <c r="P2675">
        <f>IF(B2700=0,0,O2675/B2700)</f>
        <v/>
      </c>
      <c r="Q2675" t="n">
        <v>0</v>
      </c>
      <c r="R2675" t="n">
        <v>0</v>
      </c>
      <c r="S2675">
        <f>IFERROR(O2675/N2675,0)</f>
        <v/>
      </c>
      <c r="T2675" t="n">
        <v>0</v>
      </c>
      <c r="V2675" t="n">
        <v>0</v>
      </c>
    </row>
    <row r="2676">
      <c r="A2676">
        <f>Skills!A20</f>
        <v/>
      </c>
      <c r="B2676">
        <f>Skills!B20</f>
        <v/>
      </c>
      <c r="C2676">
        <f>TRUE</f>
        <v/>
      </c>
      <c r="D2676">
        <f>IF(Skills!C20=1,60+Inputs!$B$25+Inputs!$B$29,IF(Skills!C20=2,90+Inputs!$B$26+Inputs!$B$29,IF(Skills!C20=3,120+Inputs!$B$27+Inputs!$B$29,MAX(0,(Inputs!$B$3-100)*3)+Inputs!$B$28+Inputs!$B$29)))</f>
        <v/>
      </c>
      <c r="E2676">
        <f>INDEX(FactorTable!$B$2:$Y$301, MATCH(ROUND(MIN(300,MAX(1,D2676)),0), FactorTable!$A$2:$A$301,0), Skills!M20+1)</f>
        <v/>
      </c>
      <c r="F2676">
        <f>IF(Skills!N20=TRUE,(Skills!L20/10)*(E2676/1000),Skills!L20/10)+Skills!O20</f>
        <v/>
      </c>
      <c r="G2676">
        <f>Skills!G20*IF(Skills!H20&gt;0,Skills!I20/Skills!H20,1)</f>
        <v/>
      </c>
      <c r="H2676">
        <f>1-(1-Skills!J20/100)^Skills!K20</f>
        <v/>
      </c>
      <c r="I2676" t="inlineStr">
        <is>
          <t>1</t>
        </is>
      </c>
      <c r="J2676" t="inlineStr"/>
      <c r="K2676" t="inlineStr"/>
      <c r="L2676" t="inlineStr"/>
      <c r="M2676" t="inlineStr"/>
      <c r="N2676" t="inlineStr"/>
      <c r="O2676">
        <f>(1-Summary!$B$11)*T2676+Summary!$B$11*V2676</f>
        <v/>
      </c>
      <c r="P2676">
        <f>IF(B2700=0,0,O2676/B2700)</f>
        <v/>
      </c>
      <c r="Q2676">
        <f>IFERROR(1/(IF(Inputs!$B$38="pvp",15,MAX(0.1,Skills!D20-IF(Skills!E20=TRUE,Inputs!$B$32,0)))*(1-IF(AND(ArtifactsInput!$M$27,Inputs!$B$4="Chapter Hunt"),CHOOSE(ArtifactsInput!$N$27+1,20,24,28,32,36,40),0)/100)),0)</f>
        <v/>
      </c>
      <c r="R2676">
        <f>IF(AND(Inputs!$B$38&lt;&gt;"pvp",Inputs!$B$43&gt;0),IF(Inputs!$B$43&lt;=0,0,(INT(Inputs!$B$43/(IF(Inputs!$B$38="pvp",15,MAX(0.1,Skills!D20-IF(Skills!E20=TRUE,Inputs!$B$32,0)))*(1-IF(AND(ArtifactsInput!$M$27,Inputs!$B$4="Chapter Hunt"),CHOOSE(ArtifactsInput!$N$27+1,20,24,28,32,36,40),0)/100)))+1)),0)</f>
        <v/>
      </c>
      <c r="S2676">
        <f>IFERROR(O2676/N2676,0)</f>
        <v/>
      </c>
      <c r="T2676" t="n">
        <v>0</v>
      </c>
      <c r="V2676" t="n">
        <v>0</v>
      </c>
    </row>
    <row r="2677">
      <c r="A2677">
        <f>Skills!A21</f>
        <v/>
      </c>
      <c r="B2677">
        <f>Skills!B21</f>
        <v/>
      </c>
      <c r="C2677">
        <f>Inputs!$B$3&gt;=15</f>
        <v/>
      </c>
      <c r="D2677">
        <f>IF(Skills!C21=1,60+Inputs!$B$25+Inputs!$B$29,IF(Skills!C21=2,90+Inputs!$B$26+Inputs!$B$29,IF(Skills!C21=3,120+Inputs!$B$27+Inputs!$B$29,MAX(0,(Inputs!$B$3-100)*3)+Inputs!$B$28+Inputs!$B$29)))</f>
        <v/>
      </c>
      <c r="E2677">
        <f>INDEX(FactorTable!$B$2:$Y$301, MATCH(ROUND(MIN(300,MAX(1,D2677)),0), FactorTable!$A$2:$A$301,0), Skills!M21+1)</f>
        <v/>
      </c>
      <c r="F2677">
        <f>IF(Skills!N21=TRUE,(Skills!L21/10)*(E2677/1000),Skills!L21/10)+Skills!O21</f>
        <v/>
      </c>
      <c r="G2677">
        <f>Skills!G21*IF(Skills!H21&gt;0,Skills!I21/Skills!H21,1)</f>
        <v/>
      </c>
      <c r="H2677">
        <f>1-(1-Skills!J21/100)^Skills!K21</f>
        <v/>
      </c>
      <c r="I2677" t="inlineStr">
        <is>
          <t>1</t>
        </is>
      </c>
      <c r="J2677" t="inlineStr"/>
      <c r="K2677" t="inlineStr"/>
      <c r="L2677" t="inlineStr"/>
      <c r="M2677" t="inlineStr"/>
      <c r="N2677" t="inlineStr"/>
      <c r="O2677">
        <f>(1-Summary!$B$11)*T2677+Summary!$B$11*V2677</f>
        <v/>
      </c>
      <c r="P2677">
        <f>IF(B2700=0,0,O2677/B2700)</f>
        <v/>
      </c>
      <c r="Q2677" t="n">
        <v>0</v>
      </c>
      <c r="R2677" t="n">
        <v>0</v>
      </c>
      <c r="S2677">
        <f>IFERROR(O2677/N2677,0)</f>
        <v/>
      </c>
      <c r="T2677" t="n">
        <v>0</v>
      </c>
      <c r="V2677" t="n">
        <v>0</v>
      </c>
    </row>
    <row r="2678">
      <c r="A2678">
        <f>Skills!A22</f>
        <v/>
      </c>
      <c r="B2678">
        <f>Skills!B22</f>
        <v/>
      </c>
      <c r="C2678">
        <f>Inputs!$B$3&gt;=10</f>
        <v/>
      </c>
      <c r="D2678">
        <f>IF(Skills!C22=1,60+Inputs!$B$25+Inputs!$B$29,IF(Skills!C22=2,90+Inputs!$B$26+Inputs!$B$29,IF(Skills!C22=3,120+Inputs!$B$27+Inputs!$B$29,MAX(0,(Inputs!$B$3-100)*3)+Inputs!$B$28+Inputs!$B$29)))</f>
        <v/>
      </c>
      <c r="E2678">
        <f>INDEX(FactorTable!$B$2:$Y$301, MATCH(ROUND(MIN(300,MAX(1,D2678)),0), FactorTable!$A$2:$A$301,0), Skills!M22+1)</f>
        <v/>
      </c>
      <c r="F2678">
        <f>IF(Skills!N22=TRUE,(Skills!L22/10)*(E2678/1000),Skills!L22/10)+Skills!O22</f>
        <v/>
      </c>
      <c r="G2678">
        <f>Skills!G22*IF(Skills!H22&gt;0,Skills!I22/Skills!H22,1)</f>
        <v/>
      </c>
      <c r="H2678">
        <f>1-(1-Skills!J22/100)^Skills!K22</f>
        <v/>
      </c>
      <c r="I2678" t="inlineStr">
        <is>
          <t>1</t>
        </is>
      </c>
      <c r="J2678" t="inlineStr"/>
      <c r="K2678" t="inlineStr"/>
      <c r="L2678" t="inlineStr"/>
      <c r="M2678" t="inlineStr"/>
      <c r="N2678" t="inlineStr"/>
      <c r="O2678">
        <f>(1-Summary!$B$11)*T2678+Summary!$B$11*V2678</f>
        <v/>
      </c>
      <c r="P2678">
        <f>IF(B2700=0,0,O2678/B2700)</f>
        <v/>
      </c>
      <c r="Q2678" t="n">
        <v>0</v>
      </c>
      <c r="R2678" t="n">
        <v>0</v>
      </c>
      <c r="S2678">
        <f>IFERROR(O2678/N2678,0)</f>
        <v/>
      </c>
      <c r="T2678" t="n">
        <v>0</v>
      </c>
      <c r="V2678" t="n">
        <v>0</v>
      </c>
    </row>
    <row r="2679">
      <c r="A2679">
        <f>Skills!A23</f>
        <v/>
      </c>
      <c r="B2679">
        <f>Skills!B23</f>
        <v/>
      </c>
      <c r="C2679">
        <f>Inputs!$B$3&gt;=33</f>
        <v/>
      </c>
      <c r="D2679">
        <f>IF(Skills!C23=1,60+Inputs!$B$25+Inputs!$B$29,IF(Skills!C23=2,90+Inputs!$B$26+Inputs!$B$29,IF(Skills!C23=3,120+Inputs!$B$27+Inputs!$B$29,MAX(0,(Inputs!$B$3-100)*3)+Inputs!$B$28+Inputs!$B$29)))</f>
        <v/>
      </c>
      <c r="E2679">
        <f>INDEX(FactorTable!$B$2:$Y$301, MATCH(ROUND(MIN(300,MAX(1,D2679)),0), FactorTable!$A$2:$A$301,0), Skills!M23+1)</f>
        <v/>
      </c>
      <c r="F2679">
        <f>IF(Skills!N23=TRUE,(Skills!L23/10)*(E2679/1000),Skills!L23/10)+Skills!O23</f>
        <v/>
      </c>
      <c r="G2679">
        <f>Skills!G23*IF(Skills!H23&gt;0,Skills!I23/Skills!H23,1)</f>
        <v/>
      </c>
      <c r="H2679">
        <f>1-(1-Skills!J23/100)^Skills!K23</f>
        <v/>
      </c>
      <c r="I2679" t="inlineStr">
        <is>
          <t>1</t>
        </is>
      </c>
      <c r="J2679" t="inlineStr"/>
      <c r="K2679" t="inlineStr"/>
      <c r="L2679" t="inlineStr"/>
      <c r="M2679" t="inlineStr"/>
      <c r="N2679" t="inlineStr"/>
      <c r="O2679">
        <f>(1-Summary!$B$11)*T2679+Summary!$B$11*V2679</f>
        <v/>
      </c>
      <c r="P2679">
        <f>IF(B2700=0,0,O2679/B2700)</f>
        <v/>
      </c>
      <c r="Q2679" t="n">
        <v>0</v>
      </c>
      <c r="R2679" t="n">
        <v>0</v>
      </c>
      <c r="S2679">
        <f>IFERROR(O2679/N2679,0)</f>
        <v/>
      </c>
      <c r="T2679" t="n">
        <v>0</v>
      </c>
      <c r="V2679" t="n">
        <v>0</v>
      </c>
    </row>
    <row r="2680">
      <c r="A2680">
        <f>Skills!A24</f>
        <v/>
      </c>
      <c r="B2680">
        <f>Skills!B24</f>
        <v/>
      </c>
      <c r="C2680">
        <f>Inputs!$B$3&gt;=38</f>
        <v/>
      </c>
      <c r="D2680">
        <f>IF(Skills!C24=1,60+Inputs!$B$25+Inputs!$B$29,IF(Skills!C24=2,90+Inputs!$B$26+Inputs!$B$29,IF(Skills!C24=3,120+Inputs!$B$27+Inputs!$B$29,MAX(0,(Inputs!$B$3-100)*3)+Inputs!$B$28+Inputs!$B$29)))</f>
        <v/>
      </c>
      <c r="E2680">
        <f>INDEX(FactorTable!$B$2:$Y$301, MATCH(ROUND(MIN(300,MAX(1,D2680)),0), FactorTable!$A$2:$A$301,0), Skills!M24+1)</f>
        <v/>
      </c>
      <c r="F2680">
        <f>IF(Skills!N24=TRUE,(Skills!L24/10)*(E2680/1000),Skills!L24/10)+Skills!O24</f>
        <v/>
      </c>
      <c r="G2680">
        <f>Skills!G24*IF(Skills!H24&gt;0,Skills!I24/Skills!H24,1)</f>
        <v/>
      </c>
      <c r="H2680">
        <f>1-(1-Skills!J24/100)^Skills!K24</f>
        <v/>
      </c>
      <c r="I2680" t="inlineStr">
        <is>
          <t>1</t>
        </is>
      </c>
      <c r="J2680" t="inlineStr"/>
      <c r="K2680" t="inlineStr"/>
      <c r="L2680" t="inlineStr"/>
      <c r="M2680" t="inlineStr"/>
      <c r="N2680" t="inlineStr"/>
      <c r="O2680">
        <f>(1-Summary!$B$11)*T2680+Summary!$B$11*V2680</f>
        <v/>
      </c>
      <c r="P2680">
        <f>IF(B2700=0,0,O2680/B2700)</f>
        <v/>
      </c>
      <c r="Q2680" t="n">
        <v>0</v>
      </c>
      <c r="R2680" t="n">
        <v>0</v>
      </c>
      <c r="S2680">
        <f>IFERROR(O2680/N2680,0)</f>
        <v/>
      </c>
      <c r="T2680" t="n">
        <v>0</v>
      </c>
      <c r="V2680" t="n">
        <v>0</v>
      </c>
    </row>
    <row r="2681">
      <c r="A2681">
        <f>Skills!A25</f>
        <v/>
      </c>
      <c r="B2681">
        <f>Skills!B25</f>
        <v/>
      </c>
      <c r="C2681">
        <f>Inputs!$B$3&gt;=43</f>
        <v/>
      </c>
      <c r="D2681">
        <f>IF(Skills!C25=1,60+Inputs!$B$25+Inputs!$B$29,IF(Skills!C25=2,90+Inputs!$B$26+Inputs!$B$29,IF(Skills!C25=3,120+Inputs!$B$27+Inputs!$B$29,MAX(0,(Inputs!$B$3-100)*3)+Inputs!$B$28+Inputs!$B$29)))</f>
        <v/>
      </c>
      <c r="E2681">
        <f>INDEX(FactorTable!$B$2:$Y$301, MATCH(ROUND(MIN(300,MAX(1,D2681)),0), FactorTable!$A$2:$A$301,0), Skills!M25+1)</f>
        <v/>
      </c>
      <c r="F2681">
        <f>IF(Skills!N25=TRUE,(Skills!L25/10)*(E2681/1000),Skills!L25/10)+Skills!O25</f>
        <v/>
      </c>
      <c r="G2681">
        <f>Skills!G25*IF(Skills!H25&gt;0,Skills!I25/Skills!H25,1)</f>
        <v/>
      </c>
      <c r="H2681">
        <f>1-(1-Skills!J25/100)^Skills!K25</f>
        <v/>
      </c>
      <c r="I2681" t="inlineStr">
        <is>
          <t>1</t>
        </is>
      </c>
      <c r="J2681" t="inlineStr"/>
      <c r="K2681" t="inlineStr"/>
      <c r="L2681" t="inlineStr"/>
      <c r="M2681" t="inlineStr"/>
      <c r="N2681" t="inlineStr"/>
      <c r="O2681">
        <f>(1-Summary!$B$11)*T2681+Summary!$B$11*V2681</f>
        <v/>
      </c>
      <c r="P2681">
        <f>IF(B2700=0,0,O2681/B2700)</f>
        <v/>
      </c>
      <c r="Q2681" t="n">
        <v>0</v>
      </c>
      <c r="R2681" t="n">
        <v>0</v>
      </c>
      <c r="S2681">
        <f>IFERROR(O2681/N2681,0)</f>
        <v/>
      </c>
      <c r="T2681" t="n">
        <v>0</v>
      </c>
      <c r="V2681" t="n">
        <v>0</v>
      </c>
    </row>
    <row r="2682">
      <c r="A2682">
        <f>Skills!A26</f>
        <v/>
      </c>
      <c r="B2682">
        <f>Skills!B26</f>
        <v/>
      </c>
      <c r="C2682">
        <f>Inputs!$B$3&gt;=75</f>
        <v/>
      </c>
      <c r="D2682">
        <f>IF(Skills!C26=1,60+Inputs!$B$25+Inputs!$B$29,IF(Skills!C26=2,90+Inputs!$B$26+Inputs!$B$29,IF(Skills!C26=3,120+Inputs!$B$27+Inputs!$B$29,MAX(0,(Inputs!$B$3-100)*3)+Inputs!$B$28+Inputs!$B$29)))</f>
        <v/>
      </c>
      <c r="E2682">
        <f>INDEX(FactorTable!$B$2:$Y$301, MATCH(ROUND(MIN(300,MAX(1,D2682)),0), FactorTable!$A$2:$A$301,0), Skills!M26+1)</f>
        <v/>
      </c>
      <c r="F2682">
        <f>IF(Skills!N26=TRUE,(Skills!L26/10)*(E2682/1000),Skills!L26/10)+Skills!O26</f>
        <v/>
      </c>
      <c r="G2682">
        <f>Skills!G26*IF(Skills!H26&gt;0,Skills!I26/Skills!H26,1)</f>
        <v/>
      </c>
      <c r="H2682">
        <f>1-(1-Skills!J26/100)^Skills!K26</f>
        <v/>
      </c>
      <c r="I2682" t="inlineStr">
        <is>
          <t>1</t>
        </is>
      </c>
      <c r="J2682" t="inlineStr"/>
      <c r="K2682" t="inlineStr"/>
      <c r="L2682" t="inlineStr"/>
      <c r="M2682" t="inlineStr"/>
      <c r="N2682" t="inlineStr"/>
      <c r="O2682">
        <f>(1-Summary!$B$11)*T2682+Summary!$B$11*V2682</f>
        <v/>
      </c>
      <c r="P2682">
        <f>IF(B2700=0,0,O2682/B2700)</f>
        <v/>
      </c>
      <c r="Q2682" t="n">
        <v>0</v>
      </c>
      <c r="R2682" t="n">
        <v>0</v>
      </c>
      <c r="S2682">
        <f>IFERROR(O2682/N2682,0)</f>
        <v/>
      </c>
      <c r="T2682" t="n">
        <v>0</v>
      </c>
      <c r="V2682" t="n">
        <v>0</v>
      </c>
    </row>
    <row r="2683">
      <c r="A2683">
        <f>Skills!A27</f>
        <v/>
      </c>
      <c r="B2683">
        <f>Skills!B27</f>
        <v/>
      </c>
      <c r="C2683">
        <f>Inputs!$B$3&gt;=125</f>
        <v/>
      </c>
      <c r="D2683">
        <f>IF(Skills!C27=1,60+Inputs!$B$25+Inputs!$B$29,IF(Skills!C27=2,90+Inputs!$B$26+Inputs!$B$29,IF(Skills!C27=3,120+Inputs!$B$27+Inputs!$B$29,MAX(0,(Inputs!$B$3-100)*3)+Inputs!$B$28+Inputs!$B$29)))</f>
        <v/>
      </c>
      <c r="E2683">
        <f>INDEX(FactorTable!$B$2:$Y$301, MATCH(ROUND(MIN(300,MAX(1,D2683)),0), FactorTable!$A$2:$A$301,0), Skills!M27+1)</f>
        <v/>
      </c>
      <c r="F2683">
        <f>IF(Skills!N27=TRUE,(Skills!L27/10)*(E2683/1000),Skills!L27/10)+Skills!O27</f>
        <v/>
      </c>
      <c r="G2683">
        <f>Skills!G27*IF(Skills!H27&gt;0,Skills!I27/Skills!H27,1)</f>
        <v/>
      </c>
      <c r="H2683">
        <f>1-(1-Skills!J27/100)^Skills!K27</f>
        <v/>
      </c>
      <c r="I2683" t="inlineStr">
        <is>
          <t>1</t>
        </is>
      </c>
      <c r="J2683" t="inlineStr"/>
      <c r="K2683" t="inlineStr"/>
      <c r="L2683" t="inlineStr"/>
      <c r="M2683" t="inlineStr"/>
      <c r="N2683" t="inlineStr"/>
      <c r="O2683">
        <f>(1-Summary!$B$11)*T2683+Summary!$B$11*V2683</f>
        <v/>
      </c>
      <c r="P2683">
        <f>IF(B2700=0,0,O2683/B2700)</f>
        <v/>
      </c>
      <c r="Q2683" t="n">
        <v>0</v>
      </c>
      <c r="R2683" t="n">
        <v>0</v>
      </c>
      <c r="S2683">
        <f>IFERROR(O2683/N2683,0)</f>
        <v/>
      </c>
      <c r="T2683" t="n">
        <v>0</v>
      </c>
      <c r="V2683" t="n">
        <v>0</v>
      </c>
    </row>
    <row r="2684">
      <c r="A2684">
        <f>Skills!A28</f>
        <v/>
      </c>
      <c r="B2684">
        <f>Skills!B28</f>
        <v/>
      </c>
      <c r="C2684">
        <f>Inputs!$B$3&gt;=125</f>
        <v/>
      </c>
      <c r="D2684">
        <f>IF(Skills!C28=1,60+Inputs!$B$25+Inputs!$B$29,IF(Skills!C28=2,90+Inputs!$B$26+Inputs!$B$29,IF(Skills!C28=3,120+Inputs!$B$27+Inputs!$B$29,MAX(0,(Inputs!$B$3-100)*3)+Inputs!$B$28+Inputs!$B$29)))</f>
        <v/>
      </c>
      <c r="E2684">
        <f>INDEX(FactorTable!$B$2:$Y$301, MATCH(ROUND(MIN(300,MAX(1,D2684)),0), FactorTable!$A$2:$A$301,0), Skills!M28+1)</f>
        <v/>
      </c>
      <c r="F2684">
        <f>IF(Skills!N28=TRUE,(Skills!L28/10)*(E2684/1000),Skills!L28/10)+Skills!O28</f>
        <v/>
      </c>
      <c r="G2684">
        <f>Skills!G28*IF(Skills!H28&gt;0,Skills!I28/Skills!H28,1)</f>
        <v/>
      </c>
      <c r="H2684">
        <f>1-(1-Skills!J28/100)^Skills!K28</f>
        <v/>
      </c>
      <c r="I2684" t="inlineStr">
        <is>
          <t>1</t>
        </is>
      </c>
      <c r="J2684" t="inlineStr"/>
      <c r="K2684" t="inlineStr"/>
      <c r="L2684" t="inlineStr"/>
      <c r="M2684" t="inlineStr"/>
      <c r="N2684" t="inlineStr"/>
      <c r="O2684">
        <f>(1-Summary!$B$11)*T2684+Summary!$B$11*V2684</f>
        <v/>
      </c>
      <c r="P2684">
        <f>IF(B2700=0,0,O2684/B2700)</f>
        <v/>
      </c>
      <c r="Q2684" t="n">
        <v>0</v>
      </c>
      <c r="R2684" t="n">
        <v>0</v>
      </c>
      <c r="S2684">
        <f>IFERROR(O2684/N2684,0)</f>
        <v/>
      </c>
      <c r="T2684" t="n">
        <v>0</v>
      </c>
      <c r="V2684" t="n">
        <v>0</v>
      </c>
    </row>
    <row r="2685">
      <c r="A2685">
        <f>Skills!A29</f>
        <v/>
      </c>
      <c r="B2685">
        <f>Skills!B29</f>
        <v/>
      </c>
      <c r="C2685">
        <f>Inputs!$B$3&gt;=120</f>
        <v/>
      </c>
      <c r="D2685">
        <f>IF(Skills!C29=1,60+Inputs!$B$25+Inputs!$B$29,IF(Skills!C29=2,90+Inputs!$B$26+Inputs!$B$29,IF(Skills!C29=3,120+Inputs!$B$27+Inputs!$B$29,MAX(0,(Inputs!$B$3-100)*3)+Inputs!$B$28+Inputs!$B$29)))</f>
        <v/>
      </c>
      <c r="E2685">
        <f>INDEX(FactorTable!$B$2:$Y$301, MATCH(ROUND(MIN(300,MAX(1,D2685)),0), FactorTable!$A$2:$A$301,0), Skills!M29+1)</f>
        <v/>
      </c>
      <c r="F2685">
        <f>IF(Skills!N29=TRUE,(Skills!L29/10)*(E2685/1000),Skills!L29/10)+Skills!O29</f>
        <v/>
      </c>
      <c r="G2685">
        <f>Skills!G29*IF(Skills!H29&gt;0,Skills!I29/Skills!H29,1)</f>
        <v/>
      </c>
      <c r="H2685">
        <f>1-(1-Skills!J29/100)^Skills!K29</f>
        <v/>
      </c>
      <c r="I2685" t="inlineStr">
        <is>
          <t>1</t>
        </is>
      </c>
      <c r="J2685" t="inlineStr"/>
      <c r="K2685" t="inlineStr"/>
      <c r="L2685" t="inlineStr"/>
      <c r="M2685" t="inlineStr"/>
      <c r="N2685" t="inlineStr"/>
      <c r="O2685">
        <f>(1-Summary!$B$11)*T2685+Summary!$B$11*V2685</f>
        <v/>
      </c>
      <c r="P2685">
        <f>IF(B2700=0,0,O2685/B2700)</f>
        <v/>
      </c>
      <c r="Q2685" t="n">
        <v>0</v>
      </c>
      <c r="R2685" t="n">
        <v>0</v>
      </c>
      <c r="S2685">
        <f>IFERROR(O2685/N2685,0)</f>
        <v/>
      </c>
      <c r="T2685" t="n">
        <v>0</v>
      </c>
      <c r="V2685" t="n">
        <v>0</v>
      </c>
    </row>
    <row r="2686">
      <c r="A2686">
        <f>Skills!A30</f>
        <v/>
      </c>
      <c r="B2686">
        <f>Skills!B30</f>
        <v/>
      </c>
      <c r="C2686">
        <f>Inputs!$B$3&gt;=120</f>
        <v/>
      </c>
      <c r="D2686">
        <f>IF(Skills!C30=1,60+Inputs!$B$25+Inputs!$B$29,IF(Skills!C30=2,90+Inputs!$B$26+Inputs!$B$29,IF(Skills!C30=3,120+Inputs!$B$27+Inputs!$B$29,MAX(0,(Inputs!$B$3-100)*3)+Inputs!$B$28+Inputs!$B$29)))</f>
        <v/>
      </c>
      <c r="E2686">
        <f>INDEX(FactorTable!$B$2:$Y$301, MATCH(ROUND(MIN(300,MAX(1,D2686)),0), FactorTable!$A$2:$A$301,0), Skills!M30+1)</f>
        <v/>
      </c>
      <c r="F2686">
        <f>IF(Skills!N30=TRUE,(Skills!L30/10)*(E2686/1000),Skills!L30/10)+Skills!O30</f>
        <v/>
      </c>
      <c r="G2686">
        <f>Skills!G30*IF(Skills!H30&gt;0,Skills!I30/Skills!H30,1)</f>
        <v/>
      </c>
      <c r="H2686">
        <f>1-(1-Skills!J30/100)^Skills!K30</f>
        <v/>
      </c>
      <c r="I2686" t="inlineStr">
        <is>
          <t>1</t>
        </is>
      </c>
      <c r="J2686" t="inlineStr"/>
      <c r="K2686" t="inlineStr"/>
      <c r="L2686" t="inlineStr"/>
      <c r="M2686" t="inlineStr"/>
      <c r="N2686" t="inlineStr"/>
      <c r="O2686">
        <f>(1-Summary!$B$11)*T2686+Summary!$B$11*V2686</f>
        <v/>
      </c>
      <c r="P2686">
        <f>IF(B2700=0,0,O2686/B2700)</f>
        <v/>
      </c>
      <c r="Q2686" t="n">
        <v>0</v>
      </c>
      <c r="R2686" t="n">
        <v>0</v>
      </c>
      <c r="S2686">
        <f>IFERROR(O2686/N2686,0)</f>
        <v/>
      </c>
      <c r="T2686" t="n">
        <v>0</v>
      </c>
      <c r="V2686" t="n">
        <v>0</v>
      </c>
    </row>
    <row r="2687">
      <c r="A2687">
        <f>Skills!A31</f>
        <v/>
      </c>
      <c r="B2687">
        <f>Skills!B31</f>
        <v/>
      </c>
      <c r="C2687">
        <f>Inputs!$B$3&gt;=45</f>
        <v/>
      </c>
      <c r="D2687">
        <f>IF(Skills!C31=1,60+Inputs!$B$25+Inputs!$B$29,IF(Skills!C31=2,90+Inputs!$B$26+Inputs!$B$29,IF(Skills!C31=3,120+Inputs!$B$27+Inputs!$B$29,MAX(0,(Inputs!$B$3-100)*3)+Inputs!$B$28+Inputs!$B$29)))</f>
        <v/>
      </c>
      <c r="E2687">
        <f>INDEX(FactorTable!$B$2:$Y$301, MATCH(ROUND(MIN(300,MAX(1,D2687)),0), FactorTable!$A$2:$A$301,0), Skills!M31+1)</f>
        <v/>
      </c>
      <c r="F2687">
        <f>IF(Skills!N31=TRUE,(Skills!L31/10)*(E2687/1000),Skills!L31/10)+Skills!O31</f>
        <v/>
      </c>
      <c r="G2687">
        <f>Skills!G31*IF(Skills!H31&gt;0,Skills!I31/Skills!H31,1)</f>
        <v/>
      </c>
      <c r="H2687">
        <f>1-(1-Skills!J31/100)^Skills!K31</f>
        <v/>
      </c>
      <c r="I2687" t="inlineStr">
        <is>
          <t>1</t>
        </is>
      </c>
      <c r="J2687" t="inlineStr"/>
      <c r="K2687" t="inlineStr"/>
      <c r="L2687" t="inlineStr"/>
      <c r="M2687" t="inlineStr"/>
      <c r="N2687" t="inlineStr"/>
      <c r="O2687">
        <f>(1-Summary!$B$11)*T2687+Summary!$B$11*V2687</f>
        <v/>
      </c>
      <c r="P2687">
        <f>IF(B2700=0,0,O2687/B2700)</f>
        <v/>
      </c>
      <c r="Q2687" t="n">
        <v>0</v>
      </c>
      <c r="R2687" t="n">
        <v>0</v>
      </c>
      <c r="S2687">
        <f>IFERROR(O2687/N2687,0)</f>
        <v/>
      </c>
      <c r="T2687" t="n">
        <v>0</v>
      </c>
      <c r="V2687" t="n">
        <v>0</v>
      </c>
    </row>
    <row r="2689">
      <c r="A2689" t="inlineStr">
        <is>
          <t>Attack% Bucket Multiplier</t>
        </is>
      </c>
      <c r="B2689">
        <f>(1+(((C2670=TRUE)*F2670)+((C2671=TRUE)*IF(Inputs!$B$38="pvp",F2671,(1-Summary!$B$11)*(F2671)+Summary!$B$11*(0)))+((C2672=TRUE)*F2672*IF(AND(Inputs!$B$38&lt;&gt;"pvp",Inputs!$B$43&gt;0),(((R2672-1)*(Skills!T16*(1+Inputs!$B$34/100))+MIN((Skills!T16*(1+Inputs!$B$34/100)),MAX(0,Inputs!$B$43-((R2672-1)*Skills!D16))))/Inputs!$B$43),IF(Inputs!$B$38="pvp",MIN((Skills!T16*(1+Inputs!$B$34/100)),15)/15,(Skills!T16*(1+Inputs!$B$34/100))/Skills!D16)))+((C2687=TRUE)*(F2687-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90">
      <c r="A2690" t="inlineStr">
        <is>
          <t>Global Crit Rate Bonus %</t>
        </is>
      </c>
      <c r="B2690">
        <f>(C2673=TRUE)*20*IF(AND(Inputs!$B$38&lt;&gt;"pvp",Inputs!$B$43&gt;0),(((R2673-1)*(Skills!T17*(1+Inputs!$B$34/100))+MIN((Skills!T17*(1+Inputs!$B$34/100)),MAX(0,Inputs!$B$43-((R2673-1)*Skills!D17))))/Inputs!$B$43),IF(Inputs!$B$38="pvp",MIN((Skills!T17*(1+Inputs!$B$34/100)),15)/15,(Skills!T17*(1+Inputs!$B$34/100))/Skills!D17))</f>
        <v/>
      </c>
    </row>
    <row r="2691">
      <c r="A2691" t="inlineStr">
        <is>
          <t>Attack Speed Buff Bonus %</t>
        </is>
      </c>
      <c r="B2691">
        <f>((C2676=TRUE)*F2676*IF(AND(Inputs!$B$38&lt;&gt;"pvp",Inputs!$B$43&gt;0),(((R2676-1)*(Skills!T20*(1+Inputs!$B$34/100))+MIN((Skills!T20*(1+Inputs!$B$34/100)),MAX(0,Inputs!$B$43-((R2676-1)*Skills!D20))))/Inputs!$B$43),IF(Inputs!$B$38="pvp",MIN((Skills!T20*(1+Inputs!$B$34/100)),15)/15,(Skills!T20*(1+Inputs!$B$34/100))/Skills!D20)))</f>
        <v/>
      </c>
    </row>
    <row r="2692">
      <c r="A2692" t="inlineStr">
        <is>
          <t>Actions Per Second</t>
        </is>
      </c>
      <c r="B2692">
        <f>1+MIN(150,150*(1-(1-(Inputs!$B$11+((C2678=TRUE)*(F2678-Calc!F22))+((C2679=TRUE)*(F2679-Calc!F23)))/150)*(1-B2691/150)))/100</f>
        <v/>
      </c>
    </row>
    <row r="2693">
      <c r="A2693" t="inlineStr">
        <is>
          <t>Skill + Buff Cast Rate</t>
        </is>
      </c>
      <c r="B2693">
        <f>IF(AND(Inputs!$B$38&lt;&gt;"pvp",Inputs!$B$43&gt;0),SUMPRODUCT((Skills!E2:E31=TRUE)*(C2658:C2687=TRUE)*R2658:R2687*Skills!F2:F31)/Inputs!$B$43,SUMPRODUCT((Skills!E2:E31=TRUE)*(C2658:C2687=TRUE)*Q2658:Q2687*Skills!F2:F31))</f>
        <v/>
      </c>
    </row>
    <row r="2694">
      <c r="A2694" t="inlineStr">
        <is>
          <t>Arrow Stream Casts Per Second</t>
        </is>
      </c>
      <c r="B2694">
        <f>MAX(0,B2692-B2693)</f>
        <v/>
      </c>
    </row>
    <row r="2695">
      <c r="A2695" t="inlineStr">
        <is>
          <t>Global Critical Damage Bonus % (Sharp Eyes + Concentration)</t>
        </is>
      </c>
      <c r="B2695">
        <f>(C2673=TRUE)*F2673*IF(AND(Inputs!$B$38&lt;&gt;"pvp",Inputs!$B$43&gt;0),(((R2673-1)*(Skills!T17*(1+Inputs!$B$34/100))+MIN((Skills!T17*(1+Inputs!$B$34/100)),MAX(0,Inputs!$B$43-((R2673-1)*Skills!D17))))/Inputs!$B$43),IF(Inputs!$B$38="pvp",MIN((Skills!T17*(1+Inputs!$B$34/100)),15)/15,(Skills!T17*(1+Inputs!$B$34/100))/Skills!D17))+(C2674=TRUE)*30</f>
        <v/>
      </c>
    </row>
    <row r="2696">
      <c r="A2696" t="inlineStr">
        <is>
          <t>Global Final Damage Bonus % (Mortal Blow)</t>
        </is>
      </c>
      <c r="B2696">
        <f>(C2675=TRUE)*F2675</f>
        <v/>
      </c>
    </row>
    <row r="2697">
      <c r="A2697" t="inlineStr">
        <is>
          <t>Buff-Casting Startup Delay (s, fixed-duration only)</t>
        </is>
      </c>
      <c r="B2697">
        <f>IF(AND(Inputs!$B$38&lt;&gt;"pvp",Inputs!$B$43&gt;0),SUMPRODUCT((Skills!T2:T31&gt;0)*(Skills!E2:E31=TRUE)*(C2658:C2687=TRUE))/B2692,0)</f>
        <v/>
      </c>
    </row>
    <row r="2698">
      <c r="A2698" t="inlineStr">
        <is>
          <t>Boss-Only Total DPS (this block's swept value)</t>
        </is>
      </c>
      <c r="B2698">
        <f>SUM(T2658:T2687)</f>
        <v/>
      </c>
    </row>
    <row r="2699">
      <c r="A2699" t="inlineStr">
        <is>
          <t>Normal-Only Total DPS (this block's swept value)</t>
        </is>
      </c>
      <c r="B2699">
        <f>SUM(V2658:V2687)</f>
        <v/>
      </c>
    </row>
    <row r="2700">
      <c r="A2700" s="6" t="inlineStr">
        <is>
          <t>TOTAL DPS</t>
        </is>
      </c>
      <c r="B2700" s="6">
        <f>SUM(O2658:O2687)</f>
        <v/>
      </c>
    </row>
    <row r="2703">
      <c r="A2703" s="6" t="inlineStr">
        <is>
          <t>Stat: Alliance Badge (Equip)</t>
        </is>
      </c>
    </row>
    <row r="2704">
      <c r="A2704" s="5" t="inlineStr">
        <is>
          <t>Key</t>
        </is>
      </c>
      <c r="B2704" s="5" t="inlineStr">
        <is>
          <t>Name</t>
        </is>
      </c>
      <c r="C2704" s="5" t="inlineStr">
        <is>
          <t>Unlocked</t>
        </is>
      </c>
      <c r="D2704" s="5" t="inlineStr">
        <is>
          <t>InputLevel</t>
        </is>
      </c>
      <c r="E2704" s="5" t="inlineStr">
        <is>
          <t>Factor</t>
        </is>
      </c>
      <c r="F2704" s="5" t="inlineStr">
        <is>
          <t>CoefficientPercent</t>
        </is>
      </c>
      <c r="G2704" s="5" t="inlineStr">
        <is>
          <t>EffectiveHits</t>
        </is>
      </c>
      <c r="H2704" s="5" t="inlineStr">
        <is>
          <t>ProcProbability</t>
        </is>
      </c>
      <c r="I2704" s="5" t="inlineStr">
        <is>
          <t>MapleHeroMultiplier</t>
        </is>
      </c>
      <c r="J2704" s="5" t="inlineStr">
        <is>
          <t>BaseDamage</t>
        </is>
      </c>
      <c r="K2704" s="5" t="inlineStr">
        <is>
          <t>BaseHitDamage</t>
        </is>
      </c>
      <c r="L2704" s="5" t="inlineStr">
        <is>
          <t>NonCritAvg</t>
        </is>
      </c>
      <c r="M2704" s="5" t="inlineStr">
        <is>
          <t>CritAvg</t>
        </is>
      </c>
      <c r="N2704" s="5" t="inlineStr">
        <is>
          <t>ExpectedDamage(perHit)</t>
        </is>
      </c>
      <c r="O2704" s="5" t="inlineStr">
        <is>
          <t>DPS</t>
        </is>
      </c>
      <c r="P2704" s="5" t="inlineStr">
        <is>
          <t>% of Total</t>
        </is>
      </c>
      <c r="Q2704" s="5" t="inlineStr">
        <is>
          <t>InvCooldown</t>
        </is>
      </c>
      <c r="R2704" s="5" t="inlineStr">
        <is>
          <t>CastsInFight</t>
        </is>
      </c>
      <c r="S2704" s="5" t="inlineStr">
        <is>
          <t>HitRate(perSec)</t>
        </is>
      </c>
      <c r="U2704" t="inlineStr">
        <is>
          <t>helpers</t>
        </is>
      </c>
    </row>
    <row r="2705">
      <c r="A2705">
        <f>Skills!A2</f>
        <v/>
      </c>
      <c r="B2705">
        <f>Skills!B2</f>
        <v/>
      </c>
      <c r="C2705">
        <f>Inputs!$B$3&gt;=100</f>
        <v/>
      </c>
      <c r="D2705" t="inlineStr"/>
      <c r="E2705" t="inlineStr"/>
      <c r="F2705">
        <f>U2707+Skills!O2</f>
        <v/>
      </c>
      <c r="G2705">
        <f>Skills!G2*IF(Skills!H2&gt;0,Skills!I2/Skills!H2,1)</f>
        <v/>
      </c>
      <c r="H2705">
        <f>1-(1-Skills!J2/100)^Skills!K2</f>
        <v/>
      </c>
      <c r="I2705" t="inlineStr">
        <is>
          <t>1</t>
        </is>
      </c>
      <c r="J2705">
        <f>((Inputs!$B$6*(1+Inputs!$B$7/100))+(((Inputs!$B$12*(1+Inputs!$B$13/100))-(Inputs!$B$12*(1+Inputs!$B$13/100)))+0.25*(Inputs!$B$14-Inputs!$B$14))*(1+Inputs!$B$7/100))*(F2705/100)</f>
        <v/>
      </c>
      <c r="K2705">
        <f>J2705*(1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2705)</f>
        <v/>
      </c>
      <c r="L2705">
        <f>K2705*(MIN(Inputs!$B$22+((C2728=TRUE)*(F2728-Calc!F25)),(Inputs!$B$23+((C2733=TRUE)*(F2733-Calc!F30))+(IF(ArtifactsInput!$M$15,CHOOSE(ArtifactsInput!$N$15+1,25,30,35,40,45,50)/100*(Inputs!$B$11-Inputs!$B$11),0))))/100+(Inputs!$B$23+((C2733=TRUE)*(F2733-Calc!F30))+(IF(ArtifactsInput!$M$15,CHOOSE(ArtifactsInput!$N$15+1,25,30,35,40,45,50)/100*(Inputs!$B$11-Inputs!$B$11),0)))/100)/2</f>
        <v/>
      </c>
      <c r="M2705">
        <f>L2705*(1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5">
        <f>L2705*(1-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2705*(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5">
        <f>(1-Summary!$B$11)*T2705+Summary!$B$11*V2705</f>
        <v/>
      </c>
      <c r="P2705">
        <f>IF(B2747=0,0,O2705/B2747)</f>
        <v/>
      </c>
      <c r="Q2705" t="n">
        <v>0</v>
      </c>
      <c r="R2705" t="n">
        <v>0</v>
      </c>
      <c r="S2705">
        <f>IFERROR(O2705/N2705,0)</f>
        <v/>
      </c>
      <c r="T2705">
        <f>IF(C2705,(Skills!G2*N2705*B2741)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2705*(1-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2705*(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2705*(1-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2705*(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05">
        <f>MAX(0,(Inputs!$B$3-100)*3)+Inputs!$B$28+Inputs!$B$29</f>
        <v/>
      </c>
      <c r="V2705">
        <f>IF(C2705,(Skills!G2*N2705*B2741)*IF(Inputs!$B$38="pvp",1,(1+(Inputs!$B$21+Skills!Q2+(IF(ArtifactsInput!$M$33,CHOOSE(ArtifactsInput!$N$33+1,30,36,42,48,54,60),0))+(IF(AND(ArtifactsInput!$M$35,Inputs!$B$4&lt;&gt;"Chapter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6">
      <c r="A2706">
        <f>Skills!A3</f>
        <v/>
      </c>
      <c r="B2706">
        <f>Skills!B3</f>
        <v/>
      </c>
      <c r="C2706">
        <f>Inputs!$B$3&gt;=50</f>
        <v/>
      </c>
      <c r="D2706">
        <f>IF(Skills!C3=1,60+Inputs!$B$25+Inputs!$B$29,IF(Skills!C3=2,90+Inputs!$B$26+Inputs!$B$29,IF(Skills!C3=3,120+Inputs!$B$27+Inputs!$B$29,MAX(0,(Inputs!$B$3-100)*3)+Inputs!$B$28+Inputs!$B$29)))</f>
        <v/>
      </c>
      <c r="E2706">
        <f>INDEX(FactorTable!$B$2:$Y$301, MATCH(ROUND(MIN(300,MAX(1,D2706)),0), FactorTable!$A$2:$A$301,0), Skills!M3+1)</f>
        <v/>
      </c>
      <c r="F2706">
        <f>IF(Skills!N3=TRUE,(Skills!L3/10)*(E2706/1000),Skills!L3/10)+Skills!O3</f>
        <v/>
      </c>
      <c r="G2706">
        <f>Skills!G3*IF(Skills!H3&gt;0,Skills!I3/Skills!H3,1)</f>
        <v/>
      </c>
      <c r="H2706">
        <f>1-(1-Skills!J3/100)^Skills!K3</f>
        <v/>
      </c>
      <c r="I2706" t="inlineStr">
        <is>
          <t>1</t>
        </is>
      </c>
      <c r="J2706">
        <f>((Inputs!$B$6*(1+Inputs!$B$7/100))+(((Inputs!$B$12*(1+Inputs!$B$13/100))-(Inputs!$B$12*(1+Inputs!$B$13/100)))+0.25*(Inputs!$B$14-Inputs!$B$14))*(1+Inputs!$B$7/100))*(F2706/100)</f>
        <v/>
      </c>
      <c r="K2706">
        <f>J2706*(1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2707=TRUE,F2707,0)/100)*(1+(IF(Skills!A3="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2706)</f>
        <v/>
      </c>
      <c r="L2706">
        <f>K2706*(MIN(Inputs!$B$22+((C2728=TRUE)*(F2728-Calc!F25)),(Inputs!$B$23+((C2733=TRUE)*(F2733-Calc!F30))+(IF(ArtifactsInput!$M$15,CHOOSE(ArtifactsInput!$N$15+1,25,30,35,40,45,50)/100*(Inputs!$B$11-Inputs!$B$11),0))))/100+(Inputs!$B$23+((C2733=TRUE)*(F2733-Calc!F30))+(IF(ArtifactsInput!$M$15,CHOOSE(ArtifactsInput!$N$15+1,25,30,35,40,45,50)/100*(Inputs!$B$11-Inputs!$B$11),0)))/100)/2</f>
        <v/>
      </c>
      <c r="M2706">
        <f>L2706*(1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6">
        <f>L2706*(1-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2706*(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6">
        <f>(1-Summary!$B$11)*T2706+Summary!$B$11*V2706</f>
        <v/>
      </c>
      <c r="P2706">
        <f>IF(B2747=0,0,O2706/B2747)</f>
        <v/>
      </c>
      <c r="Q2706">
        <f>IFERROR(1/(IF(Inputs!$B$38="pvp",15,MAX(0.1,Skills!D3-IF(Skills!E3=TRUE,Inputs!$B$32,0)))*(1-IF(AND(ArtifactsInput!$M$27,Inputs!$B$4="Chapter Hunt"),CHOOSE(ArtifactsInput!$N$27+1,20,24,28,32,36,40),0)/100)),0)</f>
        <v/>
      </c>
      <c r="R2706">
        <f>IF(AND(Inputs!$B$38&lt;&gt;"pvp",Inputs!$B$43&gt;0),IF(MAX(0,Inputs!$B$43-B2744)&lt;=0,0,(INT(MAX(0,Inputs!$B$43-B2744)/(IF(Inputs!$B$38="pvp",15,MAX(0.1,Skills!D3-IF(Skills!E3=TRUE,Inputs!$B$32,0)))*(1-IF(AND(ArtifactsInput!$M$27,Inputs!$B$4="Chapter Hunt"),CHOOSE(ArtifactsInput!$N$27+1,20,24,28,32,36,40),0)/100)))+1)),0)</f>
        <v/>
      </c>
      <c r="S2706">
        <f>IFERROR(O2706/N2706,0)</f>
        <v/>
      </c>
      <c r="T2706">
        <f>IF(C2706,(H2706*N2706*IF(AND(Inputs!$B$38&lt;&gt;"pvp",Inputs!$B$43&gt;0),((Skills!G3*((R2706-1)*IF(Skills!H3&gt;0,Skills!I3/Skills!H3,1)+IF(Skills!H3&gt;0,MIN(Skills!I3,MAX(0,MAX(0,Inputs!$B$43-B2744)-((R2706-1)*(IF(Inputs!$B$38="pvp",15,MAX(0.1,Skills!D3-IF(Skills!E3=TRUE,Inputs!$B$32,0)))*(1-IF(AND(ArtifactsInput!$M$27,Inputs!$B$4="Chapter Hunt"),CHOOSE(ArtifactsInput!$N$27+1,20,24,28,32,36,40),0)/100)))))/Skills!H3,1)))/Inputs!$B$43),G2706*Q2706)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2706*(1-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2706*(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2706*(1-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2706*(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06">
        <f>INDEX(FactorTable!$B$2:$Y$301, MATCH(ROUND(MIN(300,MAX(1,U2705)),0), FactorTable!$A$2:$A$301,0), 22)</f>
        <v/>
      </c>
      <c r="V2706">
        <f>IF(C2706,(H2706*N2706*IF(AND(Inputs!$B$38&lt;&gt;"pvp",Inputs!$B$43&gt;0),((Skills!G3*((R2706-1)*IF(Skills!H3&gt;0,Skills!I3/Skills!H3,1)+IF(Skills!H3&gt;0,MIN(Skills!I3,MAX(0,MAX(0,Inputs!$B$43-B2744)-((R2706-1)*(IF(Inputs!$B$38="pvp",15,MAX(0.1,Skills!D3-IF(Skills!E3=TRUE,Inputs!$B$32,0)))*(1-IF(AND(ArtifactsInput!$M$27,Inputs!$B$4="Chapter Hunt"),CHOOSE(ArtifactsInput!$N$27+1,20,24,28,32,36,40),0)/100)))))/Skills!H3,1)))/Inputs!$B$43),G2706*Q2706))*IF(Inputs!$B$38="pvp",1,(1+(Inputs!$B$21+Skills!Q3+(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7">
      <c r="A2707">
        <f>Skills!A4</f>
        <v/>
      </c>
      <c r="B2707">
        <f>Skills!B4</f>
        <v/>
      </c>
      <c r="C2707">
        <f>Inputs!$B$3&gt;=105</f>
        <v/>
      </c>
      <c r="D2707">
        <f>IF(Skills!C4=1,60+Inputs!$B$25+Inputs!$B$29,IF(Skills!C4=2,90+Inputs!$B$26+Inputs!$B$29,IF(Skills!C4=3,120+Inputs!$B$27+Inputs!$B$29,MAX(0,(Inputs!$B$3-100)*3)+Inputs!$B$28+Inputs!$B$29)))</f>
        <v/>
      </c>
      <c r="E2707">
        <f>INDEX(FactorTable!$B$2:$Y$301, MATCH(ROUND(MIN(300,MAX(1,D2707)),0), FactorTable!$A$2:$A$301,0), Skills!M4+1)</f>
        <v/>
      </c>
      <c r="F2707">
        <f>IF(Skills!N4=TRUE,(Skills!L4/10)*(E2707/1000),Skills!L4/10)+Skills!O4</f>
        <v/>
      </c>
      <c r="G2707" t="inlineStr"/>
      <c r="H2707" t="inlineStr"/>
      <c r="I2707" t="inlineStr">
        <is>
          <t>1</t>
        </is>
      </c>
      <c r="J2707" t="inlineStr"/>
      <c r="K2707" t="inlineStr"/>
      <c r="L2707" t="inlineStr"/>
      <c r="M2707" t="inlineStr"/>
      <c r="N2707" t="inlineStr"/>
      <c r="O2707" t="inlineStr"/>
      <c r="P2707" t="inlineStr"/>
      <c r="Q2707" t="inlineStr"/>
      <c r="R2707" t="inlineStr"/>
      <c r="S2707" t="inlineStr"/>
      <c r="T2707" t="inlineStr"/>
      <c r="U2707">
        <f>290*U2706/1000</f>
        <v/>
      </c>
      <c r="V2707" t="inlineStr"/>
    </row>
    <row r="2708">
      <c r="A2708">
        <f>Skills!A5</f>
        <v/>
      </c>
      <c r="B2708">
        <f>Skills!B5</f>
        <v/>
      </c>
      <c r="C2708">
        <f>Inputs!$B$3&gt;=35</f>
        <v/>
      </c>
      <c r="D2708">
        <f>IF(Skills!C5=1,60+Inputs!$B$25+Inputs!$B$29,IF(Skills!C5=2,90+Inputs!$B$26+Inputs!$B$29,IF(Skills!C5=3,120+Inputs!$B$27+Inputs!$B$29,MAX(0,(Inputs!$B$3-100)*3)+Inputs!$B$28+Inputs!$B$29)))</f>
        <v/>
      </c>
      <c r="E2708">
        <f>INDEX(FactorTable!$B$2:$Y$301, MATCH(ROUND(MIN(300,MAX(1,D2708)),0), FactorTable!$A$2:$A$301,0), Skills!M5+1)</f>
        <v/>
      </c>
      <c r="F2708">
        <f>IF(Skills!N5=TRUE,(Skills!L5/10)*(E2708/1000),Skills!L5/10)+Skills!O5</f>
        <v/>
      </c>
      <c r="G2708">
        <f>Skills!G5*IF(Skills!H5&gt;0,Skills!I5/Skills!H5,1)</f>
        <v/>
      </c>
      <c r="H2708">
        <f>1-(1-Skills!J5/100)^Skills!K5</f>
        <v/>
      </c>
      <c r="I2708" t="inlineStr">
        <is>
          <t>1</t>
        </is>
      </c>
      <c r="J2708">
        <f>((Inputs!$B$6*(1+Inputs!$B$7/100))+(((Inputs!$B$12*(1+Inputs!$B$13/100))-(Inputs!$B$12*(1+Inputs!$B$13/100)))+0.25*(Inputs!$B$14-Inputs!$B$14))*(1+Inputs!$B$7/100))*(F2708/100)</f>
        <v/>
      </c>
      <c r="K2708">
        <f>J2708*(1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2714=TRUE,F2714,0)/100)*(1+(IF(Skills!A5="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2708)</f>
        <v/>
      </c>
      <c r="L2708">
        <f>K2708*(MIN(Inputs!$B$22+((C2728=TRUE)*(F2728-Calc!F25)),(Inputs!$B$23+((C2733=TRUE)*(F2733-Calc!F30))+(IF(ArtifactsInput!$M$15,CHOOSE(ArtifactsInput!$N$15+1,25,30,35,40,45,50)/100*(Inputs!$B$11-Inputs!$B$11),0))))/100+(Inputs!$B$23+((C2733=TRUE)*(F2733-Calc!F30))+(IF(ArtifactsInput!$M$15,CHOOSE(ArtifactsInput!$N$15+1,25,30,35,40,45,50)/100*(Inputs!$B$11-Inputs!$B$11),0)))/100)/2</f>
        <v/>
      </c>
      <c r="M2708">
        <f>L2708*(1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8">
        <f>L2708*(1-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2708*(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8">
        <f>(1-Summary!$B$11)*T2708+Summary!$B$11*V2708</f>
        <v/>
      </c>
      <c r="P2708">
        <f>IF(B2747=0,0,O2708/B2747)</f>
        <v/>
      </c>
      <c r="Q2708">
        <f>IFERROR(1/(IF(Inputs!$B$38="pvp",15,MAX(0.1,Skills!D5-IF(Skills!E5=TRUE,Inputs!$B$32,0)))*(1-IF(AND(ArtifactsInput!$M$27,Inputs!$B$4="Chapter Hunt"),CHOOSE(ArtifactsInput!$N$27+1,20,24,28,32,36,40),0)/100)),0)</f>
        <v/>
      </c>
      <c r="R2708">
        <f>IF(AND(Inputs!$B$38&lt;&gt;"pvp",Inputs!$B$43&gt;0),IF(MAX(0,Inputs!$B$43-B2744)&lt;=0,0,(INT(MAX(0,Inputs!$B$43-B2744)/(IF(Inputs!$B$38="pvp",15,MAX(0.1,Skills!D5-IF(Skills!E5=TRUE,Inputs!$B$32,0)))*(1-IF(AND(ArtifactsInput!$M$27,Inputs!$B$4="Chapter Hunt"),CHOOSE(ArtifactsInput!$N$27+1,20,24,28,32,36,40),0)/100)))+1)),0)</f>
        <v/>
      </c>
      <c r="S2708">
        <f>IFERROR(O2708/N2708,0)</f>
        <v/>
      </c>
      <c r="T2708">
        <f>IF(C2708,(H2708*N2708*IF(AND(Inputs!$B$38&lt;&gt;"pvp",Inputs!$B$43&gt;0),((Skills!G5*((R2708-1)*IF(Skills!H5&gt;0,Skills!I5/Skills!H5,1)+IF(Skills!H5&gt;0,MIN(Skills!I5,MAX(0,MAX(0,Inputs!$B$43-B2744)-((R2708-1)*(IF(Inputs!$B$38="pvp",15,MAX(0.1,Skills!D5-IF(Skills!E5=TRUE,Inputs!$B$32,0)))*(1-IF(AND(ArtifactsInput!$M$27,Inputs!$B$4="Chapter Hunt"),CHOOSE(ArtifactsInput!$N$27+1,20,24,28,32,36,40),0)/100)))))/Skills!H5,1)))/Inputs!$B$43),G2708*Q2708)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2708*(1-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2708*(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2708*(1-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2708*(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8">
        <f>IF(C2708,(H2708*N2708*IF(AND(Inputs!$B$38&lt;&gt;"pvp",Inputs!$B$43&gt;0),((Skills!G5*((R2708-1)*IF(Skills!H5&gt;0,Skills!I5/Skills!H5,1)+IF(Skills!H5&gt;0,MIN(Skills!I5,MAX(0,MAX(0,Inputs!$B$43-B2744)-((R2708-1)*(IF(Inputs!$B$38="pvp",15,MAX(0.1,Skills!D5-IF(Skills!E5=TRUE,Inputs!$B$32,0)))*(1-IF(AND(ArtifactsInput!$M$27,Inputs!$B$4="Chapter Hunt"),CHOOSE(ArtifactsInput!$N$27+1,20,24,28,32,36,40),0)/100)))))/Skills!H5,1)))/Inputs!$B$43),G2708*Q2708))*IF(Inputs!$B$38="pvp",1,(1+(Inputs!$B$21+Skills!Q5+(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9">
      <c r="A2709">
        <f>Skills!A6</f>
        <v/>
      </c>
      <c r="B2709">
        <f>Skills!B6</f>
        <v/>
      </c>
      <c r="C2709">
        <f>Inputs!$B$3&gt;=40</f>
        <v/>
      </c>
      <c r="D2709">
        <f>IF(Skills!C6=1,60+Inputs!$B$25+Inputs!$B$29,IF(Skills!C6=2,90+Inputs!$B$26+Inputs!$B$29,IF(Skills!C6=3,120+Inputs!$B$27+Inputs!$B$29,MAX(0,(Inputs!$B$3-100)*3)+Inputs!$B$28+Inputs!$B$29)))</f>
        <v/>
      </c>
      <c r="E2709">
        <f>INDEX(FactorTable!$B$2:$Y$301, MATCH(ROUND(MIN(300,MAX(1,D2709)),0), FactorTable!$A$2:$A$301,0), Skills!M6+1)</f>
        <v/>
      </c>
      <c r="F2709">
        <f>IF(Skills!N6=TRUE,(Skills!L6/10)*(E2709/1000),Skills!L6/10)+Skills!O6</f>
        <v/>
      </c>
      <c r="G2709">
        <f>Skills!G6*IF(Skills!H6&gt;0,Skills!I6/Skills!H6,1)</f>
        <v/>
      </c>
      <c r="H2709">
        <f>1-(1-Skills!J6/100)^Skills!K6</f>
        <v/>
      </c>
      <c r="I2709" t="inlineStr">
        <is>
          <t>1</t>
        </is>
      </c>
      <c r="J2709">
        <f>((Inputs!$B$6*(1+Inputs!$B$7/100))+(((Inputs!$B$12*(1+Inputs!$B$13/100))-(Inputs!$B$12*(1+Inputs!$B$13/100)))+0.25*(Inputs!$B$14-Inputs!$B$14))*(1+Inputs!$B$7/100))*(F2709/100)</f>
        <v/>
      </c>
      <c r="K2709">
        <f>J2709*(1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2710=TRUE,F2710,0)/100)*(1+(IF(Skills!A6="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2709)</f>
        <v/>
      </c>
      <c r="L2709">
        <f>K2709*(MIN(Inputs!$B$22+((C2728=TRUE)*(F2728-Calc!F25)),(Inputs!$B$23+((C2733=TRUE)*(F2733-Calc!F30))+(IF(ArtifactsInput!$M$15,CHOOSE(ArtifactsInput!$N$15+1,25,30,35,40,45,50)/100*(Inputs!$B$11-Inputs!$B$11),0))))/100+(Inputs!$B$23+((C2733=TRUE)*(F2733-Calc!F30))+(IF(ArtifactsInput!$M$15,CHOOSE(ArtifactsInput!$N$15+1,25,30,35,40,45,50)/100*(Inputs!$B$11-Inputs!$B$11),0)))/100)/2</f>
        <v/>
      </c>
      <c r="M2709">
        <f>L2709*(1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9">
        <f>L2709*(1-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2709*(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9">
        <f>(1-Summary!$B$11)*T2709+Summary!$B$11*V2709</f>
        <v/>
      </c>
      <c r="P2709">
        <f>IF(B2747=0,0,O2709/B2747)</f>
        <v/>
      </c>
      <c r="Q2709">
        <f>IFERROR(1/(IF(Inputs!$B$38="pvp",15,MAX(0.1,Skills!D6-IF(Skills!E6=TRUE,Inputs!$B$32,0)))*(1-IF(AND(ArtifactsInput!$M$27,Inputs!$B$4="Chapter Hunt"),CHOOSE(ArtifactsInput!$N$27+1,20,24,28,32,36,40),0)/100)),0)</f>
        <v/>
      </c>
      <c r="R2709">
        <f>IF(AND(Inputs!$B$38&lt;&gt;"pvp",Inputs!$B$43&gt;0),IF(MAX(0,Inputs!$B$43-B2744)&lt;=0,0,(INT(MAX(0,Inputs!$B$43-B2744)/(IF(Inputs!$B$38="pvp",15,MAX(0.1,Skills!D6-IF(Skills!E6=TRUE,Inputs!$B$32,0)))*(1-IF(AND(ArtifactsInput!$M$27,Inputs!$B$4="Chapter Hunt"),CHOOSE(ArtifactsInput!$N$27+1,20,24,28,32,36,40),0)/100)))+1)),0)</f>
        <v/>
      </c>
      <c r="S2709">
        <f>IFERROR(O2709/N2709,0)</f>
        <v/>
      </c>
      <c r="T2709">
        <f>IF(C2709,(H2709*N2709*IF(AND(Inputs!$B$38&lt;&gt;"pvp",Inputs!$B$43&gt;0),((Skills!G6*((R2709-1)*IF(Skills!H6&gt;0,Skills!I6/Skills!H6,1)+IF(Skills!H6&gt;0,MIN(Skills!I6,MAX(0,MAX(0,Inputs!$B$43-B2744)-((R2709-1)*(IF(Inputs!$B$38="pvp",15,MAX(0.1,Skills!D6-IF(Skills!E6=TRUE,Inputs!$B$32,0)))*(1-IF(AND(ArtifactsInput!$M$27,Inputs!$B$4="Chapter Hunt"),CHOOSE(ArtifactsInput!$N$27+1,20,24,28,32,36,40),0)/100)))))/Skills!H6,1)))/Inputs!$B$43),G2709*Q2709)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2709*(1-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2709*(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2709*(1-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2709*(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9">
        <f>IF(C2709,(H2709*N2709*IF(AND(Inputs!$B$38&lt;&gt;"pvp",Inputs!$B$43&gt;0),((Skills!G6*((R2709-1)*IF(Skills!H6&gt;0,Skills!I6/Skills!H6,1)+IF(Skills!H6&gt;0,MIN(Skills!I6,MAX(0,MAX(0,Inputs!$B$43-B2744)-((R2709-1)*(IF(Inputs!$B$38="pvp",15,MAX(0.1,Skills!D6-IF(Skills!E6=TRUE,Inputs!$B$32,0)))*(1-IF(AND(ArtifactsInput!$M$27,Inputs!$B$4="Chapter Hunt"),CHOOSE(ArtifactsInput!$N$27+1,20,24,28,32,36,40),0)/100)))))/Skills!H6,1)))/Inputs!$B$43),G2709*Q2709))*IF(Inputs!$B$38="pvp",1,(1+(Inputs!$B$21+Skills!Q6+(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0">
      <c r="A2710">
        <f>Skills!A7</f>
        <v/>
      </c>
      <c r="B2710">
        <f>Skills!B7</f>
        <v/>
      </c>
      <c r="C2710">
        <f>Inputs!$B$3&gt;=107</f>
        <v/>
      </c>
      <c r="D2710">
        <f>IF(Skills!C7=1,60+Inputs!$B$25+Inputs!$B$29,IF(Skills!C7=2,90+Inputs!$B$26+Inputs!$B$29,IF(Skills!C7=3,120+Inputs!$B$27+Inputs!$B$29,MAX(0,(Inputs!$B$3-100)*3)+Inputs!$B$28+Inputs!$B$29)))</f>
        <v/>
      </c>
      <c r="E2710">
        <f>INDEX(FactorTable!$B$2:$Y$301, MATCH(ROUND(MIN(300,MAX(1,D2710)),0), FactorTable!$A$2:$A$301,0), Skills!M7+1)</f>
        <v/>
      </c>
      <c r="F2710">
        <f>IF(Skills!N7=TRUE,(Skills!L7/10)*(E2710/1000),Skills!L7/10)+Skills!O7</f>
        <v/>
      </c>
      <c r="G2710" t="inlineStr"/>
      <c r="H2710" t="inlineStr"/>
      <c r="I2710" t="inlineStr">
        <is>
          <t>1</t>
        </is>
      </c>
      <c r="J2710" t="inlineStr"/>
      <c r="K2710" t="inlineStr"/>
      <c r="L2710" t="inlineStr"/>
      <c r="M2710" t="inlineStr"/>
      <c r="N2710" t="inlineStr"/>
      <c r="O2710" t="inlineStr"/>
      <c r="P2710" t="inlineStr"/>
      <c r="Q2710" t="inlineStr"/>
      <c r="R2710" t="inlineStr"/>
      <c r="S2710" t="inlineStr"/>
      <c r="T2710" t="inlineStr"/>
      <c r="V2710" t="inlineStr"/>
    </row>
    <row r="2711">
      <c r="A2711">
        <f>Skills!A8</f>
        <v/>
      </c>
      <c r="B2711">
        <f>Skills!B8</f>
        <v/>
      </c>
      <c r="C2711">
        <f>Inputs!$B$3&gt;=69</f>
        <v/>
      </c>
      <c r="D2711">
        <f>IF(Skills!C8=1,60+Inputs!$B$25+Inputs!$B$29,IF(Skills!C8=2,90+Inputs!$B$26+Inputs!$B$29,IF(Skills!C8=3,120+Inputs!$B$27+Inputs!$B$29,MAX(0,(Inputs!$B$3-100)*3)+Inputs!$B$28+Inputs!$B$29)))</f>
        <v/>
      </c>
      <c r="E2711">
        <f>INDEX(FactorTable!$B$2:$Y$301, MATCH(ROUND(MIN(300,MAX(1,D2711)),0), FactorTable!$A$2:$A$301,0), Skills!M8+1)</f>
        <v/>
      </c>
      <c r="F2711">
        <f>IF(Skills!N8=TRUE,(Skills!L8/10)*(E2711/1000),Skills!L8/10)+Skills!O8</f>
        <v/>
      </c>
      <c r="G2711">
        <f>Skills!G8*IF(Skills!H8&gt;0,Skills!I8/Skills!H8,1)</f>
        <v/>
      </c>
      <c r="H2711">
        <f>1-(1-Skills!J8/100)^Skills!K8</f>
        <v/>
      </c>
      <c r="I2711" t="inlineStr">
        <is>
          <t>1</t>
        </is>
      </c>
      <c r="J2711">
        <f>((Inputs!$B$6*(1+Inputs!$B$7/100))+(((Inputs!$B$12*(1+Inputs!$B$13/100))-(Inputs!$B$12*(1+Inputs!$B$13/100)))+0.25*(Inputs!$B$14-Inputs!$B$14))*(1+Inputs!$B$7/100))*(F2711/100)</f>
        <v/>
      </c>
      <c r="K2711">
        <f>J2711*(1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2714=TRUE,F2714,0)/100)*(1+(IF(Skills!A8="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2711)</f>
        <v/>
      </c>
      <c r="L2711">
        <f>K2711*(MIN(Inputs!$B$22+((C2728=TRUE)*(F2728-Calc!F25)),(Inputs!$B$23+((C2733=TRUE)*(F2733-Calc!F30))+(IF(ArtifactsInput!$M$15,CHOOSE(ArtifactsInput!$N$15+1,25,30,35,40,45,50)/100*(Inputs!$B$11-Inputs!$B$11),0))))/100+(Inputs!$B$23+((C2733=TRUE)*(F2733-Calc!F30))+(IF(ArtifactsInput!$M$15,CHOOSE(ArtifactsInput!$N$15+1,25,30,35,40,45,50)/100*(Inputs!$B$11-Inputs!$B$11),0)))/100)/2</f>
        <v/>
      </c>
      <c r="M2711">
        <f>L2711*(1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1">
        <f>L2711*(1-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1">
        <f>(1-Summary!$B$11)*T2711+Summary!$B$11*V2711</f>
        <v/>
      </c>
      <c r="P2711">
        <f>IF(B2747=0,0,O2711/B2747)</f>
        <v/>
      </c>
      <c r="Q2711">
        <f>IFERROR(1/(IF(Inputs!$B$38="pvp",15,MAX(0.1,Skills!D8-IF(Skills!E8=TRUE,Inputs!$B$32,0)))*(1-IF(AND(ArtifactsInput!$M$27,Inputs!$B$4="Chapter Hunt"),CHOOSE(ArtifactsInput!$N$27+1,20,24,28,32,36,40),0)/100)),0)</f>
        <v/>
      </c>
      <c r="R2711">
        <f>IF(AND(Inputs!$B$38&lt;&gt;"pvp",Inputs!$B$43&gt;0),IF(MAX(0,Inputs!$B$43-B2744)&lt;=0,0,(INT(MAX(0,Inputs!$B$43-B2744)/(IF(Inputs!$B$38="pvp",15,MAX(0.1,Skills!D8-IF(Skills!E8=TRUE,Inputs!$B$32,0)))*(1-IF(AND(ArtifactsInput!$M$27,Inputs!$B$4="Chapter Hunt"),CHOOSE(ArtifactsInput!$N$27+1,20,24,28,32,36,40),0)/100)))+1)),0)</f>
        <v/>
      </c>
      <c r="S2711">
        <f>IFERROR(O2711/N2711,0)</f>
        <v/>
      </c>
      <c r="T2711">
        <f>IF(C2711,(H2711*N2711*IF(AND(Inputs!$B$38&lt;&gt;"pvp",Inputs!$B$43&gt;0),((Skills!G8*((R2711-1)*IF(Skills!H8&gt;0,Skills!I8/Skills!H8,1)+IF(Skills!H8&gt;0,MIN(Skills!I8,MAX(0,MAX(0,Inputs!$B$43-B2744)-((R2711-1)*(IF(Inputs!$B$38="pvp",15,MAX(0.1,Skills!D8-IF(Skills!E8=TRUE,Inputs!$B$32,0)))*(1-IF(AND(ArtifactsInput!$M$27,Inputs!$B$4="Chapter Hunt"),CHOOSE(ArtifactsInput!$N$27+1,20,24,28,32,36,40),0)/100)))))/Skills!H8,1)))/Inputs!$B$43),G2711*Q2711)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2711*(1-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2711*(1-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11">
        <f>IF(C2711,(H2711*N2711*IF(AND(Inputs!$B$38&lt;&gt;"pvp",Inputs!$B$43&gt;0),((Skills!G8*((R2711-1)*IF(Skills!H8&gt;0,Skills!I8/Skills!H8,1)+IF(Skills!H8&gt;0,MIN(Skills!I8,MAX(0,MAX(0,Inputs!$B$43-B2744)-((R2711-1)*(IF(Inputs!$B$38="pvp",15,MAX(0.1,Skills!D8-IF(Skills!E8=TRUE,Inputs!$B$32,0)))*(1-IF(AND(ArtifactsInput!$M$27,Inputs!$B$4="Chapter Hunt"),CHOOSE(ArtifactsInput!$N$27+1,20,24,28,32,36,40),0)/100)))))/Skills!H8,1)))/Inputs!$B$43),G2711*Q2711))*IF(Inputs!$B$38="pvp",1,(1+(Inputs!$B$21+Skills!Q8+(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2">
      <c r="A2712">
        <f>Skills!A9</f>
        <v/>
      </c>
      <c r="B2712">
        <f>Skills!B9</f>
        <v/>
      </c>
      <c r="C2712">
        <f>Inputs!$B$3&gt;=63</f>
        <v/>
      </c>
      <c r="D2712">
        <f>IF(Skills!C9=1,60+Inputs!$B$25+Inputs!$B$29,IF(Skills!C9=2,90+Inputs!$B$26+Inputs!$B$29,IF(Skills!C9=3,120+Inputs!$B$27+Inputs!$B$29,MAX(0,(Inputs!$B$3-100)*3)+Inputs!$B$28+Inputs!$B$29)))</f>
        <v/>
      </c>
      <c r="E2712">
        <f>INDEX(FactorTable!$B$2:$Y$301, MATCH(ROUND(MIN(300,MAX(1,D2712)),0), FactorTable!$A$2:$A$301,0), Skills!M9+1)</f>
        <v/>
      </c>
      <c r="F2712">
        <f>IF(Skills!N9=TRUE,(Skills!L9/10)*(E2712/1000),Skills!L9/10)+Skills!O9</f>
        <v/>
      </c>
      <c r="G2712">
        <f>Skills!G9*IF(Skills!H9&gt;0,Skills!I9/Skills!H9,1)</f>
        <v/>
      </c>
      <c r="H2712">
        <f>1-(1-Skills!J9/100)^Skills!K9</f>
        <v/>
      </c>
      <c r="I2712" t="inlineStr">
        <is>
          <t>1</t>
        </is>
      </c>
      <c r="J2712">
        <f>((Inputs!$B$6*(1+Inputs!$B$7/100))+(((Inputs!$B$12*(1+Inputs!$B$13/100))-(Inputs!$B$12*(1+Inputs!$B$13/100)))+0.25*(Inputs!$B$14-Inputs!$B$14))*(1+Inputs!$B$7/100))*(F2712/100)</f>
        <v/>
      </c>
      <c r="K2712">
        <f>J2712*(1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2714=TRUE,F2714,0)/100)*(1+(IF(Skills!A9="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2712)</f>
        <v/>
      </c>
      <c r="L2712">
        <f>K2712*(MIN(Inputs!$B$22+((C2728=TRUE)*(F2728-Calc!F25)),(Inputs!$B$23+((C2733=TRUE)*(F2733-Calc!F30))+(IF(ArtifactsInput!$M$15,CHOOSE(ArtifactsInput!$N$15+1,25,30,35,40,45,50)/100*(Inputs!$B$11-Inputs!$B$11),0))))/100+(Inputs!$B$23+((C2733=TRUE)*(F2733-Calc!F30))+(IF(ArtifactsInput!$M$15,CHOOSE(ArtifactsInput!$N$15+1,25,30,35,40,45,50)/100*(Inputs!$B$11-Inputs!$B$11),0)))/100)/2</f>
        <v/>
      </c>
      <c r="M2712">
        <f>L2712*(1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2">
        <f>L2712*(1-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2712*(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2">
        <f>(1-Summary!$B$11)*T2712+Summary!$B$11*V2712</f>
        <v/>
      </c>
      <c r="P2712">
        <f>IF(B2747=0,0,O2712/B2747)</f>
        <v/>
      </c>
      <c r="Q2712">
        <f>IFERROR(1/(IF(Inputs!$B$38="pvp",15,MAX(0.1,Skills!D9-IF(Skills!E9=TRUE,Inputs!$B$32,0)))*(1-IF(AND(ArtifactsInput!$M$27,Inputs!$B$4="Chapter Hunt"),CHOOSE(ArtifactsInput!$N$27+1,20,24,28,32,36,40),0)/100)),0)</f>
        <v/>
      </c>
      <c r="R2712">
        <f>IF(AND(Inputs!$B$38&lt;&gt;"pvp",Inputs!$B$43&gt;0),IF(MAX(0,Inputs!$B$43-B2744)&lt;=0,0,(INT(MAX(0,Inputs!$B$43-B2744)/(IF(Inputs!$B$38="pvp",15,MAX(0.1,Skills!D9-IF(Skills!E9=TRUE,Inputs!$B$32,0)))*(1-IF(AND(ArtifactsInput!$M$27,Inputs!$B$4="Chapter Hunt"),CHOOSE(ArtifactsInput!$N$27+1,20,24,28,32,36,40),0)/100)))+1)),0)</f>
        <v/>
      </c>
      <c r="S2712">
        <f>IFERROR(O2712/N2712,0)</f>
        <v/>
      </c>
      <c r="T2712">
        <f>IF(C2712,(H2712*N2712*IF(AND(Inputs!$B$38&lt;&gt;"pvp",Inputs!$B$43&gt;0),((Skills!G9*((R2712-1)*IF(Skills!H9&gt;0,Skills!I9/Skills!H9,1)+IF(Skills!H9&gt;0,MIN(Skills!I9,MAX(0,MAX(0,Inputs!$B$43-B2744)-((R2712-1)*(IF(Inputs!$B$38="pvp",15,MAX(0.1,Skills!D9-IF(Skills!E9=TRUE,Inputs!$B$32,0)))*(1-IF(AND(ArtifactsInput!$M$27,Inputs!$B$4="Chapter Hunt"),CHOOSE(ArtifactsInput!$N$27+1,20,24,28,32,36,40),0)/100)))))/Skills!H9,1)))/Inputs!$B$43),G2712*Q2712)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2712*(1-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2712*(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2712*(1-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2712*(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12">
        <f>IF(C2712,(H2712*N2712*IF(AND(Inputs!$B$38&lt;&gt;"pvp",Inputs!$B$43&gt;0),((Skills!G9*((R2712-1)*IF(Skills!H9&gt;0,Skills!I9/Skills!H9,1)+IF(Skills!H9&gt;0,MIN(Skills!I9,MAX(0,MAX(0,Inputs!$B$43-B2744)-((R2712-1)*(IF(Inputs!$B$38="pvp",15,MAX(0.1,Skills!D9-IF(Skills!E9=TRUE,Inputs!$B$32,0)))*(1-IF(AND(ArtifactsInput!$M$27,Inputs!$B$4="Chapter Hunt"),CHOOSE(ArtifactsInput!$N$27+1,20,24,28,32,36,40),0)/100)))))/Skills!H9,1)))/Inputs!$B$43),G2712*Q2712))*IF(Inputs!$B$38="pvp",1,(1+(Inputs!$B$21+Skills!Q9+(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3">
      <c r="A2713">
        <f>Skills!A10</f>
        <v/>
      </c>
      <c r="B2713">
        <f>Skills!B10</f>
        <v/>
      </c>
      <c r="C2713">
        <f>Inputs!$B$3&gt;=103</f>
        <v/>
      </c>
      <c r="D2713">
        <f>IF(Skills!C10=1,60+Inputs!$B$25+Inputs!$B$29,IF(Skills!C10=2,90+Inputs!$B$26+Inputs!$B$29,IF(Skills!C10=3,120+Inputs!$B$27+Inputs!$B$29,MAX(0,(Inputs!$B$3-100)*3)+Inputs!$B$28+Inputs!$B$29)))</f>
        <v/>
      </c>
      <c r="E2713">
        <f>INDEX(FactorTable!$B$2:$Y$301, MATCH(ROUND(MIN(300,MAX(1,D2713)),0), FactorTable!$A$2:$A$301,0), Skills!M10+1)</f>
        <v/>
      </c>
      <c r="F2713">
        <f>IF(Skills!N10=TRUE,(Skills!L10/10)*(E2713/1000),Skills!L10/10)+Skills!O10</f>
        <v/>
      </c>
      <c r="G2713">
        <f>Skills!G10*IF(Skills!H10&gt;0,Skills!I10/Skills!H10,1)</f>
        <v/>
      </c>
      <c r="H2713">
        <f>1-(1-Skills!J10/100)^Skills!K10</f>
        <v/>
      </c>
      <c r="I2713" t="inlineStr">
        <is>
          <t>1</t>
        </is>
      </c>
      <c r="J2713">
        <f>((Inputs!$B$6*(1+Inputs!$B$7/100))+(((Inputs!$B$12*(1+Inputs!$B$13/100))-(Inputs!$B$12*(1+Inputs!$B$13/100)))+0.25*(Inputs!$B$14-Inputs!$B$14))*(1+Inputs!$B$7/100))*(F2713/100)</f>
        <v/>
      </c>
      <c r="K2713">
        <f>J2713*(1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2713)</f>
        <v/>
      </c>
      <c r="L2713">
        <f>K2713*(MIN(Inputs!$B$22+((C2728=TRUE)*(F2728-Calc!F25)),(Inputs!$B$23+((C2733=TRUE)*(F2733-Calc!F30))+(IF(ArtifactsInput!$M$15,CHOOSE(ArtifactsInput!$N$15+1,25,30,35,40,45,50)/100*(Inputs!$B$11-Inputs!$B$11),0))))/100+(Inputs!$B$23+((C2733=TRUE)*(F2733-Calc!F30))+(IF(ArtifactsInput!$M$15,CHOOSE(ArtifactsInput!$N$15+1,25,30,35,40,45,50)/100*(Inputs!$B$11-Inputs!$B$11),0)))/100)/2</f>
        <v/>
      </c>
      <c r="M2713">
        <f>L2713*(1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3">
        <f>L2713*(1-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2713*(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3">
        <f>(1-Summary!$B$11)*T2713+Summary!$B$11*V2713</f>
        <v/>
      </c>
      <c r="P2713">
        <f>IF(B2747=0,0,O2713/B2747)</f>
        <v/>
      </c>
      <c r="Q2713">
        <f>IFERROR(1/(IF(Inputs!$B$38="pvp",15,MAX(0.1,Skills!D10-IF(Skills!E10=TRUE,Inputs!$B$32,0)))*(1-IF(AND(ArtifactsInput!$M$27,Inputs!$B$4="Chapter Hunt"),CHOOSE(ArtifactsInput!$N$27+1,20,24,28,32,36,40),0)/100)),0)</f>
        <v/>
      </c>
      <c r="R2713">
        <f>IF(AND(Inputs!$B$38&lt;&gt;"pvp",Inputs!$B$43&gt;0),IF(MAX(0,Inputs!$B$43-B2744)&lt;=0,0,(INT(MAX(0,Inputs!$B$43-B2744)/(IF(Inputs!$B$38="pvp",15,MAX(0.1,Skills!D10-IF(Skills!E10=TRUE,Inputs!$B$32,0)))*(1-IF(AND(ArtifactsInput!$M$27,Inputs!$B$4="Chapter Hunt"),CHOOSE(ArtifactsInput!$N$27+1,20,24,28,32,36,40),0)/100)))+1)),0)</f>
        <v/>
      </c>
      <c r="S2713">
        <f>IFERROR(O2713/N2713,0)</f>
        <v/>
      </c>
      <c r="T2713">
        <f>IF(C2713,(H2713*N2713*IF(AND(Inputs!$B$38&lt;&gt;"pvp",Inputs!$B$43&gt;0),((Skills!G10*((R2713-1)*IF(Skills!H10&gt;0,Skills!I10/Skills!H10,1)+IF(Skills!H10&gt;0,MIN(Skills!I10,MAX(0,MAX(0,Inputs!$B$43-B2744)-((R2713-1)*(IF(Inputs!$B$38="pvp",15,MAX(0.1,Skills!D10-IF(Skills!E10=TRUE,Inputs!$B$32,0)))*(1-IF(AND(ArtifactsInput!$M$27,Inputs!$B$4="Chapter Hunt"),CHOOSE(ArtifactsInput!$N$27+1,20,24,28,32,36,40),0)/100)))))/Skills!H10,1)))/Inputs!$B$43),G2713*Q2713)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2713*(1-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2713*(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2713*(1-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2713*(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13">
        <f>IF(C2713,(H2713*N2713*IF(AND(Inputs!$B$38&lt;&gt;"pvp",Inputs!$B$43&gt;0),((Skills!G10*((R2713-1)*IF(Skills!H10&gt;0,Skills!I10/Skills!H10,1)+IF(Skills!H10&gt;0,MIN(Skills!I10,MAX(0,MAX(0,Inputs!$B$43-B2744)-((R2713-1)*(IF(Inputs!$B$38="pvp",15,MAX(0.1,Skills!D10-IF(Skills!E10=TRUE,Inputs!$B$32,0)))*(1-IF(AND(ArtifactsInput!$M$27,Inputs!$B$4="Chapter Hunt"),CHOOSE(ArtifactsInput!$N$27+1,20,24,28,32,36,40),0)/100)))))/Skills!H10,1)))/Inputs!$B$43),G2713*Q2713))*IF(Inputs!$B$38="pvp",1,(1+(Inputs!$B$21+Skills!Q10+(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4">
      <c r="A2714">
        <f>Skills!A11</f>
        <v/>
      </c>
      <c r="B2714">
        <f>Skills!B11</f>
        <v/>
      </c>
      <c r="C2714">
        <f>Inputs!$B$3&gt;=100</f>
        <v/>
      </c>
      <c r="D2714">
        <f>IF(Skills!C11=1,60+Inputs!$B$25+Inputs!$B$29,IF(Skills!C11=2,90+Inputs!$B$26+Inputs!$B$29,IF(Skills!C11=3,120+Inputs!$B$27+Inputs!$B$29,MAX(0,(Inputs!$B$3-100)*3)+Inputs!$B$28+Inputs!$B$29)))</f>
        <v/>
      </c>
      <c r="E2714">
        <f>INDEX(FactorTable!$B$2:$Y$301, MATCH(ROUND(MIN(300,MAX(1,D2714)),0), FactorTable!$A$2:$A$301,0), Skills!M11+1)</f>
        <v/>
      </c>
      <c r="F2714">
        <f>IF(Skills!N11=TRUE,(Skills!L11/10)*(E2714/1000),Skills!L11/10)+Skills!O11</f>
        <v/>
      </c>
      <c r="G2714" t="inlineStr"/>
      <c r="H2714" t="inlineStr"/>
      <c r="I2714" t="inlineStr">
        <is>
          <t>1</t>
        </is>
      </c>
      <c r="J2714" t="inlineStr"/>
      <c r="K2714" t="inlineStr"/>
      <c r="L2714" t="inlineStr"/>
      <c r="M2714" t="inlineStr"/>
      <c r="N2714" t="inlineStr"/>
      <c r="O2714" t="inlineStr"/>
      <c r="P2714" t="inlineStr"/>
      <c r="Q2714" t="inlineStr"/>
      <c r="R2714" t="inlineStr"/>
      <c r="S2714" t="inlineStr"/>
      <c r="T2714" t="inlineStr"/>
      <c r="V2714" t="inlineStr"/>
    </row>
    <row r="2715">
      <c r="A2715">
        <f>Skills!A12</f>
        <v/>
      </c>
      <c r="B2715">
        <f>Skills!B12</f>
        <v/>
      </c>
      <c r="C2715">
        <f>Inputs!$B$3&gt;=60</f>
        <v/>
      </c>
      <c r="D2715">
        <f>IF(Skills!C12=1,60+Inputs!$B$25+Inputs!$B$29,IF(Skills!C12=2,90+Inputs!$B$26+Inputs!$B$29,IF(Skills!C12=3,120+Inputs!$B$27+Inputs!$B$29,MAX(0,(Inputs!$B$3-100)*3)+Inputs!$B$28+Inputs!$B$29)))</f>
        <v/>
      </c>
      <c r="E2715">
        <f>INDEX(FactorTable!$B$2:$Y$301, MATCH(ROUND(MIN(300,MAX(1,D2715)),0), FactorTable!$A$2:$A$301,0), Skills!M12+1)</f>
        <v/>
      </c>
      <c r="F2715">
        <f>IF(Skills!N12=TRUE,(Skills!L12/10)*(E2715/1000),Skills!L12/10)+Skills!O12</f>
        <v/>
      </c>
      <c r="G2715">
        <f>Skills!G12*IF(Skills!H12&gt;0,Skills!I12/Skills!H12,1)</f>
        <v/>
      </c>
      <c r="H2715">
        <f>1-(1-Skills!J12/100)^Skills!K12</f>
        <v/>
      </c>
      <c r="I2715" t="inlineStr">
        <is>
          <t>1</t>
        </is>
      </c>
      <c r="J2715">
        <f>((Inputs!$B$6*(1+Inputs!$B$7/100))+(((Inputs!$B$12*(1+Inputs!$B$13/100))-(Inputs!$B$12*(1+Inputs!$B$13/100)))+0.25*(Inputs!$B$14-Inputs!$B$14))*(1+Inputs!$B$7/100))*(F2715/100)</f>
        <v/>
      </c>
      <c r="K2715">
        <f>J2715*(1+((Inputs!$B$12*(1+Inputs!$B$13/100))*0.01+Inputs!$B$14*0.0025)/100)*(1+Inputs!$B$15/100)*(1+Inputs!$B$16/100)*(5000/(6000+Inputs!$B$42*(1-(100*(1-(1-(Inputs!$B$19+((C2731=TRUE)*(F2731-Calc!F28)))/100)*(1-CHOOSE(ArtifactsInput!$N$40+1,5,6,7,8,9,10)/100)^(ArtifactsInput!$M$40-ArtifactsInput!$M$40)))/100)))*(1+(Inputs!$B$24+((C2729=TRUE)*(F2729-Calc!F26))+((C2730=TRUE)*(F2730-Calc!F27))+B2743)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2716=TRUE,F2716,0)/100)*(1+(IF(Skills!A12="ARROW_STREAM",Inputs!$B$17+((C2727=TRUE)*(F2727-Calc!F24))+(((IF(AND(ArtifactsInput!$M$42,((Inputs!$B$9+((C2724=TRUE)*(F2724-Calc!F21))+B2737+(ArtifactsInput!$M$24-ArtifactsInput!$M$24)*CHOOSE(ArtifactsInput!$N$24+1,10,12,14,16,18,20)+IF(ArtifactsInput!$M$10,CHOOSE(ArtifactsInput!$N$10+1,15,18,21,24,27,30)*(IF(Inputs!$B$38="pvp",MIN(15,15)/15,IF(AND(Inputs!$B$38&lt;&gt;"pvp",Inputs!$B$43&gt;0),MIN(15,Inputs!$B$43)/(Inputs!$B$43),0))),0)))&gt;=100),MIN(100,((Inputs!$B$9+((C2724=TRUE)*(F2724-Calc!F21))+B2737+(ArtifactsInput!$M$24-ArtifactsInput!$M$24)*CHOOSE(ArtifactsInput!$N$24+1,10,12,14,16,18,20)+IF(ArtifactsInput!$M$10,CHOOSE(ArtifactsInput!$N$10+1,15,18,21,24,27,30)*(IF(Inputs!$B$38="pvp",MIN(15,15)/15,IF(AND(Inputs!$B$38&lt;&gt;"pvp",Inputs!$B$43&gt;0),MIN(15,Inputs!$B$43)/(Inputs!$B$43),0))),0)))-100),0))*CHOOSE(ArtifactsInput!$N$42+1,0.6,0.72,0.84,0.96,1.08,1.2))),Inputs!$B$18+((C2732=TRUE)*(F2732-Calc!F29))+(IF(AND(ArtifactsInput!$M$42,((Inputs!$B$9+((C2724=TRUE)*(F2724-Calc!F21))+B2737+(ArtifactsInput!$M$24-ArtifactsInput!$M$24)*CHOOSE(ArtifactsInput!$N$24+1,10,12,14,16,18,20)+IF(ArtifactsInput!$M$10,CHOOSE(ArtifactsInput!$N$10+1,15,18,21,24,27,30)*(IF(Inputs!$B$38="pvp",MIN(15,15)/15,IF(AND(Inputs!$B$38&lt;&gt;"pvp",Inputs!$B$43&gt;0),MIN(15,Inputs!$B$43)/(Inputs!$B$43),0))),0)))&gt;=100),CHOOSE(ArtifactsInput!$N$42+1,40,48,56,64,72,80),0))))/100)*((1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2715)</f>
        <v/>
      </c>
      <c r="L2715">
        <f>K2715*(MIN(Inputs!$B$22+((C2728=TRUE)*(F2728-Calc!F25)),(Inputs!$B$23+((C2733=TRUE)*(F2733-Calc!F30))+(IF(ArtifactsInput!$M$15,CHOOSE(ArtifactsInput!$N$15+1,25,30,35,40,45,50)/100*(Inputs!$B$11-Inputs!$B$11),0))))/100+(Inputs!$B$23+((C2733=TRUE)*(F2733-Calc!F30))+(IF(ArtifactsInput!$M$15,CHOOSE(ArtifactsInput!$N$15+1,25,30,35,40,45,50)/100*(Inputs!$B$11-Inputs!$B$11),0)))/100)/2</f>
        <v/>
      </c>
      <c r="M2715">
        <f>L2715*(1+(Inputs!$B$10+0+B2742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5">
        <f>L2715*(1-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2715*(MIN((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5">
        <f>(1-Summary!$B$11)*T2715+Summary!$B$11*V2715</f>
        <v/>
      </c>
      <c r="P2715">
        <f>IF(B2747=0,0,O2715/B2747)</f>
        <v/>
      </c>
      <c r="Q2715">
        <f>IFERROR(1/(IF(Inputs!$B$38="pvp",15,MAX(0.1,Skills!D12-IF(Skills!E12=TRUE,Inputs!$B$32,0)))*(1-IF(AND(ArtifactsInput!$M$27,Inputs!$B$4="Chapter Hunt"),CHOOSE(ArtifactsInput!$N$27+1,20,24,28,32,36,40),0)/100)),0)</f>
        <v/>
      </c>
      <c r="R2715">
        <f>IF(AND(Inputs!$B$38&lt;&gt;"pvp",Inputs!$B$43&gt;0),IF(MAX(0,Inputs!$B$43-B2744)&lt;=0,0,(INT(MAX(0,Inputs!$B$43-B2744)/(IF(Inputs!$B$38="pvp",15,MAX(0.1,Skills!D12-IF(Skills!E12=TRUE,Inputs!$B$32,0)))*(1-IF(AND(ArtifactsInput!$M$27,Inputs!$B$4="Chapter Hunt"),CHOOSE(ArtifactsInput!$N$27+1,20,24,28,32,36,40),0)/100)))+1)),0)</f>
        <v/>
      </c>
      <c r="S2715">
        <f>IFERROR(O2715/N2715,0)</f>
        <v/>
      </c>
      <c r="T2715">
        <f>IF(C2715,(H2715*N2715*IF(AND(Inputs!$B$38&lt;&gt;"pvp",Inputs!$B$43&gt;0),((Skills!G12*((R2715-1)*IF(Skills!H12&gt;0,Skills!I12/Skills!H12,1)+IF(Skills!H12&gt;0,MIN(Skills!I12,MAX(0,MAX(0,Inputs!$B$43-B2744)-((R2715-1)*(IF(Inputs!$B$38="pvp",15,MAX(0.1,Skills!D12-IF(Skills!E12=TRUE,Inputs!$B$32,0)))*(1-IF(AND(ArtifactsInput!$M$27,Inputs!$B$4="Chapter Hunt"),CHOOSE(ArtifactsInput!$N$27+1,20,24,28,32,36,40),0)/100)))))/Skills!H12,1)))/Inputs!$B$43),G2715*Q2715)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(5000/(6000+Inputs!$B$42*(1-(100*(1-(1-(100*(1-(1-(Inputs!$B$19+((C2731=TRUE)*(F2731-Calc!F28)))/100)*(1-CHOOSE(ArtifactsInput!$N$40+1,5,6,7,8,9,10)/100)^(ArtifactsInput!$M$40-ArtifactsInput!$M$40)))/100)*(1-IF(ArtifactsInput!$M$40,CHOOSE(ArtifactsInput!$N$40+1,5,6,7,8,9,10),0)/100)^IF(Inputs!$B$38="pvp",1,2)))/100)))/(5000/(6000+Inputs!$B$42*(1-(100*(1-(1-(Inputs!$B$19+((C2731=TRUE)*(F2731-Calc!F28)))/100)*(1-CHOOSE(ArtifactsInput!$N$40+1,5,6,7,8,9,10)/100)^(ArtifactsInput!$M$40-ArtifactsInput!$M$40)))/100))))*((L2715*(1-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2715*(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2715*(1-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2715*(MIN(100,(Inputs!$B$9+((C2724=TRUE)*(F2724-Calc!F21))+B2737+(ArtifactsInput!$M$24-ArtifactsInput!$M$24)*CHOOSE(ArtifactsInput!$N$24+1,10,12,14,16,18,20)+(IF(AND(ArtifactsInput!$M$42,((Inputs!$B$9+((C2724=TRUE)*(F2724-Calc!F21))+B2737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15">
        <f>IF(C2715,(H2715*N2715*IF(AND(Inputs!$B$38&lt;&gt;"pvp",Inputs!$B$43&gt;0),((Skills!G12*((R2715-1)*IF(Skills!H12&gt;0,Skills!I12/Skills!H12,1)+IF(Skills!H12&gt;0,MIN(Skills!I12,MAX(0,MAX(0,Inputs!$B$43-B2744)-((R2715-1)*(IF(Inputs!$B$38="pvp",15,MAX(0.1,Skills!D12-IF(Skills!E12=TRUE,Inputs!$B$32,0)))*(1-IF(AND(ArtifactsInput!$M$27,Inputs!$B$4="Chapter Hunt"),CHOOSE(ArtifactsInput!$N$27+1,20,24,28,32,36,40),0)/100)))))/Skills!H12,1)))/Inputs!$B$43),G2715*Q2715))*IF(Inputs!$B$38="pvp",1,(1+(Inputs!$B$21+Skills!Q12+(IF(ArtifactsInput!$M$33,CHOOSE(ArtifactsInput!$N$33+1,30,36,42,48,54,60),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6">
      <c r="A2716">
        <f>Skills!A13</f>
        <v/>
      </c>
      <c r="B2716">
        <f>Skills!B13</f>
        <v/>
      </c>
      <c r="C2716">
        <f>Inputs!$B$3&gt;=110</f>
        <v/>
      </c>
      <c r="D2716">
        <f>IF(Skills!C13=1,60+Inputs!$B$25+Inputs!$B$29,IF(Skills!C13=2,90+Inputs!$B$26+Inputs!$B$29,IF(Skills!C13=3,120+Inputs!$B$27+Inputs!$B$29,MAX(0,(Inputs!$B$3-100)*3)+Inputs!$B$28+Inputs!$B$29)))</f>
        <v/>
      </c>
      <c r="E2716">
        <f>INDEX(FactorTable!$B$2:$Y$301, MATCH(ROUND(MIN(300,MAX(1,D2716)),0), FactorTable!$A$2:$A$301,0), Skills!M13+1)</f>
        <v/>
      </c>
      <c r="F2716">
        <f>IF(Skills!N13=TRUE,(Skills!L13/10)*(E2716/1000),Skills!L13/10)+Skills!O13</f>
        <v/>
      </c>
      <c r="G2716" t="inlineStr"/>
      <c r="H2716" t="inlineStr"/>
      <c r="I2716" t="inlineStr">
        <is>
          <t>1</t>
        </is>
      </c>
      <c r="J2716" t="inlineStr"/>
      <c r="K2716" t="inlineStr"/>
      <c r="L2716" t="inlineStr"/>
      <c r="M2716" t="inlineStr"/>
      <c r="N2716" t="inlineStr"/>
      <c r="O2716" t="inlineStr"/>
      <c r="P2716" t="inlineStr"/>
      <c r="Q2716" t="inlineStr"/>
      <c r="R2716" t="inlineStr"/>
      <c r="S2716" t="inlineStr"/>
      <c r="T2716" t="inlineStr"/>
      <c r="V2716" t="inlineStr"/>
    </row>
    <row r="2717">
      <c r="A2717">
        <f>Skills!A14</f>
        <v/>
      </c>
      <c r="B2717">
        <f>Skills!B14</f>
        <v/>
      </c>
      <c r="C2717">
        <f>Inputs!$B$3&gt;=74</f>
        <v/>
      </c>
      <c r="D2717">
        <f>IF(Skills!C14=1,60+Inputs!$B$25+Inputs!$B$29,IF(Skills!C14=2,90+Inputs!$B$26+Inputs!$B$29,IF(Skills!C14=3,120+Inputs!$B$27+Inputs!$B$29,MAX(0,(Inputs!$B$3-100)*3)+Inputs!$B$28+Inputs!$B$29)))</f>
        <v/>
      </c>
      <c r="E2717">
        <f>INDEX(FactorTable!$B$2:$Y$301, MATCH(ROUND(MIN(300,MAX(1,D2717)),0), FactorTable!$A$2:$A$301,0), Skills!M14+1)</f>
        <v/>
      </c>
      <c r="F2717">
        <f>IF(Skills!N14=TRUE,(Skills!L14/10)*(E2717/1000),Skills!L14/10)+Skills!O14</f>
        <v/>
      </c>
      <c r="G2717">
        <f>Skills!G14*IF(Skills!H14&gt;0,Skills!I14/Skills!H14,1)</f>
        <v/>
      </c>
      <c r="H2717">
        <f>1-(1-Skills!J14/100)^Skills!K14</f>
        <v/>
      </c>
      <c r="I2717" t="inlineStr">
        <is>
          <t>1</t>
        </is>
      </c>
      <c r="J2717" t="inlineStr"/>
      <c r="K2717" t="inlineStr"/>
      <c r="L2717" t="inlineStr"/>
      <c r="M2717" t="inlineStr"/>
      <c r="N2717" t="inlineStr"/>
      <c r="O2717">
        <f>(1-Summary!$B$11)*T2717+Summary!$B$11*V2717</f>
        <v/>
      </c>
      <c r="P2717">
        <f>IF(B2747=0,0,O2717/B2747)</f>
        <v/>
      </c>
      <c r="Q2717" t="n">
        <v>0</v>
      </c>
      <c r="R2717" t="n">
        <v>0</v>
      </c>
      <c r="S2717">
        <f>IFERROR(O2717/N2717,0)</f>
        <v/>
      </c>
      <c r="T2717" t="n">
        <v>0</v>
      </c>
      <c r="V2717" t="n">
        <v>0</v>
      </c>
    </row>
    <row r="2718">
      <c r="A2718">
        <f>Skills!A15</f>
        <v/>
      </c>
      <c r="B2718">
        <f>Skills!B15</f>
        <v/>
      </c>
      <c r="C2718">
        <f>Inputs!$B$3&gt;=74</f>
        <v/>
      </c>
      <c r="D2718">
        <f>IF(Skills!C15=1,60+Inputs!$B$25+Inputs!$B$29,IF(Skills!C15=2,90+Inputs!$B$26+Inputs!$B$29,IF(Skills!C15=3,120+Inputs!$B$27+Inputs!$B$29,MAX(0,(Inputs!$B$3-100)*3)+Inputs!$B$28+Inputs!$B$29)))</f>
        <v/>
      </c>
      <c r="E2718">
        <f>INDEX(FactorTable!$B$2:$Y$301, MATCH(ROUND(MIN(300,MAX(1,D2718)),0), FactorTable!$A$2:$A$301,0), Skills!M15+1)</f>
        <v/>
      </c>
      <c r="F2718">
        <f>IF(Skills!N15=TRUE,(Skills!L15/10)*(E2718/1000),Skills!L15/10)+Skills!O15</f>
        <v/>
      </c>
      <c r="G2718">
        <f>Skills!G15*IF(Skills!H15&gt;0,Skills!I15/Skills!H15,1)</f>
        <v/>
      </c>
      <c r="H2718">
        <f>1-(1-Skills!J15/100)^Skills!K15</f>
        <v/>
      </c>
      <c r="I2718" t="inlineStr">
        <is>
          <t>1</t>
        </is>
      </c>
      <c r="J2718" t="inlineStr"/>
      <c r="K2718" t="inlineStr"/>
      <c r="L2718" t="inlineStr"/>
      <c r="M2718" t="inlineStr"/>
      <c r="N2718" t="inlineStr"/>
      <c r="O2718">
        <f>(1-Summary!$B$11)*T2718+Summary!$B$11*V2718</f>
        <v/>
      </c>
      <c r="P2718">
        <f>IF(B2747=0,0,O2718/B2747)</f>
        <v/>
      </c>
      <c r="Q2718" t="n">
        <v>0</v>
      </c>
      <c r="R2718" t="n">
        <v>0</v>
      </c>
      <c r="S2718">
        <f>IFERROR(O2718/N2718,0)</f>
        <v/>
      </c>
      <c r="T2718" t="n">
        <v>0</v>
      </c>
      <c r="V2718" t="n">
        <v>0</v>
      </c>
    </row>
    <row r="2719">
      <c r="A2719">
        <f>Skills!A16</f>
        <v/>
      </c>
      <c r="B2719">
        <f>Skills!B16</f>
        <v/>
      </c>
      <c r="C2719">
        <f>Inputs!$B$3&gt;=117</f>
        <v/>
      </c>
      <c r="D2719">
        <f>IF(Skills!C16=1,60+Inputs!$B$25+Inputs!$B$29,IF(Skills!C16=2,90+Inputs!$B$26+Inputs!$B$29,IF(Skills!C16=3,120+Inputs!$B$27+Inputs!$B$29,MAX(0,(Inputs!$B$3-100)*3)+Inputs!$B$28+Inputs!$B$29)))</f>
        <v/>
      </c>
      <c r="E2719">
        <f>INDEX(FactorTable!$B$2:$Y$301, MATCH(ROUND(MIN(300,MAX(1,D2719)),0), FactorTable!$A$2:$A$301,0), Skills!M16+1)</f>
        <v/>
      </c>
      <c r="F2719">
        <f>IF(Skills!N16=TRUE,(Skills!L16/10)*(E2719/1000),Skills!L16/10)+Skills!O16</f>
        <v/>
      </c>
      <c r="G2719">
        <f>Skills!G16*IF(Skills!H16&gt;0,Skills!I16/Skills!H16,1)</f>
        <v/>
      </c>
      <c r="H2719">
        <f>1-(1-Skills!J16/100)^Skills!K16</f>
        <v/>
      </c>
      <c r="I2719" t="inlineStr">
        <is>
          <t>1</t>
        </is>
      </c>
      <c r="J2719" t="inlineStr"/>
      <c r="K2719" t="inlineStr"/>
      <c r="L2719" t="inlineStr"/>
      <c r="M2719" t="inlineStr"/>
      <c r="N2719" t="inlineStr"/>
      <c r="O2719">
        <f>(1-Summary!$B$11)*T2719+Summary!$B$11*V2719</f>
        <v/>
      </c>
      <c r="P2719">
        <f>IF(B2747=0,0,O2719/B2747)</f>
        <v/>
      </c>
      <c r="Q2719">
        <f>IFERROR(1/(IF(Inputs!$B$38="pvp",15,MAX(0.1,Skills!D16-IF(Skills!E16=TRUE,Inputs!$B$32,0)))*(1-IF(AND(ArtifactsInput!$M$27,Inputs!$B$4="Chapter Hunt"),CHOOSE(ArtifactsInput!$N$27+1,20,24,28,32,36,40),0)/100)),0)</f>
        <v/>
      </c>
      <c r="R2719">
        <f>IF(AND(Inputs!$B$38&lt;&gt;"pvp",Inputs!$B$43&gt;0),IF(Inputs!$B$43&lt;=0,0,(INT(Inputs!$B$43/(IF(Inputs!$B$38="pvp",15,MAX(0.1,Skills!D16-IF(Skills!E16=TRUE,Inputs!$B$32,0)))*(1-IF(AND(ArtifactsInput!$M$27,Inputs!$B$4="Chapter Hunt"),CHOOSE(ArtifactsInput!$N$27+1,20,24,28,32,36,40),0)/100)))+1)),0)</f>
        <v/>
      </c>
      <c r="S2719">
        <f>IFERROR(O2719/N2719,0)</f>
        <v/>
      </c>
      <c r="T2719" t="n">
        <v>0</v>
      </c>
      <c r="V2719" t="n">
        <v>0</v>
      </c>
    </row>
    <row r="2720">
      <c r="A2720">
        <f>Skills!A17</f>
        <v/>
      </c>
      <c r="B2720">
        <f>Skills!B17</f>
        <v/>
      </c>
      <c r="C2720">
        <f>Inputs!$B$3&gt;=115</f>
        <v/>
      </c>
      <c r="D2720">
        <f>IF(Skills!C17=1,60+Inputs!$B$25+Inputs!$B$29,IF(Skills!C17=2,90+Inputs!$B$26+Inputs!$B$29,IF(Skills!C17=3,120+Inputs!$B$27+Inputs!$B$29,MAX(0,(Inputs!$B$3-100)*3)+Inputs!$B$28+Inputs!$B$29)))</f>
        <v/>
      </c>
      <c r="E2720">
        <f>INDEX(FactorTable!$B$2:$Y$301, MATCH(ROUND(MIN(300,MAX(1,D2720)),0), FactorTable!$A$2:$A$301,0), Skills!M17+1)</f>
        <v/>
      </c>
      <c r="F2720">
        <f>IF(Skills!N17=TRUE,(Skills!L17/10)*(E2720/1000),Skills!L17/10)+Skills!O17</f>
        <v/>
      </c>
      <c r="G2720">
        <f>Skills!G17*IF(Skills!H17&gt;0,Skills!I17/Skills!H17,1)</f>
        <v/>
      </c>
      <c r="H2720">
        <f>1-(1-Skills!J17/100)^Skills!K17</f>
        <v/>
      </c>
      <c r="I2720" t="inlineStr">
        <is>
          <t>1</t>
        </is>
      </c>
      <c r="J2720" t="inlineStr"/>
      <c r="K2720" t="inlineStr"/>
      <c r="L2720" t="inlineStr"/>
      <c r="M2720" t="inlineStr"/>
      <c r="N2720" t="inlineStr"/>
      <c r="O2720">
        <f>(1-Summary!$B$11)*T2720+Summary!$B$11*V2720</f>
        <v/>
      </c>
      <c r="P2720">
        <f>IF(B2747=0,0,O2720/B2747)</f>
        <v/>
      </c>
      <c r="Q2720">
        <f>IFERROR(1/(IF(Inputs!$B$38="pvp",15,MAX(0.1,Skills!D17-IF(Skills!E17=TRUE,Inputs!$B$32,0)))*(1-IF(AND(ArtifactsInput!$M$27,Inputs!$B$4="Chapter Hunt"),CHOOSE(ArtifactsInput!$N$27+1,20,24,28,32,36,40),0)/100)),0)</f>
        <v/>
      </c>
      <c r="R2720">
        <f>IF(AND(Inputs!$B$38&lt;&gt;"pvp",Inputs!$B$43&gt;0),IF(Inputs!$B$43&lt;=0,0,(INT(Inputs!$B$43/(IF(Inputs!$B$38="pvp",15,MAX(0.1,Skills!D17-IF(Skills!E17=TRUE,Inputs!$B$32,0)))*(1-IF(AND(ArtifactsInput!$M$27,Inputs!$B$4="Chapter Hunt"),CHOOSE(ArtifactsInput!$N$27+1,20,24,28,32,36,40),0)/100)))+1)),0)</f>
        <v/>
      </c>
      <c r="S2720">
        <f>IFERROR(O2720/N2720,0)</f>
        <v/>
      </c>
      <c r="T2720" t="n">
        <v>0</v>
      </c>
      <c r="V2720" t="n">
        <v>0</v>
      </c>
    </row>
    <row r="2721">
      <c r="A2721">
        <f>Skills!A18</f>
        <v/>
      </c>
      <c r="B2721">
        <f>Skills!B18</f>
        <v/>
      </c>
      <c r="C2721">
        <f>Inputs!$B$3&gt;=66</f>
        <v/>
      </c>
      <c r="D2721">
        <f>IF(Skills!C18=1,60+Inputs!$B$25+Inputs!$B$29,IF(Skills!C18=2,90+Inputs!$B$26+Inputs!$B$29,IF(Skills!C18=3,120+Inputs!$B$27+Inputs!$B$29,MAX(0,(Inputs!$B$3-100)*3)+Inputs!$B$28+Inputs!$B$29)))</f>
        <v/>
      </c>
      <c r="E2721">
        <f>INDEX(FactorTable!$B$2:$Y$301, MATCH(ROUND(MIN(300,MAX(1,D2721)),0), FactorTable!$A$2:$A$301,0), Skills!M18+1)</f>
        <v/>
      </c>
      <c r="F2721">
        <f>IF(Skills!N18=TRUE,(Skills!L18/10)*(E2721/1000),Skills!L18/10)+Skills!O18</f>
        <v/>
      </c>
      <c r="G2721">
        <f>Skills!G18*IF(Skills!H18&gt;0,Skills!I18/Skills!H18,1)</f>
        <v/>
      </c>
      <c r="H2721">
        <f>1-(1-Skills!J18/100)^Skills!K18</f>
        <v/>
      </c>
      <c r="I2721" t="inlineStr">
        <is>
          <t>1</t>
        </is>
      </c>
      <c r="J2721" t="inlineStr"/>
      <c r="K2721" t="inlineStr"/>
      <c r="L2721" t="inlineStr"/>
      <c r="M2721" t="inlineStr"/>
      <c r="N2721" t="inlineStr"/>
      <c r="O2721">
        <f>(1-Summary!$B$11)*T2721+Summary!$B$11*V2721</f>
        <v/>
      </c>
      <c r="P2721">
        <f>IF(B2747=0,0,O2721/B2747)</f>
        <v/>
      </c>
      <c r="Q2721" t="n">
        <v>0</v>
      </c>
      <c r="R2721" t="n">
        <v>0</v>
      </c>
      <c r="S2721">
        <f>IFERROR(O2721/N2721,0)</f>
        <v/>
      </c>
      <c r="T2721" t="n">
        <v>0</v>
      </c>
      <c r="V2721" t="n">
        <v>0</v>
      </c>
    </row>
    <row r="2722">
      <c r="A2722">
        <f>Skills!A19</f>
        <v/>
      </c>
      <c r="B2722">
        <f>Skills!B19</f>
        <v/>
      </c>
      <c r="C2722">
        <f>Inputs!$B$3&gt;=72</f>
        <v/>
      </c>
      <c r="D2722">
        <f>IF(Skills!C19=1,60+Inputs!$B$25+Inputs!$B$29,IF(Skills!C19=2,90+Inputs!$B$26+Inputs!$B$29,IF(Skills!C19=3,120+Inputs!$B$27+Inputs!$B$29,MAX(0,(Inputs!$B$3-100)*3)+Inputs!$B$28+Inputs!$B$29)))</f>
        <v/>
      </c>
      <c r="E2722">
        <f>INDEX(FactorTable!$B$2:$Y$301, MATCH(ROUND(MIN(300,MAX(1,D2722)),0), FactorTable!$A$2:$A$301,0), Skills!M19+1)</f>
        <v/>
      </c>
      <c r="F2722">
        <f>IF(Skills!N19=TRUE,(Skills!L19/10)*(E2722/1000),Skills!L19/10)+Skills!O19</f>
        <v/>
      </c>
      <c r="G2722">
        <f>Skills!G19*IF(Skills!H19&gt;0,Skills!I19/Skills!H19,1)</f>
        <v/>
      </c>
      <c r="H2722">
        <f>1-(1-Skills!J19/100)^Skills!K19</f>
        <v/>
      </c>
      <c r="I2722" t="inlineStr">
        <is>
          <t>1</t>
        </is>
      </c>
      <c r="J2722" t="inlineStr"/>
      <c r="K2722" t="inlineStr"/>
      <c r="L2722" t="inlineStr"/>
      <c r="M2722" t="inlineStr"/>
      <c r="N2722" t="inlineStr"/>
      <c r="O2722">
        <f>(1-Summary!$B$11)*T2722+Summary!$B$11*V2722</f>
        <v/>
      </c>
      <c r="P2722">
        <f>IF(B2747=0,0,O2722/B2747)</f>
        <v/>
      </c>
      <c r="Q2722" t="n">
        <v>0</v>
      </c>
      <c r="R2722" t="n">
        <v>0</v>
      </c>
      <c r="S2722">
        <f>IFERROR(O2722/N2722,0)</f>
        <v/>
      </c>
      <c r="T2722" t="n">
        <v>0</v>
      </c>
      <c r="V2722" t="n">
        <v>0</v>
      </c>
    </row>
    <row r="2723">
      <c r="A2723">
        <f>Skills!A20</f>
        <v/>
      </c>
      <c r="B2723">
        <f>Skills!B20</f>
        <v/>
      </c>
      <c r="C2723">
        <f>TRUE</f>
        <v/>
      </c>
      <c r="D2723">
        <f>IF(Skills!C20=1,60+Inputs!$B$25+Inputs!$B$29,IF(Skills!C20=2,90+Inputs!$B$26+Inputs!$B$29,IF(Skills!C20=3,120+Inputs!$B$27+Inputs!$B$29,MAX(0,(Inputs!$B$3-100)*3)+Inputs!$B$28+Inputs!$B$29)))</f>
        <v/>
      </c>
      <c r="E2723">
        <f>INDEX(FactorTable!$B$2:$Y$301, MATCH(ROUND(MIN(300,MAX(1,D2723)),0), FactorTable!$A$2:$A$301,0), Skills!M20+1)</f>
        <v/>
      </c>
      <c r="F2723">
        <f>IF(Skills!N20=TRUE,(Skills!L20/10)*(E2723/1000),Skills!L20/10)+Skills!O20</f>
        <v/>
      </c>
      <c r="G2723">
        <f>Skills!G20*IF(Skills!H20&gt;0,Skills!I20/Skills!H20,1)</f>
        <v/>
      </c>
      <c r="H2723">
        <f>1-(1-Skills!J20/100)^Skills!K20</f>
        <v/>
      </c>
      <c r="I2723" t="inlineStr">
        <is>
          <t>1</t>
        </is>
      </c>
      <c r="J2723" t="inlineStr"/>
      <c r="K2723" t="inlineStr"/>
      <c r="L2723" t="inlineStr"/>
      <c r="M2723" t="inlineStr"/>
      <c r="N2723" t="inlineStr"/>
      <c r="O2723">
        <f>(1-Summary!$B$11)*T2723+Summary!$B$11*V2723</f>
        <v/>
      </c>
      <c r="P2723">
        <f>IF(B2747=0,0,O2723/B2747)</f>
        <v/>
      </c>
      <c r="Q2723">
        <f>IFERROR(1/(IF(Inputs!$B$38="pvp",15,MAX(0.1,Skills!D20-IF(Skills!E20=TRUE,Inputs!$B$32,0)))*(1-IF(AND(ArtifactsInput!$M$27,Inputs!$B$4="Chapter Hunt"),CHOOSE(ArtifactsInput!$N$27+1,20,24,28,32,36,40),0)/100)),0)</f>
        <v/>
      </c>
      <c r="R2723">
        <f>IF(AND(Inputs!$B$38&lt;&gt;"pvp",Inputs!$B$43&gt;0),IF(Inputs!$B$43&lt;=0,0,(INT(Inputs!$B$43/(IF(Inputs!$B$38="pvp",15,MAX(0.1,Skills!D20-IF(Skills!E20=TRUE,Inputs!$B$32,0)))*(1-IF(AND(ArtifactsInput!$M$27,Inputs!$B$4="Chapter Hunt"),CHOOSE(ArtifactsInput!$N$27+1,20,24,28,32,36,40),0)/100)))+1)),0)</f>
        <v/>
      </c>
      <c r="S2723">
        <f>IFERROR(O2723/N2723,0)</f>
        <v/>
      </c>
      <c r="T2723" t="n">
        <v>0</v>
      </c>
      <c r="V2723" t="n">
        <v>0</v>
      </c>
    </row>
    <row r="2724">
      <c r="A2724">
        <f>Skills!A21</f>
        <v/>
      </c>
      <c r="B2724">
        <f>Skills!B21</f>
        <v/>
      </c>
      <c r="C2724">
        <f>Inputs!$B$3&gt;=15</f>
        <v/>
      </c>
      <c r="D2724">
        <f>IF(Skills!C21=1,60+Inputs!$B$25+Inputs!$B$29,IF(Skills!C21=2,90+Inputs!$B$26+Inputs!$B$29,IF(Skills!C21=3,120+Inputs!$B$27+Inputs!$B$29,MAX(0,(Inputs!$B$3-100)*3)+Inputs!$B$28+Inputs!$B$29)))</f>
        <v/>
      </c>
      <c r="E2724">
        <f>INDEX(FactorTable!$B$2:$Y$301, MATCH(ROUND(MIN(300,MAX(1,D2724)),0), FactorTable!$A$2:$A$301,0), Skills!M21+1)</f>
        <v/>
      </c>
      <c r="F2724">
        <f>IF(Skills!N21=TRUE,(Skills!L21/10)*(E2724/1000),Skills!L21/10)+Skills!O21</f>
        <v/>
      </c>
      <c r="G2724">
        <f>Skills!G21*IF(Skills!H21&gt;0,Skills!I21/Skills!H21,1)</f>
        <v/>
      </c>
      <c r="H2724">
        <f>1-(1-Skills!J21/100)^Skills!K21</f>
        <v/>
      </c>
      <c r="I2724" t="inlineStr">
        <is>
          <t>1</t>
        </is>
      </c>
      <c r="J2724" t="inlineStr"/>
      <c r="K2724" t="inlineStr"/>
      <c r="L2724" t="inlineStr"/>
      <c r="M2724" t="inlineStr"/>
      <c r="N2724" t="inlineStr"/>
      <c r="O2724">
        <f>(1-Summary!$B$11)*T2724+Summary!$B$11*V2724</f>
        <v/>
      </c>
      <c r="P2724">
        <f>IF(B2747=0,0,O2724/B2747)</f>
        <v/>
      </c>
      <c r="Q2724" t="n">
        <v>0</v>
      </c>
      <c r="R2724" t="n">
        <v>0</v>
      </c>
      <c r="S2724">
        <f>IFERROR(O2724/N2724,0)</f>
        <v/>
      </c>
      <c r="T2724" t="n">
        <v>0</v>
      </c>
      <c r="V2724" t="n">
        <v>0</v>
      </c>
    </row>
    <row r="2725">
      <c r="A2725">
        <f>Skills!A22</f>
        <v/>
      </c>
      <c r="B2725">
        <f>Skills!B22</f>
        <v/>
      </c>
      <c r="C2725">
        <f>Inputs!$B$3&gt;=10</f>
        <v/>
      </c>
      <c r="D2725">
        <f>IF(Skills!C22=1,60+Inputs!$B$25+Inputs!$B$29,IF(Skills!C22=2,90+Inputs!$B$26+Inputs!$B$29,IF(Skills!C22=3,120+Inputs!$B$27+Inputs!$B$29,MAX(0,(Inputs!$B$3-100)*3)+Inputs!$B$28+Inputs!$B$29)))</f>
        <v/>
      </c>
      <c r="E2725">
        <f>INDEX(FactorTable!$B$2:$Y$301, MATCH(ROUND(MIN(300,MAX(1,D2725)),0), FactorTable!$A$2:$A$301,0), Skills!M22+1)</f>
        <v/>
      </c>
      <c r="F2725">
        <f>IF(Skills!N22=TRUE,(Skills!L22/10)*(E2725/1000),Skills!L22/10)+Skills!O22</f>
        <v/>
      </c>
      <c r="G2725">
        <f>Skills!G22*IF(Skills!H22&gt;0,Skills!I22/Skills!H22,1)</f>
        <v/>
      </c>
      <c r="H2725">
        <f>1-(1-Skills!J22/100)^Skills!K22</f>
        <v/>
      </c>
      <c r="I2725" t="inlineStr">
        <is>
          <t>1</t>
        </is>
      </c>
      <c r="J2725" t="inlineStr"/>
      <c r="K2725" t="inlineStr"/>
      <c r="L2725" t="inlineStr"/>
      <c r="M2725" t="inlineStr"/>
      <c r="N2725" t="inlineStr"/>
      <c r="O2725">
        <f>(1-Summary!$B$11)*T2725+Summary!$B$11*V2725</f>
        <v/>
      </c>
      <c r="P2725">
        <f>IF(B2747=0,0,O2725/B2747)</f>
        <v/>
      </c>
      <c r="Q2725" t="n">
        <v>0</v>
      </c>
      <c r="R2725" t="n">
        <v>0</v>
      </c>
      <c r="S2725">
        <f>IFERROR(O2725/N2725,0)</f>
        <v/>
      </c>
      <c r="T2725" t="n">
        <v>0</v>
      </c>
      <c r="V2725" t="n">
        <v>0</v>
      </c>
    </row>
    <row r="2726">
      <c r="A2726">
        <f>Skills!A23</f>
        <v/>
      </c>
      <c r="B2726">
        <f>Skills!B23</f>
        <v/>
      </c>
      <c r="C2726">
        <f>Inputs!$B$3&gt;=33</f>
        <v/>
      </c>
      <c r="D2726">
        <f>IF(Skills!C23=1,60+Inputs!$B$25+Inputs!$B$29,IF(Skills!C23=2,90+Inputs!$B$26+Inputs!$B$29,IF(Skills!C23=3,120+Inputs!$B$27+Inputs!$B$29,MAX(0,(Inputs!$B$3-100)*3)+Inputs!$B$28+Inputs!$B$29)))</f>
        <v/>
      </c>
      <c r="E2726">
        <f>INDEX(FactorTable!$B$2:$Y$301, MATCH(ROUND(MIN(300,MAX(1,D2726)),0), FactorTable!$A$2:$A$301,0), Skills!M23+1)</f>
        <v/>
      </c>
      <c r="F2726">
        <f>IF(Skills!N23=TRUE,(Skills!L23/10)*(E2726/1000),Skills!L23/10)+Skills!O23</f>
        <v/>
      </c>
      <c r="G2726">
        <f>Skills!G23*IF(Skills!H23&gt;0,Skills!I23/Skills!H23,1)</f>
        <v/>
      </c>
      <c r="H2726">
        <f>1-(1-Skills!J23/100)^Skills!K23</f>
        <v/>
      </c>
      <c r="I2726" t="inlineStr">
        <is>
          <t>1</t>
        </is>
      </c>
      <c r="J2726" t="inlineStr"/>
      <c r="K2726" t="inlineStr"/>
      <c r="L2726" t="inlineStr"/>
      <c r="M2726" t="inlineStr"/>
      <c r="N2726" t="inlineStr"/>
      <c r="O2726">
        <f>(1-Summary!$B$11)*T2726+Summary!$B$11*V2726</f>
        <v/>
      </c>
      <c r="P2726">
        <f>IF(B2747=0,0,O2726/B2747)</f>
        <v/>
      </c>
      <c r="Q2726" t="n">
        <v>0</v>
      </c>
      <c r="R2726" t="n">
        <v>0</v>
      </c>
      <c r="S2726">
        <f>IFERROR(O2726/N2726,0)</f>
        <v/>
      </c>
      <c r="T2726" t="n">
        <v>0</v>
      </c>
      <c r="V2726" t="n">
        <v>0</v>
      </c>
    </row>
    <row r="2727">
      <c r="A2727">
        <f>Skills!A24</f>
        <v/>
      </c>
      <c r="B2727">
        <f>Skills!B24</f>
        <v/>
      </c>
      <c r="C2727">
        <f>Inputs!$B$3&gt;=38</f>
        <v/>
      </c>
      <c r="D2727">
        <f>IF(Skills!C24=1,60+Inputs!$B$25+Inputs!$B$29,IF(Skills!C24=2,90+Inputs!$B$26+Inputs!$B$29,IF(Skills!C24=3,120+Inputs!$B$27+Inputs!$B$29,MAX(0,(Inputs!$B$3-100)*3)+Inputs!$B$28+Inputs!$B$29)))</f>
        <v/>
      </c>
      <c r="E2727">
        <f>INDEX(FactorTable!$B$2:$Y$301, MATCH(ROUND(MIN(300,MAX(1,D2727)),0), FactorTable!$A$2:$A$301,0), Skills!M24+1)</f>
        <v/>
      </c>
      <c r="F2727">
        <f>IF(Skills!N24=TRUE,(Skills!L24/10)*(E2727/1000),Skills!L24/10)+Skills!O24</f>
        <v/>
      </c>
      <c r="G2727">
        <f>Skills!G24*IF(Skills!H24&gt;0,Skills!I24/Skills!H24,1)</f>
        <v/>
      </c>
      <c r="H2727">
        <f>1-(1-Skills!J24/100)^Skills!K24</f>
        <v/>
      </c>
      <c r="I2727" t="inlineStr">
        <is>
          <t>1</t>
        </is>
      </c>
      <c r="J2727" t="inlineStr"/>
      <c r="K2727" t="inlineStr"/>
      <c r="L2727" t="inlineStr"/>
      <c r="M2727" t="inlineStr"/>
      <c r="N2727" t="inlineStr"/>
      <c r="O2727">
        <f>(1-Summary!$B$11)*T2727+Summary!$B$11*V2727</f>
        <v/>
      </c>
      <c r="P2727">
        <f>IF(B2747=0,0,O2727/B2747)</f>
        <v/>
      </c>
      <c r="Q2727" t="n">
        <v>0</v>
      </c>
      <c r="R2727" t="n">
        <v>0</v>
      </c>
      <c r="S2727">
        <f>IFERROR(O2727/N2727,0)</f>
        <v/>
      </c>
      <c r="T2727" t="n">
        <v>0</v>
      </c>
      <c r="V2727" t="n">
        <v>0</v>
      </c>
    </row>
    <row r="2728">
      <c r="A2728">
        <f>Skills!A25</f>
        <v/>
      </c>
      <c r="B2728">
        <f>Skills!B25</f>
        <v/>
      </c>
      <c r="C2728">
        <f>Inputs!$B$3&gt;=43</f>
        <v/>
      </c>
      <c r="D2728">
        <f>IF(Skills!C25=1,60+Inputs!$B$25+Inputs!$B$29,IF(Skills!C25=2,90+Inputs!$B$26+Inputs!$B$29,IF(Skills!C25=3,120+Inputs!$B$27+Inputs!$B$29,MAX(0,(Inputs!$B$3-100)*3)+Inputs!$B$28+Inputs!$B$29)))</f>
        <v/>
      </c>
      <c r="E2728">
        <f>INDEX(FactorTable!$B$2:$Y$301, MATCH(ROUND(MIN(300,MAX(1,D2728)),0), FactorTable!$A$2:$A$301,0), Skills!M25+1)</f>
        <v/>
      </c>
      <c r="F2728">
        <f>IF(Skills!N25=TRUE,(Skills!L25/10)*(E2728/1000),Skills!L25/10)+Skills!O25</f>
        <v/>
      </c>
      <c r="G2728">
        <f>Skills!G25*IF(Skills!H25&gt;0,Skills!I25/Skills!H25,1)</f>
        <v/>
      </c>
      <c r="H2728">
        <f>1-(1-Skills!J25/100)^Skills!K25</f>
        <v/>
      </c>
      <c r="I2728" t="inlineStr">
        <is>
          <t>1</t>
        </is>
      </c>
      <c r="J2728" t="inlineStr"/>
      <c r="K2728" t="inlineStr"/>
      <c r="L2728" t="inlineStr"/>
      <c r="M2728" t="inlineStr"/>
      <c r="N2728" t="inlineStr"/>
      <c r="O2728">
        <f>(1-Summary!$B$11)*T2728+Summary!$B$11*V2728</f>
        <v/>
      </c>
      <c r="P2728">
        <f>IF(B2747=0,0,O2728/B2747)</f>
        <v/>
      </c>
      <c r="Q2728" t="n">
        <v>0</v>
      </c>
      <c r="R2728" t="n">
        <v>0</v>
      </c>
      <c r="S2728">
        <f>IFERROR(O2728/N2728,0)</f>
        <v/>
      </c>
      <c r="T2728" t="n">
        <v>0</v>
      </c>
      <c r="V2728" t="n">
        <v>0</v>
      </c>
    </row>
    <row r="2729">
      <c r="A2729">
        <f>Skills!A26</f>
        <v/>
      </c>
      <c r="B2729">
        <f>Skills!B26</f>
        <v/>
      </c>
      <c r="C2729">
        <f>Inputs!$B$3&gt;=75</f>
        <v/>
      </c>
      <c r="D2729">
        <f>IF(Skills!C26=1,60+Inputs!$B$25+Inputs!$B$29,IF(Skills!C26=2,90+Inputs!$B$26+Inputs!$B$29,IF(Skills!C26=3,120+Inputs!$B$27+Inputs!$B$29,MAX(0,(Inputs!$B$3-100)*3)+Inputs!$B$28+Inputs!$B$29)))</f>
        <v/>
      </c>
      <c r="E2729">
        <f>INDEX(FactorTable!$B$2:$Y$301, MATCH(ROUND(MIN(300,MAX(1,D2729)),0), FactorTable!$A$2:$A$301,0), Skills!M26+1)</f>
        <v/>
      </c>
      <c r="F2729">
        <f>IF(Skills!N26=TRUE,(Skills!L26/10)*(E2729/1000),Skills!L26/10)+Skills!O26</f>
        <v/>
      </c>
      <c r="G2729">
        <f>Skills!G26*IF(Skills!H26&gt;0,Skills!I26/Skills!H26,1)</f>
        <v/>
      </c>
      <c r="H2729">
        <f>1-(1-Skills!J26/100)^Skills!K26</f>
        <v/>
      </c>
      <c r="I2729" t="inlineStr">
        <is>
          <t>1</t>
        </is>
      </c>
      <c r="J2729" t="inlineStr"/>
      <c r="K2729" t="inlineStr"/>
      <c r="L2729" t="inlineStr"/>
      <c r="M2729" t="inlineStr"/>
      <c r="N2729" t="inlineStr"/>
      <c r="O2729">
        <f>(1-Summary!$B$11)*T2729+Summary!$B$11*V2729</f>
        <v/>
      </c>
      <c r="P2729">
        <f>IF(B2747=0,0,O2729/B2747)</f>
        <v/>
      </c>
      <c r="Q2729" t="n">
        <v>0</v>
      </c>
      <c r="R2729" t="n">
        <v>0</v>
      </c>
      <c r="S2729">
        <f>IFERROR(O2729/N2729,0)</f>
        <v/>
      </c>
      <c r="T2729" t="n">
        <v>0</v>
      </c>
      <c r="V2729" t="n">
        <v>0</v>
      </c>
    </row>
    <row r="2730">
      <c r="A2730">
        <f>Skills!A27</f>
        <v/>
      </c>
      <c r="B2730">
        <f>Skills!B27</f>
        <v/>
      </c>
      <c r="C2730">
        <f>Inputs!$B$3&gt;=125</f>
        <v/>
      </c>
      <c r="D2730">
        <f>IF(Skills!C27=1,60+Inputs!$B$25+Inputs!$B$29,IF(Skills!C27=2,90+Inputs!$B$26+Inputs!$B$29,IF(Skills!C27=3,120+Inputs!$B$27+Inputs!$B$29,MAX(0,(Inputs!$B$3-100)*3)+Inputs!$B$28+Inputs!$B$29)))</f>
        <v/>
      </c>
      <c r="E2730">
        <f>INDEX(FactorTable!$B$2:$Y$301, MATCH(ROUND(MIN(300,MAX(1,D2730)),0), FactorTable!$A$2:$A$301,0), Skills!M27+1)</f>
        <v/>
      </c>
      <c r="F2730">
        <f>IF(Skills!N27=TRUE,(Skills!L27/10)*(E2730/1000),Skills!L27/10)+Skills!O27</f>
        <v/>
      </c>
      <c r="G2730">
        <f>Skills!G27*IF(Skills!H27&gt;0,Skills!I27/Skills!H27,1)</f>
        <v/>
      </c>
      <c r="H2730">
        <f>1-(1-Skills!J27/100)^Skills!K27</f>
        <v/>
      </c>
      <c r="I2730" t="inlineStr">
        <is>
          <t>1</t>
        </is>
      </c>
      <c r="J2730" t="inlineStr"/>
      <c r="K2730" t="inlineStr"/>
      <c r="L2730" t="inlineStr"/>
      <c r="M2730" t="inlineStr"/>
      <c r="N2730" t="inlineStr"/>
      <c r="O2730">
        <f>(1-Summary!$B$11)*T2730+Summary!$B$11*V2730</f>
        <v/>
      </c>
      <c r="P2730">
        <f>IF(B2747=0,0,O2730/B2747)</f>
        <v/>
      </c>
      <c r="Q2730" t="n">
        <v>0</v>
      </c>
      <c r="R2730" t="n">
        <v>0</v>
      </c>
      <c r="S2730">
        <f>IFERROR(O2730/N2730,0)</f>
        <v/>
      </c>
      <c r="T2730" t="n">
        <v>0</v>
      </c>
      <c r="V2730" t="n">
        <v>0</v>
      </c>
    </row>
    <row r="2731">
      <c r="A2731">
        <f>Skills!A28</f>
        <v/>
      </c>
      <c r="B2731">
        <f>Skills!B28</f>
        <v/>
      </c>
      <c r="C2731">
        <f>Inputs!$B$3&gt;=125</f>
        <v/>
      </c>
      <c r="D2731">
        <f>IF(Skills!C28=1,60+Inputs!$B$25+Inputs!$B$29,IF(Skills!C28=2,90+Inputs!$B$26+Inputs!$B$29,IF(Skills!C28=3,120+Inputs!$B$27+Inputs!$B$29,MAX(0,(Inputs!$B$3-100)*3)+Inputs!$B$28+Inputs!$B$29)))</f>
        <v/>
      </c>
      <c r="E2731">
        <f>INDEX(FactorTable!$B$2:$Y$301, MATCH(ROUND(MIN(300,MAX(1,D2731)),0), FactorTable!$A$2:$A$301,0), Skills!M28+1)</f>
        <v/>
      </c>
      <c r="F2731">
        <f>IF(Skills!N28=TRUE,(Skills!L28/10)*(E2731/1000),Skills!L28/10)+Skills!O28</f>
        <v/>
      </c>
      <c r="G2731">
        <f>Skills!G28*IF(Skills!H28&gt;0,Skills!I28/Skills!H28,1)</f>
        <v/>
      </c>
      <c r="H2731">
        <f>1-(1-Skills!J28/100)^Skills!K28</f>
        <v/>
      </c>
      <c r="I2731" t="inlineStr">
        <is>
          <t>1</t>
        </is>
      </c>
      <c r="J2731" t="inlineStr"/>
      <c r="K2731" t="inlineStr"/>
      <c r="L2731" t="inlineStr"/>
      <c r="M2731" t="inlineStr"/>
      <c r="N2731" t="inlineStr"/>
      <c r="O2731">
        <f>(1-Summary!$B$11)*T2731+Summary!$B$11*V2731</f>
        <v/>
      </c>
      <c r="P2731">
        <f>IF(B2747=0,0,O2731/B2747)</f>
        <v/>
      </c>
      <c r="Q2731" t="n">
        <v>0</v>
      </c>
      <c r="R2731" t="n">
        <v>0</v>
      </c>
      <c r="S2731">
        <f>IFERROR(O2731/N2731,0)</f>
        <v/>
      </c>
      <c r="T2731" t="n">
        <v>0</v>
      </c>
      <c r="V2731" t="n">
        <v>0</v>
      </c>
    </row>
    <row r="2732">
      <c r="A2732">
        <f>Skills!A29</f>
        <v/>
      </c>
      <c r="B2732">
        <f>Skills!B29</f>
        <v/>
      </c>
      <c r="C2732">
        <f>Inputs!$B$3&gt;=120</f>
        <v/>
      </c>
      <c r="D2732">
        <f>IF(Skills!C29=1,60+Inputs!$B$25+Inputs!$B$29,IF(Skills!C29=2,90+Inputs!$B$26+Inputs!$B$29,IF(Skills!C29=3,120+Inputs!$B$27+Inputs!$B$29,MAX(0,(Inputs!$B$3-100)*3)+Inputs!$B$28+Inputs!$B$29)))</f>
        <v/>
      </c>
      <c r="E2732">
        <f>INDEX(FactorTable!$B$2:$Y$301, MATCH(ROUND(MIN(300,MAX(1,D2732)),0), FactorTable!$A$2:$A$301,0), Skills!M29+1)</f>
        <v/>
      </c>
      <c r="F2732">
        <f>IF(Skills!N29=TRUE,(Skills!L29/10)*(E2732/1000),Skills!L29/10)+Skills!O29</f>
        <v/>
      </c>
      <c r="G2732">
        <f>Skills!G29*IF(Skills!H29&gt;0,Skills!I29/Skills!H29,1)</f>
        <v/>
      </c>
      <c r="H2732">
        <f>1-(1-Skills!J29/100)^Skills!K29</f>
        <v/>
      </c>
      <c r="I2732" t="inlineStr">
        <is>
          <t>1</t>
        </is>
      </c>
      <c r="J2732" t="inlineStr"/>
      <c r="K2732" t="inlineStr"/>
      <c r="L2732" t="inlineStr"/>
      <c r="M2732" t="inlineStr"/>
      <c r="N2732" t="inlineStr"/>
      <c r="O2732">
        <f>(1-Summary!$B$11)*T2732+Summary!$B$11*V2732</f>
        <v/>
      </c>
      <c r="P2732">
        <f>IF(B2747=0,0,O2732/B2747)</f>
        <v/>
      </c>
      <c r="Q2732" t="n">
        <v>0</v>
      </c>
      <c r="R2732" t="n">
        <v>0</v>
      </c>
      <c r="S2732">
        <f>IFERROR(O2732/N2732,0)</f>
        <v/>
      </c>
      <c r="T2732" t="n">
        <v>0</v>
      </c>
      <c r="V2732" t="n">
        <v>0</v>
      </c>
    </row>
    <row r="2733">
      <c r="A2733">
        <f>Skills!A30</f>
        <v/>
      </c>
      <c r="B2733">
        <f>Skills!B30</f>
        <v/>
      </c>
      <c r="C2733">
        <f>Inputs!$B$3&gt;=120</f>
        <v/>
      </c>
      <c r="D2733">
        <f>IF(Skills!C30=1,60+Inputs!$B$25+Inputs!$B$29,IF(Skills!C30=2,90+Inputs!$B$26+Inputs!$B$29,IF(Skills!C30=3,120+Inputs!$B$27+Inputs!$B$29,MAX(0,(Inputs!$B$3-100)*3)+Inputs!$B$28+Inputs!$B$29)))</f>
        <v/>
      </c>
      <c r="E2733">
        <f>INDEX(FactorTable!$B$2:$Y$301, MATCH(ROUND(MIN(300,MAX(1,D2733)),0), FactorTable!$A$2:$A$301,0), Skills!M30+1)</f>
        <v/>
      </c>
      <c r="F2733">
        <f>IF(Skills!N30=TRUE,(Skills!L30/10)*(E2733/1000),Skills!L30/10)+Skills!O30</f>
        <v/>
      </c>
      <c r="G2733">
        <f>Skills!G30*IF(Skills!H30&gt;0,Skills!I30/Skills!H30,1)</f>
        <v/>
      </c>
      <c r="H2733">
        <f>1-(1-Skills!J30/100)^Skills!K30</f>
        <v/>
      </c>
      <c r="I2733" t="inlineStr">
        <is>
          <t>1</t>
        </is>
      </c>
      <c r="J2733" t="inlineStr"/>
      <c r="K2733" t="inlineStr"/>
      <c r="L2733" t="inlineStr"/>
      <c r="M2733" t="inlineStr"/>
      <c r="N2733" t="inlineStr"/>
      <c r="O2733">
        <f>(1-Summary!$B$11)*T2733+Summary!$B$11*V2733</f>
        <v/>
      </c>
      <c r="P2733">
        <f>IF(B2747=0,0,O2733/B2747)</f>
        <v/>
      </c>
      <c r="Q2733" t="n">
        <v>0</v>
      </c>
      <c r="R2733" t="n">
        <v>0</v>
      </c>
      <c r="S2733">
        <f>IFERROR(O2733/N2733,0)</f>
        <v/>
      </c>
      <c r="T2733" t="n">
        <v>0</v>
      </c>
      <c r="V2733" t="n">
        <v>0</v>
      </c>
    </row>
    <row r="2734">
      <c r="A2734">
        <f>Skills!A31</f>
        <v/>
      </c>
      <c r="B2734">
        <f>Skills!B31</f>
        <v/>
      </c>
      <c r="C2734">
        <f>Inputs!$B$3&gt;=45</f>
        <v/>
      </c>
      <c r="D2734">
        <f>IF(Skills!C31=1,60+Inputs!$B$25+Inputs!$B$29,IF(Skills!C31=2,90+Inputs!$B$26+Inputs!$B$29,IF(Skills!C31=3,120+Inputs!$B$27+Inputs!$B$29,MAX(0,(Inputs!$B$3-100)*3)+Inputs!$B$28+Inputs!$B$29)))</f>
        <v/>
      </c>
      <c r="E2734">
        <f>INDEX(FactorTable!$B$2:$Y$301, MATCH(ROUND(MIN(300,MAX(1,D2734)),0), FactorTable!$A$2:$A$301,0), Skills!M31+1)</f>
        <v/>
      </c>
      <c r="F2734">
        <f>IF(Skills!N31=TRUE,(Skills!L31/10)*(E2734/1000),Skills!L31/10)+Skills!O31</f>
        <v/>
      </c>
      <c r="G2734">
        <f>Skills!G31*IF(Skills!H31&gt;0,Skills!I31/Skills!H31,1)</f>
        <v/>
      </c>
      <c r="H2734">
        <f>1-(1-Skills!J31/100)^Skills!K31</f>
        <v/>
      </c>
      <c r="I2734" t="inlineStr">
        <is>
          <t>1</t>
        </is>
      </c>
      <c r="J2734" t="inlineStr"/>
      <c r="K2734" t="inlineStr"/>
      <c r="L2734" t="inlineStr"/>
      <c r="M2734" t="inlineStr"/>
      <c r="N2734" t="inlineStr"/>
      <c r="O2734">
        <f>(1-Summary!$B$11)*T2734+Summary!$B$11*V2734</f>
        <v/>
      </c>
      <c r="P2734">
        <f>IF(B2747=0,0,O2734/B2747)</f>
        <v/>
      </c>
      <c r="Q2734" t="n">
        <v>0</v>
      </c>
      <c r="R2734" t="n">
        <v>0</v>
      </c>
      <c r="S2734">
        <f>IFERROR(O2734/N2734,0)</f>
        <v/>
      </c>
      <c r="T2734" t="n">
        <v>0</v>
      </c>
      <c r="V2734" t="n">
        <v>0</v>
      </c>
    </row>
    <row r="2736">
      <c r="A2736" t="inlineStr">
        <is>
          <t>Attack% Bucket Multiplier</t>
        </is>
      </c>
      <c r="B2736">
        <f>(1+(((C2717=TRUE)*F2717)+((C2718=TRUE)*IF(Inputs!$B$38="pvp",F2718,(1-Summary!$B$11)*(F2718)+Summary!$B$11*(0)))+((C2719=TRUE)*F2719*IF(AND(Inputs!$B$38&lt;&gt;"pvp",Inputs!$B$43&gt;0),(((R2719-1)*(Skills!T16*(1+Inputs!$B$34/100))+MIN((Skills!T16*(1+Inputs!$B$34/100)),MAX(0,Inputs!$B$43-((R2719-1)*Skills!D16))))/Inputs!$B$43),IF(Inputs!$B$38="pvp",MIN((Skills!T16*(1+Inputs!$B$34/100)),15)/15,(Skills!T16*(1+Inputs!$B$34/100))/Skills!D16)))+((C2734=TRUE)*(F2734-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37">
      <c r="A2737" t="inlineStr">
        <is>
          <t>Global Crit Rate Bonus %</t>
        </is>
      </c>
      <c r="B2737">
        <f>(C2720=TRUE)*20*IF(AND(Inputs!$B$38&lt;&gt;"pvp",Inputs!$B$43&gt;0),(((R2720-1)*(Skills!T17*(1+Inputs!$B$34/100))+MIN((Skills!T17*(1+Inputs!$B$34/100)),MAX(0,Inputs!$B$43-((R2720-1)*Skills!D17))))/Inputs!$B$43),IF(Inputs!$B$38="pvp",MIN((Skills!T17*(1+Inputs!$B$34/100)),15)/15,(Skills!T17*(1+Inputs!$B$34/100))/Skills!D17))</f>
        <v/>
      </c>
    </row>
    <row r="2738">
      <c r="A2738" t="inlineStr">
        <is>
          <t>Attack Speed Buff Bonus %</t>
        </is>
      </c>
      <c r="B2738">
        <f>((C2723=TRUE)*F2723*IF(AND(Inputs!$B$38&lt;&gt;"pvp",Inputs!$B$43&gt;0),(((R2723-1)*(Skills!T20*(1+Inputs!$B$34/100))+MIN((Skills!T20*(1+Inputs!$B$34/100)),MAX(0,Inputs!$B$43-((R2723-1)*Skills!D20))))/Inputs!$B$43),IF(Inputs!$B$38="pvp",MIN((Skills!T20*(1+Inputs!$B$34/100)),15)/15,(Skills!T20*(1+Inputs!$B$34/100))/Skills!D20)))</f>
        <v/>
      </c>
    </row>
    <row r="2739">
      <c r="A2739" t="inlineStr">
        <is>
          <t>Actions Per Second</t>
        </is>
      </c>
      <c r="B2739">
        <f>1+MIN(150,150*(1-(1-(Inputs!$B$11+((C2725=TRUE)*(F2725-Calc!F22))+((C2726=TRUE)*(F2726-Calc!F23)))/150)*(1-B2738/150)))/100</f>
        <v/>
      </c>
    </row>
    <row r="2740">
      <c r="A2740" t="inlineStr">
        <is>
          <t>Skill + Buff Cast Rate</t>
        </is>
      </c>
      <c r="B2740">
        <f>IF(AND(Inputs!$B$38&lt;&gt;"pvp",Inputs!$B$43&gt;0),SUMPRODUCT((Skills!E2:E31=TRUE)*(C2705:C2734=TRUE)*R2705:R2734*Skills!F2:F31)/Inputs!$B$43,SUMPRODUCT((Skills!E2:E31=TRUE)*(C2705:C2734=TRUE)*Q2705:Q2734*Skills!F2:F31))</f>
        <v/>
      </c>
    </row>
    <row r="2741">
      <c r="A2741" t="inlineStr">
        <is>
          <t>Arrow Stream Casts Per Second</t>
        </is>
      </c>
      <c r="B2741">
        <f>MAX(0,B2739-B2740)</f>
        <v/>
      </c>
    </row>
    <row r="2742">
      <c r="A2742" t="inlineStr">
        <is>
          <t>Global Critical Damage Bonus % (Sharp Eyes + Concentration)</t>
        </is>
      </c>
      <c r="B2742">
        <f>(C2720=TRUE)*F2720*IF(AND(Inputs!$B$38&lt;&gt;"pvp",Inputs!$B$43&gt;0),(((R2720-1)*(Skills!T17*(1+Inputs!$B$34/100))+MIN((Skills!T17*(1+Inputs!$B$34/100)),MAX(0,Inputs!$B$43-((R2720-1)*Skills!D17))))/Inputs!$B$43),IF(Inputs!$B$38="pvp",MIN((Skills!T17*(1+Inputs!$B$34/100)),15)/15,(Skills!T17*(1+Inputs!$B$34/100))/Skills!D17))+(C2721=TRUE)*30</f>
        <v/>
      </c>
    </row>
    <row r="2743">
      <c r="A2743" t="inlineStr">
        <is>
          <t>Global Final Damage Bonus % (Mortal Blow)</t>
        </is>
      </c>
      <c r="B2743">
        <f>(C2722=TRUE)*F2722</f>
        <v/>
      </c>
    </row>
    <row r="2744">
      <c r="A2744" t="inlineStr">
        <is>
          <t>Buff-Casting Startup Delay (s, fixed-duration only)</t>
        </is>
      </c>
      <c r="B2744">
        <f>IF(AND(Inputs!$B$38&lt;&gt;"pvp",Inputs!$B$43&gt;0),SUMPRODUCT((Skills!T2:T31&gt;0)*(Skills!E2:E31=TRUE)*(C2705:C2734=TRUE))/B2739,0)</f>
        <v/>
      </c>
    </row>
    <row r="2745">
      <c r="A2745" t="inlineStr">
        <is>
          <t>Boss-Only Total DPS (this block's swept value)</t>
        </is>
      </c>
      <c r="B2745">
        <f>SUM(T2705:T2734)</f>
        <v/>
      </c>
    </row>
    <row r="2746">
      <c r="A2746" t="inlineStr">
        <is>
          <t>Normal-Only Total DPS (this block's swept value)</t>
        </is>
      </c>
      <c r="B2746">
        <f>SUM(V2705:V2734)</f>
        <v/>
      </c>
    </row>
    <row r="2747">
      <c r="A2747" s="6" t="inlineStr">
        <is>
          <t>TOTAL DPS</t>
        </is>
      </c>
      <c r="B2747" s="6">
        <f>SUM(O2705:O2734)</f>
        <v/>
      </c>
    </row>
    <row r="2750">
      <c r="A2750" s="6" t="inlineStr">
        <is>
          <t>Stat: Horn Flute (Equip)</t>
        </is>
      </c>
    </row>
    <row r="2751">
      <c r="A2751" s="5" t="inlineStr">
        <is>
          <t>Key</t>
        </is>
      </c>
      <c r="B2751" s="5" t="inlineStr">
        <is>
          <t>Name</t>
        </is>
      </c>
      <c r="C2751" s="5" t="inlineStr">
        <is>
          <t>Unlocked</t>
        </is>
      </c>
      <c r="D2751" s="5" t="inlineStr">
        <is>
          <t>InputLevel</t>
        </is>
      </c>
      <c r="E2751" s="5" t="inlineStr">
        <is>
          <t>Factor</t>
        </is>
      </c>
      <c r="F2751" s="5" t="inlineStr">
        <is>
          <t>CoefficientPercent</t>
        </is>
      </c>
      <c r="G2751" s="5" t="inlineStr">
        <is>
          <t>EffectiveHits</t>
        </is>
      </c>
      <c r="H2751" s="5" t="inlineStr">
        <is>
          <t>ProcProbability</t>
        </is>
      </c>
      <c r="I2751" s="5" t="inlineStr">
        <is>
          <t>MapleHeroMultiplier</t>
        </is>
      </c>
      <c r="J2751" s="5" t="inlineStr">
        <is>
          <t>BaseDamage</t>
        </is>
      </c>
      <c r="K2751" s="5" t="inlineStr">
        <is>
          <t>BaseHitDamage</t>
        </is>
      </c>
      <c r="L2751" s="5" t="inlineStr">
        <is>
          <t>NonCritAvg</t>
        </is>
      </c>
      <c r="M2751" s="5" t="inlineStr">
        <is>
          <t>CritAvg</t>
        </is>
      </c>
      <c r="N2751" s="5" t="inlineStr">
        <is>
          <t>ExpectedDamage(perHit)</t>
        </is>
      </c>
      <c r="O2751" s="5" t="inlineStr">
        <is>
          <t>DPS</t>
        </is>
      </c>
      <c r="P2751" s="5" t="inlineStr">
        <is>
          <t>% of Total</t>
        </is>
      </c>
      <c r="Q2751" s="5" t="inlineStr">
        <is>
          <t>InvCooldown</t>
        </is>
      </c>
      <c r="R2751" s="5" t="inlineStr">
        <is>
          <t>CastsInFight</t>
        </is>
      </c>
      <c r="S2751" s="5" t="inlineStr">
        <is>
          <t>HitRate(perSec)</t>
        </is>
      </c>
      <c r="U2751" t="inlineStr">
        <is>
          <t>helpers</t>
        </is>
      </c>
    </row>
    <row r="2752">
      <c r="A2752">
        <f>Skills!A2</f>
        <v/>
      </c>
      <c r="B2752">
        <f>Skills!B2</f>
        <v/>
      </c>
      <c r="C2752">
        <f>Inputs!$B$3&gt;=100</f>
        <v/>
      </c>
      <c r="D2752" t="inlineStr"/>
      <c r="E2752" t="inlineStr"/>
      <c r="F2752">
        <f>U2754+Skills!O2</f>
        <v/>
      </c>
      <c r="G2752">
        <f>Skills!G2*IF(Skills!H2&gt;0,Skills!I2/Skills!H2,1)</f>
        <v/>
      </c>
      <c r="H2752">
        <f>1-(1-Skills!J2/100)^Skills!K2</f>
        <v/>
      </c>
      <c r="I2752" t="inlineStr">
        <is>
          <t>1</t>
        </is>
      </c>
      <c r="J2752">
        <f>((Inputs!$B$6*(1+Inputs!$B$7/100))+(((Inputs!$B$12*(1+Inputs!$B$13/100))-(Inputs!$B$12*(1+Inputs!$B$13/100)))+0.25*(Inputs!$B$14-Inputs!$B$14))*(1+Inputs!$B$7/100))*(F2752/100)</f>
        <v/>
      </c>
      <c r="K2752">
        <f>J2752*(1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2752)</f>
        <v/>
      </c>
      <c r="L2752">
        <f>K2752*(MIN(Inputs!$B$22+((C2775=TRUE)*(F2775-Calc!F25)),(Inputs!$B$23+((C2780=TRUE)*(F2780-Calc!F30))+(IF(ArtifactsInput!$M$15,CHOOSE(ArtifactsInput!$N$15+1,25,30,35,40,45,50)/100*(Inputs!$B$11-Inputs!$B$11),0))))/100+(Inputs!$B$23+((C2780=TRUE)*(F2780-Calc!F30))+(IF(ArtifactsInput!$M$15,CHOOSE(ArtifactsInput!$N$15+1,25,30,35,40,45,50)/100*(Inputs!$B$11-Inputs!$B$11),0)))/100)/2</f>
        <v/>
      </c>
      <c r="M2752">
        <f>L2752*(1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2">
        <f>L2752*(1-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2752*(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2">
        <f>(1-Summary!$B$11)*T2752+Summary!$B$11*V2752</f>
        <v/>
      </c>
      <c r="P2752">
        <f>IF(B2794=0,0,O2752/B2794)</f>
        <v/>
      </c>
      <c r="Q2752" t="n">
        <v>0</v>
      </c>
      <c r="R2752" t="n">
        <v>0</v>
      </c>
      <c r="S2752">
        <f>IFERROR(O2752/N2752,0)</f>
        <v/>
      </c>
      <c r="T2752">
        <f>IF(C2752,(Skills!G2*N2752*B2788)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2752*(1-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2752*(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2752*(1-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2752*(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2">
        <f>MAX(0,(Inputs!$B$3-100)*3)+Inputs!$B$28+Inputs!$B$29</f>
        <v/>
      </c>
      <c r="V2752">
        <f>IF(C2752,(Skills!G2*N2752*B2788)*IF(Inputs!$B$38="pvp",1,(1+(Inputs!$B$21+Skills!Q2+(IF(ArtifactsInput!$M$33,CHOOSE(ArtifactsInput!$N$33+1,30,36,42,48,54,60),0))+(IF(AND(ArtifactsInput!$M$35,Inputs!$B$4&lt;&gt;"Chapter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3">
      <c r="A2753">
        <f>Skills!A3</f>
        <v/>
      </c>
      <c r="B2753">
        <f>Skills!B3</f>
        <v/>
      </c>
      <c r="C2753">
        <f>Inputs!$B$3&gt;=50</f>
        <v/>
      </c>
      <c r="D2753">
        <f>IF(Skills!C3=1,60+Inputs!$B$25+Inputs!$B$29,IF(Skills!C3=2,90+Inputs!$B$26+Inputs!$B$29,IF(Skills!C3=3,120+Inputs!$B$27+Inputs!$B$29,MAX(0,(Inputs!$B$3-100)*3)+Inputs!$B$28+Inputs!$B$29)))</f>
        <v/>
      </c>
      <c r="E2753">
        <f>INDEX(FactorTable!$B$2:$Y$301, MATCH(ROUND(MIN(300,MAX(1,D2753)),0), FactorTable!$A$2:$A$301,0), Skills!M3+1)</f>
        <v/>
      </c>
      <c r="F2753">
        <f>IF(Skills!N3=TRUE,(Skills!L3/10)*(E2753/1000),Skills!L3/10)+Skills!O3</f>
        <v/>
      </c>
      <c r="G2753">
        <f>Skills!G3*IF(Skills!H3&gt;0,Skills!I3/Skills!H3,1)</f>
        <v/>
      </c>
      <c r="H2753">
        <f>1-(1-Skills!J3/100)^Skills!K3</f>
        <v/>
      </c>
      <c r="I2753" t="inlineStr">
        <is>
          <t>1</t>
        </is>
      </c>
      <c r="J2753">
        <f>((Inputs!$B$6*(1+Inputs!$B$7/100))+(((Inputs!$B$12*(1+Inputs!$B$13/100))-(Inputs!$B$12*(1+Inputs!$B$13/100)))+0.25*(Inputs!$B$14-Inputs!$B$14))*(1+Inputs!$B$7/100))*(F2753/100)</f>
        <v/>
      </c>
      <c r="K2753">
        <f>J2753*(1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2754=TRUE,F2754,0)/100)*(1+(IF(Skills!A3="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2753)</f>
        <v/>
      </c>
      <c r="L2753">
        <f>K2753*(MIN(Inputs!$B$22+((C2775=TRUE)*(F2775-Calc!F25)),(Inputs!$B$23+((C2780=TRUE)*(F2780-Calc!F30))+(IF(ArtifactsInput!$M$15,CHOOSE(ArtifactsInput!$N$15+1,25,30,35,40,45,50)/100*(Inputs!$B$11-Inputs!$B$11),0))))/100+(Inputs!$B$23+((C2780=TRUE)*(F2780-Calc!F30))+(IF(ArtifactsInput!$M$15,CHOOSE(ArtifactsInput!$N$15+1,25,30,35,40,45,50)/100*(Inputs!$B$11-Inputs!$B$11),0)))/100)/2</f>
        <v/>
      </c>
      <c r="M2753">
        <f>L2753*(1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3">
        <f>L2753*(1-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2753*(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3">
        <f>(1-Summary!$B$11)*T2753+Summary!$B$11*V2753</f>
        <v/>
      </c>
      <c r="P2753">
        <f>IF(B2794=0,0,O2753/B2794)</f>
        <v/>
      </c>
      <c r="Q2753">
        <f>IFERROR(1/(IF(Inputs!$B$38="pvp",15,MAX(0.1,Skills!D3-IF(Skills!E3=TRUE,Inputs!$B$32,0)))*(1-IF(AND(ArtifactsInput!$M$27,Inputs!$B$4="Chapter Hunt"),CHOOSE(ArtifactsInput!$N$27+1,20,24,28,32,36,40),0)/100)),0)</f>
        <v/>
      </c>
      <c r="R2753">
        <f>IF(AND(Inputs!$B$38&lt;&gt;"pvp",Inputs!$B$43&gt;0),IF(MAX(0,Inputs!$B$43-B2791)&lt;=0,0,(INT(MAX(0,Inputs!$B$43-B2791)/(IF(Inputs!$B$38="pvp",15,MAX(0.1,Skills!D3-IF(Skills!E3=TRUE,Inputs!$B$32,0)))*(1-IF(AND(ArtifactsInput!$M$27,Inputs!$B$4="Chapter Hunt"),CHOOSE(ArtifactsInput!$N$27+1,20,24,28,32,36,40),0)/100)))+1)),0)</f>
        <v/>
      </c>
      <c r="S2753">
        <f>IFERROR(O2753/N2753,0)</f>
        <v/>
      </c>
      <c r="T2753">
        <f>IF(C2753,(H2753*N2753*IF(AND(Inputs!$B$38&lt;&gt;"pvp",Inputs!$B$43&gt;0),((Skills!G3*((R2753-1)*IF(Skills!H3&gt;0,Skills!I3/Skills!H3,1)+IF(Skills!H3&gt;0,MIN(Skills!I3,MAX(0,MAX(0,Inputs!$B$43-B2791)-((R2753-1)*(IF(Inputs!$B$38="pvp",15,MAX(0.1,Skills!D3-IF(Skills!E3=TRUE,Inputs!$B$32,0)))*(1-IF(AND(ArtifactsInput!$M$27,Inputs!$B$4="Chapter Hunt"),CHOOSE(ArtifactsInput!$N$27+1,20,24,28,32,36,40),0)/100)))))/Skills!H3,1)))/Inputs!$B$43),G2753*Q2753)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2753*(1-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2753*(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2753*(1-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2753*(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3">
        <f>INDEX(FactorTable!$B$2:$Y$301, MATCH(ROUND(MIN(300,MAX(1,U2752)),0), FactorTable!$A$2:$A$301,0), 22)</f>
        <v/>
      </c>
      <c r="V2753">
        <f>IF(C2753,(H2753*N2753*IF(AND(Inputs!$B$38&lt;&gt;"pvp",Inputs!$B$43&gt;0),((Skills!G3*((R2753-1)*IF(Skills!H3&gt;0,Skills!I3/Skills!H3,1)+IF(Skills!H3&gt;0,MIN(Skills!I3,MAX(0,MAX(0,Inputs!$B$43-B2791)-((R2753-1)*(IF(Inputs!$B$38="pvp",15,MAX(0.1,Skills!D3-IF(Skills!E3=TRUE,Inputs!$B$32,0)))*(1-IF(AND(ArtifactsInput!$M$27,Inputs!$B$4="Chapter Hunt"),CHOOSE(ArtifactsInput!$N$27+1,20,24,28,32,36,40),0)/100)))))/Skills!H3,1)))/Inputs!$B$43),G2753*Q2753))*IF(Inputs!$B$38="pvp",1,(1+(Inputs!$B$21+Skills!Q3+(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4">
      <c r="A2754">
        <f>Skills!A4</f>
        <v/>
      </c>
      <c r="B2754">
        <f>Skills!B4</f>
        <v/>
      </c>
      <c r="C2754">
        <f>Inputs!$B$3&gt;=105</f>
        <v/>
      </c>
      <c r="D2754">
        <f>IF(Skills!C4=1,60+Inputs!$B$25+Inputs!$B$29,IF(Skills!C4=2,90+Inputs!$B$26+Inputs!$B$29,IF(Skills!C4=3,120+Inputs!$B$27+Inputs!$B$29,MAX(0,(Inputs!$B$3-100)*3)+Inputs!$B$28+Inputs!$B$29)))</f>
        <v/>
      </c>
      <c r="E2754">
        <f>INDEX(FactorTable!$B$2:$Y$301, MATCH(ROUND(MIN(300,MAX(1,D2754)),0), FactorTable!$A$2:$A$301,0), Skills!M4+1)</f>
        <v/>
      </c>
      <c r="F2754">
        <f>IF(Skills!N4=TRUE,(Skills!L4/10)*(E2754/1000),Skills!L4/10)+Skills!O4</f>
        <v/>
      </c>
      <c r="G2754" t="inlineStr"/>
      <c r="H2754" t="inlineStr"/>
      <c r="I2754" t="inlineStr">
        <is>
          <t>1</t>
        </is>
      </c>
      <c r="J2754" t="inlineStr"/>
      <c r="K2754" t="inlineStr"/>
      <c r="L2754" t="inlineStr"/>
      <c r="M2754" t="inlineStr"/>
      <c r="N2754" t="inlineStr"/>
      <c r="O2754" t="inlineStr"/>
      <c r="P2754" t="inlineStr"/>
      <c r="Q2754" t="inlineStr"/>
      <c r="R2754" t="inlineStr"/>
      <c r="S2754" t="inlineStr"/>
      <c r="T2754" t="inlineStr"/>
      <c r="U2754">
        <f>290*U2753/1000</f>
        <v/>
      </c>
      <c r="V2754" t="inlineStr"/>
    </row>
    <row r="2755">
      <c r="A2755">
        <f>Skills!A5</f>
        <v/>
      </c>
      <c r="B2755">
        <f>Skills!B5</f>
        <v/>
      </c>
      <c r="C2755">
        <f>Inputs!$B$3&gt;=35</f>
        <v/>
      </c>
      <c r="D2755">
        <f>IF(Skills!C5=1,60+Inputs!$B$25+Inputs!$B$29,IF(Skills!C5=2,90+Inputs!$B$26+Inputs!$B$29,IF(Skills!C5=3,120+Inputs!$B$27+Inputs!$B$29,MAX(0,(Inputs!$B$3-100)*3)+Inputs!$B$28+Inputs!$B$29)))</f>
        <v/>
      </c>
      <c r="E2755">
        <f>INDEX(FactorTable!$B$2:$Y$301, MATCH(ROUND(MIN(300,MAX(1,D2755)),0), FactorTable!$A$2:$A$301,0), Skills!M5+1)</f>
        <v/>
      </c>
      <c r="F2755">
        <f>IF(Skills!N5=TRUE,(Skills!L5/10)*(E2755/1000),Skills!L5/10)+Skills!O5</f>
        <v/>
      </c>
      <c r="G2755">
        <f>Skills!G5*IF(Skills!H5&gt;0,Skills!I5/Skills!H5,1)</f>
        <v/>
      </c>
      <c r="H2755">
        <f>1-(1-Skills!J5/100)^Skills!K5</f>
        <v/>
      </c>
      <c r="I2755" t="inlineStr">
        <is>
          <t>1</t>
        </is>
      </c>
      <c r="J2755">
        <f>((Inputs!$B$6*(1+Inputs!$B$7/100))+(((Inputs!$B$12*(1+Inputs!$B$13/100))-(Inputs!$B$12*(1+Inputs!$B$13/100)))+0.25*(Inputs!$B$14-Inputs!$B$14))*(1+Inputs!$B$7/100))*(F2755/100)</f>
        <v/>
      </c>
      <c r="K2755">
        <f>J2755*(1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2761=TRUE,F2761,0)/100)*(1+(IF(Skills!A5="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2755)</f>
        <v/>
      </c>
      <c r="L2755">
        <f>K2755*(MIN(Inputs!$B$22+((C2775=TRUE)*(F2775-Calc!F25)),(Inputs!$B$23+((C2780=TRUE)*(F2780-Calc!F30))+(IF(ArtifactsInput!$M$15,CHOOSE(ArtifactsInput!$N$15+1,25,30,35,40,45,50)/100*(Inputs!$B$11-Inputs!$B$11),0))))/100+(Inputs!$B$23+((C2780=TRUE)*(F2780-Calc!F30))+(IF(ArtifactsInput!$M$15,CHOOSE(ArtifactsInput!$N$15+1,25,30,35,40,45,50)/100*(Inputs!$B$11-Inputs!$B$11),0)))/100)/2</f>
        <v/>
      </c>
      <c r="M2755">
        <f>L2755*(1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5">
        <f>L2755*(1-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2755*(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5">
        <f>(1-Summary!$B$11)*T2755+Summary!$B$11*V2755</f>
        <v/>
      </c>
      <c r="P2755">
        <f>IF(B2794=0,0,O2755/B2794)</f>
        <v/>
      </c>
      <c r="Q2755">
        <f>IFERROR(1/(IF(Inputs!$B$38="pvp",15,MAX(0.1,Skills!D5-IF(Skills!E5=TRUE,Inputs!$B$32,0)))*(1-IF(AND(ArtifactsInput!$M$27,Inputs!$B$4="Chapter Hunt"),CHOOSE(ArtifactsInput!$N$27+1,20,24,28,32,36,40),0)/100)),0)</f>
        <v/>
      </c>
      <c r="R2755">
        <f>IF(AND(Inputs!$B$38&lt;&gt;"pvp",Inputs!$B$43&gt;0),IF(MAX(0,Inputs!$B$43-B2791)&lt;=0,0,(INT(MAX(0,Inputs!$B$43-B2791)/(IF(Inputs!$B$38="pvp",15,MAX(0.1,Skills!D5-IF(Skills!E5=TRUE,Inputs!$B$32,0)))*(1-IF(AND(ArtifactsInput!$M$27,Inputs!$B$4="Chapter Hunt"),CHOOSE(ArtifactsInput!$N$27+1,20,24,28,32,36,40),0)/100)))+1)),0)</f>
        <v/>
      </c>
      <c r="S2755">
        <f>IFERROR(O2755/N2755,0)</f>
        <v/>
      </c>
      <c r="T2755">
        <f>IF(C2755,(H2755*N2755*IF(AND(Inputs!$B$38&lt;&gt;"pvp",Inputs!$B$43&gt;0),((Skills!G5*((R2755-1)*IF(Skills!H5&gt;0,Skills!I5/Skills!H5,1)+IF(Skills!H5&gt;0,MIN(Skills!I5,MAX(0,MAX(0,Inputs!$B$43-B2791)-((R2755-1)*(IF(Inputs!$B$38="pvp",15,MAX(0.1,Skills!D5-IF(Skills!E5=TRUE,Inputs!$B$32,0)))*(1-IF(AND(ArtifactsInput!$M$27,Inputs!$B$4="Chapter Hunt"),CHOOSE(ArtifactsInput!$N$27+1,20,24,28,32,36,40),0)/100)))))/Skills!H5,1)))/Inputs!$B$43),G2755*Q2755)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2755*(1-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2755*(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2755*(1-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2755*(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5">
        <f>IF(C2755,(H2755*N2755*IF(AND(Inputs!$B$38&lt;&gt;"pvp",Inputs!$B$43&gt;0),((Skills!G5*((R2755-1)*IF(Skills!H5&gt;0,Skills!I5/Skills!H5,1)+IF(Skills!H5&gt;0,MIN(Skills!I5,MAX(0,MAX(0,Inputs!$B$43-B2791)-((R2755-1)*(IF(Inputs!$B$38="pvp",15,MAX(0.1,Skills!D5-IF(Skills!E5=TRUE,Inputs!$B$32,0)))*(1-IF(AND(ArtifactsInput!$M$27,Inputs!$B$4="Chapter Hunt"),CHOOSE(ArtifactsInput!$N$27+1,20,24,28,32,36,40),0)/100)))))/Skills!H5,1)))/Inputs!$B$43),G2755*Q2755))*IF(Inputs!$B$38="pvp",1,(1+(Inputs!$B$21+Skills!Q5+(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6">
      <c r="A2756">
        <f>Skills!A6</f>
        <v/>
      </c>
      <c r="B2756">
        <f>Skills!B6</f>
        <v/>
      </c>
      <c r="C2756">
        <f>Inputs!$B$3&gt;=40</f>
        <v/>
      </c>
      <c r="D2756">
        <f>IF(Skills!C6=1,60+Inputs!$B$25+Inputs!$B$29,IF(Skills!C6=2,90+Inputs!$B$26+Inputs!$B$29,IF(Skills!C6=3,120+Inputs!$B$27+Inputs!$B$29,MAX(0,(Inputs!$B$3-100)*3)+Inputs!$B$28+Inputs!$B$29)))</f>
        <v/>
      </c>
      <c r="E2756">
        <f>INDEX(FactorTable!$B$2:$Y$301, MATCH(ROUND(MIN(300,MAX(1,D2756)),0), FactorTable!$A$2:$A$301,0), Skills!M6+1)</f>
        <v/>
      </c>
      <c r="F2756">
        <f>IF(Skills!N6=TRUE,(Skills!L6/10)*(E2756/1000),Skills!L6/10)+Skills!O6</f>
        <v/>
      </c>
      <c r="G2756">
        <f>Skills!G6*IF(Skills!H6&gt;0,Skills!I6/Skills!H6,1)</f>
        <v/>
      </c>
      <c r="H2756">
        <f>1-(1-Skills!J6/100)^Skills!K6</f>
        <v/>
      </c>
      <c r="I2756" t="inlineStr">
        <is>
          <t>1</t>
        </is>
      </c>
      <c r="J2756">
        <f>((Inputs!$B$6*(1+Inputs!$B$7/100))+(((Inputs!$B$12*(1+Inputs!$B$13/100))-(Inputs!$B$12*(1+Inputs!$B$13/100)))+0.25*(Inputs!$B$14-Inputs!$B$14))*(1+Inputs!$B$7/100))*(F2756/100)</f>
        <v/>
      </c>
      <c r="K2756">
        <f>J2756*(1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2757=TRUE,F2757,0)/100)*(1+(IF(Skills!A6="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2756)</f>
        <v/>
      </c>
      <c r="L2756">
        <f>K2756*(MIN(Inputs!$B$22+((C2775=TRUE)*(F2775-Calc!F25)),(Inputs!$B$23+((C2780=TRUE)*(F2780-Calc!F30))+(IF(ArtifactsInput!$M$15,CHOOSE(ArtifactsInput!$N$15+1,25,30,35,40,45,50)/100*(Inputs!$B$11-Inputs!$B$11),0))))/100+(Inputs!$B$23+((C2780=TRUE)*(F2780-Calc!F30))+(IF(ArtifactsInput!$M$15,CHOOSE(ArtifactsInput!$N$15+1,25,30,35,40,45,50)/100*(Inputs!$B$11-Inputs!$B$11),0)))/100)/2</f>
        <v/>
      </c>
      <c r="M2756">
        <f>L2756*(1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6">
        <f>L2756*(1-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2756*(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6">
        <f>(1-Summary!$B$11)*T2756+Summary!$B$11*V2756</f>
        <v/>
      </c>
      <c r="P2756">
        <f>IF(B2794=0,0,O2756/B2794)</f>
        <v/>
      </c>
      <c r="Q2756">
        <f>IFERROR(1/(IF(Inputs!$B$38="pvp",15,MAX(0.1,Skills!D6-IF(Skills!E6=TRUE,Inputs!$B$32,0)))*(1-IF(AND(ArtifactsInput!$M$27,Inputs!$B$4="Chapter Hunt"),CHOOSE(ArtifactsInput!$N$27+1,20,24,28,32,36,40),0)/100)),0)</f>
        <v/>
      </c>
      <c r="R2756">
        <f>IF(AND(Inputs!$B$38&lt;&gt;"pvp",Inputs!$B$43&gt;0),IF(MAX(0,Inputs!$B$43-B2791)&lt;=0,0,(INT(MAX(0,Inputs!$B$43-B2791)/(IF(Inputs!$B$38="pvp",15,MAX(0.1,Skills!D6-IF(Skills!E6=TRUE,Inputs!$B$32,0)))*(1-IF(AND(ArtifactsInput!$M$27,Inputs!$B$4="Chapter Hunt"),CHOOSE(ArtifactsInput!$N$27+1,20,24,28,32,36,40),0)/100)))+1)),0)</f>
        <v/>
      </c>
      <c r="S2756">
        <f>IFERROR(O2756/N2756,0)</f>
        <v/>
      </c>
      <c r="T2756">
        <f>IF(C2756,(H2756*N2756*IF(AND(Inputs!$B$38&lt;&gt;"pvp",Inputs!$B$43&gt;0),((Skills!G6*((R2756-1)*IF(Skills!H6&gt;0,Skills!I6/Skills!H6,1)+IF(Skills!H6&gt;0,MIN(Skills!I6,MAX(0,MAX(0,Inputs!$B$43-B2791)-((R2756-1)*(IF(Inputs!$B$38="pvp",15,MAX(0.1,Skills!D6-IF(Skills!E6=TRUE,Inputs!$B$32,0)))*(1-IF(AND(ArtifactsInput!$M$27,Inputs!$B$4="Chapter Hunt"),CHOOSE(ArtifactsInput!$N$27+1,20,24,28,32,36,40),0)/100)))))/Skills!H6,1)))/Inputs!$B$43),G2756*Q2756)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2756*(1-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2756*(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2756*(1-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2756*(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6">
        <f>IF(C2756,(H2756*N2756*IF(AND(Inputs!$B$38&lt;&gt;"pvp",Inputs!$B$43&gt;0),((Skills!G6*((R2756-1)*IF(Skills!H6&gt;0,Skills!I6/Skills!H6,1)+IF(Skills!H6&gt;0,MIN(Skills!I6,MAX(0,MAX(0,Inputs!$B$43-B2791)-((R2756-1)*(IF(Inputs!$B$38="pvp",15,MAX(0.1,Skills!D6-IF(Skills!E6=TRUE,Inputs!$B$32,0)))*(1-IF(AND(ArtifactsInput!$M$27,Inputs!$B$4="Chapter Hunt"),CHOOSE(ArtifactsInput!$N$27+1,20,24,28,32,36,40),0)/100)))))/Skills!H6,1)))/Inputs!$B$43),G2756*Q2756))*IF(Inputs!$B$38="pvp",1,(1+(Inputs!$B$21+Skills!Q6+(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7">
      <c r="A2757">
        <f>Skills!A7</f>
        <v/>
      </c>
      <c r="B2757">
        <f>Skills!B7</f>
        <v/>
      </c>
      <c r="C2757">
        <f>Inputs!$B$3&gt;=107</f>
        <v/>
      </c>
      <c r="D2757">
        <f>IF(Skills!C7=1,60+Inputs!$B$25+Inputs!$B$29,IF(Skills!C7=2,90+Inputs!$B$26+Inputs!$B$29,IF(Skills!C7=3,120+Inputs!$B$27+Inputs!$B$29,MAX(0,(Inputs!$B$3-100)*3)+Inputs!$B$28+Inputs!$B$29)))</f>
        <v/>
      </c>
      <c r="E2757">
        <f>INDEX(FactorTable!$B$2:$Y$301, MATCH(ROUND(MIN(300,MAX(1,D2757)),0), FactorTable!$A$2:$A$301,0), Skills!M7+1)</f>
        <v/>
      </c>
      <c r="F2757">
        <f>IF(Skills!N7=TRUE,(Skills!L7/10)*(E2757/1000),Skills!L7/10)+Skills!O7</f>
        <v/>
      </c>
      <c r="G2757" t="inlineStr"/>
      <c r="H2757" t="inlineStr"/>
      <c r="I2757" t="inlineStr">
        <is>
          <t>1</t>
        </is>
      </c>
      <c r="J2757" t="inlineStr"/>
      <c r="K2757" t="inlineStr"/>
      <c r="L2757" t="inlineStr"/>
      <c r="M2757" t="inlineStr"/>
      <c r="N2757" t="inlineStr"/>
      <c r="O2757" t="inlineStr"/>
      <c r="P2757" t="inlineStr"/>
      <c r="Q2757" t="inlineStr"/>
      <c r="R2757" t="inlineStr"/>
      <c r="S2757" t="inlineStr"/>
      <c r="T2757" t="inlineStr"/>
      <c r="V2757" t="inlineStr"/>
    </row>
    <row r="2758">
      <c r="A2758">
        <f>Skills!A8</f>
        <v/>
      </c>
      <c r="B2758">
        <f>Skills!B8</f>
        <v/>
      </c>
      <c r="C2758">
        <f>Inputs!$B$3&gt;=69</f>
        <v/>
      </c>
      <c r="D2758">
        <f>IF(Skills!C8=1,60+Inputs!$B$25+Inputs!$B$29,IF(Skills!C8=2,90+Inputs!$B$26+Inputs!$B$29,IF(Skills!C8=3,120+Inputs!$B$27+Inputs!$B$29,MAX(0,(Inputs!$B$3-100)*3)+Inputs!$B$28+Inputs!$B$29)))</f>
        <v/>
      </c>
      <c r="E2758">
        <f>INDEX(FactorTable!$B$2:$Y$301, MATCH(ROUND(MIN(300,MAX(1,D2758)),0), FactorTable!$A$2:$A$301,0), Skills!M8+1)</f>
        <v/>
      </c>
      <c r="F2758">
        <f>IF(Skills!N8=TRUE,(Skills!L8/10)*(E2758/1000),Skills!L8/10)+Skills!O8</f>
        <v/>
      </c>
      <c r="G2758">
        <f>Skills!G8*IF(Skills!H8&gt;0,Skills!I8/Skills!H8,1)</f>
        <v/>
      </c>
      <c r="H2758">
        <f>1-(1-Skills!J8/100)^Skills!K8</f>
        <v/>
      </c>
      <c r="I2758" t="inlineStr">
        <is>
          <t>1</t>
        </is>
      </c>
      <c r="J2758">
        <f>((Inputs!$B$6*(1+Inputs!$B$7/100))+(((Inputs!$B$12*(1+Inputs!$B$13/100))-(Inputs!$B$12*(1+Inputs!$B$13/100)))+0.25*(Inputs!$B$14-Inputs!$B$14))*(1+Inputs!$B$7/100))*(F2758/100)</f>
        <v/>
      </c>
      <c r="K2758">
        <f>J2758*(1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2761=TRUE,F2761,0)/100)*(1+(IF(Skills!A8="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2758)</f>
        <v/>
      </c>
      <c r="L2758">
        <f>K2758*(MIN(Inputs!$B$22+((C2775=TRUE)*(F2775-Calc!F25)),(Inputs!$B$23+((C2780=TRUE)*(F2780-Calc!F30))+(IF(ArtifactsInput!$M$15,CHOOSE(ArtifactsInput!$N$15+1,25,30,35,40,45,50)/100*(Inputs!$B$11-Inputs!$B$11),0))))/100+(Inputs!$B$23+((C2780=TRUE)*(F2780-Calc!F30))+(IF(ArtifactsInput!$M$15,CHOOSE(ArtifactsInput!$N$15+1,25,30,35,40,45,50)/100*(Inputs!$B$11-Inputs!$B$11),0)))/100)/2</f>
        <v/>
      </c>
      <c r="M2758">
        <f>L2758*(1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8">
        <f>L2758*(1-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2758*(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8">
        <f>(1-Summary!$B$11)*T2758+Summary!$B$11*V2758</f>
        <v/>
      </c>
      <c r="P2758">
        <f>IF(B2794=0,0,O2758/B2794)</f>
        <v/>
      </c>
      <c r="Q2758">
        <f>IFERROR(1/(IF(Inputs!$B$38="pvp",15,MAX(0.1,Skills!D8-IF(Skills!E8=TRUE,Inputs!$B$32,0)))*(1-IF(AND(ArtifactsInput!$M$27,Inputs!$B$4="Chapter Hunt"),CHOOSE(ArtifactsInput!$N$27+1,20,24,28,32,36,40),0)/100)),0)</f>
        <v/>
      </c>
      <c r="R2758">
        <f>IF(AND(Inputs!$B$38&lt;&gt;"pvp",Inputs!$B$43&gt;0),IF(MAX(0,Inputs!$B$43-B2791)&lt;=0,0,(INT(MAX(0,Inputs!$B$43-B2791)/(IF(Inputs!$B$38="pvp",15,MAX(0.1,Skills!D8-IF(Skills!E8=TRUE,Inputs!$B$32,0)))*(1-IF(AND(ArtifactsInput!$M$27,Inputs!$B$4="Chapter Hunt"),CHOOSE(ArtifactsInput!$N$27+1,20,24,28,32,36,40),0)/100)))+1)),0)</f>
        <v/>
      </c>
      <c r="S2758">
        <f>IFERROR(O2758/N2758,0)</f>
        <v/>
      </c>
      <c r="T2758">
        <f>IF(C2758,(H2758*N2758*IF(AND(Inputs!$B$38&lt;&gt;"pvp",Inputs!$B$43&gt;0),((Skills!G8*((R2758-1)*IF(Skills!H8&gt;0,Skills!I8/Skills!H8,1)+IF(Skills!H8&gt;0,MIN(Skills!I8,MAX(0,MAX(0,Inputs!$B$43-B2791)-((R2758-1)*(IF(Inputs!$B$38="pvp",15,MAX(0.1,Skills!D8-IF(Skills!E8=TRUE,Inputs!$B$32,0)))*(1-IF(AND(ArtifactsInput!$M$27,Inputs!$B$4="Chapter Hunt"),CHOOSE(ArtifactsInput!$N$27+1,20,24,28,32,36,40),0)/100)))))/Skills!H8,1)))/Inputs!$B$43),G2758*Q2758)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2758*(1-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2758*(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2758*(1-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2758*(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8">
        <f>IF(C2758,(H2758*N2758*IF(AND(Inputs!$B$38&lt;&gt;"pvp",Inputs!$B$43&gt;0),((Skills!G8*((R2758-1)*IF(Skills!H8&gt;0,Skills!I8/Skills!H8,1)+IF(Skills!H8&gt;0,MIN(Skills!I8,MAX(0,MAX(0,Inputs!$B$43-B2791)-((R2758-1)*(IF(Inputs!$B$38="pvp",15,MAX(0.1,Skills!D8-IF(Skills!E8=TRUE,Inputs!$B$32,0)))*(1-IF(AND(ArtifactsInput!$M$27,Inputs!$B$4="Chapter Hunt"),CHOOSE(ArtifactsInput!$N$27+1,20,24,28,32,36,40),0)/100)))))/Skills!H8,1)))/Inputs!$B$43),G2758*Q2758))*IF(Inputs!$B$38="pvp",1,(1+(Inputs!$B$21+Skills!Q8+(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9">
      <c r="A2759">
        <f>Skills!A9</f>
        <v/>
      </c>
      <c r="B2759">
        <f>Skills!B9</f>
        <v/>
      </c>
      <c r="C2759">
        <f>Inputs!$B$3&gt;=63</f>
        <v/>
      </c>
      <c r="D2759">
        <f>IF(Skills!C9=1,60+Inputs!$B$25+Inputs!$B$29,IF(Skills!C9=2,90+Inputs!$B$26+Inputs!$B$29,IF(Skills!C9=3,120+Inputs!$B$27+Inputs!$B$29,MAX(0,(Inputs!$B$3-100)*3)+Inputs!$B$28+Inputs!$B$29)))</f>
        <v/>
      </c>
      <c r="E2759">
        <f>INDEX(FactorTable!$B$2:$Y$301, MATCH(ROUND(MIN(300,MAX(1,D2759)),0), FactorTable!$A$2:$A$301,0), Skills!M9+1)</f>
        <v/>
      </c>
      <c r="F2759">
        <f>IF(Skills!N9=TRUE,(Skills!L9/10)*(E2759/1000),Skills!L9/10)+Skills!O9</f>
        <v/>
      </c>
      <c r="G2759">
        <f>Skills!G9*IF(Skills!H9&gt;0,Skills!I9/Skills!H9,1)</f>
        <v/>
      </c>
      <c r="H2759">
        <f>1-(1-Skills!J9/100)^Skills!K9</f>
        <v/>
      </c>
      <c r="I2759" t="inlineStr">
        <is>
          <t>1</t>
        </is>
      </c>
      <c r="J2759">
        <f>((Inputs!$B$6*(1+Inputs!$B$7/100))+(((Inputs!$B$12*(1+Inputs!$B$13/100))-(Inputs!$B$12*(1+Inputs!$B$13/100)))+0.25*(Inputs!$B$14-Inputs!$B$14))*(1+Inputs!$B$7/100))*(F2759/100)</f>
        <v/>
      </c>
      <c r="K2759">
        <f>J2759*(1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2761=TRUE,F2761,0)/100)*(1+(IF(Skills!A9="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2759)</f>
        <v/>
      </c>
      <c r="L2759">
        <f>K2759*(MIN(Inputs!$B$22+((C2775=TRUE)*(F2775-Calc!F25)),(Inputs!$B$23+((C2780=TRUE)*(F2780-Calc!F30))+(IF(ArtifactsInput!$M$15,CHOOSE(ArtifactsInput!$N$15+1,25,30,35,40,45,50)/100*(Inputs!$B$11-Inputs!$B$11),0))))/100+(Inputs!$B$23+((C2780=TRUE)*(F2780-Calc!F30))+(IF(ArtifactsInput!$M$15,CHOOSE(ArtifactsInput!$N$15+1,25,30,35,40,45,50)/100*(Inputs!$B$11-Inputs!$B$11),0)))/100)/2</f>
        <v/>
      </c>
      <c r="M2759">
        <f>L2759*(1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9">
        <f>L2759*(1-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2759*(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9">
        <f>(1-Summary!$B$11)*T2759+Summary!$B$11*V2759</f>
        <v/>
      </c>
      <c r="P2759">
        <f>IF(B2794=0,0,O2759/B2794)</f>
        <v/>
      </c>
      <c r="Q2759">
        <f>IFERROR(1/(IF(Inputs!$B$38="pvp",15,MAX(0.1,Skills!D9-IF(Skills!E9=TRUE,Inputs!$B$32,0)))*(1-IF(AND(ArtifactsInput!$M$27,Inputs!$B$4="Chapter Hunt"),CHOOSE(ArtifactsInput!$N$27+1,20,24,28,32,36,40),0)/100)),0)</f>
        <v/>
      </c>
      <c r="R2759">
        <f>IF(AND(Inputs!$B$38&lt;&gt;"pvp",Inputs!$B$43&gt;0),IF(MAX(0,Inputs!$B$43-B2791)&lt;=0,0,(INT(MAX(0,Inputs!$B$43-B2791)/(IF(Inputs!$B$38="pvp",15,MAX(0.1,Skills!D9-IF(Skills!E9=TRUE,Inputs!$B$32,0)))*(1-IF(AND(ArtifactsInput!$M$27,Inputs!$B$4="Chapter Hunt"),CHOOSE(ArtifactsInput!$N$27+1,20,24,28,32,36,40),0)/100)))+1)),0)</f>
        <v/>
      </c>
      <c r="S2759">
        <f>IFERROR(O2759/N2759,0)</f>
        <v/>
      </c>
      <c r="T2759">
        <f>IF(C2759,(H2759*N2759*IF(AND(Inputs!$B$38&lt;&gt;"pvp",Inputs!$B$43&gt;0),((Skills!G9*((R2759-1)*IF(Skills!H9&gt;0,Skills!I9/Skills!H9,1)+IF(Skills!H9&gt;0,MIN(Skills!I9,MAX(0,MAX(0,Inputs!$B$43-B2791)-((R2759-1)*(IF(Inputs!$B$38="pvp",15,MAX(0.1,Skills!D9-IF(Skills!E9=TRUE,Inputs!$B$32,0)))*(1-IF(AND(ArtifactsInput!$M$27,Inputs!$B$4="Chapter Hunt"),CHOOSE(ArtifactsInput!$N$27+1,20,24,28,32,36,40),0)/100)))))/Skills!H9,1)))/Inputs!$B$43),G2759*Q2759)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2759*(1-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2759*(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2759*(1-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2759*(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9">
        <f>IF(C2759,(H2759*N2759*IF(AND(Inputs!$B$38&lt;&gt;"pvp",Inputs!$B$43&gt;0),((Skills!G9*((R2759-1)*IF(Skills!H9&gt;0,Skills!I9/Skills!H9,1)+IF(Skills!H9&gt;0,MIN(Skills!I9,MAX(0,MAX(0,Inputs!$B$43-B2791)-((R2759-1)*(IF(Inputs!$B$38="pvp",15,MAX(0.1,Skills!D9-IF(Skills!E9=TRUE,Inputs!$B$32,0)))*(1-IF(AND(ArtifactsInput!$M$27,Inputs!$B$4="Chapter Hunt"),CHOOSE(ArtifactsInput!$N$27+1,20,24,28,32,36,40),0)/100)))))/Skills!H9,1)))/Inputs!$B$43),G2759*Q2759))*IF(Inputs!$B$38="pvp",1,(1+(Inputs!$B$21+Skills!Q9+(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0">
      <c r="A2760">
        <f>Skills!A10</f>
        <v/>
      </c>
      <c r="B2760">
        <f>Skills!B10</f>
        <v/>
      </c>
      <c r="C2760">
        <f>Inputs!$B$3&gt;=103</f>
        <v/>
      </c>
      <c r="D2760">
        <f>IF(Skills!C10=1,60+Inputs!$B$25+Inputs!$B$29,IF(Skills!C10=2,90+Inputs!$B$26+Inputs!$B$29,IF(Skills!C10=3,120+Inputs!$B$27+Inputs!$B$29,MAX(0,(Inputs!$B$3-100)*3)+Inputs!$B$28+Inputs!$B$29)))</f>
        <v/>
      </c>
      <c r="E2760">
        <f>INDEX(FactorTable!$B$2:$Y$301, MATCH(ROUND(MIN(300,MAX(1,D2760)),0), FactorTable!$A$2:$A$301,0), Skills!M10+1)</f>
        <v/>
      </c>
      <c r="F2760">
        <f>IF(Skills!N10=TRUE,(Skills!L10/10)*(E2760/1000),Skills!L10/10)+Skills!O10</f>
        <v/>
      </c>
      <c r="G2760">
        <f>Skills!G10*IF(Skills!H10&gt;0,Skills!I10/Skills!H10,1)</f>
        <v/>
      </c>
      <c r="H2760">
        <f>1-(1-Skills!J10/100)^Skills!K10</f>
        <v/>
      </c>
      <c r="I2760" t="inlineStr">
        <is>
          <t>1</t>
        </is>
      </c>
      <c r="J2760">
        <f>((Inputs!$B$6*(1+Inputs!$B$7/100))+(((Inputs!$B$12*(1+Inputs!$B$13/100))-(Inputs!$B$12*(1+Inputs!$B$13/100)))+0.25*(Inputs!$B$14-Inputs!$B$14))*(1+Inputs!$B$7/100))*(F2760/100)</f>
        <v/>
      </c>
      <c r="K2760">
        <f>J2760*(1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2760)</f>
        <v/>
      </c>
      <c r="L2760">
        <f>K2760*(MIN(Inputs!$B$22+((C2775=TRUE)*(F2775-Calc!F25)),(Inputs!$B$23+((C2780=TRUE)*(F2780-Calc!F30))+(IF(ArtifactsInput!$M$15,CHOOSE(ArtifactsInput!$N$15+1,25,30,35,40,45,50)/100*(Inputs!$B$11-Inputs!$B$11),0))))/100+(Inputs!$B$23+((C2780=TRUE)*(F2780-Calc!F30))+(IF(ArtifactsInput!$M$15,CHOOSE(ArtifactsInput!$N$15+1,25,30,35,40,45,50)/100*(Inputs!$B$11-Inputs!$B$11),0)))/100)/2</f>
        <v/>
      </c>
      <c r="M2760">
        <f>L2760*(1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0">
        <f>L2760*(1-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2760*(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0">
        <f>(1-Summary!$B$11)*T2760+Summary!$B$11*V2760</f>
        <v/>
      </c>
      <c r="P2760">
        <f>IF(B2794=0,0,O2760/B2794)</f>
        <v/>
      </c>
      <c r="Q2760">
        <f>IFERROR(1/(IF(Inputs!$B$38="pvp",15,MAX(0.1,Skills!D10-IF(Skills!E10=TRUE,Inputs!$B$32,0)))*(1-IF(AND(ArtifactsInput!$M$27,Inputs!$B$4="Chapter Hunt"),CHOOSE(ArtifactsInput!$N$27+1,20,24,28,32,36,40),0)/100)),0)</f>
        <v/>
      </c>
      <c r="R2760">
        <f>IF(AND(Inputs!$B$38&lt;&gt;"pvp",Inputs!$B$43&gt;0),IF(MAX(0,Inputs!$B$43-B2791)&lt;=0,0,(INT(MAX(0,Inputs!$B$43-B2791)/(IF(Inputs!$B$38="pvp",15,MAX(0.1,Skills!D10-IF(Skills!E10=TRUE,Inputs!$B$32,0)))*(1-IF(AND(ArtifactsInput!$M$27,Inputs!$B$4="Chapter Hunt"),CHOOSE(ArtifactsInput!$N$27+1,20,24,28,32,36,40),0)/100)))+1)),0)</f>
        <v/>
      </c>
      <c r="S2760">
        <f>IFERROR(O2760/N2760,0)</f>
        <v/>
      </c>
      <c r="T2760">
        <f>IF(C2760,(H2760*N2760*IF(AND(Inputs!$B$38&lt;&gt;"pvp",Inputs!$B$43&gt;0),((Skills!G10*((R2760-1)*IF(Skills!H10&gt;0,Skills!I10/Skills!H10,1)+IF(Skills!H10&gt;0,MIN(Skills!I10,MAX(0,MAX(0,Inputs!$B$43-B2791)-((R2760-1)*(IF(Inputs!$B$38="pvp",15,MAX(0.1,Skills!D10-IF(Skills!E10=TRUE,Inputs!$B$32,0)))*(1-IF(AND(ArtifactsInput!$M$27,Inputs!$B$4="Chapter Hunt"),CHOOSE(ArtifactsInput!$N$27+1,20,24,28,32,36,40),0)/100)))))/Skills!H10,1)))/Inputs!$B$43),G2760*Q2760)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2760*(1-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2760*(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2760*(1-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2760*(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60">
        <f>IF(C2760,(H2760*N2760*IF(AND(Inputs!$B$38&lt;&gt;"pvp",Inputs!$B$43&gt;0),((Skills!G10*((R2760-1)*IF(Skills!H10&gt;0,Skills!I10/Skills!H10,1)+IF(Skills!H10&gt;0,MIN(Skills!I10,MAX(0,MAX(0,Inputs!$B$43-B2791)-((R2760-1)*(IF(Inputs!$B$38="pvp",15,MAX(0.1,Skills!D10-IF(Skills!E10=TRUE,Inputs!$B$32,0)))*(1-IF(AND(ArtifactsInput!$M$27,Inputs!$B$4="Chapter Hunt"),CHOOSE(ArtifactsInput!$N$27+1,20,24,28,32,36,40),0)/100)))))/Skills!H10,1)))/Inputs!$B$43),G2760*Q2760))*IF(Inputs!$B$38="pvp",1,(1+(Inputs!$B$21+Skills!Q10+(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1">
      <c r="A2761">
        <f>Skills!A11</f>
        <v/>
      </c>
      <c r="B2761">
        <f>Skills!B11</f>
        <v/>
      </c>
      <c r="C2761">
        <f>Inputs!$B$3&gt;=100</f>
        <v/>
      </c>
      <c r="D2761">
        <f>IF(Skills!C11=1,60+Inputs!$B$25+Inputs!$B$29,IF(Skills!C11=2,90+Inputs!$B$26+Inputs!$B$29,IF(Skills!C11=3,120+Inputs!$B$27+Inputs!$B$29,MAX(0,(Inputs!$B$3-100)*3)+Inputs!$B$28+Inputs!$B$29)))</f>
        <v/>
      </c>
      <c r="E2761">
        <f>INDEX(FactorTable!$B$2:$Y$301, MATCH(ROUND(MIN(300,MAX(1,D2761)),0), FactorTable!$A$2:$A$301,0), Skills!M11+1)</f>
        <v/>
      </c>
      <c r="F2761">
        <f>IF(Skills!N11=TRUE,(Skills!L11/10)*(E2761/1000),Skills!L11/10)+Skills!O11</f>
        <v/>
      </c>
      <c r="G2761" t="inlineStr"/>
      <c r="H2761" t="inlineStr"/>
      <c r="I2761" t="inlineStr">
        <is>
          <t>1</t>
        </is>
      </c>
      <c r="J2761" t="inlineStr"/>
      <c r="K2761" t="inlineStr"/>
      <c r="L2761" t="inlineStr"/>
      <c r="M2761" t="inlineStr"/>
      <c r="N2761" t="inlineStr"/>
      <c r="O2761" t="inlineStr"/>
      <c r="P2761" t="inlineStr"/>
      <c r="Q2761" t="inlineStr"/>
      <c r="R2761" t="inlineStr"/>
      <c r="S2761" t="inlineStr"/>
      <c r="T2761" t="inlineStr"/>
      <c r="V2761" t="inlineStr"/>
    </row>
    <row r="2762">
      <c r="A2762">
        <f>Skills!A12</f>
        <v/>
      </c>
      <c r="B2762">
        <f>Skills!B12</f>
        <v/>
      </c>
      <c r="C2762">
        <f>Inputs!$B$3&gt;=60</f>
        <v/>
      </c>
      <c r="D2762">
        <f>IF(Skills!C12=1,60+Inputs!$B$25+Inputs!$B$29,IF(Skills!C12=2,90+Inputs!$B$26+Inputs!$B$29,IF(Skills!C12=3,120+Inputs!$B$27+Inputs!$B$29,MAX(0,(Inputs!$B$3-100)*3)+Inputs!$B$28+Inputs!$B$29)))</f>
        <v/>
      </c>
      <c r="E2762">
        <f>INDEX(FactorTable!$B$2:$Y$301, MATCH(ROUND(MIN(300,MAX(1,D2762)),0), FactorTable!$A$2:$A$301,0), Skills!M12+1)</f>
        <v/>
      </c>
      <c r="F2762">
        <f>IF(Skills!N12=TRUE,(Skills!L12/10)*(E2762/1000),Skills!L12/10)+Skills!O12</f>
        <v/>
      </c>
      <c r="G2762">
        <f>Skills!G12*IF(Skills!H12&gt;0,Skills!I12/Skills!H12,1)</f>
        <v/>
      </c>
      <c r="H2762">
        <f>1-(1-Skills!J12/100)^Skills!K12</f>
        <v/>
      </c>
      <c r="I2762" t="inlineStr">
        <is>
          <t>1</t>
        </is>
      </c>
      <c r="J2762">
        <f>((Inputs!$B$6*(1+Inputs!$B$7/100))+(((Inputs!$B$12*(1+Inputs!$B$13/100))-(Inputs!$B$12*(1+Inputs!$B$13/100)))+0.25*(Inputs!$B$14-Inputs!$B$14))*(1+Inputs!$B$7/100))*(F2762/100)</f>
        <v/>
      </c>
      <c r="K2762">
        <f>J2762*(1+((Inputs!$B$12*(1+Inputs!$B$13/100))*0.01+Inputs!$B$14*0.0025)/100)*(1+Inputs!$B$15/100)*(1+Inputs!$B$16/100)*(5000/(6000+Inputs!$B$42*(1-(100*(1-(1-(Inputs!$B$19+((C2778=TRUE)*(F2778-Calc!F28)))/100)*(1-CHOOSE(ArtifactsInput!$N$40+1,5,6,7,8,9,10)/100)^(ArtifactsInput!$M$40-ArtifactsInput!$M$40)))/100)))*(1+(Inputs!$B$24+((C2776=TRUE)*(F2776-Calc!F26))+((C2777=TRUE)*(F2777-Calc!F27))+B2790)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2763=TRUE,F2763,0)/100)*(1+(IF(Skills!A12="ARROW_STREAM",Inputs!$B$17+((C2774=TRUE)*(F2774-Calc!F24))+(((IF(AND(ArtifactsInput!$M$42,((Inputs!$B$9+((C2771=TRUE)*(F2771-Calc!F21))+B2784+(ArtifactsInput!$M$24-ArtifactsInput!$M$24)*CHOOSE(ArtifactsInput!$N$24+1,10,12,14,16,18,20)+IF(ArtifactsInput!$M$10,CHOOSE(ArtifactsInput!$N$10+1,15,18,21,24,27,30)*(IF(Inputs!$B$38="pvp",MIN(15,15)/15,IF(AND(Inputs!$B$38&lt;&gt;"pvp",Inputs!$B$43&gt;0),MIN(15,Inputs!$B$43)/(Inputs!$B$43),0))),0)))&gt;=100),MIN(100,((Inputs!$B$9+((C2771=TRUE)*(F2771-Calc!F21))+B2784+(ArtifactsInput!$M$24-ArtifactsInput!$M$24)*CHOOSE(ArtifactsInput!$N$24+1,10,12,14,16,18,20)+IF(ArtifactsInput!$M$10,CHOOSE(ArtifactsInput!$N$10+1,15,18,21,24,27,30)*(IF(Inputs!$B$38="pvp",MIN(15,15)/15,IF(AND(Inputs!$B$38&lt;&gt;"pvp",Inputs!$B$43&gt;0),MIN(15,Inputs!$B$43)/(Inputs!$B$43),0))),0)))-100),0))*CHOOSE(ArtifactsInput!$N$42+1,0.6,0.72,0.84,0.96,1.08,1.2))),Inputs!$B$18+((C2779=TRUE)*(F2779-Calc!F29))+(IF(AND(ArtifactsInput!$M$42,((Inputs!$B$9+((C2771=TRUE)*(F2771-Calc!F21))+B2784+(ArtifactsInput!$M$24-ArtifactsInput!$M$24)*CHOOSE(ArtifactsInput!$N$24+1,10,12,14,16,18,20)+IF(ArtifactsInput!$M$10,CHOOSE(ArtifactsInput!$N$10+1,15,18,21,24,27,30)*(IF(Inputs!$B$38="pvp",MIN(15,15)/15,IF(AND(Inputs!$B$38&lt;&gt;"pvp",Inputs!$B$43&gt;0),MIN(15,Inputs!$B$43)/(Inputs!$B$43),0))),0)))&gt;=100),CHOOSE(ArtifactsInput!$N$42+1,40,48,56,64,72,80),0))))/100)*((1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2762)</f>
        <v/>
      </c>
      <c r="L2762">
        <f>K2762*(MIN(Inputs!$B$22+((C2775=TRUE)*(F2775-Calc!F25)),(Inputs!$B$23+((C2780=TRUE)*(F2780-Calc!F30))+(IF(ArtifactsInput!$M$15,CHOOSE(ArtifactsInput!$N$15+1,25,30,35,40,45,50)/100*(Inputs!$B$11-Inputs!$B$11),0))))/100+(Inputs!$B$23+((C2780=TRUE)*(F2780-Calc!F30))+(IF(ArtifactsInput!$M$15,CHOOSE(ArtifactsInput!$N$15+1,25,30,35,40,45,50)/100*(Inputs!$B$11-Inputs!$B$11),0)))/100)/2</f>
        <v/>
      </c>
      <c r="M2762">
        <f>L2762*(1+(Inputs!$B$10+0+B2789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2">
        <f>L2762*(1-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2762*(MIN((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2">
        <f>(1-Summary!$B$11)*T2762+Summary!$B$11*V2762</f>
        <v/>
      </c>
      <c r="P2762">
        <f>IF(B2794=0,0,O2762/B2794)</f>
        <v/>
      </c>
      <c r="Q2762">
        <f>IFERROR(1/(IF(Inputs!$B$38="pvp",15,MAX(0.1,Skills!D12-IF(Skills!E12=TRUE,Inputs!$B$32,0)))*(1-IF(AND(ArtifactsInput!$M$27,Inputs!$B$4="Chapter Hunt"),CHOOSE(ArtifactsInput!$N$27+1,20,24,28,32,36,40),0)/100)),0)</f>
        <v/>
      </c>
      <c r="R2762">
        <f>IF(AND(Inputs!$B$38&lt;&gt;"pvp",Inputs!$B$43&gt;0),IF(MAX(0,Inputs!$B$43-B2791)&lt;=0,0,(INT(MAX(0,Inputs!$B$43-B2791)/(IF(Inputs!$B$38="pvp",15,MAX(0.1,Skills!D12-IF(Skills!E12=TRUE,Inputs!$B$32,0)))*(1-IF(AND(ArtifactsInput!$M$27,Inputs!$B$4="Chapter Hunt"),CHOOSE(ArtifactsInput!$N$27+1,20,24,28,32,36,40),0)/100)))+1)),0)</f>
        <v/>
      </c>
      <c r="S2762">
        <f>IFERROR(O2762/N2762,0)</f>
        <v/>
      </c>
      <c r="T2762">
        <f>IF(C2762,(H2762*N2762*IF(AND(Inputs!$B$38&lt;&gt;"pvp",Inputs!$B$43&gt;0),((Skills!G12*((R2762-1)*IF(Skills!H12&gt;0,Skills!I12/Skills!H12,1)+IF(Skills!H12&gt;0,MIN(Skills!I12,MAX(0,MAX(0,Inputs!$B$43-B2791)-((R2762-1)*(IF(Inputs!$B$38="pvp",15,MAX(0.1,Skills!D12-IF(Skills!E12=TRUE,Inputs!$B$32,0)))*(1-IF(AND(ArtifactsInput!$M$27,Inputs!$B$4="Chapter Hunt"),CHOOSE(ArtifactsInput!$N$27+1,20,24,28,32,36,40),0)/100)))))/Skills!H12,1)))/Inputs!$B$43),G2762*Q2762)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(5000/(6000+Inputs!$B$42*(1-(100*(1-(1-(100*(1-(1-(Inputs!$B$19+((C2778=TRUE)*(F2778-Calc!F28)))/100)*(1-CHOOSE(ArtifactsInput!$N$40+1,5,6,7,8,9,10)/100)^(ArtifactsInput!$M$40-ArtifactsInput!$M$40)))/100)*(1-IF(ArtifactsInput!$M$40,CHOOSE(ArtifactsInput!$N$40+1,5,6,7,8,9,10),0)/100)^IF(Inputs!$B$38="pvp",1,2)))/100)))/(5000/(6000+Inputs!$B$42*(1-(100*(1-(1-(Inputs!$B$19+((C2778=TRUE)*(F2778-Calc!F28)))/100)*(1-CHOOSE(ArtifactsInput!$N$40+1,5,6,7,8,9,10)/100)^(ArtifactsInput!$M$40-ArtifactsInput!$M$40)))/100))))*((L2762*(1-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2762*(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2762*(1-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2762*(MIN(100,(Inputs!$B$9+((C2771=TRUE)*(F2771-Calc!F21))+B2784+(ArtifactsInput!$M$24-ArtifactsInput!$M$24)*CHOOSE(ArtifactsInput!$N$24+1,10,12,14,16,18,20)+(IF(AND(ArtifactsInput!$M$42,((Inputs!$B$9+((C2771=TRUE)*(F2771-Calc!F21))+B2784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62">
        <f>IF(C2762,(H2762*N2762*IF(AND(Inputs!$B$38&lt;&gt;"pvp",Inputs!$B$43&gt;0),((Skills!G12*((R2762-1)*IF(Skills!H12&gt;0,Skills!I12/Skills!H12,1)+IF(Skills!H12&gt;0,MIN(Skills!I12,MAX(0,MAX(0,Inputs!$B$43-B2791)-((R2762-1)*(IF(Inputs!$B$38="pvp",15,MAX(0.1,Skills!D12-IF(Skills!E12=TRUE,Inputs!$B$32,0)))*(1-IF(AND(ArtifactsInput!$M$27,Inputs!$B$4="Chapter Hunt"),CHOOSE(ArtifactsInput!$N$27+1,20,24,28,32,36,40),0)/100)))))/Skills!H12,1)))/Inputs!$B$43),G2762*Q2762))*IF(Inputs!$B$38="pvp",1,(1+(Inputs!$B$21+Skills!Q12+(IF(ArtifactsInput!$M$33,CHOOSE(ArtifactsInput!$N$33+1,30,36,42,48,54,60),0))+(IF(AND(ArtifactsInput!$M$35,Inputs!$B$4&lt;&gt;"Chapter Hunt"),CHOOSE(ArtifactsInput!$N$35+1,15,18,21,24,27,30)*(1-EXP(-(0.2*B2786)*5)),0)+IF(AND(ArtifactsInput!$M$22,Inputs!$B$4&lt;&gt;"Chapter Hunt"),CHOOSE(ArtifactsInput!$N$22+1,10,12,14,16,18,20)*((0*(((0.15*B2786*5))^0/1)+1*(((0.15*B2786*5))^1/1)+2*(((0.15*B2786*5))^2/2)+3*(((0.15*B2786*5))^3/6)+4*(((0.15*B2786*5))^4/24)+5*(((0.15*B2786*5))^5/120))/((((0.15*B2786*5))^0/1)+(((0.15*B2786*5))^1/1)+(((0.15*B2786*5))^2/2)+(((0.15*B2786*5))^3/6)+(((0.15*B2786*5))^4/24)+(((0.15*B2786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3">
      <c r="A2763">
        <f>Skills!A13</f>
        <v/>
      </c>
      <c r="B2763">
        <f>Skills!B13</f>
        <v/>
      </c>
      <c r="C2763">
        <f>Inputs!$B$3&gt;=110</f>
        <v/>
      </c>
      <c r="D2763">
        <f>IF(Skills!C13=1,60+Inputs!$B$25+Inputs!$B$29,IF(Skills!C13=2,90+Inputs!$B$26+Inputs!$B$29,IF(Skills!C13=3,120+Inputs!$B$27+Inputs!$B$29,MAX(0,(Inputs!$B$3-100)*3)+Inputs!$B$28+Inputs!$B$29)))</f>
        <v/>
      </c>
      <c r="E2763">
        <f>INDEX(FactorTable!$B$2:$Y$301, MATCH(ROUND(MIN(300,MAX(1,D2763)),0), FactorTable!$A$2:$A$301,0), Skills!M13+1)</f>
        <v/>
      </c>
      <c r="F2763">
        <f>IF(Skills!N13=TRUE,(Skills!L13/10)*(E2763/1000),Skills!L13/10)+Skills!O13</f>
        <v/>
      </c>
      <c r="G2763" t="inlineStr"/>
      <c r="H2763" t="inlineStr"/>
      <c r="I2763" t="inlineStr">
        <is>
          <t>1</t>
        </is>
      </c>
      <c r="J2763" t="inlineStr"/>
      <c r="K2763" t="inlineStr"/>
      <c r="L2763" t="inlineStr"/>
      <c r="M2763" t="inlineStr"/>
      <c r="N2763" t="inlineStr"/>
      <c r="O2763" t="inlineStr"/>
      <c r="P2763" t="inlineStr"/>
      <c r="Q2763" t="inlineStr"/>
      <c r="R2763" t="inlineStr"/>
      <c r="S2763" t="inlineStr"/>
      <c r="T2763" t="inlineStr"/>
      <c r="V2763" t="inlineStr"/>
    </row>
    <row r="2764">
      <c r="A2764">
        <f>Skills!A14</f>
        <v/>
      </c>
      <c r="B2764">
        <f>Skills!B14</f>
        <v/>
      </c>
      <c r="C2764">
        <f>Inputs!$B$3&gt;=74</f>
        <v/>
      </c>
      <c r="D2764">
        <f>IF(Skills!C14=1,60+Inputs!$B$25+Inputs!$B$29,IF(Skills!C14=2,90+Inputs!$B$26+Inputs!$B$29,IF(Skills!C14=3,120+Inputs!$B$27+Inputs!$B$29,MAX(0,(Inputs!$B$3-100)*3)+Inputs!$B$28+Inputs!$B$29)))</f>
        <v/>
      </c>
      <c r="E2764">
        <f>INDEX(FactorTable!$B$2:$Y$301, MATCH(ROUND(MIN(300,MAX(1,D2764)),0), FactorTable!$A$2:$A$301,0), Skills!M14+1)</f>
        <v/>
      </c>
      <c r="F2764">
        <f>IF(Skills!N14=TRUE,(Skills!L14/10)*(E2764/1000),Skills!L14/10)+Skills!O14</f>
        <v/>
      </c>
      <c r="G2764">
        <f>Skills!G14*IF(Skills!H14&gt;0,Skills!I14/Skills!H14,1)</f>
        <v/>
      </c>
      <c r="H2764">
        <f>1-(1-Skills!J14/100)^Skills!K14</f>
        <v/>
      </c>
      <c r="I2764" t="inlineStr">
        <is>
          <t>1</t>
        </is>
      </c>
      <c r="J2764" t="inlineStr"/>
      <c r="K2764" t="inlineStr"/>
      <c r="L2764" t="inlineStr"/>
      <c r="M2764" t="inlineStr"/>
      <c r="N2764" t="inlineStr"/>
      <c r="O2764">
        <f>(1-Summary!$B$11)*T2764+Summary!$B$11*V2764</f>
        <v/>
      </c>
      <c r="P2764">
        <f>IF(B2794=0,0,O2764/B2794)</f>
        <v/>
      </c>
      <c r="Q2764" t="n">
        <v>0</v>
      </c>
      <c r="R2764" t="n">
        <v>0</v>
      </c>
      <c r="S2764">
        <f>IFERROR(O2764/N2764,0)</f>
        <v/>
      </c>
      <c r="T2764" t="n">
        <v>0</v>
      </c>
      <c r="V2764" t="n">
        <v>0</v>
      </c>
    </row>
    <row r="2765">
      <c r="A2765">
        <f>Skills!A15</f>
        <v/>
      </c>
      <c r="B2765">
        <f>Skills!B15</f>
        <v/>
      </c>
      <c r="C2765">
        <f>Inputs!$B$3&gt;=74</f>
        <v/>
      </c>
      <c r="D2765">
        <f>IF(Skills!C15=1,60+Inputs!$B$25+Inputs!$B$29,IF(Skills!C15=2,90+Inputs!$B$26+Inputs!$B$29,IF(Skills!C15=3,120+Inputs!$B$27+Inputs!$B$29,MAX(0,(Inputs!$B$3-100)*3)+Inputs!$B$28+Inputs!$B$29)))</f>
        <v/>
      </c>
      <c r="E2765">
        <f>INDEX(FactorTable!$B$2:$Y$301, MATCH(ROUND(MIN(300,MAX(1,D2765)),0), FactorTable!$A$2:$A$301,0), Skills!M15+1)</f>
        <v/>
      </c>
      <c r="F2765">
        <f>IF(Skills!N15=TRUE,(Skills!L15/10)*(E2765/1000),Skills!L15/10)+Skills!O15</f>
        <v/>
      </c>
      <c r="G2765">
        <f>Skills!G15*IF(Skills!H15&gt;0,Skills!I15/Skills!H15,1)</f>
        <v/>
      </c>
      <c r="H2765">
        <f>1-(1-Skills!J15/100)^Skills!K15</f>
        <v/>
      </c>
      <c r="I2765" t="inlineStr">
        <is>
          <t>1</t>
        </is>
      </c>
      <c r="J2765" t="inlineStr"/>
      <c r="K2765" t="inlineStr"/>
      <c r="L2765" t="inlineStr"/>
      <c r="M2765" t="inlineStr"/>
      <c r="N2765" t="inlineStr"/>
      <c r="O2765">
        <f>(1-Summary!$B$11)*T2765+Summary!$B$11*V2765</f>
        <v/>
      </c>
      <c r="P2765">
        <f>IF(B2794=0,0,O2765/B2794)</f>
        <v/>
      </c>
      <c r="Q2765" t="n">
        <v>0</v>
      </c>
      <c r="R2765" t="n">
        <v>0</v>
      </c>
      <c r="S2765">
        <f>IFERROR(O2765/N2765,0)</f>
        <v/>
      </c>
      <c r="T2765" t="n">
        <v>0</v>
      </c>
      <c r="V2765" t="n">
        <v>0</v>
      </c>
    </row>
    <row r="2766">
      <c r="A2766">
        <f>Skills!A16</f>
        <v/>
      </c>
      <c r="B2766">
        <f>Skills!B16</f>
        <v/>
      </c>
      <c r="C2766">
        <f>Inputs!$B$3&gt;=117</f>
        <v/>
      </c>
      <c r="D2766">
        <f>IF(Skills!C16=1,60+Inputs!$B$25+Inputs!$B$29,IF(Skills!C16=2,90+Inputs!$B$26+Inputs!$B$29,IF(Skills!C16=3,120+Inputs!$B$27+Inputs!$B$29,MAX(0,(Inputs!$B$3-100)*3)+Inputs!$B$28+Inputs!$B$29)))</f>
        <v/>
      </c>
      <c r="E2766">
        <f>INDEX(FactorTable!$B$2:$Y$301, MATCH(ROUND(MIN(300,MAX(1,D2766)),0), FactorTable!$A$2:$A$301,0), Skills!M16+1)</f>
        <v/>
      </c>
      <c r="F2766">
        <f>IF(Skills!N16=TRUE,(Skills!L16/10)*(E2766/1000),Skills!L16/10)+Skills!O16</f>
        <v/>
      </c>
      <c r="G2766">
        <f>Skills!G16*IF(Skills!H16&gt;0,Skills!I16/Skills!H16,1)</f>
        <v/>
      </c>
      <c r="H2766">
        <f>1-(1-Skills!J16/100)^Skills!K16</f>
        <v/>
      </c>
      <c r="I2766" t="inlineStr">
        <is>
          <t>1</t>
        </is>
      </c>
      <c r="J2766" t="inlineStr"/>
      <c r="K2766" t="inlineStr"/>
      <c r="L2766" t="inlineStr"/>
      <c r="M2766" t="inlineStr"/>
      <c r="N2766" t="inlineStr"/>
      <c r="O2766">
        <f>(1-Summary!$B$11)*T2766+Summary!$B$11*V2766</f>
        <v/>
      </c>
      <c r="P2766">
        <f>IF(B2794=0,0,O2766/B2794)</f>
        <v/>
      </c>
      <c r="Q2766">
        <f>IFERROR(1/(IF(Inputs!$B$38="pvp",15,MAX(0.1,Skills!D16-IF(Skills!E16=TRUE,Inputs!$B$32,0)))*(1-IF(AND(ArtifactsInput!$M$27,Inputs!$B$4="Chapter Hunt"),CHOOSE(ArtifactsInput!$N$27+1,20,24,28,32,36,40),0)/100)),0)</f>
        <v/>
      </c>
      <c r="R2766">
        <f>IF(AND(Inputs!$B$38&lt;&gt;"pvp",Inputs!$B$43&gt;0),IF(Inputs!$B$43&lt;=0,0,(INT(Inputs!$B$43/(IF(Inputs!$B$38="pvp",15,MAX(0.1,Skills!D16-IF(Skills!E16=TRUE,Inputs!$B$32,0)))*(1-IF(AND(ArtifactsInput!$M$27,Inputs!$B$4="Chapter Hunt"),CHOOSE(ArtifactsInput!$N$27+1,20,24,28,32,36,40),0)/100)))+1)),0)</f>
        <v/>
      </c>
      <c r="S2766">
        <f>IFERROR(O2766/N2766,0)</f>
        <v/>
      </c>
      <c r="T2766" t="n">
        <v>0</v>
      </c>
      <c r="V2766" t="n">
        <v>0</v>
      </c>
    </row>
    <row r="2767">
      <c r="A2767">
        <f>Skills!A17</f>
        <v/>
      </c>
      <c r="B2767">
        <f>Skills!B17</f>
        <v/>
      </c>
      <c r="C2767">
        <f>Inputs!$B$3&gt;=115</f>
        <v/>
      </c>
      <c r="D2767">
        <f>IF(Skills!C17=1,60+Inputs!$B$25+Inputs!$B$29,IF(Skills!C17=2,90+Inputs!$B$26+Inputs!$B$29,IF(Skills!C17=3,120+Inputs!$B$27+Inputs!$B$29,MAX(0,(Inputs!$B$3-100)*3)+Inputs!$B$28+Inputs!$B$29)))</f>
        <v/>
      </c>
      <c r="E2767">
        <f>INDEX(FactorTable!$B$2:$Y$301, MATCH(ROUND(MIN(300,MAX(1,D2767)),0), FactorTable!$A$2:$A$301,0), Skills!M17+1)</f>
        <v/>
      </c>
      <c r="F2767">
        <f>IF(Skills!N17=TRUE,(Skills!L17/10)*(E2767/1000),Skills!L17/10)+Skills!O17</f>
        <v/>
      </c>
      <c r="G2767">
        <f>Skills!G17*IF(Skills!H17&gt;0,Skills!I17/Skills!H17,1)</f>
        <v/>
      </c>
      <c r="H2767">
        <f>1-(1-Skills!J17/100)^Skills!K17</f>
        <v/>
      </c>
      <c r="I2767" t="inlineStr">
        <is>
          <t>1</t>
        </is>
      </c>
      <c r="J2767" t="inlineStr"/>
      <c r="K2767" t="inlineStr"/>
      <c r="L2767" t="inlineStr"/>
      <c r="M2767" t="inlineStr"/>
      <c r="N2767" t="inlineStr"/>
      <c r="O2767">
        <f>(1-Summary!$B$11)*T2767+Summary!$B$11*V2767</f>
        <v/>
      </c>
      <c r="P2767">
        <f>IF(B2794=0,0,O2767/B2794)</f>
        <v/>
      </c>
      <c r="Q2767">
        <f>IFERROR(1/(IF(Inputs!$B$38="pvp",15,MAX(0.1,Skills!D17-IF(Skills!E17=TRUE,Inputs!$B$32,0)))*(1-IF(AND(ArtifactsInput!$M$27,Inputs!$B$4="Chapter Hunt"),CHOOSE(ArtifactsInput!$N$27+1,20,24,28,32,36,40),0)/100)),0)</f>
        <v/>
      </c>
      <c r="R2767">
        <f>IF(AND(Inputs!$B$38&lt;&gt;"pvp",Inputs!$B$43&gt;0),IF(Inputs!$B$43&lt;=0,0,(INT(Inputs!$B$43/(IF(Inputs!$B$38="pvp",15,MAX(0.1,Skills!D17-IF(Skills!E17=TRUE,Inputs!$B$32,0)))*(1-IF(AND(ArtifactsInput!$M$27,Inputs!$B$4="Chapter Hunt"),CHOOSE(ArtifactsInput!$N$27+1,20,24,28,32,36,40),0)/100)))+1)),0)</f>
        <v/>
      </c>
      <c r="S2767">
        <f>IFERROR(O2767/N2767,0)</f>
        <v/>
      </c>
      <c r="T2767" t="n">
        <v>0</v>
      </c>
      <c r="V2767" t="n">
        <v>0</v>
      </c>
    </row>
    <row r="2768">
      <c r="A2768">
        <f>Skills!A18</f>
        <v/>
      </c>
      <c r="B2768">
        <f>Skills!B18</f>
        <v/>
      </c>
      <c r="C2768">
        <f>Inputs!$B$3&gt;=66</f>
        <v/>
      </c>
      <c r="D2768">
        <f>IF(Skills!C18=1,60+Inputs!$B$25+Inputs!$B$29,IF(Skills!C18=2,90+Inputs!$B$26+Inputs!$B$29,IF(Skills!C18=3,120+Inputs!$B$27+Inputs!$B$29,MAX(0,(Inputs!$B$3-100)*3)+Inputs!$B$28+Inputs!$B$29)))</f>
        <v/>
      </c>
      <c r="E2768">
        <f>INDEX(FactorTable!$B$2:$Y$301, MATCH(ROUND(MIN(300,MAX(1,D2768)),0), FactorTable!$A$2:$A$301,0), Skills!M18+1)</f>
        <v/>
      </c>
      <c r="F2768">
        <f>IF(Skills!N18=TRUE,(Skills!L18/10)*(E2768/1000),Skills!L18/10)+Skills!O18</f>
        <v/>
      </c>
      <c r="G2768">
        <f>Skills!G18*IF(Skills!H18&gt;0,Skills!I18/Skills!H18,1)</f>
        <v/>
      </c>
      <c r="H2768">
        <f>1-(1-Skills!J18/100)^Skills!K18</f>
        <v/>
      </c>
      <c r="I2768" t="inlineStr">
        <is>
          <t>1</t>
        </is>
      </c>
      <c r="J2768" t="inlineStr"/>
      <c r="K2768" t="inlineStr"/>
      <c r="L2768" t="inlineStr"/>
      <c r="M2768" t="inlineStr"/>
      <c r="N2768" t="inlineStr"/>
      <c r="O2768">
        <f>(1-Summary!$B$11)*T2768+Summary!$B$11*V2768</f>
        <v/>
      </c>
      <c r="P2768">
        <f>IF(B2794=0,0,O2768/B2794)</f>
        <v/>
      </c>
      <c r="Q2768" t="n">
        <v>0</v>
      </c>
      <c r="R2768" t="n">
        <v>0</v>
      </c>
      <c r="S2768">
        <f>IFERROR(O2768/N2768,0)</f>
        <v/>
      </c>
      <c r="T2768" t="n">
        <v>0</v>
      </c>
      <c r="V2768" t="n">
        <v>0</v>
      </c>
    </row>
    <row r="2769">
      <c r="A2769">
        <f>Skills!A19</f>
        <v/>
      </c>
      <c r="B2769">
        <f>Skills!B19</f>
        <v/>
      </c>
      <c r="C2769">
        <f>Inputs!$B$3&gt;=72</f>
        <v/>
      </c>
      <c r="D2769">
        <f>IF(Skills!C19=1,60+Inputs!$B$25+Inputs!$B$29,IF(Skills!C19=2,90+Inputs!$B$26+Inputs!$B$29,IF(Skills!C19=3,120+Inputs!$B$27+Inputs!$B$29,MAX(0,(Inputs!$B$3-100)*3)+Inputs!$B$28+Inputs!$B$29)))</f>
        <v/>
      </c>
      <c r="E2769">
        <f>INDEX(FactorTable!$B$2:$Y$301, MATCH(ROUND(MIN(300,MAX(1,D2769)),0), FactorTable!$A$2:$A$301,0), Skills!M19+1)</f>
        <v/>
      </c>
      <c r="F2769">
        <f>IF(Skills!N19=TRUE,(Skills!L19/10)*(E2769/1000),Skills!L19/10)+Skills!O19</f>
        <v/>
      </c>
      <c r="G2769">
        <f>Skills!G19*IF(Skills!H19&gt;0,Skills!I19/Skills!H19,1)</f>
        <v/>
      </c>
      <c r="H2769">
        <f>1-(1-Skills!J19/100)^Skills!K19</f>
        <v/>
      </c>
      <c r="I2769" t="inlineStr">
        <is>
          <t>1</t>
        </is>
      </c>
      <c r="J2769" t="inlineStr"/>
      <c r="K2769" t="inlineStr"/>
      <c r="L2769" t="inlineStr"/>
      <c r="M2769" t="inlineStr"/>
      <c r="N2769" t="inlineStr"/>
      <c r="O2769">
        <f>(1-Summary!$B$11)*T2769+Summary!$B$11*V2769</f>
        <v/>
      </c>
      <c r="P2769">
        <f>IF(B2794=0,0,O2769/B2794)</f>
        <v/>
      </c>
      <c r="Q2769" t="n">
        <v>0</v>
      </c>
      <c r="R2769" t="n">
        <v>0</v>
      </c>
      <c r="S2769">
        <f>IFERROR(O2769/N2769,0)</f>
        <v/>
      </c>
      <c r="T2769" t="n">
        <v>0</v>
      </c>
      <c r="V2769" t="n">
        <v>0</v>
      </c>
    </row>
    <row r="2770">
      <c r="A2770">
        <f>Skills!A20</f>
        <v/>
      </c>
      <c r="B2770">
        <f>Skills!B20</f>
        <v/>
      </c>
      <c r="C2770">
        <f>TRUE</f>
        <v/>
      </c>
      <c r="D2770">
        <f>IF(Skills!C20=1,60+Inputs!$B$25+Inputs!$B$29,IF(Skills!C20=2,90+Inputs!$B$26+Inputs!$B$29,IF(Skills!C20=3,120+Inputs!$B$27+Inputs!$B$29,MAX(0,(Inputs!$B$3-100)*3)+Inputs!$B$28+Inputs!$B$29)))</f>
        <v/>
      </c>
      <c r="E2770">
        <f>INDEX(FactorTable!$B$2:$Y$301, MATCH(ROUND(MIN(300,MAX(1,D2770)),0), FactorTable!$A$2:$A$301,0), Skills!M20+1)</f>
        <v/>
      </c>
      <c r="F2770">
        <f>IF(Skills!N20=TRUE,(Skills!L20/10)*(E2770/1000),Skills!L20/10)+Skills!O20</f>
        <v/>
      </c>
      <c r="G2770">
        <f>Skills!G20*IF(Skills!H20&gt;0,Skills!I20/Skills!H20,1)</f>
        <v/>
      </c>
      <c r="H2770">
        <f>1-(1-Skills!J20/100)^Skills!K20</f>
        <v/>
      </c>
      <c r="I2770" t="inlineStr">
        <is>
          <t>1</t>
        </is>
      </c>
      <c r="J2770" t="inlineStr"/>
      <c r="K2770" t="inlineStr"/>
      <c r="L2770" t="inlineStr"/>
      <c r="M2770" t="inlineStr"/>
      <c r="N2770" t="inlineStr"/>
      <c r="O2770">
        <f>(1-Summary!$B$11)*T2770+Summary!$B$11*V2770</f>
        <v/>
      </c>
      <c r="P2770">
        <f>IF(B2794=0,0,O2770/B2794)</f>
        <v/>
      </c>
      <c r="Q2770">
        <f>IFERROR(1/(IF(Inputs!$B$38="pvp",15,MAX(0.1,Skills!D20-IF(Skills!E20=TRUE,Inputs!$B$32,0)))*(1-IF(AND(ArtifactsInput!$M$27,Inputs!$B$4="Chapter Hunt"),CHOOSE(ArtifactsInput!$N$27+1,20,24,28,32,36,40),0)/100)),0)</f>
        <v/>
      </c>
      <c r="R2770">
        <f>IF(AND(Inputs!$B$38&lt;&gt;"pvp",Inputs!$B$43&gt;0),IF(Inputs!$B$43&lt;=0,0,(INT(Inputs!$B$43/(IF(Inputs!$B$38="pvp",15,MAX(0.1,Skills!D20-IF(Skills!E20=TRUE,Inputs!$B$32,0)))*(1-IF(AND(ArtifactsInput!$M$27,Inputs!$B$4="Chapter Hunt"),CHOOSE(ArtifactsInput!$N$27+1,20,24,28,32,36,40),0)/100)))+1)),0)</f>
        <v/>
      </c>
      <c r="S2770">
        <f>IFERROR(O2770/N2770,0)</f>
        <v/>
      </c>
      <c r="T2770" t="n">
        <v>0</v>
      </c>
      <c r="V2770" t="n">
        <v>0</v>
      </c>
    </row>
    <row r="2771">
      <c r="A2771">
        <f>Skills!A21</f>
        <v/>
      </c>
      <c r="B2771">
        <f>Skills!B21</f>
        <v/>
      </c>
      <c r="C2771">
        <f>Inputs!$B$3&gt;=15</f>
        <v/>
      </c>
      <c r="D2771">
        <f>IF(Skills!C21=1,60+Inputs!$B$25+Inputs!$B$29,IF(Skills!C21=2,90+Inputs!$B$26+Inputs!$B$29,IF(Skills!C21=3,120+Inputs!$B$27+Inputs!$B$29,MAX(0,(Inputs!$B$3-100)*3)+Inputs!$B$28+Inputs!$B$29)))</f>
        <v/>
      </c>
      <c r="E2771">
        <f>INDEX(FactorTable!$B$2:$Y$301, MATCH(ROUND(MIN(300,MAX(1,D2771)),0), FactorTable!$A$2:$A$301,0), Skills!M21+1)</f>
        <v/>
      </c>
      <c r="F2771">
        <f>IF(Skills!N21=TRUE,(Skills!L21/10)*(E2771/1000),Skills!L21/10)+Skills!O21</f>
        <v/>
      </c>
      <c r="G2771">
        <f>Skills!G21*IF(Skills!H21&gt;0,Skills!I21/Skills!H21,1)</f>
        <v/>
      </c>
      <c r="H2771">
        <f>1-(1-Skills!J21/100)^Skills!K21</f>
        <v/>
      </c>
      <c r="I2771" t="inlineStr">
        <is>
          <t>1</t>
        </is>
      </c>
      <c r="J2771" t="inlineStr"/>
      <c r="K2771" t="inlineStr"/>
      <c r="L2771" t="inlineStr"/>
      <c r="M2771" t="inlineStr"/>
      <c r="N2771" t="inlineStr"/>
      <c r="O2771">
        <f>(1-Summary!$B$11)*T2771+Summary!$B$11*V2771</f>
        <v/>
      </c>
      <c r="P2771">
        <f>IF(B2794=0,0,O2771/B2794)</f>
        <v/>
      </c>
      <c r="Q2771" t="n">
        <v>0</v>
      </c>
      <c r="R2771" t="n">
        <v>0</v>
      </c>
      <c r="S2771">
        <f>IFERROR(O2771/N2771,0)</f>
        <v/>
      </c>
      <c r="T2771" t="n">
        <v>0</v>
      </c>
      <c r="V2771" t="n">
        <v>0</v>
      </c>
    </row>
    <row r="2772">
      <c r="A2772">
        <f>Skills!A22</f>
        <v/>
      </c>
      <c r="B2772">
        <f>Skills!B22</f>
        <v/>
      </c>
      <c r="C2772">
        <f>Inputs!$B$3&gt;=10</f>
        <v/>
      </c>
      <c r="D2772">
        <f>IF(Skills!C22=1,60+Inputs!$B$25+Inputs!$B$29,IF(Skills!C22=2,90+Inputs!$B$26+Inputs!$B$29,IF(Skills!C22=3,120+Inputs!$B$27+Inputs!$B$29,MAX(0,(Inputs!$B$3-100)*3)+Inputs!$B$28+Inputs!$B$29)))</f>
        <v/>
      </c>
      <c r="E2772">
        <f>INDEX(FactorTable!$B$2:$Y$301, MATCH(ROUND(MIN(300,MAX(1,D2772)),0), FactorTable!$A$2:$A$301,0), Skills!M22+1)</f>
        <v/>
      </c>
      <c r="F2772">
        <f>IF(Skills!N22=TRUE,(Skills!L22/10)*(E2772/1000),Skills!L22/10)+Skills!O22</f>
        <v/>
      </c>
      <c r="G2772">
        <f>Skills!G22*IF(Skills!H22&gt;0,Skills!I22/Skills!H22,1)</f>
        <v/>
      </c>
      <c r="H2772">
        <f>1-(1-Skills!J22/100)^Skills!K22</f>
        <v/>
      </c>
      <c r="I2772" t="inlineStr">
        <is>
          <t>1</t>
        </is>
      </c>
      <c r="J2772" t="inlineStr"/>
      <c r="K2772" t="inlineStr"/>
      <c r="L2772" t="inlineStr"/>
      <c r="M2772" t="inlineStr"/>
      <c r="N2772" t="inlineStr"/>
      <c r="O2772">
        <f>(1-Summary!$B$11)*T2772+Summary!$B$11*V2772</f>
        <v/>
      </c>
      <c r="P2772">
        <f>IF(B2794=0,0,O2772/B2794)</f>
        <v/>
      </c>
      <c r="Q2772" t="n">
        <v>0</v>
      </c>
      <c r="R2772" t="n">
        <v>0</v>
      </c>
      <c r="S2772">
        <f>IFERROR(O2772/N2772,0)</f>
        <v/>
      </c>
      <c r="T2772" t="n">
        <v>0</v>
      </c>
      <c r="V2772" t="n">
        <v>0</v>
      </c>
    </row>
    <row r="2773">
      <c r="A2773">
        <f>Skills!A23</f>
        <v/>
      </c>
      <c r="B2773">
        <f>Skills!B23</f>
        <v/>
      </c>
      <c r="C2773">
        <f>Inputs!$B$3&gt;=33</f>
        <v/>
      </c>
      <c r="D2773">
        <f>IF(Skills!C23=1,60+Inputs!$B$25+Inputs!$B$29,IF(Skills!C23=2,90+Inputs!$B$26+Inputs!$B$29,IF(Skills!C23=3,120+Inputs!$B$27+Inputs!$B$29,MAX(0,(Inputs!$B$3-100)*3)+Inputs!$B$28+Inputs!$B$29)))</f>
        <v/>
      </c>
      <c r="E2773">
        <f>INDEX(FactorTable!$B$2:$Y$301, MATCH(ROUND(MIN(300,MAX(1,D2773)),0), FactorTable!$A$2:$A$301,0), Skills!M23+1)</f>
        <v/>
      </c>
      <c r="F2773">
        <f>IF(Skills!N23=TRUE,(Skills!L23/10)*(E2773/1000),Skills!L23/10)+Skills!O23</f>
        <v/>
      </c>
      <c r="G2773">
        <f>Skills!G23*IF(Skills!H23&gt;0,Skills!I23/Skills!H23,1)</f>
        <v/>
      </c>
      <c r="H2773">
        <f>1-(1-Skills!J23/100)^Skills!K23</f>
        <v/>
      </c>
      <c r="I2773" t="inlineStr">
        <is>
          <t>1</t>
        </is>
      </c>
      <c r="J2773" t="inlineStr"/>
      <c r="K2773" t="inlineStr"/>
      <c r="L2773" t="inlineStr"/>
      <c r="M2773" t="inlineStr"/>
      <c r="N2773" t="inlineStr"/>
      <c r="O2773">
        <f>(1-Summary!$B$11)*T2773+Summary!$B$11*V2773</f>
        <v/>
      </c>
      <c r="P2773">
        <f>IF(B2794=0,0,O2773/B2794)</f>
        <v/>
      </c>
      <c r="Q2773" t="n">
        <v>0</v>
      </c>
      <c r="R2773" t="n">
        <v>0</v>
      </c>
      <c r="S2773">
        <f>IFERROR(O2773/N2773,0)</f>
        <v/>
      </c>
      <c r="T2773" t="n">
        <v>0</v>
      </c>
      <c r="V2773" t="n">
        <v>0</v>
      </c>
    </row>
    <row r="2774">
      <c r="A2774">
        <f>Skills!A24</f>
        <v/>
      </c>
      <c r="B2774">
        <f>Skills!B24</f>
        <v/>
      </c>
      <c r="C2774">
        <f>Inputs!$B$3&gt;=38</f>
        <v/>
      </c>
      <c r="D2774">
        <f>IF(Skills!C24=1,60+Inputs!$B$25+Inputs!$B$29,IF(Skills!C24=2,90+Inputs!$B$26+Inputs!$B$29,IF(Skills!C24=3,120+Inputs!$B$27+Inputs!$B$29,MAX(0,(Inputs!$B$3-100)*3)+Inputs!$B$28+Inputs!$B$29)))</f>
        <v/>
      </c>
      <c r="E2774">
        <f>INDEX(FactorTable!$B$2:$Y$301, MATCH(ROUND(MIN(300,MAX(1,D2774)),0), FactorTable!$A$2:$A$301,0), Skills!M24+1)</f>
        <v/>
      </c>
      <c r="F2774">
        <f>IF(Skills!N24=TRUE,(Skills!L24/10)*(E2774/1000),Skills!L24/10)+Skills!O24</f>
        <v/>
      </c>
      <c r="G2774">
        <f>Skills!G24*IF(Skills!H24&gt;0,Skills!I24/Skills!H24,1)</f>
        <v/>
      </c>
      <c r="H2774">
        <f>1-(1-Skills!J24/100)^Skills!K24</f>
        <v/>
      </c>
      <c r="I2774" t="inlineStr">
        <is>
          <t>1</t>
        </is>
      </c>
      <c r="J2774" t="inlineStr"/>
      <c r="K2774" t="inlineStr"/>
      <c r="L2774" t="inlineStr"/>
      <c r="M2774" t="inlineStr"/>
      <c r="N2774" t="inlineStr"/>
      <c r="O2774">
        <f>(1-Summary!$B$11)*T2774+Summary!$B$11*V2774</f>
        <v/>
      </c>
      <c r="P2774">
        <f>IF(B2794=0,0,O2774/B2794)</f>
        <v/>
      </c>
      <c r="Q2774" t="n">
        <v>0</v>
      </c>
      <c r="R2774" t="n">
        <v>0</v>
      </c>
      <c r="S2774">
        <f>IFERROR(O2774/N2774,0)</f>
        <v/>
      </c>
      <c r="T2774" t="n">
        <v>0</v>
      </c>
      <c r="V2774" t="n">
        <v>0</v>
      </c>
    </row>
    <row r="2775">
      <c r="A2775">
        <f>Skills!A25</f>
        <v/>
      </c>
      <c r="B2775">
        <f>Skills!B25</f>
        <v/>
      </c>
      <c r="C2775">
        <f>Inputs!$B$3&gt;=43</f>
        <v/>
      </c>
      <c r="D2775">
        <f>IF(Skills!C25=1,60+Inputs!$B$25+Inputs!$B$29,IF(Skills!C25=2,90+Inputs!$B$26+Inputs!$B$29,IF(Skills!C25=3,120+Inputs!$B$27+Inputs!$B$29,MAX(0,(Inputs!$B$3-100)*3)+Inputs!$B$28+Inputs!$B$29)))</f>
        <v/>
      </c>
      <c r="E2775">
        <f>INDEX(FactorTable!$B$2:$Y$301, MATCH(ROUND(MIN(300,MAX(1,D2775)),0), FactorTable!$A$2:$A$301,0), Skills!M25+1)</f>
        <v/>
      </c>
      <c r="F2775">
        <f>IF(Skills!N25=TRUE,(Skills!L25/10)*(E2775/1000),Skills!L25/10)+Skills!O25</f>
        <v/>
      </c>
      <c r="G2775">
        <f>Skills!G25*IF(Skills!H25&gt;0,Skills!I25/Skills!H25,1)</f>
        <v/>
      </c>
      <c r="H2775">
        <f>1-(1-Skills!J25/100)^Skills!K25</f>
        <v/>
      </c>
      <c r="I2775" t="inlineStr">
        <is>
          <t>1</t>
        </is>
      </c>
      <c r="J2775" t="inlineStr"/>
      <c r="K2775" t="inlineStr"/>
      <c r="L2775" t="inlineStr"/>
      <c r="M2775" t="inlineStr"/>
      <c r="N2775" t="inlineStr"/>
      <c r="O2775">
        <f>(1-Summary!$B$11)*T2775+Summary!$B$11*V2775</f>
        <v/>
      </c>
      <c r="P2775">
        <f>IF(B2794=0,0,O2775/B2794)</f>
        <v/>
      </c>
      <c r="Q2775" t="n">
        <v>0</v>
      </c>
      <c r="R2775" t="n">
        <v>0</v>
      </c>
      <c r="S2775">
        <f>IFERROR(O2775/N2775,0)</f>
        <v/>
      </c>
      <c r="T2775" t="n">
        <v>0</v>
      </c>
      <c r="V2775" t="n">
        <v>0</v>
      </c>
    </row>
    <row r="2776">
      <c r="A2776">
        <f>Skills!A26</f>
        <v/>
      </c>
      <c r="B2776">
        <f>Skills!B26</f>
        <v/>
      </c>
      <c r="C2776">
        <f>Inputs!$B$3&gt;=75</f>
        <v/>
      </c>
      <c r="D2776">
        <f>IF(Skills!C26=1,60+Inputs!$B$25+Inputs!$B$29,IF(Skills!C26=2,90+Inputs!$B$26+Inputs!$B$29,IF(Skills!C26=3,120+Inputs!$B$27+Inputs!$B$29,MAX(0,(Inputs!$B$3-100)*3)+Inputs!$B$28+Inputs!$B$29)))</f>
        <v/>
      </c>
      <c r="E2776">
        <f>INDEX(FactorTable!$B$2:$Y$301, MATCH(ROUND(MIN(300,MAX(1,D2776)),0), FactorTable!$A$2:$A$301,0), Skills!M26+1)</f>
        <v/>
      </c>
      <c r="F2776">
        <f>IF(Skills!N26=TRUE,(Skills!L26/10)*(E2776/1000),Skills!L26/10)+Skills!O26</f>
        <v/>
      </c>
      <c r="G2776">
        <f>Skills!G26*IF(Skills!H26&gt;0,Skills!I26/Skills!H26,1)</f>
        <v/>
      </c>
      <c r="H2776">
        <f>1-(1-Skills!J26/100)^Skills!K26</f>
        <v/>
      </c>
      <c r="I2776" t="inlineStr">
        <is>
          <t>1</t>
        </is>
      </c>
      <c r="J2776" t="inlineStr"/>
      <c r="K2776" t="inlineStr"/>
      <c r="L2776" t="inlineStr"/>
      <c r="M2776" t="inlineStr"/>
      <c r="N2776" t="inlineStr"/>
      <c r="O2776">
        <f>(1-Summary!$B$11)*T2776+Summary!$B$11*V2776</f>
        <v/>
      </c>
      <c r="P2776">
        <f>IF(B2794=0,0,O2776/B2794)</f>
        <v/>
      </c>
      <c r="Q2776" t="n">
        <v>0</v>
      </c>
      <c r="R2776" t="n">
        <v>0</v>
      </c>
      <c r="S2776">
        <f>IFERROR(O2776/N2776,0)</f>
        <v/>
      </c>
      <c r="T2776" t="n">
        <v>0</v>
      </c>
      <c r="V2776" t="n">
        <v>0</v>
      </c>
    </row>
    <row r="2777">
      <c r="A2777">
        <f>Skills!A27</f>
        <v/>
      </c>
      <c r="B2777">
        <f>Skills!B27</f>
        <v/>
      </c>
      <c r="C2777">
        <f>Inputs!$B$3&gt;=125</f>
        <v/>
      </c>
      <c r="D2777">
        <f>IF(Skills!C27=1,60+Inputs!$B$25+Inputs!$B$29,IF(Skills!C27=2,90+Inputs!$B$26+Inputs!$B$29,IF(Skills!C27=3,120+Inputs!$B$27+Inputs!$B$29,MAX(0,(Inputs!$B$3-100)*3)+Inputs!$B$28+Inputs!$B$29)))</f>
        <v/>
      </c>
      <c r="E2777">
        <f>INDEX(FactorTable!$B$2:$Y$301, MATCH(ROUND(MIN(300,MAX(1,D2777)),0), FactorTable!$A$2:$A$301,0), Skills!M27+1)</f>
        <v/>
      </c>
      <c r="F2777">
        <f>IF(Skills!N27=TRUE,(Skills!L27/10)*(E2777/1000),Skills!L27/10)+Skills!O27</f>
        <v/>
      </c>
      <c r="G2777">
        <f>Skills!G27*IF(Skills!H27&gt;0,Skills!I27/Skills!H27,1)</f>
        <v/>
      </c>
      <c r="H2777">
        <f>1-(1-Skills!J27/100)^Skills!K27</f>
        <v/>
      </c>
      <c r="I2777" t="inlineStr">
        <is>
          <t>1</t>
        </is>
      </c>
      <c r="J2777" t="inlineStr"/>
      <c r="K2777" t="inlineStr"/>
      <c r="L2777" t="inlineStr"/>
      <c r="M2777" t="inlineStr"/>
      <c r="N2777" t="inlineStr"/>
      <c r="O2777">
        <f>(1-Summary!$B$11)*T2777+Summary!$B$11*V2777</f>
        <v/>
      </c>
      <c r="P2777">
        <f>IF(B2794=0,0,O2777/B2794)</f>
        <v/>
      </c>
      <c r="Q2777" t="n">
        <v>0</v>
      </c>
      <c r="R2777" t="n">
        <v>0</v>
      </c>
      <c r="S2777">
        <f>IFERROR(O2777/N2777,0)</f>
        <v/>
      </c>
      <c r="T2777" t="n">
        <v>0</v>
      </c>
      <c r="V2777" t="n">
        <v>0</v>
      </c>
    </row>
    <row r="2778">
      <c r="A2778">
        <f>Skills!A28</f>
        <v/>
      </c>
      <c r="B2778">
        <f>Skills!B28</f>
        <v/>
      </c>
      <c r="C2778">
        <f>Inputs!$B$3&gt;=125</f>
        <v/>
      </c>
      <c r="D2778">
        <f>IF(Skills!C28=1,60+Inputs!$B$25+Inputs!$B$29,IF(Skills!C28=2,90+Inputs!$B$26+Inputs!$B$29,IF(Skills!C28=3,120+Inputs!$B$27+Inputs!$B$29,MAX(0,(Inputs!$B$3-100)*3)+Inputs!$B$28+Inputs!$B$29)))</f>
        <v/>
      </c>
      <c r="E2778">
        <f>INDEX(FactorTable!$B$2:$Y$301, MATCH(ROUND(MIN(300,MAX(1,D2778)),0), FactorTable!$A$2:$A$301,0), Skills!M28+1)</f>
        <v/>
      </c>
      <c r="F2778">
        <f>IF(Skills!N28=TRUE,(Skills!L28/10)*(E2778/1000),Skills!L28/10)+Skills!O28</f>
        <v/>
      </c>
      <c r="G2778">
        <f>Skills!G28*IF(Skills!H28&gt;0,Skills!I28/Skills!H28,1)</f>
        <v/>
      </c>
      <c r="H2778">
        <f>1-(1-Skills!J28/100)^Skills!K28</f>
        <v/>
      </c>
      <c r="I2778" t="inlineStr">
        <is>
          <t>1</t>
        </is>
      </c>
      <c r="J2778" t="inlineStr"/>
      <c r="K2778" t="inlineStr"/>
      <c r="L2778" t="inlineStr"/>
      <c r="M2778" t="inlineStr"/>
      <c r="N2778" t="inlineStr"/>
      <c r="O2778">
        <f>(1-Summary!$B$11)*T2778+Summary!$B$11*V2778</f>
        <v/>
      </c>
      <c r="P2778">
        <f>IF(B2794=0,0,O2778/B2794)</f>
        <v/>
      </c>
      <c r="Q2778" t="n">
        <v>0</v>
      </c>
      <c r="R2778" t="n">
        <v>0</v>
      </c>
      <c r="S2778">
        <f>IFERROR(O2778/N2778,0)</f>
        <v/>
      </c>
      <c r="T2778" t="n">
        <v>0</v>
      </c>
      <c r="V2778" t="n">
        <v>0</v>
      </c>
    </row>
    <row r="2779">
      <c r="A2779">
        <f>Skills!A29</f>
        <v/>
      </c>
      <c r="B2779">
        <f>Skills!B29</f>
        <v/>
      </c>
      <c r="C2779">
        <f>Inputs!$B$3&gt;=120</f>
        <v/>
      </c>
      <c r="D2779">
        <f>IF(Skills!C29=1,60+Inputs!$B$25+Inputs!$B$29,IF(Skills!C29=2,90+Inputs!$B$26+Inputs!$B$29,IF(Skills!C29=3,120+Inputs!$B$27+Inputs!$B$29,MAX(0,(Inputs!$B$3-100)*3)+Inputs!$B$28+Inputs!$B$29)))</f>
        <v/>
      </c>
      <c r="E2779">
        <f>INDEX(FactorTable!$B$2:$Y$301, MATCH(ROUND(MIN(300,MAX(1,D2779)),0), FactorTable!$A$2:$A$301,0), Skills!M29+1)</f>
        <v/>
      </c>
      <c r="F2779">
        <f>IF(Skills!N29=TRUE,(Skills!L29/10)*(E2779/1000),Skills!L29/10)+Skills!O29</f>
        <v/>
      </c>
      <c r="G2779">
        <f>Skills!G29*IF(Skills!H29&gt;0,Skills!I29/Skills!H29,1)</f>
        <v/>
      </c>
      <c r="H2779">
        <f>1-(1-Skills!J29/100)^Skills!K29</f>
        <v/>
      </c>
      <c r="I2779" t="inlineStr">
        <is>
          <t>1</t>
        </is>
      </c>
      <c r="J2779" t="inlineStr"/>
      <c r="K2779" t="inlineStr"/>
      <c r="L2779" t="inlineStr"/>
      <c r="M2779" t="inlineStr"/>
      <c r="N2779" t="inlineStr"/>
      <c r="O2779">
        <f>(1-Summary!$B$11)*T2779+Summary!$B$11*V2779</f>
        <v/>
      </c>
      <c r="P2779">
        <f>IF(B2794=0,0,O2779/B2794)</f>
        <v/>
      </c>
      <c r="Q2779" t="n">
        <v>0</v>
      </c>
      <c r="R2779" t="n">
        <v>0</v>
      </c>
      <c r="S2779">
        <f>IFERROR(O2779/N2779,0)</f>
        <v/>
      </c>
      <c r="T2779" t="n">
        <v>0</v>
      </c>
      <c r="V2779" t="n">
        <v>0</v>
      </c>
    </row>
    <row r="2780">
      <c r="A2780">
        <f>Skills!A30</f>
        <v/>
      </c>
      <c r="B2780">
        <f>Skills!B30</f>
        <v/>
      </c>
      <c r="C2780">
        <f>Inputs!$B$3&gt;=120</f>
        <v/>
      </c>
      <c r="D2780">
        <f>IF(Skills!C30=1,60+Inputs!$B$25+Inputs!$B$29,IF(Skills!C30=2,90+Inputs!$B$26+Inputs!$B$29,IF(Skills!C30=3,120+Inputs!$B$27+Inputs!$B$29,MAX(0,(Inputs!$B$3-100)*3)+Inputs!$B$28+Inputs!$B$29)))</f>
        <v/>
      </c>
      <c r="E2780">
        <f>INDEX(FactorTable!$B$2:$Y$301, MATCH(ROUND(MIN(300,MAX(1,D2780)),0), FactorTable!$A$2:$A$301,0), Skills!M30+1)</f>
        <v/>
      </c>
      <c r="F2780">
        <f>IF(Skills!N30=TRUE,(Skills!L30/10)*(E2780/1000),Skills!L30/10)+Skills!O30</f>
        <v/>
      </c>
      <c r="G2780">
        <f>Skills!G30*IF(Skills!H30&gt;0,Skills!I30/Skills!H30,1)</f>
        <v/>
      </c>
      <c r="H2780">
        <f>1-(1-Skills!J30/100)^Skills!K30</f>
        <v/>
      </c>
      <c r="I2780" t="inlineStr">
        <is>
          <t>1</t>
        </is>
      </c>
      <c r="J2780" t="inlineStr"/>
      <c r="K2780" t="inlineStr"/>
      <c r="L2780" t="inlineStr"/>
      <c r="M2780" t="inlineStr"/>
      <c r="N2780" t="inlineStr"/>
      <c r="O2780">
        <f>(1-Summary!$B$11)*T2780+Summary!$B$11*V2780</f>
        <v/>
      </c>
      <c r="P2780">
        <f>IF(B2794=0,0,O2780/B2794)</f>
        <v/>
      </c>
      <c r="Q2780" t="n">
        <v>0</v>
      </c>
      <c r="R2780" t="n">
        <v>0</v>
      </c>
      <c r="S2780">
        <f>IFERROR(O2780/N2780,0)</f>
        <v/>
      </c>
      <c r="T2780" t="n">
        <v>0</v>
      </c>
      <c r="V2780" t="n">
        <v>0</v>
      </c>
    </row>
    <row r="2781">
      <c r="A2781">
        <f>Skills!A31</f>
        <v/>
      </c>
      <c r="B2781">
        <f>Skills!B31</f>
        <v/>
      </c>
      <c r="C2781">
        <f>Inputs!$B$3&gt;=45</f>
        <v/>
      </c>
      <c r="D2781">
        <f>IF(Skills!C31=1,60+Inputs!$B$25+Inputs!$B$29,IF(Skills!C31=2,90+Inputs!$B$26+Inputs!$B$29,IF(Skills!C31=3,120+Inputs!$B$27+Inputs!$B$29,MAX(0,(Inputs!$B$3-100)*3)+Inputs!$B$28+Inputs!$B$29)))</f>
        <v/>
      </c>
      <c r="E2781">
        <f>INDEX(FactorTable!$B$2:$Y$301, MATCH(ROUND(MIN(300,MAX(1,D2781)),0), FactorTable!$A$2:$A$301,0), Skills!M31+1)</f>
        <v/>
      </c>
      <c r="F2781">
        <f>IF(Skills!N31=TRUE,(Skills!L31/10)*(E2781/1000),Skills!L31/10)+Skills!O31</f>
        <v/>
      </c>
      <c r="G2781">
        <f>Skills!G31*IF(Skills!H31&gt;0,Skills!I31/Skills!H31,1)</f>
        <v/>
      </c>
      <c r="H2781">
        <f>1-(1-Skills!J31/100)^Skills!K31</f>
        <v/>
      </c>
      <c r="I2781" t="inlineStr">
        <is>
          <t>1</t>
        </is>
      </c>
      <c r="J2781" t="inlineStr"/>
      <c r="K2781" t="inlineStr"/>
      <c r="L2781" t="inlineStr"/>
      <c r="M2781" t="inlineStr"/>
      <c r="N2781" t="inlineStr"/>
      <c r="O2781">
        <f>(1-Summary!$B$11)*T2781+Summary!$B$11*V2781</f>
        <v/>
      </c>
      <c r="P2781">
        <f>IF(B2794=0,0,O2781/B2794)</f>
        <v/>
      </c>
      <c r="Q2781" t="n">
        <v>0</v>
      </c>
      <c r="R2781" t="n">
        <v>0</v>
      </c>
      <c r="S2781">
        <f>IFERROR(O2781/N2781,0)</f>
        <v/>
      </c>
      <c r="T2781" t="n">
        <v>0</v>
      </c>
      <c r="V2781" t="n">
        <v>0</v>
      </c>
    </row>
    <row r="2783">
      <c r="A2783" t="inlineStr">
        <is>
          <t>Attack% Bucket Multiplier</t>
        </is>
      </c>
      <c r="B2783">
        <f>(1+(((C2764=TRUE)*F2764)+((C2765=TRUE)*IF(Inputs!$B$38="pvp",F2765,(1-Summary!$B$11)*(F2765)+Summary!$B$11*(0)))+((C2766=TRUE)*F2766*IF(AND(Inputs!$B$38&lt;&gt;"pvp",Inputs!$B$43&gt;0),(((R2766-1)*(Skills!T16*(1+Inputs!$B$34/100))+MIN((Skills!T16*(1+Inputs!$B$34/100)),MAX(0,Inputs!$B$43-((R2766-1)*Skills!D16))))/Inputs!$B$43),IF(Inputs!$B$38="pvp",MIN((Skills!T16*(1+Inputs!$B$34/100)),15)/15,(Skills!T16*(1+Inputs!$B$34/100))/Skills!D16)))+((C2781=TRUE)*(F2781-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84">
      <c r="A2784" t="inlineStr">
        <is>
          <t>Global Crit Rate Bonus %</t>
        </is>
      </c>
      <c r="B2784">
        <f>(C2767=TRUE)*20*IF(AND(Inputs!$B$38&lt;&gt;"pvp",Inputs!$B$43&gt;0),(((R2767-1)*(Skills!T17*(1+Inputs!$B$34/100))+MIN((Skills!T17*(1+Inputs!$B$34/100)),MAX(0,Inputs!$B$43-((R2767-1)*Skills!D17))))/Inputs!$B$43),IF(Inputs!$B$38="pvp",MIN((Skills!T17*(1+Inputs!$B$34/100)),15)/15,(Skills!T17*(1+Inputs!$B$34/100))/Skills!D17))</f>
        <v/>
      </c>
    </row>
    <row r="2785">
      <c r="A2785" t="inlineStr">
        <is>
          <t>Attack Speed Buff Bonus %</t>
        </is>
      </c>
      <c r="B2785">
        <f>((C2770=TRUE)*F2770*IF(AND(Inputs!$B$38&lt;&gt;"pvp",Inputs!$B$43&gt;0),(((R2770-1)*(Skills!T20*(1+Inputs!$B$34/100))+MIN((Skills!T20*(1+Inputs!$B$34/100)),MAX(0,Inputs!$B$43-((R2770-1)*Skills!D20))))/Inputs!$B$43),IF(Inputs!$B$38="pvp",MIN((Skills!T20*(1+Inputs!$B$34/100)),15)/15,(Skills!T20*(1+Inputs!$B$34/100))/Skills!D20)))</f>
        <v/>
      </c>
    </row>
    <row r="2786">
      <c r="A2786" t="inlineStr">
        <is>
          <t>Actions Per Second</t>
        </is>
      </c>
      <c r="B2786">
        <f>1+MIN(150,150*(1-(1-(Inputs!$B$11+((C2772=TRUE)*(F2772-Calc!F22))+((C2773=TRUE)*(F2773-Calc!F23)))/150)*(1-B2785/150)))/100</f>
        <v/>
      </c>
    </row>
    <row r="2787">
      <c r="A2787" t="inlineStr">
        <is>
          <t>Skill + Buff Cast Rate</t>
        </is>
      </c>
      <c r="B2787">
        <f>IF(AND(Inputs!$B$38&lt;&gt;"pvp",Inputs!$B$43&gt;0),SUMPRODUCT((Skills!E2:E31=TRUE)*(C2752:C2781=TRUE)*R2752:R2781*Skills!F2:F31)/Inputs!$B$43,SUMPRODUCT((Skills!E2:E31=TRUE)*(C2752:C2781=TRUE)*Q2752:Q2781*Skills!F2:F31))</f>
        <v/>
      </c>
    </row>
    <row r="2788">
      <c r="A2788" t="inlineStr">
        <is>
          <t>Arrow Stream Casts Per Second</t>
        </is>
      </c>
      <c r="B2788">
        <f>MAX(0,B2786-B2787)</f>
        <v/>
      </c>
    </row>
    <row r="2789">
      <c r="A2789" t="inlineStr">
        <is>
          <t>Global Critical Damage Bonus % (Sharp Eyes + Concentration)</t>
        </is>
      </c>
      <c r="B2789">
        <f>(C2767=TRUE)*F2767*IF(AND(Inputs!$B$38&lt;&gt;"pvp",Inputs!$B$43&gt;0),(((R2767-1)*(Skills!T17*(1+Inputs!$B$34/100))+MIN((Skills!T17*(1+Inputs!$B$34/100)),MAX(0,Inputs!$B$43-((R2767-1)*Skills!D17))))/Inputs!$B$43),IF(Inputs!$B$38="pvp",MIN((Skills!T17*(1+Inputs!$B$34/100)),15)/15,(Skills!T17*(1+Inputs!$B$34/100))/Skills!D17))+(C2768=TRUE)*30</f>
        <v/>
      </c>
    </row>
    <row r="2790">
      <c r="A2790" t="inlineStr">
        <is>
          <t>Global Final Damage Bonus % (Mortal Blow)</t>
        </is>
      </c>
      <c r="B2790">
        <f>(C2769=TRUE)*F2769</f>
        <v/>
      </c>
    </row>
    <row r="2791">
      <c r="A2791" t="inlineStr">
        <is>
          <t>Buff-Casting Startup Delay (s, fixed-duration only)</t>
        </is>
      </c>
      <c r="B2791">
        <f>IF(AND(Inputs!$B$38&lt;&gt;"pvp",Inputs!$B$43&gt;0),SUMPRODUCT((Skills!T2:T31&gt;0)*(Skills!E2:E31=TRUE)*(C2752:C2781=TRUE))/B2786,0)</f>
        <v/>
      </c>
    </row>
    <row r="2792">
      <c r="A2792" t="inlineStr">
        <is>
          <t>Boss-Only Total DPS (this block's swept value)</t>
        </is>
      </c>
      <c r="B2792">
        <f>SUM(T2752:T2781)</f>
        <v/>
      </c>
    </row>
    <row r="2793">
      <c r="A2793" t="inlineStr">
        <is>
          <t>Normal-Only Total DPS (this block's swept value)</t>
        </is>
      </c>
      <c r="B2793">
        <f>SUM(V2752:V2781)</f>
        <v/>
      </c>
    </row>
    <row r="2794">
      <c r="A2794" s="6" t="inlineStr">
        <is>
          <t>TOTAL DPS</t>
        </is>
      </c>
      <c r="B2794" s="6">
        <f>SUM(O2752:O2781)</f>
        <v/>
      </c>
    </row>
    <row r="2797">
      <c r="A2797" s="6" t="inlineStr">
        <is>
          <t>Stat: Cursed Doll (Equip)</t>
        </is>
      </c>
    </row>
    <row r="2798">
      <c r="A2798" s="5" t="inlineStr">
        <is>
          <t>Key</t>
        </is>
      </c>
      <c r="B2798" s="5" t="inlineStr">
        <is>
          <t>Name</t>
        </is>
      </c>
      <c r="C2798" s="5" t="inlineStr">
        <is>
          <t>Unlocked</t>
        </is>
      </c>
      <c r="D2798" s="5" t="inlineStr">
        <is>
          <t>InputLevel</t>
        </is>
      </c>
      <c r="E2798" s="5" t="inlineStr">
        <is>
          <t>Factor</t>
        </is>
      </c>
      <c r="F2798" s="5" t="inlineStr">
        <is>
          <t>CoefficientPercent</t>
        </is>
      </c>
      <c r="G2798" s="5" t="inlineStr">
        <is>
          <t>EffectiveHits</t>
        </is>
      </c>
      <c r="H2798" s="5" t="inlineStr">
        <is>
          <t>ProcProbability</t>
        </is>
      </c>
      <c r="I2798" s="5" t="inlineStr">
        <is>
          <t>MapleHeroMultiplier</t>
        </is>
      </c>
      <c r="J2798" s="5" t="inlineStr">
        <is>
          <t>BaseDamage</t>
        </is>
      </c>
      <c r="K2798" s="5" t="inlineStr">
        <is>
          <t>BaseHitDamage</t>
        </is>
      </c>
      <c r="L2798" s="5" t="inlineStr">
        <is>
          <t>NonCritAvg</t>
        </is>
      </c>
      <c r="M2798" s="5" t="inlineStr">
        <is>
          <t>CritAvg</t>
        </is>
      </c>
      <c r="N2798" s="5" t="inlineStr">
        <is>
          <t>ExpectedDamage(perHit)</t>
        </is>
      </c>
      <c r="O2798" s="5" t="inlineStr">
        <is>
          <t>DPS</t>
        </is>
      </c>
      <c r="P2798" s="5" t="inlineStr">
        <is>
          <t>% of Total</t>
        </is>
      </c>
      <c r="Q2798" s="5" t="inlineStr">
        <is>
          <t>InvCooldown</t>
        </is>
      </c>
      <c r="R2798" s="5" t="inlineStr">
        <is>
          <t>CastsInFight</t>
        </is>
      </c>
      <c r="S2798" s="5" t="inlineStr">
        <is>
          <t>HitRate(perSec)</t>
        </is>
      </c>
      <c r="U2798" t="inlineStr">
        <is>
          <t>helpers</t>
        </is>
      </c>
    </row>
    <row r="2799">
      <c r="A2799">
        <f>Skills!A2</f>
        <v/>
      </c>
      <c r="B2799">
        <f>Skills!B2</f>
        <v/>
      </c>
      <c r="C2799">
        <f>Inputs!$B$3&gt;=100</f>
        <v/>
      </c>
      <c r="D2799" t="inlineStr"/>
      <c r="E2799" t="inlineStr"/>
      <c r="F2799">
        <f>U2801+Skills!O2</f>
        <v/>
      </c>
      <c r="G2799">
        <f>Skills!G2*IF(Skills!H2&gt;0,Skills!I2/Skills!H2,1)</f>
        <v/>
      </c>
      <c r="H2799">
        <f>1-(1-Skills!J2/100)^Skills!K2</f>
        <v/>
      </c>
      <c r="I2799" t="inlineStr">
        <is>
          <t>1</t>
        </is>
      </c>
      <c r="J2799">
        <f>((Inputs!$B$6*(1+Inputs!$B$7/100))+(((Inputs!$B$12*(1+Inputs!$B$13/100))-(Inputs!$B$12*(1+Inputs!$B$13/100)))+0.25*(Inputs!$B$14-Inputs!$B$14))*(1+Inputs!$B$7/100))*(F2799/100)</f>
        <v/>
      </c>
      <c r="K2799">
        <f>J2799*(1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2799)</f>
        <v/>
      </c>
      <c r="L2799">
        <f>K2799*(MIN(Inputs!$B$22+((C2822=TRUE)*(F2822-Calc!F25)),(Inputs!$B$23+((C2827=TRUE)*(F2827-Calc!F30))+(IF(ArtifactsInput!$M$15,CHOOSE(ArtifactsInput!$N$15+1,25,30,35,40,45,50)/100*(Inputs!$B$11-Inputs!$B$11),0))))/100+(Inputs!$B$23+((C2827=TRUE)*(F2827-Calc!F30))+(IF(ArtifactsInput!$M$15,CHOOSE(ArtifactsInput!$N$15+1,25,30,35,40,45,50)/100*(Inputs!$B$11-Inputs!$B$11),0)))/100)/2</f>
        <v/>
      </c>
      <c r="M2799">
        <f>L2799*(1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9">
        <f>L2799*(1-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2799*(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9">
        <f>(1-Summary!$B$11)*T2799+Summary!$B$11*V2799</f>
        <v/>
      </c>
      <c r="P2799">
        <f>IF(B2841=0,0,O2799/B2841)</f>
        <v/>
      </c>
      <c r="Q2799" t="n">
        <v>0</v>
      </c>
      <c r="R2799" t="n">
        <v>0</v>
      </c>
      <c r="S2799">
        <f>IFERROR(O2799/N2799,0)</f>
        <v/>
      </c>
      <c r="T2799">
        <f>IF(C2799,(Skills!G2*N2799*B2835)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2799*(1-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2799*(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2799*(1-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2799*(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9">
        <f>MAX(0,(Inputs!$B$3-100)*3)+Inputs!$B$28+Inputs!$B$29</f>
        <v/>
      </c>
      <c r="V2799">
        <f>IF(C2799,(Skills!G2*N2799*B2835)*IF(Inputs!$B$38="pvp",1,(1+(Inputs!$B$21+Skills!Q2+(IF(ArtifactsInput!$M$33,CHOOSE(ArtifactsInput!$N$33+1,30,36,42,48,54,60),0))+(IF(AND(ArtifactsInput!$M$35,Inputs!$B$4&lt;&gt;"Chapter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0">
      <c r="A2800">
        <f>Skills!A3</f>
        <v/>
      </c>
      <c r="B2800">
        <f>Skills!B3</f>
        <v/>
      </c>
      <c r="C2800">
        <f>Inputs!$B$3&gt;=50</f>
        <v/>
      </c>
      <c r="D2800">
        <f>IF(Skills!C3=1,60+Inputs!$B$25+Inputs!$B$29,IF(Skills!C3=2,90+Inputs!$B$26+Inputs!$B$29,IF(Skills!C3=3,120+Inputs!$B$27+Inputs!$B$29,MAX(0,(Inputs!$B$3-100)*3)+Inputs!$B$28+Inputs!$B$29)))</f>
        <v/>
      </c>
      <c r="E2800">
        <f>INDEX(FactorTable!$B$2:$Y$301, MATCH(ROUND(MIN(300,MAX(1,D2800)),0), FactorTable!$A$2:$A$301,0), Skills!M3+1)</f>
        <v/>
      </c>
      <c r="F2800">
        <f>IF(Skills!N3=TRUE,(Skills!L3/10)*(E2800/1000),Skills!L3/10)+Skills!O3</f>
        <v/>
      </c>
      <c r="G2800">
        <f>Skills!G3*IF(Skills!H3&gt;0,Skills!I3/Skills!H3,1)</f>
        <v/>
      </c>
      <c r="H2800">
        <f>1-(1-Skills!J3/100)^Skills!K3</f>
        <v/>
      </c>
      <c r="I2800" t="inlineStr">
        <is>
          <t>1</t>
        </is>
      </c>
      <c r="J2800">
        <f>((Inputs!$B$6*(1+Inputs!$B$7/100))+(((Inputs!$B$12*(1+Inputs!$B$13/100))-(Inputs!$B$12*(1+Inputs!$B$13/100)))+0.25*(Inputs!$B$14-Inputs!$B$14))*(1+Inputs!$B$7/100))*(F2800/100)</f>
        <v/>
      </c>
      <c r="K2800">
        <f>J2800*(1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2801=TRUE,F2801,0)/100)*(1+(IF(Skills!A3="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2800)</f>
        <v/>
      </c>
      <c r="L2800">
        <f>K2800*(MIN(Inputs!$B$22+((C2822=TRUE)*(F2822-Calc!F25)),(Inputs!$B$23+((C2827=TRUE)*(F2827-Calc!F30))+(IF(ArtifactsInput!$M$15,CHOOSE(ArtifactsInput!$N$15+1,25,30,35,40,45,50)/100*(Inputs!$B$11-Inputs!$B$11),0))))/100+(Inputs!$B$23+((C2827=TRUE)*(F2827-Calc!F30))+(IF(ArtifactsInput!$M$15,CHOOSE(ArtifactsInput!$N$15+1,25,30,35,40,45,50)/100*(Inputs!$B$11-Inputs!$B$11),0)))/100)/2</f>
        <v/>
      </c>
      <c r="M2800">
        <f>L2800*(1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0">
        <f>L2800*(1-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2800*(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0">
        <f>(1-Summary!$B$11)*T2800+Summary!$B$11*V2800</f>
        <v/>
      </c>
      <c r="P2800">
        <f>IF(B2841=0,0,O2800/B2841)</f>
        <v/>
      </c>
      <c r="Q2800">
        <f>IFERROR(1/(IF(Inputs!$B$38="pvp",15,MAX(0.1,Skills!D3-IF(Skills!E3=TRUE,Inputs!$B$32,0)))*(1-IF(AND(ArtifactsInput!$M$27,Inputs!$B$4="Chapter Hunt"),CHOOSE(ArtifactsInput!$N$27+1,20,24,28,32,36,40),0)/100)),0)</f>
        <v/>
      </c>
      <c r="R2800">
        <f>IF(AND(Inputs!$B$38&lt;&gt;"pvp",Inputs!$B$43&gt;0),IF(MAX(0,Inputs!$B$43-B2838)&lt;=0,0,(INT(MAX(0,Inputs!$B$43-B2838)/(IF(Inputs!$B$38="pvp",15,MAX(0.1,Skills!D3-IF(Skills!E3=TRUE,Inputs!$B$32,0)))*(1-IF(AND(ArtifactsInput!$M$27,Inputs!$B$4="Chapter Hunt"),CHOOSE(ArtifactsInput!$N$27+1,20,24,28,32,36,40),0)/100)))+1)),0)</f>
        <v/>
      </c>
      <c r="S2800">
        <f>IFERROR(O2800/N2800,0)</f>
        <v/>
      </c>
      <c r="T2800">
        <f>IF(C2800,(H2800*N2800*IF(AND(Inputs!$B$38&lt;&gt;"pvp",Inputs!$B$43&gt;0),((Skills!G3*((R2800-1)*IF(Skills!H3&gt;0,Skills!I3/Skills!H3,1)+IF(Skills!H3&gt;0,MIN(Skills!I3,MAX(0,MAX(0,Inputs!$B$43-B2838)-((R2800-1)*(IF(Inputs!$B$38="pvp",15,MAX(0.1,Skills!D3-IF(Skills!E3=TRUE,Inputs!$B$32,0)))*(1-IF(AND(ArtifactsInput!$M$27,Inputs!$B$4="Chapter Hunt"),CHOOSE(ArtifactsInput!$N$27+1,20,24,28,32,36,40),0)/100)))))/Skills!H3,1)))/Inputs!$B$43),G2800*Q2800)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2800*(1-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2800*(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2800*(1-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2800*(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0">
        <f>INDEX(FactorTable!$B$2:$Y$301, MATCH(ROUND(MIN(300,MAX(1,U2799)),0), FactorTable!$A$2:$A$301,0), 22)</f>
        <v/>
      </c>
      <c r="V2800">
        <f>IF(C2800,(H2800*N2800*IF(AND(Inputs!$B$38&lt;&gt;"pvp",Inputs!$B$43&gt;0),((Skills!G3*((R2800-1)*IF(Skills!H3&gt;0,Skills!I3/Skills!H3,1)+IF(Skills!H3&gt;0,MIN(Skills!I3,MAX(0,MAX(0,Inputs!$B$43-B2838)-((R2800-1)*(IF(Inputs!$B$38="pvp",15,MAX(0.1,Skills!D3-IF(Skills!E3=TRUE,Inputs!$B$32,0)))*(1-IF(AND(ArtifactsInput!$M$27,Inputs!$B$4="Chapter Hunt"),CHOOSE(ArtifactsInput!$N$27+1,20,24,28,32,36,40),0)/100)))))/Skills!H3,1)))/Inputs!$B$43),G2800*Q2800))*IF(Inputs!$B$38="pvp",1,(1+(Inputs!$B$21+Skills!Q3+(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1">
      <c r="A2801">
        <f>Skills!A4</f>
        <v/>
      </c>
      <c r="B2801">
        <f>Skills!B4</f>
        <v/>
      </c>
      <c r="C2801">
        <f>Inputs!$B$3&gt;=105</f>
        <v/>
      </c>
      <c r="D2801">
        <f>IF(Skills!C4=1,60+Inputs!$B$25+Inputs!$B$29,IF(Skills!C4=2,90+Inputs!$B$26+Inputs!$B$29,IF(Skills!C4=3,120+Inputs!$B$27+Inputs!$B$29,MAX(0,(Inputs!$B$3-100)*3)+Inputs!$B$28+Inputs!$B$29)))</f>
        <v/>
      </c>
      <c r="E2801">
        <f>INDEX(FactorTable!$B$2:$Y$301, MATCH(ROUND(MIN(300,MAX(1,D2801)),0), FactorTable!$A$2:$A$301,0), Skills!M4+1)</f>
        <v/>
      </c>
      <c r="F2801">
        <f>IF(Skills!N4=TRUE,(Skills!L4/10)*(E2801/1000),Skills!L4/10)+Skills!O4</f>
        <v/>
      </c>
      <c r="G2801" t="inlineStr"/>
      <c r="H2801" t="inlineStr"/>
      <c r="I2801" t="inlineStr">
        <is>
          <t>1</t>
        </is>
      </c>
      <c r="J2801" t="inlineStr"/>
      <c r="K2801" t="inlineStr"/>
      <c r="L2801" t="inlineStr"/>
      <c r="M2801" t="inlineStr"/>
      <c r="N2801" t="inlineStr"/>
      <c r="O2801" t="inlineStr"/>
      <c r="P2801" t="inlineStr"/>
      <c r="Q2801" t="inlineStr"/>
      <c r="R2801" t="inlineStr"/>
      <c r="S2801" t="inlineStr"/>
      <c r="T2801" t="inlineStr"/>
      <c r="U2801">
        <f>290*U2800/1000</f>
        <v/>
      </c>
      <c r="V2801" t="inlineStr"/>
    </row>
    <row r="2802">
      <c r="A2802">
        <f>Skills!A5</f>
        <v/>
      </c>
      <c r="B2802">
        <f>Skills!B5</f>
        <v/>
      </c>
      <c r="C2802">
        <f>Inputs!$B$3&gt;=35</f>
        <v/>
      </c>
      <c r="D2802">
        <f>IF(Skills!C5=1,60+Inputs!$B$25+Inputs!$B$29,IF(Skills!C5=2,90+Inputs!$B$26+Inputs!$B$29,IF(Skills!C5=3,120+Inputs!$B$27+Inputs!$B$29,MAX(0,(Inputs!$B$3-100)*3)+Inputs!$B$28+Inputs!$B$29)))</f>
        <v/>
      </c>
      <c r="E2802">
        <f>INDEX(FactorTable!$B$2:$Y$301, MATCH(ROUND(MIN(300,MAX(1,D2802)),0), FactorTable!$A$2:$A$301,0), Skills!M5+1)</f>
        <v/>
      </c>
      <c r="F2802">
        <f>IF(Skills!N5=TRUE,(Skills!L5/10)*(E2802/1000),Skills!L5/10)+Skills!O5</f>
        <v/>
      </c>
      <c r="G2802">
        <f>Skills!G5*IF(Skills!H5&gt;0,Skills!I5/Skills!H5,1)</f>
        <v/>
      </c>
      <c r="H2802">
        <f>1-(1-Skills!J5/100)^Skills!K5</f>
        <v/>
      </c>
      <c r="I2802" t="inlineStr">
        <is>
          <t>1</t>
        </is>
      </c>
      <c r="J2802">
        <f>((Inputs!$B$6*(1+Inputs!$B$7/100))+(((Inputs!$B$12*(1+Inputs!$B$13/100))-(Inputs!$B$12*(1+Inputs!$B$13/100)))+0.25*(Inputs!$B$14-Inputs!$B$14))*(1+Inputs!$B$7/100))*(F2802/100)</f>
        <v/>
      </c>
      <c r="K2802">
        <f>J2802*(1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2808=TRUE,F2808,0)/100)*(1+(IF(Skills!A5="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2802)</f>
        <v/>
      </c>
      <c r="L2802">
        <f>K2802*(MIN(Inputs!$B$22+((C2822=TRUE)*(F2822-Calc!F25)),(Inputs!$B$23+((C2827=TRUE)*(F2827-Calc!F30))+(IF(ArtifactsInput!$M$15,CHOOSE(ArtifactsInput!$N$15+1,25,30,35,40,45,50)/100*(Inputs!$B$11-Inputs!$B$11),0))))/100+(Inputs!$B$23+((C2827=TRUE)*(F2827-Calc!F30))+(IF(ArtifactsInput!$M$15,CHOOSE(ArtifactsInput!$N$15+1,25,30,35,40,45,50)/100*(Inputs!$B$11-Inputs!$B$11),0)))/100)/2</f>
        <v/>
      </c>
      <c r="M2802">
        <f>L2802*(1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2">
        <f>L2802*(1-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2802*(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2">
        <f>(1-Summary!$B$11)*T2802+Summary!$B$11*V2802</f>
        <v/>
      </c>
      <c r="P2802">
        <f>IF(B2841=0,0,O2802/B2841)</f>
        <v/>
      </c>
      <c r="Q2802">
        <f>IFERROR(1/(IF(Inputs!$B$38="pvp",15,MAX(0.1,Skills!D5-IF(Skills!E5=TRUE,Inputs!$B$32,0)))*(1-IF(AND(ArtifactsInput!$M$27,Inputs!$B$4="Chapter Hunt"),CHOOSE(ArtifactsInput!$N$27+1,20,24,28,32,36,40),0)/100)),0)</f>
        <v/>
      </c>
      <c r="R2802">
        <f>IF(AND(Inputs!$B$38&lt;&gt;"pvp",Inputs!$B$43&gt;0),IF(MAX(0,Inputs!$B$43-B2838)&lt;=0,0,(INT(MAX(0,Inputs!$B$43-B2838)/(IF(Inputs!$B$38="pvp",15,MAX(0.1,Skills!D5-IF(Skills!E5=TRUE,Inputs!$B$32,0)))*(1-IF(AND(ArtifactsInput!$M$27,Inputs!$B$4="Chapter Hunt"),CHOOSE(ArtifactsInput!$N$27+1,20,24,28,32,36,40),0)/100)))+1)),0)</f>
        <v/>
      </c>
      <c r="S2802">
        <f>IFERROR(O2802/N2802,0)</f>
        <v/>
      </c>
      <c r="T2802">
        <f>IF(C2802,(H2802*N2802*IF(AND(Inputs!$B$38&lt;&gt;"pvp",Inputs!$B$43&gt;0),((Skills!G5*((R2802-1)*IF(Skills!H5&gt;0,Skills!I5/Skills!H5,1)+IF(Skills!H5&gt;0,MIN(Skills!I5,MAX(0,MAX(0,Inputs!$B$43-B2838)-((R2802-1)*(IF(Inputs!$B$38="pvp",15,MAX(0.1,Skills!D5-IF(Skills!E5=TRUE,Inputs!$B$32,0)))*(1-IF(AND(ArtifactsInput!$M$27,Inputs!$B$4="Chapter Hunt"),CHOOSE(ArtifactsInput!$N$27+1,20,24,28,32,36,40),0)/100)))))/Skills!H5,1)))/Inputs!$B$43),G2802*Q2802)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2802*(1-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2802*(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2802*(1-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2802*(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2">
        <f>IF(C2802,(H2802*N2802*IF(AND(Inputs!$B$38&lt;&gt;"pvp",Inputs!$B$43&gt;0),((Skills!G5*((R2802-1)*IF(Skills!H5&gt;0,Skills!I5/Skills!H5,1)+IF(Skills!H5&gt;0,MIN(Skills!I5,MAX(0,MAX(0,Inputs!$B$43-B2838)-((R2802-1)*(IF(Inputs!$B$38="pvp",15,MAX(0.1,Skills!D5-IF(Skills!E5=TRUE,Inputs!$B$32,0)))*(1-IF(AND(ArtifactsInput!$M$27,Inputs!$B$4="Chapter Hunt"),CHOOSE(ArtifactsInput!$N$27+1,20,24,28,32,36,40),0)/100)))))/Skills!H5,1)))/Inputs!$B$43),G2802*Q2802))*IF(Inputs!$B$38="pvp",1,(1+(Inputs!$B$21+Skills!Q5+(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3">
      <c r="A2803">
        <f>Skills!A6</f>
        <v/>
      </c>
      <c r="B2803">
        <f>Skills!B6</f>
        <v/>
      </c>
      <c r="C2803">
        <f>Inputs!$B$3&gt;=40</f>
        <v/>
      </c>
      <c r="D2803">
        <f>IF(Skills!C6=1,60+Inputs!$B$25+Inputs!$B$29,IF(Skills!C6=2,90+Inputs!$B$26+Inputs!$B$29,IF(Skills!C6=3,120+Inputs!$B$27+Inputs!$B$29,MAX(0,(Inputs!$B$3-100)*3)+Inputs!$B$28+Inputs!$B$29)))</f>
        <v/>
      </c>
      <c r="E2803">
        <f>INDEX(FactorTable!$B$2:$Y$301, MATCH(ROUND(MIN(300,MAX(1,D2803)),0), FactorTable!$A$2:$A$301,0), Skills!M6+1)</f>
        <v/>
      </c>
      <c r="F2803">
        <f>IF(Skills!N6=TRUE,(Skills!L6/10)*(E2803/1000),Skills!L6/10)+Skills!O6</f>
        <v/>
      </c>
      <c r="G2803">
        <f>Skills!G6*IF(Skills!H6&gt;0,Skills!I6/Skills!H6,1)</f>
        <v/>
      </c>
      <c r="H2803">
        <f>1-(1-Skills!J6/100)^Skills!K6</f>
        <v/>
      </c>
      <c r="I2803" t="inlineStr">
        <is>
          <t>1</t>
        </is>
      </c>
      <c r="J2803">
        <f>((Inputs!$B$6*(1+Inputs!$B$7/100))+(((Inputs!$B$12*(1+Inputs!$B$13/100))-(Inputs!$B$12*(1+Inputs!$B$13/100)))+0.25*(Inputs!$B$14-Inputs!$B$14))*(1+Inputs!$B$7/100))*(F2803/100)</f>
        <v/>
      </c>
      <c r="K2803">
        <f>J2803*(1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2804=TRUE,F2804,0)/100)*(1+(IF(Skills!A6="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2803)</f>
        <v/>
      </c>
      <c r="L2803">
        <f>K2803*(MIN(Inputs!$B$22+((C2822=TRUE)*(F2822-Calc!F25)),(Inputs!$B$23+((C2827=TRUE)*(F2827-Calc!F30))+(IF(ArtifactsInput!$M$15,CHOOSE(ArtifactsInput!$N$15+1,25,30,35,40,45,50)/100*(Inputs!$B$11-Inputs!$B$11),0))))/100+(Inputs!$B$23+((C2827=TRUE)*(F2827-Calc!F30))+(IF(ArtifactsInput!$M$15,CHOOSE(ArtifactsInput!$N$15+1,25,30,35,40,45,50)/100*(Inputs!$B$11-Inputs!$B$11),0)))/100)/2</f>
        <v/>
      </c>
      <c r="M2803">
        <f>L2803*(1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3">
        <f>L2803*(1-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2803*(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3">
        <f>(1-Summary!$B$11)*T2803+Summary!$B$11*V2803</f>
        <v/>
      </c>
      <c r="P2803">
        <f>IF(B2841=0,0,O2803/B2841)</f>
        <v/>
      </c>
      <c r="Q2803">
        <f>IFERROR(1/(IF(Inputs!$B$38="pvp",15,MAX(0.1,Skills!D6-IF(Skills!E6=TRUE,Inputs!$B$32,0)))*(1-IF(AND(ArtifactsInput!$M$27,Inputs!$B$4="Chapter Hunt"),CHOOSE(ArtifactsInput!$N$27+1,20,24,28,32,36,40),0)/100)),0)</f>
        <v/>
      </c>
      <c r="R2803">
        <f>IF(AND(Inputs!$B$38&lt;&gt;"pvp",Inputs!$B$43&gt;0),IF(MAX(0,Inputs!$B$43-B2838)&lt;=0,0,(INT(MAX(0,Inputs!$B$43-B2838)/(IF(Inputs!$B$38="pvp",15,MAX(0.1,Skills!D6-IF(Skills!E6=TRUE,Inputs!$B$32,0)))*(1-IF(AND(ArtifactsInput!$M$27,Inputs!$B$4="Chapter Hunt"),CHOOSE(ArtifactsInput!$N$27+1,20,24,28,32,36,40),0)/100)))+1)),0)</f>
        <v/>
      </c>
      <c r="S2803">
        <f>IFERROR(O2803/N2803,0)</f>
        <v/>
      </c>
      <c r="T2803">
        <f>IF(C2803,(H2803*N2803*IF(AND(Inputs!$B$38&lt;&gt;"pvp",Inputs!$B$43&gt;0),((Skills!G6*((R2803-1)*IF(Skills!H6&gt;0,Skills!I6/Skills!H6,1)+IF(Skills!H6&gt;0,MIN(Skills!I6,MAX(0,MAX(0,Inputs!$B$43-B2838)-((R2803-1)*(IF(Inputs!$B$38="pvp",15,MAX(0.1,Skills!D6-IF(Skills!E6=TRUE,Inputs!$B$32,0)))*(1-IF(AND(ArtifactsInput!$M$27,Inputs!$B$4="Chapter Hunt"),CHOOSE(ArtifactsInput!$N$27+1,20,24,28,32,36,40),0)/100)))))/Skills!H6,1)))/Inputs!$B$43),G2803*Q2803)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2803*(1-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2803*(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2803*(1-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2803*(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3">
        <f>IF(C2803,(H2803*N2803*IF(AND(Inputs!$B$38&lt;&gt;"pvp",Inputs!$B$43&gt;0),((Skills!G6*((R2803-1)*IF(Skills!H6&gt;0,Skills!I6/Skills!H6,1)+IF(Skills!H6&gt;0,MIN(Skills!I6,MAX(0,MAX(0,Inputs!$B$43-B2838)-((R2803-1)*(IF(Inputs!$B$38="pvp",15,MAX(0.1,Skills!D6-IF(Skills!E6=TRUE,Inputs!$B$32,0)))*(1-IF(AND(ArtifactsInput!$M$27,Inputs!$B$4="Chapter Hunt"),CHOOSE(ArtifactsInput!$N$27+1,20,24,28,32,36,40),0)/100)))))/Skills!H6,1)))/Inputs!$B$43),G2803*Q2803))*IF(Inputs!$B$38="pvp",1,(1+(Inputs!$B$21+Skills!Q6+(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4">
      <c r="A2804">
        <f>Skills!A7</f>
        <v/>
      </c>
      <c r="B2804">
        <f>Skills!B7</f>
        <v/>
      </c>
      <c r="C2804">
        <f>Inputs!$B$3&gt;=107</f>
        <v/>
      </c>
      <c r="D2804">
        <f>IF(Skills!C7=1,60+Inputs!$B$25+Inputs!$B$29,IF(Skills!C7=2,90+Inputs!$B$26+Inputs!$B$29,IF(Skills!C7=3,120+Inputs!$B$27+Inputs!$B$29,MAX(0,(Inputs!$B$3-100)*3)+Inputs!$B$28+Inputs!$B$29)))</f>
        <v/>
      </c>
      <c r="E2804">
        <f>INDEX(FactorTable!$B$2:$Y$301, MATCH(ROUND(MIN(300,MAX(1,D2804)),0), FactorTable!$A$2:$A$301,0), Skills!M7+1)</f>
        <v/>
      </c>
      <c r="F2804">
        <f>IF(Skills!N7=TRUE,(Skills!L7/10)*(E2804/1000),Skills!L7/10)+Skills!O7</f>
        <v/>
      </c>
      <c r="G2804" t="inlineStr"/>
      <c r="H2804" t="inlineStr"/>
      <c r="I2804" t="inlineStr">
        <is>
          <t>1</t>
        </is>
      </c>
      <c r="J2804" t="inlineStr"/>
      <c r="K2804" t="inlineStr"/>
      <c r="L2804" t="inlineStr"/>
      <c r="M2804" t="inlineStr"/>
      <c r="N2804" t="inlineStr"/>
      <c r="O2804" t="inlineStr"/>
      <c r="P2804" t="inlineStr"/>
      <c r="Q2804" t="inlineStr"/>
      <c r="R2804" t="inlineStr"/>
      <c r="S2804" t="inlineStr"/>
      <c r="T2804" t="inlineStr"/>
      <c r="V2804" t="inlineStr"/>
    </row>
    <row r="2805">
      <c r="A2805">
        <f>Skills!A8</f>
        <v/>
      </c>
      <c r="B2805">
        <f>Skills!B8</f>
        <v/>
      </c>
      <c r="C2805">
        <f>Inputs!$B$3&gt;=69</f>
        <v/>
      </c>
      <c r="D2805">
        <f>IF(Skills!C8=1,60+Inputs!$B$25+Inputs!$B$29,IF(Skills!C8=2,90+Inputs!$B$26+Inputs!$B$29,IF(Skills!C8=3,120+Inputs!$B$27+Inputs!$B$29,MAX(0,(Inputs!$B$3-100)*3)+Inputs!$B$28+Inputs!$B$29)))</f>
        <v/>
      </c>
      <c r="E2805">
        <f>INDEX(FactorTable!$B$2:$Y$301, MATCH(ROUND(MIN(300,MAX(1,D2805)),0), FactorTable!$A$2:$A$301,0), Skills!M8+1)</f>
        <v/>
      </c>
      <c r="F2805">
        <f>IF(Skills!N8=TRUE,(Skills!L8/10)*(E2805/1000),Skills!L8/10)+Skills!O8</f>
        <v/>
      </c>
      <c r="G2805">
        <f>Skills!G8*IF(Skills!H8&gt;0,Skills!I8/Skills!H8,1)</f>
        <v/>
      </c>
      <c r="H2805">
        <f>1-(1-Skills!J8/100)^Skills!K8</f>
        <v/>
      </c>
      <c r="I2805" t="inlineStr">
        <is>
          <t>1</t>
        </is>
      </c>
      <c r="J2805">
        <f>((Inputs!$B$6*(1+Inputs!$B$7/100))+(((Inputs!$B$12*(1+Inputs!$B$13/100))-(Inputs!$B$12*(1+Inputs!$B$13/100)))+0.25*(Inputs!$B$14-Inputs!$B$14))*(1+Inputs!$B$7/100))*(F2805/100)</f>
        <v/>
      </c>
      <c r="K2805">
        <f>J2805*(1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2808=TRUE,F2808,0)/100)*(1+(IF(Skills!A8="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2805)</f>
        <v/>
      </c>
      <c r="L2805">
        <f>K2805*(MIN(Inputs!$B$22+((C2822=TRUE)*(F2822-Calc!F25)),(Inputs!$B$23+((C2827=TRUE)*(F2827-Calc!F30))+(IF(ArtifactsInput!$M$15,CHOOSE(ArtifactsInput!$N$15+1,25,30,35,40,45,50)/100*(Inputs!$B$11-Inputs!$B$11),0))))/100+(Inputs!$B$23+((C2827=TRUE)*(F2827-Calc!F30))+(IF(ArtifactsInput!$M$15,CHOOSE(ArtifactsInput!$N$15+1,25,30,35,40,45,50)/100*(Inputs!$B$11-Inputs!$B$11),0)))/100)/2</f>
        <v/>
      </c>
      <c r="M2805">
        <f>L2805*(1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5">
        <f>L2805*(1-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2805*(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5">
        <f>(1-Summary!$B$11)*T2805+Summary!$B$11*V2805</f>
        <v/>
      </c>
      <c r="P2805">
        <f>IF(B2841=0,0,O2805/B2841)</f>
        <v/>
      </c>
      <c r="Q2805">
        <f>IFERROR(1/(IF(Inputs!$B$38="pvp",15,MAX(0.1,Skills!D8-IF(Skills!E8=TRUE,Inputs!$B$32,0)))*(1-IF(AND(ArtifactsInput!$M$27,Inputs!$B$4="Chapter Hunt"),CHOOSE(ArtifactsInput!$N$27+1,20,24,28,32,36,40),0)/100)),0)</f>
        <v/>
      </c>
      <c r="R2805">
        <f>IF(AND(Inputs!$B$38&lt;&gt;"pvp",Inputs!$B$43&gt;0),IF(MAX(0,Inputs!$B$43-B2838)&lt;=0,0,(INT(MAX(0,Inputs!$B$43-B2838)/(IF(Inputs!$B$38="pvp",15,MAX(0.1,Skills!D8-IF(Skills!E8=TRUE,Inputs!$B$32,0)))*(1-IF(AND(ArtifactsInput!$M$27,Inputs!$B$4="Chapter Hunt"),CHOOSE(ArtifactsInput!$N$27+1,20,24,28,32,36,40),0)/100)))+1)),0)</f>
        <v/>
      </c>
      <c r="S2805">
        <f>IFERROR(O2805/N2805,0)</f>
        <v/>
      </c>
      <c r="T2805">
        <f>IF(C2805,(H2805*N2805*IF(AND(Inputs!$B$38&lt;&gt;"pvp",Inputs!$B$43&gt;0),((Skills!G8*((R2805-1)*IF(Skills!H8&gt;0,Skills!I8/Skills!H8,1)+IF(Skills!H8&gt;0,MIN(Skills!I8,MAX(0,MAX(0,Inputs!$B$43-B2838)-((R2805-1)*(IF(Inputs!$B$38="pvp",15,MAX(0.1,Skills!D8-IF(Skills!E8=TRUE,Inputs!$B$32,0)))*(1-IF(AND(ArtifactsInput!$M$27,Inputs!$B$4="Chapter Hunt"),CHOOSE(ArtifactsInput!$N$27+1,20,24,28,32,36,40),0)/100)))))/Skills!H8,1)))/Inputs!$B$43),G2805*Q2805)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2805*(1-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2805*(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2805*(1-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2805*(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5">
        <f>IF(C2805,(H2805*N2805*IF(AND(Inputs!$B$38&lt;&gt;"pvp",Inputs!$B$43&gt;0),((Skills!G8*((R2805-1)*IF(Skills!H8&gt;0,Skills!I8/Skills!H8,1)+IF(Skills!H8&gt;0,MIN(Skills!I8,MAX(0,MAX(0,Inputs!$B$43-B2838)-((R2805-1)*(IF(Inputs!$B$38="pvp",15,MAX(0.1,Skills!D8-IF(Skills!E8=TRUE,Inputs!$B$32,0)))*(1-IF(AND(ArtifactsInput!$M$27,Inputs!$B$4="Chapter Hunt"),CHOOSE(ArtifactsInput!$N$27+1,20,24,28,32,36,40),0)/100)))))/Skills!H8,1)))/Inputs!$B$43),G2805*Q2805))*IF(Inputs!$B$38="pvp",1,(1+(Inputs!$B$21+Skills!Q8+(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6">
      <c r="A2806">
        <f>Skills!A9</f>
        <v/>
      </c>
      <c r="B2806">
        <f>Skills!B9</f>
        <v/>
      </c>
      <c r="C2806">
        <f>Inputs!$B$3&gt;=63</f>
        <v/>
      </c>
      <c r="D2806">
        <f>IF(Skills!C9=1,60+Inputs!$B$25+Inputs!$B$29,IF(Skills!C9=2,90+Inputs!$B$26+Inputs!$B$29,IF(Skills!C9=3,120+Inputs!$B$27+Inputs!$B$29,MAX(0,(Inputs!$B$3-100)*3)+Inputs!$B$28+Inputs!$B$29)))</f>
        <v/>
      </c>
      <c r="E2806">
        <f>INDEX(FactorTable!$B$2:$Y$301, MATCH(ROUND(MIN(300,MAX(1,D2806)),0), FactorTable!$A$2:$A$301,0), Skills!M9+1)</f>
        <v/>
      </c>
      <c r="F2806">
        <f>IF(Skills!N9=TRUE,(Skills!L9/10)*(E2806/1000),Skills!L9/10)+Skills!O9</f>
        <v/>
      </c>
      <c r="G2806">
        <f>Skills!G9*IF(Skills!H9&gt;0,Skills!I9/Skills!H9,1)</f>
        <v/>
      </c>
      <c r="H2806">
        <f>1-(1-Skills!J9/100)^Skills!K9</f>
        <v/>
      </c>
      <c r="I2806" t="inlineStr">
        <is>
          <t>1</t>
        </is>
      </c>
      <c r="J2806">
        <f>((Inputs!$B$6*(1+Inputs!$B$7/100))+(((Inputs!$B$12*(1+Inputs!$B$13/100))-(Inputs!$B$12*(1+Inputs!$B$13/100)))+0.25*(Inputs!$B$14-Inputs!$B$14))*(1+Inputs!$B$7/100))*(F2806/100)</f>
        <v/>
      </c>
      <c r="K2806">
        <f>J2806*(1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2808=TRUE,F2808,0)/100)*(1+(IF(Skills!A9="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2806)</f>
        <v/>
      </c>
      <c r="L2806">
        <f>K2806*(MIN(Inputs!$B$22+((C2822=TRUE)*(F2822-Calc!F25)),(Inputs!$B$23+((C2827=TRUE)*(F2827-Calc!F30))+(IF(ArtifactsInput!$M$15,CHOOSE(ArtifactsInput!$N$15+1,25,30,35,40,45,50)/100*(Inputs!$B$11-Inputs!$B$11),0))))/100+(Inputs!$B$23+((C2827=TRUE)*(F2827-Calc!F30))+(IF(ArtifactsInput!$M$15,CHOOSE(ArtifactsInput!$N$15+1,25,30,35,40,45,50)/100*(Inputs!$B$11-Inputs!$B$11),0)))/100)/2</f>
        <v/>
      </c>
      <c r="M2806">
        <f>L2806*(1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6">
        <f>L2806*(1-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2806*(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6">
        <f>(1-Summary!$B$11)*T2806+Summary!$B$11*V2806</f>
        <v/>
      </c>
      <c r="P2806">
        <f>IF(B2841=0,0,O2806/B2841)</f>
        <v/>
      </c>
      <c r="Q2806">
        <f>IFERROR(1/(IF(Inputs!$B$38="pvp",15,MAX(0.1,Skills!D9-IF(Skills!E9=TRUE,Inputs!$B$32,0)))*(1-IF(AND(ArtifactsInput!$M$27,Inputs!$B$4="Chapter Hunt"),CHOOSE(ArtifactsInput!$N$27+1,20,24,28,32,36,40),0)/100)),0)</f>
        <v/>
      </c>
      <c r="R2806">
        <f>IF(AND(Inputs!$B$38&lt;&gt;"pvp",Inputs!$B$43&gt;0),IF(MAX(0,Inputs!$B$43-B2838)&lt;=0,0,(INT(MAX(0,Inputs!$B$43-B2838)/(IF(Inputs!$B$38="pvp",15,MAX(0.1,Skills!D9-IF(Skills!E9=TRUE,Inputs!$B$32,0)))*(1-IF(AND(ArtifactsInput!$M$27,Inputs!$B$4="Chapter Hunt"),CHOOSE(ArtifactsInput!$N$27+1,20,24,28,32,36,40),0)/100)))+1)),0)</f>
        <v/>
      </c>
      <c r="S2806">
        <f>IFERROR(O2806/N2806,0)</f>
        <v/>
      </c>
      <c r="T2806">
        <f>IF(C2806,(H2806*N2806*IF(AND(Inputs!$B$38&lt;&gt;"pvp",Inputs!$B$43&gt;0),((Skills!G9*((R2806-1)*IF(Skills!H9&gt;0,Skills!I9/Skills!H9,1)+IF(Skills!H9&gt;0,MIN(Skills!I9,MAX(0,MAX(0,Inputs!$B$43-B2838)-((R2806-1)*(IF(Inputs!$B$38="pvp",15,MAX(0.1,Skills!D9-IF(Skills!E9=TRUE,Inputs!$B$32,0)))*(1-IF(AND(ArtifactsInput!$M$27,Inputs!$B$4="Chapter Hunt"),CHOOSE(ArtifactsInput!$N$27+1,20,24,28,32,36,40),0)/100)))))/Skills!H9,1)))/Inputs!$B$43),G2806*Q2806)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2806*(1-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2806*(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2806*(1-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2806*(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6">
        <f>IF(C2806,(H2806*N2806*IF(AND(Inputs!$B$38&lt;&gt;"pvp",Inputs!$B$43&gt;0),((Skills!G9*((R2806-1)*IF(Skills!H9&gt;0,Skills!I9/Skills!H9,1)+IF(Skills!H9&gt;0,MIN(Skills!I9,MAX(0,MAX(0,Inputs!$B$43-B2838)-((R2806-1)*(IF(Inputs!$B$38="pvp",15,MAX(0.1,Skills!D9-IF(Skills!E9=TRUE,Inputs!$B$32,0)))*(1-IF(AND(ArtifactsInput!$M$27,Inputs!$B$4="Chapter Hunt"),CHOOSE(ArtifactsInput!$N$27+1,20,24,28,32,36,40),0)/100)))))/Skills!H9,1)))/Inputs!$B$43),G2806*Q2806))*IF(Inputs!$B$38="pvp",1,(1+(Inputs!$B$21+Skills!Q9+(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7">
      <c r="A2807">
        <f>Skills!A10</f>
        <v/>
      </c>
      <c r="B2807">
        <f>Skills!B10</f>
        <v/>
      </c>
      <c r="C2807">
        <f>Inputs!$B$3&gt;=103</f>
        <v/>
      </c>
      <c r="D2807">
        <f>IF(Skills!C10=1,60+Inputs!$B$25+Inputs!$B$29,IF(Skills!C10=2,90+Inputs!$B$26+Inputs!$B$29,IF(Skills!C10=3,120+Inputs!$B$27+Inputs!$B$29,MAX(0,(Inputs!$B$3-100)*3)+Inputs!$B$28+Inputs!$B$29)))</f>
        <v/>
      </c>
      <c r="E2807">
        <f>INDEX(FactorTable!$B$2:$Y$301, MATCH(ROUND(MIN(300,MAX(1,D2807)),0), FactorTable!$A$2:$A$301,0), Skills!M10+1)</f>
        <v/>
      </c>
      <c r="F2807">
        <f>IF(Skills!N10=TRUE,(Skills!L10/10)*(E2807/1000),Skills!L10/10)+Skills!O10</f>
        <v/>
      </c>
      <c r="G2807">
        <f>Skills!G10*IF(Skills!H10&gt;0,Skills!I10/Skills!H10,1)</f>
        <v/>
      </c>
      <c r="H2807">
        <f>1-(1-Skills!J10/100)^Skills!K10</f>
        <v/>
      </c>
      <c r="I2807" t="inlineStr">
        <is>
          <t>1</t>
        </is>
      </c>
      <c r="J2807">
        <f>((Inputs!$B$6*(1+Inputs!$B$7/100))+(((Inputs!$B$12*(1+Inputs!$B$13/100))-(Inputs!$B$12*(1+Inputs!$B$13/100)))+0.25*(Inputs!$B$14-Inputs!$B$14))*(1+Inputs!$B$7/100))*(F2807/100)</f>
        <v/>
      </c>
      <c r="K2807">
        <f>J2807*(1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2807)</f>
        <v/>
      </c>
      <c r="L2807">
        <f>K2807*(MIN(Inputs!$B$22+((C2822=TRUE)*(F2822-Calc!F25)),(Inputs!$B$23+((C2827=TRUE)*(F2827-Calc!F30))+(IF(ArtifactsInput!$M$15,CHOOSE(ArtifactsInput!$N$15+1,25,30,35,40,45,50)/100*(Inputs!$B$11-Inputs!$B$11),0))))/100+(Inputs!$B$23+((C2827=TRUE)*(F2827-Calc!F30))+(IF(ArtifactsInput!$M$15,CHOOSE(ArtifactsInput!$N$15+1,25,30,35,40,45,50)/100*(Inputs!$B$11-Inputs!$B$11),0)))/100)/2</f>
        <v/>
      </c>
      <c r="M2807">
        <f>L2807*(1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7">
        <f>L2807*(1-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2807*(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7">
        <f>(1-Summary!$B$11)*T2807+Summary!$B$11*V2807</f>
        <v/>
      </c>
      <c r="P2807">
        <f>IF(B2841=0,0,O2807/B2841)</f>
        <v/>
      </c>
      <c r="Q2807">
        <f>IFERROR(1/(IF(Inputs!$B$38="pvp",15,MAX(0.1,Skills!D10-IF(Skills!E10=TRUE,Inputs!$B$32,0)))*(1-IF(AND(ArtifactsInput!$M$27,Inputs!$B$4="Chapter Hunt"),CHOOSE(ArtifactsInput!$N$27+1,20,24,28,32,36,40),0)/100)),0)</f>
        <v/>
      </c>
      <c r="R2807">
        <f>IF(AND(Inputs!$B$38&lt;&gt;"pvp",Inputs!$B$43&gt;0),IF(MAX(0,Inputs!$B$43-B2838)&lt;=0,0,(INT(MAX(0,Inputs!$B$43-B2838)/(IF(Inputs!$B$38="pvp",15,MAX(0.1,Skills!D10-IF(Skills!E10=TRUE,Inputs!$B$32,0)))*(1-IF(AND(ArtifactsInput!$M$27,Inputs!$B$4="Chapter Hunt"),CHOOSE(ArtifactsInput!$N$27+1,20,24,28,32,36,40),0)/100)))+1)),0)</f>
        <v/>
      </c>
      <c r="S2807">
        <f>IFERROR(O2807/N2807,0)</f>
        <v/>
      </c>
      <c r="T2807">
        <f>IF(C2807,(H2807*N2807*IF(AND(Inputs!$B$38&lt;&gt;"pvp",Inputs!$B$43&gt;0),((Skills!G10*((R2807-1)*IF(Skills!H10&gt;0,Skills!I10/Skills!H10,1)+IF(Skills!H10&gt;0,MIN(Skills!I10,MAX(0,MAX(0,Inputs!$B$43-B2838)-((R2807-1)*(IF(Inputs!$B$38="pvp",15,MAX(0.1,Skills!D10-IF(Skills!E10=TRUE,Inputs!$B$32,0)))*(1-IF(AND(ArtifactsInput!$M$27,Inputs!$B$4="Chapter Hunt"),CHOOSE(ArtifactsInput!$N$27+1,20,24,28,32,36,40),0)/100)))))/Skills!H10,1)))/Inputs!$B$43),G2807*Q2807)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2807*(1-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2807*(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2807*(1-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2807*(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7">
        <f>IF(C2807,(H2807*N2807*IF(AND(Inputs!$B$38&lt;&gt;"pvp",Inputs!$B$43&gt;0),((Skills!G10*((R2807-1)*IF(Skills!H10&gt;0,Skills!I10/Skills!H10,1)+IF(Skills!H10&gt;0,MIN(Skills!I10,MAX(0,MAX(0,Inputs!$B$43-B2838)-((R2807-1)*(IF(Inputs!$B$38="pvp",15,MAX(0.1,Skills!D10-IF(Skills!E10=TRUE,Inputs!$B$32,0)))*(1-IF(AND(ArtifactsInput!$M$27,Inputs!$B$4="Chapter Hunt"),CHOOSE(ArtifactsInput!$N$27+1,20,24,28,32,36,40),0)/100)))))/Skills!H10,1)))/Inputs!$B$43),G2807*Q2807))*IF(Inputs!$B$38="pvp",1,(1+(Inputs!$B$21+Skills!Q10+(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8">
      <c r="A2808">
        <f>Skills!A11</f>
        <v/>
      </c>
      <c r="B2808">
        <f>Skills!B11</f>
        <v/>
      </c>
      <c r="C2808">
        <f>Inputs!$B$3&gt;=100</f>
        <v/>
      </c>
      <c r="D2808">
        <f>IF(Skills!C11=1,60+Inputs!$B$25+Inputs!$B$29,IF(Skills!C11=2,90+Inputs!$B$26+Inputs!$B$29,IF(Skills!C11=3,120+Inputs!$B$27+Inputs!$B$29,MAX(0,(Inputs!$B$3-100)*3)+Inputs!$B$28+Inputs!$B$29)))</f>
        <v/>
      </c>
      <c r="E2808">
        <f>INDEX(FactorTable!$B$2:$Y$301, MATCH(ROUND(MIN(300,MAX(1,D2808)),0), FactorTable!$A$2:$A$301,0), Skills!M11+1)</f>
        <v/>
      </c>
      <c r="F2808">
        <f>IF(Skills!N11=TRUE,(Skills!L11/10)*(E2808/1000),Skills!L11/10)+Skills!O11</f>
        <v/>
      </c>
      <c r="G2808" t="inlineStr"/>
      <c r="H2808" t="inlineStr"/>
      <c r="I2808" t="inlineStr">
        <is>
          <t>1</t>
        </is>
      </c>
      <c r="J2808" t="inlineStr"/>
      <c r="K2808" t="inlineStr"/>
      <c r="L2808" t="inlineStr"/>
      <c r="M2808" t="inlineStr"/>
      <c r="N2808" t="inlineStr"/>
      <c r="O2808" t="inlineStr"/>
      <c r="P2808" t="inlineStr"/>
      <c r="Q2808" t="inlineStr"/>
      <c r="R2808" t="inlineStr"/>
      <c r="S2808" t="inlineStr"/>
      <c r="T2808" t="inlineStr"/>
      <c r="V2808" t="inlineStr"/>
    </row>
    <row r="2809">
      <c r="A2809">
        <f>Skills!A12</f>
        <v/>
      </c>
      <c r="B2809">
        <f>Skills!B12</f>
        <v/>
      </c>
      <c r="C2809">
        <f>Inputs!$B$3&gt;=60</f>
        <v/>
      </c>
      <c r="D2809">
        <f>IF(Skills!C12=1,60+Inputs!$B$25+Inputs!$B$29,IF(Skills!C12=2,90+Inputs!$B$26+Inputs!$B$29,IF(Skills!C12=3,120+Inputs!$B$27+Inputs!$B$29,MAX(0,(Inputs!$B$3-100)*3)+Inputs!$B$28+Inputs!$B$29)))</f>
        <v/>
      </c>
      <c r="E2809">
        <f>INDEX(FactorTable!$B$2:$Y$301, MATCH(ROUND(MIN(300,MAX(1,D2809)),0), FactorTable!$A$2:$A$301,0), Skills!M12+1)</f>
        <v/>
      </c>
      <c r="F2809">
        <f>IF(Skills!N12=TRUE,(Skills!L12/10)*(E2809/1000),Skills!L12/10)+Skills!O12</f>
        <v/>
      </c>
      <c r="G2809">
        <f>Skills!G12*IF(Skills!H12&gt;0,Skills!I12/Skills!H12,1)</f>
        <v/>
      </c>
      <c r="H2809">
        <f>1-(1-Skills!J12/100)^Skills!K12</f>
        <v/>
      </c>
      <c r="I2809" t="inlineStr">
        <is>
          <t>1</t>
        </is>
      </c>
      <c r="J2809">
        <f>((Inputs!$B$6*(1+Inputs!$B$7/100))+(((Inputs!$B$12*(1+Inputs!$B$13/100))-(Inputs!$B$12*(1+Inputs!$B$13/100)))+0.25*(Inputs!$B$14-Inputs!$B$14))*(1+Inputs!$B$7/100))*(F2809/100)</f>
        <v/>
      </c>
      <c r="K2809">
        <f>J2809*(1+((Inputs!$B$12*(1+Inputs!$B$13/100))*0.01+Inputs!$B$14*0.0025)/100)*(1+Inputs!$B$15/100)*(1+Inputs!$B$16/100)*(5000/(6000+Inputs!$B$42*(1-(100*(1-(1-(Inputs!$B$19+((C2825=TRUE)*(F2825-Calc!F28)))/100)*(1-CHOOSE(ArtifactsInput!$N$40+1,5,6,7,8,9,10)/100)^(ArtifactsInput!$M$40-ArtifactsInput!$M$40)))/100)))*(1+(Inputs!$B$24+((C2823=TRUE)*(F2823-Calc!F26))+((C2824=TRUE)*(F2824-Calc!F27))+B2837)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2810=TRUE,F2810,0)/100)*(1+(IF(Skills!A12="ARROW_STREAM",Inputs!$B$17+((C2821=TRUE)*(F2821-Calc!F24))+(((IF(AND(ArtifactsInput!$M$42,((Inputs!$B$9+((C2818=TRUE)*(F2818-Calc!F21))+B2831+(ArtifactsInput!$M$24-ArtifactsInput!$M$24)*CHOOSE(ArtifactsInput!$N$24+1,10,12,14,16,18,20)+IF(ArtifactsInput!$M$10,CHOOSE(ArtifactsInput!$N$10+1,15,18,21,24,27,30)*(IF(Inputs!$B$38="pvp",MIN(15,15)/15,IF(AND(Inputs!$B$38&lt;&gt;"pvp",Inputs!$B$43&gt;0),MIN(15,Inputs!$B$43)/(Inputs!$B$43),0))),0)))&gt;=100),MIN(100,((Inputs!$B$9+((C2818=TRUE)*(F2818-Calc!F21))+B2831+(ArtifactsInput!$M$24-ArtifactsInput!$M$24)*CHOOSE(ArtifactsInput!$N$24+1,10,12,14,16,18,20)+IF(ArtifactsInput!$M$10,CHOOSE(ArtifactsInput!$N$10+1,15,18,21,24,27,30)*(IF(Inputs!$B$38="pvp",MIN(15,15)/15,IF(AND(Inputs!$B$38&lt;&gt;"pvp",Inputs!$B$43&gt;0),MIN(15,Inputs!$B$43)/(Inputs!$B$43),0))),0)))-100),0))*CHOOSE(ArtifactsInput!$N$42+1,0.6,0.72,0.84,0.96,1.08,1.2))),Inputs!$B$18+((C2826=TRUE)*(F2826-Calc!F29))+(IF(AND(ArtifactsInput!$M$42,((Inputs!$B$9+((C2818=TRUE)*(F2818-Calc!F21))+B2831+(ArtifactsInput!$M$24-ArtifactsInput!$M$24)*CHOOSE(ArtifactsInput!$N$24+1,10,12,14,16,18,20)+IF(ArtifactsInput!$M$10,CHOOSE(ArtifactsInput!$N$10+1,15,18,21,24,27,30)*(IF(Inputs!$B$38="pvp",MIN(15,15)/15,IF(AND(Inputs!$B$38&lt;&gt;"pvp",Inputs!$B$43&gt;0),MIN(15,Inputs!$B$43)/(Inputs!$B$43),0))),0)))&gt;=100),CHOOSE(ArtifactsInput!$N$42+1,40,48,56,64,72,80),0))))/100)*((1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2809)</f>
        <v/>
      </c>
      <c r="L2809">
        <f>K2809*(MIN(Inputs!$B$22+((C2822=TRUE)*(F2822-Calc!F25)),(Inputs!$B$23+((C2827=TRUE)*(F2827-Calc!F30))+(IF(ArtifactsInput!$M$15,CHOOSE(ArtifactsInput!$N$15+1,25,30,35,40,45,50)/100*(Inputs!$B$11-Inputs!$B$11),0))))/100+(Inputs!$B$23+((C2827=TRUE)*(F2827-Calc!F30))+(IF(ArtifactsInput!$M$15,CHOOSE(ArtifactsInput!$N$15+1,25,30,35,40,45,50)/100*(Inputs!$B$11-Inputs!$B$11),0)))/100)/2</f>
        <v/>
      </c>
      <c r="M2809">
        <f>L2809*(1+(Inputs!$B$10+0+B2836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9">
        <f>L2809*(1-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2809*(MIN((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9">
        <f>(1-Summary!$B$11)*T2809+Summary!$B$11*V2809</f>
        <v/>
      </c>
      <c r="P2809">
        <f>IF(B2841=0,0,O2809/B2841)</f>
        <v/>
      </c>
      <c r="Q2809">
        <f>IFERROR(1/(IF(Inputs!$B$38="pvp",15,MAX(0.1,Skills!D12-IF(Skills!E12=TRUE,Inputs!$B$32,0)))*(1-IF(AND(ArtifactsInput!$M$27,Inputs!$B$4="Chapter Hunt"),CHOOSE(ArtifactsInput!$N$27+1,20,24,28,32,36,40),0)/100)),0)</f>
        <v/>
      </c>
      <c r="R2809">
        <f>IF(AND(Inputs!$B$38&lt;&gt;"pvp",Inputs!$B$43&gt;0),IF(MAX(0,Inputs!$B$43-B2838)&lt;=0,0,(INT(MAX(0,Inputs!$B$43-B2838)/(IF(Inputs!$B$38="pvp",15,MAX(0.1,Skills!D12-IF(Skills!E12=TRUE,Inputs!$B$32,0)))*(1-IF(AND(ArtifactsInput!$M$27,Inputs!$B$4="Chapter Hunt"),CHOOSE(ArtifactsInput!$N$27+1,20,24,28,32,36,40),0)/100)))+1)),0)</f>
        <v/>
      </c>
      <c r="S2809">
        <f>IFERROR(O2809/N2809,0)</f>
        <v/>
      </c>
      <c r="T2809">
        <f>IF(C2809,(H2809*N2809*IF(AND(Inputs!$B$38&lt;&gt;"pvp",Inputs!$B$43&gt;0),((Skills!G12*((R2809-1)*IF(Skills!H12&gt;0,Skills!I12/Skills!H12,1)+IF(Skills!H12&gt;0,MIN(Skills!I12,MAX(0,MAX(0,Inputs!$B$43-B2838)-((R2809-1)*(IF(Inputs!$B$38="pvp",15,MAX(0.1,Skills!D12-IF(Skills!E12=TRUE,Inputs!$B$32,0)))*(1-IF(AND(ArtifactsInput!$M$27,Inputs!$B$4="Chapter Hunt"),CHOOSE(ArtifactsInput!$N$27+1,20,24,28,32,36,40),0)/100)))))/Skills!H12,1)))/Inputs!$B$43),G2809*Q2809)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(5000/(6000+Inputs!$B$42*(1-(100*(1-(1-(100*(1-(1-(Inputs!$B$19+((C2825=TRUE)*(F2825-Calc!F28)))/100)*(1-CHOOSE(ArtifactsInput!$N$40+1,5,6,7,8,9,10)/100)^(ArtifactsInput!$M$40-ArtifactsInput!$M$40)))/100)*(1-IF(ArtifactsInput!$M$40,CHOOSE(ArtifactsInput!$N$40+1,5,6,7,8,9,10),0)/100)^IF(Inputs!$B$38="pvp",1,2)))/100)))/(5000/(6000+Inputs!$B$42*(1-(100*(1-(1-(Inputs!$B$19+((C2825=TRUE)*(F2825-Calc!F28)))/100)*(1-CHOOSE(ArtifactsInput!$N$40+1,5,6,7,8,9,10)/100)^(ArtifactsInput!$M$40-ArtifactsInput!$M$40)))/100))))*((L2809*(1-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2809*(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2809*(1-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2809*(MIN(100,(Inputs!$B$9+((C2818=TRUE)*(F2818-Calc!F21))+B2831+(ArtifactsInput!$M$24-ArtifactsInput!$M$24)*CHOOSE(ArtifactsInput!$N$24+1,10,12,14,16,18,20)+(IF(AND(ArtifactsInput!$M$42,((Inputs!$B$9+((C2818=TRUE)*(F2818-Calc!F21))+B2831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9">
        <f>IF(C2809,(H2809*N2809*IF(AND(Inputs!$B$38&lt;&gt;"pvp",Inputs!$B$43&gt;0),((Skills!G12*((R2809-1)*IF(Skills!H12&gt;0,Skills!I12/Skills!H12,1)+IF(Skills!H12&gt;0,MIN(Skills!I12,MAX(0,MAX(0,Inputs!$B$43-B2838)-((R2809-1)*(IF(Inputs!$B$38="pvp",15,MAX(0.1,Skills!D12-IF(Skills!E12=TRUE,Inputs!$B$32,0)))*(1-IF(AND(ArtifactsInput!$M$27,Inputs!$B$4="Chapter Hunt"),CHOOSE(ArtifactsInput!$N$27+1,20,24,28,32,36,40),0)/100)))))/Skills!H12,1)))/Inputs!$B$43),G2809*Q2809))*IF(Inputs!$B$38="pvp",1,(1+(Inputs!$B$21+Skills!Q12+(IF(ArtifactsInput!$M$33,CHOOSE(ArtifactsInput!$N$33+1,30,36,42,48,54,60),0))+(IF(AND(ArtifactsInput!$M$35,Inputs!$B$4&lt;&gt;"Chapter Hunt"),CHOOSE(ArtifactsInput!$N$35+1,15,18,21,24,27,30)*(1-EXP(-(0.2*B2833)*5)),0)+IF(AND(ArtifactsInput!$M$22,Inputs!$B$4&lt;&gt;"Chapter Hunt"),CHOOSE(ArtifactsInput!$N$22+1,10,12,14,16,18,20)*((0*(((0.15*B2833*5))^0/1)+1*(((0.15*B2833*5))^1/1)+2*(((0.15*B2833*5))^2/2)+3*(((0.15*B2833*5))^3/6)+4*(((0.15*B2833*5))^4/24)+5*(((0.15*B2833*5))^5/120))/((((0.15*B2833*5))^0/1)+(((0.15*B2833*5))^1/1)+(((0.15*B2833*5))^2/2)+(((0.15*B2833*5))^3/6)+(((0.15*B2833*5))^4/24)+(((0.15*B2833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0">
      <c r="A2810">
        <f>Skills!A13</f>
        <v/>
      </c>
      <c r="B2810">
        <f>Skills!B13</f>
        <v/>
      </c>
      <c r="C2810">
        <f>Inputs!$B$3&gt;=110</f>
        <v/>
      </c>
      <c r="D2810">
        <f>IF(Skills!C13=1,60+Inputs!$B$25+Inputs!$B$29,IF(Skills!C13=2,90+Inputs!$B$26+Inputs!$B$29,IF(Skills!C13=3,120+Inputs!$B$27+Inputs!$B$29,MAX(0,(Inputs!$B$3-100)*3)+Inputs!$B$28+Inputs!$B$29)))</f>
        <v/>
      </c>
      <c r="E2810">
        <f>INDEX(FactorTable!$B$2:$Y$301, MATCH(ROUND(MIN(300,MAX(1,D2810)),0), FactorTable!$A$2:$A$301,0), Skills!M13+1)</f>
        <v/>
      </c>
      <c r="F2810">
        <f>IF(Skills!N13=TRUE,(Skills!L13/10)*(E2810/1000),Skills!L13/10)+Skills!O13</f>
        <v/>
      </c>
      <c r="G2810" t="inlineStr"/>
      <c r="H2810" t="inlineStr"/>
      <c r="I2810" t="inlineStr">
        <is>
          <t>1</t>
        </is>
      </c>
      <c r="J2810" t="inlineStr"/>
      <c r="K2810" t="inlineStr"/>
      <c r="L2810" t="inlineStr"/>
      <c r="M2810" t="inlineStr"/>
      <c r="N2810" t="inlineStr"/>
      <c r="O2810" t="inlineStr"/>
      <c r="P2810" t="inlineStr"/>
      <c r="Q2810" t="inlineStr"/>
      <c r="R2810" t="inlineStr"/>
      <c r="S2810" t="inlineStr"/>
      <c r="T2810" t="inlineStr"/>
      <c r="V2810" t="inlineStr"/>
    </row>
    <row r="2811">
      <c r="A2811">
        <f>Skills!A14</f>
        <v/>
      </c>
      <c r="B2811">
        <f>Skills!B14</f>
        <v/>
      </c>
      <c r="C2811">
        <f>Inputs!$B$3&gt;=74</f>
        <v/>
      </c>
      <c r="D2811">
        <f>IF(Skills!C14=1,60+Inputs!$B$25+Inputs!$B$29,IF(Skills!C14=2,90+Inputs!$B$26+Inputs!$B$29,IF(Skills!C14=3,120+Inputs!$B$27+Inputs!$B$29,MAX(0,(Inputs!$B$3-100)*3)+Inputs!$B$28+Inputs!$B$29)))</f>
        <v/>
      </c>
      <c r="E2811">
        <f>INDEX(FactorTable!$B$2:$Y$301, MATCH(ROUND(MIN(300,MAX(1,D2811)),0), FactorTable!$A$2:$A$301,0), Skills!M14+1)</f>
        <v/>
      </c>
      <c r="F2811">
        <f>IF(Skills!N14=TRUE,(Skills!L14/10)*(E2811/1000),Skills!L14/10)+Skills!O14</f>
        <v/>
      </c>
      <c r="G2811">
        <f>Skills!G14*IF(Skills!H14&gt;0,Skills!I14/Skills!H14,1)</f>
        <v/>
      </c>
      <c r="H2811">
        <f>1-(1-Skills!J14/100)^Skills!K14</f>
        <v/>
      </c>
      <c r="I2811" t="inlineStr">
        <is>
          <t>1</t>
        </is>
      </c>
      <c r="J2811" t="inlineStr"/>
      <c r="K2811" t="inlineStr"/>
      <c r="L2811" t="inlineStr"/>
      <c r="M2811" t="inlineStr"/>
      <c r="N2811" t="inlineStr"/>
      <c r="O2811">
        <f>(1-Summary!$B$11)*T2811+Summary!$B$11*V2811</f>
        <v/>
      </c>
      <c r="P2811">
        <f>IF(B2841=0,0,O2811/B2841)</f>
        <v/>
      </c>
      <c r="Q2811" t="n">
        <v>0</v>
      </c>
      <c r="R2811" t="n">
        <v>0</v>
      </c>
      <c r="S2811">
        <f>IFERROR(O2811/N2811,0)</f>
        <v/>
      </c>
      <c r="T2811" t="n">
        <v>0</v>
      </c>
      <c r="V2811" t="n">
        <v>0</v>
      </c>
    </row>
    <row r="2812">
      <c r="A2812">
        <f>Skills!A15</f>
        <v/>
      </c>
      <c r="B2812">
        <f>Skills!B15</f>
        <v/>
      </c>
      <c r="C2812">
        <f>Inputs!$B$3&gt;=74</f>
        <v/>
      </c>
      <c r="D2812">
        <f>IF(Skills!C15=1,60+Inputs!$B$25+Inputs!$B$29,IF(Skills!C15=2,90+Inputs!$B$26+Inputs!$B$29,IF(Skills!C15=3,120+Inputs!$B$27+Inputs!$B$29,MAX(0,(Inputs!$B$3-100)*3)+Inputs!$B$28+Inputs!$B$29)))</f>
        <v/>
      </c>
      <c r="E2812">
        <f>INDEX(FactorTable!$B$2:$Y$301, MATCH(ROUND(MIN(300,MAX(1,D2812)),0), FactorTable!$A$2:$A$301,0), Skills!M15+1)</f>
        <v/>
      </c>
      <c r="F2812">
        <f>IF(Skills!N15=TRUE,(Skills!L15/10)*(E2812/1000),Skills!L15/10)+Skills!O15</f>
        <v/>
      </c>
      <c r="G2812">
        <f>Skills!G15*IF(Skills!H15&gt;0,Skills!I15/Skills!H15,1)</f>
        <v/>
      </c>
      <c r="H2812">
        <f>1-(1-Skills!J15/100)^Skills!K15</f>
        <v/>
      </c>
      <c r="I2812" t="inlineStr">
        <is>
          <t>1</t>
        </is>
      </c>
      <c r="J2812" t="inlineStr"/>
      <c r="K2812" t="inlineStr"/>
      <c r="L2812" t="inlineStr"/>
      <c r="M2812" t="inlineStr"/>
      <c r="N2812" t="inlineStr"/>
      <c r="O2812">
        <f>(1-Summary!$B$11)*T2812+Summary!$B$11*V2812</f>
        <v/>
      </c>
      <c r="P2812">
        <f>IF(B2841=0,0,O2812/B2841)</f>
        <v/>
      </c>
      <c r="Q2812" t="n">
        <v>0</v>
      </c>
      <c r="R2812" t="n">
        <v>0</v>
      </c>
      <c r="S2812">
        <f>IFERROR(O2812/N2812,0)</f>
        <v/>
      </c>
      <c r="T2812" t="n">
        <v>0</v>
      </c>
      <c r="V2812" t="n">
        <v>0</v>
      </c>
    </row>
    <row r="2813">
      <c r="A2813">
        <f>Skills!A16</f>
        <v/>
      </c>
      <c r="B2813">
        <f>Skills!B16</f>
        <v/>
      </c>
      <c r="C2813">
        <f>Inputs!$B$3&gt;=117</f>
        <v/>
      </c>
      <c r="D2813">
        <f>IF(Skills!C16=1,60+Inputs!$B$25+Inputs!$B$29,IF(Skills!C16=2,90+Inputs!$B$26+Inputs!$B$29,IF(Skills!C16=3,120+Inputs!$B$27+Inputs!$B$29,MAX(0,(Inputs!$B$3-100)*3)+Inputs!$B$28+Inputs!$B$29)))</f>
        <v/>
      </c>
      <c r="E2813">
        <f>INDEX(FactorTable!$B$2:$Y$301, MATCH(ROUND(MIN(300,MAX(1,D2813)),0), FactorTable!$A$2:$A$301,0), Skills!M16+1)</f>
        <v/>
      </c>
      <c r="F2813">
        <f>IF(Skills!N16=TRUE,(Skills!L16/10)*(E2813/1000),Skills!L16/10)+Skills!O16</f>
        <v/>
      </c>
      <c r="G2813">
        <f>Skills!G16*IF(Skills!H16&gt;0,Skills!I16/Skills!H16,1)</f>
        <v/>
      </c>
      <c r="H2813">
        <f>1-(1-Skills!J16/100)^Skills!K16</f>
        <v/>
      </c>
      <c r="I2813" t="inlineStr">
        <is>
          <t>1</t>
        </is>
      </c>
      <c r="J2813" t="inlineStr"/>
      <c r="K2813" t="inlineStr"/>
      <c r="L2813" t="inlineStr"/>
      <c r="M2813" t="inlineStr"/>
      <c r="N2813" t="inlineStr"/>
      <c r="O2813">
        <f>(1-Summary!$B$11)*T2813+Summary!$B$11*V2813</f>
        <v/>
      </c>
      <c r="P2813">
        <f>IF(B2841=0,0,O2813/B2841)</f>
        <v/>
      </c>
      <c r="Q2813">
        <f>IFERROR(1/(IF(Inputs!$B$38="pvp",15,MAX(0.1,Skills!D16-IF(Skills!E16=TRUE,Inputs!$B$32,0)))*(1-IF(AND(ArtifactsInput!$M$27,Inputs!$B$4="Chapter Hunt"),CHOOSE(ArtifactsInput!$N$27+1,20,24,28,32,36,40),0)/100)),0)</f>
        <v/>
      </c>
      <c r="R2813">
        <f>IF(AND(Inputs!$B$38&lt;&gt;"pvp",Inputs!$B$43&gt;0),IF(Inputs!$B$43&lt;=0,0,(INT(Inputs!$B$43/(IF(Inputs!$B$38="pvp",15,MAX(0.1,Skills!D16-IF(Skills!E16=TRUE,Inputs!$B$32,0)))*(1-IF(AND(ArtifactsInput!$M$27,Inputs!$B$4="Chapter Hunt"),CHOOSE(ArtifactsInput!$N$27+1,20,24,28,32,36,40),0)/100)))+1)),0)</f>
        <v/>
      </c>
      <c r="S2813">
        <f>IFERROR(O2813/N2813,0)</f>
        <v/>
      </c>
      <c r="T2813" t="n">
        <v>0</v>
      </c>
      <c r="V2813" t="n">
        <v>0</v>
      </c>
    </row>
    <row r="2814">
      <c r="A2814">
        <f>Skills!A17</f>
        <v/>
      </c>
      <c r="B2814">
        <f>Skills!B17</f>
        <v/>
      </c>
      <c r="C2814">
        <f>Inputs!$B$3&gt;=115</f>
        <v/>
      </c>
      <c r="D2814">
        <f>IF(Skills!C17=1,60+Inputs!$B$25+Inputs!$B$29,IF(Skills!C17=2,90+Inputs!$B$26+Inputs!$B$29,IF(Skills!C17=3,120+Inputs!$B$27+Inputs!$B$29,MAX(0,(Inputs!$B$3-100)*3)+Inputs!$B$28+Inputs!$B$29)))</f>
        <v/>
      </c>
      <c r="E2814">
        <f>INDEX(FactorTable!$B$2:$Y$301, MATCH(ROUND(MIN(300,MAX(1,D2814)),0), FactorTable!$A$2:$A$301,0), Skills!M17+1)</f>
        <v/>
      </c>
      <c r="F2814">
        <f>IF(Skills!N17=TRUE,(Skills!L17/10)*(E2814/1000),Skills!L17/10)+Skills!O17</f>
        <v/>
      </c>
      <c r="G2814">
        <f>Skills!G17*IF(Skills!H17&gt;0,Skills!I17/Skills!H17,1)</f>
        <v/>
      </c>
      <c r="H2814">
        <f>1-(1-Skills!J17/100)^Skills!K17</f>
        <v/>
      </c>
      <c r="I2814" t="inlineStr">
        <is>
          <t>1</t>
        </is>
      </c>
      <c r="J2814" t="inlineStr"/>
      <c r="K2814" t="inlineStr"/>
      <c r="L2814" t="inlineStr"/>
      <c r="M2814" t="inlineStr"/>
      <c r="N2814" t="inlineStr"/>
      <c r="O2814">
        <f>(1-Summary!$B$11)*T2814+Summary!$B$11*V2814</f>
        <v/>
      </c>
      <c r="P2814">
        <f>IF(B2841=0,0,O2814/B2841)</f>
        <v/>
      </c>
      <c r="Q2814">
        <f>IFERROR(1/(IF(Inputs!$B$38="pvp",15,MAX(0.1,Skills!D17-IF(Skills!E17=TRUE,Inputs!$B$32,0)))*(1-IF(AND(ArtifactsInput!$M$27,Inputs!$B$4="Chapter Hunt"),CHOOSE(ArtifactsInput!$N$27+1,20,24,28,32,36,40),0)/100)),0)</f>
        <v/>
      </c>
      <c r="R2814">
        <f>IF(AND(Inputs!$B$38&lt;&gt;"pvp",Inputs!$B$43&gt;0),IF(Inputs!$B$43&lt;=0,0,(INT(Inputs!$B$43/(IF(Inputs!$B$38="pvp",15,MAX(0.1,Skills!D17-IF(Skills!E17=TRUE,Inputs!$B$32,0)))*(1-IF(AND(ArtifactsInput!$M$27,Inputs!$B$4="Chapter Hunt"),CHOOSE(ArtifactsInput!$N$27+1,20,24,28,32,36,40),0)/100)))+1)),0)</f>
        <v/>
      </c>
      <c r="S2814">
        <f>IFERROR(O2814/N2814,0)</f>
        <v/>
      </c>
      <c r="T2814" t="n">
        <v>0</v>
      </c>
      <c r="V2814" t="n">
        <v>0</v>
      </c>
    </row>
    <row r="2815">
      <c r="A2815">
        <f>Skills!A18</f>
        <v/>
      </c>
      <c r="B2815">
        <f>Skills!B18</f>
        <v/>
      </c>
      <c r="C2815">
        <f>Inputs!$B$3&gt;=66</f>
        <v/>
      </c>
      <c r="D2815">
        <f>IF(Skills!C18=1,60+Inputs!$B$25+Inputs!$B$29,IF(Skills!C18=2,90+Inputs!$B$26+Inputs!$B$29,IF(Skills!C18=3,120+Inputs!$B$27+Inputs!$B$29,MAX(0,(Inputs!$B$3-100)*3)+Inputs!$B$28+Inputs!$B$29)))</f>
        <v/>
      </c>
      <c r="E2815">
        <f>INDEX(FactorTable!$B$2:$Y$301, MATCH(ROUND(MIN(300,MAX(1,D2815)),0), FactorTable!$A$2:$A$301,0), Skills!M18+1)</f>
        <v/>
      </c>
      <c r="F2815">
        <f>IF(Skills!N18=TRUE,(Skills!L18/10)*(E2815/1000),Skills!L18/10)+Skills!O18</f>
        <v/>
      </c>
      <c r="G2815">
        <f>Skills!G18*IF(Skills!H18&gt;0,Skills!I18/Skills!H18,1)</f>
        <v/>
      </c>
      <c r="H2815">
        <f>1-(1-Skills!J18/100)^Skills!K18</f>
        <v/>
      </c>
      <c r="I2815" t="inlineStr">
        <is>
          <t>1</t>
        </is>
      </c>
      <c r="J2815" t="inlineStr"/>
      <c r="K2815" t="inlineStr"/>
      <c r="L2815" t="inlineStr"/>
      <c r="M2815" t="inlineStr"/>
      <c r="N2815" t="inlineStr"/>
      <c r="O2815">
        <f>(1-Summary!$B$11)*T2815+Summary!$B$11*V2815</f>
        <v/>
      </c>
      <c r="P2815">
        <f>IF(B2841=0,0,O2815/B2841)</f>
        <v/>
      </c>
      <c r="Q2815" t="n">
        <v>0</v>
      </c>
      <c r="R2815" t="n">
        <v>0</v>
      </c>
      <c r="S2815">
        <f>IFERROR(O2815/N2815,0)</f>
        <v/>
      </c>
      <c r="T2815" t="n">
        <v>0</v>
      </c>
      <c r="V2815" t="n">
        <v>0</v>
      </c>
    </row>
    <row r="2816">
      <c r="A2816">
        <f>Skills!A19</f>
        <v/>
      </c>
      <c r="B2816">
        <f>Skills!B19</f>
        <v/>
      </c>
      <c r="C2816">
        <f>Inputs!$B$3&gt;=72</f>
        <v/>
      </c>
      <c r="D2816">
        <f>IF(Skills!C19=1,60+Inputs!$B$25+Inputs!$B$29,IF(Skills!C19=2,90+Inputs!$B$26+Inputs!$B$29,IF(Skills!C19=3,120+Inputs!$B$27+Inputs!$B$29,MAX(0,(Inputs!$B$3-100)*3)+Inputs!$B$28+Inputs!$B$29)))</f>
        <v/>
      </c>
      <c r="E2816">
        <f>INDEX(FactorTable!$B$2:$Y$301, MATCH(ROUND(MIN(300,MAX(1,D2816)),0), FactorTable!$A$2:$A$301,0), Skills!M19+1)</f>
        <v/>
      </c>
      <c r="F2816">
        <f>IF(Skills!N19=TRUE,(Skills!L19/10)*(E2816/1000),Skills!L19/10)+Skills!O19</f>
        <v/>
      </c>
      <c r="G2816">
        <f>Skills!G19*IF(Skills!H19&gt;0,Skills!I19/Skills!H19,1)</f>
        <v/>
      </c>
      <c r="H2816">
        <f>1-(1-Skills!J19/100)^Skills!K19</f>
        <v/>
      </c>
      <c r="I2816" t="inlineStr">
        <is>
          <t>1</t>
        </is>
      </c>
      <c r="J2816" t="inlineStr"/>
      <c r="K2816" t="inlineStr"/>
      <c r="L2816" t="inlineStr"/>
      <c r="M2816" t="inlineStr"/>
      <c r="N2816" t="inlineStr"/>
      <c r="O2816">
        <f>(1-Summary!$B$11)*T2816+Summary!$B$11*V2816</f>
        <v/>
      </c>
      <c r="P2816">
        <f>IF(B2841=0,0,O2816/B2841)</f>
        <v/>
      </c>
      <c r="Q2816" t="n">
        <v>0</v>
      </c>
      <c r="R2816" t="n">
        <v>0</v>
      </c>
      <c r="S2816">
        <f>IFERROR(O2816/N2816,0)</f>
        <v/>
      </c>
      <c r="T2816" t="n">
        <v>0</v>
      </c>
      <c r="V2816" t="n">
        <v>0</v>
      </c>
    </row>
    <row r="2817">
      <c r="A2817">
        <f>Skills!A20</f>
        <v/>
      </c>
      <c r="B2817">
        <f>Skills!B20</f>
        <v/>
      </c>
      <c r="C2817">
        <f>TRUE</f>
        <v/>
      </c>
      <c r="D2817">
        <f>IF(Skills!C20=1,60+Inputs!$B$25+Inputs!$B$29,IF(Skills!C20=2,90+Inputs!$B$26+Inputs!$B$29,IF(Skills!C20=3,120+Inputs!$B$27+Inputs!$B$29,MAX(0,(Inputs!$B$3-100)*3)+Inputs!$B$28+Inputs!$B$29)))</f>
        <v/>
      </c>
      <c r="E2817">
        <f>INDEX(FactorTable!$B$2:$Y$301, MATCH(ROUND(MIN(300,MAX(1,D2817)),0), FactorTable!$A$2:$A$301,0), Skills!M20+1)</f>
        <v/>
      </c>
      <c r="F2817">
        <f>IF(Skills!N20=TRUE,(Skills!L20/10)*(E2817/1000),Skills!L20/10)+Skills!O20</f>
        <v/>
      </c>
      <c r="G2817">
        <f>Skills!G20*IF(Skills!H20&gt;0,Skills!I20/Skills!H20,1)</f>
        <v/>
      </c>
      <c r="H2817">
        <f>1-(1-Skills!J20/100)^Skills!K20</f>
        <v/>
      </c>
      <c r="I2817" t="inlineStr">
        <is>
          <t>1</t>
        </is>
      </c>
      <c r="J2817" t="inlineStr"/>
      <c r="K2817" t="inlineStr"/>
      <c r="L2817" t="inlineStr"/>
      <c r="M2817" t="inlineStr"/>
      <c r="N2817" t="inlineStr"/>
      <c r="O2817">
        <f>(1-Summary!$B$11)*T2817+Summary!$B$11*V2817</f>
        <v/>
      </c>
      <c r="P2817">
        <f>IF(B2841=0,0,O2817/B2841)</f>
        <v/>
      </c>
      <c r="Q2817">
        <f>IFERROR(1/(IF(Inputs!$B$38="pvp",15,MAX(0.1,Skills!D20-IF(Skills!E20=TRUE,Inputs!$B$32,0)))*(1-IF(AND(ArtifactsInput!$M$27,Inputs!$B$4="Chapter Hunt"),CHOOSE(ArtifactsInput!$N$27+1,20,24,28,32,36,40),0)/100)),0)</f>
        <v/>
      </c>
      <c r="R2817">
        <f>IF(AND(Inputs!$B$38&lt;&gt;"pvp",Inputs!$B$43&gt;0),IF(Inputs!$B$43&lt;=0,0,(INT(Inputs!$B$43/(IF(Inputs!$B$38="pvp",15,MAX(0.1,Skills!D20-IF(Skills!E20=TRUE,Inputs!$B$32,0)))*(1-IF(AND(ArtifactsInput!$M$27,Inputs!$B$4="Chapter Hunt"),CHOOSE(ArtifactsInput!$N$27+1,20,24,28,32,36,40),0)/100)))+1)),0)</f>
        <v/>
      </c>
      <c r="S2817">
        <f>IFERROR(O2817/N2817,0)</f>
        <v/>
      </c>
      <c r="T2817" t="n">
        <v>0</v>
      </c>
      <c r="V2817" t="n">
        <v>0</v>
      </c>
    </row>
    <row r="2818">
      <c r="A2818">
        <f>Skills!A21</f>
        <v/>
      </c>
      <c r="B2818">
        <f>Skills!B21</f>
        <v/>
      </c>
      <c r="C2818">
        <f>Inputs!$B$3&gt;=15</f>
        <v/>
      </c>
      <c r="D2818">
        <f>IF(Skills!C21=1,60+Inputs!$B$25+Inputs!$B$29,IF(Skills!C21=2,90+Inputs!$B$26+Inputs!$B$29,IF(Skills!C21=3,120+Inputs!$B$27+Inputs!$B$29,MAX(0,(Inputs!$B$3-100)*3)+Inputs!$B$28+Inputs!$B$29)))</f>
        <v/>
      </c>
      <c r="E2818">
        <f>INDEX(FactorTable!$B$2:$Y$301, MATCH(ROUND(MIN(300,MAX(1,D2818)),0), FactorTable!$A$2:$A$301,0), Skills!M21+1)</f>
        <v/>
      </c>
      <c r="F2818">
        <f>IF(Skills!N21=TRUE,(Skills!L21/10)*(E2818/1000),Skills!L21/10)+Skills!O21</f>
        <v/>
      </c>
      <c r="G2818">
        <f>Skills!G21*IF(Skills!H21&gt;0,Skills!I21/Skills!H21,1)</f>
        <v/>
      </c>
      <c r="H2818">
        <f>1-(1-Skills!J21/100)^Skills!K21</f>
        <v/>
      </c>
      <c r="I2818" t="inlineStr">
        <is>
          <t>1</t>
        </is>
      </c>
      <c r="J2818" t="inlineStr"/>
      <c r="K2818" t="inlineStr"/>
      <c r="L2818" t="inlineStr"/>
      <c r="M2818" t="inlineStr"/>
      <c r="N2818" t="inlineStr"/>
      <c r="O2818">
        <f>(1-Summary!$B$11)*T2818+Summary!$B$11*V2818</f>
        <v/>
      </c>
      <c r="P2818">
        <f>IF(B2841=0,0,O2818/B2841)</f>
        <v/>
      </c>
      <c r="Q2818" t="n">
        <v>0</v>
      </c>
      <c r="R2818" t="n">
        <v>0</v>
      </c>
      <c r="S2818">
        <f>IFERROR(O2818/N2818,0)</f>
        <v/>
      </c>
      <c r="T2818" t="n">
        <v>0</v>
      </c>
      <c r="V2818" t="n">
        <v>0</v>
      </c>
    </row>
    <row r="2819">
      <c r="A2819">
        <f>Skills!A22</f>
        <v/>
      </c>
      <c r="B2819">
        <f>Skills!B22</f>
        <v/>
      </c>
      <c r="C2819">
        <f>Inputs!$B$3&gt;=10</f>
        <v/>
      </c>
      <c r="D2819">
        <f>IF(Skills!C22=1,60+Inputs!$B$25+Inputs!$B$29,IF(Skills!C22=2,90+Inputs!$B$26+Inputs!$B$29,IF(Skills!C22=3,120+Inputs!$B$27+Inputs!$B$29,MAX(0,(Inputs!$B$3-100)*3)+Inputs!$B$28+Inputs!$B$29)))</f>
        <v/>
      </c>
      <c r="E2819">
        <f>INDEX(FactorTable!$B$2:$Y$301, MATCH(ROUND(MIN(300,MAX(1,D2819)),0), FactorTable!$A$2:$A$301,0), Skills!M22+1)</f>
        <v/>
      </c>
      <c r="F2819">
        <f>IF(Skills!N22=TRUE,(Skills!L22/10)*(E2819/1000),Skills!L22/10)+Skills!O22</f>
        <v/>
      </c>
      <c r="G2819">
        <f>Skills!G22*IF(Skills!H22&gt;0,Skills!I22/Skills!H22,1)</f>
        <v/>
      </c>
      <c r="H2819">
        <f>1-(1-Skills!J22/100)^Skills!K22</f>
        <v/>
      </c>
      <c r="I2819" t="inlineStr">
        <is>
          <t>1</t>
        </is>
      </c>
      <c r="J2819" t="inlineStr"/>
      <c r="K2819" t="inlineStr"/>
      <c r="L2819" t="inlineStr"/>
      <c r="M2819" t="inlineStr"/>
      <c r="N2819" t="inlineStr"/>
      <c r="O2819">
        <f>(1-Summary!$B$11)*T2819+Summary!$B$11*V2819</f>
        <v/>
      </c>
      <c r="P2819">
        <f>IF(B2841=0,0,O2819/B2841)</f>
        <v/>
      </c>
      <c r="Q2819" t="n">
        <v>0</v>
      </c>
      <c r="R2819" t="n">
        <v>0</v>
      </c>
      <c r="S2819">
        <f>IFERROR(O2819/N2819,0)</f>
        <v/>
      </c>
      <c r="T2819" t="n">
        <v>0</v>
      </c>
      <c r="V2819" t="n">
        <v>0</v>
      </c>
    </row>
    <row r="2820">
      <c r="A2820">
        <f>Skills!A23</f>
        <v/>
      </c>
      <c r="B2820">
        <f>Skills!B23</f>
        <v/>
      </c>
      <c r="C2820">
        <f>Inputs!$B$3&gt;=33</f>
        <v/>
      </c>
      <c r="D2820">
        <f>IF(Skills!C23=1,60+Inputs!$B$25+Inputs!$B$29,IF(Skills!C23=2,90+Inputs!$B$26+Inputs!$B$29,IF(Skills!C23=3,120+Inputs!$B$27+Inputs!$B$29,MAX(0,(Inputs!$B$3-100)*3)+Inputs!$B$28+Inputs!$B$29)))</f>
        <v/>
      </c>
      <c r="E2820">
        <f>INDEX(FactorTable!$B$2:$Y$301, MATCH(ROUND(MIN(300,MAX(1,D2820)),0), FactorTable!$A$2:$A$301,0), Skills!M23+1)</f>
        <v/>
      </c>
      <c r="F2820">
        <f>IF(Skills!N23=TRUE,(Skills!L23/10)*(E2820/1000),Skills!L23/10)+Skills!O23</f>
        <v/>
      </c>
      <c r="G2820">
        <f>Skills!G23*IF(Skills!H23&gt;0,Skills!I23/Skills!H23,1)</f>
        <v/>
      </c>
      <c r="H2820">
        <f>1-(1-Skills!J23/100)^Skills!K23</f>
        <v/>
      </c>
      <c r="I2820" t="inlineStr">
        <is>
          <t>1</t>
        </is>
      </c>
      <c r="J2820" t="inlineStr"/>
      <c r="K2820" t="inlineStr"/>
      <c r="L2820" t="inlineStr"/>
      <c r="M2820" t="inlineStr"/>
      <c r="N2820" t="inlineStr"/>
      <c r="O2820">
        <f>(1-Summary!$B$11)*T2820+Summary!$B$11*V2820</f>
        <v/>
      </c>
      <c r="P2820">
        <f>IF(B2841=0,0,O2820/B2841)</f>
        <v/>
      </c>
      <c r="Q2820" t="n">
        <v>0</v>
      </c>
      <c r="R2820" t="n">
        <v>0</v>
      </c>
      <c r="S2820">
        <f>IFERROR(O2820/N2820,0)</f>
        <v/>
      </c>
      <c r="T2820" t="n">
        <v>0</v>
      </c>
      <c r="V2820" t="n">
        <v>0</v>
      </c>
    </row>
    <row r="2821">
      <c r="A2821">
        <f>Skills!A24</f>
        <v/>
      </c>
      <c r="B2821">
        <f>Skills!B24</f>
        <v/>
      </c>
      <c r="C2821">
        <f>Inputs!$B$3&gt;=38</f>
        <v/>
      </c>
      <c r="D2821">
        <f>IF(Skills!C24=1,60+Inputs!$B$25+Inputs!$B$29,IF(Skills!C24=2,90+Inputs!$B$26+Inputs!$B$29,IF(Skills!C24=3,120+Inputs!$B$27+Inputs!$B$29,MAX(0,(Inputs!$B$3-100)*3)+Inputs!$B$28+Inputs!$B$29)))</f>
        <v/>
      </c>
      <c r="E2821">
        <f>INDEX(FactorTable!$B$2:$Y$301, MATCH(ROUND(MIN(300,MAX(1,D2821)),0), FactorTable!$A$2:$A$301,0), Skills!M24+1)</f>
        <v/>
      </c>
      <c r="F2821">
        <f>IF(Skills!N24=TRUE,(Skills!L24/10)*(E2821/1000),Skills!L24/10)+Skills!O24</f>
        <v/>
      </c>
      <c r="G2821">
        <f>Skills!G24*IF(Skills!H24&gt;0,Skills!I24/Skills!H24,1)</f>
        <v/>
      </c>
      <c r="H2821">
        <f>1-(1-Skills!J24/100)^Skills!K24</f>
        <v/>
      </c>
      <c r="I2821" t="inlineStr">
        <is>
          <t>1</t>
        </is>
      </c>
      <c r="J2821" t="inlineStr"/>
      <c r="K2821" t="inlineStr"/>
      <c r="L2821" t="inlineStr"/>
      <c r="M2821" t="inlineStr"/>
      <c r="N2821" t="inlineStr"/>
      <c r="O2821">
        <f>(1-Summary!$B$11)*T2821+Summary!$B$11*V2821</f>
        <v/>
      </c>
      <c r="P2821">
        <f>IF(B2841=0,0,O2821/B2841)</f>
        <v/>
      </c>
      <c r="Q2821" t="n">
        <v>0</v>
      </c>
      <c r="R2821" t="n">
        <v>0</v>
      </c>
      <c r="S2821">
        <f>IFERROR(O2821/N2821,0)</f>
        <v/>
      </c>
      <c r="T2821" t="n">
        <v>0</v>
      </c>
      <c r="V2821" t="n">
        <v>0</v>
      </c>
    </row>
    <row r="2822">
      <c r="A2822">
        <f>Skills!A25</f>
        <v/>
      </c>
      <c r="B2822">
        <f>Skills!B25</f>
        <v/>
      </c>
      <c r="C2822">
        <f>Inputs!$B$3&gt;=43</f>
        <v/>
      </c>
      <c r="D2822">
        <f>IF(Skills!C25=1,60+Inputs!$B$25+Inputs!$B$29,IF(Skills!C25=2,90+Inputs!$B$26+Inputs!$B$29,IF(Skills!C25=3,120+Inputs!$B$27+Inputs!$B$29,MAX(0,(Inputs!$B$3-100)*3)+Inputs!$B$28+Inputs!$B$29)))</f>
        <v/>
      </c>
      <c r="E2822">
        <f>INDEX(FactorTable!$B$2:$Y$301, MATCH(ROUND(MIN(300,MAX(1,D2822)),0), FactorTable!$A$2:$A$301,0), Skills!M25+1)</f>
        <v/>
      </c>
      <c r="F2822">
        <f>IF(Skills!N25=TRUE,(Skills!L25/10)*(E2822/1000),Skills!L25/10)+Skills!O25</f>
        <v/>
      </c>
      <c r="G2822">
        <f>Skills!G25*IF(Skills!H25&gt;0,Skills!I25/Skills!H25,1)</f>
        <v/>
      </c>
      <c r="H2822">
        <f>1-(1-Skills!J25/100)^Skills!K25</f>
        <v/>
      </c>
      <c r="I2822" t="inlineStr">
        <is>
          <t>1</t>
        </is>
      </c>
      <c r="J2822" t="inlineStr"/>
      <c r="K2822" t="inlineStr"/>
      <c r="L2822" t="inlineStr"/>
      <c r="M2822" t="inlineStr"/>
      <c r="N2822" t="inlineStr"/>
      <c r="O2822">
        <f>(1-Summary!$B$11)*T2822+Summary!$B$11*V2822</f>
        <v/>
      </c>
      <c r="P2822">
        <f>IF(B2841=0,0,O2822/B2841)</f>
        <v/>
      </c>
      <c r="Q2822" t="n">
        <v>0</v>
      </c>
      <c r="R2822" t="n">
        <v>0</v>
      </c>
      <c r="S2822">
        <f>IFERROR(O2822/N2822,0)</f>
        <v/>
      </c>
      <c r="T2822" t="n">
        <v>0</v>
      </c>
      <c r="V2822" t="n">
        <v>0</v>
      </c>
    </row>
    <row r="2823">
      <c r="A2823">
        <f>Skills!A26</f>
        <v/>
      </c>
      <c r="B2823">
        <f>Skills!B26</f>
        <v/>
      </c>
      <c r="C2823">
        <f>Inputs!$B$3&gt;=75</f>
        <v/>
      </c>
      <c r="D2823">
        <f>IF(Skills!C26=1,60+Inputs!$B$25+Inputs!$B$29,IF(Skills!C26=2,90+Inputs!$B$26+Inputs!$B$29,IF(Skills!C26=3,120+Inputs!$B$27+Inputs!$B$29,MAX(0,(Inputs!$B$3-100)*3)+Inputs!$B$28+Inputs!$B$29)))</f>
        <v/>
      </c>
      <c r="E2823">
        <f>INDEX(FactorTable!$B$2:$Y$301, MATCH(ROUND(MIN(300,MAX(1,D2823)),0), FactorTable!$A$2:$A$301,0), Skills!M26+1)</f>
        <v/>
      </c>
      <c r="F2823">
        <f>IF(Skills!N26=TRUE,(Skills!L26/10)*(E2823/1000),Skills!L26/10)+Skills!O26</f>
        <v/>
      </c>
      <c r="G2823">
        <f>Skills!G26*IF(Skills!H26&gt;0,Skills!I26/Skills!H26,1)</f>
        <v/>
      </c>
      <c r="H2823">
        <f>1-(1-Skills!J26/100)^Skills!K26</f>
        <v/>
      </c>
      <c r="I2823" t="inlineStr">
        <is>
          <t>1</t>
        </is>
      </c>
      <c r="J2823" t="inlineStr"/>
      <c r="K2823" t="inlineStr"/>
      <c r="L2823" t="inlineStr"/>
      <c r="M2823" t="inlineStr"/>
      <c r="N2823" t="inlineStr"/>
      <c r="O2823">
        <f>(1-Summary!$B$11)*T2823+Summary!$B$11*V2823</f>
        <v/>
      </c>
      <c r="P2823">
        <f>IF(B2841=0,0,O2823/B2841)</f>
        <v/>
      </c>
      <c r="Q2823" t="n">
        <v>0</v>
      </c>
      <c r="R2823" t="n">
        <v>0</v>
      </c>
      <c r="S2823">
        <f>IFERROR(O2823/N2823,0)</f>
        <v/>
      </c>
      <c r="T2823" t="n">
        <v>0</v>
      </c>
      <c r="V2823" t="n">
        <v>0</v>
      </c>
    </row>
    <row r="2824">
      <c r="A2824">
        <f>Skills!A27</f>
        <v/>
      </c>
      <c r="B2824">
        <f>Skills!B27</f>
        <v/>
      </c>
      <c r="C2824">
        <f>Inputs!$B$3&gt;=125</f>
        <v/>
      </c>
      <c r="D2824">
        <f>IF(Skills!C27=1,60+Inputs!$B$25+Inputs!$B$29,IF(Skills!C27=2,90+Inputs!$B$26+Inputs!$B$29,IF(Skills!C27=3,120+Inputs!$B$27+Inputs!$B$29,MAX(0,(Inputs!$B$3-100)*3)+Inputs!$B$28+Inputs!$B$29)))</f>
        <v/>
      </c>
      <c r="E2824">
        <f>INDEX(FactorTable!$B$2:$Y$301, MATCH(ROUND(MIN(300,MAX(1,D2824)),0), FactorTable!$A$2:$A$301,0), Skills!M27+1)</f>
        <v/>
      </c>
      <c r="F2824">
        <f>IF(Skills!N27=TRUE,(Skills!L27/10)*(E2824/1000),Skills!L27/10)+Skills!O27</f>
        <v/>
      </c>
      <c r="G2824">
        <f>Skills!G27*IF(Skills!H27&gt;0,Skills!I27/Skills!H27,1)</f>
        <v/>
      </c>
      <c r="H2824">
        <f>1-(1-Skills!J27/100)^Skills!K27</f>
        <v/>
      </c>
      <c r="I2824" t="inlineStr">
        <is>
          <t>1</t>
        </is>
      </c>
      <c r="J2824" t="inlineStr"/>
      <c r="K2824" t="inlineStr"/>
      <c r="L2824" t="inlineStr"/>
      <c r="M2824" t="inlineStr"/>
      <c r="N2824" t="inlineStr"/>
      <c r="O2824">
        <f>(1-Summary!$B$11)*T2824+Summary!$B$11*V2824</f>
        <v/>
      </c>
      <c r="P2824">
        <f>IF(B2841=0,0,O2824/B2841)</f>
        <v/>
      </c>
      <c r="Q2824" t="n">
        <v>0</v>
      </c>
      <c r="R2824" t="n">
        <v>0</v>
      </c>
      <c r="S2824">
        <f>IFERROR(O2824/N2824,0)</f>
        <v/>
      </c>
      <c r="T2824" t="n">
        <v>0</v>
      </c>
      <c r="V2824" t="n">
        <v>0</v>
      </c>
    </row>
    <row r="2825">
      <c r="A2825">
        <f>Skills!A28</f>
        <v/>
      </c>
      <c r="B2825">
        <f>Skills!B28</f>
        <v/>
      </c>
      <c r="C2825">
        <f>Inputs!$B$3&gt;=125</f>
        <v/>
      </c>
      <c r="D2825">
        <f>IF(Skills!C28=1,60+Inputs!$B$25+Inputs!$B$29,IF(Skills!C28=2,90+Inputs!$B$26+Inputs!$B$29,IF(Skills!C28=3,120+Inputs!$B$27+Inputs!$B$29,MAX(0,(Inputs!$B$3-100)*3)+Inputs!$B$28+Inputs!$B$29)))</f>
        <v/>
      </c>
      <c r="E2825">
        <f>INDEX(FactorTable!$B$2:$Y$301, MATCH(ROUND(MIN(300,MAX(1,D2825)),0), FactorTable!$A$2:$A$301,0), Skills!M28+1)</f>
        <v/>
      </c>
      <c r="F2825">
        <f>IF(Skills!N28=TRUE,(Skills!L28/10)*(E2825/1000),Skills!L28/10)+Skills!O28</f>
        <v/>
      </c>
      <c r="G2825">
        <f>Skills!G28*IF(Skills!H28&gt;0,Skills!I28/Skills!H28,1)</f>
        <v/>
      </c>
      <c r="H2825">
        <f>1-(1-Skills!J28/100)^Skills!K28</f>
        <v/>
      </c>
      <c r="I2825" t="inlineStr">
        <is>
          <t>1</t>
        </is>
      </c>
      <c r="J2825" t="inlineStr"/>
      <c r="K2825" t="inlineStr"/>
      <c r="L2825" t="inlineStr"/>
      <c r="M2825" t="inlineStr"/>
      <c r="N2825" t="inlineStr"/>
      <c r="O2825">
        <f>(1-Summary!$B$11)*T2825+Summary!$B$11*V2825</f>
        <v/>
      </c>
      <c r="P2825">
        <f>IF(B2841=0,0,O2825/B2841)</f>
        <v/>
      </c>
      <c r="Q2825" t="n">
        <v>0</v>
      </c>
      <c r="R2825" t="n">
        <v>0</v>
      </c>
      <c r="S2825">
        <f>IFERROR(O2825/N2825,0)</f>
        <v/>
      </c>
      <c r="T2825" t="n">
        <v>0</v>
      </c>
      <c r="V2825" t="n">
        <v>0</v>
      </c>
    </row>
    <row r="2826">
      <c r="A2826">
        <f>Skills!A29</f>
        <v/>
      </c>
      <c r="B2826">
        <f>Skills!B29</f>
        <v/>
      </c>
      <c r="C2826">
        <f>Inputs!$B$3&gt;=120</f>
        <v/>
      </c>
      <c r="D2826">
        <f>IF(Skills!C29=1,60+Inputs!$B$25+Inputs!$B$29,IF(Skills!C29=2,90+Inputs!$B$26+Inputs!$B$29,IF(Skills!C29=3,120+Inputs!$B$27+Inputs!$B$29,MAX(0,(Inputs!$B$3-100)*3)+Inputs!$B$28+Inputs!$B$29)))</f>
        <v/>
      </c>
      <c r="E2826">
        <f>INDEX(FactorTable!$B$2:$Y$301, MATCH(ROUND(MIN(300,MAX(1,D2826)),0), FactorTable!$A$2:$A$301,0), Skills!M29+1)</f>
        <v/>
      </c>
      <c r="F2826">
        <f>IF(Skills!N29=TRUE,(Skills!L29/10)*(E2826/1000),Skills!L29/10)+Skills!O29</f>
        <v/>
      </c>
      <c r="G2826">
        <f>Skills!G29*IF(Skills!H29&gt;0,Skills!I29/Skills!H29,1)</f>
        <v/>
      </c>
      <c r="H2826">
        <f>1-(1-Skills!J29/100)^Skills!K29</f>
        <v/>
      </c>
      <c r="I2826" t="inlineStr">
        <is>
          <t>1</t>
        </is>
      </c>
      <c r="J2826" t="inlineStr"/>
      <c r="K2826" t="inlineStr"/>
      <c r="L2826" t="inlineStr"/>
      <c r="M2826" t="inlineStr"/>
      <c r="N2826" t="inlineStr"/>
      <c r="O2826">
        <f>(1-Summary!$B$11)*T2826+Summary!$B$11*V2826</f>
        <v/>
      </c>
      <c r="P2826">
        <f>IF(B2841=0,0,O2826/B2841)</f>
        <v/>
      </c>
      <c r="Q2826" t="n">
        <v>0</v>
      </c>
      <c r="R2826" t="n">
        <v>0</v>
      </c>
      <c r="S2826">
        <f>IFERROR(O2826/N2826,0)</f>
        <v/>
      </c>
      <c r="T2826" t="n">
        <v>0</v>
      </c>
      <c r="V2826" t="n">
        <v>0</v>
      </c>
    </row>
    <row r="2827">
      <c r="A2827">
        <f>Skills!A30</f>
        <v/>
      </c>
      <c r="B2827">
        <f>Skills!B30</f>
        <v/>
      </c>
      <c r="C2827">
        <f>Inputs!$B$3&gt;=120</f>
        <v/>
      </c>
      <c r="D2827">
        <f>IF(Skills!C30=1,60+Inputs!$B$25+Inputs!$B$29,IF(Skills!C30=2,90+Inputs!$B$26+Inputs!$B$29,IF(Skills!C30=3,120+Inputs!$B$27+Inputs!$B$29,MAX(0,(Inputs!$B$3-100)*3)+Inputs!$B$28+Inputs!$B$29)))</f>
        <v/>
      </c>
      <c r="E2827">
        <f>INDEX(FactorTable!$B$2:$Y$301, MATCH(ROUND(MIN(300,MAX(1,D2827)),0), FactorTable!$A$2:$A$301,0), Skills!M30+1)</f>
        <v/>
      </c>
      <c r="F2827">
        <f>IF(Skills!N30=TRUE,(Skills!L30/10)*(E2827/1000),Skills!L30/10)+Skills!O30</f>
        <v/>
      </c>
      <c r="G2827">
        <f>Skills!G30*IF(Skills!H30&gt;0,Skills!I30/Skills!H30,1)</f>
        <v/>
      </c>
      <c r="H2827">
        <f>1-(1-Skills!J30/100)^Skills!K30</f>
        <v/>
      </c>
      <c r="I2827" t="inlineStr">
        <is>
          <t>1</t>
        </is>
      </c>
      <c r="J2827" t="inlineStr"/>
      <c r="K2827" t="inlineStr"/>
      <c r="L2827" t="inlineStr"/>
      <c r="M2827" t="inlineStr"/>
      <c r="N2827" t="inlineStr"/>
      <c r="O2827">
        <f>(1-Summary!$B$11)*T2827+Summary!$B$11*V2827</f>
        <v/>
      </c>
      <c r="P2827">
        <f>IF(B2841=0,0,O2827/B2841)</f>
        <v/>
      </c>
      <c r="Q2827" t="n">
        <v>0</v>
      </c>
      <c r="R2827" t="n">
        <v>0</v>
      </c>
      <c r="S2827">
        <f>IFERROR(O2827/N2827,0)</f>
        <v/>
      </c>
      <c r="T2827" t="n">
        <v>0</v>
      </c>
      <c r="V2827" t="n">
        <v>0</v>
      </c>
    </row>
    <row r="2828">
      <c r="A2828">
        <f>Skills!A31</f>
        <v/>
      </c>
      <c r="B2828">
        <f>Skills!B31</f>
        <v/>
      </c>
      <c r="C2828">
        <f>Inputs!$B$3&gt;=45</f>
        <v/>
      </c>
      <c r="D2828">
        <f>IF(Skills!C31=1,60+Inputs!$B$25+Inputs!$B$29,IF(Skills!C31=2,90+Inputs!$B$26+Inputs!$B$29,IF(Skills!C31=3,120+Inputs!$B$27+Inputs!$B$29,MAX(0,(Inputs!$B$3-100)*3)+Inputs!$B$28+Inputs!$B$29)))</f>
        <v/>
      </c>
      <c r="E2828">
        <f>INDEX(FactorTable!$B$2:$Y$301, MATCH(ROUND(MIN(300,MAX(1,D2828)),0), FactorTable!$A$2:$A$301,0), Skills!M31+1)</f>
        <v/>
      </c>
      <c r="F2828">
        <f>IF(Skills!N31=TRUE,(Skills!L31/10)*(E2828/1000),Skills!L31/10)+Skills!O31</f>
        <v/>
      </c>
      <c r="G2828">
        <f>Skills!G31*IF(Skills!H31&gt;0,Skills!I31/Skills!H31,1)</f>
        <v/>
      </c>
      <c r="H2828">
        <f>1-(1-Skills!J31/100)^Skills!K31</f>
        <v/>
      </c>
      <c r="I2828" t="inlineStr">
        <is>
          <t>1</t>
        </is>
      </c>
      <c r="J2828" t="inlineStr"/>
      <c r="K2828" t="inlineStr"/>
      <c r="L2828" t="inlineStr"/>
      <c r="M2828" t="inlineStr"/>
      <c r="N2828" t="inlineStr"/>
      <c r="O2828">
        <f>(1-Summary!$B$11)*T2828+Summary!$B$11*V2828</f>
        <v/>
      </c>
      <c r="P2828">
        <f>IF(B2841=0,0,O2828/B2841)</f>
        <v/>
      </c>
      <c r="Q2828" t="n">
        <v>0</v>
      </c>
      <c r="R2828" t="n">
        <v>0</v>
      </c>
      <c r="S2828">
        <f>IFERROR(O2828/N2828,0)</f>
        <v/>
      </c>
      <c r="T2828" t="n">
        <v>0</v>
      </c>
      <c r="V2828" t="n">
        <v>0</v>
      </c>
    </row>
    <row r="2830">
      <c r="A2830" t="inlineStr">
        <is>
          <t>Attack% Bucket Multiplier</t>
        </is>
      </c>
      <c r="B2830">
        <f>(1+(((C2811=TRUE)*F2811)+((C2812=TRUE)*IF(Inputs!$B$38="pvp",F2812,(1-Summary!$B$11)*(F2812)+Summary!$B$11*(0)))+((C2813=TRUE)*F2813*IF(AND(Inputs!$B$38&lt;&gt;"pvp",Inputs!$B$43&gt;0),(((R2813-1)*(Skills!T16*(1+Inputs!$B$34/100))+MIN((Skills!T16*(1+Inputs!$B$34/100)),MAX(0,Inputs!$B$43-((R2813-1)*Skills!D16))))/Inputs!$B$43),IF(Inputs!$B$38="pvp",MIN((Skills!T16*(1+Inputs!$B$34/100)),15)/15,(Skills!T16*(1+Inputs!$B$34/100))/Skills!D16)))+((C2828=TRUE)*(F2828-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31">
      <c r="A2831" t="inlineStr">
        <is>
          <t>Global Crit Rate Bonus %</t>
        </is>
      </c>
      <c r="B2831">
        <f>(C2814=TRUE)*20*IF(AND(Inputs!$B$38&lt;&gt;"pvp",Inputs!$B$43&gt;0),(((R2814-1)*(Skills!T17*(1+Inputs!$B$34/100))+MIN((Skills!T17*(1+Inputs!$B$34/100)),MAX(0,Inputs!$B$43-((R2814-1)*Skills!D17))))/Inputs!$B$43),IF(Inputs!$B$38="pvp",MIN((Skills!T17*(1+Inputs!$B$34/100)),15)/15,(Skills!T17*(1+Inputs!$B$34/100))/Skills!D17))</f>
        <v/>
      </c>
    </row>
    <row r="2832">
      <c r="A2832" t="inlineStr">
        <is>
          <t>Attack Speed Buff Bonus %</t>
        </is>
      </c>
      <c r="B2832">
        <f>((C2817=TRUE)*F2817*IF(AND(Inputs!$B$38&lt;&gt;"pvp",Inputs!$B$43&gt;0),(((R2817-1)*(Skills!T20*(1+Inputs!$B$34/100))+MIN((Skills!T20*(1+Inputs!$B$34/100)),MAX(0,Inputs!$B$43-((R2817-1)*Skills!D20))))/Inputs!$B$43),IF(Inputs!$B$38="pvp",MIN((Skills!T20*(1+Inputs!$B$34/100)),15)/15,(Skills!T20*(1+Inputs!$B$34/100))/Skills!D20)))</f>
        <v/>
      </c>
    </row>
    <row r="2833">
      <c r="A2833" t="inlineStr">
        <is>
          <t>Actions Per Second</t>
        </is>
      </c>
      <c r="B2833">
        <f>1+MIN(150,150*(1-(1-(Inputs!$B$11+((C2819=TRUE)*(F2819-Calc!F22))+((C2820=TRUE)*(F2820-Calc!F23)))/150)*(1-B2832/150)))/100</f>
        <v/>
      </c>
    </row>
    <row r="2834">
      <c r="A2834" t="inlineStr">
        <is>
          <t>Skill + Buff Cast Rate</t>
        </is>
      </c>
      <c r="B2834">
        <f>IF(AND(Inputs!$B$38&lt;&gt;"pvp",Inputs!$B$43&gt;0),SUMPRODUCT((Skills!E2:E31=TRUE)*(C2799:C2828=TRUE)*R2799:R2828*Skills!F2:F31)/Inputs!$B$43,SUMPRODUCT((Skills!E2:E31=TRUE)*(C2799:C2828=TRUE)*Q2799:Q2828*Skills!F2:F31))</f>
        <v/>
      </c>
    </row>
    <row r="2835">
      <c r="A2835" t="inlineStr">
        <is>
          <t>Arrow Stream Casts Per Second</t>
        </is>
      </c>
      <c r="B2835">
        <f>MAX(0,B2833-B2834)</f>
        <v/>
      </c>
    </row>
    <row r="2836">
      <c r="A2836" t="inlineStr">
        <is>
          <t>Global Critical Damage Bonus % (Sharp Eyes + Concentration)</t>
        </is>
      </c>
      <c r="B2836">
        <f>(C2814=TRUE)*F2814*IF(AND(Inputs!$B$38&lt;&gt;"pvp",Inputs!$B$43&gt;0),(((R2814-1)*(Skills!T17*(1+Inputs!$B$34/100))+MIN((Skills!T17*(1+Inputs!$B$34/100)),MAX(0,Inputs!$B$43-((R2814-1)*Skills!D17))))/Inputs!$B$43),IF(Inputs!$B$38="pvp",MIN((Skills!T17*(1+Inputs!$B$34/100)),15)/15,(Skills!T17*(1+Inputs!$B$34/100))/Skills!D17))+(C2815=TRUE)*30</f>
        <v/>
      </c>
    </row>
    <row r="2837">
      <c r="A2837" t="inlineStr">
        <is>
          <t>Global Final Damage Bonus % (Mortal Blow)</t>
        </is>
      </c>
      <c r="B2837">
        <f>(C2816=TRUE)*F2816</f>
        <v/>
      </c>
    </row>
    <row r="2838">
      <c r="A2838" t="inlineStr">
        <is>
          <t>Buff-Casting Startup Delay (s, fixed-duration only)</t>
        </is>
      </c>
      <c r="B2838">
        <f>IF(AND(Inputs!$B$38&lt;&gt;"pvp",Inputs!$B$43&gt;0),SUMPRODUCT((Skills!T2:T31&gt;0)*(Skills!E2:E31=TRUE)*(C2799:C2828=TRUE))/B2833,0)</f>
        <v/>
      </c>
    </row>
    <row r="2839">
      <c r="A2839" t="inlineStr">
        <is>
          <t>Boss-Only Total DPS (this block's swept value)</t>
        </is>
      </c>
      <c r="B2839">
        <f>SUM(T2799:T2828)</f>
        <v/>
      </c>
    </row>
    <row r="2840">
      <c r="A2840" t="inlineStr">
        <is>
          <t>Normal-Only Total DPS (this block's swept value)</t>
        </is>
      </c>
      <c r="B2840">
        <f>SUM(V2799:V2828)</f>
        <v/>
      </c>
    </row>
    <row r="2841">
      <c r="A2841" s="6" t="inlineStr">
        <is>
          <t>TOTAL DPS</t>
        </is>
      </c>
      <c r="B2841" s="6">
        <f>SUM(O2799:O2828)</f>
        <v/>
      </c>
    </row>
    <row r="2844">
      <c r="A2844" s="6" t="inlineStr">
        <is>
          <t>Stat: Reindeer's Spear (Equip)</t>
        </is>
      </c>
    </row>
    <row r="2845">
      <c r="A2845" s="5" t="inlineStr">
        <is>
          <t>Key</t>
        </is>
      </c>
      <c r="B2845" s="5" t="inlineStr">
        <is>
          <t>Name</t>
        </is>
      </c>
      <c r="C2845" s="5" t="inlineStr">
        <is>
          <t>Unlocked</t>
        </is>
      </c>
      <c r="D2845" s="5" t="inlineStr">
        <is>
          <t>InputLevel</t>
        </is>
      </c>
      <c r="E2845" s="5" t="inlineStr">
        <is>
          <t>Factor</t>
        </is>
      </c>
      <c r="F2845" s="5" t="inlineStr">
        <is>
          <t>CoefficientPercent</t>
        </is>
      </c>
      <c r="G2845" s="5" t="inlineStr">
        <is>
          <t>EffectiveHits</t>
        </is>
      </c>
      <c r="H2845" s="5" t="inlineStr">
        <is>
          <t>ProcProbability</t>
        </is>
      </c>
      <c r="I2845" s="5" t="inlineStr">
        <is>
          <t>MapleHeroMultiplier</t>
        </is>
      </c>
      <c r="J2845" s="5" t="inlineStr">
        <is>
          <t>BaseDamage</t>
        </is>
      </c>
      <c r="K2845" s="5" t="inlineStr">
        <is>
          <t>BaseHitDamage</t>
        </is>
      </c>
      <c r="L2845" s="5" t="inlineStr">
        <is>
          <t>NonCritAvg</t>
        </is>
      </c>
      <c r="M2845" s="5" t="inlineStr">
        <is>
          <t>CritAvg</t>
        </is>
      </c>
      <c r="N2845" s="5" t="inlineStr">
        <is>
          <t>ExpectedDamage(perHit)</t>
        </is>
      </c>
      <c r="O2845" s="5" t="inlineStr">
        <is>
          <t>DPS</t>
        </is>
      </c>
      <c r="P2845" s="5" t="inlineStr">
        <is>
          <t>% of Total</t>
        </is>
      </c>
      <c r="Q2845" s="5" t="inlineStr">
        <is>
          <t>InvCooldown</t>
        </is>
      </c>
      <c r="R2845" s="5" t="inlineStr">
        <is>
          <t>CastsInFight</t>
        </is>
      </c>
      <c r="S2845" s="5" t="inlineStr">
        <is>
          <t>HitRate(perSec)</t>
        </is>
      </c>
      <c r="U2845" t="inlineStr">
        <is>
          <t>helpers</t>
        </is>
      </c>
    </row>
    <row r="2846">
      <c r="A2846">
        <f>Skills!A2</f>
        <v/>
      </c>
      <c r="B2846">
        <f>Skills!B2</f>
        <v/>
      </c>
      <c r="C2846">
        <f>Inputs!$B$3&gt;=100</f>
        <v/>
      </c>
      <c r="D2846" t="inlineStr"/>
      <c r="E2846" t="inlineStr"/>
      <c r="F2846">
        <f>U2848+Skills!O2</f>
        <v/>
      </c>
      <c r="G2846">
        <f>Skills!G2*IF(Skills!H2&gt;0,Skills!I2/Skills!H2,1)</f>
        <v/>
      </c>
      <c r="H2846">
        <f>1-(1-Skills!J2/100)^Skills!K2</f>
        <v/>
      </c>
      <c r="I2846" t="inlineStr">
        <is>
          <t>1</t>
        </is>
      </c>
      <c r="J2846">
        <f>((Inputs!$B$6*(1+Inputs!$B$7/100))+(((Inputs!$B$12*(1+Inputs!$B$13/100))-(Inputs!$B$12*(1+Inputs!$B$13/100)))+0.25*(Inputs!$B$14-Inputs!$B$14))*(1+Inputs!$B$7/100))*(F2846/100)</f>
        <v/>
      </c>
      <c r="K2846">
        <f>J2846*(1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2846)</f>
        <v/>
      </c>
      <c r="L2846">
        <f>K2846*(MIN(Inputs!$B$22+((C2869=TRUE)*(F2869-Calc!F25)),(Inputs!$B$23+((C2874=TRUE)*(F2874-Calc!F30))+(IF(ArtifactsInput!$M$15,CHOOSE(ArtifactsInput!$N$15+1,25,30,35,40,45,50)/100*(Inputs!$B$11-Inputs!$B$11),0))))/100+(Inputs!$B$23+((C2874=TRUE)*(F2874-Calc!F30))+(IF(ArtifactsInput!$M$15,CHOOSE(ArtifactsInput!$N$15+1,25,30,35,40,45,50)/100*(Inputs!$B$11-Inputs!$B$11),0)))/100)/2</f>
        <v/>
      </c>
      <c r="M2846">
        <f>L2846*(1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6">
        <f>L2846*(1-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2846*(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6">
        <f>(1-Summary!$B$11)*T2846+Summary!$B$11*V2846</f>
        <v/>
      </c>
      <c r="P2846">
        <f>IF(B2888=0,0,O2846/B2888)</f>
        <v/>
      </c>
      <c r="Q2846" t="n">
        <v>0</v>
      </c>
      <c r="R2846" t="n">
        <v>0</v>
      </c>
      <c r="S2846">
        <f>IFERROR(O2846/N2846,0)</f>
        <v/>
      </c>
      <c r="T2846">
        <f>IF(C2846,(Skills!G2*N2846*B2882)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2846*(1-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2846*(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2846*(1-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2846*(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6">
        <f>MAX(0,(Inputs!$B$3-100)*3)+Inputs!$B$28+Inputs!$B$29</f>
        <v/>
      </c>
      <c r="V2846">
        <f>IF(C2846,(Skills!G2*N2846*B2882)*IF(Inputs!$B$38="pvp",1,(1+(Inputs!$B$21+Skills!Q2+(IF(ArtifactsInput!$M$33,CHOOSE(ArtifactsInput!$N$33+1,30,36,42,48,54,60),0))+(IF(AND(ArtifactsInput!$M$35,Inputs!$B$4&lt;&gt;"Chapter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7">
      <c r="A2847">
        <f>Skills!A3</f>
        <v/>
      </c>
      <c r="B2847">
        <f>Skills!B3</f>
        <v/>
      </c>
      <c r="C2847">
        <f>Inputs!$B$3&gt;=50</f>
        <v/>
      </c>
      <c r="D2847">
        <f>IF(Skills!C3=1,60+Inputs!$B$25+Inputs!$B$29,IF(Skills!C3=2,90+Inputs!$B$26+Inputs!$B$29,IF(Skills!C3=3,120+Inputs!$B$27+Inputs!$B$29,MAX(0,(Inputs!$B$3-100)*3)+Inputs!$B$28+Inputs!$B$29)))</f>
        <v/>
      </c>
      <c r="E2847">
        <f>INDEX(FactorTable!$B$2:$Y$301, MATCH(ROUND(MIN(300,MAX(1,D2847)),0), FactorTable!$A$2:$A$301,0), Skills!M3+1)</f>
        <v/>
      </c>
      <c r="F2847">
        <f>IF(Skills!N3=TRUE,(Skills!L3/10)*(E2847/1000),Skills!L3/10)+Skills!O3</f>
        <v/>
      </c>
      <c r="G2847">
        <f>Skills!G3*IF(Skills!H3&gt;0,Skills!I3/Skills!H3,1)</f>
        <v/>
      </c>
      <c r="H2847">
        <f>1-(1-Skills!J3/100)^Skills!K3</f>
        <v/>
      </c>
      <c r="I2847" t="inlineStr">
        <is>
          <t>1</t>
        </is>
      </c>
      <c r="J2847">
        <f>((Inputs!$B$6*(1+Inputs!$B$7/100))+(((Inputs!$B$12*(1+Inputs!$B$13/100))-(Inputs!$B$12*(1+Inputs!$B$13/100)))+0.25*(Inputs!$B$14-Inputs!$B$14))*(1+Inputs!$B$7/100))*(F2847/100)</f>
        <v/>
      </c>
      <c r="K2847">
        <f>J2847*(1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2848=TRUE,F2848,0)/100)*(1+(IF(Skills!A3="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2847)</f>
        <v/>
      </c>
      <c r="L2847">
        <f>K2847*(MIN(Inputs!$B$22+((C2869=TRUE)*(F2869-Calc!F25)),(Inputs!$B$23+((C2874=TRUE)*(F2874-Calc!F30))+(IF(ArtifactsInput!$M$15,CHOOSE(ArtifactsInput!$N$15+1,25,30,35,40,45,50)/100*(Inputs!$B$11-Inputs!$B$11),0))))/100+(Inputs!$B$23+((C2874=TRUE)*(F2874-Calc!F30))+(IF(ArtifactsInput!$M$15,CHOOSE(ArtifactsInput!$N$15+1,25,30,35,40,45,50)/100*(Inputs!$B$11-Inputs!$B$11),0)))/100)/2</f>
        <v/>
      </c>
      <c r="M2847">
        <f>L2847*(1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7">
        <f>L2847*(1-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2847*(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7">
        <f>(1-Summary!$B$11)*T2847+Summary!$B$11*V2847</f>
        <v/>
      </c>
      <c r="P2847">
        <f>IF(B2888=0,0,O2847/B2888)</f>
        <v/>
      </c>
      <c r="Q2847">
        <f>IFERROR(1/(IF(Inputs!$B$38="pvp",15,MAX(0.1,Skills!D3-IF(Skills!E3=TRUE,Inputs!$B$32,0)))*(1-IF(AND(ArtifactsInput!$M$27,Inputs!$B$4="Chapter Hunt"),CHOOSE(ArtifactsInput!$N$27+1,20,24,28,32,36,40),0)/100)),0)</f>
        <v/>
      </c>
      <c r="R2847">
        <f>IF(AND(Inputs!$B$38&lt;&gt;"pvp",Inputs!$B$43&gt;0),IF(MAX(0,Inputs!$B$43-B2885)&lt;=0,0,(INT(MAX(0,Inputs!$B$43-B2885)/(IF(Inputs!$B$38="pvp",15,MAX(0.1,Skills!D3-IF(Skills!E3=TRUE,Inputs!$B$32,0)))*(1-IF(AND(ArtifactsInput!$M$27,Inputs!$B$4="Chapter Hunt"),CHOOSE(ArtifactsInput!$N$27+1,20,24,28,32,36,40),0)/100)))+1)),0)</f>
        <v/>
      </c>
      <c r="S2847">
        <f>IFERROR(O2847/N2847,0)</f>
        <v/>
      </c>
      <c r="T2847">
        <f>IF(C2847,(H2847*N2847*IF(AND(Inputs!$B$38&lt;&gt;"pvp",Inputs!$B$43&gt;0),((Skills!G3*((R2847-1)*IF(Skills!H3&gt;0,Skills!I3/Skills!H3,1)+IF(Skills!H3&gt;0,MIN(Skills!I3,MAX(0,MAX(0,Inputs!$B$43-B2885)-((R2847-1)*(IF(Inputs!$B$38="pvp",15,MAX(0.1,Skills!D3-IF(Skills!E3=TRUE,Inputs!$B$32,0)))*(1-IF(AND(ArtifactsInput!$M$27,Inputs!$B$4="Chapter Hunt"),CHOOSE(ArtifactsInput!$N$27+1,20,24,28,32,36,40),0)/100)))))/Skills!H3,1)))/Inputs!$B$43),G2847*Q2847)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2847*(1-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2847*(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2847*(1-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2847*(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7">
        <f>INDEX(FactorTable!$B$2:$Y$301, MATCH(ROUND(MIN(300,MAX(1,U2846)),0), FactorTable!$A$2:$A$301,0), 22)</f>
        <v/>
      </c>
      <c r="V2847">
        <f>IF(C2847,(H2847*N2847*IF(AND(Inputs!$B$38&lt;&gt;"pvp",Inputs!$B$43&gt;0),((Skills!G3*((R2847-1)*IF(Skills!H3&gt;0,Skills!I3/Skills!H3,1)+IF(Skills!H3&gt;0,MIN(Skills!I3,MAX(0,MAX(0,Inputs!$B$43-B2885)-((R2847-1)*(IF(Inputs!$B$38="pvp",15,MAX(0.1,Skills!D3-IF(Skills!E3=TRUE,Inputs!$B$32,0)))*(1-IF(AND(ArtifactsInput!$M$27,Inputs!$B$4="Chapter Hunt"),CHOOSE(ArtifactsInput!$N$27+1,20,24,28,32,36,40),0)/100)))))/Skills!H3,1)))/Inputs!$B$43),G2847*Q2847))*IF(Inputs!$B$38="pvp",1,(1+(Inputs!$B$21+Skills!Q3+(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8">
      <c r="A2848">
        <f>Skills!A4</f>
        <v/>
      </c>
      <c r="B2848">
        <f>Skills!B4</f>
        <v/>
      </c>
      <c r="C2848">
        <f>Inputs!$B$3&gt;=105</f>
        <v/>
      </c>
      <c r="D2848">
        <f>IF(Skills!C4=1,60+Inputs!$B$25+Inputs!$B$29,IF(Skills!C4=2,90+Inputs!$B$26+Inputs!$B$29,IF(Skills!C4=3,120+Inputs!$B$27+Inputs!$B$29,MAX(0,(Inputs!$B$3-100)*3)+Inputs!$B$28+Inputs!$B$29)))</f>
        <v/>
      </c>
      <c r="E2848">
        <f>INDEX(FactorTable!$B$2:$Y$301, MATCH(ROUND(MIN(300,MAX(1,D2848)),0), FactorTable!$A$2:$A$301,0), Skills!M4+1)</f>
        <v/>
      </c>
      <c r="F2848">
        <f>IF(Skills!N4=TRUE,(Skills!L4/10)*(E2848/1000),Skills!L4/10)+Skills!O4</f>
        <v/>
      </c>
      <c r="G2848" t="inlineStr"/>
      <c r="H2848" t="inlineStr"/>
      <c r="I2848" t="inlineStr">
        <is>
          <t>1</t>
        </is>
      </c>
      <c r="J2848" t="inlineStr"/>
      <c r="K2848" t="inlineStr"/>
      <c r="L2848" t="inlineStr"/>
      <c r="M2848" t="inlineStr"/>
      <c r="N2848" t="inlineStr"/>
      <c r="O2848" t="inlineStr"/>
      <c r="P2848" t="inlineStr"/>
      <c r="Q2848" t="inlineStr"/>
      <c r="R2848" t="inlineStr"/>
      <c r="S2848" t="inlineStr"/>
      <c r="T2848" t="inlineStr"/>
      <c r="U2848">
        <f>290*U2847/1000</f>
        <v/>
      </c>
      <c r="V2848" t="inlineStr"/>
    </row>
    <row r="2849">
      <c r="A2849">
        <f>Skills!A5</f>
        <v/>
      </c>
      <c r="B2849">
        <f>Skills!B5</f>
        <v/>
      </c>
      <c r="C2849">
        <f>Inputs!$B$3&gt;=35</f>
        <v/>
      </c>
      <c r="D2849">
        <f>IF(Skills!C5=1,60+Inputs!$B$25+Inputs!$B$29,IF(Skills!C5=2,90+Inputs!$B$26+Inputs!$B$29,IF(Skills!C5=3,120+Inputs!$B$27+Inputs!$B$29,MAX(0,(Inputs!$B$3-100)*3)+Inputs!$B$28+Inputs!$B$29)))</f>
        <v/>
      </c>
      <c r="E2849">
        <f>INDEX(FactorTable!$B$2:$Y$301, MATCH(ROUND(MIN(300,MAX(1,D2849)),0), FactorTable!$A$2:$A$301,0), Skills!M5+1)</f>
        <v/>
      </c>
      <c r="F2849">
        <f>IF(Skills!N5=TRUE,(Skills!L5/10)*(E2849/1000),Skills!L5/10)+Skills!O5</f>
        <v/>
      </c>
      <c r="G2849">
        <f>Skills!G5*IF(Skills!H5&gt;0,Skills!I5/Skills!H5,1)</f>
        <v/>
      </c>
      <c r="H2849">
        <f>1-(1-Skills!J5/100)^Skills!K5</f>
        <v/>
      </c>
      <c r="I2849" t="inlineStr">
        <is>
          <t>1</t>
        </is>
      </c>
      <c r="J2849">
        <f>((Inputs!$B$6*(1+Inputs!$B$7/100))+(((Inputs!$B$12*(1+Inputs!$B$13/100))-(Inputs!$B$12*(1+Inputs!$B$13/100)))+0.25*(Inputs!$B$14-Inputs!$B$14))*(1+Inputs!$B$7/100))*(F2849/100)</f>
        <v/>
      </c>
      <c r="K2849">
        <f>J2849*(1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2855=TRUE,F2855,0)/100)*(1+(IF(Skills!A5="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2849)</f>
        <v/>
      </c>
      <c r="L2849">
        <f>K2849*(MIN(Inputs!$B$22+((C2869=TRUE)*(F2869-Calc!F25)),(Inputs!$B$23+((C2874=TRUE)*(F2874-Calc!F30))+(IF(ArtifactsInput!$M$15,CHOOSE(ArtifactsInput!$N$15+1,25,30,35,40,45,50)/100*(Inputs!$B$11-Inputs!$B$11),0))))/100+(Inputs!$B$23+((C2874=TRUE)*(F2874-Calc!F30))+(IF(ArtifactsInput!$M$15,CHOOSE(ArtifactsInput!$N$15+1,25,30,35,40,45,50)/100*(Inputs!$B$11-Inputs!$B$11),0)))/100)/2</f>
        <v/>
      </c>
      <c r="M2849">
        <f>L2849*(1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9">
        <f>L2849*(1-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2849*(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9">
        <f>(1-Summary!$B$11)*T2849+Summary!$B$11*V2849</f>
        <v/>
      </c>
      <c r="P2849">
        <f>IF(B2888=0,0,O2849/B2888)</f>
        <v/>
      </c>
      <c r="Q2849">
        <f>IFERROR(1/(IF(Inputs!$B$38="pvp",15,MAX(0.1,Skills!D5-IF(Skills!E5=TRUE,Inputs!$B$32,0)))*(1-IF(AND(ArtifactsInput!$M$27,Inputs!$B$4="Chapter Hunt"),CHOOSE(ArtifactsInput!$N$27+1,20,24,28,32,36,40),0)/100)),0)</f>
        <v/>
      </c>
      <c r="R2849">
        <f>IF(AND(Inputs!$B$38&lt;&gt;"pvp",Inputs!$B$43&gt;0),IF(MAX(0,Inputs!$B$43-B2885)&lt;=0,0,(INT(MAX(0,Inputs!$B$43-B2885)/(IF(Inputs!$B$38="pvp",15,MAX(0.1,Skills!D5-IF(Skills!E5=TRUE,Inputs!$B$32,0)))*(1-IF(AND(ArtifactsInput!$M$27,Inputs!$B$4="Chapter Hunt"),CHOOSE(ArtifactsInput!$N$27+1,20,24,28,32,36,40),0)/100)))+1)),0)</f>
        <v/>
      </c>
      <c r="S2849">
        <f>IFERROR(O2849/N2849,0)</f>
        <v/>
      </c>
      <c r="T2849">
        <f>IF(C2849,(H2849*N2849*IF(AND(Inputs!$B$38&lt;&gt;"pvp",Inputs!$B$43&gt;0),((Skills!G5*((R2849-1)*IF(Skills!H5&gt;0,Skills!I5/Skills!H5,1)+IF(Skills!H5&gt;0,MIN(Skills!I5,MAX(0,MAX(0,Inputs!$B$43-B2885)-((R2849-1)*(IF(Inputs!$B$38="pvp",15,MAX(0.1,Skills!D5-IF(Skills!E5=TRUE,Inputs!$B$32,0)))*(1-IF(AND(ArtifactsInput!$M$27,Inputs!$B$4="Chapter Hunt"),CHOOSE(ArtifactsInput!$N$27+1,20,24,28,32,36,40),0)/100)))))/Skills!H5,1)))/Inputs!$B$43),G2849*Q2849)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2849*(1-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2849*(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2849*(1-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2849*(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9">
        <f>IF(C2849,(H2849*N2849*IF(AND(Inputs!$B$38&lt;&gt;"pvp",Inputs!$B$43&gt;0),((Skills!G5*((R2849-1)*IF(Skills!H5&gt;0,Skills!I5/Skills!H5,1)+IF(Skills!H5&gt;0,MIN(Skills!I5,MAX(0,MAX(0,Inputs!$B$43-B2885)-((R2849-1)*(IF(Inputs!$B$38="pvp",15,MAX(0.1,Skills!D5-IF(Skills!E5=TRUE,Inputs!$B$32,0)))*(1-IF(AND(ArtifactsInput!$M$27,Inputs!$B$4="Chapter Hunt"),CHOOSE(ArtifactsInput!$N$27+1,20,24,28,32,36,40),0)/100)))))/Skills!H5,1)))/Inputs!$B$43),G2849*Q2849))*IF(Inputs!$B$38="pvp",1,(1+(Inputs!$B$21+Skills!Q5+(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0">
      <c r="A2850">
        <f>Skills!A6</f>
        <v/>
      </c>
      <c r="B2850">
        <f>Skills!B6</f>
        <v/>
      </c>
      <c r="C2850">
        <f>Inputs!$B$3&gt;=40</f>
        <v/>
      </c>
      <c r="D2850">
        <f>IF(Skills!C6=1,60+Inputs!$B$25+Inputs!$B$29,IF(Skills!C6=2,90+Inputs!$B$26+Inputs!$B$29,IF(Skills!C6=3,120+Inputs!$B$27+Inputs!$B$29,MAX(0,(Inputs!$B$3-100)*3)+Inputs!$B$28+Inputs!$B$29)))</f>
        <v/>
      </c>
      <c r="E2850">
        <f>INDEX(FactorTable!$B$2:$Y$301, MATCH(ROUND(MIN(300,MAX(1,D2850)),0), FactorTable!$A$2:$A$301,0), Skills!M6+1)</f>
        <v/>
      </c>
      <c r="F2850">
        <f>IF(Skills!N6=TRUE,(Skills!L6/10)*(E2850/1000),Skills!L6/10)+Skills!O6</f>
        <v/>
      </c>
      <c r="G2850">
        <f>Skills!G6*IF(Skills!H6&gt;0,Skills!I6/Skills!H6,1)</f>
        <v/>
      </c>
      <c r="H2850">
        <f>1-(1-Skills!J6/100)^Skills!K6</f>
        <v/>
      </c>
      <c r="I2850" t="inlineStr">
        <is>
          <t>1</t>
        </is>
      </c>
      <c r="J2850">
        <f>((Inputs!$B$6*(1+Inputs!$B$7/100))+(((Inputs!$B$12*(1+Inputs!$B$13/100))-(Inputs!$B$12*(1+Inputs!$B$13/100)))+0.25*(Inputs!$B$14-Inputs!$B$14))*(1+Inputs!$B$7/100))*(F2850/100)</f>
        <v/>
      </c>
      <c r="K2850">
        <f>J2850*(1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2851=TRUE,F2851,0)/100)*(1+(IF(Skills!A6="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2850)</f>
        <v/>
      </c>
      <c r="L2850">
        <f>K2850*(MIN(Inputs!$B$22+((C2869=TRUE)*(F2869-Calc!F25)),(Inputs!$B$23+((C2874=TRUE)*(F2874-Calc!F30))+(IF(ArtifactsInput!$M$15,CHOOSE(ArtifactsInput!$N$15+1,25,30,35,40,45,50)/100*(Inputs!$B$11-Inputs!$B$11),0))))/100+(Inputs!$B$23+((C2874=TRUE)*(F2874-Calc!F30))+(IF(ArtifactsInput!$M$15,CHOOSE(ArtifactsInput!$N$15+1,25,30,35,40,45,50)/100*(Inputs!$B$11-Inputs!$B$11),0)))/100)/2</f>
        <v/>
      </c>
      <c r="M2850">
        <f>L2850*(1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0">
        <f>L2850*(1-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2850*(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0">
        <f>(1-Summary!$B$11)*T2850+Summary!$B$11*V2850</f>
        <v/>
      </c>
      <c r="P2850">
        <f>IF(B2888=0,0,O2850/B2888)</f>
        <v/>
      </c>
      <c r="Q2850">
        <f>IFERROR(1/(IF(Inputs!$B$38="pvp",15,MAX(0.1,Skills!D6-IF(Skills!E6=TRUE,Inputs!$B$32,0)))*(1-IF(AND(ArtifactsInput!$M$27,Inputs!$B$4="Chapter Hunt"),CHOOSE(ArtifactsInput!$N$27+1,20,24,28,32,36,40),0)/100)),0)</f>
        <v/>
      </c>
      <c r="R2850">
        <f>IF(AND(Inputs!$B$38&lt;&gt;"pvp",Inputs!$B$43&gt;0),IF(MAX(0,Inputs!$B$43-B2885)&lt;=0,0,(INT(MAX(0,Inputs!$B$43-B2885)/(IF(Inputs!$B$38="pvp",15,MAX(0.1,Skills!D6-IF(Skills!E6=TRUE,Inputs!$B$32,0)))*(1-IF(AND(ArtifactsInput!$M$27,Inputs!$B$4="Chapter Hunt"),CHOOSE(ArtifactsInput!$N$27+1,20,24,28,32,36,40),0)/100)))+1)),0)</f>
        <v/>
      </c>
      <c r="S2850">
        <f>IFERROR(O2850/N2850,0)</f>
        <v/>
      </c>
      <c r="T2850">
        <f>IF(C2850,(H2850*N2850*IF(AND(Inputs!$B$38&lt;&gt;"pvp",Inputs!$B$43&gt;0),((Skills!G6*((R2850-1)*IF(Skills!H6&gt;0,Skills!I6/Skills!H6,1)+IF(Skills!H6&gt;0,MIN(Skills!I6,MAX(0,MAX(0,Inputs!$B$43-B2885)-((R2850-1)*(IF(Inputs!$B$38="pvp",15,MAX(0.1,Skills!D6-IF(Skills!E6=TRUE,Inputs!$B$32,0)))*(1-IF(AND(ArtifactsInput!$M$27,Inputs!$B$4="Chapter Hunt"),CHOOSE(ArtifactsInput!$N$27+1,20,24,28,32,36,40),0)/100)))))/Skills!H6,1)))/Inputs!$B$43),G2850*Q2850)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2850*(1-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2850*(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2850*(1-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2850*(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0">
        <f>IF(C2850,(H2850*N2850*IF(AND(Inputs!$B$38&lt;&gt;"pvp",Inputs!$B$43&gt;0),((Skills!G6*((R2850-1)*IF(Skills!H6&gt;0,Skills!I6/Skills!H6,1)+IF(Skills!H6&gt;0,MIN(Skills!I6,MAX(0,MAX(0,Inputs!$B$43-B2885)-((R2850-1)*(IF(Inputs!$B$38="pvp",15,MAX(0.1,Skills!D6-IF(Skills!E6=TRUE,Inputs!$B$32,0)))*(1-IF(AND(ArtifactsInput!$M$27,Inputs!$B$4="Chapter Hunt"),CHOOSE(ArtifactsInput!$N$27+1,20,24,28,32,36,40),0)/100)))))/Skills!H6,1)))/Inputs!$B$43),G2850*Q2850))*IF(Inputs!$B$38="pvp",1,(1+(Inputs!$B$21+Skills!Q6+(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1">
      <c r="A2851">
        <f>Skills!A7</f>
        <v/>
      </c>
      <c r="B2851">
        <f>Skills!B7</f>
        <v/>
      </c>
      <c r="C2851">
        <f>Inputs!$B$3&gt;=107</f>
        <v/>
      </c>
      <c r="D2851">
        <f>IF(Skills!C7=1,60+Inputs!$B$25+Inputs!$B$29,IF(Skills!C7=2,90+Inputs!$B$26+Inputs!$B$29,IF(Skills!C7=3,120+Inputs!$B$27+Inputs!$B$29,MAX(0,(Inputs!$B$3-100)*3)+Inputs!$B$28+Inputs!$B$29)))</f>
        <v/>
      </c>
      <c r="E2851">
        <f>INDEX(FactorTable!$B$2:$Y$301, MATCH(ROUND(MIN(300,MAX(1,D2851)),0), FactorTable!$A$2:$A$301,0), Skills!M7+1)</f>
        <v/>
      </c>
      <c r="F2851">
        <f>IF(Skills!N7=TRUE,(Skills!L7/10)*(E2851/1000),Skills!L7/10)+Skills!O7</f>
        <v/>
      </c>
      <c r="G2851" t="inlineStr"/>
      <c r="H2851" t="inlineStr"/>
      <c r="I2851" t="inlineStr">
        <is>
          <t>1</t>
        </is>
      </c>
      <c r="J2851" t="inlineStr"/>
      <c r="K2851" t="inlineStr"/>
      <c r="L2851" t="inlineStr"/>
      <c r="M2851" t="inlineStr"/>
      <c r="N2851" t="inlineStr"/>
      <c r="O2851" t="inlineStr"/>
      <c r="P2851" t="inlineStr"/>
      <c r="Q2851" t="inlineStr"/>
      <c r="R2851" t="inlineStr"/>
      <c r="S2851" t="inlineStr"/>
      <c r="T2851" t="inlineStr"/>
      <c r="V2851" t="inlineStr"/>
    </row>
    <row r="2852">
      <c r="A2852">
        <f>Skills!A8</f>
        <v/>
      </c>
      <c r="B2852">
        <f>Skills!B8</f>
        <v/>
      </c>
      <c r="C2852">
        <f>Inputs!$B$3&gt;=69</f>
        <v/>
      </c>
      <c r="D2852">
        <f>IF(Skills!C8=1,60+Inputs!$B$25+Inputs!$B$29,IF(Skills!C8=2,90+Inputs!$B$26+Inputs!$B$29,IF(Skills!C8=3,120+Inputs!$B$27+Inputs!$B$29,MAX(0,(Inputs!$B$3-100)*3)+Inputs!$B$28+Inputs!$B$29)))</f>
        <v/>
      </c>
      <c r="E2852">
        <f>INDEX(FactorTable!$B$2:$Y$301, MATCH(ROUND(MIN(300,MAX(1,D2852)),0), FactorTable!$A$2:$A$301,0), Skills!M8+1)</f>
        <v/>
      </c>
      <c r="F2852">
        <f>IF(Skills!N8=TRUE,(Skills!L8/10)*(E2852/1000),Skills!L8/10)+Skills!O8</f>
        <v/>
      </c>
      <c r="G2852">
        <f>Skills!G8*IF(Skills!H8&gt;0,Skills!I8/Skills!H8,1)</f>
        <v/>
      </c>
      <c r="H2852">
        <f>1-(1-Skills!J8/100)^Skills!K8</f>
        <v/>
      </c>
      <c r="I2852" t="inlineStr">
        <is>
          <t>1</t>
        </is>
      </c>
      <c r="J2852">
        <f>((Inputs!$B$6*(1+Inputs!$B$7/100))+(((Inputs!$B$12*(1+Inputs!$B$13/100))-(Inputs!$B$12*(1+Inputs!$B$13/100)))+0.25*(Inputs!$B$14-Inputs!$B$14))*(1+Inputs!$B$7/100))*(F2852/100)</f>
        <v/>
      </c>
      <c r="K2852">
        <f>J2852*(1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2855=TRUE,F2855,0)/100)*(1+(IF(Skills!A8="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2852)</f>
        <v/>
      </c>
      <c r="L2852">
        <f>K2852*(MIN(Inputs!$B$22+((C2869=TRUE)*(F2869-Calc!F25)),(Inputs!$B$23+((C2874=TRUE)*(F2874-Calc!F30))+(IF(ArtifactsInput!$M$15,CHOOSE(ArtifactsInput!$N$15+1,25,30,35,40,45,50)/100*(Inputs!$B$11-Inputs!$B$11),0))))/100+(Inputs!$B$23+((C2874=TRUE)*(F2874-Calc!F30))+(IF(ArtifactsInput!$M$15,CHOOSE(ArtifactsInput!$N$15+1,25,30,35,40,45,50)/100*(Inputs!$B$11-Inputs!$B$11),0)))/100)/2</f>
        <v/>
      </c>
      <c r="M2852">
        <f>L2852*(1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2">
        <f>L2852*(1-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2852*(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2">
        <f>(1-Summary!$B$11)*T2852+Summary!$B$11*V2852</f>
        <v/>
      </c>
      <c r="P2852">
        <f>IF(B2888=0,0,O2852/B2888)</f>
        <v/>
      </c>
      <c r="Q2852">
        <f>IFERROR(1/(IF(Inputs!$B$38="pvp",15,MAX(0.1,Skills!D8-IF(Skills!E8=TRUE,Inputs!$B$32,0)))*(1-IF(AND(ArtifactsInput!$M$27,Inputs!$B$4="Chapter Hunt"),CHOOSE(ArtifactsInput!$N$27+1,20,24,28,32,36,40),0)/100)),0)</f>
        <v/>
      </c>
      <c r="R2852">
        <f>IF(AND(Inputs!$B$38&lt;&gt;"pvp",Inputs!$B$43&gt;0),IF(MAX(0,Inputs!$B$43-B2885)&lt;=0,0,(INT(MAX(0,Inputs!$B$43-B2885)/(IF(Inputs!$B$38="pvp",15,MAX(0.1,Skills!D8-IF(Skills!E8=TRUE,Inputs!$B$32,0)))*(1-IF(AND(ArtifactsInput!$M$27,Inputs!$B$4="Chapter Hunt"),CHOOSE(ArtifactsInput!$N$27+1,20,24,28,32,36,40),0)/100)))+1)),0)</f>
        <v/>
      </c>
      <c r="S2852">
        <f>IFERROR(O2852/N2852,0)</f>
        <v/>
      </c>
      <c r="T2852">
        <f>IF(C2852,(H2852*N2852*IF(AND(Inputs!$B$38&lt;&gt;"pvp",Inputs!$B$43&gt;0),((Skills!G8*((R2852-1)*IF(Skills!H8&gt;0,Skills!I8/Skills!H8,1)+IF(Skills!H8&gt;0,MIN(Skills!I8,MAX(0,MAX(0,Inputs!$B$43-B2885)-((R2852-1)*(IF(Inputs!$B$38="pvp",15,MAX(0.1,Skills!D8-IF(Skills!E8=TRUE,Inputs!$B$32,0)))*(1-IF(AND(ArtifactsInput!$M$27,Inputs!$B$4="Chapter Hunt"),CHOOSE(ArtifactsInput!$N$27+1,20,24,28,32,36,40),0)/100)))))/Skills!H8,1)))/Inputs!$B$43),G2852*Q2852)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2852*(1-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2852*(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2852*(1-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2852*(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2">
        <f>IF(C2852,(H2852*N2852*IF(AND(Inputs!$B$38&lt;&gt;"pvp",Inputs!$B$43&gt;0),((Skills!G8*((R2852-1)*IF(Skills!H8&gt;0,Skills!I8/Skills!H8,1)+IF(Skills!H8&gt;0,MIN(Skills!I8,MAX(0,MAX(0,Inputs!$B$43-B2885)-((R2852-1)*(IF(Inputs!$B$38="pvp",15,MAX(0.1,Skills!D8-IF(Skills!E8=TRUE,Inputs!$B$32,0)))*(1-IF(AND(ArtifactsInput!$M$27,Inputs!$B$4="Chapter Hunt"),CHOOSE(ArtifactsInput!$N$27+1,20,24,28,32,36,40),0)/100)))))/Skills!H8,1)))/Inputs!$B$43),G2852*Q2852))*IF(Inputs!$B$38="pvp",1,(1+(Inputs!$B$21+Skills!Q8+(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3">
      <c r="A2853">
        <f>Skills!A9</f>
        <v/>
      </c>
      <c r="B2853">
        <f>Skills!B9</f>
        <v/>
      </c>
      <c r="C2853">
        <f>Inputs!$B$3&gt;=63</f>
        <v/>
      </c>
      <c r="D2853">
        <f>IF(Skills!C9=1,60+Inputs!$B$25+Inputs!$B$29,IF(Skills!C9=2,90+Inputs!$B$26+Inputs!$B$29,IF(Skills!C9=3,120+Inputs!$B$27+Inputs!$B$29,MAX(0,(Inputs!$B$3-100)*3)+Inputs!$B$28+Inputs!$B$29)))</f>
        <v/>
      </c>
      <c r="E2853">
        <f>INDEX(FactorTable!$B$2:$Y$301, MATCH(ROUND(MIN(300,MAX(1,D2853)),0), FactorTable!$A$2:$A$301,0), Skills!M9+1)</f>
        <v/>
      </c>
      <c r="F2853">
        <f>IF(Skills!N9=TRUE,(Skills!L9/10)*(E2853/1000),Skills!L9/10)+Skills!O9</f>
        <v/>
      </c>
      <c r="G2853">
        <f>Skills!G9*IF(Skills!H9&gt;0,Skills!I9/Skills!H9,1)</f>
        <v/>
      </c>
      <c r="H2853">
        <f>1-(1-Skills!J9/100)^Skills!K9</f>
        <v/>
      </c>
      <c r="I2853" t="inlineStr">
        <is>
          <t>1</t>
        </is>
      </c>
      <c r="J2853">
        <f>((Inputs!$B$6*(1+Inputs!$B$7/100))+(((Inputs!$B$12*(1+Inputs!$B$13/100))-(Inputs!$B$12*(1+Inputs!$B$13/100)))+0.25*(Inputs!$B$14-Inputs!$B$14))*(1+Inputs!$B$7/100))*(F2853/100)</f>
        <v/>
      </c>
      <c r="K2853">
        <f>J2853*(1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2855=TRUE,F2855,0)/100)*(1+(IF(Skills!A9="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2853)</f>
        <v/>
      </c>
      <c r="L2853">
        <f>K2853*(MIN(Inputs!$B$22+((C2869=TRUE)*(F2869-Calc!F25)),(Inputs!$B$23+((C2874=TRUE)*(F2874-Calc!F30))+(IF(ArtifactsInput!$M$15,CHOOSE(ArtifactsInput!$N$15+1,25,30,35,40,45,50)/100*(Inputs!$B$11-Inputs!$B$11),0))))/100+(Inputs!$B$23+((C2874=TRUE)*(F2874-Calc!F30))+(IF(ArtifactsInput!$M$15,CHOOSE(ArtifactsInput!$N$15+1,25,30,35,40,45,50)/100*(Inputs!$B$11-Inputs!$B$11),0)))/100)/2</f>
        <v/>
      </c>
      <c r="M2853">
        <f>L2853*(1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3">
        <f>L2853*(1-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2853*(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3">
        <f>(1-Summary!$B$11)*T2853+Summary!$B$11*V2853</f>
        <v/>
      </c>
      <c r="P2853">
        <f>IF(B2888=0,0,O2853/B2888)</f>
        <v/>
      </c>
      <c r="Q2853">
        <f>IFERROR(1/(IF(Inputs!$B$38="pvp",15,MAX(0.1,Skills!D9-IF(Skills!E9=TRUE,Inputs!$B$32,0)))*(1-IF(AND(ArtifactsInput!$M$27,Inputs!$B$4="Chapter Hunt"),CHOOSE(ArtifactsInput!$N$27+1,20,24,28,32,36,40),0)/100)),0)</f>
        <v/>
      </c>
      <c r="R2853">
        <f>IF(AND(Inputs!$B$38&lt;&gt;"pvp",Inputs!$B$43&gt;0),IF(MAX(0,Inputs!$B$43-B2885)&lt;=0,0,(INT(MAX(0,Inputs!$B$43-B2885)/(IF(Inputs!$B$38="pvp",15,MAX(0.1,Skills!D9-IF(Skills!E9=TRUE,Inputs!$B$32,0)))*(1-IF(AND(ArtifactsInput!$M$27,Inputs!$B$4="Chapter Hunt"),CHOOSE(ArtifactsInput!$N$27+1,20,24,28,32,36,40),0)/100)))+1)),0)</f>
        <v/>
      </c>
      <c r="S2853">
        <f>IFERROR(O2853/N2853,0)</f>
        <v/>
      </c>
      <c r="T2853">
        <f>IF(C2853,(H2853*N2853*IF(AND(Inputs!$B$38&lt;&gt;"pvp",Inputs!$B$43&gt;0),((Skills!G9*((R2853-1)*IF(Skills!H9&gt;0,Skills!I9/Skills!H9,1)+IF(Skills!H9&gt;0,MIN(Skills!I9,MAX(0,MAX(0,Inputs!$B$43-B2885)-((R2853-1)*(IF(Inputs!$B$38="pvp",15,MAX(0.1,Skills!D9-IF(Skills!E9=TRUE,Inputs!$B$32,0)))*(1-IF(AND(ArtifactsInput!$M$27,Inputs!$B$4="Chapter Hunt"),CHOOSE(ArtifactsInput!$N$27+1,20,24,28,32,36,40),0)/100)))))/Skills!H9,1)))/Inputs!$B$43),G2853*Q2853)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2853*(1-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2853*(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2853*(1-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2853*(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3">
        <f>IF(C2853,(H2853*N2853*IF(AND(Inputs!$B$38&lt;&gt;"pvp",Inputs!$B$43&gt;0),((Skills!G9*((R2853-1)*IF(Skills!H9&gt;0,Skills!I9/Skills!H9,1)+IF(Skills!H9&gt;0,MIN(Skills!I9,MAX(0,MAX(0,Inputs!$B$43-B2885)-((R2853-1)*(IF(Inputs!$B$38="pvp",15,MAX(0.1,Skills!D9-IF(Skills!E9=TRUE,Inputs!$B$32,0)))*(1-IF(AND(ArtifactsInput!$M$27,Inputs!$B$4="Chapter Hunt"),CHOOSE(ArtifactsInput!$N$27+1,20,24,28,32,36,40),0)/100)))))/Skills!H9,1)))/Inputs!$B$43),G2853*Q2853))*IF(Inputs!$B$38="pvp",1,(1+(Inputs!$B$21+Skills!Q9+(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4">
      <c r="A2854">
        <f>Skills!A10</f>
        <v/>
      </c>
      <c r="B2854">
        <f>Skills!B10</f>
        <v/>
      </c>
      <c r="C2854">
        <f>Inputs!$B$3&gt;=103</f>
        <v/>
      </c>
      <c r="D2854">
        <f>IF(Skills!C10=1,60+Inputs!$B$25+Inputs!$B$29,IF(Skills!C10=2,90+Inputs!$B$26+Inputs!$B$29,IF(Skills!C10=3,120+Inputs!$B$27+Inputs!$B$29,MAX(0,(Inputs!$B$3-100)*3)+Inputs!$B$28+Inputs!$B$29)))</f>
        <v/>
      </c>
      <c r="E2854">
        <f>INDEX(FactorTable!$B$2:$Y$301, MATCH(ROUND(MIN(300,MAX(1,D2854)),0), FactorTable!$A$2:$A$301,0), Skills!M10+1)</f>
        <v/>
      </c>
      <c r="F2854">
        <f>IF(Skills!N10=TRUE,(Skills!L10/10)*(E2854/1000),Skills!L10/10)+Skills!O10</f>
        <v/>
      </c>
      <c r="G2854">
        <f>Skills!G10*IF(Skills!H10&gt;0,Skills!I10/Skills!H10,1)</f>
        <v/>
      </c>
      <c r="H2854">
        <f>1-(1-Skills!J10/100)^Skills!K10</f>
        <v/>
      </c>
      <c r="I2854" t="inlineStr">
        <is>
          <t>1</t>
        </is>
      </c>
      <c r="J2854">
        <f>((Inputs!$B$6*(1+Inputs!$B$7/100))+(((Inputs!$B$12*(1+Inputs!$B$13/100))-(Inputs!$B$12*(1+Inputs!$B$13/100)))+0.25*(Inputs!$B$14-Inputs!$B$14))*(1+Inputs!$B$7/100))*(F2854/100)</f>
        <v/>
      </c>
      <c r="K2854">
        <f>J2854*(1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2854)</f>
        <v/>
      </c>
      <c r="L2854">
        <f>K2854*(MIN(Inputs!$B$22+((C2869=TRUE)*(F2869-Calc!F25)),(Inputs!$B$23+((C2874=TRUE)*(F2874-Calc!F30))+(IF(ArtifactsInput!$M$15,CHOOSE(ArtifactsInput!$N$15+1,25,30,35,40,45,50)/100*(Inputs!$B$11-Inputs!$B$11),0))))/100+(Inputs!$B$23+((C2874=TRUE)*(F2874-Calc!F30))+(IF(ArtifactsInput!$M$15,CHOOSE(ArtifactsInput!$N$15+1,25,30,35,40,45,50)/100*(Inputs!$B$11-Inputs!$B$11),0)))/100)/2</f>
        <v/>
      </c>
      <c r="M2854">
        <f>L2854*(1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4">
        <f>L2854*(1-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2854*(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4">
        <f>(1-Summary!$B$11)*T2854+Summary!$B$11*V2854</f>
        <v/>
      </c>
      <c r="P2854">
        <f>IF(B2888=0,0,O2854/B2888)</f>
        <v/>
      </c>
      <c r="Q2854">
        <f>IFERROR(1/(IF(Inputs!$B$38="pvp",15,MAX(0.1,Skills!D10-IF(Skills!E10=TRUE,Inputs!$B$32,0)))*(1-IF(AND(ArtifactsInput!$M$27,Inputs!$B$4="Chapter Hunt"),CHOOSE(ArtifactsInput!$N$27+1,20,24,28,32,36,40),0)/100)),0)</f>
        <v/>
      </c>
      <c r="R2854">
        <f>IF(AND(Inputs!$B$38&lt;&gt;"pvp",Inputs!$B$43&gt;0),IF(MAX(0,Inputs!$B$43-B2885)&lt;=0,0,(INT(MAX(0,Inputs!$B$43-B2885)/(IF(Inputs!$B$38="pvp",15,MAX(0.1,Skills!D10-IF(Skills!E10=TRUE,Inputs!$B$32,0)))*(1-IF(AND(ArtifactsInput!$M$27,Inputs!$B$4="Chapter Hunt"),CHOOSE(ArtifactsInput!$N$27+1,20,24,28,32,36,40),0)/100)))+1)),0)</f>
        <v/>
      </c>
      <c r="S2854">
        <f>IFERROR(O2854/N2854,0)</f>
        <v/>
      </c>
      <c r="T2854">
        <f>IF(C2854,(H2854*N2854*IF(AND(Inputs!$B$38&lt;&gt;"pvp",Inputs!$B$43&gt;0),((Skills!G10*((R2854-1)*IF(Skills!H10&gt;0,Skills!I10/Skills!H10,1)+IF(Skills!H10&gt;0,MIN(Skills!I10,MAX(0,MAX(0,Inputs!$B$43-B2885)-((R2854-1)*(IF(Inputs!$B$38="pvp",15,MAX(0.1,Skills!D10-IF(Skills!E10=TRUE,Inputs!$B$32,0)))*(1-IF(AND(ArtifactsInput!$M$27,Inputs!$B$4="Chapter Hunt"),CHOOSE(ArtifactsInput!$N$27+1,20,24,28,32,36,40),0)/100)))))/Skills!H10,1)))/Inputs!$B$43),G2854*Q2854)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2854*(1-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2854*(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2854*(1-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2854*(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4">
        <f>IF(C2854,(H2854*N2854*IF(AND(Inputs!$B$38&lt;&gt;"pvp",Inputs!$B$43&gt;0),((Skills!G10*((R2854-1)*IF(Skills!H10&gt;0,Skills!I10/Skills!H10,1)+IF(Skills!H10&gt;0,MIN(Skills!I10,MAX(0,MAX(0,Inputs!$B$43-B2885)-((R2854-1)*(IF(Inputs!$B$38="pvp",15,MAX(0.1,Skills!D10-IF(Skills!E10=TRUE,Inputs!$B$32,0)))*(1-IF(AND(ArtifactsInput!$M$27,Inputs!$B$4="Chapter Hunt"),CHOOSE(ArtifactsInput!$N$27+1,20,24,28,32,36,40),0)/100)))))/Skills!H10,1)))/Inputs!$B$43),G2854*Q2854))*IF(Inputs!$B$38="pvp",1,(1+(Inputs!$B$21+Skills!Q10+(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5">
      <c r="A2855">
        <f>Skills!A11</f>
        <v/>
      </c>
      <c r="B2855">
        <f>Skills!B11</f>
        <v/>
      </c>
      <c r="C2855">
        <f>Inputs!$B$3&gt;=100</f>
        <v/>
      </c>
      <c r="D2855">
        <f>IF(Skills!C11=1,60+Inputs!$B$25+Inputs!$B$29,IF(Skills!C11=2,90+Inputs!$B$26+Inputs!$B$29,IF(Skills!C11=3,120+Inputs!$B$27+Inputs!$B$29,MAX(0,(Inputs!$B$3-100)*3)+Inputs!$B$28+Inputs!$B$29)))</f>
        <v/>
      </c>
      <c r="E2855">
        <f>INDEX(FactorTable!$B$2:$Y$301, MATCH(ROUND(MIN(300,MAX(1,D2855)),0), FactorTable!$A$2:$A$301,0), Skills!M11+1)</f>
        <v/>
      </c>
      <c r="F2855">
        <f>IF(Skills!N11=TRUE,(Skills!L11/10)*(E2855/1000),Skills!L11/10)+Skills!O11</f>
        <v/>
      </c>
      <c r="G2855" t="inlineStr"/>
      <c r="H2855" t="inlineStr"/>
      <c r="I2855" t="inlineStr">
        <is>
          <t>1</t>
        </is>
      </c>
      <c r="J2855" t="inlineStr"/>
      <c r="K2855" t="inlineStr"/>
      <c r="L2855" t="inlineStr"/>
      <c r="M2855" t="inlineStr"/>
      <c r="N2855" t="inlineStr"/>
      <c r="O2855" t="inlineStr"/>
      <c r="P2855" t="inlineStr"/>
      <c r="Q2855" t="inlineStr"/>
      <c r="R2855" t="inlineStr"/>
      <c r="S2855" t="inlineStr"/>
      <c r="T2855" t="inlineStr"/>
      <c r="V2855" t="inlineStr"/>
    </row>
    <row r="2856">
      <c r="A2856">
        <f>Skills!A12</f>
        <v/>
      </c>
      <c r="B2856">
        <f>Skills!B12</f>
        <v/>
      </c>
      <c r="C2856">
        <f>Inputs!$B$3&gt;=60</f>
        <v/>
      </c>
      <c r="D2856">
        <f>IF(Skills!C12=1,60+Inputs!$B$25+Inputs!$B$29,IF(Skills!C12=2,90+Inputs!$B$26+Inputs!$B$29,IF(Skills!C12=3,120+Inputs!$B$27+Inputs!$B$29,MAX(0,(Inputs!$B$3-100)*3)+Inputs!$B$28+Inputs!$B$29)))</f>
        <v/>
      </c>
      <c r="E2856">
        <f>INDEX(FactorTable!$B$2:$Y$301, MATCH(ROUND(MIN(300,MAX(1,D2856)),0), FactorTable!$A$2:$A$301,0), Skills!M12+1)</f>
        <v/>
      </c>
      <c r="F2856">
        <f>IF(Skills!N12=TRUE,(Skills!L12/10)*(E2856/1000),Skills!L12/10)+Skills!O12</f>
        <v/>
      </c>
      <c r="G2856">
        <f>Skills!G12*IF(Skills!H12&gt;0,Skills!I12/Skills!H12,1)</f>
        <v/>
      </c>
      <c r="H2856">
        <f>1-(1-Skills!J12/100)^Skills!K12</f>
        <v/>
      </c>
      <c r="I2856" t="inlineStr">
        <is>
          <t>1</t>
        </is>
      </c>
      <c r="J2856">
        <f>((Inputs!$B$6*(1+Inputs!$B$7/100))+(((Inputs!$B$12*(1+Inputs!$B$13/100))-(Inputs!$B$12*(1+Inputs!$B$13/100)))+0.25*(Inputs!$B$14-Inputs!$B$14))*(1+Inputs!$B$7/100))*(F2856/100)</f>
        <v/>
      </c>
      <c r="K2856">
        <f>J2856*(1+((Inputs!$B$12*(1+Inputs!$B$13/100))*0.01+Inputs!$B$14*0.0025)/100)*(1+Inputs!$B$15/100)*(1+Inputs!$B$16/100)*(5000/(6000+Inputs!$B$42*(1-(100*(1-(1-(Inputs!$B$19+((C2872=TRUE)*(F2872-Calc!F28)))/100)*(1-CHOOSE(ArtifactsInput!$N$40+1,5,6,7,8,9,10)/100)^(IF(ArtifactsInput!$M$40,FALSE,TRUE)-ArtifactsInput!$M$40)))/100)))*(1+(Inputs!$B$24+((C2870=TRUE)*(F2870-Calc!F26))+((C2871=TRUE)*(F2871-Calc!F27))+B2884)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2857=TRUE,F2857,0)/100)*(1+(IF(Skills!A12="ARROW_STREAM",Inputs!$B$17+((C2868=TRUE)*(F2868-Calc!F24))+(((IF(AND(ArtifactsInput!$M$42,((Inputs!$B$9+((C2865=TRUE)*(F2865-Calc!F21))+B2878+(ArtifactsInput!$M$24-ArtifactsInput!$M$24)*CHOOSE(ArtifactsInput!$N$24+1,10,12,14,16,18,20)+IF(ArtifactsInput!$M$10,CHOOSE(ArtifactsInput!$N$10+1,15,18,21,24,27,30)*(IF(Inputs!$B$38="pvp",MIN(15,15)/15,IF(AND(Inputs!$B$38&lt;&gt;"pvp",Inputs!$B$43&gt;0),MIN(15,Inputs!$B$43)/(Inputs!$B$43),0))),0)))&gt;=100),MIN(100,((Inputs!$B$9+((C2865=TRUE)*(F2865-Calc!F21))+B2878+(ArtifactsInput!$M$24-ArtifactsInput!$M$24)*CHOOSE(ArtifactsInput!$N$24+1,10,12,14,16,18,20)+IF(ArtifactsInput!$M$10,CHOOSE(ArtifactsInput!$N$10+1,15,18,21,24,27,30)*(IF(Inputs!$B$38="pvp",MIN(15,15)/15,IF(AND(Inputs!$B$38&lt;&gt;"pvp",Inputs!$B$43&gt;0),MIN(15,Inputs!$B$43)/(Inputs!$B$43),0))),0)))-100),0))*CHOOSE(ArtifactsInput!$N$42+1,0.6,0.72,0.84,0.96,1.08,1.2))),Inputs!$B$18+((C2873=TRUE)*(F2873-Calc!F29))+(IF(AND(ArtifactsInput!$M$42,((Inputs!$B$9+((C2865=TRUE)*(F2865-Calc!F21))+B2878+(ArtifactsInput!$M$24-ArtifactsInput!$M$24)*CHOOSE(ArtifactsInput!$N$24+1,10,12,14,16,18,20)+IF(ArtifactsInput!$M$10,CHOOSE(ArtifactsInput!$N$10+1,15,18,21,24,27,30)*(IF(Inputs!$B$38="pvp",MIN(15,15)/15,IF(AND(Inputs!$B$38&lt;&gt;"pvp",Inputs!$B$43&gt;0),MIN(15,Inputs!$B$43)/(Inputs!$B$43),0))),0)))&gt;=100),CHOOSE(ArtifactsInput!$N$42+1,40,48,56,64,72,80),0))))/100)*((1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2856)</f>
        <v/>
      </c>
      <c r="L2856">
        <f>K2856*(MIN(Inputs!$B$22+((C2869=TRUE)*(F2869-Calc!F25)),(Inputs!$B$23+((C2874=TRUE)*(F2874-Calc!F30))+(IF(ArtifactsInput!$M$15,CHOOSE(ArtifactsInput!$N$15+1,25,30,35,40,45,50)/100*(Inputs!$B$11-Inputs!$B$11),0))))/100+(Inputs!$B$23+((C2874=TRUE)*(F2874-Calc!F30))+(IF(ArtifactsInput!$M$15,CHOOSE(ArtifactsInput!$N$15+1,25,30,35,40,45,50)/100*(Inputs!$B$11-Inputs!$B$11),0)))/100)/2</f>
        <v/>
      </c>
      <c r="M2856">
        <f>L2856*(1+(Inputs!$B$10+0+B2883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6">
        <f>L2856*(1-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2856*(MIN((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6">
        <f>(1-Summary!$B$11)*T2856+Summary!$B$11*V2856</f>
        <v/>
      </c>
      <c r="P2856">
        <f>IF(B2888=0,0,O2856/B2888)</f>
        <v/>
      </c>
      <c r="Q2856">
        <f>IFERROR(1/(IF(Inputs!$B$38="pvp",15,MAX(0.1,Skills!D12-IF(Skills!E12=TRUE,Inputs!$B$32,0)))*(1-IF(AND(ArtifactsInput!$M$27,Inputs!$B$4="Chapter Hunt"),CHOOSE(ArtifactsInput!$N$27+1,20,24,28,32,36,40),0)/100)),0)</f>
        <v/>
      </c>
      <c r="R2856">
        <f>IF(AND(Inputs!$B$38&lt;&gt;"pvp",Inputs!$B$43&gt;0),IF(MAX(0,Inputs!$B$43-B2885)&lt;=0,0,(INT(MAX(0,Inputs!$B$43-B2885)/(IF(Inputs!$B$38="pvp",15,MAX(0.1,Skills!D12-IF(Skills!E12=TRUE,Inputs!$B$32,0)))*(1-IF(AND(ArtifactsInput!$M$27,Inputs!$B$4="Chapter Hunt"),CHOOSE(ArtifactsInput!$N$27+1,20,24,28,32,36,40),0)/100)))+1)),0)</f>
        <v/>
      </c>
      <c r="S2856">
        <f>IFERROR(O2856/N2856,0)</f>
        <v/>
      </c>
      <c r="T2856">
        <f>IF(C2856,(H2856*N2856*IF(AND(Inputs!$B$38&lt;&gt;"pvp",Inputs!$B$43&gt;0),((Skills!G12*((R2856-1)*IF(Skills!H12&gt;0,Skills!I12/Skills!H12,1)+IF(Skills!H12&gt;0,MIN(Skills!I12,MAX(0,MAX(0,Inputs!$B$43-B2885)-((R2856-1)*(IF(Inputs!$B$38="pvp",15,MAX(0.1,Skills!D12-IF(Skills!E12=TRUE,Inputs!$B$32,0)))*(1-IF(AND(ArtifactsInput!$M$27,Inputs!$B$4="Chapter Hunt"),CHOOSE(ArtifactsInput!$N$27+1,20,24,28,32,36,40),0)/100)))))/Skills!H12,1)))/Inputs!$B$43),G2856*Q2856)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(5000/(6000+Inputs!$B$42*(1-(100*(1-(1-(100*(1-(1-(Inputs!$B$19+((C2872=TRUE)*(F2872-Calc!F28)))/100)*(1-CHOOSE(ArtifactsInput!$N$40+1,5,6,7,8,9,10)/100)^(IF(ArtifactsInput!$M$40,FALSE,TRUE)-ArtifactsInput!$M$40)))/100)*(1-IF(IF(ArtifactsInput!$M$40,FALSE,TRUE),CHOOSE(ArtifactsInput!$N$40+1,5,6,7,8,9,10),0)/100)^IF(Inputs!$B$38="pvp",1,2)))/100)))/(5000/(6000+Inputs!$B$42*(1-(100*(1-(1-(Inputs!$B$19+((C2872=TRUE)*(F2872-Calc!F28)))/100)*(1-CHOOSE(ArtifactsInput!$N$40+1,5,6,7,8,9,10)/100)^(IF(ArtifactsInput!$M$40,FALSE,TRUE)-ArtifactsInput!$M$40)))/100))))*((L2856*(1-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2856*(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2856*(1-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2856*(MIN(100,(Inputs!$B$9+((C2865=TRUE)*(F2865-Calc!F21))+B2878+(ArtifactsInput!$M$24-ArtifactsInput!$M$24)*CHOOSE(ArtifactsInput!$N$24+1,10,12,14,16,18,20)+(IF(AND(ArtifactsInput!$M$42,((Inputs!$B$9+((C2865=TRUE)*(F2865-Calc!F21))+B2878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6">
        <f>IF(C2856,(H2856*N2856*IF(AND(Inputs!$B$38&lt;&gt;"pvp",Inputs!$B$43&gt;0),((Skills!G12*((R2856-1)*IF(Skills!H12&gt;0,Skills!I12/Skills!H12,1)+IF(Skills!H12&gt;0,MIN(Skills!I12,MAX(0,MAX(0,Inputs!$B$43-B2885)-((R2856-1)*(IF(Inputs!$B$38="pvp",15,MAX(0.1,Skills!D12-IF(Skills!E12=TRUE,Inputs!$B$32,0)))*(1-IF(AND(ArtifactsInput!$M$27,Inputs!$B$4="Chapter Hunt"),CHOOSE(ArtifactsInput!$N$27+1,20,24,28,32,36,40),0)/100)))))/Skills!H12,1)))/Inputs!$B$43),G2856*Q2856))*IF(Inputs!$B$38="pvp",1,(1+(Inputs!$B$21+Skills!Q12+(IF(ArtifactsInput!$M$33,CHOOSE(ArtifactsInput!$N$33+1,30,36,42,48,54,60),0))+(IF(AND(ArtifactsInput!$M$35,Inputs!$B$4&lt;&gt;"Chapter Hunt"),CHOOSE(ArtifactsInput!$N$35+1,15,18,21,24,27,30)*(1-EXP(-(0.2*B2880)*5)),0)+IF(AND(ArtifactsInput!$M$22,Inputs!$B$4&lt;&gt;"Chapter Hunt"),CHOOSE(ArtifactsInput!$N$22+1,10,12,14,16,18,20)*((0*(((0.15*B2880*5))^0/1)+1*(((0.15*B2880*5))^1/1)+2*(((0.15*B2880*5))^2/2)+3*(((0.15*B2880*5))^3/6)+4*(((0.15*B2880*5))^4/24)+5*(((0.15*B2880*5))^5/120))/((((0.15*B2880*5))^0/1)+(((0.15*B2880*5))^1/1)+(((0.15*B2880*5))^2/2)+(((0.15*B2880*5))^3/6)+(((0.15*B2880*5))^4/24)+(((0.15*B2880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7">
      <c r="A2857">
        <f>Skills!A13</f>
        <v/>
      </c>
      <c r="B2857">
        <f>Skills!B13</f>
        <v/>
      </c>
      <c r="C2857">
        <f>Inputs!$B$3&gt;=110</f>
        <v/>
      </c>
      <c r="D2857">
        <f>IF(Skills!C13=1,60+Inputs!$B$25+Inputs!$B$29,IF(Skills!C13=2,90+Inputs!$B$26+Inputs!$B$29,IF(Skills!C13=3,120+Inputs!$B$27+Inputs!$B$29,MAX(0,(Inputs!$B$3-100)*3)+Inputs!$B$28+Inputs!$B$29)))</f>
        <v/>
      </c>
      <c r="E2857">
        <f>INDEX(FactorTable!$B$2:$Y$301, MATCH(ROUND(MIN(300,MAX(1,D2857)),0), FactorTable!$A$2:$A$301,0), Skills!M13+1)</f>
        <v/>
      </c>
      <c r="F2857">
        <f>IF(Skills!N13=TRUE,(Skills!L13/10)*(E2857/1000),Skills!L13/10)+Skills!O13</f>
        <v/>
      </c>
      <c r="G2857" t="inlineStr"/>
      <c r="H2857" t="inlineStr"/>
      <c r="I2857" t="inlineStr">
        <is>
          <t>1</t>
        </is>
      </c>
      <c r="J2857" t="inlineStr"/>
      <c r="K2857" t="inlineStr"/>
      <c r="L2857" t="inlineStr"/>
      <c r="M2857" t="inlineStr"/>
      <c r="N2857" t="inlineStr"/>
      <c r="O2857" t="inlineStr"/>
      <c r="P2857" t="inlineStr"/>
      <c r="Q2857" t="inlineStr"/>
      <c r="R2857" t="inlineStr"/>
      <c r="S2857" t="inlineStr"/>
      <c r="T2857" t="inlineStr"/>
      <c r="V2857" t="inlineStr"/>
    </row>
    <row r="2858">
      <c r="A2858">
        <f>Skills!A14</f>
        <v/>
      </c>
      <c r="B2858">
        <f>Skills!B14</f>
        <v/>
      </c>
      <c r="C2858">
        <f>Inputs!$B$3&gt;=74</f>
        <v/>
      </c>
      <c r="D2858">
        <f>IF(Skills!C14=1,60+Inputs!$B$25+Inputs!$B$29,IF(Skills!C14=2,90+Inputs!$B$26+Inputs!$B$29,IF(Skills!C14=3,120+Inputs!$B$27+Inputs!$B$29,MAX(0,(Inputs!$B$3-100)*3)+Inputs!$B$28+Inputs!$B$29)))</f>
        <v/>
      </c>
      <c r="E2858">
        <f>INDEX(FactorTable!$B$2:$Y$301, MATCH(ROUND(MIN(300,MAX(1,D2858)),0), FactorTable!$A$2:$A$301,0), Skills!M14+1)</f>
        <v/>
      </c>
      <c r="F2858">
        <f>IF(Skills!N14=TRUE,(Skills!L14/10)*(E2858/1000),Skills!L14/10)+Skills!O14</f>
        <v/>
      </c>
      <c r="G2858">
        <f>Skills!G14*IF(Skills!H14&gt;0,Skills!I14/Skills!H14,1)</f>
        <v/>
      </c>
      <c r="H2858">
        <f>1-(1-Skills!J14/100)^Skills!K14</f>
        <v/>
      </c>
      <c r="I2858" t="inlineStr">
        <is>
          <t>1</t>
        </is>
      </c>
      <c r="J2858" t="inlineStr"/>
      <c r="K2858" t="inlineStr"/>
      <c r="L2858" t="inlineStr"/>
      <c r="M2858" t="inlineStr"/>
      <c r="N2858" t="inlineStr"/>
      <c r="O2858">
        <f>(1-Summary!$B$11)*T2858+Summary!$B$11*V2858</f>
        <v/>
      </c>
      <c r="P2858">
        <f>IF(B2888=0,0,O2858/B2888)</f>
        <v/>
      </c>
      <c r="Q2858" t="n">
        <v>0</v>
      </c>
      <c r="R2858" t="n">
        <v>0</v>
      </c>
      <c r="S2858">
        <f>IFERROR(O2858/N2858,0)</f>
        <v/>
      </c>
      <c r="T2858" t="n">
        <v>0</v>
      </c>
      <c r="V2858" t="n">
        <v>0</v>
      </c>
    </row>
    <row r="2859">
      <c r="A2859">
        <f>Skills!A15</f>
        <v/>
      </c>
      <c r="B2859">
        <f>Skills!B15</f>
        <v/>
      </c>
      <c r="C2859">
        <f>Inputs!$B$3&gt;=74</f>
        <v/>
      </c>
      <c r="D2859">
        <f>IF(Skills!C15=1,60+Inputs!$B$25+Inputs!$B$29,IF(Skills!C15=2,90+Inputs!$B$26+Inputs!$B$29,IF(Skills!C15=3,120+Inputs!$B$27+Inputs!$B$29,MAX(0,(Inputs!$B$3-100)*3)+Inputs!$B$28+Inputs!$B$29)))</f>
        <v/>
      </c>
      <c r="E2859">
        <f>INDEX(FactorTable!$B$2:$Y$301, MATCH(ROUND(MIN(300,MAX(1,D2859)),0), FactorTable!$A$2:$A$301,0), Skills!M15+1)</f>
        <v/>
      </c>
      <c r="F2859">
        <f>IF(Skills!N15=TRUE,(Skills!L15/10)*(E2859/1000),Skills!L15/10)+Skills!O15</f>
        <v/>
      </c>
      <c r="G2859">
        <f>Skills!G15*IF(Skills!H15&gt;0,Skills!I15/Skills!H15,1)</f>
        <v/>
      </c>
      <c r="H2859">
        <f>1-(1-Skills!J15/100)^Skills!K15</f>
        <v/>
      </c>
      <c r="I2859" t="inlineStr">
        <is>
          <t>1</t>
        </is>
      </c>
      <c r="J2859" t="inlineStr"/>
      <c r="K2859" t="inlineStr"/>
      <c r="L2859" t="inlineStr"/>
      <c r="M2859" t="inlineStr"/>
      <c r="N2859" t="inlineStr"/>
      <c r="O2859">
        <f>(1-Summary!$B$11)*T2859+Summary!$B$11*V2859</f>
        <v/>
      </c>
      <c r="P2859">
        <f>IF(B2888=0,0,O2859/B2888)</f>
        <v/>
      </c>
      <c r="Q2859" t="n">
        <v>0</v>
      </c>
      <c r="R2859" t="n">
        <v>0</v>
      </c>
      <c r="S2859">
        <f>IFERROR(O2859/N2859,0)</f>
        <v/>
      </c>
      <c r="T2859" t="n">
        <v>0</v>
      </c>
      <c r="V2859" t="n">
        <v>0</v>
      </c>
    </row>
    <row r="2860">
      <c r="A2860">
        <f>Skills!A16</f>
        <v/>
      </c>
      <c r="B2860">
        <f>Skills!B16</f>
        <v/>
      </c>
      <c r="C2860">
        <f>Inputs!$B$3&gt;=117</f>
        <v/>
      </c>
      <c r="D2860">
        <f>IF(Skills!C16=1,60+Inputs!$B$25+Inputs!$B$29,IF(Skills!C16=2,90+Inputs!$B$26+Inputs!$B$29,IF(Skills!C16=3,120+Inputs!$B$27+Inputs!$B$29,MAX(0,(Inputs!$B$3-100)*3)+Inputs!$B$28+Inputs!$B$29)))</f>
        <v/>
      </c>
      <c r="E2860">
        <f>INDEX(FactorTable!$B$2:$Y$301, MATCH(ROUND(MIN(300,MAX(1,D2860)),0), FactorTable!$A$2:$A$301,0), Skills!M16+1)</f>
        <v/>
      </c>
      <c r="F2860">
        <f>IF(Skills!N16=TRUE,(Skills!L16/10)*(E2860/1000),Skills!L16/10)+Skills!O16</f>
        <v/>
      </c>
      <c r="G2860">
        <f>Skills!G16*IF(Skills!H16&gt;0,Skills!I16/Skills!H16,1)</f>
        <v/>
      </c>
      <c r="H2860">
        <f>1-(1-Skills!J16/100)^Skills!K16</f>
        <v/>
      </c>
      <c r="I2860" t="inlineStr">
        <is>
          <t>1</t>
        </is>
      </c>
      <c r="J2860" t="inlineStr"/>
      <c r="K2860" t="inlineStr"/>
      <c r="L2860" t="inlineStr"/>
      <c r="M2860" t="inlineStr"/>
      <c r="N2860" t="inlineStr"/>
      <c r="O2860">
        <f>(1-Summary!$B$11)*T2860+Summary!$B$11*V2860</f>
        <v/>
      </c>
      <c r="P2860">
        <f>IF(B2888=0,0,O2860/B2888)</f>
        <v/>
      </c>
      <c r="Q2860">
        <f>IFERROR(1/(IF(Inputs!$B$38="pvp",15,MAX(0.1,Skills!D16-IF(Skills!E16=TRUE,Inputs!$B$32,0)))*(1-IF(AND(ArtifactsInput!$M$27,Inputs!$B$4="Chapter Hunt"),CHOOSE(ArtifactsInput!$N$27+1,20,24,28,32,36,40),0)/100)),0)</f>
        <v/>
      </c>
      <c r="R2860">
        <f>IF(AND(Inputs!$B$38&lt;&gt;"pvp",Inputs!$B$43&gt;0),IF(Inputs!$B$43&lt;=0,0,(INT(Inputs!$B$43/(IF(Inputs!$B$38="pvp",15,MAX(0.1,Skills!D16-IF(Skills!E16=TRUE,Inputs!$B$32,0)))*(1-IF(AND(ArtifactsInput!$M$27,Inputs!$B$4="Chapter Hunt"),CHOOSE(ArtifactsInput!$N$27+1,20,24,28,32,36,40),0)/100)))+1)),0)</f>
        <v/>
      </c>
      <c r="S2860">
        <f>IFERROR(O2860/N2860,0)</f>
        <v/>
      </c>
      <c r="T2860" t="n">
        <v>0</v>
      </c>
      <c r="V2860" t="n">
        <v>0</v>
      </c>
    </row>
    <row r="2861">
      <c r="A2861">
        <f>Skills!A17</f>
        <v/>
      </c>
      <c r="B2861">
        <f>Skills!B17</f>
        <v/>
      </c>
      <c r="C2861">
        <f>Inputs!$B$3&gt;=115</f>
        <v/>
      </c>
      <c r="D2861">
        <f>IF(Skills!C17=1,60+Inputs!$B$25+Inputs!$B$29,IF(Skills!C17=2,90+Inputs!$B$26+Inputs!$B$29,IF(Skills!C17=3,120+Inputs!$B$27+Inputs!$B$29,MAX(0,(Inputs!$B$3-100)*3)+Inputs!$B$28+Inputs!$B$29)))</f>
        <v/>
      </c>
      <c r="E2861">
        <f>INDEX(FactorTable!$B$2:$Y$301, MATCH(ROUND(MIN(300,MAX(1,D2861)),0), FactorTable!$A$2:$A$301,0), Skills!M17+1)</f>
        <v/>
      </c>
      <c r="F2861">
        <f>IF(Skills!N17=TRUE,(Skills!L17/10)*(E2861/1000),Skills!L17/10)+Skills!O17</f>
        <v/>
      </c>
      <c r="G2861">
        <f>Skills!G17*IF(Skills!H17&gt;0,Skills!I17/Skills!H17,1)</f>
        <v/>
      </c>
      <c r="H2861">
        <f>1-(1-Skills!J17/100)^Skills!K17</f>
        <v/>
      </c>
      <c r="I2861" t="inlineStr">
        <is>
          <t>1</t>
        </is>
      </c>
      <c r="J2861" t="inlineStr"/>
      <c r="K2861" t="inlineStr"/>
      <c r="L2861" t="inlineStr"/>
      <c r="M2861" t="inlineStr"/>
      <c r="N2861" t="inlineStr"/>
      <c r="O2861">
        <f>(1-Summary!$B$11)*T2861+Summary!$B$11*V2861</f>
        <v/>
      </c>
      <c r="P2861">
        <f>IF(B2888=0,0,O2861/B2888)</f>
        <v/>
      </c>
      <c r="Q2861">
        <f>IFERROR(1/(IF(Inputs!$B$38="pvp",15,MAX(0.1,Skills!D17-IF(Skills!E17=TRUE,Inputs!$B$32,0)))*(1-IF(AND(ArtifactsInput!$M$27,Inputs!$B$4="Chapter Hunt"),CHOOSE(ArtifactsInput!$N$27+1,20,24,28,32,36,40),0)/100)),0)</f>
        <v/>
      </c>
      <c r="R2861">
        <f>IF(AND(Inputs!$B$38&lt;&gt;"pvp",Inputs!$B$43&gt;0),IF(Inputs!$B$43&lt;=0,0,(INT(Inputs!$B$43/(IF(Inputs!$B$38="pvp",15,MAX(0.1,Skills!D17-IF(Skills!E17=TRUE,Inputs!$B$32,0)))*(1-IF(AND(ArtifactsInput!$M$27,Inputs!$B$4="Chapter Hunt"),CHOOSE(ArtifactsInput!$N$27+1,20,24,28,32,36,40),0)/100)))+1)),0)</f>
        <v/>
      </c>
      <c r="S2861">
        <f>IFERROR(O2861/N2861,0)</f>
        <v/>
      </c>
      <c r="T2861" t="n">
        <v>0</v>
      </c>
      <c r="V2861" t="n">
        <v>0</v>
      </c>
    </row>
    <row r="2862">
      <c r="A2862">
        <f>Skills!A18</f>
        <v/>
      </c>
      <c r="B2862">
        <f>Skills!B18</f>
        <v/>
      </c>
      <c r="C2862">
        <f>Inputs!$B$3&gt;=66</f>
        <v/>
      </c>
      <c r="D2862">
        <f>IF(Skills!C18=1,60+Inputs!$B$25+Inputs!$B$29,IF(Skills!C18=2,90+Inputs!$B$26+Inputs!$B$29,IF(Skills!C18=3,120+Inputs!$B$27+Inputs!$B$29,MAX(0,(Inputs!$B$3-100)*3)+Inputs!$B$28+Inputs!$B$29)))</f>
        <v/>
      </c>
      <c r="E2862">
        <f>INDEX(FactorTable!$B$2:$Y$301, MATCH(ROUND(MIN(300,MAX(1,D2862)),0), FactorTable!$A$2:$A$301,0), Skills!M18+1)</f>
        <v/>
      </c>
      <c r="F2862">
        <f>IF(Skills!N18=TRUE,(Skills!L18/10)*(E2862/1000),Skills!L18/10)+Skills!O18</f>
        <v/>
      </c>
      <c r="G2862">
        <f>Skills!G18*IF(Skills!H18&gt;0,Skills!I18/Skills!H18,1)</f>
        <v/>
      </c>
      <c r="H2862">
        <f>1-(1-Skills!J18/100)^Skills!K18</f>
        <v/>
      </c>
      <c r="I2862" t="inlineStr">
        <is>
          <t>1</t>
        </is>
      </c>
      <c r="J2862" t="inlineStr"/>
      <c r="K2862" t="inlineStr"/>
      <c r="L2862" t="inlineStr"/>
      <c r="M2862" t="inlineStr"/>
      <c r="N2862" t="inlineStr"/>
      <c r="O2862">
        <f>(1-Summary!$B$11)*T2862+Summary!$B$11*V2862</f>
        <v/>
      </c>
      <c r="P2862">
        <f>IF(B2888=0,0,O2862/B2888)</f>
        <v/>
      </c>
      <c r="Q2862" t="n">
        <v>0</v>
      </c>
      <c r="R2862" t="n">
        <v>0</v>
      </c>
      <c r="S2862">
        <f>IFERROR(O2862/N2862,0)</f>
        <v/>
      </c>
      <c r="T2862" t="n">
        <v>0</v>
      </c>
      <c r="V2862" t="n">
        <v>0</v>
      </c>
    </row>
    <row r="2863">
      <c r="A2863">
        <f>Skills!A19</f>
        <v/>
      </c>
      <c r="B2863">
        <f>Skills!B19</f>
        <v/>
      </c>
      <c r="C2863">
        <f>Inputs!$B$3&gt;=72</f>
        <v/>
      </c>
      <c r="D2863">
        <f>IF(Skills!C19=1,60+Inputs!$B$25+Inputs!$B$29,IF(Skills!C19=2,90+Inputs!$B$26+Inputs!$B$29,IF(Skills!C19=3,120+Inputs!$B$27+Inputs!$B$29,MAX(0,(Inputs!$B$3-100)*3)+Inputs!$B$28+Inputs!$B$29)))</f>
        <v/>
      </c>
      <c r="E2863">
        <f>INDEX(FactorTable!$B$2:$Y$301, MATCH(ROUND(MIN(300,MAX(1,D2863)),0), FactorTable!$A$2:$A$301,0), Skills!M19+1)</f>
        <v/>
      </c>
      <c r="F2863">
        <f>IF(Skills!N19=TRUE,(Skills!L19/10)*(E2863/1000),Skills!L19/10)+Skills!O19</f>
        <v/>
      </c>
      <c r="G2863">
        <f>Skills!G19*IF(Skills!H19&gt;0,Skills!I19/Skills!H19,1)</f>
        <v/>
      </c>
      <c r="H2863">
        <f>1-(1-Skills!J19/100)^Skills!K19</f>
        <v/>
      </c>
      <c r="I2863" t="inlineStr">
        <is>
          <t>1</t>
        </is>
      </c>
      <c r="J2863" t="inlineStr"/>
      <c r="K2863" t="inlineStr"/>
      <c r="L2863" t="inlineStr"/>
      <c r="M2863" t="inlineStr"/>
      <c r="N2863" t="inlineStr"/>
      <c r="O2863">
        <f>(1-Summary!$B$11)*T2863+Summary!$B$11*V2863</f>
        <v/>
      </c>
      <c r="P2863">
        <f>IF(B2888=0,0,O2863/B2888)</f>
        <v/>
      </c>
      <c r="Q2863" t="n">
        <v>0</v>
      </c>
      <c r="R2863" t="n">
        <v>0</v>
      </c>
      <c r="S2863">
        <f>IFERROR(O2863/N2863,0)</f>
        <v/>
      </c>
      <c r="T2863" t="n">
        <v>0</v>
      </c>
      <c r="V2863" t="n">
        <v>0</v>
      </c>
    </row>
    <row r="2864">
      <c r="A2864">
        <f>Skills!A20</f>
        <v/>
      </c>
      <c r="B2864">
        <f>Skills!B20</f>
        <v/>
      </c>
      <c r="C2864">
        <f>TRUE</f>
        <v/>
      </c>
      <c r="D2864">
        <f>IF(Skills!C20=1,60+Inputs!$B$25+Inputs!$B$29,IF(Skills!C20=2,90+Inputs!$B$26+Inputs!$B$29,IF(Skills!C20=3,120+Inputs!$B$27+Inputs!$B$29,MAX(0,(Inputs!$B$3-100)*3)+Inputs!$B$28+Inputs!$B$29)))</f>
        <v/>
      </c>
      <c r="E2864">
        <f>INDEX(FactorTable!$B$2:$Y$301, MATCH(ROUND(MIN(300,MAX(1,D2864)),0), FactorTable!$A$2:$A$301,0), Skills!M20+1)</f>
        <v/>
      </c>
      <c r="F2864">
        <f>IF(Skills!N20=TRUE,(Skills!L20/10)*(E2864/1000),Skills!L20/10)+Skills!O20</f>
        <v/>
      </c>
      <c r="G2864">
        <f>Skills!G20*IF(Skills!H20&gt;0,Skills!I20/Skills!H20,1)</f>
        <v/>
      </c>
      <c r="H2864">
        <f>1-(1-Skills!J20/100)^Skills!K20</f>
        <v/>
      </c>
      <c r="I2864" t="inlineStr">
        <is>
          <t>1</t>
        </is>
      </c>
      <c r="J2864" t="inlineStr"/>
      <c r="K2864" t="inlineStr"/>
      <c r="L2864" t="inlineStr"/>
      <c r="M2864" t="inlineStr"/>
      <c r="N2864" t="inlineStr"/>
      <c r="O2864">
        <f>(1-Summary!$B$11)*T2864+Summary!$B$11*V2864</f>
        <v/>
      </c>
      <c r="P2864">
        <f>IF(B2888=0,0,O2864/B2888)</f>
        <v/>
      </c>
      <c r="Q2864">
        <f>IFERROR(1/(IF(Inputs!$B$38="pvp",15,MAX(0.1,Skills!D20-IF(Skills!E20=TRUE,Inputs!$B$32,0)))*(1-IF(AND(ArtifactsInput!$M$27,Inputs!$B$4="Chapter Hunt"),CHOOSE(ArtifactsInput!$N$27+1,20,24,28,32,36,40),0)/100)),0)</f>
        <v/>
      </c>
      <c r="R2864">
        <f>IF(AND(Inputs!$B$38&lt;&gt;"pvp",Inputs!$B$43&gt;0),IF(Inputs!$B$43&lt;=0,0,(INT(Inputs!$B$43/(IF(Inputs!$B$38="pvp",15,MAX(0.1,Skills!D20-IF(Skills!E20=TRUE,Inputs!$B$32,0)))*(1-IF(AND(ArtifactsInput!$M$27,Inputs!$B$4="Chapter Hunt"),CHOOSE(ArtifactsInput!$N$27+1,20,24,28,32,36,40),0)/100)))+1)),0)</f>
        <v/>
      </c>
      <c r="S2864">
        <f>IFERROR(O2864/N2864,0)</f>
        <v/>
      </c>
      <c r="T2864" t="n">
        <v>0</v>
      </c>
      <c r="V2864" t="n">
        <v>0</v>
      </c>
    </row>
    <row r="2865">
      <c r="A2865">
        <f>Skills!A21</f>
        <v/>
      </c>
      <c r="B2865">
        <f>Skills!B21</f>
        <v/>
      </c>
      <c r="C2865">
        <f>Inputs!$B$3&gt;=15</f>
        <v/>
      </c>
      <c r="D2865">
        <f>IF(Skills!C21=1,60+Inputs!$B$25+Inputs!$B$29,IF(Skills!C21=2,90+Inputs!$B$26+Inputs!$B$29,IF(Skills!C21=3,120+Inputs!$B$27+Inputs!$B$29,MAX(0,(Inputs!$B$3-100)*3)+Inputs!$B$28+Inputs!$B$29)))</f>
        <v/>
      </c>
      <c r="E2865">
        <f>INDEX(FactorTable!$B$2:$Y$301, MATCH(ROUND(MIN(300,MAX(1,D2865)),0), FactorTable!$A$2:$A$301,0), Skills!M21+1)</f>
        <v/>
      </c>
      <c r="F2865">
        <f>IF(Skills!N21=TRUE,(Skills!L21/10)*(E2865/1000),Skills!L21/10)+Skills!O21</f>
        <v/>
      </c>
      <c r="G2865">
        <f>Skills!G21*IF(Skills!H21&gt;0,Skills!I21/Skills!H21,1)</f>
        <v/>
      </c>
      <c r="H2865">
        <f>1-(1-Skills!J21/100)^Skills!K21</f>
        <v/>
      </c>
      <c r="I2865" t="inlineStr">
        <is>
          <t>1</t>
        </is>
      </c>
      <c r="J2865" t="inlineStr"/>
      <c r="K2865" t="inlineStr"/>
      <c r="L2865" t="inlineStr"/>
      <c r="M2865" t="inlineStr"/>
      <c r="N2865" t="inlineStr"/>
      <c r="O2865">
        <f>(1-Summary!$B$11)*T2865+Summary!$B$11*V2865</f>
        <v/>
      </c>
      <c r="P2865">
        <f>IF(B2888=0,0,O2865/B2888)</f>
        <v/>
      </c>
      <c r="Q2865" t="n">
        <v>0</v>
      </c>
      <c r="R2865" t="n">
        <v>0</v>
      </c>
      <c r="S2865">
        <f>IFERROR(O2865/N2865,0)</f>
        <v/>
      </c>
      <c r="T2865" t="n">
        <v>0</v>
      </c>
      <c r="V2865" t="n">
        <v>0</v>
      </c>
    </row>
    <row r="2866">
      <c r="A2866">
        <f>Skills!A22</f>
        <v/>
      </c>
      <c r="B2866">
        <f>Skills!B22</f>
        <v/>
      </c>
      <c r="C2866">
        <f>Inputs!$B$3&gt;=10</f>
        <v/>
      </c>
      <c r="D2866">
        <f>IF(Skills!C22=1,60+Inputs!$B$25+Inputs!$B$29,IF(Skills!C22=2,90+Inputs!$B$26+Inputs!$B$29,IF(Skills!C22=3,120+Inputs!$B$27+Inputs!$B$29,MAX(0,(Inputs!$B$3-100)*3)+Inputs!$B$28+Inputs!$B$29)))</f>
        <v/>
      </c>
      <c r="E2866">
        <f>INDEX(FactorTable!$B$2:$Y$301, MATCH(ROUND(MIN(300,MAX(1,D2866)),0), FactorTable!$A$2:$A$301,0), Skills!M22+1)</f>
        <v/>
      </c>
      <c r="F2866">
        <f>IF(Skills!N22=TRUE,(Skills!L22/10)*(E2866/1000),Skills!L22/10)+Skills!O22</f>
        <v/>
      </c>
      <c r="G2866">
        <f>Skills!G22*IF(Skills!H22&gt;0,Skills!I22/Skills!H22,1)</f>
        <v/>
      </c>
      <c r="H2866">
        <f>1-(1-Skills!J22/100)^Skills!K22</f>
        <v/>
      </c>
      <c r="I2866" t="inlineStr">
        <is>
          <t>1</t>
        </is>
      </c>
      <c r="J2866" t="inlineStr"/>
      <c r="K2866" t="inlineStr"/>
      <c r="L2866" t="inlineStr"/>
      <c r="M2866" t="inlineStr"/>
      <c r="N2866" t="inlineStr"/>
      <c r="O2866">
        <f>(1-Summary!$B$11)*T2866+Summary!$B$11*V2866</f>
        <v/>
      </c>
      <c r="P2866">
        <f>IF(B2888=0,0,O2866/B2888)</f>
        <v/>
      </c>
      <c r="Q2866" t="n">
        <v>0</v>
      </c>
      <c r="R2866" t="n">
        <v>0</v>
      </c>
      <c r="S2866">
        <f>IFERROR(O2866/N2866,0)</f>
        <v/>
      </c>
      <c r="T2866" t="n">
        <v>0</v>
      </c>
      <c r="V2866" t="n">
        <v>0</v>
      </c>
    </row>
    <row r="2867">
      <c r="A2867">
        <f>Skills!A23</f>
        <v/>
      </c>
      <c r="B2867">
        <f>Skills!B23</f>
        <v/>
      </c>
      <c r="C2867">
        <f>Inputs!$B$3&gt;=33</f>
        <v/>
      </c>
      <c r="D2867">
        <f>IF(Skills!C23=1,60+Inputs!$B$25+Inputs!$B$29,IF(Skills!C23=2,90+Inputs!$B$26+Inputs!$B$29,IF(Skills!C23=3,120+Inputs!$B$27+Inputs!$B$29,MAX(0,(Inputs!$B$3-100)*3)+Inputs!$B$28+Inputs!$B$29)))</f>
        <v/>
      </c>
      <c r="E2867">
        <f>INDEX(FactorTable!$B$2:$Y$301, MATCH(ROUND(MIN(300,MAX(1,D2867)),0), FactorTable!$A$2:$A$301,0), Skills!M23+1)</f>
        <v/>
      </c>
      <c r="F2867">
        <f>IF(Skills!N23=TRUE,(Skills!L23/10)*(E2867/1000),Skills!L23/10)+Skills!O23</f>
        <v/>
      </c>
      <c r="G2867">
        <f>Skills!G23*IF(Skills!H23&gt;0,Skills!I23/Skills!H23,1)</f>
        <v/>
      </c>
      <c r="H2867">
        <f>1-(1-Skills!J23/100)^Skills!K23</f>
        <v/>
      </c>
      <c r="I2867" t="inlineStr">
        <is>
          <t>1</t>
        </is>
      </c>
      <c r="J2867" t="inlineStr"/>
      <c r="K2867" t="inlineStr"/>
      <c r="L2867" t="inlineStr"/>
      <c r="M2867" t="inlineStr"/>
      <c r="N2867" t="inlineStr"/>
      <c r="O2867">
        <f>(1-Summary!$B$11)*T2867+Summary!$B$11*V2867</f>
        <v/>
      </c>
      <c r="P2867">
        <f>IF(B2888=0,0,O2867/B2888)</f>
        <v/>
      </c>
      <c r="Q2867" t="n">
        <v>0</v>
      </c>
      <c r="R2867" t="n">
        <v>0</v>
      </c>
      <c r="S2867">
        <f>IFERROR(O2867/N2867,0)</f>
        <v/>
      </c>
      <c r="T2867" t="n">
        <v>0</v>
      </c>
      <c r="V2867" t="n">
        <v>0</v>
      </c>
    </row>
    <row r="2868">
      <c r="A2868">
        <f>Skills!A24</f>
        <v/>
      </c>
      <c r="B2868">
        <f>Skills!B24</f>
        <v/>
      </c>
      <c r="C2868">
        <f>Inputs!$B$3&gt;=38</f>
        <v/>
      </c>
      <c r="D2868">
        <f>IF(Skills!C24=1,60+Inputs!$B$25+Inputs!$B$29,IF(Skills!C24=2,90+Inputs!$B$26+Inputs!$B$29,IF(Skills!C24=3,120+Inputs!$B$27+Inputs!$B$29,MAX(0,(Inputs!$B$3-100)*3)+Inputs!$B$28+Inputs!$B$29)))</f>
        <v/>
      </c>
      <c r="E2868">
        <f>INDEX(FactorTable!$B$2:$Y$301, MATCH(ROUND(MIN(300,MAX(1,D2868)),0), FactorTable!$A$2:$A$301,0), Skills!M24+1)</f>
        <v/>
      </c>
      <c r="F2868">
        <f>IF(Skills!N24=TRUE,(Skills!L24/10)*(E2868/1000),Skills!L24/10)+Skills!O24</f>
        <v/>
      </c>
      <c r="G2868">
        <f>Skills!G24*IF(Skills!H24&gt;0,Skills!I24/Skills!H24,1)</f>
        <v/>
      </c>
      <c r="H2868">
        <f>1-(1-Skills!J24/100)^Skills!K24</f>
        <v/>
      </c>
      <c r="I2868" t="inlineStr">
        <is>
          <t>1</t>
        </is>
      </c>
      <c r="J2868" t="inlineStr"/>
      <c r="K2868" t="inlineStr"/>
      <c r="L2868" t="inlineStr"/>
      <c r="M2868" t="inlineStr"/>
      <c r="N2868" t="inlineStr"/>
      <c r="O2868">
        <f>(1-Summary!$B$11)*T2868+Summary!$B$11*V2868</f>
        <v/>
      </c>
      <c r="P2868">
        <f>IF(B2888=0,0,O2868/B2888)</f>
        <v/>
      </c>
      <c r="Q2868" t="n">
        <v>0</v>
      </c>
      <c r="R2868" t="n">
        <v>0</v>
      </c>
      <c r="S2868">
        <f>IFERROR(O2868/N2868,0)</f>
        <v/>
      </c>
      <c r="T2868" t="n">
        <v>0</v>
      </c>
      <c r="V2868" t="n">
        <v>0</v>
      </c>
    </row>
    <row r="2869">
      <c r="A2869">
        <f>Skills!A25</f>
        <v/>
      </c>
      <c r="B2869">
        <f>Skills!B25</f>
        <v/>
      </c>
      <c r="C2869">
        <f>Inputs!$B$3&gt;=43</f>
        <v/>
      </c>
      <c r="D2869">
        <f>IF(Skills!C25=1,60+Inputs!$B$25+Inputs!$B$29,IF(Skills!C25=2,90+Inputs!$B$26+Inputs!$B$29,IF(Skills!C25=3,120+Inputs!$B$27+Inputs!$B$29,MAX(0,(Inputs!$B$3-100)*3)+Inputs!$B$28+Inputs!$B$29)))</f>
        <v/>
      </c>
      <c r="E2869">
        <f>INDEX(FactorTable!$B$2:$Y$301, MATCH(ROUND(MIN(300,MAX(1,D2869)),0), FactorTable!$A$2:$A$301,0), Skills!M25+1)</f>
        <v/>
      </c>
      <c r="F2869">
        <f>IF(Skills!N25=TRUE,(Skills!L25/10)*(E2869/1000),Skills!L25/10)+Skills!O25</f>
        <v/>
      </c>
      <c r="G2869">
        <f>Skills!G25*IF(Skills!H25&gt;0,Skills!I25/Skills!H25,1)</f>
        <v/>
      </c>
      <c r="H2869">
        <f>1-(1-Skills!J25/100)^Skills!K25</f>
        <v/>
      </c>
      <c r="I2869" t="inlineStr">
        <is>
          <t>1</t>
        </is>
      </c>
      <c r="J2869" t="inlineStr"/>
      <c r="K2869" t="inlineStr"/>
      <c r="L2869" t="inlineStr"/>
      <c r="M2869" t="inlineStr"/>
      <c r="N2869" t="inlineStr"/>
      <c r="O2869">
        <f>(1-Summary!$B$11)*T2869+Summary!$B$11*V2869</f>
        <v/>
      </c>
      <c r="P2869">
        <f>IF(B2888=0,0,O2869/B2888)</f>
        <v/>
      </c>
      <c r="Q2869" t="n">
        <v>0</v>
      </c>
      <c r="R2869" t="n">
        <v>0</v>
      </c>
      <c r="S2869">
        <f>IFERROR(O2869/N2869,0)</f>
        <v/>
      </c>
      <c r="T2869" t="n">
        <v>0</v>
      </c>
      <c r="V2869" t="n">
        <v>0</v>
      </c>
    </row>
    <row r="2870">
      <c r="A2870">
        <f>Skills!A26</f>
        <v/>
      </c>
      <c r="B2870">
        <f>Skills!B26</f>
        <v/>
      </c>
      <c r="C2870">
        <f>Inputs!$B$3&gt;=75</f>
        <v/>
      </c>
      <c r="D2870">
        <f>IF(Skills!C26=1,60+Inputs!$B$25+Inputs!$B$29,IF(Skills!C26=2,90+Inputs!$B$26+Inputs!$B$29,IF(Skills!C26=3,120+Inputs!$B$27+Inputs!$B$29,MAX(0,(Inputs!$B$3-100)*3)+Inputs!$B$28+Inputs!$B$29)))</f>
        <v/>
      </c>
      <c r="E2870">
        <f>INDEX(FactorTable!$B$2:$Y$301, MATCH(ROUND(MIN(300,MAX(1,D2870)),0), FactorTable!$A$2:$A$301,0), Skills!M26+1)</f>
        <v/>
      </c>
      <c r="F2870">
        <f>IF(Skills!N26=TRUE,(Skills!L26/10)*(E2870/1000),Skills!L26/10)+Skills!O26</f>
        <v/>
      </c>
      <c r="G2870">
        <f>Skills!G26*IF(Skills!H26&gt;0,Skills!I26/Skills!H26,1)</f>
        <v/>
      </c>
      <c r="H2870">
        <f>1-(1-Skills!J26/100)^Skills!K26</f>
        <v/>
      </c>
      <c r="I2870" t="inlineStr">
        <is>
          <t>1</t>
        </is>
      </c>
      <c r="J2870" t="inlineStr"/>
      <c r="K2870" t="inlineStr"/>
      <c r="L2870" t="inlineStr"/>
      <c r="M2870" t="inlineStr"/>
      <c r="N2870" t="inlineStr"/>
      <c r="O2870">
        <f>(1-Summary!$B$11)*T2870+Summary!$B$11*V2870</f>
        <v/>
      </c>
      <c r="P2870">
        <f>IF(B2888=0,0,O2870/B2888)</f>
        <v/>
      </c>
      <c r="Q2870" t="n">
        <v>0</v>
      </c>
      <c r="R2870" t="n">
        <v>0</v>
      </c>
      <c r="S2870">
        <f>IFERROR(O2870/N2870,0)</f>
        <v/>
      </c>
      <c r="T2870" t="n">
        <v>0</v>
      </c>
      <c r="V2870" t="n">
        <v>0</v>
      </c>
    </row>
    <row r="2871">
      <c r="A2871">
        <f>Skills!A27</f>
        <v/>
      </c>
      <c r="B2871">
        <f>Skills!B27</f>
        <v/>
      </c>
      <c r="C2871">
        <f>Inputs!$B$3&gt;=125</f>
        <v/>
      </c>
      <c r="D2871">
        <f>IF(Skills!C27=1,60+Inputs!$B$25+Inputs!$B$29,IF(Skills!C27=2,90+Inputs!$B$26+Inputs!$B$29,IF(Skills!C27=3,120+Inputs!$B$27+Inputs!$B$29,MAX(0,(Inputs!$B$3-100)*3)+Inputs!$B$28+Inputs!$B$29)))</f>
        <v/>
      </c>
      <c r="E2871">
        <f>INDEX(FactorTable!$B$2:$Y$301, MATCH(ROUND(MIN(300,MAX(1,D2871)),0), FactorTable!$A$2:$A$301,0), Skills!M27+1)</f>
        <v/>
      </c>
      <c r="F2871">
        <f>IF(Skills!N27=TRUE,(Skills!L27/10)*(E2871/1000),Skills!L27/10)+Skills!O27</f>
        <v/>
      </c>
      <c r="G2871">
        <f>Skills!G27*IF(Skills!H27&gt;0,Skills!I27/Skills!H27,1)</f>
        <v/>
      </c>
      <c r="H2871">
        <f>1-(1-Skills!J27/100)^Skills!K27</f>
        <v/>
      </c>
      <c r="I2871" t="inlineStr">
        <is>
          <t>1</t>
        </is>
      </c>
      <c r="J2871" t="inlineStr"/>
      <c r="K2871" t="inlineStr"/>
      <c r="L2871" t="inlineStr"/>
      <c r="M2871" t="inlineStr"/>
      <c r="N2871" t="inlineStr"/>
      <c r="O2871">
        <f>(1-Summary!$B$11)*T2871+Summary!$B$11*V2871</f>
        <v/>
      </c>
      <c r="P2871">
        <f>IF(B2888=0,0,O2871/B2888)</f>
        <v/>
      </c>
      <c r="Q2871" t="n">
        <v>0</v>
      </c>
      <c r="R2871" t="n">
        <v>0</v>
      </c>
      <c r="S2871">
        <f>IFERROR(O2871/N2871,0)</f>
        <v/>
      </c>
      <c r="T2871" t="n">
        <v>0</v>
      </c>
      <c r="V2871" t="n">
        <v>0</v>
      </c>
    </row>
    <row r="2872">
      <c r="A2872">
        <f>Skills!A28</f>
        <v/>
      </c>
      <c r="B2872">
        <f>Skills!B28</f>
        <v/>
      </c>
      <c r="C2872">
        <f>Inputs!$B$3&gt;=125</f>
        <v/>
      </c>
      <c r="D2872">
        <f>IF(Skills!C28=1,60+Inputs!$B$25+Inputs!$B$29,IF(Skills!C28=2,90+Inputs!$B$26+Inputs!$B$29,IF(Skills!C28=3,120+Inputs!$B$27+Inputs!$B$29,MAX(0,(Inputs!$B$3-100)*3)+Inputs!$B$28+Inputs!$B$29)))</f>
        <v/>
      </c>
      <c r="E2872">
        <f>INDEX(FactorTable!$B$2:$Y$301, MATCH(ROUND(MIN(300,MAX(1,D2872)),0), FactorTable!$A$2:$A$301,0), Skills!M28+1)</f>
        <v/>
      </c>
      <c r="F2872">
        <f>IF(Skills!N28=TRUE,(Skills!L28/10)*(E2872/1000),Skills!L28/10)+Skills!O28</f>
        <v/>
      </c>
      <c r="G2872">
        <f>Skills!G28*IF(Skills!H28&gt;0,Skills!I28/Skills!H28,1)</f>
        <v/>
      </c>
      <c r="H2872">
        <f>1-(1-Skills!J28/100)^Skills!K28</f>
        <v/>
      </c>
      <c r="I2872" t="inlineStr">
        <is>
          <t>1</t>
        </is>
      </c>
      <c r="J2872" t="inlineStr"/>
      <c r="K2872" t="inlineStr"/>
      <c r="L2872" t="inlineStr"/>
      <c r="M2872" t="inlineStr"/>
      <c r="N2872" t="inlineStr"/>
      <c r="O2872">
        <f>(1-Summary!$B$11)*T2872+Summary!$B$11*V2872</f>
        <v/>
      </c>
      <c r="P2872">
        <f>IF(B2888=0,0,O2872/B2888)</f>
        <v/>
      </c>
      <c r="Q2872" t="n">
        <v>0</v>
      </c>
      <c r="R2872" t="n">
        <v>0</v>
      </c>
      <c r="S2872">
        <f>IFERROR(O2872/N2872,0)</f>
        <v/>
      </c>
      <c r="T2872" t="n">
        <v>0</v>
      </c>
      <c r="V2872" t="n">
        <v>0</v>
      </c>
    </row>
    <row r="2873">
      <c r="A2873">
        <f>Skills!A29</f>
        <v/>
      </c>
      <c r="B2873">
        <f>Skills!B29</f>
        <v/>
      </c>
      <c r="C2873">
        <f>Inputs!$B$3&gt;=120</f>
        <v/>
      </c>
      <c r="D2873">
        <f>IF(Skills!C29=1,60+Inputs!$B$25+Inputs!$B$29,IF(Skills!C29=2,90+Inputs!$B$26+Inputs!$B$29,IF(Skills!C29=3,120+Inputs!$B$27+Inputs!$B$29,MAX(0,(Inputs!$B$3-100)*3)+Inputs!$B$28+Inputs!$B$29)))</f>
        <v/>
      </c>
      <c r="E2873">
        <f>INDEX(FactorTable!$B$2:$Y$301, MATCH(ROUND(MIN(300,MAX(1,D2873)),0), FactorTable!$A$2:$A$301,0), Skills!M29+1)</f>
        <v/>
      </c>
      <c r="F2873">
        <f>IF(Skills!N29=TRUE,(Skills!L29/10)*(E2873/1000),Skills!L29/10)+Skills!O29</f>
        <v/>
      </c>
      <c r="G2873">
        <f>Skills!G29*IF(Skills!H29&gt;0,Skills!I29/Skills!H29,1)</f>
        <v/>
      </c>
      <c r="H2873">
        <f>1-(1-Skills!J29/100)^Skills!K29</f>
        <v/>
      </c>
      <c r="I2873" t="inlineStr">
        <is>
          <t>1</t>
        </is>
      </c>
      <c r="J2873" t="inlineStr"/>
      <c r="K2873" t="inlineStr"/>
      <c r="L2873" t="inlineStr"/>
      <c r="M2873" t="inlineStr"/>
      <c r="N2873" t="inlineStr"/>
      <c r="O2873">
        <f>(1-Summary!$B$11)*T2873+Summary!$B$11*V2873</f>
        <v/>
      </c>
      <c r="P2873">
        <f>IF(B2888=0,0,O2873/B2888)</f>
        <v/>
      </c>
      <c r="Q2873" t="n">
        <v>0</v>
      </c>
      <c r="R2873" t="n">
        <v>0</v>
      </c>
      <c r="S2873">
        <f>IFERROR(O2873/N2873,0)</f>
        <v/>
      </c>
      <c r="T2873" t="n">
        <v>0</v>
      </c>
      <c r="V2873" t="n">
        <v>0</v>
      </c>
    </row>
    <row r="2874">
      <c r="A2874">
        <f>Skills!A30</f>
        <v/>
      </c>
      <c r="B2874">
        <f>Skills!B30</f>
        <v/>
      </c>
      <c r="C2874">
        <f>Inputs!$B$3&gt;=120</f>
        <v/>
      </c>
      <c r="D2874">
        <f>IF(Skills!C30=1,60+Inputs!$B$25+Inputs!$B$29,IF(Skills!C30=2,90+Inputs!$B$26+Inputs!$B$29,IF(Skills!C30=3,120+Inputs!$B$27+Inputs!$B$29,MAX(0,(Inputs!$B$3-100)*3)+Inputs!$B$28+Inputs!$B$29)))</f>
        <v/>
      </c>
      <c r="E2874">
        <f>INDEX(FactorTable!$B$2:$Y$301, MATCH(ROUND(MIN(300,MAX(1,D2874)),0), FactorTable!$A$2:$A$301,0), Skills!M30+1)</f>
        <v/>
      </c>
      <c r="F2874">
        <f>IF(Skills!N30=TRUE,(Skills!L30/10)*(E2874/1000),Skills!L30/10)+Skills!O30</f>
        <v/>
      </c>
      <c r="G2874">
        <f>Skills!G30*IF(Skills!H30&gt;0,Skills!I30/Skills!H30,1)</f>
        <v/>
      </c>
      <c r="H2874">
        <f>1-(1-Skills!J30/100)^Skills!K30</f>
        <v/>
      </c>
      <c r="I2874" t="inlineStr">
        <is>
          <t>1</t>
        </is>
      </c>
      <c r="J2874" t="inlineStr"/>
      <c r="K2874" t="inlineStr"/>
      <c r="L2874" t="inlineStr"/>
      <c r="M2874" t="inlineStr"/>
      <c r="N2874" t="inlineStr"/>
      <c r="O2874">
        <f>(1-Summary!$B$11)*T2874+Summary!$B$11*V2874</f>
        <v/>
      </c>
      <c r="P2874">
        <f>IF(B2888=0,0,O2874/B2888)</f>
        <v/>
      </c>
      <c r="Q2874" t="n">
        <v>0</v>
      </c>
      <c r="R2874" t="n">
        <v>0</v>
      </c>
      <c r="S2874">
        <f>IFERROR(O2874/N2874,0)</f>
        <v/>
      </c>
      <c r="T2874" t="n">
        <v>0</v>
      </c>
      <c r="V2874" t="n">
        <v>0</v>
      </c>
    </row>
    <row r="2875">
      <c r="A2875">
        <f>Skills!A31</f>
        <v/>
      </c>
      <c r="B2875">
        <f>Skills!B31</f>
        <v/>
      </c>
      <c r="C2875">
        <f>Inputs!$B$3&gt;=45</f>
        <v/>
      </c>
      <c r="D2875">
        <f>IF(Skills!C31=1,60+Inputs!$B$25+Inputs!$B$29,IF(Skills!C31=2,90+Inputs!$B$26+Inputs!$B$29,IF(Skills!C31=3,120+Inputs!$B$27+Inputs!$B$29,MAX(0,(Inputs!$B$3-100)*3)+Inputs!$B$28+Inputs!$B$29)))</f>
        <v/>
      </c>
      <c r="E2875">
        <f>INDEX(FactorTable!$B$2:$Y$301, MATCH(ROUND(MIN(300,MAX(1,D2875)),0), FactorTable!$A$2:$A$301,0), Skills!M31+1)</f>
        <v/>
      </c>
      <c r="F2875">
        <f>IF(Skills!N31=TRUE,(Skills!L31/10)*(E2875/1000),Skills!L31/10)+Skills!O31</f>
        <v/>
      </c>
      <c r="G2875">
        <f>Skills!G31*IF(Skills!H31&gt;0,Skills!I31/Skills!H31,1)</f>
        <v/>
      </c>
      <c r="H2875">
        <f>1-(1-Skills!J31/100)^Skills!K31</f>
        <v/>
      </c>
      <c r="I2875" t="inlineStr">
        <is>
          <t>1</t>
        </is>
      </c>
      <c r="J2875" t="inlineStr"/>
      <c r="K2875" t="inlineStr"/>
      <c r="L2875" t="inlineStr"/>
      <c r="M2875" t="inlineStr"/>
      <c r="N2875" t="inlineStr"/>
      <c r="O2875">
        <f>(1-Summary!$B$11)*T2875+Summary!$B$11*V2875</f>
        <v/>
      </c>
      <c r="P2875">
        <f>IF(B2888=0,0,O2875/B2888)</f>
        <v/>
      </c>
      <c r="Q2875" t="n">
        <v>0</v>
      </c>
      <c r="R2875" t="n">
        <v>0</v>
      </c>
      <c r="S2875">
        <f>IFERROR(O2875/N2875,0)</f>
        <v/>
      </c>
      <c r="T2875" t="n">
        <v>0</v>
      </c>
      <c r="V2875" t="n">
        <v>0</v>
      </c>
    </row>
    <row r="2877">
      <c r="A2877" t="inlineStr">
        <is>
          <t>Attack% Bucket Multiplier</t>
        </is>
      </c>
      <c r="B2877">
        <f>(1+(((C2858=TRUE)*F2858)+((C2859=TRUE)*IF(Inputs!$B$38="pvp",F2859,(1-Summary!$B$11)*(F2859)+Summary!$B$11*(0)))+((C2860=TRUE)*F2860*IF(AND(Inputs!$B$38&lt;&gt;"pvp",Inputs!$B$43&gt;0),(((R2860-1)*(Skills!T16*(1+Inputs!$B$34/100))+MIN((Skills!T16*(1+Inputs!$B$34/100)),MAX(0,Inputs!$B$43-((R2860-1)*Skills!D16))))/Inputs!$B$43),IF(Inputs!$B$38="pvp",MIN((Skills!T16*(1+Inputs!$B$34/100)),15)/15,(Skills!T16*(1+Inputs!$B$34/100))/Skills!D16)))+((C2875=TRUE)*(F2875-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78">
      <c r="A2878" t="inlineStr">
        <is>
          <t>Global Crit Rate Bonus %</t>
        </is>
      </c>
      <c r="B2878">
        <f>(C2861=TRUE)*20*IF(AND(Inputs!$B$38&lt;&gt;"pvp",Inputs!$B$43&gt;0),(((R2861-1)*(Skills!T17*(1+Inputs!$B$34/100))+MIN((Skills!T17*(1+Inputs!$B$34/100)),MAX(0,Inputs!$B$43-((R2861-1)*Skills!D17))))/Inputs!$B$43),IF(Inputs!$B$38="pvp",MIN((Skills!T17*(1+Inputs!$B$34/100)),15)/15,(Skills!T17*(1+Inputs!$B$34/100))/Skills!D17))</f>
        <v/>
      </c>
    </row>
    <row r="2879">
      <c r="A2879" t="inlineStr">
        <is>
          <t>Attack Speed Buff Bonus %</t>
        </is>
      </c>
      <c r="B2879">
        <f>((C2864=TRUE)*F2864*IF(AND(Inputs!$B$38&lt;&gt;"pvp",Inputs!$B$43&gt;0),(((R2864-1)*(Skills!T20*(1+Inputs!$B$34/100))+MIN((Skills!T20*(1+Inputs!$B$34/100)),MAX(0,Inputs!$B$43-((R2864-1)*Skills!D20))))/Inputs!$B$43),IF(Inputs!$B$38="pvp",MIN((Skills!T20*(1+Inputs!$B$34/100)),15)/15,(Skills!T20*(1+Inputs!$B$34/100))/Skills!D20)))</f>
        <v/>
      </c>
    </row>
    <row r="2880">
      <c r="A2880" t="inlineStr">
        <is>
          <t>Actions Per Second</t>
        </is>
      </c>
      <c r="B2880">
        <f>1+MIN(150,150*(1-(1-(Inputs!$B$11+((C2866=TRUE)*(F2866-Calc!F22))+((C2867=TRUE)*(F2867-Calc!F23)))/150)*(1-B2879/150)))/100</f>
        <v/>
      </c>
    </row>
    <row r="2881">
      <c r="A2881" t="inlineStr">
        <is>
          <t>Skill + Buff Cast Rate</t>
        </is>
      </c>
      <c r="B2881">
        <f>IF(AND(Inputs!$B$38&lt;&gt;"pvp",Inputs!$B$43&gt;0),SUMPRODUCT((Skills!E2:E31=TRUE)*(C2846:C2875=TRUE)*R2846:R2875*Skills!F2:F31)/Inputs!$B$43,SUMPRODUCT((Skills!E2:E31=TRUE)*(C2846:C2875=TRUE)*Q2846:Q2875*Skills!F2:F31))</f>
        <v/>
      </c>
    </row>
    <row r="2882">
      <c r="A2882" t="inlineStr">
        <is>
          <t>Arrow Stream Casts Per Second</t>
        </is>
      </c>
      <c r="B2882">
        <f>MAX(0,B2880-B2881)</f>
        <v/>
      </c>
    </row>
    <row r="2883">
      <c r="A2883" t="inlineStr">
        <is>
          <t>Global Critical Damage Bonus % (Sharp Eyes + Concentration)</t>
        </is>
      </c>
      <c r="B2883">
        <f>(C2861=TRUE)*F2861*IF(AND(Inputs!$B$38&lt;&gt;"pvp",Inputs!$B$43&gt;0),(((R2861-1)*(Skills!T17*(1+Inputs!$B$34/100))+MIN((Skills!T17*(1+Inputs!$B$34/100)),MAX(0,Inputs!$B$43-((R2861-1)*Skills!D17))))/Inputs!$B$43),IF(Inputs!$B$38="pvp",MIN((Skills!T17*(1+Inputs!$B$34/100)),15)/15,(Skills!T17*(1+Inputs!$B$34/100))/Skills!D17))+(C2862=TRUE)*30</f>
        <v/>
      </c>
    </row>
    <row r="2884">
      <c r="A2884" t="inlineStr">
        <is>
          <t>Global Final Damage Bonus % (Mortal Blow)</t>
        </is>
      </c>
      <c r="B2884">
        <f>(C2863=TRUE)*F2863</f>
        <v/>
      </c>
    </row>
    <row r="2885">
      <c r="A2885" t="inlineStr">
        <is>
          <t>Buff-Casting Startup Delay (s, fixed-duration only)</t>
        </is>
      </c>
      <c r="B2885">
        <f>IF(AND(Inputs!$B$38&lt;&gt;"pvp",Inputs!$B$43&gt;0),SUMPRODUCT((Skills!T2:T31&gt;0)*(Skills!E2:E31=TRUE)*(C2846:C2875=TRUE))/B2880,0)</f>
        <v/>
      </c>
    </row>
    <row r="2886">
      <c r="A2886" t="inlineStr">
        <is>
          <t>Boss-Only Total DPS (this block's swept value)</t>
        </is>
      </c>
      <c r="B2886">
        <f>SUM(T2846:T2875)</f>
        <v/>
      </c>
    </row>
    <row r="2887">
      <c r="A2887" t="inlineStr">
        <is>
          <t>Normal-Only Total DPS (this block's swept value)</t>
        </is>
      </c>
      <c r="B2887">
        <f>SUM(V2846:V2875)</f>
        <v/>
      </c>
    </row>
    <row r="2888">
      <c r="A2888" s="6" t="inlineStr">
        <is>
          <t>TOTAL DPS</t>
        </is>
      </c>
      <c r="B2888" s="6">
        <f>SUM(O2846:O2875)</f>
        <v/>
      </c>
    </row>
    <row r="2891">
      <c r="A2891" s="6" t="inlineStr">
        <is>
          <t>Stat: Secret Map (Equip)</t>
        </is>
      </c>
    </row>
    <row r="2892">
      <c r="A2892" s="5" t="inlineStr">
        <is>
          <t>Key</t>
        </is>
      </c>
      <c r="B2892" s="5" t="inlineStr">
        <is>
          <t>Name</t>
        </is>
      </c>
      <c r="C2892" s="5" t="inlineStr">
        <is>
          <t>Unlocked</t>
        </is>
      </c>
      <c r="D2892" s="5" t="inlineStr">
        <is>
          <t>InputLevel</t>
        </is>
      </c>
      <c r="E2892" s="5" t="inlineStr">
        <is>
          <t>Factor</t>
        </is>
      </c>
      <c r="F2892" s="5" t="inlineStr">
        <is>
          <t>CoefficientPercent</t>
        </is>
      </c>
      <c r="G2892" s="5" t="inlineStr">
        <is>
          <t>EffectiveHits</t>
        </is>
      </c>
      <c r="H2892" s="5" t="inlineStr">
        <is>
          <t>ProcProbability</t>
        </is>
      </c>
      <c r="I2892" s="5" t="inlineStr">
        <is>
          <t>MapleHeroMultiplier</t>
        </is>
      </c>
      <c r="J2892" s="5" t="inlineStr">
        <is>
          <t>BaseDamage</t>
        </is>
      </c>
      <c r="K2892" s="5" t="inlineStr">
        <is>
          <t>BaseHitDamage</t>
        </is>
      </c>
      <c r="L2892" s="5" t="inlineStr">
        <is>
          <t>NonCritAvg</t>
        </is>
      </c>
      <c r="M2892" s="5" t="inlineStr">
        <is>
          <t>CritAvg</t>
        </is>
      </c>
      <c r="N2892" s="5" t="inlineStr">
        <is>
          <t>ExpectedDamage(perHit)</t>
        </is>
      </c>
      <c r="O2892" s="5" t="inlineStr">
        <is>
          <t>DPS</t>
        </is>
      </c>
      <c r="P2892" s="5" t="inlineStr">
        <is>
          <t>% of Total</t>
        </is>
      </c>
      <c r="Q2892" s="5" t="inlineStr">
        <is>
          <t>InvCooldown</t>
        </is>
      </c>
      <c r="R2892" s="5" t="inlineStr">
        <is>
          <t>CastsInFight</t>
        </is>
      </c>
      <c r="S2892" s="5" t="inlineStr">
        <is>
          <t>HitRate(perSec)</t>
        </is>
      </c>
      <c r="U2892" t="inlineStr">
        <is>
          <t>helpers</t>
        </is>
      </c>
    </row>
    <row r="2893">
      <c r="A2893">
        <f>Skills!A2</f>
        <v/>
      </c>
      <c r="B2893">
        <f>Skills!B2</f>
        <v/>
      </c>
      <c r="C2893">
        <f>Inputs!$B$3&gt;=100</f>
        <v/>
      </c>
      <c r="D2893" t="inlineStr"/>
      <c r="E2893" t="inlineStr"/>
      <c r="F2893">
        <f>U2895+Skills!O2</f>
        <v/>
      </c>
      <c r="G2893">
        <f>Skills!G2*IF(Skills!H2&gt;0,Skills!I2/Skills!H2,1)</f>
        <v/>
      </c>
      <c r="H2893">
        <f>1-(1-Skills!J2/100)^Skills!K2</f>
        <v/>
      </c>
      <c r="I2893" t="inlineStr">
        <is>
          <t>1</t>
        </is>
      </c>
      <c r="J2893">
        <f>((Inputs!$B$6*(1+Inputs!$B$7/100))+(((Inputs!$B$12*(1+Inputs!$B$13/100))-(Inputs!$B$12*(1+Inputs!$B$13/100)))+0.25*(Inputs!$B$14-Inputs!$B$14))*(1+Inputs!$B$7/100))*(F2893/100)</f>
        <v/>
      </c>
      <c r="K2893">
        <f>J2893*(1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2893)</f>
        <v/>
      </c>
      <c r="L2893">
        <f>K2893*(MIN(Inputs!$B$22+((C2916=TRUE)*(F2916-Calc!F25)),(Inputs!$B$23+((C2921=TRUE)*(F2921-Calc!F30))+(IF(ArtifactsInput!$M$15,CHOOSE(ArtifactsInput!$N$15+1,25,30,35,40,45,50)/100*(Inputs!$B$11-Inputs!$B$11),0))))/100+(Inputs!$B$23+((C2921=TRUE)*(F2921-Calc!F30))+(IF(ArtifactsInput!$M$15,CHOOSE(ArtifactsInput!$N$15+1,25,30,35,40,45,50)/100*(Inputs!$B$11-Inputs!$B$11),0)))/100)/2</f>
        <v/>
      </c>
      <c r="M2893">
        <f>L2893*(1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3">
        <f>L2893*(1-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2893*(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3">
        <f>(1-Summary!$B$11)*T2893+Summary!$B$11*V2893</f>
        <v/>
      </c>
      <c r="P2893">
        <f>IF(B2935=0,0,O2893/B2935)</f>
        <v/>
      </c>
      <c r="Q2893" t="n">
        <v>0</v>
      </c>
      <c r="R2893" t="n">
        <v>0</v>
      </c>
      <c r="S2893">
        <f>IFERROR(O2893/N2893,0)</f>
        <v/>
      </c>
      <c r="T2893">
        <f>IF(C2893,(Skills!G2*N2893*B2929)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2893*(1-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2893*(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2893*(1-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2893*(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93">
        <f>MAX(0,(Inputs!$B$3-100)*3)+Inputs!$B$28+Inputs!$B$29</f>
        <v/>
      </c>
      <c r="V2893">
        <f>IF(C2893,(Skills!G2*N2893*B2929)*IF(Inputs!$B$38="pvp",1,(1+(Inputs!$B$21+Skills!Q2+(IF(ArtifactsInput!$M$33,CHOOSE(ArtifactsInput!$N$33+1,30,36,42,48,54,60),0))+(IF(AND(ArtifactsInput!$M$35,Inputs!$B$4&lt;&gt;"Chapter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4">
      <c r="A2894">
        <f>Skills!A3</f>
        <v/>
      </c>
      <c r="B2894">
        <f>Skills!B3</f>
        <v/>
      </c>
      <c r="C2894">
        <f>Inputs!$B$3&gt;=50</f>
        <v/>
      </c>
      <c r="D2894">
        <f>IF(Skills!C3=1,60+Inputs!$B$25+Inputs!$B$29,IF(Skills!C3=2,90+Inputs!$B$26+Inputs!$B$29,IF(Skills!C3=3,120+Inputs!$B$27+Inputs!$B$29,MAX(0,(Inputs!$B$3-100)*3)+Inputs!$B$28+Inputs!$B$29)))</f>
        <v/>
      </c>
      <c r="E2894">
        <f>INDEX(FactorTable!$B$2:$Y$301, MATCH(ROUND(MIN(300,MAX(1,D2894)),0), FactorTable!$A$2:$A$301,0), Skills!M3+1)</f>
        <v/>
      </c>
      <c r="F2894">
        <f>IF(Skills!N3=TRUE,(Skills!L3/10)*(E2894/1000),Skills!L3/10)+Skills!O3</f>
        <v/>
      </c>
      <c r="G2894">
        <f>Skills!G3*IF(Skills!H3&gt;0,Skills!I3/Skills!H3,1)</f>
        <v/>
      </c>
      <c r="H2894">
        <f>1-(1-Skills!J3/100)^Skills!K3</f>
        <v/>
      </c>
      <c r="I2894" t="inlineStr">
        <is>
          <t>1</t>
        </is>
      </c>
      <c r="J2894">
        <f>((Inputs!$B$6*(1+Inputs!$B$7/100))+(((Inputs!$B$12*(1+Inputs!$B$13/100))-(Inputs!$B$12*(1+Inputs!$B$13/100)))+0.25*(Inputs!$B$14-Inputs!$B$14))*(1+Inputs!$B$7/100))*(F2894/100)</f>
        <v/>
      </c>
      <c r="K2894">
        <f>J2894*(1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2895=TRUE,F2895,0)/100)*(1+(IF(Skills!A3="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2894)</f>
        <v/>
      </c>
      <c r="L2894">
        <f>K2894*(MIN(Inputs!$B$22+((C2916=TRUE)*(F2916-Calc!F25)),(Inputs!$B$23+((C2921=TRUE)*(F2921-Calc!F30))+(IF(ArtifactsInput!$M$15,CHOOSE(ArtifactsInput!$N$15+1,25,30,35,40,45,50)/100*(Inputs!$B$11-Inputs!$B$11),0))))/100+(Inputs!$B$23+((C2921=TRUE)*(F2921-Calc!F30))+(IF(ArtifactsInput!$M$15,CHOOSE(ArtifactsInput!$N$15+1,25,30,35,40,45,50)/100*(Inputs!$B$11-Inputs!$B$11),0)))/100)/2</f>
        <v/>
      </c>
      <c r="M2894">
        <f>L2894*(1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4">
        <f>L2894*(1-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2894*(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4">
        <f>(1-Summary!$B$11)*T2894+Summary!$B$11*V2894</f>
        <v/>
      </c>
      <c r="P2894">
        <f>IF(B2935=0,0,O2894/B2935)</f>
        <v/>
      </c>
      <c r="Q2894">
        <f>IFERROR(1/(IF(Inputs!$B$38="pvp",15,MAX(0.1,Skills!D3-IF(Skills!E3=TRUE,Inputs!$B$32,0)))*(1-IF(AND(ArtifactsInput!$M$27,Inputs!$B$4="Chapter Hunt"),CHOOSE(ArtifactsInput!$N$27+1,20,24,28,32,36,40),0)/100)),0)</f>
        <v/>
      </c>
      <c r="R2894">
        <f>IF(AND(Inputs!$B$38&lt;&gt;"pvp",Inputs!$B$43&gt;0),IF(MAX(0,Inputs!$B$43-B2932)&lt;=0,0,(INT(MAX(0,Inputs!$B$43-B2932)/(IF(Inputs!$B$38="pvp",15,MAX(0.1,Skills!D3-IF(Skills!E3=TRUE,Inputs!$B$32,0)))*(1-IF(AND(ArtifactsInput!$M$27,Inputs!$B$4="Chapter Hunt"),CHOOSE(ArtifactsInput!$N$27+1,20,24,28,32,36,40),0)/100)))+1)),0)</f>
        <v/>
      </c>
      <c r="S2894">
        <f>IFERROR(O2894/N2894,0)</f>
        <v/>
      </c>
      <c r="T2894">
        <f>IF(C2894,(H2894*N2894*IF(AND(Inputs!$B$38&lt;&gt;"pvp",Inputs!$B$43&gt;0),((Skills!G3*((R2894-1)*IF(Skills!H3&gt;0,Skills!I3/Skills!H3,1)+IF(Skills!H3&gt;0,MIN(Skills!I3,MAX(0,MAX(0,Inputs!$B$43-B2932)-((R2894-1)*(IF(Inputs!$B$38="pvp",15,MAX(0.1,Skills!D3-IF(Skills!E3=TRUE,Inputs!$B$32,0)))*(1-IF(AND(ArtifactsInput!$M$27,Inputs!$B$4="Chapter Hunt"),CHOOSE(ArtifactsInput!$N$27+1,20,24,28,32,36,40),0)/100)))))/Skills!H3,1)))/Inputs!$B$43),G2894*Q2894)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2894*(1-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2894*(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2894*(1-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2894*(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94">
        <f>INDEX(FactorTable!$B$2:$Y$301, MATCH(ROUND(MIN(300,MAX(1,U2893)),0), FactorTable!$A$2:$A$301,0), 22)</f>
        <v/>
      </c>
      <c r="V2894">
        <f>IF(C2894,(H2894*N2894*IF(AND(Inputs!$B$38&lt;&gt;"pvp",Inputs!$B$43&gt;0),((Skills!G3*((R2894-1)*IF(Skills!H3&gt;0,Skills!I3/Skills!H3,1)+IF(Skills!H3&gt;0,MIN(Skills!I3,MAX(0,MAX(0,Inputs!$B$43-B2932)-((R2894-1)*(IF(Inputs!$B$38="pvp",15,MAX(0.1,Skills!D3-IF(Skills!E3=TRUE,Inputs!$B$32,0)))*(1-IF(AND(ArtifactsInput!$M$27,Inputs!$B$4="Chapter Hunt"),CHOOSE(ArtifactsInput!$N$27+1,20,24,28,32,36,40),0)/100)))))/Skills!H3,1)))/Inputs!$B$43),G2894*Q2894))*IF(Inputs!$B$38="pvp",1,(1+(Inputs!$B$21+Skills!Q3+(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5">
      <c r="A2895">
        <f>Skills!A4</f>
        <v/>
      </c>
      <c r="B2895">
        <f>Skills!B4</f>
        <v/>
      </c>
      <c r="C2895">
        <f>Inputs!$B$3&gt;=105</f>
        <v/>
      </c>
      <c r="D2895">
        <f>IF(Skills!C4=1,60+Inputs!$B$25+Inputs!$B$29,IF(Skills!C4=2,90+Inputs!$B$26+Inputs!$B$29,IF(Skills!C4=3,120+Inputs!$B$27+Inputs!$B$29,MAX(0,(Inputs!$B$3-100)*3)+Inputs!$B$28+Inputs!$B$29)))</f>
        <v/>
      </c>
      <c r="E2895">
        <f>INDEX(FactorTable!$B$2:$Y$301, MATCH(ROUND(MIN(300,MAX(1,D2895)),0), FactorTable!$A$2:$A$301,0), Skills!M4+1)</f>
        <v/>
      </c>
      <c r="F2895">
        <f>IF(Skills!N4=TRUE,(Skills!L4/10)*(E2895/1000),Skills!L4/10)+Skills!O4</f>
        <v/>
      </c>
      <c r="G2895" t="inlineStr"/>
      <c r="H2895" t="inlineStr"/>
      <c r="I2895" t="inlineStr">
        <is>
          <t>1</t>
        </is>
      </c>
      <c r="J2895" t="inlineStr"/>
      <c r="K2895" t="inlineStr"/>
      <c r="L2895" t="inlineStr"/>
      <c r="M2895" t="inlineStr"/>
      <c r="N2895" t="inlineStr"/>
      <c r="O2895" t="inlineStr"/>
      <c r="P2895" t="inlineStr"/>
      <c r="Q2895" t="inlineStr"/>
      <c r="R2895" t="inlineStr"/>
      <c r="S2895" t="inlineStr"/>
      <c r="T2895" t="inlineStr"/>
      <c r="U2895">
        <f>290*U2894/1000</f>
        <v/>
      </c>
      <c r="V2895" t="inlineStr"/>
    </row>
    <row r="2896">
      <c r="A2896">
        <f>Skills!A5</f>
        <v/>
      </c>
      <c r="B2896">
        <f>Skills!B5</f>
        <v/>
      </c>
      <c r="C2896">
        <f>Inputs!$B$3&gt;=35</f>
        <v/>
      </c>
      <c r="D2896">
        <f>IF(Skills!C5=1,60+Inputs!$B$25+Inputs!$B$29,IF(Skills!C5=2,90+Inputs!$B$26+Inputs!$B$29,IF(Skills!C5=3,120+Inputs!$B$27+Inputs!$B$29,MAX(0,(Inputs!$B$3-100)*3)+Inputs!$B$28+Inputs!$B$29)))</f>
        <v/>
      </c>
      <c r="E2896">
        <f>INDEX(FactorTable!$B$2:$Y$301, MATCH(ROUND(MIN(300,MAX(1,D2896)),0), FactorTable!$A$2:$A$301,0), Skills!M5+1)</f>
        <v/>
      </c>
      <c r="F2896">
        <f>IF(Skills!N5=TRUE,(Skills!L5/10)*(E2896/1000),Skills!L5/10)+Skills!O5</f>
        <v/>
      </c>
      <c r="G2896">
        <f>Skills!G5*IF(Skills!H5&gt;0,Skills!I5/Skills!H5,1)</f>
        <v/>
      </c>
      <c r="H2896">
        <f>1-(1-Skills!J5/100)^Skills!K5</f>
        <v/>
      </c>
      <c r="I2896" t="inlineStr">
        <is>
          <t>1</t>
        </is>
      </c>
      <c r="J2896">
        <f>((Inputs!$B$6*(1+Inputs!$B$7/100))+(((Inputs!$B$12*(1+Inputs!$B$13/100))-(Inputs!$B$12*(1+Inputs!$B$13/100)))+0.25*(Inputs!$B$14-Inputs!$B$14))*(1+Inputs!$B$7/100))*(F2896/100)</f>
        <v/>
      </c>
      <c r="K2896">
        <f>J2896*(1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2902=TRUE,F2902,0)/100)*(1+(IF(Skills!A5="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2896)</f>
        <v/>
      </c>
      <c r="L2896">
        <f>K2896*(MIN(Inputs!$B$22+((C2916=TRUE)*(F2916-Calc!F25)),(Inputs!$B$23+((C2921=TRUE)*(F2921-Calc!F30))+(IF(ArtifactsInput!$M$15,CHOOSE(ArtifactsInput!$N$15+1,25,30,35,40,45,50)/100*(Inputs!$B$11-Inputs!$B$11),0))))/100+(Inputs!$B$23+((C2921=TRUE)*(F2921-Calc!F30))+(IF(ArtifactsInput!$M$15,CHOOSE(ArtifactsInput!$N$15+1,25,30,35,40,45,50)/100*(Inputs!$B$11-Inputs!$B$11),0)))/100)/2</f>
        <v/>
      </c>
      <c r="M2896">
        <f>L2896*(1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6">
        <f>L2896*(1-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2896*(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6">
        <f>(1-Summary!$B$11)*T2896+Summary!$B$11*V2896</f>
        <v/>
      </c>
      <c r="P2896">
        <f>IF(B2935=0,0,O2896/B2935)</f>
        <v/>
      </c>
      <c r="Q2896">
        <f>IFERROR(1/(IF(Inputs!$B$38="pvp",15,MAX(0.1,Skills!D5-IF(Skills!E5=TRUE,Inputs!$B$32,0)))*(1-IF(AND(ArtifactsInput!$M$27,Inputs!$B$4="Chapter Hunt"),CHOOSE(ArtifactsInput!$N$27+1,20,24,28,32,36,40),0)/100)),0)</f>
        <v/>
      </c>
      <c r="R2896">
        <f>IF(AND(Inputs!$B$38&lt;&gt;"pvp",Inputs!$B$43&gt;0),IF(MAX(0,Inputs!$B$43-B2932)&lt;=0,0,(INT(MAX(0,Inputs!$B$43-B2932)/(IF(Inputs!$B$38="pvp",15,MAX(0.1,Skills!D5-IF(Skills!E5=TRUE,Inputs!$B$32,0)))*(1-IF(AND(ArtifactsInput!$M$27,Inputs!$B$4="Chapter Hunt"),CHOOSE(ArtifactsInput!$N$27+1,20,24,28,32,36,40),0)/100)))+1)),0)</f>
        <v/>
      </c>
      <c r="S2896">
        <f>IFERROR(O2896/N2896,0)</f>
        <v/>
      </c>
      <c r="T2896">
        <f>IF(C2896,(H2896*N2896*IF(AND(Inputs!$B$38&lt;&gt;"pvp",Inputs!$B$43&gt;0),((Skills!G5*((R2896-1)*IF(Skills!H5&gt;0,Skills!I5/Skills!H5,1)+IF(Skills!H5&gt;0,MIN(Skills!I5,MAX(0,MAX(0,Inputs!$B$43-B2932)-((R2896-1)*(IF(Inputs!$B$38="pvp",15,MAX(0.1,Skills!D5-IF(Skills!E5=TRUE,Inputs!$B$32,0)))*(1-IF(AND(ArtifactsInput!$M$27,Inputs!$B$4="Chapter Hunt"),CHOOSE(ArtifactsInput!$N$27+1,20,24,28,32,36,40),0)/100)))))/Skills!H5,1)))/Inputs!$B$43),G2896*Q2896)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2896*(1-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2896*(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2896*(1-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2896*(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6">
        <f>IF(C2896,(H2896*N2896*IF(AND(Inputs!$B$38&lt;&gt;"pvp",Inputs!$B$43&gt;0),((Skills!G5*((R2896-1)*IF(Skills!H5&gt;0,Skills!I5/Skills!H5,1)+IF(Skills!H5&gt;0,MIN(Skills!I5,MAX(0,MAX(0,Inputs!$B$43-B2932)-((R2896-1)*(IF(Inputs!$B$38="pvp",15,MAX(0.1,Skills!D5-IF(Skills!E5=TRUE,Inputs!$B$32,0)))*(1-IF(AND(ArtifactsInput!$M$27,Inputs!$B$4="Chapter Hunt"),CHOOSE(ArtifactsInput!$N$27+1,20,24,28,32,36,40),0)/100)))))/Skills!H5,1)))/Inputs!$B$43),G2896*Q2896))*IF(Inputs!$B$38="pvp",1,(1+(Inputs!$B$21+Skills!Q5+(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7">
      <c r="A2897">
        <f>Skills!A6</f>
        <v/>
      </c>
      <c r="B2897">
        <f>Skills!B6</f>
        <v/>
      </c>
      <c r="C2897">
        <f>Inputs!$B$3&gt;=40</f>
        <v/>
      </c>
      <c r="D2897">
        <f>IF(Skills!C6=1,60+Inputs!$B$25+Inputs!$B$29,IF(Skills!C6=2,90+Inputs!$B$26+Inputs!$B$29,IF(Skills!C6=3,120+Inputs!$B$27+Inputs!$B$29,MAX(0,(Inputs!$B$3-100)*3)+Inputs!$B$28+Inputs!$B$29)))</f>
        <v/>
      </c>
      <c r="E2897">
        <f>INDEX(FactorTable!$B$2:$Y$301, MATCH(ROUND(MIN(300,MAX(1,D2897)),0), FactorTable!$A$2:$A$301,0), Skills!M6+1)</f>
        <v/>
      </c>
      <c r="F2897">
        <f>IF(Skills!N6=TRUE,(Skills!L6/10)*(E2897/1000),Skills!L6/10)+Skills!O6</f>
        <v/>
      </c>
      <c r="G2897">
        <f>Skills!G6*IF(Skills!H6&gt;0,Skills!I6/Skills!H6,1)</f>
        <v/>
      </c>
      <c r="H2897">
        <f>1-(1-Skills!J6/100)^Skills!K6</f>
        <v/>
      </c>
      <c r="I2897" t="inlineStr">
        <is>
          <t>1</t>
        </is>
      </c>
      <c r="J2897">
        <f>((Inputs!$B$6*(1+Inputs!$B$7/100))+(((Inputs!$B$12*(1+Inputs!$B$13/100))-(Inputs!$B$12*(1+Inputs!$B$13/100)))+0.25*(Inputs!$B$14-Inputs!$B$14))*(1+Inputs!$B$7/100))*(F2897/100)</f>
        <v/>
      </c>
      <c r="K2897">
        <f>J2897*(1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2898=TRUE,F2898,0)/100)*(1+(IF(Skills!A6="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2897)</f>
        <v/>
      </c>
      <c r="L2897">
        <f>K2897*(MIN(Inputs!$B$22+((C2916=TRUE)*(F2916-Calc!F25)),(Inputs!$B$23+((C2921=TRUE)*(F2921-Calc!F30))+(IF(ArtifactsInput!$M$15,CHOOSE(ArtifactsInput!$N$15+1,25,30,35,40,45,50)/100*(Inputs!$B$11-Inputs!$B$11),0))))/100+(Inputs!$B$23+((C2921=TRUE)*(F2921-Calc!F30))+(IF(ArtifactsInput!$M$15,CHOOSE(ArtifactsInput!$N$15+1,25,30,35,40,45,50)/100*(Inputs!$B$11-Inputs!$B$11),0)))/100)/2</f>
        <v/>
      </c>
      <c r="M2897">
        <f>L2897*(1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7">
        <f>L2897*(1-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2897*(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7">
        <f>(1-Summary!$B$11)*T2897+Summary!$B$11*V2897</f>
        <v/>
      </c>
      <c r="P2897">
        <f>IF(B2935=0,0,O2897/B2935)</f>
        <v/>
      </c>
      <c r="Q2897">
        <f>IFERROR(1/(IF(Inputs!$B$38="pvp",15,MAX(0.1,Skills!D6-IF(Skills!E6=TRUE,Inputs!$B$32,0)))*(1-IF(AND(ArtifactsInput!$M$27,Inputs!$B$4="Chapter Hunt"),CHOOSE(ArtifactsInput!$N$27+1,20,24,28,32,36,40),0)/100)),0)</f>
        <v/>
      </c>
      <c r="R2897">
        <f>IF(AND(Inputs!$B$38&lt;&gt;"pvp",Inputs!$B$43&gt;0),IF(MAX(0,Inputs!$B$43-B2932)&lt;=0,0,(INT(MAX(0,Inputs!$B$43-B2932)/(IF(Inputs!$B$38="pvp",15,MAX(0.1,Skills!D6-IF(Skills!E6=TRUE,Inputs!$B$32,0)))*(1-IF(AND(ArtifactsInput!$M$27,Inputs!$B$4="Chapter Hunt"),CHOOSE(ArtifactsInput!$N$27+1,20,24,28,32,36,40),0)/100)))+1)),0)</f>
        <v/>
      </c>
      <c r="S2897">
        <f>IFERROR(O2897/N2897,0)</f>
        <v/>
      </c>
      <c r="T2897">
        <f>IF(C2897,(H2897*N2897*IF(AND(Inputs!$B$38&lt;&gt;"pvp",Inputs!$B$43&gt;0),((Skills!G6*((R2897-1)*IF(Skills!H6&gt;0,Skills!I6/Skills!H6,1)+IF(Skills!H6&gt;0,MIN(Skills!I6,MAX(0,MAX(0,Inputs!$B$43-B2932)-((R2897-1)*(IF(Inputs!$B$38="pvp",15,MAX(0.1,Skills!D6-IF(Skills!E6=TRUE,Inputs!$B$32,0)))*(1-IF(AND(ArtifactsInput!$M$27,Inputs!$B$4="Chapter Hunt"),CHOOSE(ArtifactsInput!$N$27+1,20,24,28,32,36,40),0)/100)))))/Skills!H6,1)))/Inputs!$B$43),G2897*Q2897)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2897*(1-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2897*(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2897*(1-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2897*(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7">
        <f>IF(C2897,(H2897*N2897*IF(AND(Inputs!$B$38&lt;&gt;"pvp",Inputs!$B$43&gt;0),((Skills!G6*((R2897-1)*IF(Skills!H6&gt;0,Skills!I6/Skills!H6,1)+IF(Skills!H6&gt;0,MIN(Skills!I6,MAX(0,MAX(0,Inputs!$B$43-B2932)-((R2897-1)*(IF(Inputs!$B$38="pvp",15,MAX(0.1,Skills!D6-IF(Skills!E6=TRUE,Inputs!$B$32,0)))*(1-IF(AND(ArtifactsInput!$M$27,Inputs!$B$4="Chapter Hunt"),CHOOSE(ArtifactsInput!$N$27+1,20,24,28,32,36,40),0)/100)))))/Skills!H6,1)))/Inputs!$B$43),G2897*Q2897))*IF(Inputs!$B$38="pvp",1,(1+(Inputs!$B$21+Skills!Q6+(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8">
      <c r="A2898">
        <f>Skills!A7</f>
        <v/>
      </c>
      <c r="B2898">
        <f>Skills!B7</f>
        <v/>
      </c>
      <c r="C2898">
        <f>Inputs!$B$3&gt;=107</f>
        <v/>
      </c>
      <c r="D2898">
        <f>IF(Skills!C7=1,60+Inputs!$B$25+Inputs!$B$29,IF(Skills!C7=2,90+Inputs!$B$26+Inputs!$B$29,IF(Skills!C7=3,120+Inputs!$B$27+Inputs!$B$29,MAX(0,(Inputs!$B$3-100)*3)+Inputs!$B$28+Inputs!$B$29)))</f>
        <v/>
      </c>
      <c r="E2898">
        <f>INDEX(FactorTable!$B$2:$Y$301, MATCH(ROUND(MIN(300,MAX(1,D2898)),0), FactorTable!$A$2:$A$301,0), Skills!M7+1)</f>
        <v/>
      </c>
      <c r="F2898">
        <f>IF(Skills!N7=TRUE,(Skills!L7/10)*(E2898/1000),Skills!L7/10)+Skills!O7</f>
        <v/>
      </c>
      <c r="G2898" t="inlineStr"/>
      <c r="H2898" t="inlineStr"/>
      <c r="I2898" t="inlineStr">
        <is>
          <t>1</t>
        </is>
      </c>
      <c r="J2898" t="inlineStr"/>
      <c r="K2898" t="inlineStr"/>
      <c r="L2898" t="inlineStr"/>
      <c r="M2898" t="inlineStr"/>
      <c r="N2898" t="inlineStr"/>
      <c r="O2898" t="inlineStr"/>
      <c r="P2898" t="inlineStr"/>
      <c r="Q2898" t="inlineStr"/>
      <c r="R2898" t="inlineStr"/>
      <c r="S2898" t="inlineStr"/>
      <c r="T2898" t="inlineStr"/>
      <c r="V2898" t="inlineStr"/>
    </row>
    <row r="2899">
      <c r="A2899">
        <f>Skills!A8</f>
        <v/>
      </c>
      <c r="B2899">
        <f>Skills!B8</f>
        <v/>
      </c>
      <c r="C2899">
        <f>Inputs!$B$3&gt;=69</f>
        <v/>
      </c>
      <c r="D2899">
        <f>IF(Skills!C8=1,60+Inputs!$B$25+Inputs!$B$29,IF(Skills!C8=2,90+Inputs!$B$26+Inputs!$B$29,IF(Skills!C8=3,120+Inputs!$B$27+Inputs!$B$29,MAX(0,(Inputs!$B$3-100)*3)+Inputs!$B$28+Inputs!$B$29)))</f>
        <v/>
      </c>
      <c r="E2899">
        <f>INDEX(FactorTable!$B$2:$Y$301, MATCH(ROUND(MIN(300,MAX(1,D2899)),0), FactorTable!$A$2:$A$301,0), Skills!M8+1)</f>
        <v/>
      </c>
      <c r="F2899">
        <f>IF(Skills!N8=TRUE,(Skills!L8/10)*(E2899/1000),Skills!L8/10)+Skills!O8</f>
        <v/>
      </c>
      <c r="G2899">
        <f>Skills!G8*IF(Skills!H8&gt;0,Skills!I8/Skills!H8,1)</f>
        <v/>
      </c>
      <c r="H2899">
        <f>1-(1-Skills!J8/100)^Skills!K8</f>
        <v/>
      </c>
      <c r="I2899" t="inlineStr">
        <is>
          <t>1</t>
        </is>
      </c>
      <c r="J2899">
        <f>((Inputs!$B$6*(1+Inputs!$B$7/100))+(((Inputs!$B$12*(1+Inputs!$B$13/100))-(Inputs!$B$12*(1+Inputs!$B$13/100)))+0.25*(Inputs!$B$14-Inputs!$B$14))*(1+Inputs!$B$7/100))*(F2899/100)</f>
        <v/>
      </c>
      <c r="K2899">
        <f>J2899*(1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2902=TRUE,F2902,0)/100)*(1+(IF(Skills!A8="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2899)</f>
        <v/>
      </c>
      <c r="L2899">
        <f>K2899*(MIN(Inputs!$B$22+((C2916=TRUE)*(F2916-Calc!F25)),(Inputs!$B$23+((C2921=TRUE)*(F2921-Calc!F30))+(IF(ArtifactsInput!$M$15,CHOOSE(ArtifactsInput!$N$15+1,25,30,35,40,45,50)/100*(Inputs!$B$11-Inputs!$B$11),0))))/100+(Inputs!$B$23+((C2921=TRUE)*(F2921-Calc!F30))+(IF(ArtifactsInput!$M$15,CHOOSE(ArtifactsInput!$N$15+1,25,30,35,40,45,50)/100*(Inputs!$B$11-Inputs!$B$11),0)))/100)/2</f>
        <v/>
      </c>
      <c r="M2899">
        <f>L2899*(1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9">
        <f>L2899*(1-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2899*(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9">
        <f>(1-Summary!$B$11)*T2899+Summary!$B$11*V2899</f>
        <v/>
      </c>
      <c r="P2899">
        <f>IF(B2935=0,0,O2899/B2935)</f>
        <v/>
      </c>
      <c r="Q2899">
        <f>IFERROR(1/(IF(Inputs!$B$38="pvp",15,MAX(0.1,Skills!D8-IF(Skills!E8=TRUE,Inputs!$B$32,0)))*(1-IF(AND(ArtifactsInput!$M$27,Inputs!$B$4="Chapter Hunt"),CHOOSE(ArtifactsInput!$N$27+1,20,24,28,32,36,40),0)/100)),0)</f>
        <v/>
      </c>
      <c r="R2899">
        <f>IF(AND(Inputs!$B$38&lt;&gt;"pvp",Inputs!$B$43&gt;0),IF(MAX(0,Inputs!$B$43-B2932)&lt;=0,0,(INT(MAX(0,Inputs!$B$43-B2932)/(IF(Inputs!$B$38="pvp",15,MAX(0.1,Skills!D8-IF(Skills!E8=TRUE,Inputs!$B$32,0)))*(1-IF(AND(ArtifactsInput!$M$27,Inputs!$B$4="Chapter Hunt"),CHOOSE(ArtifactsInput!$N$27+1,20,24,28,32,36,40),0)/100)))+1)),0)</f>
        <v/>
      </c>
      <c r="S2899">
        <f>IFERROR(O2899/N2899,0)</f>
        <v/>
      </c>
      <c r="T2899">
        <f>IF(C2899,(H2899*N2899*IF(AND(Inputs!$B$38&lt;&gt;"pvp",Inputs!$B$43&gt;0),((Skills!G8*((R2899-1)*IF(Skills!H8&gt;0,Skills!I8/Skills!H8,1)+IF(Skills!H8&gt;0,MIN(Skills!I8,MAX(0,MAX(0,Inputs!$B$43-B2932)-((R2899-1)*(IF(Inputs!$B$38="pvp",15,MAX(0.1,Skills!D8-IF(Skills!E8=TRUE,Inputs!$B$32,0)))*(1-IF(AND(ArtifactsInput!$M$27,Inputs!$B$4="Chapter Hunt"),CHOOSE(ArtifactsInput!$N$27+1,20,24,28,32,36,40),0)/100)))))/Skills!H8,1)))/Inputs!$B$43),G2899*Q2899)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2899*(1-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2899*(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2899*(1-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2899*(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9">
        <f>IF(C2899,(H2899*N2899*IF(AND(Inputs!$B$38&lt;&gt;"pvp",Inputs!$B$43&gt;0),((Skills!G8*((R2899-1)*IF(Skills!H8&gt;0,Skills!I8/Skills!H8,1)+IF(Skills!H8&gt;0,MIN(Skills!I8,MAX(0,MAX(0,Inputs!$B$43-B2932)-((R2899-1)*(IF(Inputs!$B$38="pvp",15,MAX(0.1,Skills!D8-IF(Skills!E8=TRUE,Inputs!$B$32,0)))*(1-IF(AND(ArtifactsInput!$M$27,Inputs!$B$4="Chapter Hunt"),CHOOSE(ArtifactsInput!$N$27+1,20,24,28,32,36,40),0)/100)))))/Skills!H8,1)))/Inputs!$B$43),G2899*Q2899))*IF(Inputs!$B$38="pvp",1,(1+(Inputs!$B$21+Skills!Q8+(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0">
      <c r="A2900">
        <f>Skills!A9</f>
        <v/>
      </c>
      <c r="B2900">
        <f>Skills!B9</f>
        <v/>
      </c>
      <c r="C2900">
        <f>Inputs!$B$3&gt;=63</f>
        <v/>
      </c>
      <c r="D2900">
        <f>IF(Skills!C9=1,60+Inputs!$B$25+Inputs!$B$29,IF(Skills!C9=2,90+Inputs!$B$26+Inputs!$B$29,IF(Skills!C9=3,120+Inputs!$B$27+Inputs!$B$29,MAX(0,(Inputs!$B$3-100)*3)+Inputs!$B$28+Inputs!$B$29)))</f>
        <v/>
      </c>
      <c r="E2900">
        <f>INDEX(FactorTable!$B$2:$Y$301, MATCH(ROUND(MIN(300,MAX(1,D2900)),0), FactorTable!$A$2:$A$301,0), Skills!M9+1)</f>
        <v/>
      </c>
      <c r="F2900">
        <f>IF(Skills!N9=TRUE,(Skills!L9/10)*(E2900/1000),Skills!L9/10)+Skills!O9</f>
        <v/>
      </c>
      <c r="G2900">
        <f>Skills!G9*IF(Skills!H9&gt;0,Skills!I9/Skills!H9,1)</f>
        <v/>
      </c>
      <c r="H2900">
        <f>1-(1-Skills!J9/100)^Skills!K9</f>
        <v/>
      </c>
      <c r="I2900" t="inlineStr">
        <is>
          <t>1</t>
        </is>
      </c>
      <c r="J2900">
        <f>((Inputs!$B$6*(1+Inputs!$B$7/100))+(((Inputs!$B$12*(1+Inputs!$B$13/100))-(Inputs!$B$12*(1+Inputs!$B$13/100)))+0.25*(Inputs!$B$14-Inputs!$B$14))*(1+Inputs!$B$7/100))*(F2900/100)</f>
        <v/>
      </c>
      <c r="K2900">
        <f>J2900*(1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2902=TRUE,F2902,0)/100)*(1+(IF(Skills!A9="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2900)</f>
        <v/>
      </c>
      <c r="L2900">
        <f>K2900*(MIN(Inputs!$B$22+((C2916=TRUE)*(F2916-Calc!F25)),(Inputs!$B$23+((C2921=TRUE)*(F2921-Calc!F30))+(IF(ArtifactsInput!$M$15,CHOOSE(ArtifactsInput!$N$15+1,25,30,35,40,45,50)/100*(Inputs!$B$11-Inputs!$B$11),0))))/100+(Inputs!$B$23+((C2921=TRUE)*(F2921-Calc!F30))+(IF(ArtifactsInput!$M$15,CHOOSE(ArtifactsInput!$N$15+1,25,30,35,40,45,50)/100*(Inputs!$B$11-Inputs!$B$11),0)))/100)/2</f>
        <v/>
      </c>
      <c r="M2900">
        <f>L2900*(1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0">
        <f>L2900*(1-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2900*(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0">
        <f>(1-Summary!$B$11)*T2900+Summary!$B$11*V2900</f>
        <v/>
      </c>
      <c r="P2900">
        <f>IF(B2935=0,0,O2900/B2935)</f>
        <v/>
      </c>
      <c r="Q2900">
        <f>IFERROR(1/(IF(Inputs!$B$38="pvp",15,MAX(0.1,Skills!D9-IF(Skills!E9=TRUE,Inputs!$B$32,0)))*(1-IF(AND(ArtifactsInput!$M$27,Inputs!$B$4="Chapter Hunt"),CHOOSE(ArtifactsInput!$N$27+1,20,24,28,32,36,40),0)/100)),0)</f>
        <v/>
      </c>
      <c r="R2900">
        <f>IF(AND(Inputs!$B$38&lt;&gt;"pvp",Inputs!$B$43&gt;0),IF(MAX(0,Inputs!$B$43-B2932)&lt;=0,0,(INT(MAX(0,Inputs!$B$43-B2932)/(IF(Inputs!$B$38="pvp",15,MAX(0.1,Skills!D9-IF(Skills!E9=TRUE,Inputs!$B$32,0)))*(1-IF(AND(ArtifactsInput!$M$27,Inputs!$B$4="Chapter Hunt"),CHOOSE(ArtifactsInput!$N$27+1,20,24,28,32,36,40),0)/100)))+1)),0)</f>
        <v/>
      </c>
      <c r="S2900">
        <f>IFERROR(O2900/N2900,0)</f>
        <v/>
      </c>
      <c r="T2900">
        <f>IF(C2900,(H2900*N2900*IF(AND(Inputs!$B$38&lt;&gt;"pvp",Inputs!$B$43&gt;0),((Skills!G9*((R2900-1)*IF(Skills!H9&gt;0,Skills!I9/Skills!H9,1)+IF(Skills!H9&gt;0,MIN(Skills!I9,MAX(0,MAX(0,Inputs!$B$43-B2932)-((R2900-1)*(IF(Inputs!$B$38="pvp",15,MAX(0.1,Skills!D9-IF(Skills!E9=TRUE,Inputs!$B$32,0)))*(1-IF(AND(ArtifactsInput!$M$27,Inputs!$B$4="Chapter Hunt"),CHOOSE(ArtifactsInput!$N$27+1,20,24,28,32,36,40),0)/100)))))/Skills!H9,1)))/Inputs!$B$43),G2900*Q2900)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2900*(1-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2900*(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2900*(1-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2900*(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0">
        <f>IF(C2900,(H2900*N2900*IF(AND(Inputs!$B$38&lt;&gt;"pvp",Inputs!$B$43&gt;0),((Skills!G9*((R2900-1)*IF(Skills!H9&gt;0,Skills!I9/Skills!H9,1)+IF(Skills!H9&gt;0,MIN(Skills!I9,MAX(0,MAX(0,Inputs!$B$43-B2932)-((R2900-1)*(IF(Inputs!$B$38="pvp",15,MAX(0.1,Skills!D9-IF(Skills!E9=TRUE,Inputs!$B$32,0)))*(1-IF(AND(ArtifactsInput!$M$27,Inputs!$B$4="Chapter Hunt"),CHOOSE(ArtifactsInput!$N$27+1,20,24,28,32,36,40),0)/100)))))/Skills!H9,1)))/Inputs!$B$43),G2900*Q2900))*IF(Inputs!$B$38="pvp",1,(1+(Inputs!$B$21+Skills!Q9+(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1">
      <c r="A2901">
        <f>Skills!A10</f>
        <v/>
      </c>
      <c r="B2901">
        <f>Skills!B10</f>
        <v/>
      </c>
      <c r="C2901">
        <f>Inputs!$B$3&gt;=103</f>
        <v/>
      </c>
      <c r="D2901">
        <f>IF(Skills!C10=1,60+Inputs!$B$25+Inputs!$B$29,IF(Skills!C10=2,90+Inputs!$B$26+Inputs!$B$29,IF(Skills!C10=3,120+Inputs!$B$27+Inputs!$B$29,MAX(0,(Inputs!$B$3-100)*3)+Inputs!$B$28+Inputs!$B$29)))</f>
        <v/>
      </c>
      <c r="E2901">
        <f>INDEX(FactorTable!$B$2:$Y$301, MATCH(ROUND(MIN(300,MAX(1,D2901)),0), FactorTable!$A$2:$A$301,0), Skills!M10+1)</f>
        <v/>
      </c>
      <c r="F2901">
        <f>IF(Skills!N10=TRUE,(Skills!L10/10)*(E2901/1000),Skills!L10/10)+Skills!O10</f>
        <v/>
      </c>
      <c r="G2901">
        <f>Skills!G10*IF(Skills!H10&gt;0,Skills!I10/Skills!H10,1)</f>
        <v/>
      </c>
      <c r="H2901">
        <f>1-(1-Skills!J10/100)^Skills!K10</f>
        <v/>
      </c>
      <c r="I2901" t="inlineStr">
        <is>
          <t>1</t>
        </is>
      </c>
      <c r="J2901">
        <f>((Inputs!$B$6*(1+Inputs!$B$7/100))+(((Inputs!$B$12*(1+Inputs!$B$13/100))-(Inputs!$B$12*(1+Inputs!$B$13/100)))+0.25*(Inputs!$B$14-Inputs!$B$14))*(1+Inputs!$B$7/100))*(F2901/100)</f>
        <v/>
      </c>
      <c r="K2901">
        <f>J2901*(1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2901)</f>
        <v/>
      </c>
      <c r="L2901">
        <f>K2901*(MIN(Inputs!$B$22+((C2916=TRUE)*(F2916-Calc!F25)),(Inputs!$B$23+((C2921=TRUE)*(F2921-Calc!F30))+(IF(ArtifactsInput!$M$15,CHOOSE(ArtifactsInput!$N$15+1,25,30,35,40,45,50)/100*(Inputs!$B$11-Inputs!$B$11),0))))/100+(Inputs!$B$23+((C2921=TRUE)*(F2921-Calc!F30))+(IF(ArtifactsInput!$M$15,CHOOSE(ArtifactsInput!$N$15+1,25,30,35,40,45,50)/100*(Inputs!$B$11-Inputs!$B$11),0)))/100)/2</f>
        <v/>
      </c>
      <c r="M2901">
        <f>L2901*(1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1">
        <f>L2901*(1-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1">
        <f>(1-Summary!$B$11)*T2901+Summary!$B$11*V2901</f>
        <v/>
      </c>
      <c r="P2901">
        <f>IF(B2935=0,0,O2901/B2935)</f>
        <v/>
      </c>
      <c r="Q2901">
        <f>IFERROR(1/(IF(Inputs!$B$38="pvp",15,MAX(0.1,Skills!D10-IF(Skills!E10=TRUE,Inputs!$B$32,0)))*(1-IF(AND(ArtifactsInput!$M$27,Inputs!$B$4="Chapter Hunt"),CHOOSE(ArtifactsInput!$N$27+1,20,24,28,32,36,40),0)/100)),0)</f>
        <v/>
      </c>
      <c r="R2901">
        <f>IF(AND(Inputs!$B$38&lt;&gt;"pvp",Inputs!$B$43&gt;0),IF(MAX(0,Inputs!$B$43-B2932)&lt;=0,0,(INT(MAX(0,Inputs!$B$43-B2932)/(IF(Inputs!$B$38="pvp",15,MAX(0.1,Skills!D10-IF(Skills!E10=TRUE,Inputs!$B$32,0)))*(1-IF(AND(ArtifactsInput!$M$27,Inputs!$B$4="Chapter Hunt"),CHOOSE(ArtifactsInput!$N$27+1,20,24,28,32,36,40),0)/100)))+1)),0)</f>
        <v/>
      </c>
      <c r="S2901">
        <f>IFERROR(O2901/N2901,0)</f>
        <v/>
      </c>
      <c r="T2901">
        <f>IF(C2901,(H2901*N2901*IF(AND(Inputs!$B$38&lt;&gt;"pvp",Inputs!$B$43&gt;0),((Skills!G10*((R2901-1)*IF(Skills!H10&gt;0,Skills!I10/Skills!H10,1)+IF(Skills!H10&gt;0,MIN(Skills!I10,MAX(0,MAX(0,Inputs!$B$43-B2932)-((R2901-1)*(IF(Inputs!$B$38="pvp",15,MAX(0.1,Skills!D10-IF(Skills!E10=TRUE,Inputs!$B$32,0)))*(1-IF(AND(ArtifactsInput!$M$27,Inputs!$B$4="Chapter Hunt"),CHOOSE(ArtifactsInput!$N$27+1,20,24,28,32,36,40),0)/100)))))/Skills!H10,1)))/Inputs!$B$43),G2901*Q2901)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2901*(1-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2901*(1-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1">
        <f>IF(C2901,(H2901*N2901*IF(AND(Inputs!$B$38&lt;&gt;"pvp",Inputs!$B$43&gt;0),((Skills!G10*((R2901-1)*IF(Skills!H10&gt;0,Skills!I10/Skills!H10,1)+IF(Skills!H10&gt;0,MIN(Skills!I10,MAX(0,MAX(0,Inputs!$B$43-B2932)-((R2901-1)*(IF(Inputs!$B$38="pvp",15,MAX(0.1,Skills!D10-IF(Skills!E10=TRUE,Inputs!$B$32,0)))*(1-IF(AND(ArtifactsInput!$M$27,Inputs!$B$4="Chapter Hunt"),CHOOSE(ArtifactsInput!$N$27+1,20,24,28,32,36,40),0)/100)))))/Skills!H10,1)))/Inputs!$B$43),G2901*Q2901))*IF(Inputs!$B$38="pvp",1,(1+(Inputs!$B$21+Skills!Q10+(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2">
      <c r="A2902">
        <f>Skills!A11</f>
        <v/>
      </c>
      <c r="B2902">
        <f>Skills!B11</f>
        <v/>
      </c>
      <c r="C2902">
        <f>Inputs!$B$3&gt;=100</f>
        <v/>
      </c>
      <c r="D2902">
        <f>IF(Skills!C11=1,60+Inputs!$B$25+Inputs!$B$29,IF(Skills!C11=2,90+Inputs!$B$26+Inputs!$B$29,IF(Skills!C11=3,120+Inputs!$B$27+Inputs!$B$29,MAX(0,(Inputs!$B$3-100)*3)+Inputs!$B$28+Inputs!$B$29)))</f>
        <v/>
      </c>
      <c r="E2902">
        <f>INDEX(FactorTable!$B$2:$Y$301, MATCH(ROUND(MIN(300,MAX(1,D2902)),0), FactorTable!$A$2:$A$301,0), Skills!M11+1)</f>
        <v/>
      </c>
      <c r="F2902">
        <f>IF(Skills!N11=TRUE,(Skills!L11/10)*(E2902/1000),Skills!L11/10)+Skills!O11</f>
        <v/>
      </c>
      <c r="G2902" t="inlineStr"/>
      <c r="H2902" t="inlineStr"/>
      <c r="I2902" t="inlineStr">
        <is>
          <t>1</t>
        </is>
      </c>
      <c r="J2902" t="inlineStr"/>
      <c r="K2902" t="inlineStr"/>
      <c r="L2902" t="inlineStr"/>
      <c r="M2902" t="inlineStr"/>
      <c r="N2902" t="inlineStr"/>
      <c r="O2902" t="inlineStr"/>
      <c r="P2902" t="inlineStr"/>
      <c r="Q2902" t="inlineStr"/>
      <c r="R2902" t="inlineStr"/>
      <c r="S2902" t="inlineStr"/>
      <c r="T2902" t="inlineStr"/>
      <c r="V2902" t="inlineStr"/>
    </row>
    <row r="2903">
      <c r="A2903">
        <f>Skills!A12</f>
        <v/>
      </c>
      <c r="B2903">
        <f>Skills!B12</f>
        <v/>
      </c>
      <c r="C2903">
        <f>Inputs!$B$3&gt;=60</f>
        <v/>
      </c>
      <c r="D2903">
        <f>IF(Skills!C12=1,60+Inputs!$B$25+Inputs!$B$29,IF(Skills!C12=2,90+Inputs!$B$26+Inputs!$B$29,IF(Skills!C12=3,120+Inputs!$B$27+Inputs!$B$29,MAX(0,(Inputs!$B$3-100)*3)+Inputs!$B$28+Inputs!$B$29)))</f>
        <v/>
      </c>
      <c r="E2903">
        <f>INDEX(FactorTable!$B$2:$Y$301, MATCH(ROUND(MIN(300,MAX(1,D2903)),0), FactorTable!$A$2:$A$301,0), Skills!M12+1)</f>
        <v/>
      </c>
      <c r="F2903">
        <f>IF(Skills!N12=TRUE,(Skills!L12/10)*(E2903/1000),Skills!L12/10)+Skills!O12</f>
        <v/>
      </c>
      <c r="G2903">
        <f>Skills!G12*IF(Skills!H12&gt;0,Skills!I12/Skills!H12,1)</f>
        <v/>
      </c>
      <c r="H2903">
        <f>1-(1-Skills!J12/100)^Skills!K12</f>
        <v/>
      </c>
      <c r="I2903" t="inlineStr">
        <is>
          <t>1</t>
        </is>
      </c>
      <c r="J2903">
        <f>((Inputs!$B$6*(1+Inputs!$B$7/100))+(((Inputs!$B$12*(1+Inputs!$B$13/100))-(Inputs!$B$12*(1+Inputs!$B$13/100)))+0.25*(Inputs!$B$14-Inputs!$B$14))*(1+Inputs!$B$7/100))*(F2903/100)</f>
        <v/>
      </c>
      <c r="K2903">
        <f>J2903*(1+((Inputs!$B$12*(1+Inputs!$B$13/100))*0.01+Inputs!$B$14*0.0025)/100)*(1+Inputs!$B$15/100)*(1+Inputs!$B$16/100)*(5000/(6000+Inputs!$B$42*(1-(100*(1-(1-(Inputs!$B$19+((C2919=TRUE)*(F2919-Calc!F28)))/100)*(1-CHOOSE(ArtifactsInput!$N$40+1,5,6,7,8,9,10)/100)^(ArtifactsInput!$M$40-ArtifactsInput!$M$40)))/100)))*(1+(Inputs!$B$24+((C2917=TRUE)*(F2917-Calc!F26))+((C2918=TRUE)*(F2918-Calc!F27))+B2931)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2904=TRUE,F2904,0)/100)*(1+(IF(Skills!A12="ARROW_STREAM",Inputs!$B$17+((C2915=TRUE)*(F2915-Calc!F24))+(((IF(AND(ArtifactsInput!$M$42,((Inputs!$B$9+((C2912=TRUE)*(F2912-Calc!F21))+B2925+(ArtifactsInput!$M$24-ArtifactsInput!$M$24)*CHOOSE(ArtifactsInput!$N$24+1,10,12,14,16,18,20)+IF(ArtifactsInput!$M$10,CHOOSE(ArtifactsInput!$N$10+1,15,18,21,24,27,30)*(IF(Inputs!$B$38="pvp",MIN(15,15)/15,IF(AND(Inputs!$B$38&lt;&gt;"pvp",Inputs!$B$43&gt;0),MIN(15,Inputs!$B$43)/(Inputs!$B$43),0))),0)))&gt;=100),MIN(100,((Inputs!$B$9+((C2912=TRUE)*(F2912-Calc!F21))+B2925+(ArtifactsInput!$M$24-ArtifactsInput!$M$24)*CHOOSE(ArtifactsInput!$N$24+1,10,12,14,16,18,20)+IF(ArtifactsInput!$M$10,CHOOSE(ArtifactsInput!$N$10+1,15,18,21,24,27,30)*(IF(Inputs!$B$38="pvp",MIN(15,15)/15,IF(AND(Inputs!$B$38&lt;&gt;"pvp",Inputs!$B$43&gt;0),MIN(15,Inputs!$B$43)/(Inputs!$B$43),0))),0)))-100),0))*CHOOSE(ArtifactsInput!$N$42+1,0.6,0.72,0.84,0.96,1.08,1.2))),Inputs!$B$18+((C2920=TRUE)*(F2920-Calc!F29))+(IF(AND(ArtifactsInput!$M$42,((Inputs!$B$9+((C2912=TRUE)*(F2912-Calc!F21))+B2925+(ArtifactsInput!$M$24-ArtifactsInput!$M$24)*CHOOSE(ArtifactsInput!$N$24+1,10,12,14,16,18,20)+IF(ArtifactsInput!$M$10,CHOOSE(ArtifactsInput!$N$10+1,15,18,21,24,27,30)*(IF(Inputs!$B$38="pvp",MIN(15,15)/15,IF(AND(Inputs!$B$38&lt;&gt;"pvp",Inputs!$B$43&gt;0),MIN(15,Inputs!$B$43)/(Inputs!$B$43),0))),0)))&gt;=100),CHOOSE(ArtifactsInput!$N$42+1,40,48,56,64,72,80),0))))/100)*((1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2903)</f>
        <v/>
      </c>
      <c r="L2903">
        <f>K2903*(MIN(Inputs!$B$22+((C2916=TRUE)*(F2916-Calc!F25)),(Inputs!$B$23+((C2921=TRUE)*(F2921-Calc!F30))+(IF(ArtifactsInput!$M$15,CHOOSE(ArtifactsInput!$N$15+1,25,30,35,40,45,50)/100*(Inputs!$B$11-Inputs!$B$11),0))))/100+(Inputs!$B$23+((C2921=TRUE)*(F2921-Calc!F30))+(IF(ArtifactsInput!$M$15,CHOOSE(ArtifactsInput!$N$15+1,25,30,35,40,45,50)/100*(Inputs!$B$11-Inputs!$B$11),0)))/100)/2</f>
        <v/>
      </c>
      <c r="M2903">
        <f>L2903*(1+(Inputs!$B$10+0+B2930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3">
        <f>L2903*(1-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2903*(MIN((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3">
        <f>(1-Summary!$B$11)*T2903+Summary!$B$11*V2903</f>
        <v/>
      </c>
      <c r="P2903">
        <f>IF(B2935=0,0,O2903/B2935)</f>
        <v/>
      </c>
      <c r="Q2903">
        <f>IFERROR(1/(IF(Inputs!$B$38="pvp",15,MAX(0.1,Skills!D12-IF(Skills!E12=TRUE,Inputs!$B$32,0)))*(1-IF(AND(ArtifactsInput!$M$27,Inputs!$B$4="Chapter Hunt"),CHOOSE(ArtifactsInput!$N$27+1,20,24,28,32,36,40),0)/100)),0)</f>
        <v/>
      </c>
      <c r="R2903">
        <f>IF(AND(Inputs!$B$38&lt;&gt;"pvp",Inputs!$B$43&gt;0),IF(MAX(0,Inputs!$B$43-B2932)&lt;=0,0,(INT(MAX(0,Inputs!$B$43-B2932)/(IF(Inputs!$B$38="pvp",15,MAX(0.1,Skills!D12-IF(Skills!E12=TRUE,Inputs!$B$32,0)))*(1-IF(AND(ArtifactsInput!$M$27,Inputs!$B$4="Chapter Hunt"),CHOOSE(ArtifactsInput!$N$27+1,20,24,28,32,36,40),0)/100)))+1)),0)</f>
        <v/>
      </c>
      <c r="S2903">
        <f>IFERROR(O2903/N2903,0)</f>
        <v/>
      </c>
      <c r="T2903">
        <f>IF(C2903,(H2903*N2903*IF(AND(Inputs!$B$38&lt;&gt;"pvp",Inputs!$B$43&gt;0),((Skills!G12*((R2903-1)*IF(Skills!H12&gt;0,Skills!I12/Skills!H12,1)+IF(Skills!H12&gt;0,MIN(Skills!I12,MAX(0,MAX(0,Inputs!$B$43-B2932)-((R2903-1)*(IF(Inputs!$B$38="pvp",15,MAX(0.1,Skills!D12-IF(Skills!E12=TRUE,Inputs!$B$32,0)))*(1-IF(AND(ArtifactsInput!$M$27,Inputs!$B$4="Chapter Hunt"),CHOOSE(ArtifactsInput!$N$27+1,20,24,28,32,36,40),0)/100)))))/Skills!H12,1)))/Inputs!$B$43),G2903*Q2903)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(5000/(6000+Inputs!$B$42*(1-(100*(1-(1-(100*(1-(1-(Inputs!$B$19+((C2919=TRUE)*(F2919-Calc!F28)))/100)*(1-CHOOSE(ArtifactsInput!$N$40+1,5,6,7,8,9,10)/100)^(ArtifactsInput!$M$40-ArtifactsInput!$M$40)))/100)*(1-IF(ArtifactsInput!$M$40,CHOOSE(ArtifactsInput!$N$40+1,5,6,7,8,9,10),0)/100)^IF(Inputs!$B$38="pvp",1,2)))/100)))/(5000/(6000+Inputs!$B$42*(1-(100*(1-(1-(Inputs!$B$19+((C2919=TRUE)*(F2919-Calc!F28)))/100)*(1-CHOOSE(ArtifactsInput!$N$40+1,5,6,7,8,9,10)/100)^(ArtifactsInput!$M$40-ArtifactsInput!$M$40)))/100))))*((L2903*(1-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2903*(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2903*(1-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2903*(MIN(100,(Inputs!$B$9+((C2912=TRUE)*(F2912-Calc!F21))+B2925+(ArtifactsInput!$M$24-ArtifactsInput!$M$24)*CHOOSE(ArtifactsInput!$N$24+1,10,12,14,16,18,20)+(IF(AND(ArtifactsInput!$M$42,((Inputs!$B$9+((C2912=TRUE)*(F2912-Calc!F21))+B2925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3">
        <f>IF(C2903,(H2903*N2903*IF(AND(Inputs!$B$38&lt;&gt;"pvp",Inputs!$B$43&gt;0),((Skills!G12*((R2903-1)*IF(Skills!H12&gt;0,Skills!I12/Skills!H12,1)+IF(Skills!H12&gt;0,MIN(Skills!I12,MAX(0,MAX(0,Inputs!$B$43-B2932)-((R2903-1)*(IF(Inputs!$B$38="pvp",15,MAX(0.1,Skills!D12-IF(Skills!E12=TRUE,Inputs!$B$32,0)))*(1-IF(AND(ArtifactsInput!$M$27,Inputs!$B$4="Chapter Hunt"),CHOOSE(ArtifactsInput!$N$27+1,20,24,28,32,36,40),0)/100)))))/Skills!H12,1)))/Inputs!$B$43),G2903*Q2903))*IF(Inputs!$B$38="pvp",1,(1+(Inputs!$B$21+Skills!Q12+(IF(ArtifactsInput!$M$33,CHOOSE(ArtifactsInput!$N$33+1,30,36,42,48,54,60),0))+(IF(AND(ArtifactsInput!$M$35,Inputs!$B$4&lt;&gt;"Chapter Hunt"),CHOOSE(ArtifactsInput!$N$35+1,15,18,21,24,27,30)*(1-EXP(-(0.2*B2927)*5)),0)+IF(AND(ArtifactsInput!$M$22,Inputs!$B$4&lt;&gt;"Chapter Hunt"),CHOOSE(ArtifactsInput!$N$22+1,10,12,14,16,18,20)*((0*(((0.15*B2927*5))^0/1)+1*(((0.15*B2927*5))^1/1)+2*(((0.15*B2927*5))^2/2)+3*(((0.15*B2927*5))^3/6)+4*(((0.15*B2927*5))^4/24)+5*(((0.15*B2927*5))^5/120))/((((0.15*B2927*5))^0/1)+(((0.15*B2927*5))^1/1)+(((0.15*B2927*5))^2/2)+(((0.15*B2927*5))^3/6)+(((0.15*B2927*5))^4/24)+(((0.15*B2927*5))^5/120))),0)))/100)*(MIN(Skills!R12,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4">
      <c r="A2904">
        <f>Skills!A13</f>
        <v/>
      </c>
      <c r="B2904">
        <f>Skills!B13</f>
        <v/>
      </c>
      <c r="C2904">
        <f>Inputs!$B$3&gt;=110</f>
        <v/>
      </c>
      <c r="D2904">
        <f>IF(Skills!C13=1,60+Inputs!$B$25+Inputs!$B$29,IF(Skills!C13=2,90+Inputs!$B$26+Inputs!$B$29,IF(Skills!C13=3,120+Inputs!$B$27+Inputs!$B$29,MAX(0,(Inputs!$B$3-100)*3)+Inputs!$B$28+Inputs!$B$29)))</f>
        <v/>
      </c>
      <c r="E2904">
        <f>INDEX(FactorTable!$B$2:$Y$301, MATCH(ROUND(MIN(300,MAX(1,D2904)),0), FactorTable!$A$2:$A$301,0), Skills!M13+1)</f>
        <v/>
      </c>
      <c r="F2904">
        <f>IF(Skills!N13=TRUE,(Skills!L13/10)*(E2904/1000),Skills!L13/10)+Skills!O13</f>
        <v/>
      </c>
      <c r="G2904" t="inlineStr"/>
      <c r="H2904" t="inlineStr"/>
      <c r="I2904" t="inlineStr">
        <is>
          <t>1</t>
        </is>
      </c>
      <c r="J2904" t="inlineStr"/>
      <c r="K2904" t="inlineStr"/>
      <c r="L2904" t="inlineStr"/>
      <c r="M2904" t="inlineStr"/>
      <c r="N2904" t="inlineStr"/>
      <c r="O2904" t="inlineStr"/>
      <c r="P2904" t="inlineStr"/>
      <c r="Q2904" t="inlineStr"/>
      <c r="R2904" t="inlineStr"/>
      <c r="S2904" t="inlineStr"/>
      <c r="T2904" t="inlineStr"/>
      <c r="V2904" t="inlineStr"/>
    </row>
    <row r="2905">
      <c r="A2905">
        <f>Skills!A14</f>
        <v/>
      </c>
      <c r="B2905">
        <f>Skills!B14</f>
        <v/>
      </c>
      <c r="C2905">
        <f>Inputs!$B$3&gt;=74</f>
        <v/>
      </c>
      <c r="D2905">
        <f>IF(Skills!C14=1,60+Inputs!$B$25+Inputs!$B$29,IF(Skills!C14=2,90+Inputs!$B$26+Inputs!$B$29,IF(Skills!C14=3,120+Inputs!$B$27+Inputs!$B$29,MAX(0,(Inputs!$B$3-100)*3)+Inputs!$B$28+Inputs!$B$29)))</f>
        <v/>
      </c>
      <c r="E2905">
        <f>INDEX(FactorTable!$B$2:$Y$301, MATCH(ROUND(MIN(300,MAX(1,D2905)),0), FactorTable!$A$2:$A$301,0), Skills!M14+1)</f>
        <v/>
      </c>
      <c r="F2905">
        <f>IF(Skills!N14=TRUE,(Skills!L14/10)*(E2905/1000),Skills!L14/10)+Skills!O14</f>
        <v/>
      </c>
      <c r="G2905">
        <f>Skills!G14*IF(Skills!H14&gt;0,Skills!I14/Skills!H14,1)</f>
        <v/>
      </c>
      <c r="H2905">
        <f>1-(1-Skills!J14/100)^Skills!K14</f>
        <v/>
      </c>
      <c r="I2905" t="inlineStr">
        <is>
          <t>1</t>
        </is>
      </c>
      <c r="J2905" t="inlineStr"/>
      <c r="K2905" t="inlineStr"/>
      <c r="L2905" t="inlineStr"/>
      <c r="M2905" t="inlineStr"/>
      <c r="N2905" t="inlineStr"/>
      <c r="O2905">
        <f>(1-Summary!$B$11)*T2905+Summary!$B$11*V2905</f>
        <v/>
      </c>
      <c r="P2905">
        <f>IF(B2935=0,0,O2905/B2935)</f>
        <v/>
      </c>
      <c r="Q2905" t="n">
        <v>0</v>
      </c>
      <c r="R2905" t="n">
        <v>0</v>
      </c>
      <c r="S2905">
        <f>IFERROR(O2905/N2905,0)</f>
        <v/>
      </c>
      <c r="T2905" t="n">
        <v>0</v>
      </c>
      <c r="V2905" t="n">
        <v>0</v>
      </c>
    </row>
    <row r="2906">
      <c r="A2906">
        <f>Skills!A15</f>
        <v/>
      </c>
      <c r="B2906">
        <f>Skills!B15</f>
        <v/>
      </c>
      <c r="C2906">
        <f>Inputs!$B$3&gt;=74</f>
        <v/>
      </c>
      <c r="D2906">
        <f>IF(Skills!C15=1,60+Inputs!$B$25+Inputs!$B$29,IF(Skills!C15=2,90+Inputs!$B$26+Inputs!$B$29,IF(Skills!C15=3,120+Inputs!$B$27+Inputs!$B$29,MAX(0,(Inputs!$B$3-100)*3)+Inputs!$B$28+Inputs!$B$29)))</f>
        <v/>
      </c>
      <c r="E2906">
        <f>INDEX(FactorTable!$B$2:$Y$301, MATCH(ROUND(MIN(300,MAX(1,D2906)),0), FactorTable!$A$2:$A$301,0), Skills!M15+1)</f>
        <v/>
      </c>
      <c r="F2906">
        <f>IF(Skills!N15=TRUE,(Skills!L15/10)*(E2906/1000),Skills!L15/10)+Skills!O15</f>
        <v/>
      </c>
      <c r="G2906">
        <f>Skills!G15*IF(Skills!H15&gt;0,Skills!I15/Skills!H15,1)</f>
        <v/>
      </c>
      <c r="H2906">
        <f>1-(1-Skills!J15/100)^Skills!K15</f>
        <v/>
      </c>
      <c r="I2906" t="inlineStr">
        <is>
          <t>1</t>
        </is>
      </c>
      <c r="J2906" t="inlineStr"/>
      <c r="K2906" t="inlineStr"/>
      <c r="L2906" t="inlineStr"/>
      <c r="M2906" t="inlineStr"/>
      <c r="N2906" t="inlineStr"/>
      <c r="O2906">
        <f>(1-Summary!$B$11)*T2906+Summary!$B$11*V2906</f>
        <v/>
      </c>
      <c r="P2906">
        <f>IF(B2935=0,0,O2906/B2935)</f>
        <v/>
      </c>
      <c r="Q2906" t="n">
        <v>0</v>
      </c>
      <c r="R2906" t="n">
        <v>0</v>
      </c>
      <c r="S2906">
        <f>IFERROR(O2906/N2906,0)</f>
        <v/>
      </c>
      <c r="T2906" t="n">
        <v>0</v>
      </c>
      <c r="V2906" t="n">
        <v>0</v>
      </c>
    </row>
    <row r="2907">
      <c r="A2907">
        <f>Skills!A16</f>
        <v/>
      </c>
      <c r="B2907">
        <f>Skills!B16</f>
        <v/>
      </c>
      <c r="C2907">
        <f>Inputs!$B$3&gt;=117</f>
        <v/>
      </c>
      <c r="D2907">
        <f>IF(Skills!C16=1,60+Inputs!$B$25+Inputs!$B$29,IF(Skills!C16=2,90+Inputs!$B$26+Inputs!$B$29,IF(Skills!C16=3,120+Inputs!$B$27+Inputs!$B$29,MAX(0,(Inputs!$B$3-100)*3)+Inputs!$B$28+Inputs!$B$29)))</f>
        <v/>
      </c>
      <c r="E2907">
        <f>INDEX(FactorTable!$B$2:$Y$301, MATCH(ROUND(MIN(300,MAX(1,D2907)),0), FactorTable!$A$2:$A$301,0), Skills!M16+1)</f>
        <v/>
      </c>
      <c r="F2907">
        <f>IF(Skills!N16=TRUE,(Skills!L16/10)*(E2907/1000),Skills!L16/10)+Skills!O16</f>
        <v/>
      </c>
      <c r="G2907">
        <f>Skills!G16*IF(Skills!H16&gt;0,Skills!I16/Skills!H16,1)</f>
        <v/>
      </c>
      <c r="H2907">
        <f>1-(1-Skills!J16/100)^Skills!K16</f>
        <v/>
      </c>
      <c r="I2907" t="inlineStr">
        <is>
          <t>1</t>
        </is>
      </c>
      <c r="J2907" t="inlineStr"/>
      <c r="K2907" t="inlineStr"/>
      <c r="L2907" t="inlineStr"/>
      <c r="M2907" t="inlineStr"/>
      <c r="N2907" t="inlineStr"/>
      <c r="O2907">
        <f>(1-Summary!$B$11)*T2907+Summary!$B$11*V2907</f>
        <v/>
      </c>
      <c r="P2907">
        <f>IF(B2935=0,0,O2907/B2935)</f>
        <v/>
      </c>
      <c r="Q2907">
        <f>IFERROR(1/(IF(Inputs!$B$38="pvp",15,MAX(0.1,Skills!D16-IF(Skills!E16=TRUE,Inputs!$B$32,0)))*(1-IF(AND(ArtifactsInput!$M$27,Inputs!$B$4="Chapter Hunt"),CHOOSE(ArtifactsInput!$N$27+1,20,24,28,32,36,40),0)/100)),0)</f>
        <v/>
      </c>
      <c r="R2907">
        <f>IF(AND(Inputs!$B$38&lt;&gt;"pvp",Inputs!$B$43&gt;0),IF(Inputs!$B$43&lt;=0,0,(INT(Inputs!$B$43/(IF(Inputs!$B$38="pvp",15,MAX(0.1,Skills!D16-IF(Skills!E16=TRUE,Inputs!$B$32,0)))*(1-IF(AND(ArtifactsInput!$M$27,Inputs!$B$4="Chapter Hunt"),CHOOSE(ArtifactsInput!$N$27+1,20,24,28,32,36,40),0)/100)))+1)),0)</f>
        <v/>
      </c>
      <c r="S2907">
        <f>IFERROR(O2907/N2907,0)</f>
        <v/>
      </c>
      <c r="T2907" t="n">
        <v>0</v>
      </c>
      <c r="V2907" t="n">
        <v>0</v>
      </c>
    </row>
    <row r="2908">
      <c r="A2908">
        <f>Skills!A17</f>
        <v/>
      </c>
      <c r="B2908">
        <f>Skills!B17</f>
        <v/>
      </c>
      <c r="C2908">
        <f>Inputs!$B$3&gt;=115</f>
        <v/>
      </c>
      <c r="D2908">
        <f>IF(Skills!C17=1,60+Inputs!$B$25+Inputs!$B$29,IF(Skills!C17=2,90+Inputs!$B$26+Inputs!$B$29,IF(Skills!C17=3,120+Inputs!$B$27+Inputs!$B$29,MAX(0,(Inputs!$B$3-100)*3)+Inputs!$B$28+Inputs!$B$29)))</f>
        <v/>
      </c>
      <c r="E2908">
        <f>INDEX(FactorTable!$B$2:$Y$301, MATCH(ROUND(MIN(300,MAX(1,D2908)),0), FactorTable!$A$2:$A$301,0), Skills!M17+1)</f>
        <v/>
      </c>
      <c r="F2908">
        <f>IF(Skills!N17=TRUE,(Skills!L17/10)*(E2908/1000),Skills!L17/10)+Skills!O17</f>
        <v/>
      </c>
      <c r="G2908">
        <f>Skills!G17*IF(Skills!H17&gt;0,Skills!I17/Skills!H17,1)</f>
        <v/>
      </c>
      <c r="H2908">
        <f>1-(1-Skills!J17/100)^Skills!K17</f>
        <v/>
      </c>
      <c r="I2908" t="inlineStr">
        <is>
          <t>1</t>
        </is>
      </c>
      <c r="J2908" t="inlineStr"/>
      <c r="K2908" t="inlineStr"/>
      <c r="L2908" t="inlineStr"/>
      <c r="M2908" t="inlineStr"/>
      <c r="N2908" t="inlineStr"/>
      <c r="O2908">
        <f>(1-Summary!$B$11)*T2908+Summary!$B$11*V2908</f>
        <v/>
      </c>
      <c r="P2908">
        <f>IF(B2935=0,0,O2908/B2935)</f>
        <v/>
      </c>
      <c r="Q2908">
        <f>IFERROR(1/(IF(Inputs!$B$38="pvp",15,MAX(0.1,Skills!D17-IF(Skills!E17=TRUE,Inputs!$B$32,0)))*(1-IF(AND(ArtifactsInput!$M$27,Inputs!$B$4="Chapter Hunt"),CHOOSE(ArtifactsInput!$N$27+1,20,24,28,32,36,40),0)/100)),0)</f>
        <v/>
      </c>
      <c r="R2908">
        <f>IF(AND(Inputs!$B$38&lt;&gt;"pvp",Inputs!$B$43&gt;0),IF(Inputs!$B$43&lt;=0,0,(INT(Inputs!$B$43/(IF(Inputs!$B$38="pvp",15,MAX(0.1,Skills!D17-IF(Skills!E17=TRUE,Inputs!$B$32,0)))*(1-IF(AND(ArtifactsInput!$M$27,Inputs!$B$4="Chapter Hunt"),CHOOSE(ArtifactsInput!$N$27+1,20,24,28,32,36,40),0)/100)))+1)),0)</f>
        <v/>
      </c>
      <c r="S2908">
        <f>IFERROR(O2908/N2908,0)</f>
        <v/>
      </c>
      <c r="T2908" t="n">
        <v>0</v>
      </c>
      <c r="V2908" t="n">
        <v>0</v>
      </c>
    </row>
    <row r="2909">
      <c r="A2909">
        <f>Skills!A18</f>
        <v/>
      </c>
      <c r="B2909">
        <f>Skills!B18</f>
        <v/>
      </c>
      <c r="C2909">
        <f>Inputs!$B$3&gt;=66</f>
        <v/>
      </c>
      <c r="D2909">
        <f>IF(Skills!C18=1,60+Inputs!$B$25+Inputs!$B$29,IF(Skills!C18=2,90+Inputs!$B$26+Inputs!$B$29,IF(Skills!C18=3,120+Inputs!$B$27+Inputs!$B$29,MAX(0,(Inputs!$B$3-100)*3)+Inputs!$B$28+Inputs!$B$29)))</f>
        <v/>
      </c>
      <c r="E2909">
        <f>INDEX(FactorTable!$B$2:$Y$301, MATCH(ROUND(MIN(300,MAX(1,D2909)),0), FactorTable!$A$2:$A$301,0), Skills!M18+1)</f>
        <v/>
      </c>
      <c r="F2909">
        <f>IF(Skills!N18=TRUE,(Skills!L18/10)*(E2909/1000),Skills!L18/10)+Skills!O18</f>
        <v/>
      </c>
      <c r="G2909">
        <f>Skills!G18*IF(Skills!H18&gt;0,Skills!I18/Skills!H18,1)</f>
        <v/>
      </c>
      <c r="H2909">
        <f>1-(1-Skills!J18/100)^Skills!K18</f>
        <v/>
      </c>
      <c r="I2909" t="inlineStr">
        <is>
          <t>1</t>
        </is>
      </c>
      <c r="J2909" t="inlineStr"/>
      <c r="K2909" t="inlineStr"/>
      <c r="L2909" t="inlineStr"/>
      <c r="M2909" t="inlineStr"/>
      <c r="N2909" t="inlineStr"/>
      <c r="O2909">
        <f>(1-Summary!$B$11)*T2909+Summary!$B$11*V2909</f>
        <v/>
      </c>
      <c r="P2909">
        <f>IF(B2935=0,0,O2909/B2935)</f>
        <v/>
      </c>
      <c r="Q2909" t="n">
        <v>0</v>
      </c>
      <c r="R2909" t="n">
        <v>0</v>
      </c>
      <c r="S2909">
        <f>IFERROR(O2909/N2909,0)</f>
        <v/>
      </c>
      <c r="T2909" t="n">
        <v>0</v>
      </c>
      <c r="V2909" t="n">
        <v>0</v>
      </c>
    </row>
    <row r="2910">
      <c r="A2910">
        <f>Skills!A19</f>
        <v/>
      </c>
      <c r="B2910">
        <f>Skills!B19</f>
        <v/>
      </c>
      <c r="C2910">
        <f>Inputs!$B$3&gt;=72</f>
        <v/>
      </c>
      <c r="D2910">
        <f>IF(Skills!C19=1,60+Inputs!$B$25+Inputs!$B$29,IF(Skills!C19=2,90+Inputs!$B$26+Inputs!$B$29,IF(Skills!C19=3,120+Inputs!$B$27+Inputs!$B$29,MAX(0,(Inputs!$B$3-100)*3)+Inputs!$B$28+Inputs!$B$29)))</f>
        <v/>
      </c>
      <c r="E2910">
        <f>INDEX(FactorTable!$B$2:$Y$301, MATCH(ROUND(MIN(300,MAX(1,D2910)),0), FactorTable!$A$2:$A$301,0), Skills!M19+1)</f>
        <v/>
      </c>
      <c r="F2910">
        <f>IF(Skills!N19=TRUE,(Skills!L19/10)*(E2910/1000),Skills!L19/10)+Skills!O19</f>
        <v/>
      </c>
      <c r="G2910">
        <f>Skills!G19*IF(Skills!H19&gt;0,Skills!I19/Skills!H19,1)</f>
        <v/>
      </c>
      <c r="H2910">
        <f>1-(1-Skills!J19/100)^Skills!K19</f>
        <v/>
      </c>
      <c r="I2910" t="inlineStr">
        <is>
          <t>1</t>
        </is>
      </c>
      <c r="J2910" t="inlineStr"/>
      <c r="K2910" t="inlineStr"/>
      <c r="L2910" t="inlineStr"/>
      <c r="M2910" t="inlineStr"/>
      <c r="N2910" t="inlineStr"/>
      <c r="O2910">
        <f>(1-Summary!$B$11)*T2910+Summary!$B$11*V2910</f>
        <v/>
      </c>
      <c r="P2910">
        <f>IF(B2935=0,0,O2910/B2935)</f>
        <v/>
      </c>
      <c r="Q2910" t="n">
        <v>0</v>
      </c>
      <c r="R2910" t="n">
        <v>0</v>
      </c>
      <c r="S2910">
        <f>IFERROR(O2910/N2910,0)</f>
        <v/>
      </c>
      <c r="T2910" t="n">
        <v>0</v>
      </c>
      <c r="V2910" t="n">
        <v>0</v>
      </c>
    </row>
    <row r="2911">
      <c r="A2911">
        <f>Skills!A20</f>
        <v/>
      </c>
      <c r="B2911">
        <f>Skills!B20</f>
        <v/>
      </c>
      <c r="C2911">
        <f>TRUE</f>
        <v/>
      </c>
      <c r="D2911">
        <f>IF(Skills!C20=1,60+Inputs!$B$25+Inputs!$B$29,IF(Skills!C20=2,90+Inputs!$B$26+Inputs!$B$29,IF(Skills!C20=3,120+Inputs!$B$27+Inputs!$B$29,MAX(0,(Inputs!$B$3-100)*3)+Inputs!$B$28+Inputs!$B$29)))</f>
        <v/>
      </c>
      <c r="E2911">
        <f>INDEX(FactorTable!$B$2:$Y$301, MATCH(ROUND(MIN(300,MAX(1,D2911)),0), FactorTable!$A$2:$A$301,0), Skills!M20+1)</f>
        <v/>
      </c>
      <c r="F2911">
        <f>IF(Skills!N20=TRUE,(Skills!L20/10)*(E2911/1000),Skills!L20/10)+Skills!O20</f>
        <v/>
      </c>
      <c r="G2911">
        <f>Skills!G20*IF(Skills!H20&gt;0,Skills!I20/Skills!H20,1)</f>
        <v/>
      </c>
      <c r="H2911">
        <f>1-(1-Skills!J20/100)^Skills!K20</f>
        <v/>
      </c>
      <c r="I2911" t="inlineStr">
        <is>
          <t>1</t>
        </is>
      </c>
      <c r="J2911" t="inlineStr"/>
      <c r="K2911" t="inlineStr"/>
      <c r="L2911" t="inlineStr"/>
      <c r="M2911" t="inlineStr"/>
      <c r="N2911" t="inlineStr"/>
      <c r="O2911">
        <f>(1-Summary!$B$11)*T2911+Summary!$B$11*V2911</f>
        <v/>
      </c>
      <c r="P2911">
        <f>IF(B2935=0,0,O2911/B2935)</f>
        <v/>
      </c>
      <c r="Q2911">
        <f>IFERROR(1/(IF(Inputs!$B$38="pvp",15,MAX(0.1,Skills!D20-IF(Skills!E20=TRUE,Inputs!$B$32,0)))*(1-IF(AND(ArtifactsInput!$M$27,Inputs!$B$4="Chapter Hunt"),CHOOSE(ArtifactsInput!$N$27+1,20,24,28,32,36,40),0)/100)),0)</f>
        <v/>
      </c>
      <c r="R2911">
        <f>IF(AND(Inputs!$B$38&lt;&gt;"pvp",Inputs!$B$43&gt;0),IF(Inputs!$B$43&lt;=0,0,(INT(Inputs!$B$43/(IF(Inputs!$B$38="pvp",15,MAX(0.1,Skills!D20-IF(Skills!E20=TRUE,Inputs!$B$32,0)))*(1-IF(AND(ArtifactsInput!$M$27,Inputs!$B$4="Chapter Hunt"),CHOOSE(ArtifactsInput!$N$27+1,20,24,28,32,36,40),0)/100)))+1)),0)</f>
        <v/>
      </c>
      <c r="S2911">
        <f>IFERROR(O2911/N2911,0)</f>
        <v/>
      </c>
      <c r="T2911" t="n">
        <v>0</v>
      </c>
      <c r="V2911" t="n">
        <v>0</v>
      </c>
    </row>
    <row r="2912">
      <c r="A2912">
        <f>Skills!A21</f>
        <v/>
      </c>
      <c r="B2912">
        <f>Skills!B21</f>
        <v/>
      </c>
      <c r="C2912">
        <f>Inputs!$B$3&gt;=15</f>
        <v/>
      </c>
      <c r="D2912">
        <f>IF(Skills!C21=1,60+Inputs!$B$25+Inputs!$B$29,IF(Skills!C21=2,90+Inputs!$B$26+Inputs!$B$29,IF(Skills!C21=3,120+Inputs!$B$27+Inputs!$B$29,MAX(0,(Inputs!$B$3-100)*3)+Inputs!$B$28+Inputs!$B$29)))</f>
        <v/>
      </c>
      <c r="E2912">
        <f>INDEX(FactorTable!$B$2:$Y$301, MATCH(ROUND(MIN(300,MAX(1,D2912)),0), FactorTable!$A$2:$A$301,0), Skills!M21+1)</f>
        <v/>
      </c>
      <c r="F2912">
        <f>IF(Skills!N21=TRUE,(Skills!L21/10)*(E2912/1000),Skills!L21/10)+Skills!O21</f>
        <v/>
      </c>
      <c r="G2912">
        <f>Skills!G21*IF(Skills!H21&gt;0,Skills!I21/Skills!H21,1)</f>
        <v/>
      </c>
      <c r="H2912">
        <f>1-(1-Skills!J21/100)^Skills!K21</f>
        <v/>
      </c>
      <c r="I2912" t="inlineStr">
        <is>
          <t>1</t>
        </is>
      </c>
      <c r="J2912" t="inlineStr"/>
      <c r="K2912" t="inlineStr"/>
      <c r="L2912" t="inlineStr"/>
      <c r="M2912" t="inlineStr"/>
      <c r="N2912" t="inlineStr"/>
      <c r="O2912">
        <f>(1-Summary!$B$11)*T2912+Summary!$B$11*V2912</f>
        <v/>
      </c>
      <c r="P2912">
        <f>IF(B2935=0,0,O2912/B2935)</f>
        <v/>
      </c>
      <c r="Q2912" t="n">
        <v>0</v>
      </c>
      <c r="R2912" t="n">
        <v>0</v>
      </c>
      <c r="S2912">
        <f>IFERROR(O2912/N2912,0)</f>
        <v/>
      </c>
      <c r="T2912" t="n">
        <v>0</v>
      </c>
      <c r="V2912" t="n">
        <v>0</v>
      </c>
    </row>
    <row r="2913">
      <c r="A2913">
        <f>Skills!A22</f>
        <v/>
      </c>
      <c r="B2913">
        <f>Skills!B22</f>
        <v/>
      </c>
      <c r="C2913">
        <f>Inputs!$B$3&gt;=10</f>
        <v/>
      </c>
      <c r="D2913">
        <f>IF(Skills!C22=1,60+Inputs!$B$25+Inputs!$B$29,IF(Skills!C22=2,90+Inputs!$B$26+Inputs!$B$29,IF(Skills!C22=3,120+Inputs!$B$27+Inputs!$B$29,MAX(0,(Inputs!$B$3-100)*3)+Inputs!$B$28+Inputs!$B$29)))</f>
        <v/>
      </c>
      <c r="E2913">
        <f>INDEX(FactorTable!$B$2:$Y$301, MATCH(ROUND(MIN(300,MAX(1,D2913)),0), FactorTable!$A$2:$A$301,0), Skills!M22+1)</f>
        <v/>
      </c>
      <c r="F2913">
        <f>IF(Skills!N22=TRUE,(Skills!L22/10)*(E2913/1000),Skills!L22/10)+Skills!O22</f>
        <v/>
      </c>
      <c r="G2913">
        <f>Skills!G22*IF(Skills!H22&gt;0,Skills!I22/Skills!H22,1)</f>
        <v/>
      </c>
      <c r="H2913">
        <f>1-(1-Skills!J22/100)^Skills!K22</f>
        <v/>
      </c>
      <c r="I2913" t="inlineStr">
        <is>
          <t>1</t>
        </is>
      </c>
      <c r="J2913" t="inlineStr"/>
      <c r="K2913" t="inlineStr"/>
      <c r="L2913" t="inlineStr"/>
      <c r="M2913" t="inlineStr"/>
      <c r="N2913" t="inlineStr"/>
      <c r="O2913">
        <f>(1-Summary!$B$11)*T2913+Summary!$B$11*V2913</f>
        <v/>
      </c>
      <c r="P2913">
        <f>IF(B2935=0,0,O2913/B2935)</f>
        <v/>
      </c>
      <c r="Q2913" t="n">
        <v>0</v>
      </c>
      <c r="R2913" t="n">
        <v>0</v>
      </c>
      <c r="S2913">
        <f>IFERROR(O2913/N2913,0)</f>
        <v/>
      </c>
      <c r="T2913" t="n">
        <v>0</v>
      </c>
      <c r="V2913" t="n">
        <v>0</v>
      </c>
    </row>
    <row r="2914">
      <c r="A2914">
        <f>Skills!A23</f>
        <v/>
      </c>
      <c r="B2914">
        <f>Skills!B23</f>
        <v/>
      </c>
      <c r="C2914">
        <f>Inputs!$B$3&gt;=33</f>
        <v/>
      </c>
      <c r="D2914">
        <f>IF(Skills!C23=1,60+Inputs!$B$25+Inputs!$B$29,IF(Skills!C23=2,90+Inputs!$B$26+Inputs!$B$29,IF(Skills!C23=3,120+Inputs!$B$27+Inputs!$B$29,MAX(0,(Inputs!$B$3-100)*3)+Inputs!$B$28+Inputs!$B$29)))</f>
        <v/>
      </c>
      <c r="E2914">
        <f>INDEX(FactorTable!$B$2:$Y$301, MATCH(ROUND(MIN(300,MAX(1,D2914)),0), FactorTable!$A$2:$A$301,0), Skills!M23+1)</f>
        <v/>
      </c>
      <c r="F2914">
        <f>IF(Skills!N23=TRUE,(Skills!L23/10)*(E2914/1000),Skills!L23/10)+Skills!O23</f>
        <v/>
      </c>
      <c r="G2914">
        <f>Skills!G23*IF(Skills!H23&gt;0,Skills!I23/Skills!H23,1)</f>
        <v/>
      </c>
      <c r="H2914">
        <f>1-(1-Skills!J23/100)^Skills!K23</f>
        <v/>
      </c>
      <c r="I2914" t="inlineStr">
        <is>
          <t>1</t>
        </is>
      </c>
      <c r="J2914" t="inlineStr"/>
      <c r="K2914" t="inlineStr"/>
      <c r="L2914" t="inlineStr"/>
      <c r="M2914" t="inlineStr"/>
      <c r="N2914" t="inlineStr"/>
      <c r="O2914">
        <f>(1-Summary!$B$11)*T2914+Summary!$B$11*V2914</f>
        <v/>
      </c>
      <c r="P2914">
        <f>IF(B2935=0,0,O2914/B2935)</f>
        <v/>
      </c>
      <c r="Q2914" t="n">
        <v>0</v>
      </c>
      <c r="R2914" t="n">
        <v>0</v>
      </c>
      <c r="S2914">
        <f>IFERROR(O2914/N2914,0)</f>
        <v/>
      </c>
      <c r="T2914" t="n">
        <v>0</v>
      </c>
      <c r="V2914" t="n">
        <v>0</v>
      </c>
    </row>
    <row r="2915">
      <c r="A2915">
        <f>Skills!A24</f>
        <v/>
      </c>
      <c r="B2915">
        <f>Skills!B24</f>
        <v/>
      </c>
      <c r="C2915">
        <f>Inputs!$B$3&gt;=38</f>
        <v/>
      </c>
      <c r="D2915">
        <f>IF(Skills!C24=1,60+Inputs!$B$25+Inputs!$B$29,IF(Skills!C24=2,90+Inputs!$B$26+Inputs!$B$29,IF(Skills!C24=3,120+Inputs!$B$27+Inputs!$B$29,MAX(0,(Inputs!$B$3-100)*3)+Inputs!$B$28+Inputs!$B$29)))</f>
        <v/>
      </c>
      <c r="E2915">
        <f>INDEX(FactorTable!$B$2:$Y$301, MATCH(ROUND(MIN(300,MAX(1,D2915)),0), FactorTable!$A$2:$A$301,0), Skills!M24+1)</f>
        <v/>
      </c>
      <c r="F2915">
        <f>IF(Skills!N24=TRUE,(Skills!L24/10)*(E2915/1000),Skills!L24/10)+Skills!O24</f>
        <v/>
      </c>
      <c r="G2915">
        <f>Skills!G24*IF(Skills!H24&gt;0,Skills!I24/Skills!H24,1)</f>
        <v/>
      </c>
      <c r="H2915">
        <f>1-(1-Skills!J24/100)^Skills!K24</f>
        <v/>
      </c>
      <c r="I2915" t="inlineStr">
        <is>
          <t>1</t>
        </is>
      </c>
      <c r="J2915" t="inlineStr"/>
      <c r="K2915" t="inlineStr"/>
      <c r="L2915" t="inlineStr"/>
      <c r="M2915" t="inlineStr"/>
      <c r="N2915" t="inlineStr"/>
      <c r="O2915">
        <f>(1-Summary!$B$11)*T2915+Summary!$B$11*V2915</f>
        <v/>
      </c>
      <c r="P2915">
        <f>IF(B2935=0,0,O2915/B2935)</f>
        <v/>
      </c>
      <c r="Q2915" t="n">
        <v>0</v>
      </c>
      <c r="R2915" t="n">
        <v>0</v>
      </c>
      <c r="S2915">
        <f>IFERROR(O2915/N2915,0)</f>
        <v/>
      </c>
      <c r="T2915" t="n">
        <v>0</v>
      </c>
      <c r="V2915" t="n">
        <v>0</v>
      </c>
    </row>
    <row r="2916">
      <c r="A2916">
        <f>Skills!A25</f>
        <v/>
      </c>
      <c r="B2916">
        <f>Skills!B25</f>
        <v/>
      </c>
      <c r="C2916">
        <f>Inputs!$B$3&gt;=43</f>
        <v/>
      </c>
      <c r="D2916">
        <f>IF(Skills!C25=1,60+Inputs!$B$25+Inputs!$B$29,IF(Skills!C25=2,90+Inputs!$B$26+Inputs!$B$29,IF(Skills!C25=3,120+Inputs!$B$27+Inputs!$B$29,MAX(0,(Inputs!$B$3-100)*3)+Inputs!$B$28+Inputs!$B$29)))</f>
        <v/>
      </c>
      <c r="E2916">
        <f>INDEX(FactorTable!$B$2:$Y$301, MATCH(ROUND(MIN(300,MAX(1,D2916)),0), FactorTable!$A$2:$A$301,0), Skills!M25+1)</f>
        <v/>
      </c>
      <c r="F2916">
        <f>IF(Skills!N25=TRUE,(Skills!L25/10)*(E2916/1000),Skills!L25/10)+Skills!O25</f>
        <v/>
      </c>
      <c r="G2916">
        <f>Skills!G25*IF(Skills!H25&gt;0,Skills!I25/Skills!H25,1)</f>
        <v/>
      </c>
      <c r="H2916">
        <f>1-(1-Skills!J25/100)^Skills!K25</f>
        <v/>
      </c>
      <c r="I2916" t="inlineStr">
        <is>
          <t>1</t>
        </is>
      </c>
      <c r="J2916" t="inlineStr"/>
      <c r="K2916" t="inlineStr"/>
      <c r="L2916" t="inlineStr"/>
      <c r="M2916" t="inlineStr"/>
      <c r="N2916" t="inlineStr"/>
      <c r="O2916">
        <f>(1-Summary!$B$11)*T2916+Summary!$B$11*V2916</f>
        <v/>
      </c>
      <c r="P2916">
        <f>IF(B2935=0,0,O2916/B2935)</f>
        <v/>
      </c>
      <c r="Q2916" t="n">
        <v>0</v>
      </c>
      <c r="R2916" t="n">
        <v>0</v>
      </c>
      <c r="S2916">
        <f>IFERROR(O2916/N2916,0)</f>
        <v/>
      </c>
      <c r="T2916" t="n">
        <v>0</v>
      </c>
      <c r="V2916" t="n">
        <v>0</v>
      </c>
    </row>
    <row r="2917">
      <c r="A2917">
        <f>Skills!A26</f>
        <v/>
      </c>
      <c r="B2917">
        <f>Skills!B26</f>
        <v/>
      </c>
      <c r="C2917">
        <f>Inputs!$B$3&gt;=75</f>
        <v/>
      </c>
      <c r="D2917">
        <f>IF(Skills!C26=1,60+Inputs!$B$25+Inputs!$B$29,IF(Skills!C26=2,90+Inputs!$B$26+Inputs!$B$29,IF(Skills!C26=3,120+Inputs!$B$27+Inputs!$B$29,MAX(0,(Inputs!$B$3-100)*3)+Inputs!$B$28+Inputs!$B$29)))</f>
        <v/>
      </c>
      <c r="E2917">
        <f>INDEX(FactorTable!$B$2:$Y$301, MATCH(ROUND(MIN(300,MAX(1,D2917)),0), FactorTable!$A$2:$A$301,0), Skills!M26+1)</f>
        <v/>
      </c>
      <c r="F2917">
        <f>IF(Skills!N26=TRUE,(Skills!L26/10)*(E2917/1000),Skills!L26/10)+Skills!O26</f>
        <v/>
      </c>
      <c r="G2917">
        <f>Skills!G26*IF(Skills!H26&gt;0,Skills!I26/Skills!H26,1)</f>
        <v/>
      </c>
      <c r="H2917">
        <f>1-(1-Skills!J26/100)^Skills!K26</f>
        <v/>
      </c>
      <c r="I2917" t="inlineStr">
        <is>
          <t>1</t>
        </is>
      </c>
      <c r="J2917" t="inlineStr"/>
      <c r="K2917" t="inlineStr"/>
      <c r="L2917" t="inlineStr"/>
      <c r="M2917" t="inlineStr"/>
      <c r="N2917" t="inlineStr"/>
      <c r="O2917">
        <f>(1-Summary!$B$11)*T2917+Summary!$B$11*V2917</f>
        <v/>
      </c>
      <c r="P2917">
        <f>IF(B2935=0,0,O2917/B2935)</f>
        <v/>
      </c>
      <c r="Q2917" t="n">
        <v>0</v>
      </c>
      <c r="R2917" t="n">
        <v>0</v>
      </c>
      <c r="S2917">
        <f>IFERROR(O2917/N2917,0)</f>
        <v/>
      </c>
      <c r="T2917" t="n">
        <v>0</v>
      </c>
      <c r="V2917" t="n">
        <v>0</v>
      </c>
    </row>
    <row r="2918">
      <c r="A2918">
        <f>Skills!A27</f>
        <v/>
      </c>
      <c r="B2918">
        <f>Skills!B27</f>
        <v/>
      </c>
      <c r="C2918">
        <f>Inputs!$B$3&gt;=125</f>
        <v/>
      </c>
      <c r="D2918">
        <f>IF(Skills!C27=1,60+Inputs!$B$25+Inputs!$B$29,IF(Skills!C27=2,90+Inputs!$B$26+Inputs!$B$29,IF(Skills!C27=3,120+Inputs!$B$27+Inputs!$B$29,MAX(0,(Inputs!$B$3-100)*3)+Inputs!$B$28+Inputs!$B$29)))</f>
        <v/>
      </c>
      <c r="E2918">
        <f>INDEX(FactorTable!$B$2:$Y$301, MATCH(ROUND(MIN(300,MAX(1,D2918)),0), FactorTable!$A$2:$A$301,0), Skills!M27+1)</f>
        <v/>
      </c>
      <c r="F2918">
        <f>IF(Skills!N27=TRUE,(Skills!L27/10)*(E2918/1000),Skills!L27/10)+Skills!O27</f>
        <v/>
      </c>
      <c r="G2918">
        <f>Skills!G27*IF(Skills!H27&gt;0,Skills!I27/Skills!H27,1)</f>
        <v/>
      </c>
      <c r="H2918">
        <f>1-(1-Skills!J27/100)^Skills!K27</f>
        <v/>
      </c>
      <c r="I2918" t="inlineStr">
        <is>
          <t>1</t>
        </is>
      </c>
      <c r="J2918" t="inlineStr"/>
      <c r="K2918" t="inlineStr"/>
      <c r="L2918" t="inlineStr"/>
      <c r="M2918" t="inlineStr"/>
      <c r="N2918" t="inlineStr"/>
      <c r="O2918">
        <f>(1-Summary!$B$11)*T2918+Summary!$B$11*V2918</f>
        <v/>
      </c>
      <c r="P2918">
        <f>IF(B2935=0,0,O2918/B2935)</f>
        <v/>
      </c>
      <c r="Q2918" t="n">
        <v>0</v>
      </c>
      <c r="R2918" t="n">
        <v>0</v>
      </c>
      <c r="S2918">
        <f>IFERROR(O2918/N2918,0)</f>
        <v/>
      </c>
      <c r="T2918" t="n">
        <v>0</v>
      </c>
      <c r="V2918" t="n">
        <v>0</v>
      </c>
    </row>
    <row r="2919">
      <c r="A2919">
        <f>Skills!A28</f>
        <v/>
      </c>
      <c r="B2919">
        <f>Skills!B28</f>
        <v/>
      </c>
      <c r="C2919">
        <f>Inputs!$B$3&gt;=125</f>
        <v/>
      </c>
      <c r="D2919">
        <f>IF(Skills!C28=1,60+Inputs!$B$25+Inputs!$B$29,IF(Skills!C28=2,90+Inputs!$B$26+Inputs!$B$29,IF(Skills!C28=3,120+Inputs!$B$27+Inputs!$B$29,MAX(0,(Inputs!$B$3-100)*3)+Inputs!$B$28+Inputs!$B$29)))</f>
        <v/>
      </c>
      <c r="E2919">
        <f>INDEX(FactorTable!$B$2:$Y$301, MATCH(ROUND(MIN(300,MAX(1,D2919)),0), FactorTable!$A$2:$A$301,0), Skills!M28+1)</f>
        <v/>
      </c>
      <c r="F2919">
        <f>IF(Skills!N28=TRUE,(Skills!L28/10)*(E2919/1000),Skills!L28/10)+Skills!O28</f>
        <v/>
      </c>
      <c r="G2919">
        <f>Skills!G28*IF(Skills!H28&gt;0,Skills!I28/Skills!H28,1)</f>
        <v/>
      </c>
      <c r="H2919">
        <f>1-(1-Skills!J28/100)^Skills!K28</f>
        <v/>
      </c>
      <c r="I2919" t="inlineStr">
        <is>
          <t>1</t>
        </is>
      </c>
      <c r="J2919" t="inlineStr"/>
      <c r="K2919" t="inlineStr"/>
      <c r="L2919" t="inlineStr"/>
      <c r="M2919" t="inlineStr"/>
      <c r="N2919" t="inlineStr"/>
      <c r="O2919">
        <f>(1-Summary!$B$11)*T2919+Summary!$B$11*V2919</f>
        <v/>
      </c>
      <c r="P2919">
        <f>IF(B2935=0,0,O2919/B2935)</f>
        <v/>
      </c>
      <c r="Q2919" t="n">
        <v>0</v>
      </c>
      <c r="R2919" t="n">
        <v>0</v>
      </c>
      <c r="S2919">
        <f>IFERROR(O2919/N2919,0)</f>
        <v/>
      </c>
      <c r="T2919" t="n">
        <v>0</v>
      </c>
      <c r="V2919" t="n">
        <v>0</v>
      </c>
    </row>
    <row r="2920">
      <c r="A2920">
        <f>Skills!A29</f>
        <v/>
      </c>
      <c r="B2920">
        <f>Skills!B29</f>
        <v/>
      </c>
      <c r="C2920">
        <f>Inputs!$B$3&gt;=120</f>
        <v/>
      </c>
      <c r="D2920">
        <f>IF(Skills!C29=1,60+Inputs!$B$25+Inputs!$B$29,IF(Skills!C29=2,90+Inputs!$B$26+Inputs!$B$29,IF(Skills!C29=3,120+Inputs!$B$27+Inputs!$B$29,MAX(0,(Inputs!$B$3-100)*3)+Inputs!$B$28+Inputs!$B$29)))</f>
        <v/>
      </c>
      <c r="E2920">
        <f>INDEX(FactorTable!$B$2:$Y$301, MATCH(ROUND(MIN(300,MAX(1,D2920)),0), FactorTable!$A$2:$A$301,0), Skills!M29+1)</f>
        <v/>
      </c>
      <c r="F2920">
        <f>IF(Skills!N29=TRUE,(Skills!L29/10)*(E2920/1000),Skills!L29/10)+Skills!O29</f>
        <v/>
      </c>
      <c r="G2920">
        <f>Skills!G29*IF(Skills!H29&gt;0,Skills!I29/Skills!H29,1)</f>
        <v/>
      </c>
      <c r="H2920">
        <f>1-(1-Skills!J29/100)^Skills!K29</f>
        <v/>
      </c>
      <c r="I2920" t="inlineStr">
        <is>
          <t>1</t>
        </is>
      </c>
      <c r="J2920" t="inlineStr"/>
      <c r="K2920" t="inlineStr"/>
      <c r="L2920" t="inlineStr"/>
      <c r="M2920" t="inlineStr"/>
      <c r="N2920" t="inlineStr"/>
      <c r="O2920">
        <f>(1-Summary!$B$11)*T2920+Summary!$B$11*V2920</f>
        <v/>
      </c>
      <c r="P2920">
        <f>IF(B2935=0,0,O2920/B2935)</f>
        <v/>
      </c>
      <c r="Q2920" t="n">
        <v>0</v>
      </c>
      <c r="R2920" t="n">
        <v>0</v>
      </c>
      <c r="S2920">
        <f>IFERROR(O2920/N2920,0)</f>
        <v/>
      </c>
      <c r="T2920" t="n">
        <v>0</v>
      </c>
      <c r="V2920" t="n">
        <v>0</v>
      </c>
    </row>
    <row r="2921">
      <c r="A2921">
        <f>Skills!A30</f>
        <v/>
      </c>
      <c r="B2921">
        <f>Skills!B30</f>
        <v/>
      </c>
      <c r="C2921">
        <f>Inputs!$B$3&gt;=120</f>
        <v/>
      </c>
      <c r="D2921">
        <f>IF(Skills!C30=1,60+Inputs!$B$25+Inputs!$B$29,IF(Skills!C30=2,90+Inputs!$B$26+Inputs!$B$29,IF(Skills!C30=3,120+Inputs!$B$27+Inputs!$B$29,MAX(0,(Inputs!$B$3-100)*3)+Inputs!$B$28+Inputs!$B$29)))</f>
        <v/>
      </c>
      <c r="E2921">
        <f>INDEX(FactorTable!$B$2:$Y$301, MATCH(ROUND(MIN(300,MAX(1,D2921)),0), FactorTable!$A$2:$A$301,0), Skills!M30+1)</f>
        <v/>
      </c>
      <c r="F2921">
        <f>IF(Skills!N30=TRUE,(Skills!L30/10)*(E2921/1000),Skills!L30/10)+Skills!O30</f>
        <v/>
      </c>
      <c r="G2921">
        <f>Skills!G30*IF(Skills!H30&gt;0,Skills!I30/Skills!H30,1)</f>
        <v/>
      </c>
      <c r="H2921">
        <f>1-(1-Skills!J30/100)^Skills!K30</f>
        <v/>
      </c>
      <c r="I2921" t="inlineStr">
        <is>
          <t>1</t>
        </is>
      </c>
      <c r="J2921" t="inlineStr"/>
      <c r="K2921" t="inlineStr"/>
      <c r="L2921" t="inlineStr"/>
      <c r="M2921" t="inlineStr"/>
      <c r="N2921" t="inlineStr"/>
      <c r="O2921">
        <f>(1-Summary!$B$11)*T2921+Summary!$B$11*V2921</f>
        <v/>
      </c>
      <c r="P2921">
        <f>IF(B2935=0,0,O2921/B2935)</f>
        <v/>
      </c>
      <c r="Q2921" t="n">
        <v>0</v>
      </c>
      <c r="R2921" t="n">
        <v>0</v>
      </c>
      <c r="S2921">
        <f>IFERROR(O2921/N2921,0)</f>
        <v/>
      </c>
      <c r="T2921" t="n">
        <v>0</v>
      </c>
      <c r="V2921" t="n">
        <v>0</v>
      </c>
    </row>
    <row r="2922">
      <c r="A2922">
        <f>Skills!A31</f>
        <v/>
      </c>
      <c r="B2922">
        <f>Skills!B31</f>
        <v/>
      </c>
      <c r="C2922">
        <f>Inputs!$B$3&gt;=45</f>
        <v/>
      </c>
      <c r="D2922">
        <f>IF(Skills!C31=1,60+Inputs!$B$25+Inputs!$B$29,IF(Skills!C31=2,90+Inputs!$B$26+Inputs!$B$29,IF(Skills!C31=3,120+Inputs!$B$27+Inputs!$B$29,MAX(0,(Inputs!$B$3-100)*3)+Inputs!$B$28+Inputs!$B$29)))</f>
        <v/>
      </c>
      <c r="E2922">
        <f>INDEX(FactorTable!$B$2:$Y$301, MATCH(ROUND(MIN(300,MAX(1,D2922)),0), FactorTable!$A$2:$A$301,0), Skills!M31+1)</f>
        <v/>
      </c>
      <c r="F2922">
        <f>IF(Skills!N31=TRUE,(Skills!L31/10)*(E2922/1000),Skills!L31/10)+Skills!O31</f>
        <v/>
      </c>
      <c r="G2922">
        <f>Skills!G31*IF(Skills!H31&gt;0,Skills!I31/Skills!H31,1)</f>
        <v/>
      </c>
      <c r="H2922">
        <f>1-(1-Skills!J31/100)^Skills!K31</f>
        <v/>
      </c>
      <c r="I2922" t="inlineStr">
        <is>
          <t>1</t>
        </is>
      </c>
      <c r="J2922" t="inlineStr"/>
      <c r="K2922" t="inlineStr"/>
      <c r="L2922" t="inlineStr"/>
      <c r="M2922" t="inlineStr"/>
      <c r="N2922" t="inlineStr"/>
      <c r="O2922">
        <f>(1-Summary!$B$11)*T2922+Summary!$B$11*V2922</f>
        <v/>
      </c>
      <c r="P2922">
        <f>IF(B2935=0,0,O2922/B2935)</f>
        <v/>
      </c>
      <c r="Q2922" t="n">
        <v>0</v>
      </c>
      <c r="R2922" t="n">
        <v>0</v>
      </c>
      <c r="S2922">
        <f>IFERROR(O2922/N2922,0)</f>
        <v/>
      </c>
      <c r="T2922" t="n">
        <v>0</v>
      </c>
      <c r="V2922" t="n">
        <v>0</v>
      </c>
    </row>
    <row r="2924">
      <c r="A2924" t="inlineStr">
        <is>
          <t>Attack% Bucket Multiplier</t>
        </is>
      </c>
      <c r="B2924">
        <f>(1+(((C2905=TRUE)*F2905)+((C2906=TRUE)*IF(Inputs!$B$38="pvp",F2906,(1-Summary!$B$11)*(F2906)+Summary!$B$11*(0)))+((C2907=TRUE)*F2907*IF(AND(Inputs!$B$38&lt;&gt;"pvp",Inputs!$B$43&gt;0),(((R2907-1)*(Skills!T16*(1+Inputs!$B$34/100))+MIN((Skills!T16*(1+Inputs!$B$34/100)),MAX(0,Inputs!$B$43-((R2907-1)*Skills!D16))))/Inputs!$B$43),IF(Inputs!$B$38="pvp",MIN((Skills!T16*(1+Inputs!$B$34/100)),15)/15,(Skills!T16*(1+Inputs!$B$34/100))/Skills!D16)))+((C2922=TRUE)*(F2922-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25">
      <c r="A2925" t="inlineStr">
        <is>
          <t>Global Crit Rate Bonus %</t>
        </is>
      </c>
      <c r="B2925">
        <f>(C2908=TRUE)*20*IF(AND(Inputs!$B$38&lt;&gt;"pvp",Inputs!$B$43&gt;0),(((R2908-1)*(Skills!T17*(1+Inputs!$B$34/100))+MIN((Skills!T17*(1+Inputs!$B$34/100)),MAX(0,Inputs!$B$43-((R2908-1)*Skills!D17))))/Inputs!$B$43),IF(Inputs!$B$38="pvp",MIN((Skills!T17*(1+Inputs!$B$34/100)),15)/15,(Skills!T17*(1+Inputs!$B$34/100))/Skills!D17))</f>
        <v/>
      </c>
    </row>
    <row r="2926">
      <c r="A2926" t="inlineStr">
        <is>
          <t>Attack Speed Buff Bonus %</t>
        </is>
      </c>
      <c r="B2926">
        <f>((C2911=TRUE)*F2911*IF(AND(Inputs!$B$38&lt;&gt;"pvp",Inputs!$B$43&gt;0),(((R2911-1)*(Skills!T20*(1+Inputs!$B$34/100))+MIN((Skills!T20*(1+Inputs!$B$34/100)),MAX(0,Inputs!$B$43-((R2911-1)*Skills!D20))))/Inputs!$B$43),IF(Inputs!$B$38="pvp",MIN((Skills!T20*(1+Inputs!$B$34/100)),15)/15,(Skills!T20*(1+Inputs!$B$34/100))/Skills!D20)))</f>
        <v/>
      </c>
    </row>
    <row r="2927">
      <c r="A2927" t="inlineStr">
        <is>
          <t>Actions Per Second</t>
        </is>
      </c>
      <c r="B2927">
        <f>1+MIN(150,150*(1-(1-(Inputs!$B$11+((C2913=TRUE)*(F2913-Calc!F22))+((C2914=TRUE)*(F2914-Calc!F23)))/150)*(1-B2926/150)))/100</f>
        <v/>
      </c>
    </row>
    <row r="2928">
      <c r="A2928" t="inlineStr">
        <is>
          <t>Skill + Buff Cast Rate</t>
        </is>
      </c>
      <c r="B2928">
        <f>IF(AND(Inputs!$B$38&lt;&gt;"pvp",Inputs!$B$43&gt;0),SUMPRODUCT((Skills!E2:E31=TRUE)*(C2893:C2922=TRUE)*R2893:R2922*Skills!F2:F31)/Inputs!$B$43,SUMPRODUCT((Skills!E2:E31=TRUE)*(C2893:C2922=TRUE)*Q2893:Q2922*Skills!F2:F31))</f>
        <v/>
      </c>
    </row>
    <row r="2929">
      <c r="A2929" t="inlineStr">
        <is>
          <t>Arrow Stream Casts Per Second</t>
        </is>
      </c>
      <c r="B2929">
        <f>MAX(0,B2927-B2928)</f>
        <v/>
      </c>
    </row>
    <row r="2930">
      <c r="A2930" t="inlineStr">
        <is>
          <t>Global Critical Damage Bonus % (Sharp Eyes + Concentration)</t>
        </is>
      </c>
      <c r="B2930">
        <f>(C2908=TRUE)*F2908*IF(AND(Inputs!$B$38&lt;&gt;"pvp",Inputs!$B$43&gt;0),(((R2908-1)*(Skills!T17*(1+Inputs!$B$34/100))+MIN((Skills!T17*(1+Inputs!$B$34/100)),MAX(0,Inputs!$B$43-((R2908-1)*Skills!D17))))/Inputs!$B$43),IF(Inputs!$B$38="pvp",MIN((Skills!T17*(1+Inputs!$B$34/100)),15)/15,(Skills!T17*(1+Inputs!$B$34/100))/Skills!D17))+(C2909=TRUE)*30</f>
        <v/>
      </c>
    </row>
    <row r="2931">
      <c r="A2931" t="inlineStr">
        <is>
          <t>Global Final Damage Bonus % (Mortal Blow)</t>
        </is>
      </c>
      <c r="B2931">
        <f>(C2910=TRUE)*F2910</f>
        <v/>
      </c>
    </row>
    <row r="2932">
      <c r="A2932" t="inlineStr">
        <is>
          <t>Buff-Casting Startup Delay (s, fixed-duration only)</t>
        </is>
      </c>
      <c r="B2932">
        <f>IF(AND(Inputs!$B$38&lt;&gt;"pvp",Inputs!$B$43&gt;0),SUMPRODUCT((Skills!T2:T31&gt;0)*(Skills!E2:E31=TRUE)*(C2893:C2922=TRUE))/B2927,0)</f>
        <v/>
      </c>
    </row>
    <row r="2933">
      <c r="A2933" t="inlineStr">
        <is>
          <t>Boss-Only Total DPS (this block's swept value)</t>
        </is>
      </c>
      <c r="B2933">
        <f>SUM(T2893:T2922)</f>
        <v/>
      </c>
    </row>
    <row r="2934">
      <c r="A2934" t="inlineStr">
        <is>
          <t>Normal-Only Total DPS (this block's swept value)</t>
        </is>
      </c>
      <c r="B2934">
        <f>SUM(V2893:V2922)</f>
        <v/>
      </c>
    </row>
    <row r="2935">
      <c r="A2935" s="6" t="inlineStr">
        <is>
          <t>TOTAL DPS</t>
        </is>
      </c>
      <c r="B2935" s="6">
        <f>SUM(O2893:O2922)</f>
        <v/>
      </c>
    </row>
    <row r="2938">
      <c r="A2938" s="6" t="inlineStr">
        <is>
          <t>Stat: Ring of Cycles (Equip)</t>
        </is>
      </c>
    </row>
    <row r="2939">
      <c r="A2939" s="5" t="inlineStr">
        <is>
          <t>Key</t>
        </is>
      </c>
      <c r="B2939" s="5" t="inlineStr">
        <is>
          <t>Name</t>
        </is>
      </c>
      <c r="C2939" s="5" t="inlineStr">
        <is>
          <t>Unlocked</t>
        </is>
      </c>
      <c r="D2939" s="5" t="inlineStr">
        <is>
          <t>InputLevel</t>
        </is>
      </c>
      <c r="E2939" s="5" t="inlineStr">
        <is>
          <t>Factor</t>
        </is>
      </c>
      <c r="F2939" s="5" t="inlineStr">
        <is>
          <t>CoefficientPercent</t>
        </is>
      </c>
      <c r="G2939" s="5" t="inlineStr">
        <is>
          <t>EffectiveHits</t>
        </is>
      </c>
      <c r="H2939" s="5" t="inlineStr">
        <is>
          <t>ProcProbability</t>
        </is>
      </c>
      <c r="I2939" s="5" t="inlineStr">
        <is>
          <t>MapleHeroMultiplier</t>
        </is>
      </c>
      <c r="J2939" s="5" t="inlineStr">
        <is>
          <t>BaseDamage</t>
        </is>
      </c>
      <c r="K2939" s="5" t="inlineStr">
        <is>
          <t>BaseHitDamage</t>
        </is>
      </c>
      <c r="L2939" s="5" t="inlineStr">
        <is>
          <t>NonCritAvg</t>
        </is>
      </c>
      <c r="M2939" s="5" t="inlineStr">
        <is>
          <t>CritAvg</t>
        </is>
      </c>
      <c r="N2939" s="5" t="inlineStr">
        <is>
          <t>ExpectedDamage(perHit)</t>
        </is>
      </c>
      <c r="O2939" s="5" t="inlineStr">
        <is>
          <t>DPS</t>
        </is>
      </c>
      <c r="P2939" s="5" t="inlineStr">
        <is>
          <t>% of Total</t>
        </is>
      </c>
      <c r="Q2939" s="5" t="inlineStr">
        <is>
          <t>InvCooldown</t>
        </is>
      </c>
      <c r="R2939" s="5" t="inlineStr">
        <is>
          <t>CastsInFight</t>
        </is>
      </c>
      <c r="S2939" s="5" t="inlineStr">
        <is>
          <t>HitRate(perSec)</t>
        </is>
      </c>
      <c r="U2939" t="inlineStr">
        <is>
          <t>helpers</t>
        </is>
      </c>
    </row>
    <row r="2940">
      <c r="A2940">
        <f>Skills!A2</f>
        <v/>
      </c>
      <c r="B2940">
        <f>Skills!B2</f>
        <v/>
      </c>
      <c r="C2940">
        <f>Inputs!$B$3&gt;=100</f>
        <v/>
      </c>
      <c r="D2940" t="inlineStr"/>
      <c r="E2940" t="inlineStr"/>
      <c r="F2940">
        <f>U2942+Skills!O2</f>
        <v/>
      </c>
      <c r="G2940">
        <f>Skills!G2*IF(Skills!H2&gt;0,Skills!I2/Skills!H2,1)</f>
        <v/>
      </c>
      <c r="H2940">
        <f>1-(1-Skills!J2/100)^Skills!K2</f>
        <v/>
      </c>
      <c r="I2940" t="inlineStr">
        <is>
          <t>1</t>
        </is>
      </c>
      <c r="J2940">
        <f>((Inputs!$B$6*(1+Inputs!$B$7/100))+(((Inputs!$B$12*(1+Inputs!$B$13/100))-(Inputs!$B$12*(1+Inputs!$B$13/100)))+0.25*(Inputs!$B$14-Inputs!$B$14))*(1+Inputs!$B$7/100))*(F2940/100)</f>
        <v/>
      </c>
      <c r="K2940">
        <f>J2940*(1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2940)</f>
        <v/>
      </c>
      <c r="L2940">
        <f>K2940*(MIN(Inputs!$B$22+((C2963=TRUE)*(F2963-Calc!F25)),(Inputs!$B$23+((C2968=TRUE)*(F2968-Calc!F30))+(IF(ArtifactsInput!$M$15,CHOOSE(ArtifactsInput!$N$15+1,25,30,35,40,45,50)/100*(Inputs!$B$11-Inputs!$B$11),0))))/100+(Inputs!$B$23+((C2968=TRUE)*(F2968-Calc!F30))+(IF(ArtifactsInput!$M$15,CHOOSE(ArtifactsInput!$N$15+1,25,30,35,40,45,50)/100*(Inputs!$B$11-Inputs!$B$11),0)))/100)/2</f>
        <v/>
      </c>
      <c r="M2940">
        <f>L2940*(1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0">
        <f>L2940*(1-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2940*(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0">
        <f>(1-Summary!$B$11)*T2940+Summary!$B$11*V2940</f>
        <v/>
      </c>
      <c r="P2940">
        <f>IF(B2982=0,0,O2940/B2982)</f>
        <v/>
      </c>
      <c r="Q2940" t="n">
        <v>0</v>
      </c>
      <c r="R2940" t="n">
        <v>0</v>
      </c>
      <c r="S2940">
        <f>IFERROR(O2940/N2940,0)</f>
        <v/>
      </c>
      <c r="T2940">
        <f>IF(C2940,(Skills!G2*N2940*B2976)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2940*(1-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2940*(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2940*(1-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2940*(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0">
        <f>MAX(0,(Inputs!$B$3-100)*3)+Inputs!$B$28+Inputs!$B$29</f>
        <v/>
      </c>
      <c r="V2940">
        <f>IF(C2940,(Skills!G2*N2940*B2976)*IF(Inputs!$B$38="pvp",1,(1+(Inputs!$B$21+Skills!Q2+(IF(ArtifactsInput!$M$33,CHOOSE(ArtifactsInput!$N$33+1,30,36,42,48,54,60),0))+(IF(AND(ArtifactsInput!$M$35,Inputs!$B$4&lt;&gt;"Chapter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1">
      <c r="A2941">
        <f>Skills!A3</f>
        <v/>
      </c>
      <c r="B2941">
        <f>Skills!B3</f>
        <v/>
      </c>
      <c r="C2941">
        <f>Inputs!$B$3&gt;=50</f>
        <v/>
      </c>
      <c r="D2941">
        <f>IF(Skills!C3=1,60+Inputs!$B$25+Inputs!$B$29,IF(Skills!C3=2,90+Inputs!$B$26+Inputs!$B$29,IF(Skills!C3=3,120+Inputs!$B$27+Inputs!$B$29,MAX(0,(Inputs!$B$3-100)*3)+Inputs!$B$28+Inputs!$B$29)))</f>
        <v/>
      </c>
      <c r="E2941">
        <f>INDEX(FactorTable!$B$2:$Y$301, MATCH(ROUND(MIN(300,MAX(1,D2941)),0), FactorTable!$A$2:$A$301,0), Skills!M3+1)</f>
        <v/>
      </c>
      <c r="F2941">
        <f>IF(Skills!N3=TRUE,(Skills!L3/10)*(E2941/1000),Skills!L3/10)+Skills!O3</f>
        <v/>
      </c>
      <c r="G2941">
        <f>Skills!G3*IF(Skills!H3&gt;0,Skills!I3/Skills!H3,1)</f>
        <v/>
      </c>
      <c r="H2941">
        <f>1-(1-Skills!J3/100)^Skills!K3</f>
        <v/>
      </c>
      <c r="I2941" t="inlineStr">
        <is>
          <t>1</t>
        </is>
      </c>
      <c r="J2941">
        <f>((Inputs!$B$6*(1+Inputs!$B$7/100))+(((Inputs!$B$12*(1+Inputs!$B$13/100))-(Inputs!$B$12*(1+Inputs!$B$13/100)))+0.25*(Inputs!$B$14-Inputs!$B$14))*(1+Inputs!$B$7/100))*(F2941/100)</f>
        <v/>
      </c>
      <c r="K2941">
        <f>J2941*(1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2942=TRUE,F2942,0)/100)*(1+(IF(Skills!A3="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2941)</f>
        <v/>
      </c>
      <c r="L2941">
        <f>K2941*(MIN(Inputs!$B$22+((C2963=TRUE)*(F2963-Calc!F25)),(Inputs!$B$23+((C2968=TRUE)*(F2968-Calc!F30))+(IF(ArtifactsInput!$M$15,CHOOSE(ArtifactsInput!$N$15+1,25,30,35,40,45,50)/100*(Inputs!$B$11-Inputs!$B$11),0))))/100+(Inputs!$B$23+((C2968=TRUE)*(F2968-Calc!F30))+(IF(ArtifactsInput!$M$15,CHOOSE(ArtifactsInput!$N$15+1,25,30,35,40,45,50)/100*(Inputs!$B$11-Inputs!$B$11),0)))/100)/2</f>
        <v/>
      </c>
      <c r="M2941">
        <f>L2941*(1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1">
        <f>L2941*(1-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1">
        <f>(1-Summary!$B$11)*T2941+Summary!$B$11*V2941</f>
        <v/>
      </c>
      <c r="P2941">
        <f>IF(B2982=0,0,O2941/B2982)</f>
        <v/>
      </c>
      <c r="Q2941">
        <f>IFERROR(1/(IF(Inputs!$B$38="pvp",15,MAX(0.1,Skills!D3-IF(Skills!E3=TRUE,Inputs!$B$32,0)))*(1-IF(AND(ArtifactsInput!$M$27,Inputs!$B$4="Chapter Hunt"),CHOOSE(ArtifactsInput!$N$27+1,20,24,28,32,36,40),0)/100)),0)</f>
        <v/>
      </c>
      <c r="R2941">
        <f>IF(AND(Inputs!$B$38&lt;&gt;"pvp",Inputs!$B$43&gt;0),IF(MAX(0,Inputs!$B$43-B2979)&lt;=0,0,(INT(MAX(0,Inputs!$B$43-B2979)/(IF(Inputs!$B$38="pvp",15,MAX(0.1,Skills!D3-IF(Skills!E3=TRUE,Inputs!$B$32,0)))*(1-IF(AND(ArtifactsInput!$M$27,Inputs!$B$4="Chapter Hunt"),CHOOSE(ArtifactsInput!$N$27+1,20,24,28,32,36,40),0)/100)))+1)),0)</f>
        <v/>
      </c>
      <c r="S2941">
        <f>IFERROR(O2941/N2941,0)</f>
        <v/>
      </c>
      <c r="T2941">
        <f>IF(C2941,(H2941*N2941*IF(AND(Inputs!$B$38&lt;&gt;"pvp",Inputs!$B$43&gt;0),((Skills!G3*((R2941-1)*IF(Skills!H3&gt;0,Skills!I3/Skills!H3,1)+IF(Skills!H3&gt;0,MIN(Skills!I3,MAX(0,MAX(0,Inputs!$B$43-B2979)-((R2941-1)*(IF(Inputs!$B$38="pvp",15,MAX(0.1,Skills!D3-IF(Skills!E3=TRUE,Inputs!$B$32,0)))*(1-IF(AND(ArtifactsInput!$M$27,Inputs!$B$4="Chapter Hunt"),CHOOSE(ArtifactsInput!$N$27+1,20,24,28,32,36,40),0)/100)))))/Skills!H3,1)))/Inputs!$B$43),G2941*Q2941)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2941*(1-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2941*(1-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1">
        <f>INDEX(FactorTable!$B$2:$Y$301, MATCH(ROUND(MIN(300,MAX(1,U2940)),0), FactorTable!$A$2:$A$301,0), 22)</f>
        <v/>
      </c>
      <c r="V2941">
        <f>IF(C2941,(H2941*N2941*IF(AND(Inputs!$B$38&lt;&gt;"pvp",Inputs!$B$43&gt;0),((Skills!G3*((R2941-1)*IF(Skills!H3&gt;0,Skills!I3/Skills!H3,1)+IF(Skills!H3&gt;0,MIN(Skills!I3,MAX(0,MAX(0,Inputs!$B$43-B2979)-((R2941-1)*(IF(Inputs!$B$38="pvp",15,MAX(0.1,Skills!D3-IF(Skills!E3=TRUE,Inputs!$B$32,0)))*(1-IF(AND(ArtifactsInput!$M$27,Inputs!$B$4="Chapter Hunt"),CHOOSE(ArtifactsInput!$N$27+1,20,24,28,32,36,40),0)/100)))))/Skills!H3,1)))/Inputs!$B$43),G2941*Q2941))*IF(Inputs!$B$38="pvp",1,(1+(Inputs!$B$21+Skills!Q3+(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2">
      <c r="A2942">
        <f>Skills!A4</f>
        <v/>
      </c>
      <c r="B2942">
        <f>Skills!B4</f>
        <v/>
      </c>
      <c r="C2942">
        <f>Inputs!$B$3&gt;=105</f>
        <v/>
      </c>
      <c r="D2942">
        <f>IF(Skills!C4=1,60+Inputs!$B$25+Inputs!$B$29,IF(Skills!C4=2,90+Inputs!$B$26+Inputs!$B$29,IF(Skills!C4=3,120+Inputs!$B$27+Inputs!$B$29,MAX(0,(Inputs!$B$3-100)*3)+Inputs!$B$28+Inputs!$B$29)))</f>
        <v/>
      </c>
      <c r="E2942">
        <f>INDEX(FactorTable!$B$2:$Y$301, MATCH(ROUND(MIN(300,MAX(1,D2942)),0), FactorTable!$A$2:$A$301,0), Skills!M4+1)</f>
        <v/>
      </c>
      <c r="F2942">
        <f>IF(Skills!N4=TRUE,(Skills!L4/10)*(E2942/1000),Skills!L4/10)+Skills!O4</f>
        <v/>
      </c>
      <c r="G2942" t="inlineStr"/>
      <c r="H2942" t="inlineStr"/>
      <c r="I2942" t="inlineStr">
        <is>
          <t>1</t>
        </is>
      </c>
      <c r="J2942" t="inlineStr"/>
      <c r="K2942" t="inlineStr"/>
      <c r="L2942" t="inlineStr"/>
      <c r="M2942" t="inlineStr"/>
      <c r="N2942" t="inlineStr"/>
      <c r="O2942" t="inlineStr"/>
      <c r="P2942" t="inlineStr"/>
      <c r="Q2942" t="inlineStr"/>
      <c r="R2942" t="inlineStr"/>
      <c r="S2942" t="inlineStr"/>
      <c r="T2942" t="inlineStr"/>
      <c r="U2942">
        <f>290*U2941/1000</f>
        <v/>
      </c>
      <c r="V2942" t="inlineStr"/>
    </row>
    <row r="2943">
      <c r="A2943">
        <f>Skills!A5</f>
        <v/>
      </c>
      <c r="B2943">
        <f>Skills!B5</f>
        <v/>
      </c>
      <c r="C2943">
        <f>Inputs!$B$3&gt;=35</f>
        <v/>
      </c>
      <c r="D2943">
        <f>IF(Skills!C5=1,60+Inputs!$B$25+Inputs!$B$29,IF(Skills!C5=2,90+Inputs!$B$26+Inputs!$B$29,IF(Skills!C5=3,120+Inputs!$B$27+Inputs!$B$29,MAX(0,(Inputs!$B$3-100)*3)+Inputs!$B$28+Inputs!$B$29)))</f>
        <v/>
      </c>
      <c r="E2943">
        <f>INDEX(FactorTable!$B$2:$Y$301, MATCH(ROUND(MIN(300,MAX(1,D2943)),0), FactorTable!$A$2:$A$301,0), Skills!M5+1)</f>
        <v/>
      </c>
      <c r="F2943">
        <f>IF(Skills!N5=TRUE,(Skills!L5/10)*(E2943/1000),Skills!L5/10)+Skills!O5</f>
        <v/>
      </c>
      <c r="G2943">
        <f>Skills!G5*IF(Skills!H5&gt;0,Skills!I5/Skills!H5,1)</f>
        <v/>
      </c>
      <c r="H2943">
        <f>1-(1-Skills!J5/100)^Skills!K5</f>
        <v/>
      </c>
      <c r="I2943" t="inlineStr">
        <is>
          <t>1</t>
        </is>
      </c>
      <c r="J2943">
        <f>((Inputs!$B$6*(1+Inputs!$B$7/100))+(((Inputs!$B$12*(1+Inputs!$B$13/100))-(Inputs!$B$12*(1+Inputs!$B$13/100)))+0.25*(Inputs!$B$14-Inputs!$B$14))*(1+Inputs!$B$7/100))*(F2943/100)</f>
        <v/>
      </c>
      <c r="K2943">
        <f>J2943*(1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2949=TRUE,F2949,0)/100)*(1+(IF(Skills!A5="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2943)</f>
        <v/>
      </c>
      <c r="L2943">
        <f>K2943*(MIN(Inputs!$B$22+((C2963=TRUE)*(F2963-Calc!F25)),(Inputs!$B$23+((C2968=TRUE)*(F2968-Calc!F30))+(IF(ArtifactsInput!$M$15,CHOOSE(ArtifactsInput!$N$15+1,25,30,35,40,45,50)/100*(Inputs!$B$11-Inputs!$B$11),0))))/100+(Inputs!$B$23+((C2968=TRUE)*(F2968-Calc!F30))+(IF(ArtifactsInput!$M$15,CHOOSE(ArtifactsInput!$N$15+1,25,30,35,40,45,50)/100*(Inputs!$B$11-Inputs!$B$11),0)))/100)/2</f>
        <v/>
      </c>
      <c r="M2943">
        <f>L2943*(1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3">
        <f>L2943*(1-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2943*(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3">
        <f>(1-Summary!$B$11)*T2943+Summary!$B$11*V2943</f>
        <v/>
      </c>
      <c r="P2943">
        <f>IF(B2982=0,0,O2943/B2982)</f>
        <v/>
      </c>
      <c r="Q2943">
        <f>IFERROR(1/(IF(Inputs!$B$38="pvp",15,MAX(0.1,Skills!D5-IF(Skills!E5=TRUE,Inputs!$B$32,0)))*(1-IF(AND(ArtifactsInput!$M$27,Inputs!$B$4="Chapter Hunt"),CHOOSE(ArtifactsInput!$N$27+1,20,24,28,32,36,40),0)/100)),0)</f>
        <v/>
      </c>
      <c r="R2943">
        <f>IF(AND(Inputs!$B$38&lt;&gt;"pvp",Inputs!$B$43&gt;0),IF(MAX(0,Inputs!$B$43-B2979)&lt;=0,0,(INT(MAX(0,Inputs!$B$43-B2979)/(IF(Inputs!$B$38="pvp",15,MAX(0.1,Skills!D5-IF(Skills!E5=TRUE,Inputs!$B$32,0)))*(1-IF(AND(ArtifactsInput!$M$27,Inputs!$B$4="Chapter Hunt"),CHOOSE(ArtifactsInput!$N$27+1,20,24,28,32,36,40),0)/100)))+1)),0)</f>
        <v/>
      </c>
      <c r="S2943">
        <f>IFERROR(O2943/N2943,0)</f>
        <v/>
      </c>
      <c r="T2943">
        <f>IF(C2943,(H2943*N2943*IF(AND(Inputs!$B$38&lt;&gt;"pvp",Inputs!$B$43&gt;0),((Skills!G5*((R2943-1)*IF(Skills!H5&gt;0,Skills!I5/Skills!H5,1)+IF(Skills!H5&gt;0,MIN(Skills!I5,MAX(0,MAX(0,Inputs!$B$43-B2979)-((R2943-1)*(IF(Inputs!$B$38="pvp",15,MAX(0.1,Skills!D5-IF(Skills!E5=TRUE,Inputs!$B$32,0)))*(1-IF(AND(ArtifactsInput!$M$27,Inputs!$B$4="Chapter Hunt"),CHOOSE(ArtifactsInput!$N$27+1,20,24,28,32,36,40),0)/100)))))/Skills!H5,1)))/Inputs!$B$43),G2943*Q2943)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2943*(1-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2943*(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2943*(1-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2943*(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3">
        <f>IF(C2943,(H2943*N2943*IF(AND(Inputs!$B$38&lt;&gt;"pvp",Inputs!$B$43&gt;0),((Skills!G5*((R2943-1)*IF(Skills!H5&gt;0,Skills!I5/Skills!H5,1)+IF(Skills!H5&gt;0,MIN(Skills!I5,MAX(0,MAX(0,Inputs!$B$43-B2979)-((R2943-1)*(IF(Inputs!$B$38="pvp",15,MAX(0.1,Skills!D5-IF(Skills!E5=TRUE,Inputs!$B$32,0)))*(1-IF(AND(ArtifactsInput!$M$27,Inputs!$B$4="Chapter Hunt"),CHOOSE(ArtifactsInput!$N$27+1,20,24,28,32,36,40),0)/100)))))/Skills!H5,1)))/Inputs!$B$43),G2943*Q2943))*IF(Inputs!$B$38="pvp",1,(1+(Inputs!$B$21+Skills!Q5+(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4">
      <c r="A2944">
        <f>Skills!A6</f>
        <v/>
      </c>
      <c r="B2944">
        <f>Skills!B6</f>
        <v/>
      </c>
      <c r="C2944">
        <f>Inputs!$B$3&gt;=40</f>
        <v/>
      </c>
      <c r="D2944">
        <f>IF(Skills!C6=1,60+Inputs!$B$25+Inputs!$B$29,IF(Skills!C6=2,90+Inputs!$B$26+Inputs!$B$29,IF(Skills!C6=3,120+Inputs!$B$27+Inputs!$B$29,MAX(0,(Inputs!$B$3-100)*3)+Inputs!$B$28+Inputs!$B$29)))</f>
        <v/>
      </c>
      <c r="E2944">
        <f>INDEX(FactorTable!$B$2:$Y$301, MATCH(ROUND(MIN(300,MAX(1,D2944)),0), FactorTable!$A$2:$A$301,0), Skills!M6+1)</f>
        <v/>
      </c>
      <c r="F2944">
        <f>IF(Skills!N6=TRUE,(Skills!L6/10)*(E2944/1000),Skills!L6/10)+Skills!O6</f>
        <v/>
      </c>
      <c r="G2944">
        <f>Skills!G6*IF(Skills!H6&gt;0,Skills!I6/Skills!H6,1)</f>
        <v/>
      </c>
      <c r="H2944">
        <f>1-(1-Skills!J6/100)^Skills!K6</f>
        <v/>
      </c>
      <c r="I2944" t="inlineStr">
        <is>
          <t>1</t>
        </is>
      </c>
      <c r="J2944">
        <f>((Inputs!$B$6*(1+Inputs!$B$7/100))+(((Inputs!$B$12*(1+Inputs!$B$13/100))-(Inputs!$B$12*(1+Inputs!$B$13/100)))+0.25*(Inputs!$B$14-Inputs!$B$14))*(1+Inputs!$B$7/100))*(F2944/100)</f>
        <v/>
      </c>
      <c r="K2944">
        <f>J2944*(1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2945=TRUE,F2945,0)/100)*(1+(IF(Skills!A6="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2944)</f>
        <v/>
      </c>
      <c r="L2944">
        <f>K2944*(MIN(Inputs!$B$22+((C2963=TRUE)*(F2963-Calc!F25)),(Inputs!$B$23+((C2968=TRUE)*(F2968-Calc!F30))+(IF(ArtifactsInput!$M$15,CHOOSE(ArtifactsInput!$N$15+1,25,30,35,40,45,50)/100*(Inputs!$B$11-Inputs!$B$11),0))))/100+(Inputs!$B$23+((C2968=TRUE)*(F2968-Calc!F30))+(IF(ArtifactsInput!$M$15,CHOOSE(ArtifactsInput!$N$15+1,25,30,35,40,45,50)/100*(Inputs!$B$11-Inputs!$B$11),0)))/100)/2</f>
        <v/>
      </c>
      <c r="M2944">
        <f>L2944*(1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4">
        <f>L2944*(1-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2944*(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4">
        <f>(1-Summary!$B$11)*T2944+Summary!$B$11*V2944</f>
        <v/>
      </c>
      <c r="P2944">
        <f>IF(B2982=0,0,O2944/B2982)</f>
        <v/>
      </c>
      <c r="Q2944">
        <f>IFERROR(1/(IF(Inputs!$B$38="pvp",15,MAX(0.1,Skills!D6-IF(Skills!E6=TRUE,Inputs!$B$32,0)))*(1-IF(AND(ArtifactsInput!$M$27,Inputs!$B$4="Chapter Hunt"),CHOOSE(ArtifactsInput!$N$27+1,20,24,28,32,36,40),0)/100)),0)</f>
        <v/>
      </c>
      <c r="R2944">
        <f>IF(AND(Inputs!$B$38&lt;&gt;"pvp",Inputs!$B$43&gt;0),IF(MAX(0,Inputs!$B$43-B2979)&lt;=0,0,(INT(MAX(0,Inputs!$B$43-B2979)/(IF(Inputs!$B$38="pvp",15,MAX(0.1,Skills!D6-IF(Skills!E6=TRUE,Inputs!$B$32,0)))*(1-IF(AND(ArtifactsInput!$M$27,Inputs!$B$4="Chapter Hunt"),CHOOSE(ArtifactsInput!$N$27+1,20,24,28,32,36,40),0)/100)))+1)),0)</f>
        <v/>
      </c>
      <c r="S2944">
        <f>IFERROR(O2944/N2944,0)</f>
        <v/>
      </c>
      <c r="T2944">
        <f>IF(C2944,(H2944*N2944*IF(AND(Inputs!$B$38&lt;&gt;"pvp",Inputs!$B$43&gt;0),((Skills!G6*((R2944-1)*IF(Skills!H6&gt;0,Skills!I6/Skills!H6,1)+IF(Skills!H6&gt;0,MIN(Skills!I6,MAX(0,MAX(0,Inputs!$B$43-B2979)-((R2944-1)*(IF(Inputs!$B$38="pvp",15,MAX(0.1,Skills!D6-IF(Skills!E6=TRUE,Inputs!$B$32,0)))*(1-IF(AND(ArtifactsInput!$M$27,Inputs!$B$4="Chapter Hunt"),CHOOSE(ArtifactsInput!$N$27+1,20,24,28,32,36,40),0)/100)))))/Skills!H6,1)))/Inputs!$B$43),G2944*Q2944)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2944*(1-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2944*(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2944*(1-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2944*(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4">
        <f>IF(C2944,(H2944*N2944*IF(AND(Inputs!$B$38&lt;&gt;"pvp",Inputs!$B$43&gt;0),((Skills!G6*((R2944-1)*IF(Skills!H6&gt;0,Skills!I6/Skills!H6,1)+IF(Skills!H6&gt;0,MIN(Skills!I6,MAX(0,MAX(0,Inputs!$B$43-B2979)-((R2944-1)*(IF(Inputs!$B$38="pvp",15,MAX(0.1,Skills!D6-IF(Skills!E6=TRUE,Inputs!$B$32,0)))*(1-IF(AND(ArtifactsInput!$M$27,Inputs!$B$4="Chapter Hunt"),CHOOSE(ArtifactsInput!$N$27+1,20,24,28,32,36,40),0)/100)))))/Skills!H6,1)))/Inputs!$B$43),G2944*Q2944))*IF(Inputs!$B$38="pvp",1,(1+(Inputs!$B$21+Skills!Q6+(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5">
      <c r="A2945">
        <f>Skills!A7</f>
        <v/>
      </c>
      <c r="B2945">
        <f>Skills!B7</f>
        <v/>
      </c>
      <c r="C2945">
        <f>Inputs!$B$3&gt;=107</f>
        <v/>
      </c>
      <c r="D2945">
        <f>IF(Skills!C7=1,60+Inputs!$B$25+Inputs!$B$29,IF(Skills!C7=2,90+Inputs!$B$26+Inputs!$B$29,IF(Skills!C7=3,120+Inputs!$B$27+Inputs!$B$29,MAX(0,(Inputs!$B$3-100)*3)+Inputs!$B$28+Inputs!$B$29)))</f>
        <v/>
      </c>
      <c r="E2945">
        <f>INDEX(FactorTable!$B$2:$Y$301, MATCH(ROUND(MIN(300,MAX(1,D2945)),0), FactorTable!$A$2:$A$301,0), Skills!M7+1)</f>
        <v/>
      </c>
      <c r="F2945">
        <f>IF(Skills!N7=TRUE,(Skills!L7/10)*(E2945/1000),Skills!L7/10)+Skills!O7</f>
        <v/>
      </c>
      <c r="G2945" t="inlineStr"/>
      <c r="H2945" t="inlineStr"/>
      <c r="I2945" t="inlineStr">
        <is>
          <t>1</t>
        </is>
      </c>
      <c r="J2945" t="inlineStr"/>
      <c r="K2945" t="inlineStr"/>
      <c r="L2945" t="inlineStr"/>
      <c r="M2945" t="inlineStr"/>
      <c r="N2945" t="inlineStr"/>
      <c r="O2945" t="inlineStr"/>
      <c r="P2945" t="inlineStr"/>
      <c r="Q2945" t="inlineStr"/>
      <c r="R2945" t="inlineStr"/>
      <c r="S2945" t="inlineStr"/>
      <c r="T2945" t="inlineStr"/>
      <c r="V2945" t="inlineStr"/>
    </row>
    <row r="2946">
      <c r="A2946">
        <f>Skills!A8</f>
        <v/>
      </c>
      <c r="B2946">
        <f>Skills!B8</f>
        <v/>
      </c>
      <c r="C2946">
        <f>Inputs!$B$3&gt;=69</f>
        <v/>
      </c>
      <c r="D2946">
        <f>IF(Skills!C8=1,60+Inputs!$B$25+Inputs!$B$29,IF(Skills!C8=2,90+Inputs!$B$26+Inputs!$B$29,IF(Skills!C8=3,120+Inputs!$B$27+Inputs!$B$29,MAX(0,(Inputs!$B$3-100)*3)+Inputs!$B$28+Inputs!$B$29)))</f>
        <v/>
      </c>
      <c r="E2946">
        <f>INDEX(FactorTable!$B$2:$Y$301, MATCH(ROUND(MIN(300,MAX(1,D2946)),0), FactorTable!$A$2:$A$301,0), Skills!M8+1)</f>
        <v/>
      </c>
      <c r="F2946">
        <f>IF(Skills!N8=TRUE,(Skills!L8/10)*(E2946/1000),Skills!L8/10)+Skills!O8</f>
        <v/>
      </c>
      <c r="G2946">
        <f>Skills!G8*IF(Skills!H8&gt;0,Skills!I8/Skills!H8,1)</f>
        <v/>
      </c>
      <c r="H2946">
        <f>1-(1-Skills!J8/100)^Skills!K8</f>
        <v/>
      </c>
      <c r="I2946" t="inlineStr">
        <is>
          <t>1</t>
        </is>
      </c>
      <c r="J2946">
        <f>((Inputs!$B$6*(1+Inputs!$B$7/100))+(((Inputs!$B$12*(1+Inputs!$B$13/100))-(Inputs!$B$12*(1+Inputs!$B$13/100)))+0.25*(Inputs!$B$14-Inputs!$B$14))*(1+Inputs!$B$7/100))*(F2946/100)</f>
        <v/>
      </c>
      <c r="K2946">
        <f>J2946*(1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2949=TRUE,F2949,0)/100)*(1+(IF(Skills!A8="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2946)</f>
        <v/>
      </c>
      <c r="L2946">
        <f>K2946*(MIN(Inputs!$B$22+((C2963=TRUE)*(F2963-Calc!F25)),(Inputs!$B$23+((C2968=TRUE)*(F2968-Calc!F30))+(IF(ArtifactsInput!$M$15,CHOOSE(ArtifactsInput!$N$15+1,25,30,35,40,45,50)/100*(Inputs!$B$11-Inputs!$B$11),0))))/100+(Inputs!$B$23+((C2968=TRUE)*(F2968-Calc!F30))+(IF(ArtifactsInput!$M$15,CHOOSE(ArtifactsInput!$N$15+1,25,30,35,40,45,50)/100*(Inputs!$B$11-Inputs!$B$11),0)))/100)/2</f>
        <v/>
      </c>
      <c r="M2946">
        <f>L2946*(1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6">
        <f>L2946*(1-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2946*(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6">
        <f>(1-Summary!$B$11)*T2946+Summary!$B$11*V2946</f>
        <v/>
      </c>
      <c r="P2946">
        <f>IF(B2982=0,0,O2946/B2982)</f>
        <v/>
      </c>
      <c r="Q2946">
        <f>IFERROR(1/(IF(Inputs!$B$38="pvp",15,MAX(0.1,Skills!D8-IF(Skills!E8=TRUE,Inputs!$B$32,0)))*(1-IF(AND(ArtifactsInput!$M$27,Inputs!$B$4="Chapter Hunt"),CHOOSE(ArtifactsInput!$N$27+1,20,24,28,32,36,40),0)/100)),0)</f>
        <v/>
      </c>
      <c r="R2946">
        <f>IF(AND(Inputs!$B$38&lt;&gt;"pvp",Inputs!$B$43&gt;0),IF(MAX(0,Inputs!$B$43-B2979)&lt;=0,0,(INT(MAX(0,Inputs!$B$43-B2979)/(IF(Inputs!$B$38="pvp",15,MAX(0.1,Skills!D8-IF(Skills!E8=TRUE,Inputs!$B$32,0)))*(1-IF(AND(ArtifactsInput!$M$27,Inputs!$B$4="Chapter Hunt"),CHOOSE(ArtifactsInput!$N$27+1,20,24,28,32,36,40),0)/100)))+1)),0)</f>
        <v/>
      </c>
      <c r="S2946">
        <f>IFERROR(O2946/N2946,0)</f>
        <v/>
      </c>
      <c r="T2946">
        <f>IF(C2946,(H2946*N2946*IF(AND(Inputs!$B$38&lt;&gt;"pvp",Inputs!$B$43&gt;0),((Skills!G8*((R2946-1)*IF(Skills!H8&gt;0,Skills!I8/Skills!H8,1)+IF(Skills!H8&gt;0,MIN(Skills!I8,MAX(0,MAX(0,Inputs!$B$43-B2979)-((R2946-1)*(IF(Inputs!$B$38="pvp",15,MAX(0.1,Skills!D8-IF(Skills!E8=TRUE,Inputs!$B$32,0)))*(1-IF(AND(ArtifactsInput!$M$27,Inputs!$B$4="Chapter Hunt"),CHOOSE(ArtifactsInput!$N$27+1,20,24,28,32,36,40),0)/100)))))/Skills!H8,1)))/Inputs!$B$43),G2946*Q2946)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2946*(1-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2946*(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2946*(1-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2946*(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6">
        <f>IF(C2946,(H2946*N2946*IF(AND(Inputs!$B$38&lt;&gt;"pvp",Inputs!$B$43&gt;0),((Skills!G8*((R2946-1)*IF(Skills!H8&gt;0,Skills!I8/Skills!H8,1)+IF(Skills!H8&gt;0,MIN(Skills!I8,MAX(0,MAX(0,Inputs!$B$43-B2979)-((R2946-1)*(IF(Inputs!$B$38="pvp",15,MAX(0.1,Skills!D8-IF(Skills!E8=TRUE,Inputs!$B$32,0)))*(1-IF(AND(ArtifactsInput!$M$27,Inputs!$B$4="Chapter Hunt"),CHOOSE(ArtifactsInput!$N$27+1,20,24,28,32,36,40),0)/100)))))/Skills!H8,1)))/Inputs!$B$43),G2946*Q2946))*IF(Inputs!$B$38="pvp",1,(1+(Inputs!$B$21+Skills!Q8+(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7">
      <c r="A2947">
        <f>Skills!A9</f>
        <v/>
      </c>
      <c r="B2947">
        <f>Skills!B9</f>
        <v/>
      </c>
      <c r="C2947">
        <f>Inputs!$B$3&gt;=63</f>
        <v/>
      </c>
      <c r="D2947">
        <f>IF(Skills!C9=1,60+Inputs!$B$25+Inputs!$B$29,IF(Skills!C9=2,90+Inputs!$B$26+Inputs!$B$29,IF(Skills!C9=3,120+Inputs!$B$27+Inputs!$B$29,MAX(0,(Inputs!$B$3-100)*3)+Inputs!$B$28+Inputs!$B$29)))</f>
        <v/>
      </c>
      <c r="E2947">
        <f>INDEX(FactorTable!$B$2:$Y$301, MATCH(ROUND(MIN(300,MAX(1,D2947)),0), FactorTable!$A$2:$A$301,0), Skills!M9+1)</f>
        <v/>
      </c>
      <c r="F2947">
        <f>IF(Skills!N9=TRUE,(Skills!L9/10)*(E2947/1000),Skills!L9/10)+Skills!O9</f>
        <v/>
      </c>
      <c r="G2947">
        <f>Skills!G9*IF(Skills!H9&gt;0,Skills!I9/Skills!H9,1)</f>
        <v/>
      </c>
      <c r="H2947">
        <f>1-(1-Skills!J9/100)^Skills!K9</f>
        <v/>
      </c>
      <c r="I2947" t="inlineStr">
        <is>
          <t>1</t>
        </is>
      </c>
      <c r="J2947">
        <f>((Inputs!$B$6*(1+Inputs!$B$7/100))+(((Inputs!$B$12*(1+Inputs!$B$13/100))-(Inputs!$B$12*(1+Inputs!$B$13/100)))+0.25*(Inputs!$B$14-Inputs!$B$14))*(1+Inputs!$B$7/100))*(F2947/100)</f>
        <v/>
      </c>
      <c r="K2947">
        <f>J2947*(1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2949=TRUE,F2949,0)/100)*(1+(IF(Skills!A9="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2947)</f>
        <v/>
      </c>
      <c r="L2947">
        <f>K2947*(MIN(Inputs!$B$22+((C2963=TRUE)*(F2963-Calc!F25)),(Inputs!$B$23+((C2968=TRUE)*(F2968-Calc!F30))+(IF(ArtifactsInput!$M$15,CHOOSE(ArtifactsInput!$N$15+1,25,30,35,40,45,50)/100*(Inputs!$B$11-Inputs!$B$11),0))))/100+(Inputs!$B$23+((C2968=TRUE)*(F2968-Calc!F30))+(IF(ArtifactsInput!$M$15,CHOOSE(ArtifactsInput!$N$15+1,25,30,35,40,45,50)/100*(Inputs!$B$11-Inputs!$B$11),0)))/100)/2</f>
        <v/>
      </c>
      <c r="M2947">
        <f>L2947*(1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7">
        <f>L2947*(1-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2947*(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7">
        <f>(1-Summary!$B$11)*T2947+Summary!$B$11*V2947</f>
        <v/>
      </c>
      <c r="P2947">
        <f>IF(B2982=0,0,O2947/B2982)</f>
        <v/>
      </c>
      <c r="Q2947">
        <f>IFERROR(1/(IF(Inputs!$B$38="pvp",15,MAX(0.1,Skills!D9-IF(Skills!E9=TRUE,Inputs!$B$32,0)))*(1-IF(AND(ArtifactsInput!$M$27,Inputs!$B$4="Chapter Hunt"),CHOOSE(ArtifactsInput!$N$27+1,20,24,28,32,36,40),0)/100)),0)</f>
        <v/>
      </c>
      <c r="R2947">
        <f>IF(AND(Inputs!$B$38&lt;&gt;"pvp",Inputs!$B$43&gt;0),IF(MAX(0,Inputs!$B$43-B2979)&lt;=0,0,(INT(MAX(0,Inputs!$B$43-B2979)/(IF(Inputs!$B$38="pvp",15,MAX(0.1,Skills!D9-IF(Skills!E9=TRUE,Inputs!$B$32,0)))*(1-IF(AND(ArtifactsInput!$M$27,Inputs!$B$4="Chapter Hunt"),CHOOSE(ArtifactsInput!$N$27+1,20,24,28,32,36,40),0)/100)))+1)),0)</f>
        <v/>
      </c>
      <c r="S2947">
        <f>IFERROR(O2947/N2947,0)</f>
        <v/>
      </c>
      <c r="T2947">
        <f>IF(C2947,(H2947*N2947*IF(AND(Inputs!$B$38&lt;&gt;"pvp",Inputs!$B$43&gt;0),((Skills!G9*((R2947-1)*IF(Skills!H9&gt;0,Skills!I9/Skills!H9,1)+IF(Skills!H9&gt;0,MIN(Skills!I9,MAX(0,MAX(0,Inputs!$B$43-B2979)-((R2947-1)*(IF(Inputs!$B$38="pvp",15,MAX(0.1,Skills!D9-IF(Skills!E9=TRUE,Inputs!$B$32,0)))*(1-IF(AND(ArtifactsInput!$M$27,Inputs!$B$4="Chapter Hunt"),CHOOSE(ArtifactsInput!$N$27+1,20,24,28,32,36,40),0)/100)))))/Skills!H9,1)))/Inputs!$B$43),G2947*Q2947)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2947*(1-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2947*(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2947*(1-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2947*(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7">
        <f>IF(C2947,(H2947*N2947*IF(AND(Inputs!$B$38&lt;&gt;"pvp",Inputs!$B$43&gt;0),((Skills!G9*((R2947-1)*IF(Skills!H9&gt;0,Skills!I9/Skills!H9,1)+IF(Skills!H9&gt;0,MIN(Skills!I9,MAX(0,MAX(0,Inputs!$B$43-B2979)-((R2947-1)*(IF(Inputs!$B$38="pvp",15,MAX(0.1,Skills!D9-IF(Skills!E9=TRUE,Inputs!$B$32,0)))*(1-IF(AND(ArtifactsInput!$M$27,Inputs!$B$4="Chapter Hunt"),CHOOSE(ArtifactsInput!$N$27+1,20,24,28,32,36,40),0)/100)))))/Skills!H9,1)))/Inputs!$B$43),G2947*Q2947))*IF(Inputs!$B$38="pvp",1,(1+(Inputs!$B$21+Skills!Q9+(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8">
      <c r="A2948">
        <f>Skills!A10</f>
        <v/>
      </c>
      <c r="B2948">
        <f>Skills!B10</f>
        <v/>
      </c>
      <c r="C2948">
        <f>Inputs!$B$3&gt;=103</f>
        <v/>
      </c>
      <c r="D2948">
        <f>IF(Skills!C10=1,60+Inputs!$B$25+Inputs!$B$29,IF(Skills!C10=2,90+Inputs!$B$26+Inputs!$B$29,IF(Skills!C10=3,120+Inputs!$B$27+Inputs!$B$29,MAX(0,(Inputs!$B$3-100)*3)+Inputs!$B$28+Inputs!$B$29)))</f>
        <v/>
      </c>
      <c r="E2948">
        <f>INDEX(FactorTable!$B$2:$Y$301, MATCH(ROUND(MIN(300,MAX(1,D2948)),0), FactorTable!$A$2:$A$301,0), Skills!M10+1)</f>
        <v/>
      </c>
      <c r="F2948">
        <f>IF(Skills!N10=TRUE,(Skills!L10/10)*(E2948/1000),Skills!L10/10)+Skills!O10</f>
        <v/>
      </c>
      <c r="G2948">
        <f>Skills!G10*IF(Skills!H10&gt;0,Skills!I10/Skills!H10,1)</f>
        <v/>
      </c>
      <c r="H2948">
        <f>1-(1-Skills!J10/100)^Skills!K10</f>
        <v/>
      </c>
      <c r="I2948" t="inlineStr">
        <is>
          <t>1</t>
        </is>
      </c>
      <c r="J2948">
        <f>((Inputs!$B$6*(1+Inputs!$B$7/100))+(((Inputs!$B$12*(1+Inputs!$B$13/100))-(Inputs!$B$12*(1+Inputs!$B$13/100)))+0.25*(Inputs!$B$14-Inputs!$B$14))*(1+Inputs!$B$7/100))*(F2948/100)</f>
        <v/>
      </c>
      <c r="K2948">
        <f>J2948*(1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2948)</f>
        <v/>
      </c>
      <c r="L2948">
        <f>K2948*(MIN(Inputs!$B$22+((C2963=TRUE)*(F2963-Calc!F25)),(Inputs!$B$23+((C2968=TRUE)*(F2968-Calc!F30))+(IF(ArtifactsInput!$M$15,CHOOSE(ArtifactsInput!$N$15+1,25,30,35,40,45,50)/100*(Inputs!$B$11-Inputs!$B$11),0))))/100+(Inputs!$B$23+((C2968=TRUE)*(F2968-Calc!F30))+(IF(ArtifactsInput!$M$15,CHOOSE(ArtifactsInput!$N$15+1,25,30,35,40,45,50)/100*(Inputs!$B$11-Inputs!$B$11),0)))/100)/2</f>
        <v/>
      </c>
      <c r="M2948">
        <f>L2948*(1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8">
        <f>L2948*(1-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2948*(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8">
        <f>(1-Summary!$B$11)*T2948+Summary!$B$11*V2948</f>
        <v/>
      </c>
      <c r="P2948">
        <f>IF(B2982=0,0,O2948/B2982)</f>
        <v/>
      </c>
      <c r="Q2948">
        <f>IFERROR(1/(IF(Inputs!$B$38="pvp",15,MAX(0.1,Skills!D10-IF(Skills!E10=TRUE,Inputs!$B$32,0)))*(1-IF(AND(ArtifactsInput!$M$27,Inputs!$B$4="Chapter Hunt"),CHOOSE(ArtifactsInput!$N$27+1,20,24,28,32,36,40),0)/100)),0)</f>
        <v/>
      </c>
      <c r="R2948">
        <f>IF(AND(Inputs!$B$38&lt;&gt;"pvp",Inputs!$B$43&gt;0),IF(MAX(0,Inputs!$B$43-B2979)&lt;=0,0,(INT(MAX(0,Inputs!$B$43-B2979)/(IF(Inputs!$B$38="pvp",15,MAX(0.1,Skills!D10-IF(Skills!E10=TRUE,Inputs!$B$32,0)))*(1-IF(AND(ArtifactsInput!$M$27,Inputs!$B$4="Chapter Hunt"),CHOOSE(ArtifactsInput!$N$27+1,20,24,28,32,36,40),0)/100)))+1)),0)</f>
        <v/>
      </c>
      <c r="S2948">
        <f>IFERROR(O2948/N2948,0)</f>
        <v/>
      </c>
      <c r="T2948">
        <f>IF(C2948,(H2948*N2948*IF(AND(Inputs!$B$38&lt;&gt;"pvp",Inputs!$B$43&gt;0),((Skills!G10*((R2948-1)*IF(Skills!H10&gt;0,Skills!I10/Skills!H10,1)+IF(Skills!H10&gt;0,MIN(Skills!I10,MAX(0,MAX(0,Inputs!$B$43-B2979)-((R2948-1)*(IF(Inputs!$B$38="pvp",15,MAX(0.1,Skills!D10-IF(Skills!E10=TRUE,Inputs!$B$32,0)))*(1-IF(AND(ArtifactsInput!$M$27,Inputs!$B$4="Chapter Hunt"),CHOOSE(ArtifactsInput!$N$27+1,20,24,28,32,36,40),0)/100)))))/Skills!H10,1)))/Inputs!$B$43),G2948*Q2948)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2948*(1-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2948*(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2948*(1-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2948*(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8">
        <f>IF(C2948,(H2948*N2948*IF(AND(Inputs!$B$38&lt;&gt;"pvp",Inputs!$B$43&gt;0),((Skills!G10*((R2948-1)*IF(Skills!H10&gt;0,Skills!I10/Skills!H10,1)+IF(Skills!H10&gt;0,MIN(Skills!I10,MAX(0,MAX(0,Inputs!$B$43-B2979)-((R2948-1)*(IF(Inputs!$B$38="pvp",15,MAX(0.1,Skills!D10-IF(Skills!E10=TRUE,Inputs!$B$32,0)))*(1-IF(AND(ArtifactsInput!$M$27,Inputs!$B$4="Chapter Hunt"),CHOOSE(ArtifactsInput!$N$27+1,20,24,28,32,36,40),0)/100)))))/Skills!H10,1)))/Inputs!$B$43),G2948*Q2948))*IF(Inputs!$B$38="pvp",1,(1+(Inputs!$B$21+Skills!Q10+(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9">
      <c r="A2949">
        <f>Skills!A11</f>
        <v/>
      </c>
      <c r="B2949">
        <f>Skills!B11</f>
        <v/>
      </c>
      <c r="C2949">
        <f>Inputs!$B$3&gt;=100</f>
        <v/>
      </c>
      <c r="D2949">
        <f>IF(Skills!C11=1,60+Inputs!$B$25+Inputs!$B$29,IF(Skills!C11=2,90+Inputs!$B$26+Inputs!$B$29,IF(Skills!C11=3,120+Inputs!$B$27+Inputs!$B$29,MAX(0,(Inputs!$B$3-100)*3)+Inputs!$B$28+Inputs!$B$29)))</f>
        <v/>
      </c>
      <c r="E2949">
        <f>INDEX(FactorTable!$B$2:$Y$301, MATCH(ROUND(MIN(300,MAX(1,D2949)),0), FactorTable!$A$2:$A$301,0), Skills!M11+1)</f>
        <v/>
      </c>
      <c r="F2949">
        <f>IF(Skills!N11=TRUE,(Skills!L11/10)*(E2949/1000),Skills!L11/10)+Skills!O11</f>
        <v/>
      </c>
      <c r="G2949" t="inlineStr"/>
      <c r="H2949" t="inlineStr"/>
      <c r="I2949" t="inlineStr">
        <is>
          <t>1</t>
        </is>
      </c>
      <c r="J2949" t="inlineStr"/>
      <c r="K2949" t="inlineStr"/>
      <c r="L2949" t="inlineStr"/>
      <c r="M2949" t="inlineStr"/>
      <c r="N2949" t="inlineStr"/>
      <c r="O2949" t="inlineStr"/>
      <c r="P2949" t="inlineStr"/>
      <c r="Q2949" t="inlineStr"/>
      <c r="R2949" t="inlineStr"/>
      <c r="S2949" t="inlineStr"/>
      <c r="T2949" t="inlineStr"/>
      <c r="V2949" t="inlineStr"/>
    </row>
    <row r="2950">
      <c r="A2950">
        <f>Skills!A12</f>
        <v/>
      </c>
      <c r="B2950">
        <f>Skills!B12</f>
        <v/>
      </c>
      <c r="C2950">
        <f>Inputs!$B$3&gt;=60</f>
        <v/>
      </c>
      <c r="D2950">
        <f>IF(Skills!C12=1,60+Inputs!$B$25+Inputs!$B$29,IF(Skills!C12=2,90+Inputs!$B$26+Inputs!$B$29,IF(Skills!C12=3,120+Inputs!$B$27+Inputs!$B$29,MAX(0,(Inputs!$B$3-100)*3)+Inputs!$B$28+Inputs!$B$29)))</f>
        <v/>
      </c>
      <c r="E2950">
        <f>INDEX(FactorTable!$B$2:$Y$301, MATCH(ROUND(MIN(300,MAX(1,D2950)),0), FactorTable!$A$2:$A$301,0), Skills!M12+1)</f>
        <v/>
      </c>
      <c r="F2950">
        <f>IF(Skills!N12=TRUE,(Skills!L12/10)*(E2950/1000),Skills!L12/10)+Skills!O12</f>
        <v/>
      </c>
      <c r="G2950">
        <f>Skills!G12*IF(Skills!H12&gt;0,Skills!I12/Skills!H12,1)</f>
        <v/>
      </c>
      <c r="H2950">
        <f>1-(1-Skills!J12/100)^Skills!K12</f>
        <v/>
      </c>
      <c r="I2950" t="inlineStr">
        <is>
          <t>1</t>
        </is>
      </c>
      <c r="J2950">
        <f>((Inputs!$B$6*(1+Inputs!$B$7/100))+(((Inputs!$B$12*(1+Inputs!$B$13/100))-(Inputs!$B$12*(1+Inputs!$B$13/100)))+0.25*(Inputs!$B$14-Inputs!$B$14))*(1+Inputs!$B$7/100))*(F2950/100)</f>
        <v/>
      </c>
      <c r="K2950">
        <f>J2950*(1+((Inputs!$B$12*(1+Inputs!$B$13/100))*0.01+Inputs!$B$14*0.0025)/100)*(1+Inputs!$B$15/100)*(1+Inputs!$B$16/100)*(5000/(6000+Inputs!$B$42*(1-(100*(1-(1-(Inputs!$B$19+((C2966=TRUE)*(F2966-Calc!F28)))/100)*(1-CHOOSE(ArtifactsInput!$N$40+1,5,6,7,8,9,10)/100)^(ArtifactsInput!$M$40-ArtifactsInput!$M$40)))/100)))*(1+(Inputs!$B$24+((C2964=TRUE)*(F2964-Calc!F26))+((C2965=TRUE)*(F2965-Calc!F27))+B2978)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2951=TRUE,F2951,0)/100)*(1+(IF(Skills!A12="ARROW_STREAM",Inputs!$B$17+((C2962=TRUE)*(F2962-Calc!F24))+(((IF(AND(IF(ArtifactsInput!$M$42,FALSE,TRUE),((Inputs!$B$9+((C2959=TRUE)*(F2959-Calc!F21))+B2972+(ArtifactsInput!$M$24-ArtifactsInput!$M$24)*CHOOSE(ArtifactsInput!$N$24+1,10,12,14,16,18,20)+IF(ArtifactsInput!$M$10,CHOOSE(ArtifactsInput!$N$10+1,15,18,21,24,27,30)*(IF(Inputs!$B$38="pvp",MIN(15,15)/15,IF(AND(Inputs!$B$38&lt;&gt;"pvp",Inputs!$B$43&gt;0),MIN(15,Inputs!$B$43)/(Inputs!$B$43),0))),0)))&gt;=100),MIN(100,((Inputs!$B$9+((C2959=TRUE)*(F2959-Calc!F21))+B2972+(ArtifactsInput!$M$24-ArtifactsInput!$M$24)*CHOOSE(ArtifactsInput!$N$24+1,10,12,14,16,18,20)+IF(ArtifactsInput!$M$10,CHOOSE(ArtifactsInput!$N$10+1,15,18,21,24,27,30)*(IF(Inputs!$B$38="pvp",MIN(15,15)/15,IF(AND(Inputs!$B$38&lt;&gt;"pvp",Inputs!$B$43&gt;0),MIN(15,Inputs!$B$43)/(Inputs!$B$43),0))),0)))-100),0))*CHOOSE(ArtifactsInput!$N$42+1,0.6,0.72,0.84,0.96,1.08,1.2))),Inputs!$B$18+((C2967=TRUE)*(F2967-Calc!F29))+(IF(AND(IF(ArtifactsInput!$M$42,FALSE,TRUE),((Inputs!$B$9+((C2959=TRUE)*(F2959-Calc!F21))+B2972+(ArtifactsInput!$M$24-ArtifactsInput!$M$24)*CHOOSE(ArtifactsInput!$N$24+1,10,12,14,16,18,20)+IF(ArtifactsInput!$M$10,CHOOSE(ArtifactsInput!$N$10+1,15,18,21,24,27,30)*(IF(Inputs!$B$38="pvp",MIN(15,15)/15,IF(AND(Inputs!$B$38&lt;&gt;"pvp",Inputs!$B$43&gt;0),MIN(15,Inputs!$B$43)/(Inputs!$B$43),0))),0)))&gt;=100),CHOOSE(ArtifactsInput!$N$42+1,40,48,56,64,72,80),0))))/100)*((1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2950)</f>
        <v/>
      </c>
      <c r="L2950">
        <f>K2950*(MIN(Inputs!$B$22+((C2963=TRUE)*(F2963-Calc!F25)),(Inputs!$B$23+((C2968=TRUE)*(F2968-Calc!F30))+(IF(ArtifactsInput!$M$15,CHOOSE(ArtifactsInput!$N$15+1,25,30,35,40,45,50)/100*(Inputs!$B$11-Inputs!$B$11),0))))/100+(Inputs!$B$23+((C2968=TRUE)*(F2968-Calc!F30))+(IF(ArtifactsInput!$M$15,CHOOSE(ArtifactsInput!$N$15+1,25,30,35,40,45,50)/100*(Inputs!$B$11-Inputs!$B$11),0)))/100)/2</f>
        <v/>
      </c>
      <c r="M2950">
        <f>L2950*(1+(Inputs!$B$10+0+B2977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0">
        <f>L2950*(1-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2950*(MIN((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0">
        <f>(1-Summary!$B$11)*T2950+Summary!$B$11*V2950</f>
        <v/>
      </c>
      <c r="P2950">
        <f>IF(B2982=0,0,O2950/B2982)</f>
        <v/>
      </c>
      <c r="Q2950">
        <f>IFERROR(1/(IF(Inputs!$B$38="pvp",15,MAX(0.1,Skills!D12-IF(Skills!E12=TRUE,Inputs!$B$32,0)))*(1-IF(AND(ArtifactsInput!$M$27,Inputs!$B$4="Chapter Hunt"),CHOOSE(ArtifactsInput!$N$27+1,20,24,28,32,36,40),0)/100)),0)</f>
        <v/>
      </c>
      <c r="R2950">
        <f>IF(AND(Inputs!$B$38&lt;&gt;"pvp",Inputs!$B$43&gt;0),IF(MAX(0,Inputs!$B$43-B2979)&lt;=0,0,(INT(MAX(0,Inputs!$B$43-B2979)/(IF(Inputs!$B$38="pvp",15,MAX(0.1,Skills!D12-IF(Skills!E12=TRUE,Inputs!$B$32,0)))*(1-IF(AND(ArtifactsInput!$M$27,Inputs!$B$4="Chapter Hunt"),CHOOSE(ArtifactsInput!$N$27+1,20,24,28,32,36,40),0)/100)))+1)),0)</f>
        <v/>
      </c>
      <c r="S2950">
        <f>IFERROR(O2950/N2950,0)</f>
        <v/>
      </c>
      <c r="T2950">
        <f>IF(C2950,(H2950*N2950*IF(AND(Inputs!$B$38&lt;&gt;"pvp",Inputs!$B$43&gt;0),((Skills!G12*((R2950-1)*IF(Skills!H12&gt;0,Skills!I12/Skills!H12,1)+IF(Skills!H12&gt;0,MIN(Skills!I12,MAX(0,MAX(0,Inputs!$B$43-B2979)-((R2950-1)*(IF(Inputs!$B$38="pvp",15,MAX(0.1,Skills!D12-IF(Skills!E12=TRUE,Inputs!$B$32,0)))*(1-IF(AND(ArtifactsInput!$M$27,Inputs!$B$4="Chapter Hunt"),CHOOSE(ArtifactsInput!$N$27+1,20,24,28,32,36,40),0)/100)))))/Skills!H12,1)))/Inputs!$B$43),G2950*Q2950)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(5000/(6000+Inputs!$B$42*(1-(100*(1-(1-(100*(1-(1-(Inputs!$B$19+((C2966=TRUE)*(F2966-Calc!F28)))/100)*(1-CHOOSE(ArtifactsInput!$N$40+1,5,6,7,8,9,10)/100)^(ArtifactsInput!$M$40-ArtifactsInput!$M$40)))/100)*(1-IF(ArtifactsInput!$M$40,CHOOSE(ArtifactsInput!$N$40+1,5,6,7,8,9,10),0)/100)^IF(Inputs!$B$38="pvp",1,2)))/100)))/(5000/(6000+Inputs!$B$42*(1-(100*(1-(1-(Inputs!$B$19+((C2966=TRUE)*(F2966-Calc!F28)))/100)*(1-CHOOSE(ArtifactsInput!$N$40+1,5,6,7,8,9,10)/100)^(ArtifactsInput!$M$40-ArtifactsInput!$M$40)))/100))))*((L2950*(1-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2950*(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2950*(1-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2950*(MIN(100,(Inputs!$B$9+((C2959=TRUE)*(F2959-Calc!F21))+B2972+(ArtifactsInput!$M$24-ArtifactsInput!$M$24)*CHOOSE(ArtifactsInput!$N$24+1,10,12,14,16,18,20)+(IF(AND(IF(ArtifactsInput!$M$42,FALSE,TRUE),((Inputs!$B$9+((C2959=TRUE)*(F2959-Calc!F21))+B2972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0">
        <f>IF(C2950,(H2950*N2950*IF(AND(Inputs!$B$38&lt;&gt;"pvp",Inputs!$B$43&gt;0),((Skills!G12*((R2950-1)*IF(Skills!H12&gt;0,Skills!I12/Skills!H12,1)+IF(Skills!H12&gt;0,MIN(Skills!I12,MAX(0,MAX(0,Inputs!$B$43-B2979)-((R2950-1)*(IF(Inputs!$B$38="pvp",15,MAX(0.1,Skills!D12-IF(Skills!E12=TRUE,Inputs!$B$32,0)))*(1-IF(AND(ArtifactsInput!$M$27,Inputs!$B$4="Chapter Hunt"),CHOOSE(ArtifactsInput!$N$27+1,20,24,28,32,36,40),0)/100)))))/Skills!H12,1)))/Inputs!$B$43),G2950*Q2950))*IF(Inputs!$B$38="pvp",1,(1+(Inputs!$B$21+Skills!Q12+(IF(ArtifactsInput!$M$33,CHOOSE(ArtifactsInput!$N$33+1,30,36,42,48,54,60),0))+(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1">
      <c r="A2951">
        <f>Skills!A13</f>
        <v/>
      </c>
      <c r="B2951">
        <f>Skills!B13</f>
        <v/>
      </c>
      <c r="C2951">
        <f>Inputs!$B$3&gt;=110</f>
        <v/>
      </c>
      <c r="D2951">
        <f>IF(Skills!C13=1,60+Inputs!$B$25+Inputs!$B$29,IF(Skills!C13=2,90+Inputs!$B$26+Inputs!$B$29,IF(Skills!C13=3,120+Inputs!$B$27+Inputs!$B$29,MAX(0,(Inputs!$B$3-100)*3)+Inputs!$B$28+Inputs!$B$29)))</f>
        <v/>
      </c>
      <c r="E2951">
        <f>INDEX(FactorTable!$B$2:$Y$301, MATCH(ROUND(MIN(300,MAX(1,D2951)),0), FactorTable!$A$2:$A$301,0), Skills!M13+1)</f>
        <v/>
      </c>
      <c r="F2951">
        <f>IF(Skills!N13=TRUE,(Skills!L13/10)*(E2951/1000),Skills!L13/10)+Skills!O13</f>
        <v/>
      </c>
      <c r="G2951" t="inlineStr"/>
      <c r="H2951" t="inlineStr"/>
      <c r="I2951" t="inlineStr">
        <is>
          <t>1</t>
        </is>
      </c>
      <c r="J2951" t="inlineStr"/>
      <c r="K2951" t="inlineStr"/>
      <c r="L2951" t="inlineStr"/>
      <c r="M2951" t="inlineStr"/>
      <c r="N2951" t="inlineStr"/>
      <c r="O2951" t="inlineStr"/>
      <c r="P2951" t="inlineStr"/>
      <c r="Q2951" t="inlineStr"/>
      <c r="R2951" t="inlineStr"/>
      <c r="S2951" t="inlineStr"/>
      <c r="T2951" t="inlineStr"/>
      <c r="V2951" t="inlineStr"/>
    </row>
    <row r="2952">
      <c r="A2952">
        <f>Skills!A14</f>
        <v/>
      </c>
      <c r="B2952">
        <f>Skills!B14</f>
        <v/>
      </c>
      <c r="C2952">
        <f>Inputs!$B$3&gt;=74</f>
        <v/>
      </c>
      <c r="D2952">
        <f>IF(Skills!C14=1,60+Inputs!$B$25+Inputs!$B$29,IF(Skills!C14=2,90+Inputs!$B$26+Inputs!$B$29,IF(Skills!C14=3,120+Inputs!$B$27+Inputs!$B$29,MAX(0,(Inputs!$B$3-100)*3)+Inputs!$B$28+Inputs!$B$29)))</f>
        <v/>
      </c>
      <c r="E2952">
        <f>INDEX(FactorTable!$B$2:$Y$301, MATCH(ROUND(MIN(300,MAX(1,D2952)),0), FactorTable!$A$2:$A$301,0), Skills!M14+1)</f>
        <v/>
      </c>
      <c r="F2952">
        <f>IF(Skills!N14=TRUE,(Skills!L14/10)*(E2952/1000),Skills!L14/10)+Skills!O14</f>
        <v/>
      </c>
      <c r="G2952">
        <f>Skills!G14*IF(Skills!H14&gt;0,Skills!I14/Skills!H14,1)</f>
        <v/>
      </c>
      <c r="H2952">
        <f>1-(1-Skills!J14/100)^Skills!K14</f>
        <v/>
      </c>
      <c r="I2952" t="inlineStr">
        <is>
          <t>1</t>
        </is>
      </c>
      <c r="J2952" t="inlineStr"/>
      <c r="K2952" t="inlineStr"/>
      <c r="L2952" t="inlineStr"/>
      <c r="M2952" t="inlineStr"/>
      <c r="N2952" t="inlineStr"/>
      <c r="O2952">
        <f>(1-Summary!$B$11)*T2952+Summary!$B$11*V2952</f>
        <v/>
      </c>
      <c r="P2952">
        <f>IF(B2982=0,0,O2952/B2982)</f>
        <v/>
      </c>
      <c r="Q2952" t="n">
        <v>0</v>
      </c>
      <c r="R2952" t="n">
        <v>0</v>
      </c>
      <c r="S2952">
        <f>IFERROR(O2952/N2952,0)</f>
        <v/>
      </c>
      <c r="T2952" t="n">
        <v>0</v>
      </c>
      <c r="V2952" t="n">
        <v>0</v>
      </c>
    </row>
    <row r="2953">
      <c r="A2953">
        <f>Skills!A15</f>
        <v/>
      </c>
      <c r="B2953">
        <f>Skills!B15</f>
        <v/>
      </c>
      <c r="C2953">
        <f>Inputs!$B$3&gt;=74</f>
        <v/>
      </c>
      <c r="D2953">
        <f>IF(Skills!C15=1,60+Inputs!$B$25+Inputs!$B$29,IF(Skills!C15=2,90+Inputs!$B$26+Inputs!$B$29,IF(Skills!C15=3,120+Inputs!$B$27+Inputs!$B$29,MAX(0,(Inputs!$B$3-100)*3)+Inputs!$B$28+Inputs!$B$29)))</f>
        <v/>
      </c>
      <c r="E2953">
        <f>INDEX(FactorTable!$B$2:$Y$301, MATCH(ROUND(MIN(300,MAX(1,D2953)),0), FactorTable!$A$2:$A$301,0), Skills!M15+1)</f>
        <v/>
      </c>
      <c r="F2953">
        <f>IF(Skills!N15=TRUE,(Skills!L15/10)*(E2953/1000),Skills!L15/10)+Skills!O15</f>
        <v/>
      </c>
      <c r="G2953">
        <f>Skills!G15*IF(Skills!H15&gt;0,Skills!I15/Skills!H15,1)</f>
        <v/>
      </c>
      <c r="H2953">
        <f>1-(1-Skills!J15/100)^Skills!K15</f>
        <v/>
      </c>
      <c r="I2953" t="inlineStr">
        <is>
          <t>1</t>
        </is>
      </c>
      <c r="J2953" t="inlineStr"/>
      <c r="K2953" t="inlineStr"/>
      <c r="L2953" t="inlineStr"/>
      <c r="M2953" t="inlineStr"/>
      <c r="N2953" t="inlineStr"/>
      <c r="O2953">
        <f>(1-Summary!$B$11)*T2953+Summary!$B$11*V2953</f>
        <v/>
      </c>
      <c r="P2953">
        <f>IF(B2982=0,0,O2953/B2982)</f>
        <v/>
      </c>
      <c r="Q2953" t="n">
        <v>0</v>
      </c>
      <c r="R2953" t="n">
        <v>0</v>
      </c>
      <c r="S2953">
        <f>IFERROR(O2953/N2953,0)</f>
        <v/>
      </c>
      <c r="T2953" t="n">
        <v>0</v>
      </c>
      <c r="V2953" t="n">
        <v>0</v>
      </c>
    </row>
    <row r="2954">
      <c r="A2954">
        <f>Skills!A16</f>
        <v/>
      </c>
      <c r="B2954">
        <f>Skills!B16</f>
        <v/>
      </c>
      <c r="C2954">
        <f>Inputs!$B$3&gt;=117</f>
        <v/>
      </c>
      <c r="D2954">
        <f>IF(Skills!C16=1,60+Inputs!$B$25+Inputs!$B$29,IF(Skills!C16=2,90+Inputs!$B$26+Inputs!$B$29,IF(Skills!C16=3,120+Inputs!$B$27+Inputs!$B$29,MAX(0,(Inputs!$B$3-100)*3)+Inputs!$B$28+Inputs!$B$29)))</f>
        <v/>
      </c>
      <c r="E2954">
        <f>INDEX(FactorTable!$B$2:$Y$301, MATCH(ROUND(MIN(300,MAX(1,D2954)),0), FactorTable!$A$2:$A$301,0), Skills!M16+1)</f>
        <v/>
      </c>
      <c r="F2954">
        <f>IF(Skills!N16=TRUE,(Skills!L16/10)*(E2954/1000),Skills!L16/10)+Skills!O16</f>
        <v/>
      </c>
      <c r="G2954">
        <f>Skills!G16*IF(Skills!H16&gt;0,Skills!I16/Skills!H16,1)</f>
        <v/>
      </c>
      <c r="H2954">
        <f>1-(1-Skills!J16/100)^Skills!K16</f>
        <v/>
      </c>
      <c r="I2954" t="inlineStr">
        <is>
          <t>1</t>
        </is>
      </c>
      <c r="J2954" t="inlineStr"/>
      <c r="K2954" t="inlineStr"/>
      <c r="L2954" t="inlineStr"/>
      <c r="M2954" t="inlineStr"/>
      <c r="N2954" t="inlineStr"/>
      <c r="O2954">
        <f>(1-Summary!$B$11)*T2954+Summary!$B$11*V2954</f>
        <v/>
      </c>
      <c r="P2954">
        <f>IF(B2982=0,0,O2954/B2982)</f>
        <v/>
      </c>
      <c r="Q2954">
        <f>IFERROR(1/(IF(Inputs!$B$38="pvp",15,MAX(0.1,Skills!D16-IF(Skills!E16=TRUE,Inputs!$B$32,0)))*(1-IF(AND(ArtifactsInput!$M$27,Inputs!$B$4="Chapter Hunt"),CHOOSE(ArtifactsInput!$N$27+1,20,24,28,32,36,40),0)/100)),0)</f>
        <v/>
      </c>
      <c r="R2954">
        <f>IF(AND(Inputs!$B$38&lt;&gt;"pvp",Inputs!$B$43&gt;0),IF(Inputs!$B$43&lt;=0,0,(INT(Inputs!$B$43/(IF(Inputs!$B$38="pvp",15,MAX(0.1,Skills!D16-IF(Skills!E16=TRUE,Inputs!$B$32,0)))*(1-IF(AND(ArtifactsInput!$M$27,Inputs!$B$4="Chapter Hunt"),CHOOSE(ArtifactsInput!$N$27+1,20,24,28,32,36,40),0)/100)))+1)),0)</f>
        <v/>
      </c>
      <c r="S2954">
        <f>IFERROR(O2954/N2954,0)</f>
        <v/>
      </c>
      <c r="T2954" t="n">
        <v>0</v>
      </c>
      <c r="V2954" t="n">
        <v>0</v>
      </c>
    </row>
    <row r="2955">
      <c r="A2955">
        <f>Skills!A17</f>
        <v/>
      </c>
      <c r="B2955">
        <f>Skills!B17</f>
        <v/>
      </c>
      <c r="C2955">
        <f>Inputs!$B$3&gt;=115</f>
        <v/>
      </c>
      <c r="D2955">
        <f>IF(Skills!C17=1,60+Inputs!$B$25+Inputs!$B$29,IF(Skills!C17=2,90+Inputs!$B$26+Inputs!$B$29,IF(Skills!C17=3,120+Inputs!$B$27+Inputs!$B$29,MAX(0,(Inputs!$B$3-100)*3)+Inputs!$B$28+Inputs!$B$29)))</f>
        <v/>
      </c>
      <c r="E2955">
        <f>INDEX(FactorTable!$B$2:$Y$301, MATCH(ROUND(MIN(300,MAX(1,D2955)),0), FactorTable!$A$2:$A$301,0), Skills!M17+1)</f>
        <v/>
      </c>
      <c r="F2955">
        <f>IF(Skills!N17=TRUE,(Skills!L17/10)*(E2955/1000),Skills!L17/10)+Skills!O17</f>
        <v/>
      </c>
      <c r="G2955">
        <f>Skills!G17*IF(Skills!H17&gt;0,Skills!I17/Skills!H17,1)</f>
        <v/>
      </c>
      <c r="H2955">
        <f>1-(1-Skills!J17/100)^Skills!K17</f>
        <v/>
      </c>
      <c r="I2955" t="inlineStr">
        <is>
          <t>1</t>
        </is>
      </c>
      <c r="J2955" t="inlineStr"/>
      <c r="K2955" t="inlineStr"/>
      <c r="L2955" t="inlineStr"/>
      <c r="M2955" t="inlineStr"/>
      <c r="N2955" t="inlineStr"/>
      <c r="O2955">
        <f>(1-Summary!$B$11)*T2955+Summary!$B$11*V2955</f>
        <v/>
      </c>
      <c r="P2955">
        <f>IF(B2982=0,0,O2955/B2982)</f>
        <v/>
      </c>
      <c r="Q2955">
        <f>IFERROR(1/(IF(Inputs!$B$38="pvp",15,MAX(0.1,Skills!D17-IF(Skills!E17=TRUE,Inputs!$B$32,0)))*(1-IF(AND(ArtifactsInput!$M$27,Inputs!$B$4="Chapter Hunt"),CHOOSE(ArtifactsInput!$N$27+1,20,24,28,32,36,40),0)/100)),0)</f>
        <v/>
      </c>
      <c r="R2955">
        <f>IF(AND(Inputs!$B$38&lt;&gt;"pvp",Inputs!$B$43&gt;0),IF(Inputs!$B$43&lt;=0,0,(INT(Inputs!$B$43/(IF(Inputs!$B$38="pvp",15,MAX(0.1,Skills!D17-IF(Skills!E17=TRUE,Inputs!$B$32,0)))*(1-IF(AND(ArtifactsInput!$M$27,Inputs!$B$4="Chapter Hunt"),CHOOSE(ArtifactsInput!$N$27+1,20,24,28,32,36,40),0)/100)))+1)),0)</f>
        <v/>
      </c>
      <c r="S2955">
        <f>IFERROR(O2955/N2955,0)</f>
        <v/>
      </c>
      <c r="T2955" t="n">
        <v>0</v>
      </c>
      <c r="V2955" t="n">
        <v>0</v>
      </c>
    </row>
    <row r="2956">
      <c r="A2956">
        <f>Skills!A18</f>
        <v/>
      </c>
      <c r="B2956">
        <f>Skills!B18</f>
        <v/>
      </c>
      <c r="C2956">
        <f>Inputs!$B$3&gt;=66</f>
        <v/>
      </c>
      <c r="D2956">
        <f>IF(Skills!C18=1,60+Inputs!$B$25+Inputs!$B$29,IF(Skills!C18=2,90+Inputs!$B$26+Inputs!$B$29,IF(Skills!C18=3,120+Inputs!$B$27+Inputs!$B$29,MAX(0,(Inputs!$B$3-100)*3)+Inputs!$B$28+Inputs!$B$29)))</f>
        <v/>
      </c>
      <c r="E2956">
        <f>INDEX(FactorTable!$B$2:$Y$301, MATCH(ROUND(MIN(300,MAX(1,D2956)),0), FactorTable!$A$2:$A$301,0), Skills!M18+1)</f>
        <v/>
      </c>
      <c r="F2956">
        <f>IF(Skills!N18=TRUE,(Skills!L18/10)*(E2956/1000),Skills!L18/10)+Skills!O18</f>
        <v/>
      </c>
      <c r="G2956">
        <f>Skills!G18*IF(Skills!H18&gt;0,Skills!I18/Skills!H18,1)</f>
        <v/>
      </c>
      <c r="H2956">
        <f>1-(1-Skills!J18/100)^Skills!K18</f>
        <v/>
      </c>
      <c r="I2956" t="inlineStr">
        <is>
          <t>1</t>
        </is>
      </c>
      <c r="J2956" t="inlineStr"/>
      <c r="K2956" t="inlineStr"/>
      <c r="L2956" t="inlineStr"/>
      <c r="M2956" t="inlineStr"/>
      <c r="N2956" t="inlineStr"/>
      <c r="O2956">
        <f>(1-Summary!$B$11)*T2956+Summary!$B$11*V2956</f>
        <v/>
      </c>
      <c r="P2956">
        <f>IF(B2982=0,0,O2956/B2982)</f>
        <v/>
      </c>
      <c r="Q2956" t="n">
        <v>0</v>
      </c>
      <c r="R2956" t="n">
        <v>0</v>
      </c>
      <c r="S2956">
        <f>IFERROR(O2956/N2956,0)</f>
        <v/>
      </c>
      <c r="T2956" t="n">
        <v>0</v>
      </c>
      <c r="V2956" t="n">
        <v>0</v>
      </c>
    </row>
    <row r="2957">
      <c r="A2957">
        <f>Skills!A19</f>
        <v/>
      </c>
      <c r="B2957">
        <f>Skills!B19</f>
        <v/>
      </c>
      <c r="C2957">
        <f>Inputs!$B$3&gt;=72</f>
        <v/>
      </c>
      <c r="D2957">
        <f>IF(Skills!C19=1,60+Inputs!$B$25+Inputs!$B$29,IF(Skills!C19=2,90+Inputs!$B$26+Inputs!$B$29,IF(Skills!C19=3,120+Inputs!$B$27+Inputs!$B$29,MAX(0,(Inputs!$B$3-100)*3)+Inputs!$B$28+Inputs!$B$29)))</f>
        <v/>
      </c>
      <c r="E2957">
        <f>INDEX(FactorTable!$B$2:$Y$301, MATCH(ROUND(MIN(300,MAX(1,D2957)),0), FactorTable!$A$2:$A$301,0), Skills!M19+1)</f>
        <v/>
      </c>
      <c r="F2957">
        <f>IF(Skills!N19=TRUE,(Skills!L19/10)*(E2957/1000),Skills!L19/10)+Skills!O19</f>
        <v/>
      </c>
      <c r="G2957">
        <f>Skills!G19*IF(Skills!H19&gt;0,Skills!I19/Skills!H19,1)</f>
        <v/>
      </c>
      <c r="H2957">
        <f>1-(1-Skills!J19/100)^Skills!K19</f>
        <v/>
      </c>
      <c r="I2957" t="inlineStr">
        <is>
          <t>1</t>
        </is>
      </c>
      <c r="J2957" t="inlineStr"/>
      <c r="K2957" t="inlineStr"/>
      <c r="L2957" t="inlineStr"/>
      <c r="M2957" t="inlineStr"/>
      <c r="N2957" t="inlineStr"/>
      <c r="O2957">
        <f>(1-Summary!$B$11)*T2957+Summary!$B$11*V2957</f>
        <v/>
      </c>
      <c r="P2957">
        <f>IF(B2982=0,0,O2957/B2982)</f>
        <v/>
      </c>
      <c r="Q2957" t="n">
        <v>0</v>
      </c>
      <c r="R2957" t="n">
        <v>0</v>
      </c>
      <c r="S2957">
        <f>IFERROR(O2957/N2957,0)</f>
        <v/>
      </c>
      <c r="T2957" t="n">
        <v>0</v>
      </c>
      <c r="V2957" t="n">
        <v>0</v>
      </c>
    </row>
    <row r="2958">
      <c r="A2958">
        <f>Skills!A20</f>
        <v/>
      </c>
      <c r="B2958">
        <f>Skills!B20</f>
        <v/>
      </c>
      <c r="C2958">
        <f>TRUE</f>
        <v/>
      </c>
      <c r="D2958">
        <f>IF(Skills!C20=1,60+Inputs!$B$25+Inputs!$B$29,IF(Skills!C20=2,90+Inputs!$B$26+Inputs!$B$29,IF(Skills!C20=3,120+Inputs!$B$27+Inputs!$B$29,MAX(0,(Inputs!$B$3-100)*3)+Inputs!$B$28+Inputs!$B$29)))</f>
        <v/>
      </c>
      <c r="E2958">
        <f>INDEX(FactorTable!$B$2:$Y$301, MATCH(ROUND(MIN(300,MAX(1,D2958)),0), FactorTable!$A$2:$A$301,0), Skills!M20+1)</f>
        <v/>
      </c>
      <c r="F2958">
        <f>IF(Skills!N20=TRUE,(Skills!L20/10)*(E2958/1000),Skills!L20/10)+Skills!O20</f>
        <v/>
      </c>
      <c r="G2958">
        <f>Skills!G20*IF(Skills!H20&gt;0,Skills!I20/Skills!H20,1)</f>
        <v/>
      </c>
      <c r="H2958">
        <f>1-(1-Skills!J20/100)^Skills!K20</f>
        <v/>
      </c>
      <c r="I2958" t="inlineStr">
        <is>
          <t>1</t>
        </is>
      </c>
      <c r="J2958" t="inlineStr"/>
      <c r="K2958" t="inlineStr"/>
      <c r="L2958" t="inlineStr"/>
      <c r="M2958" t="inlineStr"/>
      <c r="N2958" t="inlineStr"/>
      <c r="O2958">
        <f>(1-Summary!$B$11)*T2958+Summary!$B$11*V2958</f>
        <v/>
      </c>
      <c r="P2958">
        <f>IF(B2982=0,0,O2958/B2982)</f>
        <v/>
      </c>
      <c r="Q2958">
        <f>IFERROR(1/(IF(Inputs!$B$38="pvp",15,MAX(0.1,Skills!D20-IF(Skills!E20=TRUE,Inputs!$B$32,0)))*(1-IF(AND(ArtifactsInput!$M$27,Inputs!$B$4="Chapter Hunt"),CHOOSE(ArtifactsInput!$N$27+1,20,24,28,32,36,40),0)/100)),0)</f>
        <v/>
      </c>
      <c r="R2958">
        <f>IF(AND(Inputs!$B$38&lt;&gt;"pvp",Inputs!$B$43&gt;0),IF(Inputs!$B$43&lt;=0,0,(INT(Inputs!$B$43/(IF(Inputs!$B$38="pvp",15,MAX(0.1,Skills!D20-IF(Skills!E20=TRUE,Inputs!$B$32,0)))*(1-IF(AND(ArtifactsInput!$M$27,Inputs!$B$4="Chapter Hunt"),CHOOSE(ArtifactsInput!$N$27+1,20,24,28,32,36,40),0)/100)))+1)),0)</f>
        <v/>
      </c>
      <c r="S2958">
        <f>IFERROR(O2958/N2958,0)</f>
        <v/>
      </c>
      <c r="T2958" t="n">
        <v>0</v>
      </c>
      <c r="V2958" t="n">
        <v>0</v>
      </c>
    </row>
    <row r="2959">
      <c r="A2959">
        <f>Skills!A21</f>
        <v/>
      </c>
      <c r="B2959">
        <f>Skills!B21</f>
        <v/>
      </c>
      <c r="C2959">
        <f>Inputs!$B$3&gt;=15</f>
        <v/>
      </c>
      <c r="D2959">
        <f>IF(Skills!C21=1,60+Inputs!$B$25+Inputs!$B$29,IF(Skills!C21=2,90+Inputs!$B$26+Inputs!$B$29,IF(Skills!C21=3,120+Inputs!$B$27+Inputs!$B$29,MAX(0,(Inputs!$B$3-100)*3)+Inputs!$B$28+Inputs!$B$29)))</f>
        <v/>
      </c>
      <c r="E2959">
        <f>INDEX(FactorTable!$B$2:$Y$301, MATCH(ROUND(MIN(300,MAX(1,D2959)),0), FactorTable!$A$2:$A$301,0), Skills!M21+1)</f>
        <v/>
      </c>
      <c r="F2959">
        <f>IF(Skills!N21=TRUE,(Skills!L21/10)*(E2959/1000),Skills!L21/10)+Skills!O21</f>
        <v/>
      </c>
      <c r="G2959">
        <f>Skills!G21*IF(Skills!H21&gt;0,Skills!I21/Skills!H21,1)</f>
        <v/>
      </c>
      <c r="H2959">
        <f>1-(1-Skills!J21/100)^Skills!K21</f>
        <v/>
      </c>
      <c r="I2959" t="inlineStr">
        <is>
          <t>1</t>
        </is>
      </c>
      <c r="J2959" t="inlineStr"/>
      <c r="K2959" t="inlineStr"/>
      <c r="L2959" t="inlineStr"/>
      <c r="M2959" t="inlineStr"/>
      <c r="N2959" t="inlineStr"/>
      <c r="O2959">
        <f>(1-Summary!$B$11)*T2959+Summary!$B$11*V2959</f>
        <v/>
      </c>
      <c r="P2959">
        <f>IF(B2982=0,0,O2959/B2982)</f>
        <v/>
      </c>
      <c r="Q2959" t="n">
        <v>0</v>
      </c>
      <c r="R2959" t="n">
        <v>0</v>
      </c>
      <c r="S2959">
        <f>IFERROR(O2959/N2959,0)</f>
        <v/>
      </c>
      <c r="T2959" t="n">
        <v>0</v>
      </c>
      <c r="V2959" t="n">
        <v>0</v>
      </c>
    </row>
    <row r="2960">
      <c r="A2960">
        <f>Skills!A22</f>
        <v/>
      </c>
      <c r="B2960">
        <f>Skills!B22</f>
        <v/>
      </c>
      <c r="C2960">
        <f>Inputs!$B$3&gt;=10</f>
        <v/>
      </c>
      <c r="D2960">
        <f>IF(Skills!C22=1,60+Inputs!$B$25+Inputs!$B$29,IF(Skills!C22=2,90+Inputs!$B$26+Inputs!$B$29,IF(Skills!C22=3,120+Inputs!$B$27+Inputs!$B$29,MAX(0,(Inputs!$B$3-100)*3)+Inputs!$B$28+Inputs!$B$29)))</f>
        <v/>
      </c>
      <c r="E2960">
        <f>INDEX(FactorTable!$B$2:$Y$301, MATCH(ROUND(MIN(300,MAX(1,D2960)),0), FactorTable!$A$2:$A$301,0), Skills!M22+1)</f>
        <v/>
      </c>
      <c r="F2960">
        <f>IF(Skills!N22=TRUE,(Skills!L22/10)*(E2960/1000),Skills!L22/10)+Skills!O22</f>
        <v/>
      </c>
      <c r="G2960">
        <f>Skills!G22*IF(Skills!H22&gt;0,Skills!I22/Skills!H22,1)</f>
        <v/>
      </c>
      <c r="H2960">
        <f>1-(1-Skills!J22/100)^Skills!K22</f>
        <v/>
      </c>
      <c r="I2960" t="inlineStr">
        <is>
          <t>1</t>
        </is>
      </c>
      <c r="J2960" t="inlineStr"/>
      <c r="K2960" t="inlineStr"/>
      <c r="L2960" t="inlineStr"/>
      <c r="M2960" t="inlineStr"/>
      <c r="N2960" t="inlineStr"/>
      <c r="O2960">
        <f>(1-Summary!$B$11)*T2960+Summary!$B$11*V2960</f>
        <v/>
      </c>
      <c r="P2960">
        <f>IF(B2982=0,0,O2960/B2982)</f>
        <v/>
      </c>
      <c r="Q2960" t="n">
        <v>0</v>
      </c>
      <c r="R2960" t="n">
        <v>0</v>
      </c>
      <c r="S2960">
        <f>IFERROR(O2960/N2960,0)</f>
        <v/>
      </c>
      <c r="T2960" t="n">
        <v>0</v>
      </c>
      <c r="V2960" t="n">
        <v>0</v>
      </c>
    </row>
    <row r="2961">
      <c r="A2961">
        <f>Skills!A23</f>
        <v/>
      </c>
      <c r="B2961">
        <f>Skills!B23</f>
        <v/>
      </c>
      <c r="C2961">
        <f>Inputs!$B$3&gt;=33</f>
        <v/>
      </c>
      <c r="D2961">
        <f>IF(Skills!C23=1,60+Inputs!$B$25+Inputs!$B$29,IF(Skills!C23=2,90+Inputs!$B$26+Inputs!$B$29,IF(Skills!C23=3,120+Inputs!$B$27+Inputs!$B$29,MAX(0,(Inputs!$B$3-100)*3)+Inputs!$B$28+Inputs!$B$29)))</f>
        <v/>
      </c>
      <c r="E2961">
        <f>INDEX(FactorTable!$B$2:$Y$301, MATCH(ROUND(MIN(300,MAX(1,D2961)),0), FactorTable!$A$2:$A$301,0), Skills!M23+1)</f>
        <v/>
      </c>
      <c r="F2961">
        <f>IF(Skills!N23=TRUE,(Skills!L23/10)*(E2961/1000),Skills!L23/10)+Skills!O23</f>
        <v/>
      </c>
      <c r="G2961">
        <f>Skills!G23*IF(Skills!H23&gt;0,Skills!I23/Skills!H23,1)</f>
        <v/>
      </c>
      <c r="H2961">
        <f>1-(1-Skills!J23/100)^Skills!K23</f>
        <v/>
      </c>
      <c r="I2961" t="inlineStr">
        <is>
          <t>1</t>
        </is>
      </c>
      <c r="J2961" t="inlineStr"/>
      <c r="K2961" t="inlineStr"/>
      <c r="L2961" t="inlineStr"/>
      <c r="M2961" t="inlineStr"/>
      <c r="N2961" t="inlineStr"/>
      <c r="O2961">
        <f>(1-Summary!$B$11)*T2961+Summary!$B$11*V2961</f>
        <v/>
      </c>
      <c r="P2961">
        <f>IF(B2982=0,0,O2961/B2982)</f>
        <v/>
      </c>
      <c r="Q2961" t="n">
        <v>0</v>
      </c>
      <c r="R2961" t="n">
        <v>0</v>
      </c>
      <c r="S2961">
        <f>IFERROR(O2961/N2961,0)</f>
        <v/>
      </c>
      <c r="T2961" t="n">
        <v>0</v>
      </c>
      <c r="V2961" t="n">
        <v>0</v>
      </c>
    </row>
    <row r="2962">
      <c r="A2962">
        <f>Skills!A24</f>
        <v/>
      </c>
      <c r="B2962">
        <f>Skills!B24</f>
        <v/>
      </c>
      <c r="C2962">
        <f>Inputs!$B$3&gt;=38</f>
        <v/>
      </c>
      <c r="D2962">
        <f>IF(Skills!C24=1,60+Inputs!$B$25+Inputs!$B$29,IF(Skills!C24=2,90+Inputs!$B$26+Inputs!$B$29,IF(Skills!C24=3,120+Inputs!$B$27+Inputs!$B$29,MAX(0,(Inputs!$B$3-100)*3)+Inputs!$B$28+Inputs!$B$29)))</f>
        <v/>
      </c>
      <c r="E2962">
        <f>INDEX(FactorTable!$B$2:$Y$301, MATCH(ROUND(MIN(300,MAX(1,D2962)),0), FactorTable!$A$2:$A$301,0), Skills!M24+1)</f>
        <v/>
      </c>
      <c r="F2962">
        <f>IF(Skills!N24=TRUE,(Skills!L24/10)*(E2962/1000),Skills!L24/10)+Skills!O24</f>
        <v/>
      </c>
      <c r="G2962">
        <f>Skills!G24*IF(Skills!H24&gt;0,Skills!I24/Skills!H24,1)</f>
        <v/>
      </c>
      <c r="H2962">
        <f>1-(1-Skills!J24/100)^Skills!K24</f>
        <v/>
      </c>
      <c r="I2962" t="inlineStr">
        <is>
          <t>1</t>
        </is>
      </c>
      <c r="J2962" t="inlineStr"/>
      <c r="K2962" t="inlineStr"/>
      <c r="L2962" t="inlineStr"/>
      <c r="M2962" t="inlineStr"/>
      <c r="N2962" t="inlineStr"/>
      <c r="O2962">
        <f>(1-Summary!$B$11)*T2962+Summary!$B$11*V2962</f>
        <v/>
      </c>
      <c r="P2962">
        <f>IF(B2982=0,0,O2962/B2982)</f>
        <v/>
      </c>
      <c r="Q2962" t="n">
        <v>0</v>
      </c>
      <c r="R2962" t="n">
        <v>0</v>
      </c>
      <c r="S2962">
        <f>IFERROR(O2962/N2962,0)</f>
        <v/>
      </c>
      <c r="T2962" t="n">
        <v>0</v>
      </c>
      <c r="V2962" t="n">
        <v>0</v>
      </c>
    </row>
    <row r="2963">
      <c r="A2963">
        <f>Skills!A25</f>
        <v/>
      </c>
      <c r="B2963">
        <f>Skills!B25</f>
        <v/>
      </c>
      <c r="C2963">
        <f>Inputs!$B$3&gt;=43</f>
        <v/>
      </c>
      <c r="D2963">
        <f>IF(Skills!C25=1,60+Inputs!$B$25+Inputs!$B$29,IF(Skills!C25=2,90+Inputs!$B$26+Inputs!$B$29,IF(Skills!C25=3,120+Inputs!$B$27+Inputs!$B$29,MAX(0,(Inputs!$B$3-100)*3)+Inputs!$B$28+Inputs!$B$29)))</f>
        <v/>
      </c>
      <c r="E2963">
        <f>INDEX(FactorTable!$B$2:$Y$301, MATCH(ROUND(MIN(300,MAX(1,D2963)),0), FactorTable!$A$2:$A$301,0), Skills!M25+1)</f>
        <v/>
      </c>
      <c r="F2963">
        <f>IF(Skills!N25=TRUE,(Skills!L25/10)*(E2963/1000),Skills!L25/10)+Skills!O25</f>
        <v/>
      </c>
      <c r="G2963">
        <f>Skills!G25*IF(Skills!H25&gt;0,Skills!I25/Skills!H25,1)</f>
        <v/>
      </c>
      <c r="H2963">
        <f>1-(1-Skills!J25/100)^Skills!K25</f>
        <v/>
      </c>
      <c r="I2963" t="inlineStr">
        <is>
          <t>1</t>
        </is>
      </c>
      <c r="J2963" t="inlineStr"/>
      <c r="K2963" t="inlineStr"/>
      <c r="L2963" t="inlineStr"/>
      <c r="M2963" t="inlineStr"/>
      <c r="N2963" t="inlineStr"/>
      <c r="O2963">
        <f>(1-Summary!$B$11)*T2963+Summary!$B$11*V2963</f>
        <v/>
      </c>
      <c r="P2963">
        <f>IF(B2982=0,0,O2963/B2982)</f>
        <v/>
      </c>
      <c r="Q2963" t="n">
        <v>0</v>
      </c>
      <c r="R2963" t="n">
        <v>0</v>
      </c>
      <c r="S2963">
        <f>IFERROR(O2963/N2963,0)</f>
        <v/>
      </c>
      <c r="T2963" t="n">
        <v>0</v>
      </c>
      <c r="V2963" t="n">
        <v>0</v>
      </c>
    </row>
    <row r="2964">
      <c r="A2964">
        <f>Skills!A26</f>
        <v/>
      </c>
      <c r="B2964">
        <f>Skills!B26</f>
        <v/>
      </c>
      <c r="C2964">
        <f>Inputs!$B$3&gt;=75</f>
        <v/>
      </c>
      <c r="D2964">
        <f>IF(Skills!C26=1,60+Inputs!$B$25+Inputs!$B$29,IF(Skills!C26=2,90+Inputs!$B$26+Inputs!$B$29,IF(Skills!C26=3,120+Inputs!$B$27+Inputs!$B$29,MAX(0,(Inputs!$B$3-100)*3)+Inputs!$B$28+Inputs!$B$29)))</f>
        <v/>
      </c>
      <c r="E2964">
        <f>INDEX(FactorTable!$B$2:$Y$301, MATCH(ROUND(MIN(300,MAX(1,D2964)),0), FactorTable!$A$2:$A$301,0), Skills!M26+1)</f>
        <v/>
      </c>
      <c r="F2964">
        <f>IF(Skills!N26=TRUE,(Skills!L26/10)*(E2964/1000),Skills!L26/10)+Skills!O26</f>
        <v/>
      </c>
      <c r="G2964">
        <f>Skills!G26*IF(Skills!H26&gt;0,Skills!I26/Skills!H26,1)</f>
        <v/>
      </c>
      <c r="H2964">
        <f>1-(1-Skills!J26/100)^Skills!K26</f>
        <v/>
      </c>
      <c r="I2964" t="inlineStr">
        <is>
          <t>1</t>
        </is>
      </c>
      <c r="J2964" t="inlineStr"/>
      <c r="K2964" t="inlineStr"/>
      <c r="L2964" t="inlineStr"/>
      <c r="M2964" t="inlineStr"/>
      <c r="N2964" t="inlineStr"/>
      <c r="O2964">
        <f>(1-Summary!$B$11)*T2964+Summary!$B$11*V2964</f>
        <v/>
      </c>
      <c r="P2964">
        <f>IF(B2982=0,0,O2964/B2982)</f>
        <v/>
      </c>
      <c r="Q2964" t="n">
        <v>0</v>
      </c>
      <c r="R2964" t="n">
        <v>0</v>
      </c>
      <c r="S2964">
        <f>IFERROR(O2964/N2964,0)</f>
        <v/>
      </c>
      <c r="T2964" t="n">
        <v>0</v>
      </c>
      <c r="V2964" t="n">
        <v>0</v>
      </c>
    </row>
    <row r="2965">
      <c r="A2965">
        <f>Skills!A27</f>
        <v/>
      </c>
      <c r="B2965">
        <f>Skills!B27</f>
        <v/>
      </c>
      <c r="C2965">
        <f>Inputs!$B$3&gt;=125</f>
        <v/>
      </c>
      <c r="D2965">
        <f>IF(Skills!C27=1,60+Inputs!$B$25+Inputs!$B$29,IF(Skills!C27=2,90+Inputs!$B$26+Inputs!$B$29,IF(Skills!C27=3,120+Inputs!$B$27+Inputs!$B$29,MAX(0,(Inputs!$B$3-100)*3)+Inputs!$B$28+Inputs!$B$29)))</f>
        <v/>
      </c>
      <c r="E2965">
        <f>INDEX(FactorTable!$B$2:$Y$301, MATCH(ROUND(MIN(300,MAX(1,D2965)),0), FactorTable!$A$2:$A$301,0), Skills!M27+1)</f>
        <v/>
      </c>
      <c r="F2965">
        <f>IF(Skills!N27=TRUE,(Skills!L27/10)*(E2965/1000),Skills!L27/10)+Skills!O27</f>
        <v/>
      </c>
      <c r="G2965">
        <f>Skills!G27*IF(Skills!H27&gt;0,Skills!I27/Skills!H27,1)</f>
        <v/>
      </c>
      <c r="H2965">
        <f>1-(1-Skills!J27/100)^Skills!K27</f>
        <v/>
      </c>
      <c r="I2965" t="inlineStr">
        <is>
          <t>1</t>
        </is>
      </c>
      <c r="J2965" t="inlineStr"/>
      <c r="K2965" t="inlineStr"/>
      <c r="L2965" t="inlineStr"/>
      <c r="M2965" t="inlineStr"/>
      <c r="N2965" t="inlineStr"/>
      <c r="O2965">
        <f>(1-Summary!$B$11)*T2965+Summary!$B$11*V2965</f>
        <v/>
      </c>
      <c r="P2965">
        <f>IF(B2982=0,0,O2965/B2982)</f>
        <v/>
      </c>
      <c r="Q2965" t="n">
        <v>0</v>
      </c>
      <c r="R2965" t="n">
        <v>0</v>
      </c>
      <c r="S2965">
        <f>IFERROR(O2965/N2965,0)</f>
        <v/>
      </c>
      <c r="T2965" t="n">
        <v>0</v>
      </c>
      <c r="V2965" t="n">
        <v>0</v>
      </c>
    </row>
    <row r="2966">
      <c r="A2966">
        <f>Skills!A28</f>
        <v/>
      </c>
      <c r="B2966">
        <f>Skills!B28</f>
        <v/>
      </c>
      <c r="C2966">
        <f>Inputs!$B$3&gt;=125</f>
        <v/>
      </c>
      <c r="D2966">
        <f>IF(Skills!C28=1,60+Inputs!$B$25+Inputs!$B$29,IF(Skills!C28=2,90+Inputs!$B$26+Inputs!$B$29,IF(Skills!C28=3,120+Inputs!$B$27+Inputs!$B$29,MAX(0,(Inputs!$B$3-100)*3)+Inputs!$B$28+Inputs!$B$29)))</f>
        <v/>
      </c>
      <c r="E2966">
        <f>INDEX(FactorTable!$B$2:$Y$301, MATCH(ROUND(MIN(300,MAX(1,D2966)),0), FactorTable!$A$2:$A$301,0), Skills!M28+1)</f>
        <v/>
      </c>
      <c r="F2966">
        <f>IF(Skills!N28=TRUE,(Skills!L28/10)*(E2966/1000),Skills!L28/10)+Skills!O28</f>
        <v/>
      </c>
      <c r="G2966">
        <f>Skills!G28*IF(Skills!H28&gt;0,Skills!I28/Skills!H28,1)</f>
        <v/>
      </c>
      <c r="H2966">
        <f>1-(1-Skills!J28/100)^Skills!K28</f>
        <v/>
      </c>
      <c r="I2966" t="inlineStr">
        <is>
          <t>1</t>
        </is>
      </c>
      <c r="J2966" t="inlineStr"/>
      <c r="K2966" t="inlineStr"/>
      <c r="L2966" t="inlineStr"/>
      <c r="M2966" t="inlineStr"/>
      <c r="N2966" t="inlineStr"/>
      <c r="O2966">
        <f>(1-Summary!$B$11)*T2966+Summary!$B$11*V2966</f>
        <v/>
      </c>
      <c r="P2966">
        <f>IF(B2982=0,0,O2966/B2982)</f>
        <v/>
      </c>
      <c r="Q2966" t="n">
        <v>0</v>
      </c>
      <c r="R2966" t="n">
        <v>0</v>
      </c>
      <c r="S2966">
        <f>IFERROR(O2966/N2966,0)</f>
        <v/>
      </c>
      <c r="T2966" t="n">
        <v>0</v>
      </c>
      <c r="V2966" t="n">
        <v>0</v>
      </c>
    </row>
    <row r="2967">
      <c r="A2967">
        <f>Skills!A29</f>
        <v/>
      </c>
      <c r="B2967">
        <f>Skills!B29</f>
        <v/>
      </c>
      <c r="C2967">
        <f>Inputs!$B$3&gt;=120</f>
        <v/>
      </c>
      <c r="D2967">
        <f>IF(Skills!C29=1,60+Inputs!$B$25+Inputs!$B$29,IF(Skills!C29=2,90+Inputs!$B$26+Inputs!$B$29,IF(Skills!C29=3,120+Inputs!$B$27+Inputs!$B$29,MAX(0,(Inputs!$B$3-100)*3)+Inputs!$B$28+Inputs!$B$29)))</f>
        <v/>
      </c>
      <c r="E2967">
        <f>INDEX(FactorTable!$B$2:$Y$301, MATCH(ROUND(MIN(300,MAX(1,D2967)),0), FactorTable!$A$2:$A$301,0), Skills!M29+1)</f>
        <v/>
      </c>
      <c r="F2967">
        <f>IF(Skills!N29=TRUE,(Skills!L29/10)*(E2967/1000),Skills!L29/10)+Skills!O29</f>
        <v/>
      </c>
      <c r="G2967">
        <f>Skills!G29*IF(Skills!H29&gt;0,Skills!I29/Skills!H29,1)</f>
        <v/>
      </c>
      <c r="H2967">
        <f>1-(1-Skills!J29/100)^Skills!K29</f>
        <v/>
      </c>
      <c r="I2967" t="inlineStr">
        <is>
          <t>1</t>
        </is>
      </c>
      <c r="J2967" t="inlineStr"/>
      <c r="K2967" t="inlineStr"/>
      <c r="L2967" t="inlineStr"/>
      <c r="M2967" t="inlineStr"/>
      <c r="N2967" t="inlineStr"/>
      <c r="O2967">
        <f>(1-Summary!$B$11)*T2967+Summary!$B$11*V2967</f>
        <v/>
      </c>
      <c r="P2967">
        <f>IF(B2982=0,0,O2967/B2982)</f>
        <v/>
      </c>
      <c r="Q2967" t="n">
        <v>0</v>
      </c>
      <c r="R2967" t="n">
        <v>0</v>
      </c>
      <c r="S2967">
        <f>IFERROR(O2967/N2967,0)</f>
        <v/>
      </c>
      <c r="T2967" t="n">
        <v>0</v>
      </c>
      <c r="V2967" t="n">
        <v>0</v>
      </c>
    </row>
    <row r="2968">
      <c r="A2968">
        <f>Skills!A30</f>
        <v/>
      </c>
      <c r="B2968">
        <f>Skills!B30</f>
        <v/>
      </c>
      <c r="C2968">
        <f>Inputs!$B$3&gt;=120</f>
        <v/>
      </c>
      <c r="D2968">
        <f>IF(Skills!C30=1,60+Inputs!$B$25+Inputs!$B$29,IF(Skills!C30=2,90+Inputs!$B$26+Inputs!$B$29,IF(Skills!C30=3,120+Inputs!$B$27+Inputs!$B$29,MAX(0,(Inputs!$B$3-100)*3)+Inputs!$B$28+Inputs!$B$29)))</f>
        <v/>
      </c>
      <c r="E2968">
        <f>INDEX(FactorTable!$B$2:$Y$301, MATCH(ROUND(MIN(300,MAX(1,D2968)),0), FactorTable!$A$2:$A$301,0), Skills!M30+1)</f>
        <v/>
      </c>
      <c r="F2968">
        <f>IF(Skills!N30=TRUE,(Skills!L30/10)*(E2968/1000),Skills!L30/10)+Skills!O30</f>
        <v/>
      </c>
      <c r="G2968">
        <f>Skills!G30*IF(Skills!H30&gt;0,Skills!I30/Skills!H30,1)</f>
        <v/>
      </c>
      <c r="H2968">
        <f>1-(1-Skills!J30/100)^Skills!K30</f>
        <v/>
      </c>
      <c r="I2968" t="inlineStr">
        <is>
          <t>1</t>
        </is>
      </c>
      <c r="J2968" t="inlineStr"/>
      <c r="K2968" t="inlineStr"/>
      <c r="L2968" t="inlineStr"/>
      <c r="M2968" t="inlineStr"/>
      <c r="N2968" t="inlineStr"/>
      <c r="O2968">
        <f>(1-Summary!$B$11)*T2968+Summary!$B$11*V2968</f>
        <v/>
      </c>
      <c r="P2968">
        <f>IF(B2982=0,0,O2968/B2982)</f>
        <v/>
      </c>
      <c r="Q2968" t="n">
        <v>0</v>
      </c>
      <c r="R2968" t="n">
        <v>0</v>
      </c>
      <c r="S2968">
        <f>IFERROR(O2968/N2968,0)</f>
        <v/>
      </c>
      <c r="T2968" t="n">
        <v>0</v>
      </c>
      <c r="V2968" t="n">
        <v>0</v>
      </c>
    </row>
    <row r="2969">
      <c r="A2969">
        <f>Skills!A31</f>
        <v/>
      </c>
      <c r="B2969">
        <f>Skills!B31</f>
        <v/>
      </c>
      <c r="C2969">
        <f>Inputs!$B$3&gt;=45</f>
        <v/>
      </c>
      <c r="D2969">
        <f>IF(Skills!C31=1,60+Inputs!$B$25+Inputs!$B$29,IF(Skills!C31=2,90+Inputs!$B$26+Inputs!$B$29,IF(Skills!C31=3,120+Inputs!$B$27+Inputs!$B$29,MAX(0,(Inputs!$B$3-100)*3)+Inputs!$B$28+Inputs!$B$29)))</f>
        <v/>
      </c>
      <c r="E2969">
        <f>INDEX(FactorTable!$B$2:$Y$301, MATCH(ROUND(MIN(300,MAX(1,D2969)),0), FactorTable!$A$2:$A$301,0), Skills!M31+1)</f>
        <v/>
      </c>
      <c r="F2969">
        <f>IF(Skills!N31=TRUE,(Skills!L31/10)*(E2969/1000),Skills!L31/10)+Skills!O31</f>
        <v/>
      </c>
      <c r="G2969">
        <f>Skills!G31*IF(Skills!H31&gt;0,Skills!I31/Skills!H31,1)</f>
        <v/>
      </c>
      <c r="H2969">
        <f>1-(1-Skills!J31/100)^Skills!K31</f>
        <v/>
      </c>
      <c r="I2969" t="inlineStr">
        <is>
          <t>1</t>
        </is>
      </c>
      <c r="J2969" t="inlineStr"/>
      <c r="K2969" t="inlineStr"/>
      <c r="L2969" t="inlineStr"/>
      <c r="M2969" t="inlineStr"/>
      <c r="N2969" t="inlineStr"/>
      <c r="O2969">
        <f>(1-Summary!$B$11)*T2969+Summary!$B$11*V2969</f>
        <v/>
      </c>
      <c r="P2969">
        <f>IF(B2982=0,0,O2969/B2982)</f>
        <v/>
      </c>
      <c r="Q2969" t="n">
        <v>0</v>
      </c>
      <c r="R2969" t="n">
        <v>0</v>
      </c>
      <c r="S2969">
        <f>IFERROR(O2969/N2969,0)</f>
        <v/>
      </c>
      <c r="T2969" t="n">
        <v>0</v>
      </c>
      <c r="V2969" t="n">
        <v>0</v>
      </c>
    </row>
    <row r="2971">
      <c r="A2971" t="inlineStr">
        <is>
          <t>Attack% Bucket Multiplier</t>
        </is>
      </c>
      <c r="B2971">
        <f>(1+(((C2952=TRUE)*F2952)+((C2953=TRUE)*IF(Inputs!$B$38="pvp",F2953,(1-Summary!$B$11)*(F2953)+Summary!$B$11*(0)))+((C2954=TRUE)*F2954*IF(AND(Inputs!$B$38&lt;&gt;"pvp",Inputs!$B$43&gt;0),(((R2954-1)*(Skills!T16*(1+Inputs!$B$34/100))+MIN((Skills!T16*(1+Inputs!$B$34/100)),MAX(0,Inputs!$B$43-((R2954-1)*Skills!D16))))/Inputs!$B$43),IF(Inputs!$B$38="pvp",MIN((Skills!T16*(1+Inputs!$B$34/100)),15)/15,(Skills!T16*(1+Inputs!$B$34/100))/Skills!D16)))+((C2969=TRUE)*(F2969-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72">
      <c r="A2972" t="inlineStr">
        <is>
          <t>Global Crit Rate Bonus %</t>
        </is>
      </c>
      <c r="B2972">
        <f>(C2955=TRUE)*20*IF(AND(Inputs!$B$38&lt;&gt;"pvp",Inputs!$B$43&gt;0),(((R2955-1)*(Skills!T17*(1+Inputs!$B$34/100))+MIN((Skills!T17*(1+Inputs!$B$34/100)),MAX(0,Inputs!$B$43-((R2955-1)*Skills!D17))))/Inputs!$B$43),IF(Inputs!$B$38="pvp",MIN((Skills!T17*(1+Inputs!$B$34/100)),15)/15,(Skills!T17*(1+Inputs!$B$34/100))/Skills!D17))</f>
        <v/>
      </c>
    </row>
    <row r="2973">
      <c r="A2973" t="inlineStr">
        <is>
          <t>Attack Speed Buff Bonus %</t>
        </is>
      </c>
      <c r="B2973">
        <f>((C2958=TRUE)*F2958*IF(AND(Inputs!$B$38&lt;&gt;"pvp",Inputs!$B$43&gt;0),(((R2958-1)*(Skills!T20*(1+Inputs!$B$34/100))+MIN((Skills!T20*(1+Inputs!$B$34/100)),MAX(0,Inputs!$B$43-((R2958-1)*Skills!D20))))/Inputs!$B$43),IF(Inputs!$B$38="pvp",MIN((Skills!T20*(1+Inputs!$B$34/100)),15)/15,(Skills!T20*(1+Inputs!$B$34/100))/Skills!D20)))</f>
        <v/>
      </c>
    </row>
    <row r="2974">
      <c r="A2974" t="inlineStr">
        <is>
          <t>Actions Per Second</t>
        </is>
      </c>
      <c r="B2974">
        <f>1+MIN(150,150*(1-(1-(Inputs!$B$11+((C2960=TRUE)*(F2960-Calc!F22))+((C2961=TRUE)*(F2961-Calc!F23)))/150)*(1-B2973/150)))/100</f>
        <v/>
      </c>
    </row>
    <row r="2975">
      <c r="A2975" t="inlineStr">
        <is>
          <t>Skill + Buff Cast Rate</t>
        </is>
      </c>
      <c r="B2975">
        <f>IF(AND(Inputs!$B$38&lt;&gt;"pvp",Inputs!$B$43&gt;0),SUMPRODUCT((Skills!E2:E31=TRUE)*(C2940:C2969=TRUE)*R2940:R2969*Skills!F2:F31)/Inputs!$B$43,SUMPRODUCT((Skills!E2:E31=TRUE)*(C2940:C2969=TRUE)*Q2940:Q2969*Skills!F2:F31))</f>
        <v/>
      </c>
    </row>
    <row r="2976">
      <c r="A2976" t="inlineStr">
        <is>
          <t>Arrow Stream Casts Per Second</t>
        </is>
      </c>
      <c r="B2976">
        <f>MAX(0,B2974-B2975)</f>
        <v/>
      </c>
    </row>
    <row r="2977">
      <c r="A2977" t="inlineStr">
        <is>
          <t>Global Critical Damage Bonus % (Sharp Eyes + Concentration)</t>
        </is>
      </c>
      <c r="B2977">
        <f>(C2955=TRUE)*F2955*IF(AND(Inputs!$B$38&lt;&gt;"pvp",Inputs!$B$43&gt;0),(((R2955-1)*(Skills!T17*(1+Inputs!$B$34/100))+MIN((Skills!T17*(1+Inputs!$B$34/100)),MAX(0,Inputs!$B$43-((R2955-1)*Skills!D17))))/Inputs!$B$43),IF(Inputs!$B$38="pvp",MIN((Skills!T17*(1+Inputs!$B$34/100)),15)/15,(Skills!T17*(1+Inputs!$B$34/100))/Skills!D17))+(C2956=TRUE)*30</f>
        <v/>
      </c>
    </row>
    <row r="2978">
      <c r="A2978" t="inlineStr">
        <is>
          <t>Global Final Damage Bonus % (Mortal Blow)</t>
        </is>
      </c>
      <c r="B2978">
        <f>(C2957=TRUE)*F2957</f>
        <v/>
      </c>
    </row>
    <row r="2979">
      <c r="A2979" t="inlineStr">
        <is>
          <t>Buff-Casting Startup Delay (s, fixed-duration only)</t>
        </is>
      </c>
      <c r="B2979">
        <f>IF(AND(Inputs!$B$38&lt;&gt;"pvp",Inputs!$B$43&gt;0),SUMPRODUCT((Skills!T2:T31&gt;0)*(Skills!E2:E31=TRUE)*(C2940:C2969=TRUE))/B2974,0)</f>
        <v/>
      </c>
    </row>
    <row r="2980">
      <c r="A2980" t="inlineStr">
        <is>
          <t>Boss-Only Total DPS (this block's swept value)</t>
        </is>
      </c>
      <c r="B2980">
        <f>SUM(T2940:T2969)</f>
        <v/>
      </c>
    </row>
    <row r="2981">
      <c r="A2981" t="inlineStr">
        <is>
          <t>Normal-Only Total DPS (this block's swept value)</t>
        </is>
      </c>
      <c r="B2981">
        <f>SUM(V2940:V2969)</f>
        <v/>
      </c>
    </row>
    <row r="2982">
      <c r="A2982" s="6" t="inlineStr">
        <is>
          <t>TOTAL DPS</t>
        </is>
      </c>
      <c r="B2982" s="6">
        <f>SUM(O2940:O2969)</f>
        <v/>
      </c>
    </row>
    <row r="2985">
      <c r="A2985" s="9" t="inlineStr">
        <is>
          <t>Cooldown Reduction Milestone Sweep (absolute CDR seconds, fixed-duration content only)</t>
        </is>
      </c>
    </row>
    <row r="2986">
      <c r="A2986" s="5" t="inlineStr">
        <is>
          <t>CDR (s)</t>
        </is>
      </c>
      <c r="B2986" s="5" t="inlineStr">
        <is>
          <t>Total DPS</t>
        </is>
      </c>
      <c r="C2986" s="5" t="inlineStr">
        <is>
          <t>DPS Gain (vs prior step)</t>
        </is>
      </c>
      <c r="D2986" s="5" t="inlineStr">
        <is>
          <t>% Gain (vs current CDR)</t>
        </is>
      </c>
    </row>
    <row r="2987">
      <c r="A2987" t="n">
        <v>0.5</v>
      </c>
      <c r="B2987">
        <f>B3043</f>
        <v/>
      </c>
      <c r="C2987" t="n">
        <v>0</v>
      </c>
      <c r="D2987">
        <f>IF(Summary!$B$3=0,0,(B2987-Summary!$B$3)/Summary!$B$3*100)</f>
        <v/>
      </c>
    </row>
    <row r="2988">
      <c r="A2988" t="n">
        <v>1</v>
      </c>
      <c r="B2988">
        <f>B3090</f>
        <v/>
      </c>
      <c r="C2988">
        <f>B2988-B2987</f>
        <v/>
      </c>
      <c r="D2988">
        <f>IF(Summary!$B$3=0,0,(B2988-Summary!$B$3)/Summary!$B$3*100)</f>
        <v/>
      </c>
    </row>
    <row r="2989">
      <c r="A2989" t="n">
        <v>1.5</v>
      </c>
      <c r="B2989">
        <f>B3137</f>
        <v/>
      </c>
      <c r="C2989">
        <f>B2989-B2988</f>
        <v/>
      </c>
      <c r="D2989">
        <f>IF(Summary!$B$3=0,0,(B2989-Summary!$B$3)/Summary!$B$3*100)</f>
        <v/>
      </c>
    </row>
    <row r="2990">
      <c r="A2990" t="n">
        <v>2</v>
      </c>
      <c r="B2990">
        <f>B3184</f>
        <v/>
      </c>
      <c r="C2990">
        <f>B2990-B2989</f>
        <v/>
      </c>
      <c r="D2990">
        <f>IF(Summary!$B$3=0,0,(B2990-Summary!$B$3)/Summary!$B$3*100)</f>
        <v/>
      </c>
    </row>
    <row r="2991">
      <c r="A2991" t="n">
        <v>2.5</v>
      </c>
      <c r="B2991">
        <f>B3231</f>
        <v/>
      </c>
      <c r="C2991">
        <f>B2991-B2990</f>
        <v/>
      </c>
      <c r="D2991">
        <f>IF(Summary!$B$3=0,0,(B2991-Summary!$B$3)/Summary!$B$3*100)</f>
        <v/>
      </c>
    </row>
    <row r="2992">
      <c r="A2992" t="n">
        <v>3</v>
      </c>
      <c r="B2992">
        <f>B3278</f>
        <v/>
      </c>
      <c r="C2992">
        <f>B2992-B2991</f>
        <v/>
      </c>
      <c r="D2992">
        <f>IF(Summary!$B$3=0,0,(B2992-Summary!$B$3)/Summary!$B$3*100)</f>
        <v/>
      </c>
    </row>
    <row r="2993">
      <c r="A2993" t="n">
        <v>3.5</v>
      </c>
      <c r="B2993">
        <f>B3325</f>
        <v/>
      </c>
      <c r="C2993">
        <f>B2993-B2992</f>
        <v/>
      </c>
      <c r="D2993">
        <f>IF(Summary!$B$3=0,0,(B2993-Summary!$B$3)/Summary!$B$3*100)</f>
        <v/>
      </c>
    </row>
    <row r="2994">
      <c r="A2994" t="n">
        <v>4</v>
      </c>
      <c r="B2994">
        <f>B3372</f>
        <v/>
      </c>
      <c r="C2994">
        <f>B2994-B2993</f>
        <v/>
      </c>
      <c r="D2994">
        <f>IF(Summary!$B$3=0,0,(B2994-Summary!$B$3)/Summary!$B$3*100)</f>
        <v/>
      </c>
    </row>
    <row r="2995">
      <c r="A2995" t="n">
        <v>4.5</v>
      </c>
      <c r="B2995">
        <f>B3419</f>
        <v/>
      </c>
      <c r="C2995">
        <f>B2995-B2994</f>
        <v/>
      </c>
      <c r="D2995">
        <f>IF(Summary!$B$3=0,0,(B2995-Summary!$B$3)/Summary!$B$3*100)</f>
        <v/>
      </c>
    </row>
    <row r="2996">
      <c r="A2996" t="n">
        <v>5</v>
      </c>
      <c r="B2996">
        <f>B3466</f>
        <v/>
      </c>
      <c r="C2996">
        <f>B2996-B2995</f>
        <v/>
      </c>
      <c r="D2996">
        <f>IF(Summary!$B$3=0,0,(B2996-Summary!$B$3)/Summary!$B$3*100)</f>
        <v/>
      </c>
    </row>
    <row r="2999">
      <c r="A2999" s="6" t="inlineStr">
        <is>
          <t>Stat: CDR = 0.5s</t>
        </is>
      </c>
    </row>
    <row r="3000">
      <c r="A3000" s="5" t="inlineStr">
        <is>
          <t>Key</t>
        </is>
      </c>
      <c r="B3000" s="5" t="inlineStr">
        <is>
          <t>Name</t>
        </is>
      </c>
      <c r="C3000" s="5" t="inlineStr">
        <is>
          <t>Unlocked</t>
        </is>
      </c>
      <c r="D3000" s="5" t="inlineStr">
        <is>
          <t>InputLevel</t>
        </is>
      </c>
      <c r="E3000" s="5" t="inlineStr">
        <is>
          <t>Factor</t>
        </is>
      </c>
      <c r="F3000" s="5" t="inlineStr">
        <is>
          <t>CoefficientPercent</t>
        </is>
      </c>
      <c r="G3000" s="5" t="inlineStr">
        <is>
          <t>EffectiveHits</t>
        </is>
      </c>
      <c r="H3000" s="5" t="inlineStr">
        <is>
          <t>ProcProbability</t>
        </is>
      </c>
      <c r="I3000" s="5" t="inlineStr">
        <is>
          <t>MapleHeroMultiplier</t>
        </is>
      </c>
      <c r="J3000" s="5" t="inlineStr">
        <is>
          <t>BaseDamage</t>
        </is>
      </c>
      <c r="K3000" s="5" t="inlineStr">
        <is>
          <t>BaseHitDamage</t>
        </is>
      </c>
      <c r="L3000" s="5" t="inlineStr">
        <is>
          <t>NonCritAvg</t>
        </is>
      </c>
      <c r="M3000" s="5" t="inlineStr">
        <is>
          <t>CritAvg</t>
        </is>
      </c>
      <c r="N3000" s="5" t="inlineStr">
        <is>
          <t>ExpectedDamage(perHit)</t>
        </is>
      </c>
      <c r="O3000" s="5" t="inlineStr">
        <is>
          <t>DPS</t>
        </is>
      </c>
      <c r="P3000" s="5" t="inlineStr">
        <is>
          <t>% of Total</t>
        </is>
      </c>
      <c r="Q3000" s="5" t="inlineStr">
        <is>
          <t>InvCooldown</t>
        </is>
      </c>
      <c r="R3000" s="5" t="inlineStr">
        <is>
          <t>CastsInFight</t>
        </is>
      </c>
      <c r="S3000" s="5" t="inlineStr">
        <is>
          <t>HitRate(perSec)</t>
        </is>
      </c>
      <c r="U3000" t="inlineStr">
        <is>
          <t>helpers</t>
        </is>
      </c>
    </row>
    <row r="3001">
      <c r="A3001">
        <f>Skills!A2</f>
        <v/>
      </c>
      <c r="B3001">
        <f>Skills!B2</f>
        <v/>
      </c>
      <c r="C3001">
        <f>Inputs!$B$3&gt;=100</f>
        <v/>
      </c>
      <c r="D3001" t="inlineStr"/>
      <c r="E3001" t="inlineStr"/>
      <c r="F3001">
        <f>U3003+Skills!O2</f>
        <v/>
      </c>
      <c r="G3001">
        <f>Skills!G2*IF(Skills!H2&gt;0,Skills!I2/Skills!H2,1)</f>
        <v/>
      </c>
      <c r="H3001">
        <f>1-(1-Skills!J2/100)^Skills!K2</f>
        <v/>
      </c>
      <c r="I3001" t="inlineStr">
        <is>
          <t>1</t>
        </is>
      </c>
      <c r="J3001">
        <f>((Inputs!$B$6*(1+Inputs!$B$7/100))+(((Inputs!$B$12*(1+Inputs!$B$13/100))-(Inputs!$B$12*(1+Inputs!$B$13/100)))+0.25*(Inputs!$B$14-Inputs!$B$14))*(1+Inputs!$B$7/100))*(F3001/100)</f>
        <v/>
      </c>
      <c r="K3001">
        <f>J3001*(1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3001)</f>
        <v/>
      </c>
      <c r="L3001">
        <f>K3001*(MIN(Inputs!$B$22+((C3024=TRUE)*(F3024-Calc!F25)),(Inputs!$B$23+((C3029=TRUE)*(F3029-Calc!F30))+(IF(ArtifactsInput!$M$15,CHOOSE(ArtifactsInput!$N$15+1,25,30,35,40,45,50)/100*(Inputs!$B$11-Inputs!$B$11),0))))/100+(Inputs!$B$23+((C3029=TRUE)*(F3029-Calc!F30))+(IF(ArtifactsInput!$M$15,CHOOSE(ArtifactsInput!$N$15+1,25,30,35,40,45,50)/100*(Inputs!$B$11-Inputs!$B$11),0)))/100)/2</f>
        <v/>
      </c>
      <c r="M3001">
        <f>L3001*(1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1">
        <f>L3001*(1-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1">
        <f>(1-Summary!$B$11)*T3001+Summary!$B$11*V3001</f>
        <v/>
      </c>
      <c r="P3001">
        <f>IF(B3043=0,0,O3001/B3043)</f>
        <v/>
      </c>
      <c r="Q3001" t="n">
        <v>0</v>
      </c>
      <c r="R3001" t="n">
        <v>0</v>
      </c>
      <c r="S3001">
        <f>IFERROR(O3001/N3001,0)</f>
        <v/>
      </c>
      <c r="T3001">
        <f>IF(C3001,(Skills!G2*N3001*B3037)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1">
        <f>MAX(0,(Inputs!$B$3-100)*3)+Inputs!$B$28+Inputs!$B$29</f>
        <v/>
      </c>
      <c r="V3001">
        <f>IF(C3001,(Skills!G2*N3001*B3037)*IF(Inputs!$B$38="pvp",1,(1+(Inputs!$B$21+Skills!Q2+(IF(ArtifactsInput!$M$33,CHOOSE(ArtifactsInput!$N$33+1,30,36,42,48,54,60),0))+(IF(AND(ArtifactsInput!$M$35,Inputs!$B$4&lt;&gt;"Chapter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2">
      <c r="A3002">
        <f>Skills!A3</f>
        <v/>
      </c>
      <c r="B3002">
        <f>Skills!B3</f>
        <v/>
      </c>
      <c r="C3002">
        <f>Inputs!$B$3&gt;=50</f>
        <v/>
      </c>
      <c r="D3002">
        <f>IF(Skills!C3=1,60+Inputs!$B$25+Inputs!$B$29,IF(Skills!C3=2,90+Inputs!$B$26+Inputs!$B$29,IF(Skills!C3=3,120+Inputs!$B$27+Inputs!$B$29,MAX(0,(Inputs!$B$3-100)*3)+Inputs!$B$28+Inputs!$B$29)))</f>
        <v/>
      </c>
      <c r="E3002">
        <f>INDEX(FactorTable!$B$2:$Y$301, MATCH(ROUND(MIN(300,MAX(1,D3002)),0), FactorTable!$A$2:$A$301,0), Skills!M3+1)</f>
        <v/>
      </c>
      <c r="F3002">
        <f>IF(Skills!N3=TRUE,(Skills!L3/10)*(E3002/1000),Skills!L3/10)+Skills!O3</f>
        <v/>
      </c>
      <c r="G3002">
        <f>Skills!G3*IF(Skills!H3&gt;0,Skills!I3/Skills!H3,1)</f>
        <v/>
      </c>
      <c r="H3002">
        <f>1-(1-Skills!J3/100)^Skills!K3</f>
        <v/>
      </c>
      <c r="I3002" t="inlineStr">
        <is>
          <t>1</t>
        </is>
      </c>
      <c r="J3002">
        <f>((Inputs!$B$6*(1+Inputs!$B$7/100))+(((Inputs!$B$12*(1+Inputs!$B$13/100))-(Inputs!$B$12*(1+Inputs!$B$13/100)))+0.25*(Inputs!$B$14-Inputs!$B$14))*(1+Inputs!$B$7/100))*(F3002/100)</f>
        <v/>
      </c>
      <c r="K3002">
        <f>J3002*(1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3003=TRUE,F3003,0)/100)*(1+(IF(Skills!A3="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3002)</f>
        <v/>
      </c>
      <c r="L3002">
        <f>K3002*(MIN(Inputs!$B$22+((C3024=TRUE)*(F3024-Calc!F25)),(Inputs!$B$23+((C3029=TRUE)*(F3029-Calc!F30))+(IF(ArtifactsInput!$M$15,CHOOSE(ArtifactsInput!$N$15+1,25,30,35,40,45,50)/100*(Inputs!$B$11-Inputs!$B$11),0))))/100+(Inputs!$B$23+((C3029=TRUE)*(F3029-Calc!F30))+(IF(ArtifactsInput!$M$15,CHOOSE(ArtifactsInput!$N$15+1,25,30,35,40,45,50)/100*(Inputs!$B$11-Inputs!$B$11),0)))/100)/2</f>
        <v/>
      </c>
      <c r="M3002">
        <f>L3002*(1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2">
        <f>L3002*(1-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3002*(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2">
        <f>(1-Summary!$B$11)*T3002+Summary!$B$11*V3002</f>
        <v/>
      </c>
      <c r="P3002">
        <f>IF(B3043=0,0,O3002/B3043)</f>
        <v/>
      </c>
      <c r="Q3002">
        <f>IFERROR(1/(IF(Inputs!$B$38="pvp",15,MAX(0.1,Skills!D3-IF(Skills!E3=TRUE,0.5,0)))*(1-IF(AND(ArtifactsInput!$M$27,Inputs!$B$4="Chapter Hunt"),CHOOSE(ArtifactsInput!$N$27+1,20,24,28,32,36,40),0)/100)),0)</f>
        <v/>
      </c>
      <c r="R3002">
        <f>IF(AND(Inputs!$B$38&lt;&gt;"pvp",Inputs!$B$43&gt;0),IF(MAX(0,Inputs!$B$43-B3040)&lt;=0,0,(INT(MAX(0,Inputs!$B$43-B3040)/(IF(Inputs!$B$38="pvp",15,MAX(0.1,Skills!D3-IF(Skills!E3=TRUE,0.5,0)))*(1-IF(AND(ArtifactsInput!$M$27,Inputs!$B$4="Chapter Hunt"),CHOOSE(ArtifactsInput!$N$27+1,20,24,28,32,36,40),0)/100)))+1)),0)</f>
        <v/>
      </c>
      <c r="S3002">
        <f>IFERROR(O3002/N3002,0)</f>
        <v/>
      </c>
      <c r="T3002">
        <f>IF(C3002,(H3002*N3002*IF(AND(Inputs!$B$38&lt;&gt;"pvp",Inputs!$B$43&gt;0),((Skills!G3*((R3002-1)*IF(Skills!H3&gt;0,Skills!I3/Skills!H3,1)+IF(Skills!H3&gt;0,MIN(Skills!I3,MAX(0,MAX(0,Inputs!$B$43-B3040)-((R3002-1)*(IF(Inputs!$B$38="pvp",15,MAX(0.1,Skills!D3-IF(Skills!E3=TRUE,0.5,0)))*(1-IF(AND(ArtifactsInput!$M$27,Inputs!$B$4="Chapter Hunt"),CHOOSE(ArtifactsInput!$N$27+1,20,24,28,32,36,40),0)/100)))))/Skills!H3,1)))/Inputs!$B$43),G3002*Q3002)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3002*(1-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3002*(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3002*(1-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3002*(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2">
        <f>INDEX(FactorTable!$B$2:$Y$301, MATCH(ROUND(MIN(300,MAX(1,U3001)),0), FactorTable!$A$2:$A$301,0), 22)</f>
        <v/>
      </c>
      <c r="V3002">
        <f>IF(C3002,(H3002*N3002*IF(AND(Inputs!$B$38&lt;&gt;"pvp",Inputs!$B$43&gt;0),((Skills!G3*((R3002-1)*IF(Skills!H3&gt;0,Skills!I3/Skills!H3,1)+IF(Skills!H3&gt;0,MIN(Skills!I3,MAX(0,MAX(0,Inputs!$B$43-B3040)-((R3002-1)*(IF(Inputs!$B$38="pvp",15,MAX(0.1,Skills!D3-IF(Skills!E3=TRUE,0.5,0)))*(1-IF(AND(ArtifactsInput!$M$27,Inputs!$B$4="Chapter Hunt"),CHOOSE(ArtifactsInput!$N$27+1,20,24,28,32,36,40),0)/100)))))/Skills!H3,1)))/Inputs!$B$43),G3002*Q3002))*IF(Inputs!$B$38="pvp",1,(1+(Inputs!$B$21+Skills!Q3+(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3">
      <c r="A3003">
        <f>Skills!A4</f>
        <v/>
      </c>
      <c r="B3003">
        <f>Skills!B4</f>
        <v/>
      </c>
      <c r="C3003">
        <f>Inputs!$B$3&gt;=105</f>
        <v/>
      </c>
      <c r="D3003">
        <f>IF(Skills!C4=1,60+Inputs!$B$25+Inputs!$B$29,IF(Skills!C4=2,90+Inputs!$B$26+Inputs!$B$29,IF(Skills!C4=3,120+Inputs!$B$27+Inputs!$B$29,MAX(0,(Inputs!$B$3-100)*3)+Inputs!$B$28+Inputs!$B$29)))</f>
        <v/>
      </c>
      <c r="E3003">
        <f>INDEX(FactorTable!$B$2:$Y$301, MATCH(ROUND(MIN(300,MAX(1,D3003)),0), FactorTable!$A$2:$A$301,0), Skills!M4+1)</f>
        <v/>
      </c>
      <c r="F3003">
        <f>IF(Skills!N4=TRUE,(Skills!L4/10)*(E3003/1000),Skills!L4/10)+Skills!O4</f>
        <v/>
      </c>
      <c r="G3003" t="inlineStr"/>
      <c r="H3003" t="inlineStr"/>
      <c r="I3003" t="inlineStr">
        <is>
          <t>1</t>
        </is>
      </c>
      <c r="J3003" t="inlineStr"/>
      <c r="K3003" t="inlineStr"/>
      <c r="L3003" t="inlineStr"/>
      <c r="M3003" t="inlineStr"/>
      <c r="N3003" t="inlineStr"/>
      <c r="O3003" t="inlineStr"/>
      <c r="P3003" t="inlineStr"/>
      <c r="Q3003" t="inlineStr"/>
      <c r="R3003" t="inlineStr"/>
      <c r="S3003" t="inlineStr"/>
      <c r="T3003" t="inlineStr"/>
      <c r="U3003">
        <f>290*U3002/1000</f>
        <v/>
      </c>
      <c r="V3003" t="inlineStr"/>
    </row>
    <row r="3004">
      <c r="A3004">
        <f>Skills!A5</f>
        <v/>
      </c>
      <c r="B3004">
        <f>Skills!B5</f>
        <v/>
      </c>
      <c r="C3004">
        <f>Inputs!$B$3&gt;=35</f>
        <v/>
      </c>
      <c r="D3004">
        <f>IF(Skills!C5=1,60+Inputs!$B$25+Inputs!$B$29,IF(Skills!C5=2,90+Inputs!$B$26+Inputs!$B$29,IF(Skills!C5=3,120+Inputs!$B$27+Inputs!$B$29,MAX(0,(Inputs!$B$3-100)*3)+Inputs!$B$28+Inputs!$B$29)))</f>
        <v/>
      </c>
      <c r="E3004">
        <f>INDEX(FactorTable!$B$2:$Y$301, MATCH(ROUND(MIN(300,MAX(1,D3004)),0), FactorTable!$A$2:$A$301,0), Skills!M5+1)</f>
        <v/>
      </c>
      <c r="F3004">
        <f>IF(Skills!N5=TRUE,(Skills!L5/10)*(E3004/1000),Skills!L5/10)+Skills!O5</f>
        <v/>
      </c>
      <c r="G3004">
        <f>Skills!G5*IF(Skills!H5&gt;0,Skills!I5/Skills!H5,1)</f>
        <v/>
      </c>
      <c r="H3004">
        <f>1-(1-Skills!J5/100)^Skills!K5</f>
        <v/>
      </c>
      <c r="I3004" t="inlineStr">
        <is>
          <t>1</t>
        </is>
      </c>
      <c r="J3004">
        <f>((Inputs!$B$6*(1+Inputs!$B$7/100))+(((Inputs!$B$12*(1+Inputs!$B$13/100))-(Inputs!$B$12*(1+Inputs!$B$13/100)))+0.25*(Inputs!$B$14-Inputs!$B$14))*(1+Inputs!$B$7/100))*(F3004/100)</f>
        <v/>
      </c>
      <c r="K3004">
        <f>J3004*(1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3010=TRUE,F3010,0)/100)*(1+(IF(Skills!A5="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3004)</f>
        <v/>
      </c>
      <c r="L3004">
        <f>K3004*(MIN(Inputs!$B$22+((C3024=TRUE)*(F3024-Calc!F25)),(Inputs!$B$23+((C3029=TRUE)*(F3029-Calc!F30))+(IF(ArtifactsInput!$M$15,CHOOSE(ArtifactsInput!$N$15+1,25,30,35,40,45,50)/100*(Inputs!$B$11-Inputs!$B$11),0))))/100+(Inputs!$B$23+((C3029=TRUE)*(F3029-Calc!F30))+(IF(ArtifactsInput!$M$15,CHOOSE(ArtifactsInput!$N$15+1,25,30,35,40,45,50)/100*(Inputs!$B$11-Inputs!$B$11),0)))/100)/2</f>
        <v/>
      </c>
      <c r="M3004">
        <f>L3004*(1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4">
        <f>L3004*(1-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3004*(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4">
        <f>(1-Summary!$B$11)*T3004+Summary!$B$11*V3004</f>
        <v/>
      </c>
      <c r="P3004">
        <f>IF(B3043=0,0,O3004/B3043)</f>
        <v/>
      </c>
      <c r="Q3004">
        <f>IFERROR(1/(IF(Inputs!$B$38="pvp",15,MAX(0.1,Skills!D5-IF(Skills!E5=TRUE,0.5,0)))*(1-IF(AND(ArtifactsInput!$M$27,Inputs!$B$4="Chapter Hunt"),CHOOSE(ArtifactsInput!$N$27+1,20,24,28,32,36,40),0)/100)),0)</f>
        <v/>
      </c>
      <c r="R3004">
        <f>IF(AND(Inputs!$B$38&lt;&gt;"pvp",Inputs!$B$43&gt;0),IF(MAX(0,Inputs!$B$43-B3040)&lt;=0,0,(INT(MAX(0,Inputs!$B$43-B3040)/(IF(Inputs!$B$38="pvp",15,MAX(0.1,Skills!D5-IF(Skills!E5=TRUE,0.5,0)))*(1-IF(AND(ArtifactsInput!$M$27,Inputs!$B$4="Chapter Hunt"),CHOOSE(ArtifactsInput!$N$27+1,20,24,28,32,36,40),0)/100)))+1)),0)</f>
        <v/>
      </c>
      <c r="S3004">
        <f>IFERROR(O3004/N3004,0)</f>
        <v/>
      </c>
      <c r="T3004">
        <f>IF(C3004,(H3004*N3004*IF(AND(Inputs!$B$38&lt;&gt;"pvp",Inputs!$B$43&gt;0),((Skills!G5*((R3004-1)*IF(Skills!H5&gt;0,Skills!I5/Skills!H5,1)+IF(Skills!H5&gt;0,MIN(Skills!I5,MAX(0,MAX(0,Inputs!$B$43-B3040)-((R3004-1)*(IF(Inputs!$B$38="pvp",15,MAX(0.1,Skills!D5-IF(Skills!E5=TRUE,0.5,0)))*(1-IF(AND(ArtifactsInput!$M$27,Inputs!$B$4="Chapter Hunt"),CHOOSE(ArtifactsInput!$N$27+1,20,24,28,32,36,40),0)/100)))))/Skills!H5,1)))/Inputs!$B$43),G3004*Q3004)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3004*(1-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3004*(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3004*(1-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3004*(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04">
        <f>IF(C3004,(H3004*N3004*IF(AND(Inputs!$B$38&lt;&gt;"pvp",Inputs!$B$43&gt;0),((Skills!G5*((R3004-1)*IF(Skills!H5&gt;0,Skills!I5/Skills!H5,1)+IF(Skills!H5&gt;0,MIN(Skills!I5,MAX(0,MAX(0,Inputs!$B$43-B3040)-((R3004-1)*(IF(Inputs!$B$38="pvp",15,MAX(0.1,Skills!D5-IF(Skills!E5=TRUE,0.5,0)))*(1-IF(AND(ArtifactsInput!$M$27,Inputs!$B$4="Chapter Hunt"),CHOOSE(ArtifactsInput!$N$27+1,20,24,28,32,36,40),0)/100)))))/Skills!H5,1)))/Inputs!$B$43),G3004*Q3004))*IF(Inputs!$B$38="pvp",1,(1+(Inputs!$B$21+Skills!Q5+(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5">
      <c r="A3005">
        <f>Skills!A6</f>
        <v/>
      </c>
      <c r="B3005">
        <f>Skills!B6</f>
        <v/>
      </c>
      <c r="C3005">
        <f>Inputs!$B$3&gt;=40</f>
        <v/>
      </c>
      <c r="D3005">
        <f>IF(Skills!C6=1,60+Inputs!$B$25+Inputs!$B$29,IF(Skills!C6=2,90+Inputs!$B$26+Inputs!$B$29,IF(Skills!C6=3,120+Inputs!$B$27+Inputs!$B$29,MAX(0,(Inputs!$B$3-100)*3)+Inputs!$B$28+Inputs!$B$29)))</f>
        <v/>
      </c>
      <c r="E3005">
        <f>INDEX(FactorTable!$B$2:$Y$301, MATCH(ROUND(MIN(300,MAX(1,D3005)),0), FactorTable!$A$2:$A$301,0), Skills!M6+1)</f>
        <v/>
      </c>
      <c r="F3005">
        <f>IF(Skills!N6=TRUE,(Skills!L6/10)*(E3005/1000),Skills!L6/10)+Skills!O6</f>
        <v/>
      </c>
      <c r="G3005">
        <f>Skills!G6*IF(Skills!H6&gt;0,Skills!I6/Skills!H6,1)</f>
        <v/>
      </c>
      <c r="H3005">
        <f>1-(1-Skills!J6/100)^Skills!K6</f>
        <v/>
      </c>
      <c r="I3005" t="inlineStr">
        <is>
          <t>1</t>
        </is>
      </c>
      <c r="J3005">
        <f>((Inputs!$B$6*(1+Inputs!$B$7/100))+(((Inputs!$B$12*(1+Inputs!$B$13/100))-(Inputs!$B$12*(1+Inputs!$B$13/100)))+0.25*(Inputs!$B$14-Inputs!$B$14))*(1+Inputs!$B$7/100))*(F3005/100)</f>
        <v/>
      </c>
      <c r="K3005">
        <f>J3005*(1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3006=TRUE,F3006,0)/100)*(1+(IF(Skills!A6="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3005)</f>
        <v/>
      </c>
      <c r="L3005">
        <f>K3005*(MIN(Inputs!$B$22+((C3024=TRUE)*(F3024-Calc!F25)),(Inputs!$B$23+((C3029=TRUE)*(F3029-Calc!F30))+(IF(ArtifactsInput!$M$15,CHOOSE(ArtifactsInput!$N$15+1,25,30,35,40,45,50)/100*(Inputs!$B$11-Inputs!$B$11),0))))/100+(Inputs!$B$23+((C3029=TRUE)*(F3029-Calc!F30))+(IF(ArtifactsInput!$M$15,CHOOSE(ArtifactsInput!$N$15+1,25,30,35,40,45,50)/100*(Inputs!$B$11-Inputs!$B$11),0)))/100)/2</f>
        <v/>
      </c>
      <c r="M3005">
        <f>L3005*(1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5">
        <f>L3005*(1-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3005*(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5">
        <f>(1-Summary!$B$11)*T3005+Summary!$B$11*V3005</f>
        <v/>
      </c>
      <c r="P3005">
        <f>IF(B3043=0,0,O3005/B3043)</f>
        <v/>
      </c>
      <c r="Q3005">
        <f>IFERROR(1/(IF(Inputs!$B$38="pvp",15,MAX(0.1,Skills!D6-IF(Skills!E6=TRUE,0.5,0)))*(1-IF(AND(ArtifactsInput!$M$27,Inputs!$B$4="Chapter Hunt"),CHOOSE(ArtifactsInput!$N$27+1,20,24,28,32,36,40),0)/100)),0)</f>
        <v/>
      </c>
      <c r="R3005">
        <f>IF(AND(Inputs!$B$38&lt;&gt;"pvp",Inputs!$B$43&gt;0),IF(MAX(0,Inputs!$B$43-B3040)&lt;=0,0,(INT(MAX(0,Inputs!$B$43-B3040)/(IF(Inputs!$B$38="pvp",15,MAX(0.1,Skills!D6-IF(Skills!E6=TRUE,0.5,0)))*(1-IF(AND(ArtifactsInput!$M$27,Inputs!$B$4="Chapter Hunt"),CHOOSE(ArtifactsInput!$N$27+1,20,24,28,32,36,40),0)/100)))+1)),0)</f>
        <v/>
      </c>
      <c r="S3005">
        <f>IFERROR(O3005/N3005,0)</f>
        <v/>
      </c>
      <c r="T3005">
        <f>IF(C3005,(H3005*N3005*IF(AND(Inputs!$B$38&lt;&gt;"pvp",Inputs!$B$43&gt;0),((Skills!G6*((R3005-1)*IF(Skills!H6&gt;0,Skills!I6/Skills!H6,1)+IF(Skills!H6&gt;0,MIN(Skills!I6,MAX(0,MAX(0,Inputs!$B$43-B3040)-((R3005-1)*(IF(Inputs!$B$38="pvp",15,MAX(0.1,Skills!D6-IF(Skills!E6=TRUE,0.5,0)))*(1-IF(AND(ArtifactsInput!$M$27,Inputs!$B$4="Chapter Hunt"),CHOOSE(ArtifactsInput!$N$27+1,20,24,28,32,36,40),0)/100)))))/Skills!H6,1)))/Inputs!$B$43),G3005*Q3005)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3005*(1-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3005*(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3005*(1-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3005*(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05">
        <f>IF(C3005,(H3005*N3005*IF(AND(Inputs!$B$38&lt;&gt;"pvp",Inputs!$B$43&gt;0),((Skills!G6*((R3005-1)*IF(Skills!H6&gt;0,Skills!I6/Skills!H6,1)+IF(Skills!H6&gt;0,MIN(Skills!I6,MAX(0,MAX(0,Inputs!$B$43-B3040)-((R3005-1)*(IF(Inputs!$B$38="pvp",15,MAX(0.1,Skills!D6-IF(Skills!E6=TRUE,0.5,0)))*(1-IF(AND(ArtifactsInput!$M$27,Inputs!$B$4="Chapter Hunt"),CHOOSE(ArtifactsInput!$N$27+1,20,24,28,32,36,40),0)/100)))))/Skills!H6,1)))/Inputs!$B$43),G3005*Q3005))*IF(Inputs!$B$38="pvp",1,(1+(Inputs!$B$21+Skills!Q6+(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6">
      <c r="A3006">
        <f>Skills!A7</f>
        <v/>
      </c>
      <c r="B3006">
        <f>Skills!B7</f>
        <v/>
      </c>
      <c r="C3006">
        <f>Inputs!$B$3&gt;=107</f>
        <v/>
      </c>
      <c r="D3006">
        <f>IF(Skills!C7=1,60+Inputs!$B$25+Inputs!$B$29,IF(Skills!C7=2,90+Inputs!$B$26+Inputs!$B$29,IF(Skills!C7=3,120+Inputs!$B$27+Inputs!$B$29,MAX(0,(Inputs!$B$3-100)*3)+Inputs!$B$28+Inputs!$B$29)))</f>
        <v/>
      </c>
      <c r="E3006">
        <f>INDEX(FactorTable!$B$2:$Y$301, MATCH(ROUND(MIN(300,MAX(1,D3006)),0), FactorTable!$A$2:$A$301,0), Skills!M7+1)</f>
        <v/>
      </c>
      <c r="F3006">
        <f>IF(Skills!N7=TRUE,(Skills!L7/10)*(E3006/1000),Skills!L7/10)+Skills!O7</f>
        <v/>
      </c>
      <c r="G3006" t="inlineStr"/>
      <c r="H3006" t="inlineStr"/>
      <c r="I3006" t="inlineStr">
        <is>
          <t>1</t>
        </is>
      </c>
      <c r="J3006" t="inlineStr"/>
      <c r="K3006" t="inlineStr"/>
      <c r="L3006" t="inlineStr"/>
      <c r="M3006" t="inlineStr"/>
      <c r="N3006" t="inlineStr"/>
      <c r="O3006" t="inlineStr"/>
      <c r="P3006" t="inlineStr"/>
      <c r="Q3006" t="inlineStr"/>
      <c r="R3006" t="inlineStr"/>
      <c r="S3006" t="inlineStr"/>
      <c r="T3006" t="inlineStr"/>
      <c r="V3006" t="inlineStr"/>
    </row>
    <row r="3007">
      <c r="A3007">
        <f>Skills!A8</f>
        <v/>
      </c>
      <c r="B3007">
        <f>Skills!B8</f>
        <v/>
      </c>
      <c r="C3007">
        <f>Inputs!$B$3&gt;=69</f>
        <v/>
      </c>
      <c r="D3007">
        <f>IF(Skills!C8=1,60+Inputs!$B$25+Inputs!$B$29,IF(Skills!C8=2,90+Inputs!$B$26+Inputs!$B$29,IF(Skills!C8=3,120+Inputs!$B$27+Inputs!$B$29,MAX(0,(Inputs!$B$3-100)*3)+Inputs!$B$28+Inputs!$B$29)))</f>
        <v/>
      </c>
      <c r="E3007">
        <f>INDEX(FactorTable!$B$2:$Y$301, MATCH(ROUND(MIN(300,MAX(1,D3007)),0), FactorTable!$A$2:$A$301,0), Skills!M8+1)</f>
        <v/>
      </c>
      <c r="F3007">
        <f>IF(Skills!N8=TRUE,(Skills!L8/10)*(E3007/1000),Skills!L8/10)+Skills!O8</f>
        <v/>
      </c>
      <c r="G3007">
        <f>Skills!G8*IF(Skills!H8&gt;0,Skills!I8/Skills!H8,1)</f>
        <v/>
      </c>
      <c r="H3007">
        <f>1-(1-Skills!J8/100)^Skills!K8</f>
        <v/>
      </c>
      <c r="I3007" t="inlineStr">
        <is>
          <t>1</t>
        </is>
      </c>
      <c r="J3007">
        <f>((Inputs!$B$6*(1+Inputs!$B$7/100))+(((Inputs!$B$12*(1+Inputs!$B$13/100))-(Inputs!$B$12*(1+Inputs!$B$13/100)))+0.25*(Inputs!$B$14-Inputs!$B$14))*(1+Inputs!$B$7/100))*(F3007/100)</f>
        <v/>
      </c>
      <c r="K3007">
        <f>J3007*(1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3010=TRUE,F3010,0)/100)*(1+(IF(Skills!A8="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3007)</f>
        <v/>
      </c>
      <c r="L3007">
        <f>K3007*(MIN(Inputs!$B$22+((C3024=TRUE)*(F3024-Calc!F25)),(Inputs!$B$23+((C3029=TRUE)*(F3029-Calc!F30))+(IF(ArtifactsInput!$M$15,CHOOSE(ArtifactsInput!$N$15+1,25,30,35,40,45,50)/100*(Inputs!$B$11-Inputs!$B$11),0))))/100+(Inputs!$B$23+((C3029=TRUE)*(F3029-Calc!F30))+(IF(ArtifactsInput!$M$15,CHOOSE(ArtifactsInput!$N$15+1,25,30,35,40,45,50)/100*(Inputs!$B$11-Inputs!$B$11),0)))/100)/2</f>
        <v/>
      </c>
      <c r="M3007">
        <f>L3007*(1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7">
        <f>L3007*(1-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3007*(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7">
        <f>(1-Summary!$B$11)*T3007+Summary!$B$11*V3007</f>
        <v/>
      </c>
      <c r="P3007">
        <f>IF(B3043=0,0,O3007/B3043)</f>
        <v/>
      </c>
      <c r="Q3007">
        <f>IFERROR(1/(IF(Inputs!$B$38="pvp",15,MAX(0.1,Skills!D8-IF(Skills!E8=TRUE,0.5,0)))*(1-IF(AND(ArtifactsInput!$M$27,Inputs!$B$4="Chapter Hunt"),CHOOSE(ArtifactsInput!$N$27+1,20,24,28,32,36,40),0)/100)),0)</f>
        <v/>
      </c>
      <c r="R3007">
        <f>IF(AND(Inputs!$B$38&lt;&gt;"pvp",Inputs!$B$43&gt;0),IF(MAX(0,Inputs!$B$43-B3040)&lt;=0,0,(INT(MAX(0,Inputs!$B$43-B3040)/(IF(Inputs!$B$38="pvp",15,MAX(0.1,Skills!D8-IF(Skills!E8=TRUE,0.5,0)))*(1-IF(AND(ArtifactsInput!$M$27,Inputs!$B$4="Chapter Hunt"),CHOOSE(ArtifactsInput!$N$27+1,20,24,28,32,36,40),0)/100)))+1)),0)</f>
        <v/>
      </c>
      <c r="S3007">
        <f>IFERROR(O3007/N3007,0)</f>
        <v/>
      </c>
      <c r="T3007">
        <f>IF(C3007,(H3007*N3007*IF(AND(Inputs!$B$38&lt;&gt;"pvp",Inputs!$B$43&gt;0),((Skills!G8*((R3007-1)*IF(Skills!H8&gt;0,Skills!I8/Skills!H8,1)+IF(Skills!H8&gt;0,MIN(Skills!I8,MAX(0,MAX(0,Inputs!$B$43-B3040)-((R3007-1)*(IF(Inputs!$B$38="pvp",15,MAX(0.1,Skills!D8-IF(Skills!E8=TRUE,0.5,0)))*(1-IF(AND(ArtifactsInput!$M$27,Inputs!$B$4="Chapter Hunt"),CHOOSE(ArtifactsInput!$N$27+1,20,24,28,32,36,40),0)/100)))))/Skills!H8,1)))/Inputs!$B$43),G3007*Q3007)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3007*(1-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3007*(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3007*(1-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3007*(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07">
        <f>IF(C3007,(H3007*N3007*IF(AND(Inputs!$B$38&lt;&gt;"pvp",Inputs!$B$43&gt;0),((Skills!G8*((R3007-1)*IF(Skills!H8&gt;0,Skills!I8/Skills!H8,1)+IF(Skills!H8&gt;0,MIN(Skills!I8,MAX(0,MAX(0,Inputs!$B$43-B3040)-((R3007-1)*(IF(Inputs!$B$38="pvp",15,MAX(0.1,Skills!D8-IF(Skills!E8=TRUE,0.5,0)))*(1-IF(AND(ArtifactsInput!$M$27,Inputs!$B$4="Chapter Hunt"),CHOOSE(ArtifactsInput!$N$27+1,20,24,28,32,36,40),0)/100)))))/Skills!H8,1)))/Inputs!$B$43),G3007*Q3007))*IF(Inputs!$B$38="pvp",1,(1+(Inputs!$B$21+Skills!Q8+(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8">
      <c r="A3008">
        <f>Skills!A9</f>
        <v/>
      </c>
      <c r="B3008">
        <f>Skills!B9</f>
        <v/>
      </c>
      <c r="C3008">
        <f>Inputs!$B$3&gt;=63</f>
        <v/>
      </c>
      <c r="D3008">
        <f>IF(Skills!C9=1,60+Inputs!$B$25+Inputs!$B$29,IF(Skills!C9=2,90+Inputs!$B$26+Inputs!$B$29,IF(Skills!C9=3,120+Inputs!$B$27+Inputs!$B$29,MAX(0,(Inputs!$B$3-100)*3)+Inputs!$B$28+Inputs!$B$29)))</f>
        <v/>
      </c>
      <c r="E3008">
        <f>INDEX(FactorTable!$B$2:$Y$301, MATCH(ROUND(MIN(300,MAX(1,D3008)),0), FactorTable!$A$2:$A$301,0), Skills!M9+1)</f>
        <v/>
      </c>
      <c r="F3008">
        <f>IF(Skills!N9=TRUE,(Skills!L9/10)*(E3008/1000),Skills!L9/10)+Skills!O9</f>
        <v/>
      </c>
      <c r="G3008">
        <f>Skills!G9*IF(Skills!H9&gt;0,Skills!I9/Skills!H9,1)</f>
        <v/>
      </c>
      <c r="H3008">
        <f>1-(1-Skills!J9/100)^Skills!K9</f>
        <v/>
      </c>
      <c r="I3008" t="inlineStr">
        <is>
          <t>1</t>
        </is>
      </c>
      <c r="J3008">
        <f>((Inputs!$B$6*(1+Inputs!$B$7/100))+(((Inputs!$B$12*(1+Inputs!$B$13/100))-(Inputs!$B$12*(1+Inputs!$B$13/100)))+0.25*(Inputs!$B$14-Inputs!$B$14))*(1+Inputs!$B$7/100))*(F3008/100)</f>
        <v/>
      </c>
      <c r="K3008">
        <f>J3008*(1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3010=TRUE,F3010,0)/100)*(1+(IF(Skills!A9="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3008)</f>
        <v/>
      </c>
      <c r="L3008">
        <f>K3008*(MIN(Inputs!$B$22+((C3024=TRUE)*(F3024-Calc!F25)),(Inputs!$B$23+((C3029=TRUE)*(F3029-Calc!F30))+(IF(ArtifactsInput!$M$15,CHOOSE(ArtifactsInput!$N$15+1,25,30,35,40,45,50)/100*(Inputs!$B$11-Inputs!$B$11),0))))/100+(Inputs!$B$23+((C3029=TRUE)*(F3029-Calc!F30))+(IF(ArtifactsInput!$M$15,CHOOSE(ArtifactsInput!$N$15+1,25,30,35,40,45,50)/100*(Inputs!$B$11-Inputs!$B$11),0)))/100)/2</f>
        <v/>
      </c>
      <c r="M3008">
        <f>L3008*(1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8">
        <f>L3008*(1-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3008*(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8">
        <f>(1-Summary!$B$11)*T3008+Summary!$B$11*V3008</f>
        <v/>
      </c>
      <c r="P3008">
        <f>IF(B3043=0,0,O3008/B3043)</f>
        <v/>
      </c>
      <c r="Q3008">
        <f>IFERROR(1/(IF(Inputs!$B$38="pvp",15,MAX(0.1,Skills!D9-IF(Skills!E9=TRUE,0.5,0)))*(1-IF(AND(ArtifactsInput!$M$27,Inputs!$B$4="Chapter Hunt"),CHOOSE(ArtifactsInput!$N$27+1,20,24,28,32,36,40),0)/100)),0)</f>
        <v/>
      </c>
      <c r="R3008">
        <f>IF(AND(Inputs!$B$38&lt;&gt;"pvp",Inputs!$B$43&gt;0),IF(MAX(0,Inputs!$B$43-B3040)&lt;=0,0,(INT(MAX(0,Inputs!$B$43-B3040)/(IF(Inputs!$B$38="pvp",15,MAX(0.1,Skills!D9-IF(Skills!E9=TRUE,0.5,0)))*(1-IF(AND(ArtifactsInput!$M$27,Inputs!$B$4="Chapter Hunt"),CHOOSE(ArtifactsInput!$N$27+1,20,24,28,32,36,40),0)/100)))+1)),0)</f>
        <v/>
      </c>
      <c r="S3008">
        <f>IFERROR(O3008/N3008,0)</f>
        <v/>
      </c>
      <c r="T3008">
        <f>IF(C3008,(H3008*N3008*IF(AND(Inputs!$B$38&lt;&gt;"pvp",Inputs!$B$43&gt;0),((Skills!G9*((R3008-1)*IF(Skills!H9&gt;0,Skills!I9/Skills!H9,1)+IF(Skills!H9&gt;0,MIN(Skills!I9,MAX(0,MAX(0,Inputs!$B$43-B3040)-((R3008-1)*(IF(Inputs!$B$38="pvp",15,MAX(0.1,Skills!D9-IF(Skills!E9=TRUE,0.5,0)))*(1-IF(AND(ArtifactsInput!$M$27,Inputs!$B$4="Chapter Hunt"),CHOOSE(ArtifactsInput!$N$27+1,20,24,28,32,36,40),0)/100)))))/Skills!H9,1)))/Inputs!$B$43),G3008*Q3008)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3008*(1-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3008*(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3008*(1-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3008*(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08">
        <f>IF(C3008,(H3008*N3008*IF(AND(Inputs!$B$38&lt;&gt;"pvp",Inputs!$B$43&gt;0),((Skills!G9*((R3008-1)*IF(Skills!H9&gt;0,Skills!I9/Skills!H9,1)+IF(Skills!H9&gt;0,MIN(Skills!I9,MAX(0,MAX(0,Inputs!$B$43-B3040)-((R3008-1)*(IF(Inputs!$B$38="pvp",15,MAX(0.1,Skills!D9-IF(Skills!E9=TRUE,0.5,0)))*(1-IF(AND(ArtifactsInput!$M$27,Inputs!$B$4="Chapter Hunt"),CHOOSE(ArtifactsInput!$N$27+1,20,24,28,32,36,40),0)/100)))))/Skills!H9,1)))/Inputs!$B$43),G3008*Q3008))*IF(Inputs!$B$38="pvp",1,(1+(Inputs!$B$21+Skills!Q9+(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9">
      <c r="A3009">
        <f>Skills!A10</f>
        <v/>
      </c>
      <c r="B3009">
        <f>Skills!B10</f>
        <v/>
      </c>
      <c r="C3009">
        <f>Inputs!$B$3&gt;=103</f>
        <v/>
      </c>
      <c r="D3009">
        <f>IF(Skills!C10=1,60+Inputs!$B$25+Inputs!$B$29,IF(Skills!C10=2,90+Inputs!$B$26+Inputs!$B$29,IF(Skills!C10=3,120+Inputs!$B$27+Inputs!$B$29,MAX(0,(Inputs!$B$3-100)*3)+Inputs!$B$28+Inputs!$B$29)))</f>
        <v/>
      </c>
      <c r="E3009">
        <f>INDEX(FactorTable!$B$2:$Y$301, MATCH(ROUND(MIN(300,MAX(1,D3009)),0), FactorTable!$A$2:$A$301,0), Skills!M10+1)</f>
        <v/>
      </c>
      <c r="F3009">
        <f>IF(Skills!N10=TRUE,(Skills!L10/10)*(E3009/1000),Skills!L10/10)+Skills!O10</f>
        <v/>
      </c>
      <c r="G3009">
        <f>Skills!G10*IF(Skills!H10&gt;0,Skills!I10/Skills!H10,1)</f>
        <v/>
      </c>
      <c r="H3009">
        <f>1-(1-Skills!J10/100)^Skills!K10</f>
        <v/>
      </c>
      <c r="I3009" t="inlineStr">
        <is>
          <t>1</t>
        </is>
      </c>
      <c r="J3009">
        <f>((Inputs!$B$6*(1+Inputs!$B$7/100))+(((Inputs!$B$12*(1+Inputs!$B$13/100))-(Inputs!$B$12*(1+Inputs!$B$13/100)))+0.25*(Inputs!$B$14-Inputs!$B$14))*(1+Inputs!$B$7/100))*(F3009/100)</f>
        <v/>
      </c>
      <c r="K3009">
        <f>J3009*(1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3009)</f>
        <v/>
      </c>
      <c r="L3009">
        <f>K3009*(MIN(Inputs!$B$22+((C3024=TRUE)*(F3024-Calc!F25)),(Inputs!$B$23+((C3029=TRUE)*(F3029-Calc!F30))+(IF(ArtifactsInput!$M$15,CHOOSE(ArtifactsInput!$N$15+1,25,30,35,40,45,50)/100*(Inputs!$B$11-Inputs!$B$11),0))))/100+(Inputs!$B$23+((C3029=TRUE)*(F3029-Calc!F30))+(IF(ArtifactsInput!$M$15,CHOOSE(ArtifactsInput!$N$15+1,25,30,35,40,45,50)/100*(Inputs!$B$11-Inputs!$B$11),0)))/100)/2</f>
        <v/>
      </c>
      <c r="M3009">
        <f>L3009*(1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9">
        <f>L3009*(1-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3009*(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9">
        <f>(1-Summary!$B$11)*T3009+Summary!$B$11*V3009</f>
        <v/>
      </c>
      <c r="P3009">
        <f>IF(B3043=0,0,O3009/B3043)</f>
        <v/>
      </c>
      <c r="Q3009">
        <f>IFERROR(1/(IF(Inputs!$B$38="pvp",15,MAX(0.1,Skills!D10-IF(Skills!E10=TRUE,0.5,0)))*(1-IF(AND(ArtifactsInput!$M$27,Inputs!$B$4="Chapter Hunt"),CHOOSE(ArtifactsInput!$N$27+1,20,24,28,32,36,40),0)/100)),0)</f>
        <v/>
      </c>
      <c r="R3009">
        <f>IF(AND(Inputs!$B$38&lt;&gt;"pvp",Inputs!$B$43&gt;0),IF(MAX(0,Inputs!$B$43-B3040)&lt;=0,0,(INT(MAX(0,Inputs!$B$43-B3040)/(IF(Inputs!$B$38="pvp",15,MAX(0.1,Skills!D10-IF(Skills!E10=TRUE,0.5,0)))*(1-IF(AND(ArtifactsInput!$M$27,Inputs!$B$4="Chapter Hunt"),CHOOSE(ArtifactsInput!$N$27+1,20,24,28,32,36,40),0)/100)))+1)),0)</f>
        <v/>
      </c>
      <c r="S3009">
        <f>IFERROR(O3009/N3009,0)</f>
        <v/>
      </c>
      <c r="T3009">
        <f>IF(C3009,(H3009*N3009*IF(AND(Inputs!$B$38&lt;&gt;"pvp",Inputs!$B$43&gt;0),((Skills!G10*((R3009-1)*IF(Skills!H10&gt;0,Skills!I10/Skills!H10,1)+IF(Skills!H10&gt;0,MIN(Skills!I10,MAX(0,MAX(0,Inputs!$B$43-B3040)-((R3009-1)*(IF(Inputs!$B$38="pvp",15,MAX(0.1,Skills!D10-IF(Skills!E10=TRUE,0.5,0)))*(1-IF(AND(ArtifactsInput!$M$27,Inputs!$B$4="Chapter Hunt"),CHOOSE(ArtifactsInput!$N$27+1,20,24,28,32,36,40),0)/100)))))/Skills!H10,1)))/Inputs!$B$43),G3009*Q3009)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3009*(1-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3009*(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3009*(1-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3009*(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09">
        <f>IF(C3009,(H3009*N3009*IF(AND(Inputs!$B$38&lt;&gt;"pvp",Inputs!$B$43&gt;0),((Skills!G10*((R3009-1)*IF(Skills!H10&gt;0,Skills!I10/Skills!H10,1)+IF(Skills!H10&gt;0,MIN(Skills!I10,MAX(0,MAX(0,Inputs!$B$43-B3040)-((R3009-1)*(IF(Inputs!$B$38="pvp",15,MAX(0.1,Skills!D10-IF(Skills!E10=TRUE,0.5,0)))*(1-IF(AND(ArtifactsInput!$M$27,Inputs!$B$4="Chapter Hunt"),CHOOSE(ArtifactsInput!$N$27+1,20,24,28,32,36,40),0)/100)))))/Skills!H10,1)))/Inputs!$B$43),G3009*Q3009))*IF(Inputs!$B$38="pvp",1,(1+(Inputs!$B$21+Skills!Q10+(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0">
      <c r="A3010">
        <f>Skills!A11</f>
        <v/>
      </c>
      <c r="B3010">
        <f>Skills!B11</f>
        <v/>
      </c>
      <c r="C3010">
        <f>Inputs!$B$3&gt;=100</f>
        <v/>
      </c>
      <c r="D3010">
        <f>IF(Skills!C11=1,60+Inputs!$B$25+Inputs!$B$29,IF(Skills!C11=2,90+Inputs!$B$26+Inputs!$B$29,IF(Skills!C11=3,120+Inputs!$B$27+Inputs!$B$29,MAX(0,(Inputs!$B$3-100)*3)+Inputs!$B$28+Inputs!$B$29)))</f>
        <v/>
      </c>
      <c r="E3010">
        <f>INDEX(FactorTable!$B$2:$Y$301, MATCH(ROUND(MIN(300,MAX(1,D3010)),0), FactorTable!$A$2:$A$301,0), Skills!M11+1)</f>
        <v/>
      </c>
      <c r="F3010">
        <f>IF(Skills!N11=TRUE,(Skills!L11/10)*(E3010/1000),Skills!L11/10)+Skills!O11</f>
        <v/>
      </c>
      <c r="G3010" t="inlineStr"/>
      <c r="H3010" t="inlineStr"/>
      <c r="I3010" t="inlineStr">
        <is>
          <t>1</t>
        </is>
      </c>
      <c r="J3010" t="inlineStr"/>
      <c r="K3010" t="inlineStr"/>
      <c r="L3010" t="inlineStr"/>
      <c r="M3010" t="inlineStr"/>
      <c r="N3010" t="inlineStr"/>
      <c r="O3010" t="inlineStr"/>
      <c r="P3010" t="inlineStr"/>
      <c r="Q3010" t="inlineStr"/>
      <c r="R3010" t="inlineStr"/>
      <c r="S3010" t="inlineStr"/>
      <c r="T3010" t="inlineStr"/>
      <c r="V3010" t="inlineStr"/>
    </row>
    <row r="3011">
      <c r="A3011">
        <f>Skills!A12</f>
        <v/>
      </c>
      <c r="B3011">
        <f>Skills!B12</f>
        <v/>
      </c>
      <c r="C3011">
        <f>Inputs!$B$3&gt;=60</f>
        <v/>
      </c>
      <c r="D3011">
        <f>IF(Skills!C12=1,60+Inputs!$B$25+Inputs!$B$29,IF(Skills!C12=2,90+Inputs!$B$26+Inputs!$B$29,IF(Skills!C12=3,120+Inputs!$B$27+Inputs!$B$29,MAX(0,(Inputs!$B$3-100)*3)+Inputs!$B$28+Inputs!$B$29)))</f>
        <v/>
      </c>
      <c r="E3011">
        <f>INDEX(FactorTable!$B$2:$Y$301, MATCH(ROUND(MIN(300,MAX(1,D3011)),0), FactorTable!$A$2:$A$301,0), Skills!M12+1)</f>
        <v/>
      </c>
      <c r="F3011">
        <f>IF(Skills!N12=TRUE,(Skills!L12/10)*(E3011/1000),Skills!L12/10)+Skills!O12</f>
        <v/>
      </c>
      <c r="G3011">
        <f>Skills!G12*IF(Skills!H12&gt;0,Skills!I12/Skills!H12,1)</f>
        <v/>
      </c>
      <c r="H3011">
        <f>1-(1-Skills!J12/100)^Skills!K12</f>
        <v/>
      </c>
      <c r="I3011" t="inlineStr">
        <is>
          <t>1</t>
        </is>
      </c>
      <c r="J3011">
        <f>((Inputs!$B$6*(1+Inputs!$B$7/100))+(((Inputs!$B$12*(1+Inputs!$B$13/100))-(Inputs!$B$12*(1+Inputs!$B$13/100)))+0.25*(Inputs!$B$14-Inputs!$B$14))*(1+Inputs!$B$7/100))*(F3011/100)</f>
        <v/>
      </c>
      <c r="K3011">
        <f>J3011*(1+((Inputs!$B$12*(1+Inputs!$B$13/100))*0.01+Inputs!$B$14*0.0025)/100)*(1+Inputs!$B$15/100)*(1+Inputs!$B$16/100)*(5000/(6000+Inputs!$B$42*(1-(100*(1-(1-(Inputs!$B$19+((C3027=TRUE)*(F3027-Calc!F28)))/100)*(1-CHOOSE(ArtifactsInput!$N$40+1,5,6,7,8,9,10)/100)^(ArtifactsInput!$M$40-ArtifactsInput!$M$40)))/100)))*(1+(Inputs!$B$24+((C3025=TRUE)*(F3025-Calc!F26))+((C3026=TRUE)*(F3026-Calc!F27))+B3039)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3012=TRUE,F3012,0)/100)*(1+(IF(Skills!A12="ARROW_STREAM",Inputs!$B$17+((C3023=TRUE)*(F3023-Calc!F24))+(((IF(AND(ArtifactsInput!$M$42,((Inputs!$B$9+((C3020=TRUE)*(F3020-Calc!F21))+B3033+(ArtifactsInput!$M$24-ArtifactsInput!$M$24)*CHOOSE(ArtifactsInput!$N$24+1,10,12,14,16,18,20)+IF(ArtifactsInput!$M$10,CHOOSE(ArtifactsInput!$N$10+1,15,18,21,24,27,30)*(IF(Inputs!$B$38="pvp",MIN(15,15)/15,IF(AND(Inputs!$B$38&lt;&gt;"pvp",Inputs!$B$43&gt;0),MIN(15,Inputs!$B$43)/(Inputs!$B$43),0))),0)))&gt;=100),MIN(100,((Inputs!$B$9+((C3020=TRUE)*(F3020-Calc!F21))+B3033+(ArtifactsInput!$M$24-ArtifactsInput!$M$24)*CHOOSE(ArtifactsInput!$N$24+1,10,12,14,16,18,20)+IF(ArtifactsInput!$M$10,CHOOSE(ArtifactsInput!$N$10+1,15,18,21,24,27,30)*(IF(Inputs!$B$38="pvp",MIN(15,15)/15,IF(AND(Inputs!$B$38&lt;&gt;"pvp",Inputs!$B$43&gt;0),MIN(15,Inputs!$B$43)/(Inputs!$B$43),0))),0)))-100),0))*CHOOSE(ArtifactsInput!$N$42+1,0.6,0.72,0.84,0.96,1.08,1.2))),Inputs!$B$18+((C3028=TRUE)*(F3028-Calc!F29))+(IF(AND(ArtifactsInput!$M$42,((Inputs!$B$9+((C3020=TRUE)*(F3020-Calc!F21))+B3033+(ArtifactsInput!$M$24-ArtifactsInput!$M$24)*CHOOSE(ArtifactsInput!$N$24+1,10,12,14,16,18,20)+IF(ArtifactsInput!$M$10,CHOOSE(ArtifactsInput!$N$10+1,15,18,21,24,27,30)*(IF(Inputs!$B$38="pvp",MIN(15,15)/15,IF(AND(Inputs!$B$38&lt;&gt;"pvp",Inputs!$B$43&gt;0),MIN(15,Inputs!$B$43)/(Inputs!$B$43),0))),0)))&gt;=100),CHOOSE(ArtifactsInput!$N$42+1,40,48,56,64,72,80),0))))/100)*((1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3011)</f>
        <v/>
      </c>
      <c r="L3011">
        <f>K3011*(MIN(Inputs!$B$22+((C3024=TRUE)*(F3024-Calc!F25)),(Inputs!$B$23+((C3029=TRUE)*(F3029-Calc!F30))+(IF(ArtifactsInput!$M$15,CHOOSE(ArtifactsInput!$N$15+1,25,30,35,40,45,50)/100*(Inputs!$B$11-Inputs!$B$11),0))))/100+(Inputs!$B$23+((C3029=TRUE)*(F3029-Calc!F30))+(IF(ArtifactsInput!$M$15,CHOOSE(ArtifactsInput!$N$15+1,25,30,35,40,45,50)/100*(Inputs!$B$11-Inputs!$B$11),0)))/100)/2</f>
        <v/>
      </c>
      <c r="M3011">
        <f>L3011*(1+(Inputs!$B$10+0+B3038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1">
        <f>L3011*(1-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3011*(MIN((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1">
        <f>(1-Summary!$B$11)*T3011+Summary!$B$11*V3011</f>
        <v/>
      </c>
      <c r="P3011">
        <f>IF(B3043=0,0,O3011/B3043)</f>
        <v/>
      </c>
      <c r="Q3011">
        <f>IFERROR(1/(IF(Inputs!$B$38="pvp",15,MAX(0.1,Skills!D12-IF(Skills!E12=TRUE,0.5,0)))*(1-IF(AND(ArtifactsInput!$M$27,Inputs!$B$4="Chapter Hunt"),CHOOSE(ArtifactsInput!$N$27+1,20,24,28,32,36,40),0)/100)),0)</f>
        <v/>
      </c>
      <c r="R3011">
        <f>IF(AND(Inputs!$B$38&lt;&gt;"pvp",Inputs!$B$43&gt;0),IF(MAX(0,Inputs!$B$43-B3040)&lt;=0,0,(INT(MAX(0,Inputs!$B$43-B3040)/(IF(Inputs!$B$38="pvp",15,MAX(0.1,Skills!D12-IF(Skills!E12=TRUE,0.5,0)))*(1-IF(AND(ArtifactsInput!$M$27,Inputs!$B$4="Chapter Hunt"),CHOOSE(ArtifactsInput!$N$27+1,20,24,28,32,36,40),0)/100)))+1)),0)</f>
        <v/>
      </c>
      <c r="S3011">
        <f>IFERROR(O3011/N3011,0)</f>
        <v/>
      </c>
      <c r="T3011">
        <f>IF(C3011,(H3011*N3011*IF(AND(Inputs!$B$38&lt;&gt;"pvp",Inputs!$B$43&gt;0),((Skills!G12*((R3011-1)*IF(Skills!H12&gt;0,Skills!I12/Skills!H12,1)+IF(Skills!H12&gt;0,MIN(Skills!I12,MAX(0,MAX(0,Inputs!$B$43-B3040)-((R3011-1)*(IF(Inputs!$B$38="pvp",15,MAX(0.1,Skills!D12-IF(Skills!E12=TRUE,0.5,0)))*(1-IF(AND(ArtifactsInput!$M$27,Inputs!$B$4="Chapter Hunt"),CHOOSE(ArtifactsInput!$N$27+1,20,24,28,32,36,40),0)/100)))))/Skills!H12,1)))/Inputs!$B$43),G3011*Q3011)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(5000/(6000+Inputs!$B$42*(1-(100*(1-(1-(100*(1-(1-(Inputs!$B$19+((C3027=TRUE)*(F3027-Calc!F28)))/100)*(1-CHOOSE(ArtifactsInput!$N$40+1,5,6,7,8,9,10)/100)^(ArtifactsInput!$M$40-ArtifactsInput!$M$40)))/100)*(1-IF(ArtifactsInput!$M$40,CHOOSE(ArtifactsInput!$N$40+1,5,6,7,8,9,10),0)/100)^IF(Inputs!$B$38="pvp",1,2)))/100)))/(5000/(6000+Inputs!$B$42*(1-(100*(1-(1-(Inputs!$B$19+((C3027=TRUE)*(F3027-Calc!F28)))/100)*(1-CHOOSE(ArtifactsInput!$N$40+1,5,6,7,8,9,10)/100)^(ArtifactsInput!$M$40-ArtifactsInput!$M$40)))/100))))*((L3011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3011*(MIN(100,(Inputs!$B$9+((C3020=TRUE)*(F3020-Calc!F21))+B3033+(ArtifactsInput!$M$24-ArtifactsInput!$M$24)*CHOOSE(ArtifactsInput!$N$24+1,10,12,14,16,18,20)+(IF(AND(ArtifactsInput!$M$42,((Inputs!$B$9+((C3020=TRUE)*(F3020-Calc!F21))+B3033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1">
        <f>IF(C3011,(H3011*N3011*IF(AND(Inputs!$B$38&lt;&gt;"pvp",Inputs!$B$43&gt;0),((Skills!G12*((R3011-1)*IF(Skills!H12&gt;0,Skills!I12/Skills!H12,1)+IF(Skills!H12&gt;0,MIN(Skills!I12,MAX(0,MAX(0,Inputs!$B$43-B3040)-((R3011-1)*(IF(Inputs!$B$38="pvp",15,MAX(0.1,Skills!D12-IF(Skills!E12=TRUE,0.5,0)))*(1-IF(AND(ArtifactsInput!$M$27,Inputs!$B$4="Chapter Hunt"),CHOOSE(ArtifactsInput!$N$27+1,20,24,28,32,36,40),0)/100)))))/Skills!H12,1)))/Inputs!$B$43),G3011*Q3011))*IF(Inputs!$B$38="pvp",1,(1+(Inputs!$B$21+Skills!Q12+(IF(ArtifactsInput!$M$33,CHOOSE(ArtifactsInput!$N$33+1,30,36,42,48,54,60),0))+(IF(AND(ArtifactsInput!$M$35,Inputs!$B$4&lt;&gt;"Chapter Hunt"),CHOOSE(ArtifactsInput!$N$35+1,15,18,21,24,27,30)*(1-EXP(-(0.2*B3035)*5)),0)+IF(AND(ArtifactsInput!$M$22,Inputs!$B$4&lt;&gt;"Chapter Hunt"),CHOOSE(ArtifactsInput!$N$22+1,10,12,14,16,18,20)*((0*(((0.15*B3035*5))^0/1)+1*(((0.15*B3035*5))^1/1)+2*(((0.15*B3035*5))^2/2)+3*(((0.15*B3035*5))^3/6)+4*(((0.15*B3035*5))^4/24)+5*(((0.15*B3035*5))^5/120))/((((0.15*B3035*5))^0/1)+(((0.15*B3035*5))^1/1)+(((0.15*B3035*5))^2/2)+(((0.15*B3035*5))^3/6)+(((0.15*B3035*5))^4/24)+(((0.15*B3035*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2">
      <c r="A3012">
        <f>Skills!A13</f>
        <v/>
      </c>
      <c r="B3012">
        <f>Skills!B13</f>
        <v/>
      </c>
      <c r="C3012">
        <f>Inputs!$B$3&gt;=110</f>
        <v/>
      </c>
      <c r="D3012">
        <f>IF(Skills!C13=1,60+Inputs!$B$25+Inputs!$B$29,IF(Skills!C13=2,90+Inputs!$B$26+Inputs!$B$29,IF(Skills!C13=3,120+Inputs!$B$27+Inputs!$B$29,MAX(0,(Inputs!$B$3-100)*3)+Inputs!$B$28+Inputs!$B$29)))</f>
        <v/>
      </c>
      <c r="E3012">
        <f>INDEX(FactorTable!$B$2:$Y$301, MATCH(ROUND(MIN(300,MAX(1,D3012)),0), FactorTable!$A$2:$A$301,0), Skills!M13+1)</f>
        <v/>
      </c>
      <c r="F3012">
        <f>IF(Skills!N13=TRUE,(Skills!L13/10)*(E3012/1000),Skills!L13/10)+Skills!O13</f>
        <v/>
      </c>
      <c r="G3012" t="inlineStr"/>
      <c r="H3012" t="inlineStr"/>
      <c r="I3012" t="inlineStr">
        <is>
          <t>1</t>
        </is>
      </c>
      <c r="J3012" t="inlineStr"/>
      <c r="K3012" t="inlineStr"/>
      <c r="L3012" t="inlineStr"/>
      <c r="M3012" t="inlineStr"/>
      <c r="N3012" t="inlineStr"/>
      <c r="O3012" t="inlineStr"/>
      <c r="P3012" t="inlineStr"/>
      <c r="Q3012" t="inlineStr"/>
      <c r="R3012" t="inlineStr"/>
      <c r="S3012" t="inlineStr"/>
      <c r="T3012" t="inlineStr"/>
      <c r="V3012" t="inlineStr"/>
    </row>
    <row r="3013">
      <c r="A3013">
        <f>Skills!A14</f>
        <v/>
      </c>
      <c r="B3013">
        <f>Skills!B14</f>
        <v/>
      </c>
      <c r="C3013">
        <f>Inputs!$B$3&gt;=74</f>
        <v/>
      </c>
      <c r="D3013">
        <f>IF(Skills!C14=1,60+Inputs!$B$25+Inputs!$B$29,IF(Skills!C14=2,90+Inputs!$B$26+Inputs!$B$29,IF(Skills!C14=3,120+Inputs!$B$27+Inputs!$B$29,MAX(0,(Inputs!$B$3-100)*3)+Inputs!$B$28+Inputs!$B$29)))</f>
        <v/>
      </c>
      <c r="E3013">
        <f>INDEX(FactorTable!$B$2:$Y$301, MATCH(ROUND(MIN(300,MAX(1,D3013)),0), FactorTable!$A$2:$A$301,0), Skills!M14+1)</f>
        <v/>
      </c>
      <c r="F3013">
        <f>IF(Skills!N14=TRUE,(Skills!L14/10)*(E3013/1000),Skills!L14/10)+Skills!O14</f>
        <v/>
      </c>
      <c r="G3013">
        <f>Skills!G14*IF(Skills!H14&gt;0,Skills!I14/Skills!H14,1)</f>
        <v/>
      </c>
      <c r="H3013">
        <f>1-(1-Skills!J14/100)^Skills!K14</f>
        <v/>
      </c>
      <c r="I3013" t="inlineStr">
        <is>
          <t>1</t>
        </is>
      </c>
      <c r="J3013" t="inlineStr"/>
      <c r="K3013" t="inlineStr"/>
      <c r="L3013" t="inlineStr"/>
      <c r="M3013" t="inlineStr"/>
      <c r="N3013" t="inlineStr"/>
      <c r="O3013">
        <f>(1-Summary!$B$11)*T3013+Summary!$B$11*V3013</f>
        <v/>
      </c>
      <c r="P3013">
        <f>IF(B3043=0,0,O3013/B3043)</f>
        <v/>
      </c>
      <c r="Q3013" t="n">
        <v>0</v>
      </c>
      <c r="R3013" t="n">
        <v>0</v>
      </c>
      <c r="S3013">
        <f>IFERROR(O3013/N3013,0)</f>
        <v/>
      </c>
      <c r="T3013" t="n">
        <v>0</v>
      </c>
      <c r="V3013" t="n">
        <v>0</v>
      </c>
    </row>
    <row r="3014">
      <c r="A3014">
        <f>Skills!A15</f>
        <v/>
      </c>
      <c r="B3014">
        <f>Skills!B15</f>
        <v/>
      </c>
      <c r="C3014">
        <f>Inputs!$B$3&gt;=74</f>
        <v/>
      </c>
      <c r="D3014">
        <f>IF(Skills!C15=1,60+Inputs!$B$25+Inputs!$B$29,IF(Skills!C15=2,90+Inputs!$B$26+Inputs!$B$29,IF(Skills!C15=3,120+Inputs!$B$27+Inputs!$B$29,MAX(0,(Inputs!$B$3-100)*3)+Inputs!$B$28+Inputs!$B$29)))</f>
        <v/>
      </c>
      <c r="E3014">
        <f>INDEX(FactorTable!$B$2:$Y$301, MATCH(ROUND(MIN(300,MAX(1,D3014)),0), FactorTable!$A$2:$A$301,0), Skills!M15+1)</f>
        <v/>
      </c>
      <c r="F3014">
        <f>IF(Skills!N15=TRUE,(Skills!L15/10)*(E3014/1000),Skills!L15/10)+Skills!O15</f>
        <v/>
      </c>
      <c r="G3014">
        <f>Skills!G15*IF(Skills!H15&gt;0,Skills!I15/Skills!H15,1)</f>
        <v/>
      </c>
      <c r="H3014">
        <f>1-(1-Skills!J15/100)^Skills!K15</f>
        <v/>
      </c>
      <c r="I3014" t="inlineStr">
        <is>
          <t>1</t>
        </is>
      </c>
      <c r="J3014" t="inlineStr"/>
      <c r="K3014" t="inlineStr"/>
      <c r="L3014" t="inlineStr"/>
      <c r="M3014" t="inlineStr"/>
      <c r="N3014" t="inlineStr"/>
      <c r="O3014">
        <f>(1-Summary!$B$11)*T3014+Summary!$B$11*V3014</f>
        <v/>
      </c>
      <c r="P3014">
        <f>IF(B3043=0,0,O3014/B3043)</f>
        <v/>
      </c>
      <c r="Q3014" t="n">
        <v>0</v>
      </c>
      <c r="R3014" t="n">
        <v>0</v>
      </c>
      <c r="S3014">
        <f>IFERROR(O3014/N3014,0)</f>
        <v/>
      </c>
      <c r="T3014" t="n">
        <v>0</v>
      </c>
      <c r="V3014" t="n">
        <v>0</v>
      </c>
    </row>
    <row r="3015">
      <c r="A3015">
        <f>Skills!A16</f>
        <v/>
      </c>
      <c r="B3015">
        <f>Skills!B16</f>
        <v/>
      </c>
      <c r="C3015">
        <f>Inputs!$B$3&gt;=117</f>
        <v/>
      </c>
      <c r="D3015">
        <f>IF(Skills!C16=1,60+Inputs!$B$25+Inputs!$B$29,IF(Skills!C16=2,90+Inputs!$B$26+Inputs!$B$29,IF(Skills!C16=3,120+Inputs!$B$27+Inputs!$B$29,MAX(0,(Inputs!$B$3-100)*3)+Inputs!$B$28+Inputs!$B$29)))</f>
        <v/>
      </c>
      <c r="E3015">
        <f>INDEX(FactorTable!$B$2:$Y$301, MATCH(ROUND(MIN(300,MAX(1,D3015)),0), FactorTable!$A$2:$A$301,0), Skills!M16+1)</f>
        <v/>
      </c>
      <c r="F3015">
        <f>IF(Skills!N16=TRUE,(Skills!L16/10)*(E3015/1000),Skills!L16/10)+Skills!O16</f>
        <v/>
      </c>
      <c r="G3015">
        <f>Skills!G16*IF(Skills!H16&gt;0,Skills!I16/Skills!H16,1)</f>
        <v/>
      </c>
      <c r="H3015">
        <f>1-(1-Skills!J16/100)^Skills!K16</f>
        <v/>
      </c>
      <c r="I3015" t="inlineStr">
        <is>
          <t>1</t>
        </is>
      </c>
      <c r="J3015" t="inlineStr"/>
      <c r="K3015" t="inlineStr"/>
      <c r="L3015" t="inlineStr"/>
      <c r="M3015" t="inlineStr"/>
      <c r="N3015" t="inlineStr"/>
      <c r="O3015">
        <f>(1-Summary!$B$11)*T3015+Summary!$B$11*V3015</f>
        <v/>
      </c>
      <c r="P3015">
        <f>IF(B3043=0,0,O3015/B3043)</f>
        <v/>
      </c>
      <c r="Q3015">
        <f>IFERROR(1/(IF(Inputs!$B$38="pvp",15,MAX(0.1,Skills!D16-IF(Skills!E16=TRUE,0.5,0)))*(1-IF(AND(ArtifactsInput!$M$27,Inputs!$B$4="Chapter Hunt"),CHOOSE(ArtifactsInput!$N$27+1,20,24,28,32,36,40),0)/100)),0)</f>
        <v/>
      </c>
      <c r="R3015">
        <f>IF(AND(Inputs!$B$38&lt;&gt;"pvp",Inputs!$B$43&gt;0),IF(Inputs!$B$43&lt;=0,0,(INT(Inputs!$B$43/(IF(Inputs!$B$38="pvp",15,MAX(0.1,Skills!D16-IF(Skills!E16=TRUE,0.5,0)))*(1-IF(AND(ArtifactsInput!$M$27,Inputs!$B$4="Chapter Hunt"),CHOOSE(ArtifactsInput!$N$27+1,20,24,28,32,36,40),0)/100)))+1)),0)</f>
        <v/>
      </c>
      <c r="S3015">
        <f>IFERROR(O3015/N3015,0)</f>
        <v/>
      </c>
      <c r="T3015" t="n">
        <v>0</v>
      </c>
      <c r="V3015" t="n">
        <v>0</v>
      </c>
    </row>
    <row r="3016">
      <c r="A3016">
        <f>Skills!A17</f>
        <v/>
      </c>
      <c r="B3016">
        <f>Skills!B17</f>
        <v/>
      </c>
      <c r="C3016">
        <f>Inputs!$B$3&gt;=115</f>
        <v/>
      </c>
      <c r="D3016">
        <f>IF(Skills!C17=1,60+Inputs!$B$25+Inputs!$B$29,IF(Skills!C17=2,90+Inputs!$B$26+Inputs!$B$29,IF(Skills!C17=3,120+Inputs!$B$27+Inputs!$B$29,MAX(0,(Inputs!$B$3-100)*3)+Inputs!$B$28+Inputs!$B$29)))</f>
        <v/>
      </c>
      <c r="E3016">
        <f>INDEX(FactorTable!$B$2:$Y$301, MATCH(ROUND(MIN(300,MAX(1,D3016)),0), FactorTable!$A$2:$A$301,0), Skills!M17+1)</f>
        <v/>
      </c>
      <c r="F3016">
        <f>IF(Skills!N17=TRUE,(Skills!L17/10)*(E3016/1000),Skills!L17/10)+Skills!O17</f>
        <v/>
      </c>
      <c r="G3016">
        <f>Skills!G17*IF(Skills!H17&gt;0,Skills!I17/Skills!H17,1)</f>
        <v/>
      </c>
      <c r="H3016">
        <f>1-(1-Skills!J17/100)^Skills!K17</f>
        <v/>
      </c>
      <c r="I3016" t="inlineStr">
        <is>
          <t>1</t>
        </is>
      </c>
      <c r="J3016" t="inlineStr"/>
      <c r="K3016" t="inlineStr"/>
      <c r="L3016" t="inlineStr"/>
      <c r="M3016" t="inlineStr"/>
      <c r="N3016" t="inlineStr"/>
      <c r="O3016">
        <f>(1-Summary!$B$11)*T3016+Summary!$B$11*V3016</f>
        <v/>
      </c>
      <c r="P3016">
        <f>IF(B3043=0,0,O3016/B3043)</f>
        <v/>
      </c>
      <c r="Q3016">
        <f>IFERROR(1/(IF(Inputs!$B$38="pvp",15,MAX(0.1,Skills!D17-IF(Skills!E17=TRUE,0.5,0)))*(1-IF(AND(ArtifactsInput!$M$27,Inputs!$B$4="Chapter Hunt"),CHOOSE(ArtifactsInput!$N$27+1,20,24,28,32,36,40),0)/100)),0)</f>
        <v/>
      </c>
      <c r="R3016">
        <f>IF(AND(Inputs!$B$38&lt;&gt;"pvp",Inputs!$B$43&gt;0),IF(Inputs!$B$43&lt;=0,0,(INT(Inputs!$B$43/(IF(Inputs!$B$38="pvp",15,MAX(0.1,Skills!D17-IF(Skills!E17=TRUE,0.5,0)))*(1-IF(AND(ArtifactsInput!$M$27,Inputs!$B$4="Chapter Hunt"),CHOOSE(ArtifactsInput!$N$27+1,20,24,28,32,36,40),0)/100)))+1)),0)</f>
        <v/>
      </c>
      <c r="S3016">
        <f>IFERROR(O3016/N3016,0)</f>
        <v/>
      </c>
      <c r="T3016" t="n">
        <v>0</v>
      </c>
      <c r="V3016" t="n">
        <v>0</v>
      </c>
    </row>
    <row r="3017">
      <c r="A3017">
        <f>Skills!A18</f>
        <v/>
      </c>
      <c r="B3017">
        <f>Skills!B18</f>
        <v/>
      </c>
      <c r="C3017">
        <f>Inputs!$B$3&gt;=66</f>
        <v/>
      </c>
      <c r="D3017">
        <f>IF(Skills!C18=1,60+Inputs!$B$25+Inputs!$B$29,IF(Skills!C18=2,90+Inputs!$B$26+Inputs!$B$29,IF(Skills!C18=3,120+Inputs!$B$27+Inputs!$B$29,MAX(0,(Inputs!$B$3-100)*3)+Inputs!$B$28+Inputs!$B$29)))</f>
        <v/>
      </c>
      <c r="E3017">
        <f>INDEX(FactorTable!$B$2:$Y$301, MATCH(ROUND(MIN(300,MAX(1,D3017)),0), FactorTable!$A$2:$A$301,0), Skills!M18+1)</f>
        <v/>
      </c>
      <c r="F3017">
        <f>IF(Skills!N18=TRUE,(Skills!L18/10)*(E3017/1000),Skills!L18/10)+Skills!O18</f>
        <v/>
      </c>
      <c r="G3017">
        <f>Skills!G18*IF(Skills!H18&gt;0,Skills!I18/Skills!H18,1)</f>
        <v/>
      </c>
      <c r="H3017">
        <f>1-(1-Skills!J18/100)^Skills!K18</f>
        <v/>
      </c>
      <c r="I3017" t="inlineStr">
        <is>
          <t>1</t>
        </is>
      </c>
      <c r="J3017" t="inlineStr"/>
      <c r="K3017" t="inlineStr"/>
      <c r="L3017" t="inlineStr"/>
      <c r="M3017" t="inlineStr"/>
      <c r="N3017" t="inlineStr"/>
      <c r="O3017">
        <f>(1-Summary!$B$11)*T3017+Summary!$B$11*V3017</f>
        <v/>
      </c>
      <c r="P3017">
        <f>IF(B3043=0,0,O3017/B3043)</f>
        <v/>
      </c>
      <c r="Q3017" t="n">
        <v>0</v>
      </c>
      <c r="R3017" t="n">
        <v>0</v>
      </c>
      <c r="S3017">
        <f>IFERROR(O3017/N3017,0)</f>
        <v/>
      </c>
      <c r="T3017" t="n">
        <v>0</v>
      </c>
      <c r="V3017" t="n">
        <v>0</v>
      </c>
    </row>
    <row r="3018">
      <c r="A3018">
        <f>Skills!A19</f>
        <v/>
      </c>
      <c r="B3018">
        <f>Skills!B19</f>
        <v/>
      </c>
      <c r="C3018">
        <f>Inputs!$B$3&gt;=72</f>
        <v/>
      </c>
      <c r="D3018">
        <f>IF(Skills!C19=1,60+Inputs!$B$25+Inputs!$B$29,IF(Skills!C19=2,90+Inputs!$B$26+Inputs!$B$29,IF(Skills!C19=3,120+Inputs!$B$27+Inputs!$B$29,MAX(0,(Inputs!$B$3-100)*3)+Inputs!$B$28+Inputs!$B$29)))</f>
        <v/>
      </c>
      <c r="E3018">
        <f>INDEX(FactorTable!$B$2:$Y$301, MATCH(ROUND(MIN(300,MAX(1,D3018)),0), FactorTable!$A$2:$A$301,0), Skills!M19+1)</f>
        <v/>
      </c>
      <c r="F3018">
        <f>IF(Skills!N19=TRUE,(Skills!L19/10)*(E3018/1000),Skills!L19/10)+Skills!O19</f>
        <v/>
      </c>
      <c r="G3018">
        <f>Skills!G19*IF(Skills!H19&gt;0,Skills!I19/Skills!H19,1)</f>
        <v/>
      </c>
      <c r="H3018">
        <f>1-(1-Skills!J19/100)^Skills!K19</f>
        <v/>
      </c>
      <c r="I3018" t="inlineStr">
        <is>
          <t>1</t>
        </is>
      </c>
      <c r="J3018" t="inlineStr"/>
      <c r="K3018" t="inlineStr"/>
      <c r="L3018" t="inlineStr"/>
      <c r="M3018" t="inlineStr"/>
      <c r="N3018" t="inlineStr"/>
      <c r="O3018">
        <f>(1-Summary!$B$11)*T3018+Summary!$B$11*V3018</f>
        <v/>
      </c>
      <c r="P3018">
        <f>IF(B3043=0,0,O3018/B3043)</f>
        <v/>
      </c>
      <c r="Q3018" t="n">
        <v>0</v>
      </c>
      <c r="R3018" t="n">
        <v>0</v>
      </c>
      <c r="S3018">
        <f>IFERROR(O3018/N3018,0)</f>
        <v/>
      </c>
      <c r="T3018" t="n">
        <v>0</v>
      </c>
      <c r="V3018" t="n">
        <v>0</v>
      </c>
    </row>
    <row r="3019">
      <c r="A3019">
        <f>Skills!A20</f>
        <v/>
      </c>
      <c r="B3019">
        <f>Skills!B20</f>
        <v/>
      </c>
      <c r="C3019">
        <f>TRUE</f>
        <v/>
      </c>
      <c r="D3019">
        <f>IF(Skills!C20=1,60+Inputs!$B$25+Inputs!$B$29,IF(Skills!C20=2,90+Inputs!$B$26+Inputs!$B$29,IF(Skills!C20=3,120+Inputs!$B$27+Inputs!$B$29,MAX(0,(Inputs!$B$3-100)*3)+Inputs!$B$28+Inputs!$B$29)))</f>
        <v/>
      </c>
      <c r="E3019">
        <f>INDEX(FactorTable!$B$2:$Y$301, MATCH(ROUND(MIN(300,MAX(1,D3019)),0), FactorTable!$A$2:$A$301,0), Skills!M20+1)</f>
        <v/>
      </c>
      <c r="F3019">
        <f>IF(Skills!N20=TRUE,(Skills!L20/10)*(E3019/1000),Skills!L20/10)+Skills!O20</f>
        <v/>
      </c>
      <c r="G3019">
        <f>Skills!G20*IF(Skills!H20&gt;0,Skills!I20/Skills!H20,1)</f>
        <v/>
      </c>
      <c r="H3019">
        <f>1-(1-Skills!J20/100)^Skills!K20</f>
        <v/>
      </c>
      <c r="I3019" t="inlineStr">
        <is>
          <t>1</t>
        </is>
      </c>
      <c r="J3019" t="inlineStr"/>
      <c r="K3019" t="inlineStr"/>
      <c r="L3019" t="inlineStr"/>
      <c r="M3019" t="inlineStr"/>
      <c r="N3019" t="inlineStr"/>
      <c r="O3019">
        <f>(1-Summary!$B$11)*T3019+Summary!$B$11*V3019</f>
        <v/>
      </c>
      <c r="P3019">
        <f>IF(B3043=0,0,O3019/B3043)</f>
        <v/>
      </c>
      <c r="Q3019">
        <f>IFERROR(1/(IF(Inputs!$B$38="pvp",15,MAX(0.1,Skills!D20-IF(Skills!E20=TRUE,0.5,0)))*(1-IF(AND(ArtifactsInput!$M$27,Inputs!$B$4="Chapter Hunt"),CHOOSE(ArtifactsInput!$N$27+1,20,24,28,32,36,40),0)/100)),0)</f>
        <v/>
      </c>
      <c r="R3019">
        <f>IF(AND(Inputs!$B$38&lt;&gt;"pvp",Inputs!$B$43&gt;0),IF(Inputs!$B$43&lt;=0,0,(INT(Inputs!$B$43/(IF(Inputs!$B$38="pvp",15,MAX(0.1,Skills!D20-IF(Skills!E20=TRUE,0.5,0)))*(1-IF(AND(ArtifactsInput!$M$27,Inputs!$B$4="Chapter Hunt"),CHOOSE(ArtifactsInput!$N$27+1,20,24,28,32,36,40),0)/100)))+1)),0)</f>
        <v/>
      </c>
      <c r="S3019">
        <f>IFERROR(O3019/N3019,0)</f>
        <v/>
      </c>
      <c r="T3019" t="n">
        <v>0</v>
      </c>
      <c r="V3019" t="n">
        <v>0</v>
      </c>
    </row>
    <row r="3020">
      <c r="A3020">
        <f>Skills!A21</f>
        <v/>
      </c>
      <c r="B3020">
        <f>Skills!B21</f>
        <v/>
      </c>
      <c r="C3020">
        <f>Inputs!$B$3&gt;=15</f>
        <v/>
      </c>
      <c r="D3020">
        <f>IF(Skills!C21=1,60+Inputs!$B$25+Inputs!$B$29,IF(Skills!C21=2,90+Inputs!$B$26+Inputs!$B$29,IF(Skills!C21=3,120+Inputs!$B$27+Inputs!$B$29,MAX(0,(Inputs!$B$3-100)*3)+Inputs!$B$28+Inputs!$B$29)))</f>
        <v/>
      </c>
      <c r="E3020">
        <f>INDEX(FactorTable!$B$2:$Y$301, MATCH(ROUND(MIN(300,MAX(1,D3020)),0), FactorTable!$A$2:$A$301,0), Skills!M21+1)</f>
        <v/>
      </c>
      <c r="F3020">
        <f>IF(Skills!N21=TRUE,(Skills!L21/10)*(E3020/1000),Skills!L21/10)+Skills!O21</f>
        <v/>
      </c>
      <c r="G3020">
        <f>Skills!G21*IF(Skills!H21&gt;0,Skills!I21/Skills!H21,1)</f>
        <v/>
      </c>
      <c r="H3020">
        <f>1-(1-Skills!J21/100)^Skills!K21</f>
        <v/>
      </c>
      <c r="I3020" t="inlineStr">
        <is>
          <t>1</t>
        </is>
      </c>
      <c r="J3020" t="inlineStr"/>
      <c r="K3020" t="inlineStr"/>
      <c r="L3020" t="inlineStr"/>
      <c r="M3020" t="inlineStr"/>
      <c r="N3020" t="inlineStr"/>
      <c r="O3020">
        <f>(1-Summary!$B$11)*T3020+Summary!$B$11*V3020</f>
        <v/>
      </c>
      <c r="P3020">
        <f>IF(B3043=0,0,O3020/B3043)</f>
        <v/>
      </c>
      <c r="Q3020" t="n">
        <v>0</v>
      </c>
      <c r="R3020" t="n">
        <v>0</v>
      </c>
      <c r="S3020">
        <f>IFERROR(O3020/N3020,0)</f>
        <v/>
      </c>
      <c r="T3020" t="n">
        <v>0</v>
      </c>
      <c r="V3020" t="n">
        <v>0</v>
      </c>
    </row>
    <row r="3021">
      <c r="A3021">
        <f>Skills!A22</f>
        <v/>
      </c>
      <c r="B3021">
        <f>Skills!B22</f>
        <v/>
      </c>
      <c r="C3021">
        <f>Inputs!$B$3&gt;=10</f>
        <v/>
      </c>
      <c r="D3021">
        <f>IF(Skills!C22=1,60+Inputs!$B$25+Inputs!$B$29,IF(Skills!C22=2,90+Inputs!$B$26+Inputs!$B$29,IF(Skills!C22=3,120+Inputs!$B$27+Inputs!$B$29,MAX(0,(Inputs!$B$3-100)*3)+Inputs!$B$28+Inputs!$B$29)))</f>
        <v/>
      </c>
      <c r="E3021">
        <f>INDEX(FactorTable!$B$2:$Y$301, MATCH(ROUND(MIN(300,MAX(1,D3021)),0), FactorTable!$A$2:$A$301,0), Skills!M22+1)</f>
        <v/>
      </c>
      <c r="F3021">
        <f>IF(Skills!N22=TRUE,(Skills!L22/10)*(E3021/1000),Skills!L22/10)+Skills!O22</f>
        <v/>
      </c>
      <c r="G3021">
        <f>Skills!G22*IF(Skills!H22&gt;0,Skills!I22/Skills!H22,1)</f>
        <v/>
      </c>
      <c r="H3021">
        <f>1-(1-Skills!J22/100)^Skills!K22</f>
        <v/>
      </c>
      <c r="I3021" t="inlineStr">
        <is>
          <t>1</t>
        </is>
      </c>
      <c r="J3021" t="inlineStr"/>
      <c r="K3021" t="inlineStr"/>
      <c r="L3021" t="inlineStr"/>
      <c r="M3021" t="inlineStr"/>
      <c r="N3021" t="inlineStr"/>
      <c r="O3021">
        <f>(1-Summary!$B$11)*T3021+Summary!$B$11*V3021</f>
        <v/>
      </c>
      <c r="P3021">
        <f>IF(B3043=0,0,O3021/B3043)</f>
        <v/>
      </c>
      <c r="Q3021" t="n">
        <v>0</v>
      </c>
      <c r="R3021" t="n">
        <v>0</v>
      </c>
      <c r="S3021">
        <f>IFERROR(O3021/N3021,0)</f>
        <v/>
      </c>
      <c r="T3021" t="n">
        <v>0</v>
      </c>
      <c r="V3021" t="n">
        <v>0</v>
      </c>
    </row>
    <row r="3022">
      <c r="A3022">
        <f>Skills!A23</f>
        <v/>
      </c>
      <c r="B3022">
        <f>Skills!B23</f>
        <v/>
      </c>
      <c r="C3022">
        <f>Inputs!$B$3&gt;=33</f>
        <v/>
      </c>
      <c r="D3022">
        <f>IF(Skills!C23=1,60+Inputs!$B$25+Inputs!$B$29,IF(Skills!C23=2,90+Inputs!$B$26+Inputs!$B$29,IF(Skills!C23=3,120+Inputs!$B$27+Inputs!$B$29,MAX(0,(Inputs!$B$3-100)*3)+Inputs!$B$28+Inputs!$B$29)))</f>
        <v/>
      </c>
      <c r="E3022">
        <f>INDEX(FactorTable!$B$2:$Y$301, MATCH(ROUND(MIN(300,MAX(1,D3022)),0), FactorTable!$A$2:$A$301,0), Skills!M23+1)</f>
        <v/>
      </c>
      <c r="F3022">
        <f>IF(Skills!N23=TRUE,(Skills!L23/10)*(E3022/1000),Skills!L23/10)+Skills!O23</f>
        <v/>
      </c>
      <c r="G3022">
        <f>Skills!G23*IF(Skills!H23&gt;0,Skills!I23/Skills!H23,1)</f>
        <v/>
      </c>
      <c r="H3022">
        <f>1-(1-Skills!J23/100)^Skills!K23</f>
        <v/>
      </c>
      <c r="I3022" t="inlineStr">
        <is>
          <t>1</t>
        </is>
      </c>
      <c r="J3022" t="inlineStr"/>
      <c r="K3022" t="inlineStr"/>
      <c r="L3022" t="inlineStr"/>
      <c r="M3022" t="inlineStr"/>
      <c r="N3022" t="inlineStr"/>
      <c r="O3022">
        <f>(1-Summary!$B$11)*T3022+Summary!$B$11*V3022</f>
        <v/>
      </c>
      <c r="P3022">
        <f>IF(B3043=0,0,O3022/B3043)</f>
        <v/>
      </c>
      <c r="Q3022" t="n">
        <v>0</v>
      </c>
      <c r="R3022" t="n">
        <v>0</v>
      </c>
      <c r="S3022">
        <f>IFERROR(O3022/N3022,0)</f>
        <v/>
      </c>
      <c r="T3022" t="n">
        <v>0</v>
      </c>
      <c r="V3022" t="n">
        <v>0</v>
      </c>
    </row>
    <row r="3023">
      <c r="A3023">
        <f>Skills!A24</f>
        <v/>
      </c>
      <c r="B3023">
        <f>Skills!B24</f>
        <v/>
      </c>
      <c r="C3023">
        <f>Inputs!$B$3&gt;=38</f>
        <v/>
      </c>
      <c r="D3023">
        <f>IF(Skills!C24=1,60+Inputs!$B$25+Inputs!$B$29,IF(Skills!C24=2,90+Inputs!$B$26+Inputs!$B$29,IF(Skills!C24=3,120+Inputs!$B$27+Inputs!$B$29,MAX(0,(Inputs!$B$3-100)*3)+Inputs!$B$28+Inputs!$B$29)))</f>
        <v/>
      </c>
      <c r="E3023">
        <f>INDEX(FactorTable!$B$2:$Y$301, MATCH(ROUND(MIN(300,MAX(1,D3023)),0), FactorTable!$A$2:$A$301,0), Skills!M24+1)</f>
        <v/>
      </c>
      <c r="F3023">
        <f>IF(Skills!N24=TRUE,(Skills!L24/10)*(E3023/1000),Skills!L24/10)+Skills!O24</f>
        <v/>
      </c>
      <c r="G3023">
        <f>Skills!G24*IF(Skills!H24&gt;0,Skills!I24/Skills!H24,1)</f>
        <v/>
      </c>
      <c r="H3023">
        <f>1-(1-Skills!J24/100)^Skills!K24</f>
        <v/>
      </c>
      <c r="I3023" t="inlineStr">
        <is>
          <t>1</t>
        </is>
      </c>
      <c r="J3023" t="inlineStr"/>
      <c r="K3023" t="inlineStr"/>
      <c r="L3023" t="inlineStr"/>
      <c r="M3023" t="inlineStr"/>
      <c r="N3023" t="inlineStr"/>
      <c r="O3023">
        <f>(1-Summary!$B$11)*T3023+Summary!$B$11*V3023</f>
        <v/>
      </c>
      <c r="P3023">
        <f>IF(B3043=0,0,O3023/B3043)</f>
        <v/>
      </c>
      <c r="Q3023" t="n">
        <v>0</v>
      </c>
      <c r="R3023" t="n">
        <v>0</v>
      </c>
      <c r="S3023">
        <f>IFERROR(O3023/N3023,0)</f>
        <v/>
      </c>
      <c r="T3023" t="n">
        <v>0</v>
      </c>
      <c r="V3023" t="n">
        <v>0</v>
      </c>
    </row>
    <row r="3024">
      <c r="A3024">
        <f>Skills!A25</f>
        <v/>
      </c>
      <c r="B3024">
        <f>Skills!B25</f>
        <v/>
      </c>
      <c r="C3024">
        <f>Inputs!$B$3&gt;=43</f>
        <v/>
      </c>
      <c r="D3024">
        <f>IF(Skills!C25=1,60+Inputs!$B$25+Inputs!$B$29,IF(Skills!C25=2,90+Inputs!$B$26+Inputs!$B$29,IF(Skills!C25=3,120+Inputs!$B$27+Inputs!$B$29,MAX(0,(Inputs!$B$3-100)*3)+Inputs!$B$28+Inputs!$B$29)))</f>
        <v/>
      </c>
      <c r="E3024">
        <f>INDEX(FactorTable!$B$2:$Y$301, MATCH(ROUND(MIN(300,MAX(1,D3024)),0), FactorTable!$A$2:$A$301,0), Skills!M25+1)</f>
        <v/>
      </c>
      <c r="F3024">
        <f>IF(Skills!N25=TRUE,(Skills!L25/10)*(E3024/1000),Skills!L25/10)+Skills!O25</f>
        <v/>
      </c>
      <c r="G3024">
        <f>Skills!G25*IF(Skills!H25&gt;0,Skills!I25/Skills!H25,1)</f>
        <v/>
      </c>
      <c r="H3024">
        <f>1-(1-Skills!J25/100)^Skills!K25</f>
        <v/>
      </c>
      <c r="I3024" t="inlineStr">
        <is>
          <t>1</t>
        </is>
      </c>
      <c r="J3024" t="inlineStr"/>
      <c r="K3024" t="inlineStr"/>
      <c r="L3024" t="inlineStr"/>
      <c r="M3024" t="inlineStr"/>
      <c r="N3024" t="inlineStr"/>
      <c r="O3024">
        <f>(1-Summary!$B$11)*T3024+Summary!$B$11*V3024</f>
        <v/>
      </c>
      <c r="P3024">
        <f>IF(B3043=0,0,O3024/B3043)</f>
        <v/>
      </c>
      <c r="Q3024" t="n">
        <v>0</v>
      </c>
      <c r="R3024" t="n">
        <v>0</v>
      </c>
      <c r="S3024">
        <f>IFERROR(O3024/N3024,0)</f>
        <v/>
      </c>
      <c r="T3024" t="n">
        <v>0</v>
      </c>
      <c r="V3024" t="n">
        <v>0</v>
      </c>
    </row>
    <row r="3025">
      <c r="A3025">
        <f>Skills!A26</f>
        <v/>
      </c>
      <c r="B3025">
        <f>Skills!B26</f>
        <v/>
      </c>
      <c r="C3025">
        <f>Inputs!$B$3&gt;=75</f>
        <v/>
      </c>
      <c r="D3025">
        <f>IF(Skills!C26=1,60+Inputs!$B$25+Inputs!$B$29,IF(Skills!C26=2,90+Inputs!$B$26+Inputs!$B$29,IF(Skills!C26=3,120+Inputs!$B$27+Inputs!$B$29,MAX(0,(Inputs!$B$3-100)*3)+Inputs!$B$28+Inputs!$B$29)))</f>
        <v/>
      </c>
      <c r="E3025">
        <f>INDEX(FactorTable!$B$2:$Y$301, MATCH(ROUND(MIN(300,MAX(1,D3025)),0), FactorTable!$A$2:$A$301,0), Skills!M26+1)</f>
        <v/>
      </c>
      <c r="F3025">
        <f>IF(Skills!N26=TRUE,(Skills!L26/10)*(E3025/1000),Skills!L26/10)+Skills!O26</f>
        <v/>
      </c>
      <c r="G3025">
        <f>Skills!G26*IF(Skills!H26&gt;0,Skills!I26/Skills!H26,1)</f>
        <v/>
      </c>
      <c r="H3025">
        <f>1-(1-Skills!J26/100)^Skills!K26</f>
        <v/>
      </c>
      <c r="I3025" t="inlineStr">
        <is>
          <t>1</t>
        </is>
      </c>
      <c r="J3025" t="inlineStr"/>
      <c r="K3025" t="inlineStr"/>
      <c r="L3025" t="inlineStr"/>
      <c r="M3025" t="inlineStr"/>
      <c r="N3025" t="inlineStr"/>
      <c r="O3025">
        <f>(1-Summary!$B$11)*T3025+Summary!$B$11*V3025</f>
        <v/>
      </c>
      <c r="P3025">
        <f>IF(B3043=0,0,O3025/B3043)</f>
        <v/>
      </c>
      <c r="Q3025" t="n">
        <v>0</v>
      </c>
      <c r="R3025" t="n">
        <v>0</v>
      </c>
      <c r="S3025">
        <f>IFERROR(O3025/N3025,0)</f>
        <v/>
      </c>
      <c r="T3025" t="n">
        <v>0</v>
      </c>
      <c r="V3025" t="n">
        <v>0</v>
      </c>
    </row>
    <row r="3026">
      <c r="A3026">
        <f>Skills!A27</f>
        <v/>
      </c>
      <c r="B3026">
        <f>Skills!B27</f>
        <v/>
      </c>
      <c r="C3026">
        <f>Inputs!$B$3&gt;=125</f>
        <v/>
      </c>
      <c r="D3026">
        <f>IF(Skills!C27=1,60+Inputs!$B$25+Inputs!$B$29,IF(Skills!C27=2,90+Inputs!$B$26+Inputs!$B$29,IF(Skills!C27=3,120+Inputs!$B$27+Inputs!$B$29,MAX(0,(Inputs!$B$3-100)*3)+Inputs!$B$28+Inputs!$B$29)))</f>
        <v/>
      </c>
      <c r="E3026">
        <f>INDEX(FactorTable!$B$2:$Y$301, MATCH(ROUND(MIN(300,MAX(1,D3026)),0), FactorTable!$A$2:$A$301,0), Skills!M27+1)</f>
        <v/>
      </c>
      <c r="F3026">
        <f>IF(Skills!N27=TRUE,(Skills!L27/10)*(E3026/1000),Skills!L27/10)+Skills!O27</f>
        <v/>
      </c>
      <c r="G3026">
        <f>Skills!G27*IF(Skills!H27&gt;0,Skills!I27/Skills!H27,1)</f>
        <v/>
      </c>
      <c r="H3026">
        <f>1-(1-Skills!J27/100)^Skills!K27</f>
        <v/>
      </c>
      <c r="I3026" t="inlineStr">
        <is>
          <t>1</t>
        </is>
      </c>
      <c r="J3026" t="inlineStr"/>
      <c r="K3026" t="inlineStr"/>
      <c r="L3026" t="inlineStr"/>
      <c r="M3026" t="inlineStr"/>
      <c r="N3026" t="inlineStr"/>
      <c r="O3026">
        <f>(1-Summary!$B$11)*T3026+Summary!$B$11*V3026</f>
        <v/>
      </c>
      <c r="P3026">
        <f>IF(B3043=0,0,O3026/B3043)</f>
        <v/>
      </c>
      <c r="Q3026" t="n">
        <v>0</v>
      </c>
      <c r="R3026" t="n">
        <v>0</v>
      </c>
      <c r="S3026">
        <f>IFERROR(O3026/N3026,0)</f>
        <v/>
      </c>
      <c r="T3026" t="n">
        <v>0</v>
      </c>
      <c r="V3026" t="n">
        <v>0</v>
      </c>
    </row>
    <row r="3027">
      <c r="A3027">
        <f>Skills!A28</f>
        <v/>
      </c>
      <c r="B3027">
        <f>Skills!B28</f>
        <v/>
      </c>
      <c r="C3027">
        <f>Inputs!$B$3&gt;=125</f>
        <v/>
      </c>
      <c r="D3027">
        <f>IF(Skills!C28=1,60+Inputs!$B$25+Inputs!$B$29,IF(Skills!C28=2,90+Inputs!$B$26+Inputs!$B$29,IF(Skills!C28=3,120+Inputs!$B$27+Inputs!$B$29,MAX(0,(Inputs!$B$3-100)*3)+Inputs!$B$28+Inputs!$B$29)))</f>
        <v/>
      </c>
      <c r="E3027">
        <f>INDEX(FactorTable!$B$2:$Y$301, MATCH(ROUND(MIN(300,MAX(1,D3027)),0), FactorTable!$A$2:$A$301,0), Skills!M28+1)</f>
        <v/>
      </c>
      <c r="F3027">
        <f>IF(Skills!N28=TRUE,(Skills!L28/10)*(E3027/1000),Skills!L28/10)+Skills!O28</f>
        <v/>
      </c>
      <c r="G3027">
        <f>Skills!G28*IF(Skills!H28&gt;0,Skills!I28/Skills!H28,1)</f>
        <v/>
      </c>
      <c r="H3027">
        <f>1-(1-Skills!J28/100)^Skills!K28</f>
        <v/>
      </c>
      <c r="I3027" t="inlineStr">
        <is>
          <t>1</t>
        </is>
      </c>
      <c r="J3027" t="inlineStr"/>
      <c r="K3027" t="inlineStr"/>
      <c r="L3027" t="inlineStr"/>
      <c r="M3027" t="inlineStr"/>
      <c r="N3027" t="inlineStr"/>
      <c r="O3027">
        <f>(1-Summary!$B$11)*T3027+Summary!$B$11*V3027</f>
        <v/>
      </c>
      <c r="P3027">
        <f>IF(B3043=0,0,O3027/B3043)</f>
        <v/>
      </c>
      <c r="Q3027" t="n">
        <v>0</v>
      </c>
      <c r="R3027" t="n">
        <v>0</v>
      </c>
      <c r="S3027">
        <f>IFERROR(O3027/N3027,0)</f>
        <v/>
      </c>
      <c r="T3027" t="n">
        <v>0</v>
      </c>
      <c r="V3027" t="n">
        <v>0</v>
      </c>
    </row>
    <row r="3028">
      <c r="A3028">
        <f>Skills!A29</f>
        <v/>
      </c>
      <c r="B3028">
        <f>Skills!B29</f>
        <v/>
      </c>
      <c r="C3028">
        <f>Inputs!$B$3&gt;=120</f>
        <v/>
      </c>
      <c r="D3028">
        <f>IF(Skills!C29=1,60+Inputs!$B$25+Inputs!$B$29,IF(Skills!C29=2,90+Inputs!$B$26+Inputs!$B$29,IF(Skills!C29=3,120+Inputs!$B$27+Inputs!$B$29,MAX(0,(Inputs!$B$3-100)*3)+Inputs!$B$28+Inputs!$B$29)))</f>
        <v/>
      </c>
      <c r="E3028">
        <f>INDEX(FactorTable!$B$2:$Y$301, MATCH(ROUND(MIN(300,MAX(1,D3028)),0), FactorTable!$A$2:$A$301,0), Skills!M29+1)</f>
        <v/>
      </c>
      <c r="F3028">
        <f>IF(Skills!N29=TRUE,(Skills!L29/10)*(E3028/1000),Skills!L29/10)+Skills!O29</f>
        <v/>
      </c>
      <c r="G3028">
        <f>Skills!G29*IF(Skills!H29&gt;0,Skills!I29/Skills!H29,1)</f>
        <v/>
      </c>
      <c r="H3028">
        <f>1-(1-Skills!J29/100)^Skills!K29</f>
        <v/>
      </c>
      <c r="I3028" t="inlineStr">
        <is>
          <t>1</t>
        </is>
      </c>
      <c r="J3028" t="inlineStr"/>
      <c r="K3028" t="inlineStr"/>
      <c r="L3028" t="inlineStr"/>
      <c r="M3028" t="inlineStr"/>
      <c r="N3028" t="inlineStr"/>
      <c r="O3028">
        <f>(1-Summary!$B$11)*T3028+Summary!$B$11*V3028</f>
        <v/>
      </c>
      <c r="P3028">
        <f>IF(B3043=0,0,O3028/B3043)</f>
        <v/>
      </c>
      <c r="Q3028" t="n">
        <v>0</v>
      </c>
      <c r="R3028" t="n">
        <v>0</v>
      </c>
      <c r="S3028">
        <f>IFERROR(O3028/N3028,0)</f>
        <v/>
      </c>
      <c r="T3028" t="n">
        <v>0</v>
      </c>
      <c r="V3028" t="n">
        <v>0</v>
      </c>
    </row>
    <row r="3029">
      <c r="A3029">
        <f>Skills!A30</f>
        <v/>
      </c>
      <c r="B3029">
        <f>Skills!B30</f>
        <v/>
      </c>
      <c r="C3029">
        <f>Inputs!$B$3&gt;=120</f>
        <v/>
      </c>
      <c r="D3029">
        <f>IF(Skills!C30=1,60+Inputs!$B$25+Inputs!$B$29,IF(Skills!C30=2,90+Inputs!$B$26+Inputs!$B$29,IF(Skills!C30=3,120+Inputs!$B$27+Inputs!$B$29,MAX(0,(Inputs!$B$3-100)*3)+Inputs!$B$28+Inputs!$B$29)))</f>
        <v/>
      </c>
      <c r="E3029">
        <f>INDEX(FactorTable!$B$2:$Y$301, MATCH(ROUND(MIN(300,MAX(1,D3029)),0), FactorTable!$A$2:$A$301,0), Skills!M30+1)</f>
        <v/>
      </c>
      <c r="F3029">
        <f>IF(Skills!N30=TRUE,(Skills!L30/10)*(E3029/1000),Skills!L30/10)+Skills!O30</f>
        <v/>
      </c>
      <c r="G3029">
        <f>Skills!G30*IF(Skills!H30&gt;0,Skills!I30/Skills!H30,1)</f>
        <v/>
      </c>
      <c r="H3029">
        <f>1-(1-Skills!J30/100)^Skills!K30</f>
        <v/>
      </c>
      <c r="I3029" t="inlineStr">
        <is>
          <t>1</t>
        </is>
      </c>
      <c r="J3029" t="inlineStr"/>
      <c r="K3029" t="inlineStr"/>
      <c r="L3029" t="inlineStr"/>
      <c r="M3029" t="inlineStr"/>
      <c r="N3029" t="inlineStr"/>
      <c r="O3029">
        <f>(1-Summary!$B$11)*T3029+Summary!$B$11*V3029</f>
        <v/>
      </c>
      <c r="P3029">
        <f>IF(B3043=0,0,O3029/B3043)</f>
        <v/>
      </c>
      <c r="Q3029" t="n">
        <v>0</v>
      </c>
      <c r="R3029" t="n">
        <v>0</v>
      </c>
      <c r="S3029">
        <f>IFERROR(O3029/N3029,0)</f>
        <v/>
      </c>
      <c r="T3029" t="n">
        <v>0</v>
      </c>
      <c r="V3029" t="n">
        <v>0</v>
      </c>
    </row>
    <row r="3030">
      <c r="A3030">
        <f>Skills!A31</f>
        <v/>
      </c>
      <c r="B3030">
        <f>Skills!B31</f>
        <v/>
      </c>
      <c r="C3030">
        <f>Inputs!$B$3&gt;=45</f>
        <v/>
      </c>
      <c r="D3030">
        <f>IF(Skills!C31=1,60+Inputs!$B$25+Inputs!$B$29,IF(Skills!C31=2,90+Inputs!$B$26+Inputs!$B$29,IF(Skills!C31=3,120+Inputs!$B$27+Inputs!$B$29,MAX(0,(Inputs!$B$3-100)*3)+Inputs!$B$28+Inputs!$B$29)))</f>
        <v/>
      </c>
      <c r="E3030">
        <f>INDEX(FactorTable!$B$2:$Y$301, MATCH(ROUND(MIN(300,MAX(1,D3030)),0), FactorTable!$A$2:$A$301,0), Skills!M31+1)</f>
        <v/>
      </c>
      <c r="F3030">
        <f>IF(Skills!N31=TRUE,(Skills!L31/10)*(E3030/1000),Skills!L31/10)+Skills!O31</f>
        <v/>
      </c>
      <c r="G3030">
        <f>Skills!G31*IF(Skills!H31&gt;0,Skills!I31/Skills!H31,1)</f>
        <v/>
      </c>
      <c r="H3030">
        <f>1-(1-Skills!J31/100)^Skills!K31</f>
        <v/>
      </c>
      <c r="I3030" t="inlineStr">
        <is>
          <t>1</t>
        </is>
      </c>
      <c r="J3030" t="inlineStr"/>
      <c r="K3030" t="inlineStr"/>
      <c r="L3030" t="inlineStr"/>
      <c r="M3030" t="inlineStr"/>
      <c r="N3030" t="inlineStr"/>
      <c r="O3030">
        <f>(1-Summary!$B$11)*T3030+Summary!$B$11*V3030</f>
        <v/>
      </c>
      <c r="P3030">
        <f>IF(B3043=0,0,O3030/B3043)</f>
        <v/>
      </c>
      <c r="Q3030" t="n">
        <v>0</v>
      </c>
      <c r="R3030" t="n">
        <v>0</v>
      </c>
      <c r="S3030">
        <f>IFERROR(O3030/N3030,0)</f>
        <v/>
      </c>
      <c r="T3030" t="n">
        <v>0</v>
      </c>
      <c r="V3030" t="n">
        <v>0</v>
      </c>
    </row>
    <row r="3032">
      <c r="A3032" t="inlineStr">
        <is>
          <t>Attack% Bucket Multiplier</t>
        </is>
      </c>
      <c r="B3032">
        <f>(1+(((C3013=TRUE)*F3013)+((C3014=TRUE)*IF(Inputs!$B$38="pvp",F3014,(1-Summary!$B$11)*(F3014)+Summary!$B$11*(0)))+((C3015=TRUE)*F3015*IF(AND(Inputs!$B$38&lt;&gt;"pvp",Inputs!$B$43&gt;0),(((R3015-1)*(Skills!T16*(1+Inputs!$B$34/100))+MIN((Skills!T16*(1+Inputs!$B$34/100)),MAX(0,Inputs!$B$43-((R3015-1)*Skills!D16))))/Inputs!$B$43),IF(Inputs!$B$38="pvp",MIN((Skills!T16*(1+Inputs!$B$34/100)),15)/15,(Skills!T16*(1+Inputs!$B$34/100))/Skills!D16)))+((C3030=TRUE)*(F3030-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33">
      <c r="A3033" t="inlineStr">
        <is>
          <t>Global Crit Rate Bonus %</t>
        </is>
      </c>
      <c r="B3033">
        <f>(C3016=TRUE)*20*IF(AND(Inputs!$B$38&lt;&gt;"pvp",Inputs!$B$43&gt;0),(((R3016-1)*(Skills!T17*(1+Inputs!$B$34/100))+MIN((Skills!T17*(1+Inputs!$B$34/100)),MAX(0,Inputs!$B$43-((R3016-1)*Skills!D17))))/Inputs!$B$43),IF(Inputs!$B$38="pvp",MIN((Skills!T17*(1+Inputs!$B$34/100)),15)/15,(Skills!T17*(1+Inputs!$B$34/100))/Skills!D17))</f>
        <v/>
      </c>
    </row>
    <row r="3034">
      <c r="A3034" t="inlineStr">
        <is>
          <t>Attack Speed Buff Bonus %</t>
        </is>
      </c>
      <c r="B3034">
        <f>((C3019=TRUE)*F3019*IF(AND(Inputs!$B$38&lt;&gt;"pvp",Inputs!$B$43&gt;0),(((R3019-1)*(Skills!T20*(1+Inputs!$B$34/100))+MIN((Skills!T20*(1+Inputs!$B$34/100)),MAX(0,Inputs!$B$43-((R3019-1)*Skills!D20))))/Inputs!$B$43),IF(Inputs!$B$38="pvp",MIN((Skills!T20*(1+Inputs!$B$34/100)),15)/15,(Skills!T20*(1+Inputs!$B$34/100))/Skills!D20)))</f>
        <v/>
      </c>
    </row>
    <row r="3035">
      <c r="A3035" t="inlineStr">
        <is>
          <t>Actions Per Second</t>
        </is>
      </c>
      <c r="B3035">
        <f>1+MIN(150,150*(1-(1-(Inputs!$B$11+((C3021=TRUE)*(F3021-Calc!F22))+((C3022=TRUE)*(F3022-Calc!F23)))/150)*(1-B3034/150)))/100</f>
        <v/>
      </c>
    </row>
    <row r="3036">
      <c r="A3036" t="inlineStr">
        <is>
          <t>Skill + Buff Cast Rate</t>
        </is>
      </c>
      <c r="B3036">
        <f>IF(AND(Inputs!$B$38&lt;&gt;"pvp",Inputs!$B$43&gt;0),SUMPRODUCT((Skills!E2:E31=TRUE)*(C3001:C3030=TRUE)*R3001:R3030*Skills!F2:F31)/Inputs!$B$43,SUMPRODUCT((Skills!E2:E31=TRUE)*(C3001:C3030=TRUE)*Q3001:Q3030*Skills!F2:F31))</f>
        <v/>
      </c>
    </row>
    <row r="3037">
      <c r="A3037" t="inlineStr">
        <is>
          <t>Arrow Stream Casts Per Second</t>
        </is>
      </c>
      <c r="B3037">
        <f>MAX(0,B3035-B3036)</f>
        <v/>
      </c>
    </row>
    <row r="3038">
      <c r="A3038" t="inlineStr">
        <is>
          <t>Global Critical Damage Bonus % (Sharp Eyes + Concentration)</t>
        </is>
      </c>
      <c r="B3038">
        <f>(C3016=TRUE)*F3016*IF(AND(Inputs!$B$38&lt;&gt;"pvp",Inputs!$B$43&gt;0),(((R3016-1)*(Skills!T17*(1+Inputs!$B$34/100))+MIN((Skills!T17*(1+Inputs!$B$34/100)),MAX(0,Inputs!$B$43-((R3016-1)*Skills!D17))))/Inputs!$B$43),IF(Inputs!$B$38="pvp",MIN((Skills!T17*(1+Inputs!$B$34/100)),15)/15,(Skills!T17*(1+Inputs!$B$34/100))/Skills!D17))+(C3017=TRUE)*30</f>
        <v/>
      </c>
    </row>
    <row r="3039">
      <c r="A3039" t="inlineStr">
        <is>
          <t>Global Final Damage Bonus % (Mortal Blow)</t>
        </is>
      </c>
      <c r="B3039">
        <f>(C3018=TRUE)*F3018</f>
        <v/>
      </c>
    </row>
    <row r="3040">
      <c r="A3040" t="inlineStr">
        <is>
          <t>Buff-Casting Startup Delay (s, fixed-duration only)</t>
        </is>
      </c>
      <c r="B3040">
        <f>IF(AND(Inputs!$B$38&lt;&gt;"pvp",Inputs!$B$43&gt;0),SUMPRODUCT((Skills!T2:T31&gt;0)*(Skills!E2:E31=TRUE)*(C3001:C3030=TRUE))/B3035,0)</f>
        <v/>
      </c>
    </row>
    <row r="3041">
      <c r="A3041" t="inlineStr">
        <is>
          <t>Boss-Only Total DPS (this block's swept value)</t>
        </is>
      </c>
      <c r="B3041">
        <f>SUM(T3001:T3030)</f>
        <v/>
      </c>
    </row>
    <row r="3042">
      <c r="A3042" t="inlineStr">
        <is>
          <t>Normal-Only Total DPS (this block's swept value)</t>
        </is>
      </c>
      <c r="B3042">
        <f>SUM(V3001:V3030)</f>
        <v/>
      </c>
    </row>
    <row r="3043">
      <c r="A3043" s="6" t="inlineStr">
        <is>
          <t>TOTAL DPS</t>
        </is>
      </c>
      <c r="B3043" s="6">
        <f>SUM(O3001:O3030)</f>
        <v/>
      </c>
    </row>
    <row r="3046">
      <c r="A3046" s="6" t="inlineStr">
        <is>
          <t>Stat: CDR = 1.0s</t>
        </is>
      </c>
    </row>
    <row r="3047">
      <c r="A3047" s="5" t="inlineStr">
        <is>
          <t>Key</t>
        </is>
      </c>
      <c r="B3047" s="5" t="inlineStr">
        <is>
          <t>Name</t>
        </is>
      </c>
      <c r="C3047" s="5" t="inlineStr">
        <is>
          <t>Unlocked</t>
        </is>
      </c>
      <c r="D3047" s="5" t="inlineStr">
        <is>
          <t>InputLevel</t>
        </is>
      </c>
      <c r="E3047" s="5" t="inlineStr">
        <is>
          <t>Factor</t>
        </is>
      </c>
      <c r="F3047" s="5" t="inlineStr">
        <is>
          <t>CoefficientPercent</t>
        </is>
      </c>
      <c r="G3047" s="5" t="inlineStr">
        <is>
          <t>EffectiveHits</t>
        </is>
      </c>
      <c r="H3047" s="5" t="inlineStr">
        <is>
          <t>ProcProbability</t>
        </is>
      </c>
      <c r="I3047" s="5" t="inlineStr">
        <is>
          <t>MapleHeroMultiplier</t>
        </is>
      </c>
      <c r="J3047" s="5" t="inlineStr">
        <is>
          <t>BaseDamage</t>
        </is>
      </c>
      <c r="K3047" s="5" t="inlineStr">
        <is>
          <t>BaseHitDamage</t>
        </is>
      </c>
      <c r="L3047" s="5" t="inlineStr">
        <is>
          <t>NonCritAvg</t>
        </is>
      </c>
      <c r="M3047" s="5" t="inlineStr">
        <is>
          <t>CritAvg</t>
        </is>
      </c>
      <c r="N3047" s="5" t="inlineStr">
        <is>
          <t>ExpectedDamage(perHit)</t>
        </is>
      </c>
      <c r="O3047" s="5" t="inlineStr">
        <is>
          <t>DPS</t>
        </is>
      </c>
      <c r="P3047" s="5" t="inlineStr">
        <is>
          <t>% of Total</t>
        </is>
      </c>
      <c r="Q3047" s="5" t="inlineStr">
        <is>
          <t>InvCooldown</t>
        </is>
      </c>
      <c r="R3047" s="5" t="inlineStr">
        <is>
          <t>CastsInFight</t>
        </is>
      </c>
      <c r="S3047" s="5" t="inlineStr">
        <is>
          <t>HitRate(perSec)</t>
        </is>
      </c>
      <c r="U3047" t="inlineStr">
        <is>
          <t>helpers</t>
        </is>
      </c>
    </row>
    <row r="3048">
      <c r="A3048">
        <f>Skills!A2</f>
        <v/>
      </c>
      <c r="B3048">
        <f>Skills!B2</f>
        <v/>
      </c>
      <c r="C3048">
        <f>Inputs!$B$3&gt;=100</f>
        <v/>
      </c>
      <c r="D3048" t="inlineStr"/>
      <c r="E3048" t="inlineStr"/>
      <c r="F3048">
        <f>U3050+Skills!O2</f>
        <v/>
      </c>
      <c r="G3048">
        <f>Skills!G2*IF(Skills!H2&gt;0,Skills!I2/Skills!H2,1)</f>
        <v/>
      </c>
      <c r="H3048">
        <f>1-(1-Skills!J2/100)^Skills!K2</f>
        <v/>
      </c>
      <c r="I3048" t="inlineStr">
        <is>
          <t>1</t>
        </is>
      </c>
      <c r="J3048">
        <f>((Inputs!$B$6*(1+Inputs!$B$7/100))+(((Inputs!$B$12*(1+Inputs!$B$13/100))-(Inputs!$B$12*(1+Inputs!$B$13/100)))+0.25*(Inputs!$B$14-Inputs!$B$14))*(1+Inputs!$B$7/100))*(F3048/100)</f>
        <v/>
      </c>
      <c r="K3048">
        <f>J3048*(1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3048)</f>
        <v/>
      </c>
      <c r="L3048">
        <f>K3048*(MIN(Inputs!$B$22+((C3071=TRUE)*(F3071-Calc!F25)),(Inputs!$B$23+((C3076=TRUE)*(F3076-Calc!F30))+(IF(ArtifactsInput!$M$15,CHOOSE(ArtifactsInput!$N$15+1,25,30,35,40,45,50)/100*(Inputs!$B$11-Inputs!$B$11),0))))/100+(Inputs!$B$23+((C3076=TRUE)*(F3076-Calc!F30))+(IF(ArtifactsInput!$M$15,CHOOSE(ArtifactsInput!$N$15+1,25,30,35,40,45,50)/100*(Inputs!$B$11-Inputs!$B$11),0)))/100)/2</f>
        <v/>
      </c>
      <c r="M3048">
        <f>L3048*(1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8">
        <f>L3048*(1-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3048*(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8">
        <f>(1-Summary!$B$11)*T3048+Summary!$B$11*V3048</f>
        <v/>
      </c>
      <c r="P3048">
        <f>IF(B3090=0,0,O3048/B3090)</f>
        <v/>
      </c>
      <c r="Q3048" t="n">
        <v>0</v>
      </c>
      <c r="R3048" t="n">
        <v>0</v>
      </c>
      <c r="S3048">
        <f>IFERROR(O3048/N3048,0)</f>
        <v/>
      </c>
      <c r="T3048">
        <f>IF(C3048,(Skills!G2*N3048*B3084)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3048*(1-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3048*(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3048*(1-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3048*(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8">
        <f>MAX(0,(Inputs!$B$3-100)*3)+Inputs!$B$28+Inputs!$B$29</f>
        <v/>
      </c>
      <c r="V3048">
        <f>IF(C3048,(Skills!G2*N3048*B3084)*IF(Inputs!$B$38="pvp",1,(1+(Inputs!$B$21+Skills!Q2+(IF(ArtifactsInput!$M$33,CHOOSE(ArtifactsInput!$N$33+1,30,36,42,48,54,60),0))+(IF(AND(ArtifactsInput!$M$35,Inputs!$B$4&lt;&gt;"Chapter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9">
      <c r="A3049">
        <f>Skills!A3</f>
        <v/>
      </c>
      <c r="B3049">
        <f>Skills!B3</f>
        <v/>
      </c>
      <c r="C3049">
        <f>Inputs!$B$3&gt;=50</f>
        <v/>
      </c>
      <c r="D3049">
        <f>IF(Skills!C3=1,60+Inputs!$B$25+Inputs!$B$29,IF(Skills!C3=2,90+Inputs!$B$26+Inputs!$B$29,IF(Skills!C3=3,120+Inputs!$B$27+Inputs!$B$29,MAX(0,(Inputs!$B$3-100)*3)+Inputs!$B$28+Inputs!$B$29)))</f>
        <v/>
      </c>
      <c r="E3049">
        <f>INDEX(FactorTable!$B$2:$Y$301, MATCH(ROUND(MIN(300,MAX(1,D3049)),0), FactorTable!$A$2:$A$301,0), Skills!M3+1)</f>
        <v/>
      </c>
      <c r="F3049">
        <f>IF(Skills!N3=TRUE,(Skills!L3/10)*(E3049/1000),Skills!L3/10)+Skills!O3</f>
        <v/>
      </c>
      <c r="G3049">
        <f>Skills!G3*IF(Skills!H3&gt;0,Skills!I3/Skills!H3,1)</f>
        <v/>
      </c>
      <c r="H3049">
        <f>1-(1-Skills!J3/100)^Skills!K3</f>
        <v/>
      </c>
      <c r="I3049" t="inlineStr">
        <is>
          <t>1</t>
        </is>
      </c>
      <c r="J3049">
        <f>((Inputs!$B$6*(1+Inputs!$B$7/100))+(((Inputs!$B$12*(1+Inputs!$B$13/100))-(Inputs!$B$12*(1+Inputs!$B$13/100)))+0.25*(Inputs!$B$14-Inputs!$B$14))*(1+Inputs!$B$7/100))*(F3049/100)</f>
        <v/>
      </c>
      <c r="K3049">
        <f>J3049*(1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3050=TRUE,F3050,0)/100)*(1+(IF(Skills!A3="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3049)</f>
        <v/>
      </c>
      <c r="L3049">
        <f>K3049*(MIN(Inputs!$B$22+((C3071=TRUE)*(F3071-Calc!F25)),(Inputs!$B$23+((C3076=TRUE)*(F3076-Calc!F30))+(IF(ArtifactsInput!$M$15,CHOOSE(ArtifactsInput!$N$15+1,25,30,35,40,45,50)/100*(Inputs!$B$11-Inputs!$B$11),0))))/100+(Inputs!$B$23+((C3076=TRUE)*(F3076-Calc!F30))+(IF(ArtifactsInput!$M$15,CHOOSE(ArtifactsInput!$N$15+1,25,30,35,40,45,50)/100*(Inputs!$B$11-Inputs!$B$11),0)))/100)/2</f>
        <v/>
      </c>
      <c r="M3049">
        <f>L3049*(1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9">
        <f>L3049*(1-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3049*(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9">
        <f>(1-Summary!$B$11)*T3049+Summary!$B$11*V3049</f>
        <v/>
      </c>
      <c r="P3049">
        <f>IF(B3090=0,0,O3049/B3090)</f>
        <v/>
      </c>
      <c r="Q3049">
        <f>IFERROR(1/(IF(Inputs!$B$38="pvp",15,MAX(0.1,Skills!D3-IF(Skills!E3=TRUE,1.0,0)))*(1-IF(AND(ArtifactsInput!$M$27,Inputs!$B$4="Chapter Hunt"),CHOOSE(ArtifactsInput!$N$27+1,20,24,28,32,36,40),0)/100)),0)</f>
        <v/>
      </c>
      <c r="R3049">
        <f>IF(AND(Inputs!$B$38&lt;&gt;"pvp",Inputs!$B$43&gt;0),IF(MAX(0,Inputs!$B$43-B3087)&lt;=0,0,(INT(MAX(0,Inputs!$B$43-B3087)/(IF(Inputs!$B$38="pvp",15,MAX(0.1,Skills!D3-IF(Skills!E3=TRUE,1.0,0)))*(1-IF(AND(ArtifactsInput!$M$27,Inputs!$B$4="Chapter Hunt"),CHOOSE(ArtifactsInput!$N$27+1,20,24,28,32,36,40),0)/100)))+1)),0)</f>
        <v/>
      </c>
      <c r="S3049">
        <f>IFERROR(O3049/N3049,0)</f>
        <v/>
      </c>
      <c r="T3049">
        <f>IF(C3049,(H3049*N3049*IF(AND(Inputs!$B$38&lt;&gt;"pvp",Inputs!$B$43&gt;0),((Skills!G3*((R3049-1)*IF(Skills!H3&gt;0,Skills!I3/Skills!H3,1)+IF(Skills!H3&gt;0,MIN(Skills!I3,MAX(0,MAX(0,Inputs!$B$43-B3087)-((R3049-1)*(IF(Inputs!$B$38="pvp",15,MAX(0.1,Skills!D3-IF(Skills!E3=TRUE,1.0,0)))*(1-IF(AND(ArtifactsInput!$M$27,Inputs!$B$4="Chapter Hunt"),CHOOSE(ArtifactsInput!$N$27+1,20,24,28,32,36,40),0)/100)))))/Skills!H3,1)))/Inputs!$B$43),G3049*Q3049))*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3049*(1-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3049*(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3049*(1-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3049*(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9">
        <f>INDEX(FactorTable!$B$2:$Y$301, MATCH(ROUND(MIN(300,MAX(1,U3048)),0), FactorTable!$A$2:$A$301,0), 22)</f>
        <v/>
      </c>
      <c r="V3049">
        <f>IF(C3049,(H3049*N3049*IF(AND(Inputs!$B$38&lt;&gt;"pvp",Inputs!$B$43&gt;0),((Skills!G3*((R3049-1)*IF(Skills!H3&gt;0,Skills!I3/Skills!H3,1)+IF(Skills!H3&gt;0,MIN(Skills!I3,MAX(0,MAX(0,Inputs!$B$43-B3087)-((R3049-1)*(IF(Inputs!$B$38="pvp",15,MAX(0.1,Skills!D3-IF(Skills!E3=TRUE,1.0,0)))*(1-IF(AND(ArtifactsInput!$M$27,Inputs!$B$4="Chapter Hunt"),CHOOSE(ArtifactsInput!$N$27+1,20,24,28,32,36,40),0)/100)))))/Skills!H3,1)))/Inputs!$B$43),G3049*Q3049))*IF(Inputs!$B$38="pvp",1,(1+(Inputs!$B$21+Skills!Q3+(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0">
      <c r="A3050">
        <f>Skills!A4</f>
        <v/>
      </c>
      <c r="B3050">
        <f>Skills!B4</f>
        <v/>
      </c>
      <c r="C3050">
        <f>Inputs!$B$3&gt;=105</f>
        <v/>
      </c>
      <c r="D3050">
        <f>IF(Skills!C4=1,60+Inputs!$B$25+Inputs!$B$29,IF(Skills!C4=2,90+Inputs!$B$26+Inputs!$B$29,IF(Skills!C4=3,120+Inputs!$B$27+Inputs!$B$29,MAX(0,(Inputs!$B$3-100)*3)+Inputs!$B$28+Inputs!$B$29)))</f>
        <v/>
      </c>
      <c r="E3050">
        <f>INDEX(FactorTable!$B$2:$Y$301, MATCH(ROUND(MIN(300,MAX(1,D3050)),0), FactorTable!$A$2:$A$301,0), Skills!M4+1)</f>
        <v/>
      </c>
      <c r="F3050">
        <f>IF(Skills!N4=TRUE,(Skills!L4/10)*(E3050/1000),Skills!L4/10)+Skills!O4</f>
        <v/>
      </c>
      <c r="G3050" t="inlineStr"/>
      <c r="H3050" t="inlineStr"/>
      <c r="I3050" t="inlineStr">
        <is>
          <t>1</t>
        </is>
      </c>
      <c r="J3050" t="inlineStr"/>
      <c r="K3050" t="inlineStr"/>
      <c r="L3050" t="inlineStr"/>
      <c r="M3050" t="inlineStr"/>
      <c r="N3050" t="inlineStr"/>
      <c r="O3050" t="inlineStr"/>
      <c r="P3050" t="inlineStr"/>
      <c r="Q3050" t="inlineStr"/>
      <c r="R3050" t="inlineStr"/>
      <c r="S3050" t="inlineStr"/>
      <c r="T3050" t="inlineStr"/>
      <c r="U3050">
        <f>290*U3049/1000</f>
        <v/>
      </c>
      <c r="V3050" t="inlineStr"/>
    </row>
    <row r="3051">
      <c r="A3051">
        <f>Skills!A5</f>
        <v/>
      </c>
      <c r="B3051">
        <f>Skills!B5</f>
        <v/>
      </c>
      <c r="C3051">
        <f>Inputs!$B$3&gt;=35</f>
        <v/>
      </c>
      <c r="D3051">
        <f>IF(Skills!C5=1,60+Inputs!$B$25+Inputs!$B$29,IF(Skills!C5=2,90+Inputs!$B$26+Inputs!$B$29,IF(Skills!C5=3,120+Inputs!$B$27+Inputs!$B$29,MAX(0,(Inputs!$B$3-100)*3)+Inputs!$B$28+Inputs!$B$29)))</f>
        <v/>
      </c>
      <c r="E3051">
        <f>INDEX(FactorTable!$B$2:$Y$301, MATCH(ROUND(MIN(300,MAX(1,D3051)),0), FactorTable!$A$2:$A$301,0), Skills!M5+1)</f>
        <v/>
      </c>
      <c r="F3051">
        <f>IF(Skills!N5=TRUE,(Skills!L5/10)*(E3051/1000),Skills!L5/10)+Skills!O5</f>
        <v/>
      </c>
      <c r="G3051">
        <f>Skills!G5*IF(Skills!H5&gt;0,Skills!I5/Skills!H5,1)</f>
        <v/>
      </c>
      <c r="H3051">
        <f>1-(1-Skills!J5/100)^Skills!K5</f>
        <v/>
      </c>
      <c r="I3051" t="inlineStr">
        <is>
          <t>1</t>
        </is>
      </c>
      <c r="J3051">
        <f>((Inputs!$B$6*(1+Inputs!$B$7/100))+(((Inputs!$B$12*(1+Inputs!$B$13/100))-(Inputs!$B$12*(1+Inputs!$B$13/100)))+0.25*(Inputs!$B$14-Inputs!$B$14))*(1+Inputs!$B$7/100))*(F3051/100)</f>
        <v/>
      </c>
      <c r="K3051">
        <f>J3051*(1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3057=TRUE,F3057,0)/100)*(1+(IF(Skills!A5="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3051)</f>
        <v/>
      </c>
      <c r="L3051">
        <f>K3051*(MIN(Inputs!$B$22+((C3071=TRUE)*(F3071-Calc!F25)),(Inputs!$B$23+((C3076=TRUE)*(F3076-Calc!F30))+(IF(ArtifactsInput!$M$15,CHOOSE(ArtifactsInput!$N$15+1,25,30,35,40,45,50)/100*(Inputs!$B$11-Inputs!$B$11),0))))/100+(Inputs!$B$23+((C3076=TRUE)*(F3076-Calc!F30))+(IF(ArtifactsInput!$M$15,CHOOSE(ArtifactsInput!$N$15+1,25,30,35,40,45,50)/100*(Inputs!$B$11-Inputs!$B$11),0)))/100)/2</f>
        <v/>
      </c>
      <c r="M3051">
        <f>L3051*(1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1">
        <f>L3051*(1-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1">
        <f>(1-Summary!$B$11)*T3051+Summary!$B$11*V3051</f>
        <v/>
      </c>
      <c r="P3051">
        <f>IF(B3090=0,0,O3051/B3090)</f>
        <v/>
      </c>
      <c r="Q3051">
        <f>IFERROR(1/(IF(Inputs!$B$38="pvp",15,MAX(0.1,Skills!D5-IF(Skills!E5=TRUE,1.0,0)))*(1-IF(AND(ArtifactsInput!$M$27,Inputs!$B$4="Chapter Hunt"),CHOOSE(ArtifactsInput!$N$27+1,20,24,28,32,36,40),0)/100)),0)</f>
        <v/>
      </c>
      <c r="R3051">
        <f>IF(AND(Inputs!$B$38&lt;&gt;"pvp",Inputs!$B$43&gt;0),IF(MAX(0,Inputs!$B$43-B3087)&lt;=0,0,(INT(MAX(0,Inputs!$B$43-B3087)/(IF(Inputs!$B$38="pvp",15,MAX(0.1,Skills!D5-IF(Skills!E5=TRUE,1.0,0)))*(1-IF(AND(ArtifactsInput!$M$27,Inputs!$B$4="Chapter Hunt"),CHOOSE(ArtifactsInput!$N$27+1,20,24,28,32,36,40),0)/100)))+1)),0)</f>
        <v/>
      </c>
      <c r="S3051">
        <f>IFERROR(O3051/N3051,0)</f>
        <v/>
      </c>
      <c r="T3051">
        <f>IF(C3051,(H3051*N3051*IF(AND(Inputs!$B$38&lt;&gt;"pvp",Inputs!$B$43&gt;0),((Skills!G5*((R3051-1)*IF(Skills!H5&gt;0,Skills!I5/Skills!H5,1)+IF(Skills!H5&gt;0,MIN(Skills!I5,MAX(0,MAX(0,Inputs!$B$43-B3087)-((R3051-1)*(IF(Inputs!$B$38="pvp",15,MAX(0.1,Skills!D5-IF(Skills!E5=TRUE,1.0,0)))*(1-IF(AND(ArtifactsInput!$M$27,Inputs!$B$4="Chapter Hunt"),CHOOSE(ArtifactsInput!$N$27+1,20,24,28,32,36,40),0)/100)))))/Skills!H5,1)))/Inputs!$B$43),G3051*Q3051)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3051*(1-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3051*(1-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1">
        <f>IF(C3051,(H3051*N3051*IF(AND(Inputs!$B$38&lt;&gt;"pvp",Inputs!$B$43&gt;0),((Skills!G5*((R3051-1)*IF(Skills!H5&gt;0,Skills!I5/Skills!H5,1)+IF(Skills!H5&gt;0,MIN(Skills!I5,MAX(0,MAX(0,Inputs!$B$43-B3087)-((R3051-1)*(IF(Inputs!$B$38="pvp",15,MAX(0.1,Skills!D5-IF(Skills!E5=TRUE,1.0,0)))*(1-IF(AND(ArtifactsInput!$M$27,Inputs!$B$4="Chapter Hunt"),CHOOSE(ArtifactsInput!$N$27+1,20,24,28,32,36,40),0)/100)))))/Skills!H5,1)))/Inputs!$B$43),G3051*Q3051))*IF(Inputs!$B$38="pvp",1,(1+(Inputs!$B$21+Skills!Q5+(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2">
      <c r="A3052">
        <f>Skills!A6</f>
        <v/>
      </c>
      <c r="B3052">
        <f>Skills!B6</f>
        <v/>
      </c>
      <c r="C3052">
        <f>Inputs!$B$3&gt;=40</f>
        <v/>
      </c>
      <c r="D3052">
        <f>IF(Skills!C6=1,60+Inputs!$B$25+Inputs!$B$29,IF(Skills!C6=2,90+Inputs!$B$26+Inputs!$B$29,IF(Skills!C6=3,120+Inputs!$B$27+Inputs!$B$29,MAX(0,(Inputs!$B$3-100)*3)+Inputs!$B$28+Inputs!$B$29)))</f>
        <v/>
      </c>
      <c r="E3052">
        <f>INDEX(FactorTable!$B$2:$Y$301, MATCH(ROUND(MIN(300,MAX(1,D3052)),0), FactorTable!$A$2:$A$301,0), Skills!M6+1)</f>
        <v/>
      </c>
      <c r="F3052">
        <f>IF(Skills!N6=TRUE,(Skills!L6/10)*(E3052/1000),Skills!L6/10)+Skills!O6</f>
        <v/>
      </c>
      <c r="G3052">
        <f>Skills!G6*IF(Skills!H6&gt;0,Skills!I6/Skills!H6,1)</f>
        <v/>
      </c>
      <c r="H3052">
        <f>1-(1-Skills!J6/100)^Skills!K6</f>
        <v/>
      </c>
      <c r="I3052" t="inlineStr">
        <is>
          <t>1</t>
        </is>
      </c>
      <c r="J3052">
        <f>((Inputs!$B$6*(1+Inputs!$B$7/100))+(((Inputs!$B$12*(1+Inputs!$B$13/100))-(Inputs!$B$12*(1+Inputs!$B$13/100)))+0.25*(Inputs!$B$14-Inputs!$B$14))*(1+Inputs!$B$7/100))*(F3052/100)</f>
        <v/>
      </c>
      <c r="K3052">
        <f>J3052*(1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3053=TRUE,F3053,0)/100)*(1+(IF(Skills!A6="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3052)</f>
        <v/>
      </c>
      <c r="L3052">
        <f>K3052*(MIN(Inputs!$B$22+((C3071=TRUE)*(F3071-Calc!F25)),(Inputs!$B$23+((C3076=TRUE)*(F3076-Calc!F30))+(IF(ArtifactsInput!$M$15,CHOOSE(ArtifactsInput!$N$15+1,25,30,35,40,45,50)/100*(Inputs!$B$11-Inputs!$B$11),0))))/100+(Inputs!$B$23+((C3076=TRUE)*(F3076-Calc!F30))+(IF(ArtifactsInput!$M$15,CHOOSE(ArtifactsInput!$N$15+1,25,30,35,40,45,50)/100*(Inputs!$B$11-Inputs!$B$11),0)))/100)/2</f>
        <v/>
      </c>
      <c r="M3052">
        <f>L3052*(1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2">
        <f>L3052*(1-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3052*(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2">
        <f>(1-Summary!$B$11)*T3052+Summary!$B$11*V3052</f>
        <v/>
      </c>
      <c r="P3052">
        <f>IF(B3090=0,0,O3052/B3090)</f>
        <v/>
      </c>
      <c r="Q3052">
        <f>IFERROR(1/(IF(Inputs!$B$38="pvp",15,MAX(0.1,Skills!D6-IF(Skills!E6=TRUE,1.0,0)))*(1-IF(AND(ArtifactsInput!$M$27,Inputs!$B$4="Chapter Hunt"),CHOOSE(ArtifactsInput!$N$27+1,20,24,28,32,36,40),0)/100)),0)</f>
        <v/>
      </c>
      <c r="R3052">
        <f>IF(AND(Inputs!$B$38&lt;&gt;"pvp",Inputs!$B$43&gt;0),IF(MAX(0,Inputs!$B$43-B3087)&lt;=0,0,(INT(MAX(0,Inputs!$B$43-B3087)/(IF(Inputs!$B$38="pvp",15,MAX(0.1,Skills!D6-IF(Skills!E6=TRUE,1.0,0)))*(1-IF(AND(ArtifactsInput!$M$27,Inputs!$B$4="Chapter Hunt"),CHOOSE(ArtifactsInput!$N$27+1,20,24,28,32,36,40),0)/100)))+1)),0)</f>
        <v/>
      </c>
      <c r="S3052">
        <f>IFERROR(O3052/N3052,0)</f>
        <v/>
      </c>
      <c r="T3052">
        <f>IF(C3052,(H3052*N3052*IF(AND(Inputs!$B$38&lt;&gt;"pvp",Inputs!$B$43&gt;0),((Skills!G6*((R3052-1)*IF(Skills!H6&gt;0,Skills!I6/Skills!H6,1)+IF(Skills!H6&gt;0,MIN(Skills!I6,MAX(0,MAX(0,Inputs!$B$43-B3087)-((R3052-1)*(IF(Inputs!$B$38="pvp",15,MAX(0.1,Skills!D6-IF(Skills!E6=TRUE,1.0,0)))*(1-IF(AND(ArtifactsInput!$M$27,Inputs!$B$4="Chapter Hunt"),CHOOSE(ArtifactsInput!$N$27+1,20,24,28,32,36,40),0)/100)))))/Skills!H6,1)))/Inputs!$B$43),G3052*Q3052)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3052*(1-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3052*(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3052*(1-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3052*(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2">
        <f>IF(C3052,(H3052*N3052*IF(AND(Inputs!$B$38&lt;&gt;"pvp",Inputs!$B$43&gt;0),((Skills!G6*((R3052-1)*IF(Skills!H6&gt;0,Skills!I6/Skills!H6,1)+IF(Skills!H6&gt;0,MIN(Skills!I6,MAX(0,MAX(0,Inputs!$B$43-B3087)-((R3052-1)*(IF(Inputs!$B$38="pvp",15,MAX(0.1,Skills!D6-IF(Skills!E6=TRUE,1.0,0)))*(1-IF(AND(ArtifactsInput!$M$27,Inputs!$B$4="Chapter Hunt"),CHOOSE(ArtifactsInput!$N$27+1,20,24,28,32,36,40),0)/100)))))/Skills!H6,1)))/Inputs!$B$43),G3052*Q3052))*IF(Inputs!$B$38="pvp",1,(1+(Inputs!$B$21+Skills!Q6+(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3">
      <c r="A3053">
        <f>Skills!A7</f>
        <v/>
      </c>
      <c r="B3053">
        <f>Skills!B7</f>
        <v/>
      </c>
      <c r="C3053">
        <f>Inputs!$B$3&gt;=107</f>
        <v/>
      </c>
      <c r="D3053">
        <f>IF(Skills!C7=1,60+Inputs!$B$25+Inputs!$B$29,IF(Skills!C7=2,90+Inputs!$B$26+Inputs!$B$29,IF(Skills!C7=3,120+Inputs!$B$27+Inputs!$B$29,MAX(0,(Inputs!$B$3-100)*3)+Inputs!$B$28+Inputs!$B$29)))</f>
        <v/>
      </c>
      <c r="E3053">
        <f>INDEX(FactorTable!$B$2:$Y$301, MATCH(ROUND(MIN(300,MAX(1,D3053)),0), FactorTable!$A$2:$A$301,0), Skills!M7+1)</f>
        <v/>
      </c>
      <c r="F3053">
        <f>IF(Skills!N7=TRUE,(Skills!L7/10)*(E3053/1000),Skills!L7/10)+Skills!O7</f>
        <v/>
      </c>
      <c r="G3053" t="inlineStr"/>
      <c r="H3053" t="inlineStr"/>
      <c r="I3053" t="inlineStr">
        <is>
          <t>1</t>
        </is>
      </c>
      <c r="J3053" t="inlineStr"/>
      <c r="K3053" t="inlineStr"/>
      <c r="L3053" t="inlineStr"/>
      <c r="M3053" t="inlineStr"/>
      <c r="N3053" t="inlineStr"/>
      <c r="O3053" t="inlineStr"/>
      <c r="P3053" t="inlineStr"/>
      <c r="Q3053" t="inlineStr"/>
      <c r="R3053" t="inlineStr"/>
      <c r="S3053" t="inlineStr"/>
      <c r="T3053" t="inlineStr"/>
      <c r="V3053" t="inlineStr"/>
    </row>
    <row r="3054">
      <c r="A3054">
        <f>Skills!A8</f>
        <v/>
      </c>
      <c r="B3054">
        <f>Skills!B8</f>
        <v/>
      </c>
      <c r="C3054">
        <f>Inputs!$B$3&gt;=69</f>
        <v/>
      </c>
      <c r="D3054">
        <f>IF(Skills!C8=1,60+Inputs!$B$25+Inputs!$B$29,IF(Skills!C8=2,90+Inputs!$B$26+Inputs!$B$29,IF(Skills!C8=3,120+Inputs!$B$27+Inputs!$B$29,MAX(0,(Inputs!$B$3-100)*3)+Inputs!$B$28+Inputs!$B$29)))</f>
        <v/>
      </c>
      <c r="E3054">
        <f>INDEX(FactorTable!$B$2:$Y$301, MATCH(ROUND(MIN(300,MAX(1,D3054)),0), FactorTable!$A$2:$A$301,0), Skills!M8+1)</f>
        <v/>
      </c>
      <c r="F3054">
        <f>IF(Skills!N8=TRUE,(Skills!L8/10)*(E3054/1000),Skills!L8/10)+Skills!O8</f>
        <v/>
      </c>
      <c r="G3054">
        <f>Skills!G8*IF(Skills!H8&gt;0,Skills!I8/Skills!H8,1)</f>
        <v/>
      </c>
      <c r="H3054">
        <f>1-(1-Skills!J8/100)^Skills!K8</f>
        <v/>
      </c>
      <c r="I3054" t="inlineStr">
        <is>
          <t>1</t>
        </is>
      </c>
      <c r="J3054">
        <f>((Inputs!$B$6*(1+Inputs!$B$7/100))+(((Inputs!$B$12*(1+Inputs!$B$13/100))-(Inputs!$B$12*(1+Inputs!$B$13/100)))+0.25*(Inputs!$B$14-Inputs!$B$14))*(1+Inputs!$B$7/100))*(F3054/100)</f>
        <v/>
      </c>
      <c r="K3054">
        <f>J3054*(1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3057=TRUE,F3057,0)/100)*(1+(IF(Skills!A8="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3054)</f>
        <v/>
      </c>
      <c r="L3054">
        <f>K3054*(MIN(Inputs!$B$22+((C3071=TRUE)*(F3071-Calc!F25)),(Inputs!$B$23+((C3076=TRUE)*(F3076-Calc!F30))+(IF(ArtifactsInput!$M$15,CHOOSE(ArtifactsInput!$N$15+1,25,30,35,40,45,50)/100*(Inputs!$B$11-Inputs!$B$11),0))))/100+(Inputs!$B$23+((C3076=TRUE)*(F3076-Calc!F30))+(IF(ArtifactsInput!$M$15,CHOOSE(ArtifactsInput!$N$15+1,25,30,35,40,45,50)/100*(Inputs!$B$11-Inputs!$B$11),0)))/100)/2</f>
        <v/>
      </c>
      <c r="M3054">
        <f>L3054*(1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4">
        <f>L3054*(1-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3054*(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4">
        <f>(1-Summary!$B$11)*T3054+Summary!$B$11*V3054</f>
        <v/>
      </c>
      <c r="P3054">
        <f>IF(B3090=0,0,O3054/B3090)</f>
        <v/>
      </c>
      <c r="Q3054">
        <f>IFERROR(1/(IF(Inputs!$B$38="pvp",15,MAX(0.1,Skills!D8-IF(Skills!E8=TRUE,1.0,0)))*(1-IF(AND(ArtifactsInput!$M$27,Inputs!$B$4="Chapter Hunt"),CHOOSE(ArtifactsInput!$N$27+1,20,24,28,32,36,40),0)/100)),0)</f>
        <v/>
      </c>
      <c r="R3054">
        <f>IF(AND(Inputs!$B$38&lt;&gt;"pvp",Inputs!$B$43&gt;0),IF(MAX(0,Inputs!$B$43-B3087)&lt;=0,0,(INT(MAX(0,Inputs!$B$43-B3087)/(IF(Inputs!$B$38="pvp",15,MAX(0.1,Skills!D8-IF(Skills!E8=TRUE,1.0,0)))*(1-IF(AND(ArtifactsInput!$M$27,Inputs!$B$4="Chapter Hunt"),CHOOSE(ArtifactsInput!$N$27+1,20,24,28,32,36,40),0)/100)))+1)),0)</f>
        <v/>
      </c>
      <c r="S3054">
        <f>IFERROR(O3054/N3054,0)</f>
        <v/>
      </c>
      <c r="T3054">
        <f>IF(C3054,(H3054*N3054*IF(AND(Inputs!$B$38&lt;&gt;"pvp",Inputs!$B$43&gt;0),((Skills!G8*((R3054-1)*IF(Skills!H8&gt;0,Skills!I8/Skills!H8,1)+IF(Skills!H8&gt;0,MIN(Skills!I8,MAX(0,MAX(0,Inputs!$B$43-B3087)-((R3054-1)*(IF(Inputs!$B$38="pvp",15,MAX(0.1,Skills!D8-IF(Skills!E8=TRUE,1.0,0)))*(1-IF(AND(ArtifactsInput!$M$27,Inputs!$B$4="Chapter Hunt"),CHOOSE(ArtifactsInput!$N$27+1,20,24,28,32,36,40),0)/100)))))/Skills!H8,1)))/Inputs!$B$43),G3054*Q3054)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3054*(1-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3054*(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3054*(1-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3054*(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4">
        <f>IF(C3054,(H3054*N3054*IF(AND(Inputs!$B$38&lt;&gt;"pvp",Inputs!$B$43&gt;0),((Skills!G8*((R3054-1)*IF(Skills!H8&gt;0,Skills!I8/Skills!H8,1)+IF(Skills!H8&gt;0,MIN(Skills!I8,MAX(0,MAX(0,Inputs!$B$43-B3087)-((R3054-1)*(IF(Inputs!$B$38="pvp",15,MAX(0.1,Skills!D8-IF(Skills!E8=TRUE,1.0,0)))*(1-IF(AND(ArtifactsInput!$M$27,Inputs!$B$4="Chapter Hunt"),CHOOSE(ArtifactsInput!$N$27+1,20,24,28,32,36,40),0)/100)))))/Skills!H8,1)))/Inputs!$B$43),G3054*Q3054))*IF(Inputs!$B$38="pvp",1,(1+(Inputs!$B$21+Skills!Q8+(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5">
      <c r="A3055">
        <f>Skills!A9</f>
        <v/>
      </c>
      <c r="B3055">
        <f>Skills!B9</f>
        <v/>
      </c>
      <c r="C3055">
        <f>Inputs!$B$3&gt;=63</f>
        <v/>
      </c>
      <c r="D3055">
        <f>IF(Skills!C9=1,60+Inputs!$B$25+Inputs!$B$29,IF(Skills!C9=2,90+Inputs!$B$26+Inputs!$B$29,IF(Skills!C9=3,120+Inputs!$B$27+Inputs!$B$29,MAX(0,(Inputs!$B$3-100)*3)+Inputs!$B$28+Inputs!$B$29)))</f>
        <v/>
      </c>
      <c r="E3055">
        <f>INDEX(FactorTable!$B$2:$Y$301, MATCH(ROUND(MIN(300,MAX(1,D3055)),0), FactorTable!$A$2:$A$301,0), Skills!M9+1)</f>
        <v/>
      </c>
      <c r="F3055">
        <f>IF(Skills!N9=TRUE,(Skills!L9/10)*(E3055/1000),Skills!L9/10)+Skills!O9</f>
        <v/>
      </c>
      <c r="G3055">
        <f>Skills!G9*IF(Skills!H9&gt;0,Skills!I9/Skills!H9,1)</f>
        <v/>
      </c>
      <c r="H3055">
        <f>1-(1-Skills!J9/100)^Skills!K9</f>
        <v/>
      </c>
      <c r="I3055" t="inlineStr">
        <is>
          <t>1</t>
        </is>
      </c>
      <c r="J3055">
        <f>((Inputs!$B$6*(1+Inputs!$B$7/100))+(((Inputs!$B$12*(1+Inputs!$B$13/100))-(Inputs!$B$12*(1+Inputs!$B$13/100)))+0.25*(Inputs!$B$14-Inputs!$B$14))*(1+Inputs!$B$7/100))*(F3055/100)</f>
        <v/>
      </c>
      <c r="K3055">
        <f>J3055*(1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3057=TRUE,F3057,0)/100)*(1+(IF(Skills!A9="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3055)</f>
        <v/>
      </c>
      <c r="L3055">
        <f>K3055*(MIN(Inputs!$B$22+((C3071=TRUE)*(F3071-Calc!F25)),(Inputs!$B$23+((C3076=TRUE)*(F3076-Calc!F30))+(IF(ArtifactsInput!$M$15,CHOOSE(ArtifactsInput!$N$15+1,25,30,35,40,45,50)/100*(Inputs!$B$11-Inputs!$B$11),0))))/100+(Inputs!$B$23+((C3076=TRUE)*(F3076-Calc!F30))+(IF(ArtifactsInput!$M$15,CHOOSE(ArtifactsInput!$N$15+1,25,30,35,40,45,50)/100*(Inputs!$B$11-Inputs!$B$11),0)))/100)/2</f>
        <v/>
      </c>
      <c r="M3055">
        <f>L3055*(1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5">
        <f>L3055*(1-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3055*(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5">
        <f>(1-Summary!$B$11)*T3055+Summary!$B$11*V3055</f>
        <v/>
      </c>
      <c r="P3055">
        <f>IF(B3090=0,0,O3055/B3090)</f>
        <v/>
      </c>
      <c r="Q3055">
        <f>IFERROR(1/(IF(Inputs!$B$38="pvp",15,MAX(0.1,Skills!D9-IF(Skills!E9=TRUE,1.0,0)))*(1-IF(AND(ArtifactsInput!$M$27,Inputs!$B$4="Chapter Hunt"),CHOOSE(ArtifactsInput!$N$27+1,20,24,28,32,36,40),0)/100)),0)</f>
        <v/>
      </c>
      <c r="R3055">
        <f>IF(AND(Inputs!$B$38&lt;&gt;"pvp",Inputs!$B$43&gt;0),IF(MAX(0,Inputs!$B$43-B3087)&lt;=0,0,(INT(MAX(0,Inputs!$B$43-B3087)/(IF(Inputs!$B$38="pvp",15,MAX(0.1,Skills!D9-IF(Skills!E9=TRUE,1.0,0)))*(1-IF(AND(ArtifactsInput!$M$27,Inputs!$B$4="Chapter Hunt"),CHOOSE(ArtifactsInput!$N$27+1,20,24,28,32,36,40),0)/100)))+1)),0)</f>
        <v/>
      </c>
      <c r="S3055">
        <f>IFERROR(O3055/N3055,0)</f>
        <v/>
      </c>
      <c r="T3055">
        <f>IF(C3055,(H3055*N3055*IF(AND(Inputs!$B$38&lt;&gt;"pvp",Inputs!$B$43&gt;0),((Skills!G9*((R3055-1)*IF(Skills!H9&gt;0,Skills!I9/Skills!H9,1)+IF(Skills!H9&gt;0,MIN(Skills!I9,MAX(0,MAX(0,Inputs!$B$43-B3087)-((R3055-1)*(IF(Inputs!$B$38="pvp",15,MAX(0.1,Skills!D9-IF(Skills!E9=TRUE,1.0,0)))*(1-IF(AND(ArtifactsInput!$M$27,Inputs!$B$4="Chapter Hunt"),CHOOSE(ArtifactsInput!$N$27+1,20,24,28,32,36,40),0)/100)))))/Skills!H9,1)))/Inputs!$B$43),G3055*Q3055)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3055*(1-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3055*(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3055*(1-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3055*(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5">
        <f>IF(C3055,(H3055*N3055*IF(AND(Inputs!$B$38&lt;&gt;"pvp",Inputs!$B$43&gt;0),((Skills!G9*((R3055-1)*IF(Skills!H9&gt;0,Skills!I9/Skills!H9,1)+IF(Skills!H9&gt;0,MIN(Skills!I9,MAX(0,MAX(0,Inputs!$B$43-B3087)-((R3055-1)*(IF(Inputs!$B$38="pvp",15,MAX(0.1,Skills!D9-IF(Skills!E9=TRUE,1.0,0)))*(1-IF(AND(ArtifactsInput!$M$27,Inputs!$B$4="Chapter Hunt"),CHOOSE(ArtifactsInput!$N$27+1,20,24,28,32,36,40),0)/100)))))/Skills!H9,1)))/Inputs!$B$43),G3055*Q3055))*IF(Inputs!$B$38="pvp",1,(1+(Inputs!$B$21+Skills!Q9+(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6">
      <c r="A3056">
        <f>Skills!A10</f>
        <v/>
      </c>
      <c r="B3056">
        <f>Skills!B10</f>
        <v/>
      </c>
      <c r="C3056">
        <f>Inputs!$B$3&gt;=103</f>
        <v/>
      </c>
      <c r="D3056">
        <f>IF(Skills!C10=1,60+Inputs!$B$25+Inputs!$B$29,IF(Skills!C10=2,90+Inputs!$B$26+Inputs!$B$29,IF(Skills!C10=3,120+Inputs!$B$27+Inputs!$B$29,MAX(0,(Inputs!$B$3-100)*3)+Inputs!$B$28+Inputs!$B$29)))</f>
        <v/>
      </c>
      <c r="E3056">
        <f>INDEX(FactorTable!$B$2:$Y$301, MATCH(ROUND(MIN(300,MAX(1,D3056)),0), FactorTable!$A$2:$A$301,0), Skills!M10+1)</f>
        <v/>
      </c>
      <c r="F3056">
        <f>IF(Skills!N10=TRUE,(Skills!L10/10)*(E3056/1000),Skills!L10/10)+Skills!O10</f>
        <v/>
      </c>
      <c r="G3056">
        <f>Skills!G10*IF(Skills!H10&gt;0,Skills!I10/Skills!H10,1)</f>
        <v/>
      </c>
      <c r="H3056">
        <f>1-(1-Skills!J10/100)^Skills!K10</f>
        <v/>
      </c>
      <c r="I3056" t="inlineStr">
        <is>
          <t>1</t>
        </is>
      </c>
      <c r="J3056">
        <f>((Inputs!$B$6*(1+Inputs!$B$7/100))+(((Inputs!$B$12*(1+Inputs!$B$13/100))-(Inputs!$B$12*(1+Inputs!$B$13/100)))+0.25*(Inputs!$B$14-Inputs!$B$14))*(1+Inputs!$B$7/100))*(F3056/100)</f>
        <v/>
      </c>
      <c r="K3056">
        <f>J3056*(1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3056)</f>
        <v/>
      </c>
      <c r="L3056">
        <f>K3056*(MIN(Inputs!$B$22+((C3071=TRUE)*(F3071-Calc!F25)),(Inputs!$B$23+((C3076=TRUE)*(F3076-Calc!F30))+(IF(ArtifactsInput!$M$15,CHOOSE(ArtifactsInput!$N$15+1,25,30,35,40,45,50)/100*(Inputs!$B$11-Inputs!$B$11),0))))/100+(Inputs!$B$23+((C3076=TRUE)*(F3076-Calc!F30))+(IF(ArtifactsInput!$M$15,CHOOSE(ArtifactsInput!$N$15+1,25,30,35,40,45,50)/100*(Inputs!$B$11-Inputs!$B$11),0)))/100)/2</f>
        <v/>
      </c>
      <c r="M3056">
        <f>L3056*(1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6">
        <f>L3056*(1-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3056*(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6">
        <f>(1-Summary!$B$11)*T3056+Summary!$B$11*V3056</f>
        <v/>
      </c>
      <c r="P3056">
        <f>IF(B3090=0,0,O3056/B3090)</f>
        <v/>
      </c>
      <c r="Q3056">
        <f>IFERROR(1/(IF(Inputs!$B$38="pvp",15,MAX(0.1,Skills!D10-IF(Skills!E10=TRUE,1.0,0)))*(1-IF(AND(ArtifactsInput!$M$27,Inputs!$B$4="Chapter Hunt"),CHOOSE(ArtifactsInput!$N$27+1,20,24,28,32,36,40),0)/100)),0)</f>
        <v/>
      </c>
      <c r="R3056">
        <f>IF(AND(Inputs!$B$38&lt;&gt;"pvp",Inputs!$B$43&gt;0),IF(MAX(0,Inputs!$B$43-B3087)&lt;=0,0,(INT(MAX(0,Inputs!$B$43-B3087)/(IF(Inputs!$B$38="pvp",15,MAX(0.1,Skills!D10-IF(Skills!E10=TRUE,1.0,0)))*(1-IF(AND(ArtifactsInput!$M$27,Inputs!$B$4="Chapter Hunt"),CHOOSE(ArtifactsInput!$N$27+1,20,24,28,32,36,40),0)/100)))+1)),0)</f>
        <v/>
      </c>
      <c r="S3056">
        <f>IFERROR(O3056/N3056,0)</f>
        <v/>
      </c>
      <c r="T3056">
        <f>IF(C3056,(H3056*N3056*IF(AND(Inputs!$B$38&lt;&gt;"pvp",Inputs!$B$43&gt;0),((Skills!G10*((R3056-1)*IF(Skills!H10&gt;0,Skills!I10/Skills!H10,1)+IF(Skills!H10&gt;0,MIN(Skills!I10,MAX(0,MAX(0,Inputs!$B$43-B3087)-((R3056-1)*(IF(Inputs!$B$38="pvp",15,MAX(0.1,Skills!D10-IF(Skills!E10=TRUE,1.0,0)))*(1-IF(AND(ArtifactsInput!$M$27,Inputs!$B$4="Chapter Hunt"),CHOOSE(ArtifactsInput!$N$27+1,20,24,28,32,36,40),0)/100)))))/Skills!H10,1)))/Inputs!$B$43),G3056*Q3056)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3056*(1-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3056*(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3056*(1-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3056*(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6">
        <f>IF(C3056,(H3056*N3056*IF(AND(Inputs!$B$38&lt;&gt;"pvp",Inputs!$B$43&gt;0),((Skills!G10*((R3056-1)*IF(Skills!H10&gt;0,Skills!I10/Skills!H10,1)+IF(Skills!H10&gt;0,MIN(Skills!I10,MAX(0,MAX(0,Inputs!$B$43-B3087)-((R3056-1)*(IF(Inputs!$B$38="pvp",15,MAX(0.1,Skills!D10-IF(Skills!E10=TRUE,1.0,0)))*(1-IF(AND(ArtifactsInput!$M$27,Inputs!$B$4="Chapter Hunt"),CHOOSE(ArtifactsInput!$N$27+1,20,24,28,32,36,40),0)/100)))))/Skills!H10,1)))/Inputs!$B$43),G3056*Q3056))*IF(Inputs!$B$38="pvp",1,(1+(Inputs!$B$21+Skills!Q10+(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7">
      <c r="A3057">
        <f>Skills!A11</f>
        <v/>
      </c>
      <c r="B3057">
        <f>Skills!B11</f>
        <v/>
      </c>
      <c r="C3057">
        <f>Inputs!$B$3&gt;=100</f>
        <v/>
      </c>
      <c r="D3057">
        <f>IF(Skills!C11=1,60+Inputs!$B$25+Inputs!$B$29,IF(Skills!C11=2,90+Inputs!$B$26+Inputs!$B$29,IF(Skills!C11=3,120+Inputs!$B$27+Inputs!$B$29,MAX(0,(Inputs!$B$3-100)*3)+Inputs!$B$28+Inputs!$B$29)))</f>
        <v/>
      </c>
      <c r="E3057">
        <f>INDEX(FactorTable!$B$2:$Y$301, MATCH(ROUND(MIN(300,MAX(1,D3057)),0), FactorTable!$A$2:$A$301,0), Skills!M11+1)</f>
        <v/>
      </c>
      <c r="F3057">
        <f>IF(Skills!N11=TRUE,(Skills!L11/10)*(E3057/1000),Skills!L11/10)+Skills!O11</f>
        <v/>
      </c>
      <c r="G3057" t="inlineStr"/>
      <c r="H3057" t="inlineStr"/>
      <c r="I3057" t="inlineStr">
        <is>
          <t>1</t>
        </is>
      </c>
      <c r="J3057" t="inlineStr"/>
      <c r="K3057" t="inlineStr"/>
      <c r="L3057" t="inlineStr"/>
      <c r="M3057" t="inlineStr"/>
      <c r="N3057" t="inlineStr"/>
      <c r="O3057" t="inlineStr"/>
      <c r="P3057" t="inlineStr"/>
      <c r="Q3057" t="inlineStr"/>
      <c r="R3057" t="inlineStr"/>
      <c r="S3057" t="inlineStr"/>
      <c r="T3057" t="inlineStr"/>
      <c r="V3057" t="inlineStr"/>
    </row>
    <row r="3058">
      <c r="A3058">
        <f>Skills!A12</f>
        <v/>
      </c>
      <c r="B3058">
        <f>Skills!B12</f>
        <v/>
      </c>
      <c r="C3058">
        <f>Inputs!$B$3&gt;=60</f>
        <v/>
      </c>
      <c r="D3058">
        <f>IF(Skills!C12=1,60+Inputs!$B$25+Inputs!$B$29,IF(Skills!C12=2,90+Inputs!$B$26+Inputs!$B$29,IF(Skills!C12=3,120+Inputs!$B$27+Inputs!$B$29,MAX(0,(Inputs!$B$3-100)*3)+Inputs!$B$28+Inputs!$B$29)))</f>
        <v/>
      </c>
      <c r="E3058">
        <f>INDEX(FactorTable!$B$2:$Y$301, MATCH(ROUND(MIN(300,MAX(1,D3058)),0), FactorTable!$A$2:$A$301,0), Skills!M12+1)</f>
        <v/>
      </c>
      <c r="F3058">
        <f>IF(Skills!N12=TRUE,(Skills!L12/10)*(E3058/1000),Skills!L12/10)+Skills!O12</f>
        <v/>
      </c>
      <c r="G3058">
        <f>Skills!G12*IF(Skills!H12&gt;0,Skills!I12/Skills!H12,1)</f>
        <v/>
      </c>
      <c r="H3058">
        <f>1-(1-Skills!J12/100)^Skills!K12</f>
        <v/>
      </c>
      <c r="I3058" t="inlineStr">
        <is>
          <t>1</t>
        </is>
      </c>
      <c r="J3058">
        <f>((Inputs!$B$6*(1+Inputs!$B$7/100))+(((Inputs!$B$12*(1+Inputs!$B$13/100))-(Inputs!$B$12*(1+Inputs!$B$13/100)))+0.25*(Inputs!$B$14-Inputs!$B$14))*(1+Inputs!$B$7/100))*(F3058/100)</f>
        <v/>
      </c>
      <c r="K3058">
        <f>J3058*(1+((Inputs!$B$12*(1+Inputs!$B$13/100))*0.01+Inputs!$B$14*0.0025)/100)*(1+Inputs!$B$15/100)*(1+Inputs!$B$16/100)*(5000/(6000+Inputs!$B$42*(1-(100*(1-(1-(Inputs!$B$19+((C3074=TRUE)*(F3074-Calc!F28)))/100)*(1-CHOOSE(ArtifactsInput!$N$40+1,5,6,7,8,9,10)/100)^(ArtifactsInput!$M$40-ArtifactsInput!$M$40)))/100)))*(1+(Inputs!$B$24+((C3072=TRUE)*(F3072-Calc!F26))+((C3073=TRUE)*(F3073-Calc!F27))+B3086)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3059=TRUE,F3059,0)/100)*(1+(IF(Skills!A12="ARROW_STREAM",Inputs!$B$17+((C3070=TRUE)*(F3070-Calc!F24))+(((IF(AND(ArtifactsInput!$M$42,((Inputs!$B$9+((C3067=TRUE)*(F3067-Calc!F21))+B3080+(ArtifactsInput!$M$24-ArtifactsInput!$M$24)*CHOOSE(ArtifactsInput!$N$24+1,10,12,14,16,18,20)+IF(ArtifactsInput!$M$10,CHOOSE(ArtifactsInput!$N$10+1,15,18,21,24,27,30)*(IF(Inputs!$B$38="pvp",MIN(15,15)/15,IF(AND(Inputs!$B$38&lt;&gt;"pvp",Inputs!$B$43&gt;0),MIN(15,Inputs!$B$43)/(Inputs!$B$43),0))),0)))&gt;=100),MIN(100,((Inputs!$B$9+((C3067=TRUE)*(F3067-Calc!F21))+B3080+(ArtifactsInput!$M$24-ArtifactsInput!$M$24)*CHOOSE(ArtifactsInput!$N$24+1,10,12,14,16,18,20)+IF(ArtifactsInput!$M$10,CHOOSE(ArtifactsInput!$N$10+1,15,18,21,24,27,30)*(IF(Inputs!$B$38="pvp",MIN(15,15)/15,IF(AND(Inputs!$B$38&lt;&gt;"pvp",Inputs!$B$43&gt;0),MIN(15,Inputs!$B$43)/(Inputs!$B$43),0))),0)))-100),0))*CHOOSE(ArtifactsInput!$N$42+1,0.6,0.72,0.84,0.96,1.08,1.2))),Inputs!$B$18+((C3075=TRUE)*(F3075-Calc!F29))+(IF(AND(ArtifactsInput!$M$42,((Inputs!$B$9+((C3067=TRUE)*(F3067-Calc!F21))+B3080+(ArtifactsInput!$M$24-ArtifactsInput!$M$24)*CHOOSE(ArtifactsInput!$N$24+1,10,12,14,16,18,20)+IF(ArtifactsInput!$M$10,CHOOSE(ArtifactsInput!$N$10+1,15,18,21,24,27,30)*(IF(Inputs!$B$38="pvp",MIN(15,15)/15,IF(AND(Inputs!$B$38&lt;&gt;"pvp",Inputs!$B$43&gt;0),MIN(15,Inputs!$B$43)/(Inputs!$B$43),0))),0)))&gt;=100),CHOOSE(ArtifactsInput!$N$42+1,40,48,56,64,72,80),0))))/100)*((1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3058)</f>
        <v/>
      </c>
      <c r="L3058">
        <f>K3058*(MIN(Inputs!$B$22+((C3071=TRUE)*(F3071-Calc!F25)),(Inputs!$B$23+((C3076=TRUE)*(F3076-Calc!F30))+(IF(ArtifactsInput!$M$15,CHOOSE(ArtifactsInput!$N$15+1,25,30,35,40,45,50)/100*(Inputs!$B$11-Inputs!$B$11),0))))/100+(Inputs!$B$23+((C3076=TRUE)*(F3076-Calc!F30))+(IF(ArtifactsInput!$M$15,CHOOSE(ArtifactsInput!$N$15+1,25,30,35,40,45,50)/100*(Inputs!$B$11-Inputs!$B$11),0)))/100)/2</f>
        <v/>
      </c>
      <c r="M3058">
        <f>L3058*(1+(Inputs!$B$10+0+B3085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8">
        <f>L3058*(1-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3058*(MIN((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8">
        <f>(1-Summary!$B$11)*T3058+Summary!$B$11*V3058</f>
        <v/>
      </c>
      <c r="P3058">
        <f>IF(B3090=0,0,O3058/B3090)</f>
        <v/>
      </c>
      <c r="Q3058">
        <f>IFERROR(1/(IF(Inputs!$B$38="pvp",15,MAX(0.1,Skills!D12-IF(Skills!E12=TRUE,1.0,0)))*(1-IF(AND(ArtifactsInput!$M$27,Inputs!$B$4="Chapter Hunt"),CHOOSE(ArtifactsInput!$N$27+1,20,24,28,32,36,40),0)/100)),0)</f>
        <v/>
      </c>
      <c r="R3058">
        <f>IF(AND(Inputs!$B$38&lt;&gt;"pvp",Inputs!$B$43&gt;0),IF(MAX(0,Inputs!$B$43-B3087)&lt;=0,0,(INT(MAX(0,Inputs!$B$43-B3087)/(IF(Inputs!$B$38="pvp",15,MAX(0.1,Skills!D12-IF(Skills!E12=TRUE,1.0,0)))*(1-IF(AND(ArtifactsInput!$M$27,Inputs!$B$4="Chapter Hunt"),CHOOSE(ArtifactsInput!$N$27+1,20,24,28,32,36,40),0)/100)))+1)),0)</f>
        <v/>
      </c>
      <c r="S3058">
        <f>IFERROR(O3058/N3058,0)</f>
        <v/>
      </c>
      <c r="T3058">
        <f>IF(C3058,(H3058*N3058*IF(AND(Inputs!$B$38&lt;&gt;"pvp",Inputs!$B$43&gt;0),((Skills!G12*((R3058-1)*IF(Skills!H12&gt;0,Skills!I12/Skills!H12,1)+IF(Skills!H12&gt;0,MIN(Skills!I12,MAX(0,MAX(0,Inputs!$B$43-B3087)-((R3058-1)*(IF(Inputs!$B$38="pvp",15,MAX(0.1,Skills!D12-IF(Skills!E12=TRUE,1.0,0)))*(1-IF(AND(ArtifactsInput!$M$27,Inputs!$B$4="Chapter Hunt"),CHOOSE(ArtifactsInput!$N$27+1,20,24,28,32,36,40),0)/100)))))/Skills!H12,1)))/Inputs!$B$43),G3058*Q3058))*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(5000/(6000+Inputs!$B$42*(1-(100*(1-(1-(100*(1-(1-(Inputs!$B$19+((C3074=TRUE)*(F3074-Calc!F28)))/100)*(1-CHOOSE(ArtifactsInput!$N$40+1,5,6,7,8,9,10)/100)^(ArtifactsInput!$M$40-ArtifactsInput!$M$40)))/100)*(1-IF(ArtifactsInput!$M$40,CHOOSE(ArtifactsInput!$N$40+1,5,6,7,8,9,10),0)/100)^IF(Inputs!$B$38="pvp",1,2)))/100)))/(5000/(6000+Inputs!$B$42*(1-(100*(1-(1-(Inputs!$B$19+((C3074=TRUE)*(F3074-Calc!F28)))/100)*(1-CHOOSE(ArtifactsInput!$N$40+1,5,6,7,8,9,10)/100)^(ArtifactsInput!$M$40-ArtifactsInput!$M$40)))/100))))*((L3058*(1-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3058*(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3058*(1-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3058*(MIN(100,(Inputs!$B$9+((C3067=TRUE)*(F3067-Calc!F21))+B3080+(ArtifactsInput!$M$24-ArtifactsInput!$M$24)*CHOOSE(ArtifactsInput!$N$24+1,10,12,14,16,18,20)+(IF(AND(ArtifactsInput!$M$42,((Inputs!$B$9+((C3067=TRUE)*(F3067-Calc!F21))+B3080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8">
        <f>IF(C3058,(H3058*N3058*IF(AND(Inputs!$B$38&lt;&gt;"pvp",Inputs!$B$43&gt;0),((Skills!G12*((R3058-1)*IF(Skills!H12&gt;0,Skills!I12/Skills!H12,1)+IF(Skills!H12&gt;0,MIN(Skills!I12,MAX(0,MAX(0,Inputs!$B$43-B3087)-((R3058-1)*(IF(Inputs!$B$38="pvp",15,MAX(0.1,Skills!D12-IF(Skills!E12=TRUE,1.0,0)))*(1-IF(AND(ArtifactsInput!$M$27,Inputs!$B$4="Chapter Hunt"),CHOOSE(ArtifactsInput!$N$27+1,20,24,28,32,36,40),0)/100)))))/Skills!H12,1)))/Inputs!$B$43),G3058*Q3058))*IF(Inputs!$B$38="pvp",1,(1+(Inputs!$B$21+Skills!Q12+(IF(ArtifactsInput!$M$33,CHOOSE(ArtifactsInput!$N$33+1,30,36,42,48,54,60),0))+(IF(AND(ArtifactsInput!$M$35,Inputs!$B$4&lt;&gt;"Chapter Hunt"),CHOOSE(ArtifactsInput!$N$35+1,15,18,21,24,27,30)*(1-EXP(-(0.2*B3082)*5)),0)+IF(AND(ArtifactsInput!$M$22,Inputs!$B$4&lt;&gt;"Chapter Hunt"),CHOOSE(ArtifactsInput!$N$22+1,10,12,14,16,18,20)*((0*(((0.15*B3082*5))^0/1)+1*(((0.15*B3082*5))^1/1)+2*(((0.15*B3082*5))^2/2)+3*(((0.15*B3082*5))^3/6)+4*(((0.15*B3082*5))^4/24)+5*(((0.15*B3082*5))^5/120))/((((0.15*B3082*5))^0/1)+(((0.15*B3082*5))^1/1)+(((0.15*B3082*5))^2/2)+(((0.15*B3082*5))^3/6)+(((0.15*B3082*5))^4/24)+(((0.15*B3082*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9">
      <c r="A3059">
        <f>Skills!A13</f>
        <v/>
      </c>
      <c r="B3059">
        <f>Skills!B13</f>
        <v/>
      </c>
      <c r="C3059">
        <f>Inputs!$B$3&gt;=110</f>
        <v/>
      </c>
      <c r="D3059">
        <f>IF(Skills!C13=1,60+Inputs!$B$25+Inputs!$B$29,IF(Skills!C13=2,90+Inputs!$B$26+Inputs!$B$29,IF(Skills!C13=3,120+Inputs!$B$27+Inputs!$B$29,MAX(0,(Inputs!$B$3-100)*3)+Inputs!$B$28+Inputs!$B$29)))</f>
        <v/>
      </c>
      <c r="E3059">
        <f>INDEX(FactorTable!$B$2:$Y$301, MATCH(ROUND(MIN(300,MAX(1,D3059)),0), FactorTable!$A$2:$A$301,0), Skills!M13+1)</f>
        <v/>
      </c>
      <c r="F3059">
        <f>IF(Skills!N13=TRUE,(Skills!L13/10)*(E3059/1000),Skills!L13/10)+Skills!O13</f>
        <v/>
      </c>
      <c r="G3059" t="inlineStr"/>
      <c r="H3059" t="inlineStr"/>
      <c r="I3059" t="inlineStr">
        <is>
          <t>1</t>
        </is>
      </c>
      <c r="J3059" t="inlineStr"/>
      <c r="K3059" t="inlineStr"/>
      <c r="L3059" t="inlineStr"/>
      <c r="M3059" t="inlineStr"/>
      <c r="N3059" t="inlineStr"/>
      <c r="O3059" t="inlineStr"/>
      <c r="P3059" t="inlineStr"/>
      <c r="Q3059" t="inlineStr"/>
      <c r="R3059" t="inlineStr"/>
      <c r="S3059" t="inlineStr"/>
      <c r="T3059" t="inlineStr"/>
      <c r="V3059" t="inlineStr"/>
    </row>
    <row r="3060">
      <c r="A3060">
        <f>Skills!A14</f>
        <v/>
      </c>
      <c r="B3060">
        <f>Skills!B14</f>
        <v/>
      </c>
      <c r="C3060">
        <f>Inputs!$B$3&gt;=74</f>
        <v/>
      </c>
      <c r="D3060">
        <f>IF(Skills!C14=1,60+Inputs!$B$25+Inputs!$B$29,IF(Skills!C14=2,90+Inputs!$B$26+Inputs!$B$29,IF(Skills!C14=3,120+Inputs!$B$27+Inputs!$B$29,MAX(0,(Inputs!$B$3-100)*3)+Inputs!$B$28+Inputs!$B$29)))</f>
        <v/>
      </c>
      <c r="E3060">
        <f>INDEX(FactorTable!$B$2:$Y$301, MATCH(ROUND(MIN(300,MAX(1,D3060)),0), FactorTable!$A$2:$A$301,0), Skills!M14+1)</f>
        <v/>
      </c>
      <c r="F3060">
        <f>IF(Skills!N14=TRUE,(Skills!L14/10)*(E3060/1000),Skills!L14/10)+Skills!O14</f>
        <v/>
      </c>
      <c r="G3060">
        <f>Skills!G14*IF(Skills!H14&gt;0,Skills!I14/Skills!H14,1)</f>
        <v/>
      </c>
      <c r="H3060">
        <f>1-(1-Skills!J14/100)^Skills!K14</f>
        <v/>
      </c>
      <c r="I3060" t="inlineStr">
        <is>
          <t>1</t>
        </is>
      </c>
      <c r="J3060" t="inlineStr"/>
      <c r="K3060" t="inlineStr"/>
      <c r="L3060" t="inlineStr"/>
      <c r="M3060" t="inlineStr"/>
      <c r="N3060" t="inlineStr"/>
      <c r="O3060">
        <f>(1-Summary!$B$11)*T3060+Summary!$B$11*V3060</f>
        <v/>
      </c>
      <c r="P3060">
        <f>IF(B3090=0,0,O3060/B3090)</f>
        <v/>
      </c>
      <c r="Q3060" t="n">
        <v>0</v>
      </c>
      <c r="R3060" t="n">
        <v>0</v>
      </c>
      <c r="S3060">
        <f>IFERROR(O3060/N3060,0)</f>
        <v/>
      </c>
      <c r="T3060" t="n">
        <v>0</v>
      </c>
      <c r="V3060" t="n">
        <v>0</v>
      </c>
    </row>
    <row r="3061">
      <c r="A3061">
        <f>Skills!A15</f>
        <v/>
      </c>
      <c r="B3061">
        <f>Skills!B15</f>
        <v/>
      </c>
      <c r="C3061">
        <f>Inputs!$B$3&gt;=74</f>
        <v/>
      </c>
      <c r="D3061">
        <f>IF(Skills!C15=1,60+Inputs!$B$25+Inputs!$B$29,IF(Skills!C15=2,90+Inputs!$B$26+Inputs!$B$29,IF(Skills!C15=3,120+Inputs!$B$27+Inputs!$B$29,MAX(0,(Inputs!$B$3-100)*3)+Inputs!$B$28+Inputs!$B$29)))</f>
        <v/>
      </c>
      <c r="E3061">
        <f>INDEX(FactorTable!$B$2:$Y$301, MATCH(ROUND(MIN(300,MAX(1,D3061)),0), FactorTable!$A$2:$A$301,0), Skills!M15+1)</f>
        <v/>
      </c>
      <c r="F3061">
        <f>IF(Skills!N15=TRUE,(Skills!L15/10)*(E3061/1000),Skills!L15/10)+Skills!O15</f>
        <v/>
      </c>
      <c r="G3061">
        <f>Skills!G15*IF(Skills!H15&gt;0,Skills!I15/Skills!H15,1)</f>
        <v/>
      </c>
      <c r="H3061">
        <f>1-(1-Skills!J15/100)^Skills!K15</f>
        <v/>
      </c>
      <c r="I3061" t="inlineStr">
        <is>
          <t>1</t>
        </is>
      </c>
      <c r="J3061" t="inlineStr"/>
      <c r="K3061" t="inlineStr"/>
      <c r="L3061" t="inlineStr"/>
      <c r="M3061" t="inlineStr"/>
      <c r="N3061" t="inlineStr"/>
      <c r="O3061">
        <f>(1-Summary!$B$11)*T3061+Summary!$B$11*V3061</f>
        <v/>
      </c>
      <c r="P3061">
        <f>IF(B3090=0,0,O3061/B3090)</f>
        <v/>
      </c>
      <c r="Q3061" t="n">
        <v>0</v>
      </c>
      <c r="R3061" t="n">
        <v>0</v>
      </c>
      <c r="S3061">
        <f>IFERROR(O3061/N3061,0)</f>
        <v/>
      </c>
      <c r="T3061" t="n">
        <v>0</v>
      </c>
      <c r="V3061" t="n">
        <v>0</v>
      </c>
    </row>
    <row r="3062">
      <c r="A3062">
        <f>Skills!A16</f>
        <v/>
      </c>
      <c r="B3062">
        <f>Skills!B16</f>
        <v/>
      </c>
      <c r="C3062">
        <f>Inputs!$B$3&gt;=117</f>
        <v/>
      </c>
      <c r="D3062">
        <f>IF(Skills!C16=1,60+Inputs!$B$25+Inputs!$B$29,IF(Skills!C16=2,90+Inputs!$B$26+Inputs!$B$29,IF(Skills!C16=3,120+Inputs!$B$27+Inputs!$B$29,MAX(0,(Inputs!$B$3-100)*3)+Inputs!$B$28+Inputs!$B$29)))</f>
        <v/>
      </c>
      <c r="E3062">
        <f>INDEX(FactorTable!$B$2:$Y$301, MATCH(ROUND(MIN(300,MAX(1,D3062)),0), FactorTable!$A$2:$A$301,0), Skills!M16+1)</f>
        <v/>
      </c>
      <c r="F3062">
        <f>IF(Skills!N16=TRUE,(Skills!L16/10)*(E3062/1000),Skills!L16/10)+Skills!O16</f>
        <v/>
      </c>
      <c r="G3062">
        <f>Skills!G16*IF(Skills!H16&gt;0,Skills!I16/Skills!H16,1)</f>
        <v/>
      </c>
      <c r="H3062">
        <f>1-(1-Skills!J16/100)^Skills!K16</f>
        <v/>
      </c>
      <c r="I3062" t="inlineStr">
        <is>
          <t>1</t>
        </is>
      </c>
      <c r="J3062" t="inlineStr"/>
      <c r="K3062" t="inlineStr"/>
      <c r="L3062" t="inlineStr"/>
      <c r="M3062" t="inlineStr"/>
      <c r="N3062" t="inlineStr"/>
      <c r="O3062">
        <f>(1-Summary!$B$11)*T3062+Summary!$B$11*V3062</f>
        <v/>
      </c>
      <c r="P3062">
        <f>IF(B3090=0,0,O3062/B3090)</f>
        <v/>
      </c>
      <c r="Q3062">
        <f>IFERROR(1/(IF(Inputs!$B$38="pvp",15,MAX(0.1,Skills!D16-IF(Skills!E16=TRUE,1.0,0)))*(1-IF(AND(ArtifactsInput!$M$27,Inputs!$B$4="Chapter Hunt"),CHOOSE(ArtifactsInput!$N$27+1,20,24,28,32,36,40),0)/100)),0)</f>
        <v/>
      </c>
      <c r="R3062">
        <f>IF(AND(Inputs!$B$38&lt;&gt;"pvp",Inputs!$B$43&gt;0),IF(Inputs!$B$43&lt;=0,0,(INT(Inputs!$B$43/(IF(Inputs!$B$38="pvp",15,MAX(0.1,Skills!D16-IF(Skills!E16=TRUE,1.0,0)))*(1-IF(AND(ArtifactsInput!$M$27,Inputs!$B$4="Chapter Hunt"),CHOOSE(ArtifactsInput!$N$27+1,20,24,28,32,36,40),0)/100)))+1)),0)</f>
        <v/>
      </c>
      <c r="S3062">
        <f>IFERROR(O3062/N3062,0)</f>
        <v/>
      </c>
      <c r="T3062" t="n">
        <v>0</v>
      </c>
      <c r="V3062" t="n">
        <v>0</v>
      </c>
    </row>
    <row r="3063">
      <c r="A3063">
        <f>Skills!A17</f>
        <v/>
      </c>
      <c r="B3063">
        <f>Skills!B17</f>
        <v/>
      </c>
      <c r="C3063">
        <f>Inputs!$B$3&gt;=115</f>
        <v/>
      </c>
      <c r="D3063">
        <f>IF(Skills!C17=1,60+Inputs!$B$25+Inputs!$B$29,IF(Skills!C17=2,90+Inputs!$B$26+Inputs!$B$29,IF(Skills!C17=3,120+Inputs!$B$27+Inputs!$B$29,MAX(0,(Inputs!$B$3-100)*3)+Inputs!$B$28+Inputs!$B$29)))</f>
        <v/>
      </c>
      <c r="E3063">
        <f>INDEX(FactorTable!$B$2:$Y$301, MATCH(ROUND(MIN(300,MAX(1,D3063)),0), FactorTable!$A$2:$A$301,0), Skills!M17+1)</f>
        <v/>
      </c>
      <c r="F3063">
        <f>IF(Skills!N17=TRUE,(Skills!L17/10)*(E3063/1000),Skills!L17/10)+Skills!O17</f>
        <v/>
      </c>
      <c r="G3063">
        <f>Skills!G17*IF(Skills!H17&gt;0,Skills!I17/Skills!H17,1)</f>
        <v/>
      </c>
      <c r="H3063">
        <f>1-(1-Skills!J17/100)^Skills!K17</f>
        <v/>
      </c>
      <c r="I3063" t="inlineStr">
        <is>
          <t>1</t>
        </is>
      </c>
      <c r="J3063" t="inlineStr"/>
      <c r="K3063" t="inlineStr"/>
      <c r="L3063" t="inlineStr"/>
      <c r="M3063" t="inlineStr"/>
      <c r="N3063" t="inlineStr"/>
      <c r="O3063">
        <f>(1-Summary!$B$11)*T3063+Summary!$B$11*V3063</f>
        <v/>
      </c>
      <c r="P3063">
        <f>IF(B3090=0,0,O3063/B3090)</f>
        <v/>
      </c>
      <c r="Q3063">
        <f>IFERROR(1/(IF(Inputs!$B$38="pvp",15,MAX(0.1,Skills!D17-IF(Skills!E17=TRUE,1.0,0)))*(1-IF(AND(ArtifactsInput!$M$27,Inputs!$B$4="Chapter Hunt"),CHOOSE(ArtifactsInput!$N$27+1,20,24,28,32,36,40),0)/100)),0)</f>
        <v/>
      </c>
      <c r="R3063">
        <f>IF(AND(Inputs!$B$38&lt;&gt;"pvp",Inputs!$B$43&gt;0),IF(Inputs!$B$43&lt;=0,0,(INT(Inputs!$B$43/(IF(Inputs!$B$38="pvp",15,MAX(0.1,Skills!D17-IF(Skills!E17=TRUE,1.0,0)))*(1-IF(AND(ArtifactsInput!$M$27,Inputs!$B$4="Chapter Hunt"),CHOOSE(ArtifactsInput!$N$27+1,20,24,28,32,36,40),0)/100)))+1)),0)</f>
        <v/>
      </c>
      <c r="S3063">
        <f>IFERROR(O3063/N3063,0)</f>
        <v/>
      </c>
      <c r="T3063" t="n">
        <v>0</v>
      </c>
      <c r="V3063" t="n">
        <v>0</v>
      </c>
    </row>
    <row r="3064">
      <c r="A3064">
        <f>Skills!A18</f>
        <v/>
      </c>
      <c r="B3064">
        <f>Skills!B18</f>
        <v/>
      </c>
      <c r="C3064">
        <f>Inputs!$B$3&gt;=66</f>
        <v/>
      </c>
      <c r="D3064">
        <f>IF(Skills!C18=1,60+Inputs!$B$25+Inputs!$B$29,IF(Skills!C18=2,90+Inputs!$B$26+Inputs!$B$29,IF(Skills!C18=3,120+Inputs!$B$27+Inputs!$B$29,MAX(0,(Inputs!$B$3-100)*3)+Inputs!$B$28+Inputs!$B$29)))</f>
        <v/>
      </c>
      <c r="E3064">
        <f>INDEX(FactorTable!$B$2:$Y$301, MATCH(ROUND(MIN(300,MAX(1,D3064)),0), FactorTable!$A$2:$A$301,0), Skills!M18+1)</f>
        <v/>
      </c>
      <c r="F3064">
        <f>IF(Skills!N18=TRUE,(Skills!L18/10)*(E3064/1000),Skills!L18/10)+Skills!O18</f>
        <v/>
      </c>
      <c r="G3064">
        <f>Skills!G18*IF(Skills!H18&gt;0,Skills!I18/Skills!H18,1)</f>
        <v/>
      </c>
      <c r="H3064">
        <f>1-(1-Skills!J18/100)^Skills!K18</f>
        <v/>
      </c>
      <c r="I3064" t="inlineStr">
        <is>
          <t>1</t>
        </is>
      </c>
      <c r="J3064" t="inlineStr"/>
      <c r="K3064" t="inlineStr"/>
      <c r="L3064" t="inlineStr"/>
      <c r="M3064" t="inlineStr"/>
      <c r="N3064" t="inlineStr"/>
      <c r="O3064">
        <f>(1-Summary!$B$11)*T3064+Summary!$B$11*V3064</f>
        <v/>
      </c>
      <c r="P3064">
        <f>IF(B3090=0,0,O3064/B3090)</f>
        <v/>
      </c>
      <c r="Q3064" t="n">
        <v>0</v>
      </c>
      <c r="R3064" t="n">
        <v>0</v>
      </c>
      <c r="S3064">
        <f>IFERROR(O3064/N3064,0)</f>
        <v/>
      </c>
      <c r="T3064" t="n">
        <v>0</v>
      </c>
      <c r="V3064" t="n">
        <v>0</v>
      </c>
    </row>
    <row r="3065">
      <c r="A3065">
        <f>Skills!A19</f>
        <v/>
      </c>
      <c r="B3065">
        <f>Skills!B19</f>
        <v/>
      </c>
      <c r="C3065">
        <f>Inputs!$B$3&gt;=72</f>
        <v/>
      </c>
      <c r="D3065">
        <f>IF(Skills!C19=1,60+Inputs!$B$25+Inputs!$B$29,IF(Skills!C19=2,90+Inputs!$B$26+Inputs!$B$29,IF(Skills!C19=3,120+Inputs!$B$27+Inputs!$B$29,MAX(0,(Inputs!$B$3-100)*3)+Inputs!$B$28+Inputs!$B$29)))</f>
        <v/>
      </c>
      <c r="E3065">
        <f>INDEX(FactorTable!$B$2:$Y$301, MATCH(ROUND(MIN(300,MAX(1,D3065)),0), FactorTable!$A$2:$A$301,0), Skills!M19+1)</f>
        <v/>
      </c>
      <c r="F3065">
        <f>IF(Skills!N19=TRUE,(Skills!L19/10)*(E3065/1000),Skills!L19/10)+Skills!O19</f>
        <v/>
      </c>
      <c r="G3065">
        <f>Skills!G19*IF(Skills!H19&gt;0,Skills!I19/Skills!H19,1)</f>
        <v/>
      </c>
      <c r="H3065">
        <f>1-(1-Skills!J19/100)^Skills!K19</f>
        <v/>
      </c>
      <c r="I3065" t="inlineStr">
        <is>
          <t>1</t>
        </is>
      </c>
      <c r="J3065" t="inlineStr"/>
      <c r="K3065" t="inlineStr"/>
      <c r="L3065" t="inlineStr"/>
      <c r="M3065" t="inlineStr"/>
      <c r="N3065" t="inlineStr"/>
      <c r="O3065">
        <f>(1-Summary!$B$11)*T3065+Summary!$B$11*V3065</f>
        <v/>
      </c>
      <c r="P3065">
        <f>IF(B3090=0,0,O3065/B3090)</f>
        <v/>
      </c>
      <c r="Q3065" t="n">
        <v>0</v>
      </c>
      <c r="R3065" t="n">
        <v>0</v>
      </c>
      <c r="S3065">
        <f>IFERROR(O3065/N3065,0)</f>
        <v/>
      </c>
      <c r="T3065" t="n">
        <v>0</v>
      </c>
      <c r="V3065" t="n">
        <v>0</v>
      </c>
    </row>
    <row r="3066">
      <c r="A3066">
        <f>Skills!A20</f>
        <v/>
      </c>
      <c r="B3066">
        <f>Skills!B20</f>
        <v/>
      </c>
      <c r="C3066">
        <f>TRUE</f>
        <v/>
      </c>
      <c r="D3066">
        <f>IF(Skills!C20=1,60+Inputs!$B$25+Inputs!$B$29,IF(Skills!C20=2,90+Inputs!$B$26+Inputs!$B$29,IF(Skills!C20=3,120+Inputs!$B$27+Inputs!$B$29,MAX(0,(Inputs!$B$3-100)*3)+Inputs!$B$28+Inputs!$B$29)))</f>
        <v/>
      </c>
      <c r="E3066">
        <f>INDEX(FactorTable!$B$2:$Y$301, MATCH(ROUND(MIN(300,MAX(1,D3066)),0), FactorTable!$A$2:$A$301,0), Skills!M20+1)</f>
        <v/>
      </c>
      <c r="F3066">
        <f>IF(Skills!N20=TRUE,(Skills!L20/10)*(E3066/1000),Skills!L20/10)+Skills!O20</f>
        <v/>
      </c>
      <c r="G3066">
        <f>Skills!G20*IF(Skills!H20&gt;0,Skills!I20/Skills!H20,1)</f>
        <v/>
      </c>
      <c r="H3066">
        <f>1-(1-Skills!J20/100)^Skills!K20</f>
        <v/>
      </c>
      <c r="I3066" t="inlineStr">
        <is>
          <t>1</t>
        </is>
      </c>
      <c r="J3066" t="inlineStr"/>
      <c r="K3066" t="inlineStr"/>
      <c r="L3066" t="inlineStr"/>
      <c r="M3066" t="inlineStr"/>
      <c r="N3066" t="inlineStr"/>
      <c r="O3066">
        <f>(1-Summary!$B$11)*T3066+Summary!$B$11*V3066</f>
        <v/>
      </c>
      <c r="P3066">
        <f>IF(B3090=0,0,O3066/B3090)</f>
        <v/>
      </c>
      <c r="Q3066">
        <f>IFERROR(1/(IF(Inputs!$B$38="pvp",15,MAX(0.1,Skills!D20-IF(Skills!E20=TRUE,1.0,0)))*(1-IF(AND(ArtifactsInput!$M$27,Inputs!$B$4="Chapter Hunt"),CHOOSE(ArtifactsInput!$N$27+1,20,24,28,32,36,40),0)/100)),0)</f>
        <v/>
      </c>
      <c r="R3066">
        <f>IF(AND(Inputs!$B$38&lt;&gt;"pvp",Inputs!$B$43&gt;0),IF(Inputs!$B$43&lt;=0,0,(INT(Inputs!$B$43/(IF(Inputs!$B$38="pvp",15,MAX(0.1,Skills!D20-IF(Skills!E20=TRUE,1.0,0)))*(1-IF(AND(ArtifactsInput!$M$27,Inputs!$B$4="Chapter Hunt"),CHOOSE(ArtifactsInput!$N$27+1,20,24,28,32,36,40),0)/100)))+1)),0)</f>
        <v/>
      </c>
      <c r="S3066">
        <f>IFERROR(O3066/N3066,0)</f>
        <v/>
      </c>
      <c r="T3066" t="n">
        <v>0</v>
      </c>
      <c r="V3066" t="n">
        <v>0</v>
      </c>
    </row>
    <row r="3067">
      <c r="A3067">
        <f>Skills!A21</f>
        <v/>
      </c>
      <c r="B3067">
        <f>Skills!B21</f>
        <v/>
      </c>
      <c r="C3067">
        <f>Inputs!$B$3&gt;=15</f>
        <v/>
      </c>
      <c r="D3067">
        <f>IF(Skills!C21=1,60+Inputs!$B$25+Inputs!$B$29,IF(Skills!C21=2,90+Inputs!$B$26+Inputs!$B$29,IF(Skills!C21=3,120+Inputs!$B$27+Inputs!$B$29,MAX(0,(Inputs!$B$3-100)*3)+Inputs!$B$28+Inputs!$B$29)))</f>
        <v/>
      </c>
      <c r="E3067">
        <f>INDEX(FactorTable!$B$2:$Y$301, MATCH(ROUND(MIN(300,MAX(1,D3067)),0), FactorTable!$A$2:$A$301,0), Skills!M21+1)</f>
        <v/>
      </c>
      <c r="F3067">
        <f>IF(Skills!N21=TRUE,(Skills!L21/10)*(E3067/1000),Skills!L21/10)+Skills!O21</f>
        <v/>
      </c>
      <c r="G3067">
        <f>Skills!G21*IF(Skills!H21&gt;0,Skills!I21/Skills!H21,1)</f>
        <v/>
      </c>
      <c r="H3067">
        <f>1-(1-Skills!J21/100)^Skills!K21</f>
        <v/>
      </c>
      <c r="I3067" t="inlineStr">
        <is>
          <t>1</t>
        </is>
      </c>
      <c r="J3067" t="inlineStr"/>
      <c r="K3067" t="inlineStr"/>
      <c r="L3067" t="inlineStr"/>
      <c r="M3067" t="inlineStr"/>
      <c r="N3067" t="inlineStr"/>
      <c r="O3067">
        <f>(1-Summary!$B$11)*T3067+Summary!$B$11*V3067</f>
        <v/>
      </c>
      <c r="P3067">
        <f>IF(B3090=0,0,O3067/B3090)</f>
        <v/>
      </c>
      <c r="Q3067" t="n">
        <v>0</v>
      </c>
      <c r="R3067" t="n">
        <v>0</v>
      </c>
      <c r="S3067">
        <f>IFERROR(O3067/N3067,0)</f>
        <v/>
      </c>
      <c r="T3067" t="n">
        <v>0</v>
      </c>
      <c r="V3067" t="n">
        <v>0</v>
      </c>
    </row>
    <row r="3068">
      <c r="A3068">
        <f>Skills!A22</f>
        <v/>
      </c>
      <c r="B3068">
        <f>Skills!B22</f>
        <v/>
      </c>
      <c r="C3068">
        <f>Inputs!$B$3&gt;=10</f>
        <v/>
      </c>
      <c r="D3068">
        <f>IF(Skills!C22=1,60+Inputs!$B$25+Inputs!$B$29,IF(Skills!C22=2,90+Inputs!$B$26+Inputs!$B$29,IF(Skills!C22=3,120+Inputs!$B$27+Inputs!$B$29,MAX(0,(Inputs!$B$3-100)*3)+Inputs!$B$28+Inputs!$B$29)))</f>
        <v/>
      </c>
      <c r="E3068">
        <f>INDEX(FactorTable!$B$2:$Y$301, MATCH(ROUND(MIN(300,MAX(1,D3068)),0), FactorTable!$A$2:$A$301,0), Skills!M22+1)</f>
        <v/>
      </c>
      <c r="F3068">
        <f>IF(Skills!N22=TRUE,(Skills!L22/10)*(E3068/1000),Skills!L22/10)+Skills!O22</f>
        <v/>
      </c>
      <c r="G3068">
        <f>Skills!G22*IF(Skills!H22&gt;0,Skills!I22/Skills!H22,1)</f>
        <v/>
      </c>
      <c r="H3068">
        <f>1-(1-Skills!J22/100)^Skills!K22</f>
        <v/>
      </c>
      <c r="I3068" t="inlineStr">
        <is>
          <t>1</t>
        </is>
      </c>
      <c r="J3068" t="inlineStr"/>
      <c r="K3068" t="inlineStr"/>
      <c r="L3068" t="inlineStr"/>
      <c r="M3068" t="inlineStr"/>
      <c r="N3068" t="inlineStr"/>
      <c r="O3068">
        <f>(1-Summary!$B$11)*T3068+Summary!$B$11*V3068</f>
        <v/>
      </c>
      <c r="P3068">
        <f>IF(B3090=0,0,O3068/B3090)</f>
        <v/>
      </c>
      <c r="Q3068" t="n">
        <v>0</v>
      </c>
      <c r="R3068" t="n">
        <v>0</v>
      </c>
      <c r="S3068">
        <f>IFERROR(O3068/N3068,0)</f>
        <v/>
      </c>
      <c r="T3068" t="n">
        <v>0</v>
      </c>
      <c r="V3068" t="n">
        <v>0</v>
      </c>
    </row>
    <row r="3069">
      <c r="A3069">
        <f>Skills!A23</f>
        <v/>
      </c>
      <c r="B3069">
        <f>Skills!B23</f>
        <v/>
      </c>
      <c r="C3069">
        <f>Inputs!$B$3&gt;=33</f>
        <v/>
      </c>
      <c r="D3069">
        <f>IF(Skills!C23=1,60+Inputs!$B$25+Inputs!$B$29,IF(Skills!C23=2,90+Inputs!$B$26+Inputs!$B$29,IF(Skills!C23=3,120+Inputs!$B$27+Inputs!$B$29,MAX(0,(Inputs!$B$3-100)*3)+Inputs!$B$28+Inputs!$B$29)))</f>
        <v/>
      </c>
      <c r="E3069">
        <f>INDEX(FactorTable!$B$2:$Y$301, MATCH(ROUND(MIN(300,MAX(1,D3069)),0), FactorTable!$A$2:$A$301,0), Skills!M23+1)</f>
        <v/>
      </c>
      <c r="F3069">
        <f>IF(Skills!N23=TRUE,(Skills!L23/10)*(E3069/1000),Skills!L23/10)+Skills!O23</f>
        <v/>
      </c>
      <c r="G3069">
        <f>Skills!G23*IF(Skills!H23&gt;0,Skills!I23/Skills!H23,1)</f>
        <v/>
      </c>
      <c r="H3069">
        <f>1-(1-Skills!J23/100)^Skills!K23</f>
        <v/>
      </c>
      <c r="I3069" t="inlineStr">
        <is>
          <t>1</t>
        </is>
      </c>
      <c r="J3069" t="inlineStr"/>
      <c r="K3069" t="inlineStr"/>
      <c r="L3069" t="inlineStr"/>
      <c r="M3069" t="inlineStr"/>
      <c r="N3069" t="inlineStr"/>
      <c r="O3069">
        <f>(1-Summary!$B$11)*T3069+Summary!$B$11*V3069</f>
        <v/>
      </c>
      <c r="P3069">
        <f>IF(B3090=0,0,O3069/B3090)</f>
        <v/>
      </c>
      <c r="Q3069" t="n">
        <v>0</v>
      </c>
      <c r="R3069" t="n">
        <v>0</v>
      </c>
      <c r="S3069">
        <f>IFERROR(O3069/N3069,0)</f>
        <v/>
      </c>
      <c r="T3069" t="n">
        <v>0</v>
      </c>
      <c r="V3069" t="n">
        <v>0</v>
      </c>
    </row>
    <row r="3070">
      <c r="A3070">
        <f>Skills!A24</f>
        <v/>
      </c>
      <c r="B3070">
        <f>Skills!B24</f>
        <v/>
      </c>
      <c r="C3070">
        <f>Inputs!$B$3&gt;=38</f>
        <v/>
      </c>
      <c r="D3070">
        <f>IF(Skills!C24=1,60+Inputs!$B$25+Inputs!$B$29,IF(Skills!C24=2,90+Inputs!$B$26+Inputs!$B$29,IF(Skills!C24=3,120+Inputs!$B$27+Inputs!$B$29,MAX(0,(Inputs!$B$3-100)*3)+Inputs!$B$28+Inputs!$B$29)))</f>
        <v/>
      </c>
      <c r="E3070">
        <f>INDEX(FactorTable!$B$2:$Y$301, MATCH(ROUND(MIN(300,MAX(1,D3070)),0), FactorTable!$A$2:$A$301,0), Skills!M24+1)</f>
        <v/>
      </c>
      <c r="F3070">
        <f>IF(Skills!N24=TRUE,(Skills!L24/10)*(E3070/1000),Skills!L24/10)+Skills!O24</f>
        <v/>
      </c>
      <c r="G3070">
        <f>Skills!G24*IF(Skills!H24&gt;0,Skills!I24/Skills!H24,1)</f>
        <v/>
      </c>
      <c r="H3070">
        <f>1-(1-Skills!J24/100)^Skills!K24</f>
        <v/>
      </c>
      <c r="I3070" t="inlineStr">
        <is>
          <t>1</t>
        </is>
      </c>
      <c r="J3070" t="inlineStr"/>
      <c r="K3070" t="inlineStr"/>
      <c r="L3070" t="inlineStr"/>
      <c r="M3070" t="inlineStr"/>
      <c r="N3070" t="inlineStr"/>
      <c r="O3070">
        <f>(1-Summary!$B$11)*T3070+Summary!$B$11*V3070</f>
        <v/>
      </c>
      <c r="P3070">
        <f>IF(B3090=0,0,O3070/B3090)</f>
        <v/>
      </c>
      <c r="Q3070" t="n">
        <v>0</v>
      </c>
      <c r="R3070" t="n">
        <v>0</v>
      </c>
      <c r="S3070">
        <f>IFERROR(O3070/N3070,0)</f>
        <v/>
      </c>
      <c r="T3070" t="n">
        <v>0</v>
      </c>
      <c r="V3070" t="n">
        <v>0</v>
      </c>
    </row>
    <row r="3071">
      <c r="A3071">
        <f>Skills!A25</f>
        <v/>
      </c>
      <c r="B3071">
        <f>Skills!B25</f>
        <v/>
      </c>
      <c r="C3071">
        <f>Inputs!$B$3&gt;=43</f>
        <v/>
      </c>
      <c r="D3071">
        <f>IF(Skills!C25=1,60+Inputs!$B$25+Inputs!$B$29,IF(Skills!C25=2,90+Inputs!$B$26+Inputs!$B$29,IF(Skills!C25=3,120+Inputs!$B$27+Inputs!$B$29,MAX(0,(Inputs!$B$3-100)*3)+Inputs!$B$28+Inputs!$B$29)))</f>
        <v/>
      </c>
      <c r="E3071">
        <f>INDEX(FactorTable!$B$2:$Y$301, MATCH(ROUND(MIN(300,MAX(1,D3071)),0), FactorTable!$A$2:$A$301,0), Skills!M25+1)</f>
        <v/>
      </c>
      <c r="F3071">
        <f>IF(Skills!N25=TRUE,(Skills!L25/10)*(E3071/1000),Skills!L25/10)+Skills!O25</f>
        <v/>
      </c>
      <c r="G3071">
        <f>Skills!G25*IF(Skills!H25&gt;0,Skills!I25/Skills!H25,1)</f>
        <v/>
      </c>
      <c r="H3071">
        <f>1-(1-Skills!J25/100)^Skills!K25</f>
        <v/>
      </c>
      <c r="I3071" t="inlineStr">
        <is>
          <t>1</t>
        </is>
      </c>
      <c r="J3071" t="inlineStr"/>
      <c r="K3071" t="inlineStr"/>
      <c r="L3071" t="inlineStr"/>
      <c r="M3071" t="inlineStr"/>
      <c r="N3071" t="inlineStr"/>
      <c r="O3071">
        <f>(1-Summary!$B$11)*T3071+Summary!$B$11*V3071</f>
        <v/>
      </c>
      <c r="P3071">
        <f>IF(B3090=0,0,O3071/B3090)</f>
        <v/>
      </c>
      <c r="Q3071" t="n">
        <v>0</v>
      </c>
      <c r="R3071" t="n">
        <v>0</v>
      </c>
      <c r="S3071">
        <f>IFERROR(O3071/N3071,0)</f>
        <v/>
      </c>
      <c r="T3071" t="n">
        <v>0</v>
      </c>
      <c r="V3071" t="n">
        <v>0</v>
      </c>
    </row>
    <row r="3072">
      <c r="A3072">
        <f>Skills!A26</f>
        <v/>
      </c>
      <c r="B3072">
        <f>Skills!B26</f>
        <v/>
      </c>
      <c r="C3072">
        <f>Inputs!$B$3&gt;=75</f>
        <v/>
      </c>
      <c r="D3072">
        <f>IF(Skills!C26=1,60+Inputs!$B$25+Inputs!$B$29,IF(Skills!C26=2,90+Inputs!$B$26+Inputs!$B$29,IF(Skills!C26=3,120+Inputs!$B$27+Inputs!$B$29,MAX(0,(Inputs!$B$3-100)*3)+Inputs!$B$28+Inputs!$B$29)))</f>
        <v/>
      </c>
      <c r="E3072">
        <f>INDEX(FactorTable!$B$2:$Y$301, MATCH(ROUND(MIN(300,MAX(1,D3072)),0), FactorTable!$A$2:$A$301,0), Skills!M26+1)</f>
        <v/>
      </c>
      <c r="F3072">
        <f>IF(Skills!N26=TRUE,(Skills!L26/10)*(E3072/1000),Skills!L26/10)+Skills!O26</f>
        <v/>
      </c>
      <c r="G3072">
        <f>Skills!G26*IF(Skills!H26&gt;0,Skills!I26/Skills!H26,1)</f>
        <v/>
      </c>
      <c r="H3072">
        <f>1-(1-Skills!J26/100)^Skills!K26</f>
        <v/>
      </c>
      <c r="I3072" t="inlineStr">
        <is>
          <t>1</t>
        </is>
      </c>
      <c r="J3072" t="inlineStr"/>
      <c r="K3072" t="inlineStr"/>
      <c r="L3072" t="inlineStr"/>
      <c r="M3072" t="inlineStr"/>
      <c r="N3072" t="inlineStr"/>
      <c r="O3072">
        <f>(1-Summary!$B$11)*T3072+Summary!$B$11*V3072</f>
        <v/>
      </c>
      <c r="P3072">
        <f>IF(B3090=0,0,O3072/B3090)</f>
        <v/>
      </c>
      <c r="Q3072" t="n">
        <v>0</v>
      </c>
      <c r="R3072" t="n">
        <v>0</v>
      </c>
      <c r="S3072">
        <f>IFERROR(O3072/N3072,0)</f>
        <v/>
      </c>
      <c r="T3072" t="n">
        <v>0</v>
      </c>
      <c r="V3072" t="n">
        <v>0</v>
      </c>
    </row>
    <row r="3073">
      <c r="A3073">
        <f>Skills!A27</f>
        <v/>
      </c>
      <c r="B3073">
        <f>Skills!B27</f>
        <v/>
      </c>
      <c r="C3073">
        <f>Inputs!$B$3&gt;=125</f>
        <v/>
      </c>
      <c r="D3073">
        <f>IF(Skills!C27=1,60+Inputs!$B$25+Inputs!$B$29,IF(Skills!C27=2,90+Inputs!$B$26+Inputs!$B$29,IF(Skills!C27=3,120+Inputs!$B$27+Inputs!$B$29,MAX(0,(Inputs!$B$3-100)*3)+Inputs!$B$28+Inputs!$B$29)))</f>
        <v/>
      </c>
      <c r="E3073">
        <f>INDEX(FactorTable!$B$2:$Y$301, MATCH(ROUND(MIN(300,MAX(1,D3073)),0), FactorTable!$A$2:$A$301,0), Skills!M27+1)</f>
        <v/>
      </c>
      <c r="F3073">
        <f>IF(Skills!N27=TRUE,(Skills!L27/10)*(E3073/1000),Skills!L27/10)+Skills!O27</f>
        <v/>
      </c>
      <c r="G3073">
        <f>Skills!G27*IF(Skills!H27&gt;0,Skills!I27/Skills!H27,1)</f>
        <v/>
      </c>
      <c r="H3073">
        <f>1-(1-Skills!J27/100)^Skills!K27</f>
        <v/>
      </c>
      <c r="I3073" t="inlineStr">
        <is>
          <t>1</t>
        </is>
      </c>
      <c r="J3073" t="inlineStr"/>
      <c r="K3073" t="inlineStr"/>
      <c r="L3073" t="inlineStr"/>
      <c r="M3073" t="inlineStr"/>
      <c r="N3073" t="inlineStr"/>
      <c r="O3073">
        <f>(1-Summary!$B$11)*T3073+Summary!$B$11*V3073</f>
        <v/>
      </c>
      <c r="P3073">
        <f>IF(B3090=0,0,O3073/B3090)</f>
        <v/>
      </c>
      <c r="Q3073" t="n">
        <v>0</v>
      </c>
      <c r="R3073" t="n">
        <v>0</v>
      </c>
      <c r="S3073">
        <f>IFERROR(O3073/N3073,0)</f>
        <v/>
      </c>
      <c r="T3073" t="n">
        <v>0</v>
      </c>
      <c r="V3073" t="n">
        <v>0</v>
      </c>
    </row>
    <row r="3074">
      <c r="A3074">
        <f>Skills!A28</f>
        <v/>
      </c>
      <c r="B3074">
        <f>Skills!B28</f>
        <v/>
      </c>
      <c r="C3074">
        <f>Inputs!$B$3&gt;=125</f>
        <v/>
      </c>
      <c r="D3074">
        <f>IF(Skills!C28=1,60+Inputs!$B$25+Inputs!$B$29,IF(Skills!C28=2,90+Inputs!$B$26+Inputs!$B$29,IF(Skills!C28=3,120+Inputs!$B$27+Inputs!$B$29,MAX(0,(Inputs!$B$3-100)*3)+Inputs!$B$28+Inputs!$B$29)))</f>
        <v/>
      </c>
      <c r="E3074">
        <f>INDEX(FactorTable!$B$2:$Y$301, MATCH(ROUND(MIN(300,MAX(1,D3074)),0), FactorTable!$A$2:$A$301,0), Skills!M28+1)</f>
        <v/>
      </c>
      <c r="F3074">
        <f>IF(Skills!N28=TRUE,(Skills!L28/10)*(E3074/1000),Skills!L28/10)+Skills!O28</f>
        <v/>
      </c>
      <c r="G3074">
        <f>Skills!G28*IF(Skills!H28&gt;0,Skills!I28/Skills!H28,1)</f>
        <v/>
      </c>
      <c r="H3074">
        <f>1-(1-Skills!J28/100)^Skills!K28</f>
        <v/>
      </c>
      <c r="I3074" t="inlineStr">
        <is>
          <t>1</t>
        </is>
      </c>
      <c r="J3074" t="inlineStr"/>
      <c r="K3074" t="inlineStr"/>
      <c r="L3074" t="inlineStr"/>
      <c r="M3074" t="inlineStr"/>
      <c r="N3074" t="inlineStr"/>
      <c r="O3074">
        <f>(1-Summary!$B$11)*T3074+Summary!$B$11*V3074</f>
        <v/>
      </c>
      <c r="P3074">
        <f>IF(B3090=0,0,O3074/B3090)</f>
        <v/>
      </c>
      <c r="Q3074" t="n">
        <v>0</v>
      </c>
      <c r="R3074" t="n">
        <v>0</v>
      </c>
      <c r="S3074">
        <f>IFERROR(O3074/N3074,0)</f>
        <v/>
      </c>
      <c r="T3074" t="n">
        <v>0</v>
      </c>
      <c r="V3074" t="n">
        <v>0</v>
      </c>
    </row>
    <row r="3075">
      <c r="A3075">
        <f>Skills!A29</f>
        <v/>
      </c>
      <c r="B3075">
        <f>Skills!B29</f>
        <v/>
      </c>
      <c r="C3075">
        <f>Inputs!$B$3&gt;=120</f>
        <v/>
      </c>
      <c r="D3075">
        <f>IF(Skills!C29=1,60+Inputs!$B$25+Inputs!$B$29,IF(Skills!C29=2,90+Inputs!$B$26+Inputs!$B$29,IF(Skills!C29=3,120+Inputs!$B$27+Inputs!$B$29,MAX(0,(Inputs!$B$3-100)*3)+Inputs!$B$28+Inputs!$B$29)))</f>
        <v/>
      </c>
      <c r="E3075">
        <f>INDEX(FactorTable!$B$2:$Y$301, MATCH(ROUND(MIN(300,MAX(1,D3075)),0), FactorTable!$A$2:$A$301,0), Skills!M29+1)</f>
        <v/>
      </c>
      <c r="F3075">
        <f>IF(Skills!N29=TRUE,(Skills!L29/10)*(E3075/1000),Skills!L29/10)+Skills!O29</f>
        <v/>
      </c>
      <c r="G3075">
        <f>Skills!G29*IF(Skills!H29&gt;0,Skills!I29/Skills!H29,1)</f>
        <v/>
      </c>
      <c r="H3075">
        <f>1-(1-Skills!J29/100)^Skills!K29</f>
        <v/>
      </c>
      <c r="I3075" t="inlineStr">
        <is>
          <t>1</t>
        </is>
      </c>
      <c r="J3075" t="inlineStr"/>
      <c r="K3075" t="inlineStr"/>
      <c r="L3075" t="inlineStr"/>
      <c r="M3075" t="inlineStr"/>
      <c r="N3075" t="inlineStr"/>
      <c r="O3075">
        <f>(1-Summary!$B$11)*T3075+Summary!$B$11*V3075</f>
        <v/>
      </c>
      <c r="P3075">
        <f>IF(B3090=0,0,O3075/B3090)</f>
        <v/>
      </c>
      <c r="Q3075" t="n">
        <v>0</v>
      </c>
      <c r="R3075" t="n">
        <v>0</v>
      </c>
      <c r="S3075">
        <f>IFERROR(O3075/N3075,0)</f>
        <v/>
      </c>
      <c r="T3075" t="n">
        <v>0</v>
      </c>
      <c r="V3075" t="n">
        <v>0</v>
      </c>
    </row>
    <row r="3076">
      <c r="A3076">
        <f>Skills!A30</f>
        <v/>
      </c>
      <c r="B3076">
        <f>Skills!B30</f>
        <v/>
      </c>
      <c r="C3076">
        <f>Inputs!$B$3&gt;=120</f>
        <v/>
      </c>
      <c r="D3076">
        <f>IF(Skills!C30=1,60+Inputs!$B$25+Inputs!$B$29,IF(Skills!C30=2,90+Inputs!$B$26+Inputs!$B$29,IF(Skills!C30=3,120+Inputs!$B$27+Inputs!$B$29,MAX(0,(Inputs!$B$3-100)*3)+Inputs!$B$28+Inputs!$B$29)))</f>
        <v/>
      </c>
      <c r="E3076">
        <f>INDEX(FactorTable!$B$2:$Y$301, MATCH(ROUND(MIN(300,MAX(1,D3076)),0), FactorTable!$A$2:$A$301,0), Skills!M30+1)</f>
        <v/>
      </c>
      <c r="F3076">
        <f>IF(Skills!N30=TRUE,(Skills!L30/10)*(E3076/1000),Skills!L30/10)+Skills!O30</f>
        <v/>
      </c>
      <c r="G3076">
        <f>Skills!G30*IF(Skills!H30&gt;0,Skills!I30/Skills!H30,1)</f>
        <v/>
      </c>
      <c r="H3076">
        <f>1-(1-Skills!J30/100)^Skills!K30</f>
        <v/>
      </c>
      <c r="I3076" t="inlineStr">
        <is>
          <t>1</t>
        </is>
      </c>
      <c r="J3076" t="inlineStr"/>
      <c r="K3076" t="inlineStr"/>
      <c r="L3076" t="inlineStr"/>
      <c r="M3076" t="inlineStr"/>
      <c r="N3076" t="inlineStr"/>
      <c r="O3076">
        <f>(1-Summary!$B$11)*T3076+Summary!$B$11*V3076</f>
        <v/>
      </c>
      <c r="P3076">
        <f>IF(B3090=0,0,O3076/B3090)</f>
        <v/>
      </c>
      <c r="Q3076" t="n">
        <v>0</v>
      </c>
      <c r="R3076" t="n">
        <v>0</v>
      </c>
      <c r="S3076">
        <f>IFERROR(O3076/N3076,0)</f>
        <v/>
      </c>
      <c r="T3076" t="n">
        <v>0</v>
      </c>
      <c r="V3076" t="n">
        <v>0</v>
      </c>
    </row>
    <row r="3077">
      <c r="A3077">
        <f>Skills!A31</f>
        <v/>
      </c>
      <c r="B3077">
        <f>Skills!B31</f>
        <v/>
      </c>
      <c r="C3077">
        <f>Inputs!$B$3&gt;=45</f>
        <v/>
      </c>
      <c r="D3077">
        <f>IF(Skills!C31=1,60+Inputs!$B$25+Inputs!$B$29,IF(Skills!C31=2,90+Inputs!$B$26+Inputs!$B$29,IF(Skills!C31=3,120+Inputs!$B$27+Inputs!$B$29,MAX(0,(Inputs!$B$3-100)*3)+Inputs!$B$28+Inputs!$B$29)))</f>
        <v/>
      </c>
      <c r="E3077">
        <f>INDEX(FactorTable!$B$2:$Y$301, MATCH(ROUND(MIN(300,MAX(1,D3077)),0), FactorTable!$A$2:$A$301,0), Skills!M31+1)</f>
        <v/>
      </c>
      <c r="F3077">
        <f>IF(Skills!N31=TRUE,(Skills!L31/10)*(E3077/1000),Skills!L31/10)+Skills!O31</f>
        <v/>
      </c>
      <c r="G3077">
        <f>Skills!G31*IF(Skills!H31&gt;0,Skills!I31/Skills!H31,1)</f>
        <v/>
      </c>
      <c r="H3077">
        <f>1-(1-Skills!J31/100)^Skills!K31</f>
        <v/>
      </c>
      <c r="I3077" t="inlineStr">
        <is>
          <t>1</t>
        </is>
      </c>
      <c r="J3077" t="inlineStr"/>
      <c r="K3077" t="inlineStr"/>
      <c r="L3077" t="inlineStr"/>
      <c r="M3077" t="inlineStr"/>
      <c r="N3077" t="inlineStr"/>
      <c r="O3077">
        <f>(1-Summary!$B$11)*T3077+Summary!$B$11*V3077</f>
        <v/>
      </c>
      <c r="P3077">
        <f>IF(B3090=0,0,O3077/B3090)</f>
        <v/>
      </c>
      <c r="Q3077" t="n">
        <v>0</v>
      </c>
      <c r="R3077" t="n">
        <v>0</v>
      </c>
      <c r="S3077">
        <f>IFERROR(O3077/N3077,0)</f>
        <v/>
      </c>
      <c r="T3077" t="n">
        <v>0</v>
      </c>
      <c r="V3077" t="n">
        <v>0</v>
      </c>
    </row>
    <row r="3079">
      <c r="A3079" t="inlineStr">
        <is>
          <t>Attack% Bucket Multiplier</t>
        </is>
      </c>
      <c r="B3079">
        <f>(1+(((C3060=TRUE)*F3060)+((C3061=TRUE)*IF(Inputs!$B$38="pvp",F3061,(1-Summary!$B$11)*(F3061)+Summary!$B$11*(0)))+((C3062=TRUE)*F3062*IF(AND(Inputs!$B$38&lt;&gt;"pvp",Inputs!$B$43&gt;0),(((R3062-1)*(Skills!T16*(1+Inputs!$B$34/100))+MIN((Skills!T16*(1+Inputs!$B$34/100)),MAX(0,Inputs!$B$43-((R3062-1)*Skills!D16))))/Inputs!$B$43),IF(Inputs!$B$38="pvp",MIN((Skills!T16*(1+Inputs!$B$34/100)),15)/15,(Skills!T16*(1+Inputs!$B$34/100))/Skills!D16)))+((C3077=TRUE)*(F3077-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80">
      <c r="A3080" t="inlineStr">
        <is>
          <t>Global Crit Rate Bonus %</t>
        </is>
      </c>
      <c r="B3080">
        <f>(C3063=TRUE)*20*IF(AND(Inputs!$B$38&lt;&gt;"pvp",Inputs!$B$43&gt;0),(((R3063-1)*(Skills!T17*(1+Inputs!$B$34/100))+MIN((Skills!T17*(1+Inputs!$B$34/100)),MAX(0,Inputs!$B$43-((R3063-1)*Skills!D17))))/Inputs!$B$43),IF(Inputs!$B$38="pvp",MIN((Skills!T17*(1+Inputs!$B$34/100)),15)/15,(Skills!T17*(1+Inputs!$B$34/100))/Skills!D17))</f>
        <v/>
      </c>
    </row>
    <row r="3081">
      <c r="A3081" t="inlineStr">
        <is>
          <t>Attack Speed Buff Bonus %</t>
        </is>
      </c>
      <c r="B3081">
        <f>((C3066=TRUE)*F3066*IF(AND(Inputs!$B$38&lt;&gt;"pvp",Inputs!$B$43&gt;0),(((R3066-1)*(Skills!T20*(1+Inputs!$B$34/100))+MIN((Skills!T20*(1+Inputs!$B$34/100)),MAX(0,Inputs!$B$43-((R3066-1)*Skills!D20))))/Inputs!$B$43),IF(Inputs!$B$38="pvp",MIN((Skills!T20*(1+Inputs!$B$34/100)),15)/15,(Skills!T20*(1+Inputs!$B$34/100))/Skills!D20)))</f>
        <v/>
      </c>
    </row>
    <row r="3082">
      <c r="A3082" t="inlineStr">
        <is>
          <t>Actions Per Second</t>
        </is>
      </c>
      <c r="B3082">
        <f>1+MIN(150,150*(1-(1-(Inputs!$B$11+((C3068=TRUE)*(F3068-Calc!F22))+((C3069=TRUE)*(F3069-Calc!F23)))/150)*(1-B3081/150)))/100</f>
        <v/>
      </c>
    </row>
    <row r="3083">
      <c r="A3083" t="inlineStr">
        <is>
          <t>Skill + Buff Cast Rate</t>
        </is>
      </c>
      <c r="B3083">
        <f>IF(AND(Inputs!$B$38&lt;&gt;"pvp",Inputs!$B$43&gt;0),SUMPRODUCT((Skills!E2:E31=TRUE)*(C3048:C3077=TRUE)*R3048:R3077*Skills!F2:F31)/Inputs!$B$43,SUMPRODUCT((Skills!E2:E31=TRUE)*(C3048:C3077=TRUE)*Q3048:Q3077*Skills!F2:F31))</f>
        <v/>
      </c>
    </row>
    <row r="3084">
      <c r="A3084" t="inlineStr">
        <is>
          <t>Arrow Stream Casts Per Second</t>
        </is>
      </c>
      <c r="B3084">
        <f>MAX(0,B3082-B3083)</f>
        <v/>
      </c>
    </row>
    <row r="3085">
      <c r="A3085" t="inlineStr">
        <is>
          <t>Global Critical Damage Bonus % (Sharp Eyes + Concentration)</t>
        </is>
      </c>
      <c r="B3085">
        <f>(C3063=TRUE)*F3063*IF(AND(Inputs!$B$38&lt;&gt;"pvp",Inputs!$B$43&gt;0),(((R3063-1)*(Skills!T17*(1+Inputs!$B$34/100))+MIN((Skills!T17*(1+Inputs!$B$34/100)),MAX(0,Inputs!$B$43-((R3063-1)*Skills!D17))))/Inputs!$B$43),IF(Inputs!$B$38="pvp",MIN((Skills!T17*(1+Inputs!$B$34/100)),15)/15,(Skills!T17*(1+Inputs!$B$34/100))/Skills!D17))+(C3064=TRUE)*30</f>
        <v/>
      </c>
    </row>
    <row r="3086">
      <c r="A3086" t="inlineStr">
        <is>
          <t>Global Final Damage Bonus % (Mortal Blow)</t>
        </is>
      </c>
      <c r="B3086">
        <f>(C3065=TRUE)*F3065</f>
        <v/>
      </c>
    </row>
    <row r="3087">
      <c r="A3087" t="inlineStr">
        <is>
          <t>Buff-Casting Startup Delay (s, fixed-duration only)</t>
        </is>
      </c>
      <c r="B3087">
        <f>IF(AND(Inputs!$B$38&lt;&gt;"pvp",Inputs!$B$43&gt;0),SUMPRODUCT((Skills!T2:T31&gt;0)*(Skills!E2:E31=TRUE)*(C3048:C3077=TRUE))/B3082,0)</f>
        <v/>
      </c>
    </row>
    <row r="3088">
      <c r="A3088" t="inlineStr">
        <is>
          <t>Boss-Only Total DPS (this block's swept value)</t>
        </is>
      </c>
      <c r="B3088">
        <f>SUM(T3048:T3077)</f>
        <v/>
      </c>
    </row>
    <row r="3089">
      <c r="A3089" t="inlineStr">
        <is>
          <t>Normal-Only Total DPS (this block's swept value)</t>
        </is>
      </c>
      <c r="B3089">
        <f>SUM(V3048:V3077)</f>
        <v/>
      </c>
    </row>
    <row r="3090">
      <c r="A3090" s="6" t="inlineStr">
        <is>
          <t>TOTAL DPS</t>
        </is>
      </c>
      <c r="B3090" s="6">
        <f>SUM(O3048:O3077)</f>
        <v/>
      </c>
    </row>
    <row r="3093">
      <c r="A3093" s="6" t="inlineStr">
        <is>
          <t>Stat: CDR = 1.5s</t>
        </is>
      </c>
    </row>
    <row r="3094">
      <c r="A3094" s="5" t="inlineStr">
        <is>
          <t>Key</t>
        </is>
      </c>
      <c r="B3094" s="5" t="inlineStr">
        <is>
          <t>Name</t>
        </is>
      </c>
      <c r="C3094" s="5" t="inlineStr">
        <is>
          <t>Unlocked</t>
        </is>
      </c>
      <c r="D3094" s="5" t="inlineStr">
        <is>
          <t>InputLevel</t>
        </is>
      </c>
      <c r="E3094" s="5" t="inlineStr">
        <is>
          <t>Factor</t>
        </is>
      </c>
      <c r="F3094" s="5" t="inlineStr">
        <is>
          <t>CoefficientPercent</t>
        </is>
      </c>
      <c r="G3094" s="5" t="inlineStr">
        <is>
          <t>EffectiveHits</t>
        </is>
      </c>
      <c r="H3094" s="5" t="inlineStr">
        <is>
          <t>ProcProbability</t>
        </is>
      </c>
      <c r="I3094" s="5" t="inlineStr">
        <is>
          <t>MapleHeroMultiplier</t>
        </is>
      </c>
      <c r="J3094" s="5" t="inlineStr">
        <is>
          <t>BaseDamage</t>
        </is>
      </c>
      <c r="K3094" s="5" t="inlineStr">
        <is>
          <t>BaseHitDamage</t>
        </is>
      </c>
      <c r="L3094" s="5" t="inlineStr">
        <is>
          <t>NonCritAvg</t>
        </is>
      </c>
      <c r="M3094" s="5" t="inlineStr">
        <is>
          <t>CritAvg</t>
        </is>
      </c>
      <c r="N3094" s="5" t="inlineStr">
        <is>
          <t>ExpectedDamage(perHit)</t>
        </is>
      </c>
      <c r="O3094" s="5" t="inlineStr">
        <is>
          <t>DPS</t>
        </is>
      </c>
      <c r="P3094" s="5" t="inlineStr">
        <is>
          <t>% of Total</t>
        </is>
      </c>
      <c r="Q3094" s="5" t="inlineStr">
        <is>
          <t>InvCooldown</t>
        </is>
      </c>
      <c r="R3094" s="5" t="inlineStr">
        <is>
          <t>CastsInFight</t>
        </is>
      </c>
      <c r="S3094" s="5" t="inlineStr">
        <is>
          <t>HitRate(perSec)</t>
        </is>
      </c>
      <c r="U3094" t="inlineStr">
        <is>
          <t>helpers</t>
        </is>
      </c>
    </row>
    <row r="3095">
      <c r="A3095">
        <f>Skills!A2</f>
        <v/>
      </c>
      <c r="B3095">
        <f>Skills!B2</f>
        <v/>
      </c>
      <c r="C3095">
        <f>Inputs!$B$3&gt;=100</f>
        <v/>
      </c>
      <c r="D3095" t="inlineStr"/>
      <c r="E3095" t="inlineStr"/>
      <c r="F3095">
        <f>U3097+Skills!O2</f>
        <v/>
      </c>
      <c r="G3095">
        <f>Skills!G2*IF(Skills!H2&gt;0,Skills!I2/Skills!H2,1)</f>
        <v/>
      </c>
      <c r="H3095">
        <f>1-(1-Skills!J2/100)^Skills!K2</f>
        <v/>
      </c>
      <c r="I3095" t="inlineStr">
        <is>
          <t>1</t>
        </is>
      </c>
      <c r="J3095">
        <f>((Inputs!$B$6*(1+Inputs!$B$7/100))+(((Inputs!$B$12*(1+Inputs!$B$13/100))-(Inputs!$B$12*(1+Inputs!$B$13/100)))+0.25*(Inputs!$B$14-Inputs!$B$14))*(1+Inputs!$B$7/100))*(F3095/100)</f>
        <v/>
      </c>
      <c r="K3095">
        <f>J3095*(1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3095)</f>
        <v/>
      </c>
      <c r="L3095">
        <f>K3095*(MIN(Inputs!$B$22+((C3118=TRUE)*(F3118-Calc!F25)),(Inputs!$B$23+((C3123=TRUE)*(F3123-Calc!F30))+(IF(ArtifactsInput!$M$15,CHOOSE(ArtifactsInput!$N$15+1,25,30,35,40,45,50)/100*(Inputs!$B$11-Inputs!$B$11),0))))/100+(Inputs!$B$23+((C3123=TRUE)*(F3123-Calc!F30))+(IF(ArtifactsInput!$M$15,CHOOSE(ArtifactsInput!$N$15+1,25,30,35,40,45,50)/100*(Inputs!$B$11-Inputs!$B$11),0)))/100)/2</f>
        <v/>
      </c>
      <c r="M3095">
        <f>L3095*(1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5">
        <f>L3095*(1-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3095*(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5">
        <f>(1-Summary!$B$11)*T3095+Summary!$B$11*V3095</f>
        <v/>
      </c>
      <c r="P3095">
        <f>IF(B3137=0,0,O3095/B3137)</f>
        <v/>
      </c>
      <c r="Q3095" t="n">
        <v>0</v>
      </c>
      <c r="R3095" t="n">
        <v>0</v>
      </c>
      <c r="S3095">
        <f>IFERROR(O3095/N3095,0)</f>
        <v/>
      </c>
      <c r="T3095">
        <f>IF(C3095,(Skills!G2*N3095*B3131)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3095*(1-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3095*(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3095*(1-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3095*(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5">
        <f>MAX(0,(Inputs!$B$3-100)*3)+Inputs!$B$28+Inputs!$B$29</f>
        <v/>
      </c>
      <c r="V3095">
        <f>IF(C3095,(Skills!G2*N3095*B3131)*IF(Inputs!$B$38="pvp",1,(1+(Inputs!$B$21+Skills!Q2+(IF(ArtifactsInput!$M$33,CHOOSE(ArtifactsInput!$N$33+1,30,36,42,48,54,60),0))+(IF(AND(ArtifactsInput!$M$35,Inputs!$B$4&lt;&gt;"Chapter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6">
      <c r="A3096">
        <f>Skills!A3</f>
        <v/>
      </c>
      <c r="B3096">
        <f>Skills!B3</f>
        <v/>
      </c>
      <c r="C3096">
        <f>Inputs!$B$3&gt;=50</f>
        <v/>
      </c>
      <c r="D3096">
        <f>IF(Skills!C3=1,60+Inputs!$B$25+Inputs!$B$29,IF(Skills!C3=2,90+Inputs!$B$26+Inputs!$B$29,IF(Skills!C3=3,120+Inputs!$B$27+Inputs!$B$29,MAX(0,(Inputs!$B$3-100)*3)+Inputs!$B$28+Inputs!$B$29)))</f>
        <v/>
      </c>
      <c r="E3096">
        <f>INDEX(FactorTable!$B$2:$Y$301, MATCH(ROUND(MIN(300,MAX(1,D3096)),0), FactorTable!$A$2:$A$301,0), Skills!M3+1)</f>
        <v/>
      </c>
      <c r="F3096">
        <f>IF(Skills!N3=TRUE,(Skills!L3/10)*(E3096/1000),Skills!L3/10)+Skills!O3</f>
        <v/>
      </c>
      <c r="G3096">
        <f>Skills!G3*IF(Skills!H3&gt;0,Skills!I3/Skills!H3,1)</f>
        <v/>
      </c>
      <c r="H3096">
        <f>1-(1-Skills!J3/100)^Skills!K3</f>
        <v/>
      </c>
      <c r="I3096" t="inlineStr">
        <is>
          <t>1</t>
        </is>
      </c>
      <c r="J3096">
        <f>((Inputs!$B$6*(1+Inputs!$B$7/100))+(((Inputs!$B$12*(1+Inputs!$B$13/100))-(Inputs!$B$12*(1+Inputs!$B$13/100)))+0.25*(Inputs!$B$14-Inputs!$B$14))*(1+Inputs!$B$7/100))*(F3096/100)</f>
        <v/>
      </c>
      <c r="K3096">
        <f>J3096*(1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3097=TRUE,F3097,0)/100)*(1+(IF(Skills!A3="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3096)</f>
        <v/>
      </c>
      <c r="L3096">
        <f>K3096*(MIN(Inputs!$B$22+((C3118=TRUE)*(F3118-Calc!F25)),(Inputs!$B$23+((C3123=TRUE)*(F3123-Calc!F30))+(IF(ArtifactsInput!$M$15,CHOOSE(ArtifactsInput!$N$15+1,25,30,35,40,45,50)/100*(Inputs!$B$11-Inputs!$B$11),0))))/100+(Inputs!$B$23+((C3123=TRUE)*(F3123-Calc!F30))+(IF(ArtifactsInput!$M$15,CHOOSE(ArtifactsInput!$N$15+1,25,30,35,40,45,50)/100*(Inputs!$B$11-Inputs!$B$11),0)))/100)/2</f>
        <v/>
      </c>
      <c r="M3096">
        <f>L3096*(1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6">
        <f>L3096*(1-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3096*(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6">
        <f>(1-Summary!$B$11)*T3096+Summary!$B$11*V3096</f>
        <v/>
      </c>
      <c r="P3096">
        <f>IF(B3137=0,0,O3096/B3137)</f>
        <v/>
      </c>
      <c r="Q3096">
        <f>IFERROR(1/(IF(Inputs!$B$38="pvp",15,MAX(0.1,Skills!D3-IF(Skills!E3=TRUE,1.5,0)))*(1-IF(AND(ArtifactsInput!$M$27,Inputs!$B$4="Chapter Hunt"),CHOOSE(ArtifactsInput!$N$27+1,20,24,28,32,36,40),0)/100)),0)</f>
        <v/>
      </c>
      <c r="R3096">
        <f>IF(AND(Inputs!$B$38&lt;&gt;"pvp",Inputs!$B$43&gt;0),IF(MAX(0,Inputs!$B$43-B3134)&lt;=0,0,(INT(MAX(0,Inputs!$B$43-B3134)/(IF(Inputs!$B$38="pvp",15,MAX(0.1,Skills!D3-IF(Skills!E3=TRUE,1.5,0)))*(1-IF(AND(ArtifactsInput!$M$27,Inputs!$B$4="Chapter Hunt"),CHOOSE(ArtifactsInput!$N$27+1,20,24,28,32,36,40),0)/100)))+1)),0)</f>
        <v/>
      </c>
      <c r="S3096">
        <f>IFERROR(O3096/N3096,0)</f>
        <v/>
      </c>
      <c r="T3096">
        <f>IF(C3096,(H3096*N3096*IF(AND(Inputs!$B$38&lt;&gt;"pvp",Inputs!$B$43&gt;0),((Skills!G3*((R3096-1)*IF(Skills!H3&gt;0,Skills!I3/Skills!H3,1)+IF(Skills!H3&gt;0,MIN(Skills!I3,MAX(0,MAX(0,Inputs!$B$43-B3134)-((R3096-1)*(IF(Inputs!$B$38="pvp",15,MAX(0.1,Skills!D3-IF(Skills!E3=TRUE,1.5,0)))*(1-IF(AND(ArtifactsInput!$M$27,Inputs!$B$4="Chapter Hunt"),CHOOSE(ArtifactsInput!$N$27+1,20,24,28,32,36,40),0)/100)))))/Skills!H3,1)))/Inputs!$B$43),G3096*Q3096)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3096*(1-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3096*(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3096*(1-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3096*(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6">
        <f>INDEX(FactorTable!$B$2:$Y$301, MATCH(ROUND(MIN(300,MAX(1,U3095)),0), FactorTable!$A$2:$A$301,0), 22)</f>
        <v/>
      </c>
      <c r="V3096">
        <f>IF(C3096,(H3096*N3096*IF(AND(Inputs!$B$38&lt;&gt;"pvp",Inputs!$B$43&gt;0),((Skills!G3*((R3096-1)*IF(Skills!H3&gt;0,Skills!I3/Skills!H3,1)+IF(Skills!H3&gt;0,MIN(Skills!I3,MAX(0,MAX(0,Inputs!$B$43-B3134)-((R3096-1)*(IF(Inputs!$B$38="pvp",15,MAX(0.1,Skills!D3-IF(Skills!E3=TRUE,1.5,0)))*(1-IF(AND(ArtifactsInput!$M$27,Inputs!$B$4="Chapter Hunt"),CHOOSE(ArtifactsInput!$N$27+1,20,24,28,32,36,40),0)/100)))))/Skills!H3,1)))/Inputs!$B$43),G3096*Q3096))*IF(Inputs!$B$38="pvp",1,(1+(Inputs!$B$21+Skills!Q3+(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7">
      <c r="A3097">
        <f>Skills!A4</f>
        <v/>
      </c>
      <c r="B3097">
        <f>Skills!B4</f>
        <v/>
      </c>
      <c r="C3097">
        <f>Inputs!$B$3&gt;=105</f>
        <v/>
      </c>
      <c r="D3097">
        <f>IF(Skills!C4=1,60+Inputs!$B$25+Inputs!$B$29,IF(Skills!C4=2,90+Inputs!$B$26+Inputs!$B$29,IF(Skills!C4=3,120+Inputs!$B$27+Inputs!$B$29,MAX(0,(Inputs!$B$3-100)*3)+Inputs!$B$28+Inputs!$B$29)))</f>
        <v/>
      </c>
      <c r="E3097">
        <f>INDEX(FactorTable!$B$2:$Y$301, MATCH(ROUND(MIN(300,MAX(1,D3097)),0), FactorTable!$A$2:$A$301,0), Skills!M4+1)</f>
        <v/>
      </c>
      <c r="F3097">
        <f>IF(Skills!N4=TRUE,(Skills!L4/10)*(E3097/1000),Skills!L4/10)+Skills!O4</f>
        <v/>
      </c>
      <c r="G3097" t="inlineStr"/>
      <c r="H3097" t="inlineStr"/>
      <c r="I3097" t="inlineStr">
        <is>
          <t>1</t>
        </is>
      </c>
      <c r="J3097" t="inlineStr"/>
      <c r="K3097" t="inlineStr"/>
      <c r="L3097" t="inlineStr"/>
      <c r="M3097" t="inlineStr"/>
      <c r="N3097" t="inlineStr"/>
      <c r="O3097" t="inlineStr"/>
      <c r="P3097" t="inlineStr"/>
      <c r="Q3097" t="inlineStr"/>
      <c r="R3097" t="inlineStr"/>
      <c r="S3097" t="inlineStr"/>
      <c r="T3097" t="inlineStr"/>
      <c r="U3097">
        <f>290*U3096/1000</f>
        <v/>
      </c>
      <c r="V3097" t="inlineStr"/>
    </row>
    <row r="3098">
      <c r="A3098">
        <f>Skills!A5</f>
        <v/>
      </c>
      <c r="B3098">
        <f>Skills!B5</f>
        <v/>
      </c>
      <c r="C3098">
        <f>Inputs!$B$3&gt;=35</f>
        <v/>
      </c>
      <c r="D3098">
        <f>IF(Skills!C5=1,60+Inputs!$B$25+Inputs!$B$29,IF(Skills!C5=2,90+Inputs!$B$26+Inputs!$B$29,IF(Skills!C5=3,120+Inputs!$B$27+Inputs!$B$29,MAX(0,(Inputs!$B$3-100)*3)+Inputs!$B$28+Inputs!$B$29)))</f>
        <v/>
      </c>
      <c r="E3098">
        <f>INDEX(FactorTable!$B$2:$Y$301, MATCH(ROUND(MIN(300,MAX(1,D3098)),0), FactorTable!$A$2:$A$301,0), Skills!M5+1)</f>
        <v/>
      </c>
      <c r="F3098">
        <f>IF(Skills!N5=TRUE,(Skills!L5/10)*(E3098/1000),Skills!L5/10)+Skills!O5</f>
        <v/>
      </c>
      <c r="G3098">
        <f>Skills!G5*IF(Skills!H5&gt;0,Skills!I5/Skills!H5,1)</f>
        <v/>
      </c>
      <c r="H3098">
        <f>1-(1-Skills!J5/100)^Skills!K5</f>
        <v/>
      </c>
      <c r="I3098" t="inlineStr">
        <is>
          <t>1</t>
        </is>
      </c>
      <c r="J3098">
        <f>((Inputs!$B$6*(1+Inputs!$B$7/100))+(((Inputs!$B$12*(1+Inputs!$B$13/100))-(Inputs!$B$12*(1+Inputs!$B$13/100)))+0.25*(Inputs!$B$14-Inputs!$B$14))*(1+Inputs!$B$7/100))*(F3098/100)</f>
        <v/>
      </c>
      <c r="K3098">
        <f>J3098*(1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3104=TRUE,F3104,0)/100)*(1+(IF(Skills!A5="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3098)</f>
        <v/>
      </c>
      <c r="L3098">
        <f>K3098*(MIN(Inputs!$B$22+((C3118=TRUE)*(F3118-Calc!F25)),(Inputs!$B$23+((C3123=TRUE)*(F3123-Calc!F30))+(IF(ArtifactsInput!$M$15,CHOOSE(ArtifactsInput!$N$15+1,25,30,35,40,45,50)/100*(Inputs!$B$11-Inputs!$B$11),0))))/100+(Inputs!$B$23+((C3123=TRUE)*(F3123-Calc!F30))+(IF(ArtifactsInput!$M$15,CHOOSE(ArtifactsInput!$N$15+1,25,30,35,40,45,50)/100*(Inputs!$B$11-Inputs!$B$11),0)))/100)/2</f>
        <v/>
      </c>
      <c r="M3098">
        <f>L3098*(1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8">
        <f>L3098*(1-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3098*(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8">
        <f>(1-Summary!$B$11)*T3098+Summary!$B$11*V3098</f>
        <v/>
      </c>
      <c r="P3098">
        <f>IF(B3137=0,0,O3098/B3137)</f>
        <v/>
      </c>
      <c r="Q3098">
        <f>IFERROR(1/(IF(Inputs!$B$38="pvp",15,MAX(0.1,Skills!D5-IF(Skills!E5=TRUE,1.5,0)))*(1-IF(AND(ArtifactsInput!$M$27,Inputs!$B$4="Chapter Hunt"),CHOOSE(ArtifactsInput!$N$27+1,20,24,28,32,36,40),0)/100)),0)</f>
        <v/>
      </c>
      <c r="R3098">
        <f>IF(AND(Inputs!$B$38&lt;&gt;"pvp",Inputs!$B$43&gt;0),IF(MAX(0,Inputs!$B$43-B3134)&lt;=0,0,(INT(MAX(0,Inputs!$B$43-B3134)/(IF(Inputs!$B$38="pvp",15,MAX(0.1,Skills!D5-IF(Skills!E5=TRUE,1.5,0)))*(1-IF(AND(ArtifactsInput!$M$27,Inputs!$B$4="Chapter Hunt"),CHOOSE(ArtifactsInput!$N$27+1,20,24,28,32,36,40),0)/100)))+1)),0)</f>
        <v/>
      </c>
      <c r="S3098">
        <f>IFERROR(O3098/N3098,0)</f>
        <v/>
      </c>
      <c r="T3098">
        <f>IF(C3098,(H3098*N3098*IF(AND(Inputs!$B$38&lt;&gt;"pvp",Inputs!$B$43&gt;0),((Skills!G5*((R3098-1)*IF(Skills!H5&gt;0,Skills!I5/Skills!H5,1)+IF(Skills!H5&gt;0,MIN(Skills!I5,MAX(0,MAX(0,Inputs!$B$43-B3134)-((R3098-1)*(IF(Inputs!$B$38="pvp",15,MAX(0.1,Skills!D5-IF(Skills!E5=TRUE,1.5,0)))*(1-IF(AND(ArtifactsInput!$M$27,Inputs!$B$4="Chapter Hunt"),CHOOSE(ArtifactsInput!$N$27+1,20,24,28,32,36,40),0)/100)))))/Skills!H5,1)))/Inputs!$B$43),G3098*Q3098)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3098*(1-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3098*(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3098*(1-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3098*(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98">
        <f>IF(C3098,(H3098*N3098*IF(AND(Inputs!$B$38&lt;&gt;"pvp",Inputs!$B$43&gt;0),((Skills!G5*((R3098-1)*IF(Skills!H5&gt;0,Skills!I5/Skills!H5,1)+IF(Skills!H5&gt;0,MIN(Skills!I5,MAX(0,MAX(0,Inputs!$B$43-B3134)-((R3098-1)*(IF(Inputs!$B$38="pvp",15,MAX(0.1,Skills!D5-IF(Skills!E5=TRUE,1.5,0)))*(1-IF(AND(ArtifactsInput!$M$27,Inputs!$B$4="Chapter Hunt"),CHOOSE(ArtifactsInput!$N$27+1,20,24,28,32,36,40),0)/100)))))/Skills!H5,1)))/Inputs!$B$43),G3098*Q3098))*IF(Inputs!$B$38="pvp",1,(1+(Inputs!$B$21+Skills!Q5+(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9">
      <c r="A3099">
        <f>Skills!A6</f>
        <v/>
      </c>
      <c r="B3099">
        <f>Skills!B6</f>
        <v/>
      </c>
      <c r="C3099">
        <f>Inputs!$B$3&gt;=40</f>
        <v/>
      </c>
      <c r="D3099">
        <f>IF(Skills!C6=1,60+Inputs!$B$25+Inputs!$B$29,IF(Skills!C6=2,90+Inputs!$B$26+Inputs!$B$29,IF(Skills!C6=3,120+Inputs!$B$27+Inputs!$B$29,MAX(0,(Inputs!$B$3-100)*3)+Inputs!$B$28+Inputs!$B$29)))</f>
        <v/>
      </c>
      <c r="E3099">
        <f>INDEX(FactorTable!$B$2:$Y$301, MATCH(ROUND(MIN(300,MAX(1,D3099)),0), FactorTable!$A$2:$A$301,0), Skills!M6+1)</f>
        <v/>
      </c>
      <c r="F3099">
        <f>IF(Skills!N6=TRUE,(Skills!L6/10)*(E3099/1000),Skills!L6/10)+Skills!O6</f>
        <v/>
      </c>
      <c r="G3099">
        <f>Skills!G6*IF(Skills!H6&gt;0,Skills!I6/Skills!H6,1)</f>
        <v/>
      </c>
      <c r="H3099">
        <f>1-(1-Skills!J6/100)^Skills!K6</f>
        <v/>
      </c>
      <c r="I3099" t="inlineStr">
        <is>
          <t>1</t>
        </is>
      </c>
      <c r="J3099">
        <f>((Inputs!$B$6*(1+Inputs!$B$7/100))+(((Inputs!$B$12*(1+Inputs!$B$13/100))-(Inputs!$B$12*(1+Inputs!$B$13/100)))+0.25*(Inputs!$B$14-Inputs!$B$14))*(1+Inputs!$B$7/100))*(F3099/100)</f>
        <v/>
      </c>
      <c r="K3099">
        <f>J3099*(1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3100=TRUE,F3100,0)/100)*(1+(IF(Skills!A6="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3099)</f>
        <v/>
      </c>
      <c r="L3099">
        <f>K3099*(MIN(Inputs!$B$22+((C3118=TRUE)*(F3118-Calc!F25)),(Inputs!$B$23+((C3123=TRUE)*(F3123-Calc!F30))+(IF(ArtifactsInput!$M$15,CHOOSE(ArtifactsInput!$N$15+1,25,30,35,40,45,50)/100*(Inputs!$B$11-Inputs!$B$11),0))))/100+(Inputs!$B$23+((C3123=TRUE)*(F3123-Calc!F30))+(IF(ArtifactsInput!$M$15,CHOOSE(ArtifactsInput!$N$15+1,25,30,35,40,45,50)/100*(Inputs!$B$11-Inputs!$B$11),0)))/100)/2</f>
        <v/>
      </c>
      <c r="M3099">
        <f>L3099*(1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9">
        <f>L3099*(1-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3099*(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9">
        <f>(1-Summary!$B$11)*T3099+Summary!$B$11*V3099</f>
        <v/>
      </c>
      <c r="P3099">
        <f>IF(B3137=0,0,O3099/B3137)</f>
        <v/>
      </c>
      <c r="Q3099">
        <f>IFERROR(1/(IF(Inputs!$B$38="pvp",15,MAX(0.1,Skills!D6-IF(Skills!E6=TRUE,1.5,0)))*(1-IF(AND(ArtifactsInput!$M$27,Inputs!$B$4="Chapter Hunt"),CHOOSE(ArtifactsInput!$N$27+1,20,24,28,32,36,40),0)/100)),0)</f>
        <v/>
      </c>
      <c r="R3099">
        <f>IF(AND(Inputs!$B$38&lt;&gt;"pvp",Inputs!$B$43&gt;0),IF(MAX(0,Inputs!$B$43-B3134)&lt;=0,0,(INT(MAX(0,Inputs!$B$43-B3134)/(IF(Inputs!$B$38="pvp",15,MAX(0.1,Skills!D6-IF(Skills!E6=TRUE,1.5,0)))*(1-IF(AND(ArtifactsInput!$M$27,Inputs!$B$4="Chapter Hunt"),CHOOSE(ArtifactsInput!$N$27+1,20,24,28,32,36,40),0)/100)))+1)),0)</f>
        <v/>
      </c>
      <c r="S3099">
        <f>IFERROR(O3099/N3099,0)</f>
        <v/>
      </c>
      <c r="T3099">
        <f>IF(C3099,(H3099*N3099*IF(AND(Inputs!$B$38&lt;&gt;"pvp",Inputs!$B$43&gt;0),((Skills!G6*((R3099-1)*IF(Skills!H6&gt;0,Skills!I6/Skills!H6,1)+IF(Skills!H6&gt;0,MIN(Skills!I6,MAX(0,MAX(0,Inputs!$B$43-B3134)-((R3099-1)*(IF(Inputs!$B$38="pvp",15,MAX(0.1,Skills!D6-IF(Skills!E6=TRUE,1.5,0)))*(1-IF(AND(ArtifactsInput!$M$27,Inputs!$B$4="Chapter Hunt"),CHOOSE(ArtifactsInput!$N$27+1,20,24,28,32,36,40),0)/100)))))/Skills!H6,1)))/Inputs!$B$43),G3099*Q3099)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3099*(1-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3099*(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3099*(1-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3099*(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99">
        <f>IF(C3099,(H3099*N3099*IF(AND(Inputs!$B$38&lt;&gt;"pvp",Inputs!$B$43&gt;0),((Skills!G6*((R3099-1)*IF(Skills!H6&gt;0,Skills!I6/Skills!H6,1)+IF(Skills!H6&gt;0,MIN(Skills!I6,MAX(0,MAX(0,Inputs!$B$43-B3134)-((R3099-1)*(IF(Inputs!$B$38="pvp",15,MAX(0.1,Skills!D6-IF(Skills!E6=TRUE,1.5,0)))*(1-IF(AND(ArtifactsInput!$M$27,Inputs!$B$4="Chapter Hunt"),CHOOSE(ArtifactsInput!$N$27+1,20,24,28,32,36,40),0)/100)))))/Skills!H6,1)))/Inputs!$B$43),G3099*Q3099))*IF(Inputs!$B$38="pvp",1,(1+(Inputs!$B$21+Skills!Q6+(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0">
      <c r="A3100">
        <f>Skills!A7</f>
        <v/>
      </c>
      <c r="B3100">
        <f>Skills!B7</f>
        <v/>
      </c>
      <c r="C3100">
        <f>Inputs!$B$3&gt;=107</f>
        <v/>
      </c>
      <c r="D3100">
        <f>IF(Skills!C7=1,60+Inputs!$B$25+Inputs!$B$29,IF(Skills!C7=2,90+Inputs!$B$26+Inputs!$B$29,IF(Skills!C7=3,120+Inputs!$B$27+Inputs!$B$29,MAX(0,(Inputs!$B$3-100)*3)+Inputs!$B$28+Inputs!$B$29)))</f>
        <v/>
      </c>
      <c r="E3100">
        <f>INDEX(FactorTable!$B$2:$Y$301, MATCH(ROUND(MIN(300,MAX(1,D3100)),0), FactorTable!$A$2:$A$301,0), Skills!M7+1)</f>
        <v/>
      </c>
      <c r="F3100">
        <f>IF(Skills!N7=TRUE,(Skills!L7/10)*(E3100/1000),Skills!L7/10)+Skills!O7</f>
        <v/>
      </c>
      <c r="G3100" t="inlineStr"/>
      <c r="H3100" t="inlineStr"/>
      <c r="I3100" t="inlineStr">
        <is>
          <t>1</t>
        </is>
      </c>
      <c r="J3100" t="inlineStr"/>
      <c r="K3100" t="inlineStr"/>
      <c r="L3100" t="inlineStr"/>
      <c r="M3100" t="inlineStr"/>
      <c r="N3100" t="inlineStr"/>
      <c r="O3100" t="inlineStr"/>
      <c r="P3100" t="inlineStr"/>
      <c r="Q3100" t="inlineStr"/>
      <c r="R3100" t="inlineStr"/>
      <c r="S3100" t="inlineStr"/>
      <c r="T3100" t="inlineStr"/>
      <c r="V3100" t="inlineStr"/>
    </row>
    <row r="3101">
      <c r="A3101">
        <f>Skills!A8</f>
        <v/>
      </c>
      <c r="B3101">
        <f>Skills!B8</f>
        <v/>
      </c>
      <c r="C3101">
        <f>Inputs!$B$3&gt;=69</f>
        <v/>
      </c>
      <c r="D3101">
        <f>IF(Skills!C8=1,60+Inputs!$B$25+Inputs!$B$29,IF(Skills!C8=2,90+Inputs!$B$26+Inputs!$B$29,IF(Skills!C8=3,120+Inputs!$B$27+Inputs!$B$29,MAX(0,(Inputs!$B$3-100)*3)+Inputs!$B$28+Inputs!$B$29)))</f>
        <v/>
      </c>
      <c r="E3101">
        <f>INDEX(FactorTable!$B$2:$Y$301, MATCH(ROUND(MIN(300,MAX(1,D3101)),0), FactorTable!$A$2:$A$301,0), Skills!M8+1)</f>
        <v/>
      </c>
      <c r="F3101">
        <f>IF(Skills!N8=TRUE,(Skills!L8/10)*(E3101/1000),Skills!L8/10)+Skills!O8</f>
        <v/>
      </c>
      <c r="G3101">
        <f>Skills!G8*IF(Skills!H8&gt;0,Skills!I8/Skills!H8,1)</f>
        <v/>
      </c>
      <c r="H3101">
        <f>1-(1-Skills!J8/100)^Skills!K8</f>
        <v/>
      </c>
      <c r="I3101" t="inlineStr">
        <is>
          <t>1</t>
        </is>
      </c>
      <c r="J3101">
        <f>((Inputs!$B$6*(1+Inputs!$B$7/100))+(((Inputs!$B$12*(1+Inputs!$B$13/100))-(Inputs!$B$12*(1+Inputs!$B$13/100)))+0.25*(Inputs!$B$14-Inputs!$B$14))*(1+Inputs!$B$7/100))*(F3101/100)</f>
        <v/>
      </c>
      <c r="K3101">
        <f>J3101*(1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3104=TRUE,F3104,0)/100)*(1+(IF(Skills!A8="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3101)</f>
        <v/>
      </c>
      <c r="L3101">
        <f>K3101*(MIN(Inputs!$B$22+((C3118=TRUE)*(F3118-Calc!F25)),(Inputs!$B$23+((C3123=TRUE)*(F3123-Calc!F30))+(IF(ArtifactsInput!$M$15,CHOOSE(ArtifactsInput!$N$15+1,25,30,35,40,45,50)/100*(Inputs!$B$11-Inputs!$B$11),0))))/100+(Inputs!$B$23+((C3123=TRUE)*(F3123-Calc!F30))+(IF(ArtifactsInput!$M$15,CHOOSE(ArtifactsInput!$N$15+1,25,30,35,40,45,50)/100*(Inputs!$B$11-Inputs!$B$11),0)))/100)/2</f>
        <v/>
      </c>
      <c r="M3101">
        <f>L3101*(1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1">
        <f>L3101*(1-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1">
        <f>(1-Summary!$B$11)*T3101+Summary!$B$11*V3101</f>
        <v/>
      </c>
      <c r="P3101">
        <f>IF(B3137=0,0,O3101/B3137)</f>
        <v/>
      </c>
      <c r="Q3101">
        <f>IFERROR(1/(IF(Inputs!$B$38="pvp",15,MAX(0.1,Skills!D8-IF(Skills!E8=TRUE,1.5,0)))*(1-IF(AND(ArtifactsInput!$M$27,Inputs!$B$4="Chapter Hunt"),CHOOSE(ArtifactsInput!$N$27+1,20,24,28,32,36,40),0)/100)),0)</f>
        <v/>
      </c>
      <c r="R3101">
        <f>IF(AND(Inputs!$B$38&lt;&gt;"pvp",Inputs!$B$43&gt;0),IF(MAX(0,Inputs!$B$43-B3134)&lt;=0,0,(INT(MAX(0,Inputs!$B$43-B3134)/(IF(Inputs!$B$38="pvp",15,MAX(0.1,Skills!D8-IF(Skills!E8=TRUE,1.5,0)))*(1-IF(AND(ArtifactsInput!$M$27,Inputs!$B$4="Chapter Hunt"),CHOOSE(ArtifactsInput!$N$27+1,20,24,28,32,36,40),0)/100)))+1)),0)</f>
        <v/>
      </c>
      <c r="S3101">
        <f>IFERROR(O3101/N3101,0)</f>
        <v/>
      </c>
      <c r="T3101">
        <f>IF(C3101,(H3101*N3101*IF(AND(Inputs!$B$38&lt;&gt;"pvp",Inputs!$B$43&gt;0),((Skills!G8*((R3101-1)*IF(Skills!H8&gt;0,Skills!I8/Skills!H8,1)+IF(Skills!H8&gt;0,MIN(Skills!I8,MAX(0,MAX(0,Inputs!$B$43-B3134)-((R3101-1)*(IF(Inputs!$B$38="pvp",15,MAX(0.1,Skills!D8-IF(Skills!E8=TRUE,1.5,0)))*(1-IF(AND(ArtifactsInput!$M$27,Inputs!$B$4="Chapter Hunt"),CHOOSE(ArtifactsInput!$N$27+1,20,24,28,32,36,40),0)/100)))))/Skills!H8,1)))/Inputs!$B$43),G3101*Q3101)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3101*(1-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3101*(1-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1">
        <f>IF(C3101,(H3101*N3101*IF(AND(Inputs!$B$38&lt;&gt;"pvp",Inputs!$B$43&gt;0),((Skills!G8*((R3101-1)*IF(Skills!H8&gt;0,Skills!I8/Skills!H8,1)+IF(Skills!H8&gt;0,MIN(Skills!I8,MAX(0,MAX(0,Inputs!$B$43-B3134)-((R3101-1)*(IF(Inputs!$B$38="pvp",15,MAX(0.1,Skills!D8-IF(Skills!E8=TRUE,1.5,0)))*(1-IF(AND(ArtifactsInput!$M$27,Inputs!$B$4="Chapter Hunt"),CHOOSE(ArtifactsInput!$N$27+1,20,24,28,32,36,40),0)/100)))))/Skills!H8,1)))/Inputs!$B$43),G3101*Q3101))*IF(Inputs!$B$38="pvp",1,(1+(Inputs!$B$21+Skills!Q8+(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2">
      <c r="A3102">
        <f>Skills!A9</f>
        <v/>
      </c>
      <c r="B3102">
        <f>Skills!B9</f>
        <v/>
      </c>
      <c r="C3102">
        <f>Inputs!$B$3&gt;=63</f>
        <v/>
      </c>
      <c r="D3102">
        <f>IF(Skills!C9=1,60+Inputs!$B$25+Inputs!$B$29,IF(Skills!C9=2,90+Inputs!$B$26+Inputs!$B$29,IF(Skills!C9=3,120+Inputs!$B$27+Inputs!$B$29,MAX(0,(Inputs!$B$3-100)*3)+Inputs!$B$28+Inputs!$B$29)))</f>
        <v/>
      </c>
      <c r="E3102">
        <f>INDEX(FactorTable!$B$2:$Y$301, MATCH(ROUND(MIN(300,MAX(1,D3102)),0), FactorTable!$A$2:$A$301,0), Skills!M9+1)</f>
        <v/>
      </c>
      <c r="F3102">
        <f>IF(Skills!N9=TRUE,(Skills!L9/10)*(E3102/1000),Skills!L9/10)+Skills!O9</f>
        <v/>
      </c>
      <c r="G3102">
        <f>Skills!G9*IF(Skills!H9&gt;0,Skills!I9/Skills!H9,1)</f>
        <v/>
      </c>
      <c r="H3102">
        <f>1-(1-Skills!J9/100)^Skills!K9</f>
        <v/>
      </c>
      <c r="I3102" t="inlineStr">
        <is>
          <t>1</t>
        </is>
      </c>
      <c r="J3102">
        <f>((Inputs!$B$6*(1+Inputs!$B$7/100))+(((Inputs!$B$12*(1+Inputs!$B$13/100))-(Inputs!$B$12*(1+Inputs!$B$13/100)))+0.25*(Inputs!$B$14-Inputs!$B$14))*(1+Inputs!$B$7/100))*(F3102/100)</f>
        <v/>
      </c>
      <c r="K3102">
        <f>J3102*(1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3104=TRUE,F3104,0)/100)*(1+(IF(Skills!A9="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3102)</f>
        <v/>
      </c>
      <c r="L3102">
        <f>K3102*(MIN(Inputs!$B$22+((C3118=TRUE)*(F3118-Calc!F25)),(Inputs!$B$23+((C3123=TRUE)*(F3123-Calc!F30))+(IF(ArtifactsInput!$M$15,CHOOSE(ArtifactsInput!$N$15+1,25,30,35,40,45,50)/100*(Inputs!$B$11-Inputs!$B$11),0))))/100+(Inputs!$B$23+((C3123=TRUE)*(F3123-Calc!F30))+(IF(ArtifactsInput!$M$15,CHOOSE(ArtifactsInput!$N$15+1,25,30,35,40,45,50)/100*(Inputs!$B$11-Inputs!$B$11),0)))/100)/2</f>
        <v/>
      </c>
      <c r="M3102">
        <f>L3102*(1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2">
        <f>L3102*(1-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3102*(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2">
        <f>(1-Summary!$B$11)*T3102+Summary!$B$11*V3102</f>
        <v/>
      </c>
      <c r="P3102">
        <f>IF(B3137=0,0,O3102/B3137)</f>
        <v/>
      </c>
      <c r="Q3102">
        <f>IFERROR(1/(IF(Inputs!$B$38="pvp",15,MAX(0.1,Skills!D9-IF(Skills!E9=TRUE,1.5,0)))*(1-IF(AND(ArtifactsInput!$M$27,Inputs!$B$4="Chapter Hunt"),CHOOSE(ArtifactsInput!$N$27+1,20,24,28,32,36,40),0)/100)),0)</f>
        <v/>
      </c>
      <c r="R3102">
        <f>IF(AND(Inputs!$B$38&lt;&gt;"pvp",Inputs!$B$43&gt;0),IF(MAX(0,Inputs!$B$43-B3134)&lt;=0,0,(INT(MAX(0,Inputs!$B$43-B3134)/(IF(Inputs!$B$38="pvp",15,MAX(0.1,Skills!D9-IF(Skills!E9=TRUE,1.5,0)))*(1-IF(AND(ArtifactsInput!$M$27,Inputs!$B$4="Chapter Hunt"),CHOOSE(ArtifactsInput!$N$27+1,20,24,28,32,36,40),0)/100)))+1)),0)</f>
        <v/>
      </c>
      <c r="S3102">
        <f>IFERROR(O3102/N3102,0)</f>
        <v/>
      </c>
      <c r="T3102">
        <f>IF(C3102,(H3102*N3102*IF(AND(Inputs!$B$38&lt;&gt;"pvp",Inputs!$B$43&gt;0),((Skills!G9*((R3102-1)*IF(Skills!H9&gt;0,Skills!I9/Skills!H9,1)+IF(Skills!H9&gt;0,MIN(Skills!I9,MAX(0,MAX(0,Inputs!$B$43-B3134)-((R3102-1)*(IF(Inputs!$B$38="pvp",15,MAX(0.1,Skills!D9-IF(Skills!E9=TRUE,1.5,0)))*(1-IF(AND(ArtifactsInput!$M$27,Inputs!$B$4="Chapter Hunt"),CHOOSE(ArtifactsInput!$N$27+1,20,24,28,32,36,40),0)/100)))))/Skills!H9,1)))/Inputs!$B$43),G3102*Q3102)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3102*(1-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3102*(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3102*(1-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3102*(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2">
        <f>IF(C3102,(H3102*N3102*IF(AND(Inputs!$B$38&lt;&gt;"pvp",Inputs!$B$43&gt;0),((Skills!G9*((R3102-1)*IF(Skills!H9&gt;0,Skills!I9/Skills!H9,1)+IF(Skills!H9&gt;0,MIN(Skills!I9,MAX(0,MAX(0,Inputs!$B$43-B3134)-((R3102-1)*(IF(Inputs!$B$38="pvp",15,MAX(0.1,Skills!D9-IF(Skills!E9=TRUE,1.5,0)))*(1-IF(AND(ArtifactsInput!$M$27,Inputs!$B$4="Chapter Hunt"),CHOOSE(ArtifactsInput!$N$27+1,20,24,28,32,36,40),0)/100)))))/Skills!H9,1)))/Inputs!$B$43),G3102*Q3102))*IF(Inputs!$B$38="pvp",1,(1+(Inputs!$B$21+Skills!Q9+(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3">
      <c r="A3103">
        <f>Skills!A10</f>
        <v/>
      </c>
      <c r="B3103">
        <f>Skills!B10</f>
        <v/>
      </c>
      <c r="C3103">
        <f>Inputs!$B$3&gt;=103</f>
        <v/>
      </c>
      <c r="D3103">
        <f>IF(Skills!C10=1,60+Inputs!$B$25+Inputs!$B$29,IF(Skills!C10=2,90+Inputs!$B$26+Inputs!$B$29,IF(Skills!C10=3,120+Inputs!$B$27+Inputs!$B$29,MAX(0,(Inputs!$B$3-100)*3)+Inputs!$B$28+Inputs!$B$29)))</f>
        <v/>
      </c>
      <c r="E3103">
        <f>INDEX(FactorTable!$B$2:$Y$301, MATCH(ROUND(MIN(300,MAX(1,D3103)),0), FactorTable!$A$2:$A$301,0), Skills!M10+1)</f>
        <v/>
      </c>
      <c r="F3103">
        <f>IF(Skills!N10=TRUE,(Skills!L10/10)*(E3103/1000),Skills!L10/10)+Skills!O10</f>
        <v/>
      </c>
      <c r="G3103">
        <f>Skills!G10*IF(Skills!H10&gt;0,Skills!I10/Skills!H10,1)</f>
        <v/>
      </c>
      <c r="H3103">
        <f>1-(1-Skills!J10/100)^Skills!K10</f>
        <v/>
      </c>
      <c r="I3103" t="inlineStr">
        <is>
          <t>1</t>
        </is>
      </c>
      <c r="J3103">
        <f>((Inputs!$B$6*(1+Inputs!$B$7/100))+(((Inputs!$B$12*(1+Inputs!$B$13/100))-(Inputs!$B$12*(1+Inputs!$B$13/100)))+0.25*(Inputs!$B$14-Inputs!$B$14))*(1+Inputs!$B$7/100))*(F3103/100)</f>
        <v/>
      </c>
      <c r="K3103">
        <f>J3103*(1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3103)</f>
        <v/>
      </c>
      <c r="L3103">
        <f>K3103*(MIN(Inputs!$B$22+((C3118=TRUE)*(F3118-Calc!F25)),(Inputs!$B$23+((C3123=TRUE)*(F3123-Calc!F30))+(IF(ArtifactsInput!$M$15,CHOOSE(ArtifactsInput!$N$15+1,25,30,35,40,45,50)/100*(Inputs!$B$11-Inputs!$B$11),0))))/100+(Inputs!$B$23+((C3123=TRUE)*(F3123-Calc!F30))+(IF(ArtifactsInput!$M$15,CHOOSE(ArtifactsInput!$N$15+1,25,30,35,40,45,50)/100*(Inputs!$B$11-Inputs!$B$11),0)))/100)/2</f>
        <v/>
      </c>
      <c r="M3103">
        <f>L3103*(1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3">
        <f>L3103*(1-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3103*(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3">
        <f>(1-Summary!$B$11)*T3103+Summary!$B$11*V3103</f>
        <v/>
      </c>
      <c r="P3103">
        <f>IF(B3137=0,0,O3103/B3137)</f>
        <v/>
      </c>
      <c r="Q3103">
        <f>IFERROR(1/(IF(Inputs!$B$38="pvp",15,MAX(0.1,Skills!D10-IF(Skills!E10=TRUE,1.5,0)))*(1-IF(AND(ArtifactsInput!$M$27,Inputs!$B$4="Chapter Hunt"),CHOOSE(ArtifactsInput!$N$27+1,20,24,28,32,36,40),0)/100)),0)</f>
        <v/>
      </c>
      <c r="R3103">
        <f>IF(AND(Inputs!$B$38&lt;&gt;"pvp",Inputs!$B$43&gt;0),IF(MAX(0,Inputs!$B$43-B3134)&lt;=0,0,(INT(MAX(0,Inputs!$B$43-B3134)/(IF(Inputs!$B$38="pvp",15,MAX(0.1,Skills!D10-IF(Skills!E10=TRUE,1.5,0)))*(1-IF(AND(ArtifactsInput!$M$27,Inputs!$B$4="Chapter Hunt"),CHOOSE(ArtifactsInput!$N$27+1,20,24,28,32,36,40),0)/100)))+1)),0)</f>
        <v/>
      </c>
      <c r="S3103">
        <f>IFERROR(O3103/N3103,0)</f>
        <v/>
      </c>
      <c r="T3103">
        <f>IF(C3103,(H3103*N3103*IF(AND(Inputs!$B$38&lt;&gt;"pvp",Inputs!$B$43&gt;0),((Skills!G10*((R3103-1)*IF(Skills!H10&gt;0,Skills!I10/Skills!H10,1)+IF(Skills!H10&gt;0,MIN(Skills!I10,MAX(0,MAX(0,Inputs!$B$43-B3134)-((R3103-1)*(IF(Inputs!$B$38="pvp",15,MAX(0.1,Skills!D10-IF(Skills!E10=TRUE,1.5,0)))*(1-IF(AND(ArtifactsInput!$M$27,Inputs!$B$4="Chapter Hunt"),CHOOSE(ArtifactsInput!$N$27+1,20,24,28,32,36,40),0)/100)))))/Skills!H10,1)))/Inputs!$B$43),G3103*Q3103)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3103*(1-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3103*(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3103*(1-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3103*(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3">
        <f>IF(C3103,(H3103*N3103*IF(AND(Inputs!$B$38&lt;&gt;"pvp",Inputs!$B$43&gt;0),((Skills!G10*((R3103-1)*IF(Skills!H10&gt;0,Skills!I10/Skills!H10,1)+IF(Skills!H10&gt;0,MIN(Skills!I10,MAX(0,MAX(0,Inputs!$B$43-B3134)-((R3103-1)*(IF(Inputs!$B$38="pvp",15,MAX(0.1,Skills!D10-IF(Skills!E10=TRUE,1.5,0)))*(1-IF(AND(ArtifactsInput!$M$27,Inputs!$B$4="Chapter Hunt"),CHOOSE(ArtifactsInput!$N$27+1,20,24,28,32,36,40),0)/100)))))/Skills!H10,1)))/Inputs!$B$43),G3103*Q3103))*IF(Inputs!$B$38="pvp",1,(1+(Inputs!$B$21+Skills!Q10+(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4">
      <c r="A3104">
        <f>Skills!A11</f>
        <v/>
      </c>
      <c r="B3104">
        <f>Skills!B11</f>
        <v/>
      </c>
      <c r="C3104">
        <f>Inputs!$B$3&gt;=100</f>
        <v/>
      </c>
      <c r="D3104">
        <f>IF(Skills!C11=1,60+Inputs!$B$25+Inputs!$B$29,IF(Skills!C11=2,90+Inputs!$B$26+Inputs!$B$29,IF(Skills!C11=3,120+Inputs!$B$27+Inputs!$B$29,MAX(0,(Inputs!$B$3-100)*3)+Inputs!$B$28+Inputs!$B$29)))</f>
        <v/>
      </c>
      <c r="E3104">
        <f>INDEX(FactorTable!$B$2:$Y$301, MATCH(ROUND(MIN(300,MAX(1,D3104)),0), FactorTable!$A$2:$A$301,0), Skills!M11+1)</f>
        <v/>
      </c>
      <c r="F3104">
        <f>IF(Skills!N11=TRUE,(Skills!L11/10)*(E3104/1000),Skills!L11/10)+Skills!O11</f>
        <v/>
      </c>
      <c r="G3104" t="inlineStr"/>
      <c r="H3104" t="inlineStr"/>
      <c r="I3104" t="inlineStr">
        <is>
          <t>1</t>
        </is>
      </c>
      <c r="J3104" t="inlineStr"/>
      <c r="K3104" t="inlineStr"/>
      <c r="L3104" t="inlineStr"/>
      <c r="M3104" t="inlineStr"/>
      <c r="N3104" t="inlineStr"/>
      <c r="O3104" t="inlineStr"/>
      <c r="P3104" t="inlineStr"/>
      <c r="Q3104" t="inlineStr"/>
      <c r="R3104" t="inlineStr"/>
      <c r="S3104" t="inlineStr"/>
      <c r="T3104" t="inlineStr"/>
      <c r="V3104" t="inlineStr"/>
    </row>
    <row r="3105">
      <c r="A3105">
        <f>Skills!A12</f>
        <v/>
      </c>
      <c r="B3105">
        <f>Skills!B12</f>
        <v/>
      </c>
      <c r="C3105">
        <f>Inputs!$B$3&gt;=60</f>
        <v/>
      </c>
      <c r="D3105">
        <f>IF(Skills!C12=1,60+Inputs!$B$25+Inputs!$B$29,IF(Skills!C12=2,90+Inputs!$B$26+Inputs!$B$29,IF(Skills!C12=3,120+Inputs!$B$27+Inputs!$B$29,MAX(0,(Inputs!$B$3-100)*3)+Inputs!$B$28+Inputs!$B$29)))</f>
        <v/>
      </c>
      <c r="E3105">
        <f>INDEX(FactorTable!$B$2:$Y$301, MATCH(ROUND(MIN(300,MAX(1,D3105)),0), FactorTable!$A$2:$A$301,0), Skills!M12+1)</f>
        <v/>
      </c>
      <c r="F3105">
        <f>IF(Skills!N12=TRUE,(Skills!L12/10)*(E3105/1000),Skills!L12/10)+Skills!O12</f>
        <v/>
      </c>
      <c r="G3105">
        <f>Skills!G12*IF(Skills!H12&gt;0,Skills!I12/Skills!H12,1)</f>
        <v/>
      </c>
      <c r="H3105">
        <f>1-(1-Skills!J12/100)^Skills!K12</f>
        <v/>
      </c>
      <c r="I3105" t="inlineStr">
        <is>
          <t>1</t>
        </is>
      </c>
      <c r="J3105">
        <f>((Inputs!$B$6*(1+Inputs!$B$7/100))+(((Inputs!$B$12*(1+Inputs!$B$13/100))-(Inputs!$B$12*(1+Inputs!$B$13/100)))+0.25*(Inputs!$B$14-Inputs!$B$14))*(1+Inputs!$B$7/100))*(F3105/100)</f>
        <v/>
      </c>
      <c r="K3105">
        <f>J3105*(1+((Inputs!$B$12*(1+Inputs!$B$13/100))*0.01+Inputs!$B$14*0.0025)/100)*(1+Inputs!$B$15/100)*(1+Inputs!$B$16/100)*(5000/(6000+Inputs!$B$42*(1-(100*(1-(1-(Inputs!$B$19+((C3121=TRUE)*(F3121-Calc!F28)))/100)*(1-CHOOSE(ArtifactsInput!$N$40+1,5,6,7,8,9,10)/100)^(ArtifactsInput!$M$40-ArtifactsInput!$M$40)))/100)))*(1+(Inputs!$B$24+((C3119=TRUE)*(F3119-Calc!F26))+((C3120=TRUE)*(F3120-Calc!F27))+B3133)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3106=TRUE,F3106,0)/100)*(1+(IF(Skills!A12="ARROW_STREAM",Inputs!$B$17+((C3117=TRUE)*(F3117-Calc!F24))+(((IF(AND(ArtifactsInput!$M$42,((Inputs!$B$9+((C3114=TRUE)*(F3114-Calc!F21))+B3127+(ArtifactsInput!$M$24-ArtifactsInput!$M$24)*CHOOSE(ArtifactsInput!$N$24+1,10,12,14,16,18,20)+IF(ArtifactsInput!$M$10,CHOOSE(ArtifactsInput!$N$10+1,15,18,21,24,27,30)*(IF(Inputs!$B$38="pvp",MIN(15,15)/15,IF(AND(Inputs!$B$38&lt;&gt;"pvp",Inputs!$B$43&gt;0),MIN(15,Inputs!$B$43)/(Inputs!$B$43),0))),0)))&gt;=100),MIN(100,((Inputs!$B$9+((C3114=TRUE)*(F3114-Calc!F21))+B3127+(ArtifactsInput!$M$24-ArtifactsInput!$M$24)*CHOOSE(ArtifactsInput!$N$24+1,10,12,14,16,18,20)+IF(ArtifactsInput!$M$10,CHOOSE(ArtifactsInput!$N$10+1,15,18,21,24,27,30)*(IF(Inputs!$B$38="pvp",MIN(15,15)/15,IF(AND(Inputs!$B$38&lt;&gt;"pvp",Inputs!$B$43&gt;0),MIN(15,Inputs!$B$43)/(Inputs!$B$43),0))),0)))-100),0))*CHOOSE(ArtifactsInput!$N$42+1,0.6,0.72,0.84,0.96,1.08,1.2))),Inputs!$B$18+((C3122=TRUE)*(F3122-Calc!F29))+(IF(AND(ArtifactsInput!$M$42,((Inputs!$B$9+((C3114=TRUE)*(F3114-Calc!F21))+B3127+(ArtifactsInput!$M$24-ArtifactsInput!$M$24)*CHOOSE(ArtifactsInput!$N$24+1,10,12,14,16,18,20)+IF(ArtifactsInput!$M$10,CHOOSE(ArtifactsInput!$N$10+1,15,18,21,24,27,30)*(IF(Inputs!$B$38="pvp",MIN(15,15)/15,IF(AND(Inputs!$B$38&lt;&gt;"pvp",Inputs!$B$43&gt;0),MIN(15,Inputs!$B$43)/(Inputs!$B$43),0))),0)))&gt;=100),CHOOSE(ArtifactsInput!$N$42+1,40,48,56,64,72,80),0))))/100)*((1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3105)</f>
        <v/>
      </c>
      <c r="L3105">
        <f>K3105*(MIN(Inputs!$B$22+((C3118=TRUE)*(F3118-Calc!F25)),(Inputs!$B$23+((C3123=TRUE)*(F3123-Calc!F30))+(IF(ArtifactsInput!$M$15,CHOOSE(ArtifactsInput!$N$15+1,25,30,35,40,45,50)/100*(Inputs!$B$11-Inputs!$B$11),0))))/100+(Inputs!$B$23+((C3123=TRUE)*(F3123-Calc!F30))+(IF(ArtifactsInput!$M$15,CHOOSE(ArtifactsInput!$N$15+1,25,30,35,40,45,50)/100*(Inputs!$B$11-Inputs!$B$11),0)))/100)/2</f>
        <v/>
      </c>
      <c r="M3105">
        <f>L3105*(1+(Inputs!$B$10+0+B3132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5">
        <f>L3105*(1-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3105*(MIN((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5">
        <f>(1-Summary!$B$11)*T3105+Summary!$B$11*V3105</f>
        <v/>
      </c>
      <c r="P3105">
        <f>IF(B3137=0,0,O3105/B3137)</f>
        <v/>
      </c>
      <c r="Q3105">
        <f>IFERROR(1/(IF(Inputs!$B$38="pvp",15,MAX(0.1,Skills!D12-IF(Skills!E12=TRUE,1.5,0)))*(1-IF(AND(ArtifactsInput!$M$27,Inputs!$B$4="Chapter Hunt"),CHOOSE(ArtifactsInput!$N$27+1,20,24,28,32,36,40),0)/100)),0)</f>
        <v/>
      </c>
      <c r="R3105">
        <f>IF(AND(Inputs!$B$38&lt;&gt;"pvp",Inputs!$B$43&gt;0),IF(MAX(0,Inputs!$B$43-B3134)&lt;=0,0,(INT(MAX(0,Inputs!$B$43-B3134)/(IF(Inputs!$B$38="pvp",15,MAX(0.1,Skills!D12-IF(Skills!E12=TRUE,1.5,0)))*(1-IF(AND(ArtifactsInput!$M$27,Inputs!$B$4="Chapter Hunt"),CHOOSE(ArtifactsInput!$N$27+1,20,24,28,32,36,40),0)/100)))+1)),0)</f>
        <v/>
      </c>
      <c r="S3105">
        <f>IFERROR(O3105/N3105,0)</f>
        <v/>
      </c>
      <c r="T3105">
        <f>IF(C3105,(H3105*N3105*IF(AND(Inputs!$B$38&lt;&gt;"pvp",Inputs!$B$43&gt;0),((Skills!G12*((R3105-1)*IF(Skills!H12&gt;0,Skills!I12/Skills!H12,1)+IF(Skills!H12&gt;0,MIN(Skills!I12,MAX(0,MAX(0,Inputs!$B$43-B3134)-((R3105-1)*(IF(Inputs!$B$38="pvp",15,MAX(0.1,Skills!D12-IF(Skills!E12=TRUE,1.5,0)))*(1-IF(AND(ArtifactsInput!$M$27,Inputs!$B$4="Chapter Hunt"),CHOOSE(ArtifactsInput!$N$27+1,20,24,28,32,36,40),0)/100)))))/Skills!H12,1)))/Inputs!$B$43),G3105*Q3105)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(5000/(6000+Inputs!$B$42*(1-(100*(1-(1-(100*(1-(1-(Inputs!$B$19+((C3121=TRUE)*(F3121-Calc!F28)))/100)*(1-CHOOSE(ArtifactsInput!$N$40+1,5,6,7,8,9,10)/100)^(ArtifactsInput!$M$40-ArtifactsInput!$M$40)))/100)*(1-IF(ArtifactsInput!$M$40,CHOOSE(ArtifactsInput!$N$40+1,5,6,7,8,9,10),0)/100)^IF(Inputs!$B$38="pvp",1,2)))/100)))/(5000/(6000+Inputs!$B$42*(1-(100*(1-(1-(Inputs!$B$19+((C3121=TRUE)*(F3121-Calc!F28)))/100)*(1-CHOOSE(ArtifactsInput!$N$40+1,5,6,7,8,9,10)/100)^(ArtifactsInput!$M$40-ArtifactsInput!$M$40)))/100))))*((L3105*(1-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3105*(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3105*(1-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3105*(MIN(100,(Inputs!$B$9+((C3114=TRUE)*(F3114-Calc!F21))+B3127+(ArtifactsInput!$M$24-ArtifactsInput!$M$24)*CHOOSE(ArtifactsInput!$N$24+1,10,12,14,16,18,20)+(IF(AND(ArtifactsInput!$M$42,((Inputs!$B$9+((C3114=TRUE)*(F3114-Calc!F21))+B3127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5">
        <f>IF(C3105,(H3105*N3105*IF(AND(Inputs!$B$38&lt;&gt;"pvp",Inputs!$B$43&gt;0),((Skills!G12*((R3105-1)*IF(Skills!H12&gt;0,Skills!I12/Skills!H12,1)+IF(Skills!H12&gt;0,MIN(Skills!I12,MAX(0,MAX(0,Inputs!$B$43-B3134)-((R3105-1)*(IF(Inputs!$B$38="pvp",15,MAX(0.1,Skills!D12-IF(Skills!E12=TRUE,1.5,0)))*(1-IF(AND(ArtifactsInput!$M$27,Inputs!$B$4="Chapter Hunt"),CHOOSE(ArtifactsInput!$N$27+1,20,24,28,32,36,40),0)/100)))))/Skills!H12,1)))/Inputs!$B$43),G3105*Q3105))*IF(Inputs!$B$38="pvp",1,(1+(Inputs!$B$21+Skills!Q12+(IF(ArtifactsInput!$M$33,CHOOSE(ArtifactsInput!$N$33+1,30,36,42,48,54,60),0))+(IF(AND(ArtifactsInput!$M$35,Inputs!$B$4&lt;&gt;"Chapter Hunt"),CHOOSE(ArtifactsInput!$N$35+1,15,18,21,24,27,30)*(1-EXP(-(0.2*B3129)*5)),0)+IF(AND(ArtifactsInput!$M$22,Inputs!$B$4&lt;&gt;"Chapter Hunt"),CHOOSE(ArtifactsInput!$N$22+1,10,12,14,16,18,20)*((0*(((0.15*B3129*5))^0/1)+1*(((0.15*B3129*5))^1/1)+2*(((0.15*B3129*5))^2/2)+3*(((0.15*B3129*5))^3/6)+4*(((0.15*B3129*5))^4/24)+5*(((0.15*B3129*5))^5/120))/((((0.15*B3129*5))^0/1)+(((0.15*B3129*5))^1/1)+(((0.15*B3129*5))^2/2)+(((0.15*B3129*5))^3/6)+(((0.15*B3129*5))^4/24)+(((0.15*B3129*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6">
      <c r="A3106">
        <f>Skills!A13</f>
        <v/>
      </c>
      <c r="B3106">
        <f>Skills!B13</f>
        <v/>
      </c>
      <c r="C3106">
        <f>Inputs!$B$3&gt;=110</f>
        <v/>
      </c>
      <c r="D3106">
        <f>IF(Skills!C13=1,60+Inputs!$B$25+Inputs!$B$29,IF(Skills!C13=2,90+Inputs!$B$26+Inputs!$B$29,IF(Skills!C13=3,120+Inputs!$B$27+Inputs!$B$29,MAX(0,(Inputs!$B$3-100)*3)+Inputs!$B$28+Inputs!$B$29)))</f>
        <v/>
      </c>
      <c r="E3106">
        <f>INDEX(FactorTable!$B$2:$Y$301, MATCH(ROUND(MIN(300,MAX(1,D3106)),0), FactorTable!$A$2:$A$301,0), Skills!M13+1)</f>
        <v/>
      </c>
      <c r="F3106">
        <f>IF(Skills!N13=TRUE,(Skills!L13/10)*(E3106/1000),Skills!L13/10)+Skills!O13</f>
        <v/>
      </c>
      <c r="G3106" t="inlineStr"/>
      <c r="H3106" t="inlineStr"/>
      <c r="I3106" t="inlineStr">
        <is>
          <t>1</t>
        </is>
      </c>
      <c r="J3106" t="inlineStr"/>
      <c r="K3106" t="inlineStr"/>
      <c r="L3106" t="inlineStr"/>
      <c r="M3106" t="inlineStr"/>
      <c r="N3106" t="inlineStr"/>
      <c r="O3106" t="inlineStr"/>
      <c r="P3106" t="inlineStr"/>
      <c r="Q3106" t="inlineStr"/>
      <c r="R3106" t="inlineStr"/>
      <c r="S3106" t="inlineStr"/>
      <c r="T3106" t="inlineStr"/>
      <c r="V3106" t="inlineStr"/>
    </row>
    <row r="3107">
      <c r="A3107">
        <f>Skills!A14</f>
        <v/>
      </c>
      <c r="B3107">
        <f>Skills!B14</f>
        <v/>
      </c>
      <c r="C3107">
        <f>Inputs!$B$3&gt;=74</f>
        <v/>
      </c>
      <c r="D3107">
        <f>IF(Skills!C14=1,60+Inputs!$B$25+Inputs!$B$29,IF(Skills!C14=2,90+Inputs!$B$26+Inputs!$B$29,IF(Skills!C14=3,120+Inputs!$B$27+Inputs!$B$29,MAX(0,(Inputs!$B$3-100)*3)+Inputs!$B$28+Inputs!$B$29)))</f>
        <v/>
      </c>
      <c r="E3107">
        <f>INDEX(FactorTable!$B$2:$Y$301, MATCH(ROUND(MIN(300,MAX(1,D3107)),0), FactorTable!$A$2:$A$301,0), Skills!M14+1)</f>
        <v/>
      </c>
      <c r="F3107">
        <f>IF(Skills!N14=TRUE,(Skills!L14/10)*(E3107/1000),Skills!L14/10)+Skills!O14</f>
        <v/>
      </c>
      <c r="G3107">
        <f>Skills!G14*IF(Skills!H14&gt;0,Skills!I14/Skills!H14,1)</f>
        <v/>
      </c>
      <c r="H3107">
        <f>1-(1-Skills!J14/100)^Skills!K14</f>
        <v/>
      </c>
      <c r="I3107" t="inlineStr">
        <is>
          <t>1</t>
        </is>
      </c>
      <c r="J3107" t="inlineStr"/>
      <c r="K3107" t="inlineStr"/>
      <c r="L3107" t="inlineStr"/>
      <c r="M3107" t="inlineStr"/>
      <c r="N3107" t="inlineStr"/>
      <c r="O3107">
        <f>(1-Summary!$B$11)*T3107+Summary!$B$11*V3107</f>
        <v/>
      </c>
      <c r="P3107">
        <f>IF(B3137=0,0,O3107/B3137)</f>
        <v/>
      </c>
      <c r="Q3107" t="n">
        <v>0</v>
      </c>
      <c r="R3107" t="n">
        <v>0</v>
      </c>
      <c r="S3107">
        <f>IFERROR(O3107/N3107,0)</f>
        <v/>
      </c>
      <c r="T3107" t="n">
        <v>0</v>
      </c>
      <c r="V3107" t="n">
        <v>0</v>
      </c>
    </row>
    <row r="3108">
      <c r="A3108">
        <f>Skills!A15</f>
        <v/>
      </c>
      <c r="B3108">
        <f>Skills!B15</f>
        <v/>
      </c>
      <c r="C3108">
        <f>Inputs!$B$3&gt;=74</f>
        <v/>
      </c>
      <c r="D3108">
        <f>IF(Skills!C15=1,60+Inputs!$B$25+Inputs!$B$29,IF(Skills!C15=2,90+Inputs!$B$26+Inputs!$B$29,IF(Skills!C15=3,120+Inputs!$B$27+Inputs!$B$29,MAX(0,(Inputs!$B$3-100)*3)+Inputs!$B$28+Inputs!$B$29)))</f>
        <v/>
      </c>
      <c r="E3108">
        <f>INDEX(FactorTable!$B$2:$Y$301, MATCH(ROUND(MIN(300,MAX(1,D3108)),0), FactorTable!$A$2:$A$301,0), Skills!M15+1)</f>
        <v/>
      </c>
      <c r="F3108">
        <f>IF(Skills!N15=TRUE,(Skills!L15/10)*(E3108/1000),Skills!L15/10)+Skills!O15</f>
        <v/>
      </c>
      <c r="G3108">
        <f>Skills!G15*IF(Skills!H15&gt;0,Skills!I15/Skills!H15,1)</f>
        <v/>
      </c>
      <c r="H3108">
        <f>1-(1-Skills!J15/100)^Skills!K15</f>
        <v/>
      </c>
      <c r="I3108" t="inlineStr">
        <is>
          <t>1</t>
        </is>
      </c>
      <c r="J3108" t="inlineStr"/>
      <c r="K3108" t="inlineStr"/>
      <c r="L3108" t="inlineStr"/>
      <c r="M3108" t="inlineStr"/>
      <c r="N3108" t="inlineStr"/>
      <c r="O3108">
        <f>(1-Summary!$B$11)*T3108+Summary!$B$11*V3108</f>
        <v/>
      </c>
      <c r="P3108">
        <f>IF(B3137=0,0,O3108/B3137)</f>
        <v/>
      </c>
      <c r="Q3108" t="n">
        <v>0</v>
      </c>
      <c r="R3108" t="n">
        <v>0</v>
      </c>
      <c r="S3108">
        <f>IFERROR(O3108/N3108,0)</f>
        <v/>
      </c>
      <c r="T3108" t="n">
        <v>0</v>
      </c>
      <c r="V3108" t="n">
        <v>0</v>
      </c>
    </row>
    <row r="3109">
      <c r="A3109">
        <f>Skills!A16</f>
        <v/>
      </c>
      <c r="B3109">
        <f>Skills!B16</f>
        <v/>
      </c>
      <c r="C3109">
        <f>Inputs!$B$3&gt;=117</f>
        <v/>
      </c>
      <c r="D3109">
        <f>IF(Skills!C16=1,60+Inputs!$B$25+Inputs!$B$29,IF(Skills!C16=2,90+Inputs!$B$26+Inputs!$B$29,IF(Skills!C16=3,120+Inputs!$B$27+Inputs!$B$29,MAX(0,(Inputs!$B$3-100)*3)+Inputs!$B$28+Inputs!$B$29)))</f>
        <v/>
      </c>
      <c r="E3109">
        <f>INDEX(FactorTable!$B$2:$Y$301, MATCH(ROUND(MIN(300,MAX(1,D3109)),0), FactorTable!$A$2:$A$301,0), Skills!M16+1)</f>
        <v/>
      </c>
      <c r="F3109">
        <f>IF(Skills!N16=TRUE,(Skills!L16/10)*(E3109/1000),Skills!L16/10)+Skills!O16</f>
        <v/>
      </c>
      <c r="G3109">
        <f>Skills!G16*IF(Skills!H16&gt;0,Skills!I16/Skills!H16,1)</f>
        <v/>
      </c>
      <c r="H3109">
        <f>1-(1-Skills!J16/100)^Skills!K16</f>
        <v/>
      </c>
      <c r="I3109" t="inlineStr">
        <is>
          <t>1</t>
        </is>
      </c>
      <c r="J3109" t="inlineStr"/>
      <c r="K3109" t="inlineStr"/>
      <c r="L3109" t="inlineStr"/>
      <c r="M3109" t="inlineStr"/>
      <c r="N3109" t="inlineStr"/>
      <c r="O3109">
        <f>(1-Summary!$B$11)*T3109+Summary!$B$11*V3109</f>
        <v/>
      </c>
      <c r="P3109">
        <f>IF(B3137=0,0,O3109/B3137)</f>
        <v/>
      </c>
      <c r="Q3109">
        <f>IFERROR(1/(IF(Inputs!$B$38="pvp",15,MAX(0.1,Skills!D16-IF(Skills!E16=TRUE,1.5,0)))*(1-IF(AND(ArtifactsInput!$M$27,Inputs!$B$4="Chapter Hunt"),CHOOSE(ArtifactsInput!$N$27+1,20,24,28,32,36,40),0)/100)),0)</f>
        <v/>
      </c>
      <c r="R3109">
        <f>IF(AND(Inputs!$B$38&lt;&gt;"pvp",Inputs!$B$43&gt;0),IF(Inputs!$B$43&lt;=0,0,(INT(Inputs!$B$43/(IF(Inputs!$B$38="pvp",15,MAX(0.1,Skills!D16-IF(Skills!E16=TRUE,1.5,0)))*(1-IF(AND(ArtifactsInput!$M$27,Inputs!$B$4="Chapter Hunt"),CHOOSE(ArtifactsInput!$N$27+1,20,24,28,32,36,40),0)/100)))+1)),0)</f>
        <v/>
      </c>
      <c r="S3109">
        <f>IFERROR(O3109/N3109,0)</f>
        <v/>
      </c>
      <c r="T3109" t="n">
        <v>0</v>
      </c>
      <c r="V3109" t="n">
        <v>0</v>
      </c>
    </row>
    <row r="3110">
      <c r="A3110">
        <f>Skills!A17</f>
        <v/>
      </c>
      <c r="B3110">
        <f>Skills!B17</f>
        <v/>
      </c>
      <c r="C3110">
        <f>Inputs!$B$3&gt;=115</f>
        <v/>
      </c>
      <c r="D3110">
        <f>IF(Skills!C17=1,60+Inputs!$B$25+Inputs!$B$29,IF(Skills!C17=2,90+Inputs!$B$26+Inputs!$B$29,IF(Skills!C17=3,120+Inputs!$B$27+Inputs!$B$29,MAX(0,(Inputs!$B$3-100)*3)+Inputs!$B$28+Inputs!$B$29)))</f>
        <v/>
      </c>
      <c r="E3110">
        <f>INDEX(FactorTable!$B$2:$Y$301, MATCH(ROUND(MIN(300,MAX(1,D3110)),0), FactorTable!$A$2:$A$301,0), Skills!M17+1)</f>
        <v/>
      </c>
      <c r="F3110">
        <f>IF(Skills!N17=TRUE,(Skills!L17/10)*(E3110/1000),Skills!L17/10)+Skills!O17</f>
        <v/>
      </c>
      <c r="G3110">
        <f>Skills!G17*IF(Skills!H17&gt;0,Skills!I17/Skills!H17,1)</f>
        <v/>
      </c>
      <c r="H3110">
        <f>1-(1-Skills!J17/100)^Skills!K17</f>
        <v/>
      </c>
      <c r="I3110" t="inlineStr">
        <is>
          <t>1</t>
        </is>
      </c>
      <c r="J3110" t="inlineStr"/>
      <c r="K3110" t="inlineStr"/>
      <c r="L3110" t="inlineStr"/>
      <c r="M3110" t="inlineStr"/>
      <c r="N3110" t="inlineStr"/>
      <c r="O3110">
        <f>(1-Summary!$B$11)*T3110+Summary!$B$11*V3110</f>
        <v/>
      </c>
      <c r="P3110">
        <f>IF(B3137=0,0,O3110/B3137)</f>
        <v/>
      </c>
      <c r="Q3110">
        <f>IFERROR(1/(IF(Inputs!$B$38="pvp",15,MAX(0.1,Skills!D17-IF(Skills!E17=TRUE,1.5,0)))*(1-IF(AND(ArtifactsInput!$M$27,Inputs!$B$4="Chapter Hunt"),CHOOSE(ArtifactsInput!$N$27+1,20,24,28,32,36,40),0)/100)),0)</f>
        <v/>
      </c>
      <c r="R3110">
        <f>IF(AND(Inputs!$B$38&lt;&gt;"pvp",Inputs!$B$43&gt;0),IF(Inputs!$B$43&lt;=0,0,(INT(Inputs!$B$43/(IF(Inputs!$B$38="pvp",15,MAX(0.1,Skills!D17-IF(Skills!E17=TRUE,1.5,0)))*(1-IF(AND(ArtifactsInput!$M$27,Inputs!$B$4="Chapter Hunt"),CHOOSE(ArtifactsInput!$N$27+1,20,24,28,32,36,40),0)/100)))+1)),0)</f>
        <v/>
      </c>
      <c r="S3110">
        <f>IFERROR(O3110/N3110,0)</f>
        <v/>
      </c>
      <c r="T3110" t="n">
        <v>0</v>
      </c>
      <c r="V3110" t="n">
        <v>0</v>
      </c>
    </row>
    <row r="3111">
      <c r="A3111">
        <f>Skills!A18</f>
        <v/>
      </c>
      <c r="B3111">
        <f>Skills!B18</f>
        <v/>
      </c>
      <c r="C3111">
        <f>Inputs!$B$3&gt;=66</f>
        <v/>
      </c>
      <c r="D3111">
        <f>IF(Skills!C18=1,60+Inputs!$B$25+Inputs!$B$29,IF(Skills!C18=2,90+Inputs!$B$26+Inputs!$B$29,IF(Skills!C18=3,120+Inputs!$B$27+Inputs!$B$29,MAX(0,(Inputs!$B$3-100)*3)+Inputs!$B$28+Inputs!$B$29)))</f>
        <v/>
      </c>
      <c r="E3111">
        <f>INDEX(FactorTable!$B$2:$Y$301, MATCH(ROUND(MIN(300,MAX(1,D3111)),0), FactorTable!$A$2:$A$301,0), Skills!M18+1)</f>
        <v/>
      </c>
      <c r="F3111">
        <f>IF(Skills!N18=TRUE,(Skills!L18/10)*(E3111/1000),Skills!L18/10)+Skills!O18</f>
        <v/>
      </c>
      <c r="G3111">
        <f>Skills!G18*IF(Skills!H18&gt;0,Skills!I18/Skills!H18,1)</f>
        <v/>
      </c>
      <c r="H3111">
        <f>1-(1-Skills!J18/100)^Skills!K18</f>
        <v/>
      </c>
      <c r="I3111" t="inlineStr">
        <is>
          <t>1</t>
        </is>
      </c>
      <c r="J3111" t="inlineStr"/>
      <c r="K3111" t="inlineStr"/>
      <c r="L3111" t="inlineStr"/>
      <c r="M3111" t="inlineStr"/>
      <c r="N3111" t="inlineStr"/>
      <c r="O3111">
        <f>(1-Summary!$B$11)*T3111+Summary!$B$11*V3111</f>
        <v/>
      </c>
      <c r="P3111">
        <f>IF(B3137=0,0,O3111/B3137)</f>
        <v/>
      </c>
      <c r="Q3111" t="n">
        <v>0</v>
      </c>
      <c r="R3111" t="n">
        <v>0</v>
      </c>
      <c r="S3111">
        <f>IFERROR(O3111/N3111,0)</f>
        <v/>
      </c>
      <c r="T3111" t="n">
        <v>0</v>
      </c>
      <c r="V3111" t="n">
        <v>0</v>
      </c>
    </row>
    <row r="3112">
      <c r="A3112">
        <f>Skills!A19</f>
        <v/>
      </c>
      <c r="B3112">
        <f>Skills!B19</f>
        <v/>
      </c>
      <c r="C3112">
        <f>Inputs!$B$3&gt;=72</f>
        <v/>
      </c>
      <c r="D3112">
        <f>IF(Skills!C19=1,60+Inputs!$B$25+Inputs!$B$29,IF(Skills!C19=2,90+Inputs!$B$26+Inputs!$B$29,IF(Skills!C19=3,120+Inputs!$B$27+Inputs!$B$29,MAX(0,(Inputs!$B$3-100)*3)+Inputs!$B$28+Inputs!$B$29)))</f>
        <v/>
      </c>
      <c r="E3112">
        <f>INDEX(FactorTable!$B$2:$Y$301, MATCH(ROUND(MIN(300,MAX(1,D3112)),0), FactorTable!$A$2:$A$301,0), Skills!M19+1)</f>
        <v/>
      </c>
      <c r="F3112">
        <f>IF(Skills!N19=TRUE,(Skills!L19/10)*(E3112/1000),Skills!L19/10)+Skills!O19</f>
        <v/>
      </c>
      <c r="G3112">
        <f>Skills!G19*IF(Skills!H19&gt;0,Skills!I19/Skills!H19,1)</f>
        <v/>
      </c>
      <c r="H3112">
        <f>1-(1-Skills!J19/100)^Skills!K19</f>
        <v/>
      </c>
      <c r="I3112" t="inlineStr">
        <is>
          <t>1</t>
        </is>
      </c>
      <c r="J3112" t="inlineStr"/>
      <c r="K3112" t="inlineStr"/>
      <c r="L3112" t="inlineStr"/>
      <c r="M3112" t="inlineStr"/>
      <c r="N3112" t="inlineStr"/>
      <c r="O3112">
        <f>(1-Summary!$B$11)*T3112+Summary!$B$11*V3112</f>
        <v/>
      </c>
      <c r="P3112">
        <f>IF(B3137=0,0,O3112/B3137)</f>
        <v/>
      </c>
      <c r="Q3112" t="n">
        <v>0</v>
      </c>
      <c r="R3112" t="n">
        <v>0</v>
      </c>
      <c r="S3112">
        <f>IFERROR(O3112/N3112,0)</f>
        <v/>
      </c>
      <c r="T3112" t="n">
        <v>0</v>
      </c>
      <c r="V3112" t="n">
        <v>0</v>
      </c>
    </row>
    <row r="3113">
      <c r="A3113">
        <f>Skills!A20</f>
        <v/>
      </c>
      <c r="B3113">
        <f>Skills!B20</f>
        <v/>
      </c>
      <c r="C3113">
        <f>TRUE</f>
        <v/>
      </c>
      <c r="D3113">
        <f>IF(Skills!C20=1,60+Inputs!$B$25+Inputs!$B$29,IF(Skills!C20=2,90+Inputs!$B$26+Inputs!$B$29,IF(Skills!C20=3,120+Inputs!$B$27+Inputs!$B$29,MAX(0,(Inputs!$B$3-100)*3)+Inputs!$B$28+Inputs!$B$29)))</f>
        <v/>
      </c>
      <c r="E3113">
        <f>INDEX(FactorTable!$B$2:$Y$301, MATCH(ROUND(MIN(300,MAX(1,D3113)),0), FactorTable!$A$2:$A$301,0), Skills!M20+1)</f>
        <v/>
      </c>
      <c r="F3113">
        <f>IF(Skills!N20=TRUE,(Skills!L20/10)*(E3113/1000),Skills!L20/10)+Skills!O20</f>
        <v/>
      </c>
      <c r="G3113">
        <f>Skills!G20*IF(Skills!H20&gt;0,Skills!I20/Skills!H20,1)</f>
        <v/>
      </c>
      <c r="H3113">
        <f>1-(1-Skills!J20/100)^Skills!K20</f>
        <v/>
      </c>
      <c r="I3113" t="inlineStr">
        <is>
          <t>1</t>
        </is>
      </c>
      <c r="J3113" t="inlineStr"/>
      <c r="K3113" t="inlineStr"/>
      <c r="L3113" t="inlineStr"/>
      <c r="M3113" t="inlineStr"/>
      <c r="N3113" t="inlineStr"/>
      <c r="O3113">
        <f>(1-Summary!$B$11)*T3113+Summary!$B$11*V3113</f>
        <v/>
      </c>
      <c r="P3113">
        <f>IF(B3137=0,0,O3113/B3137)</f>
        <v/>
      </c>
      <c r="Q3113">
        <f>IFERROR(1/(IF(Inputs!$B$38="pvp",15,MAX(0.1,Skills!D20-IF(Skills!E20=TRUE,1.5,0)))*(1-IF(AND(ArtifactsInput!$M$27,Inputs!$B$4="Chapter Hunt"),CHOOSE(ArtifactsInput!$N$27+1,20,24,28,32,36,40),0)/100)),0)</f>
        <v/>
      </c>
      <c r="R3113">
        <f>IF(AND(Inputs!$B$38&lt;&gt;"pvp",Inputs!$B$43&gt;0),IF(Inputs!$B$43&lt;=0,0,(INT(Inputs!$B$43/(IF(Inputs!$B$38="pvp",15,MAX(0.1,Skills!D20-IF(Skills!E20=TRUE,1.5,0)))*(1-IF(AND(ArtifactsInput!$M$27,Inputs!$B$4="Chapter Hunt"),CHOOSE(ArtifactsInput!$N$27+1,20,24,28,32,36,40),0)/100)))+1)),0)</f>
        <v/>
      </c>
      <c r="S3113">
        <f>IFERROR(O3113/N3113,0)</f>
        <v/>
      </c>
      <c r="T3113" t="n">
        <v>0</v>
      </c>
      <c r="V3113" t="n">
        <v>0</v>
      </c>
    </row>
    <row r="3114">
      <c r="A3114">
        <f>Skills!A21</f>
        <v/>
      </c>
      <c r="B3114">
        <f>Skills!B21</f>
        <v/>
      </c>
      <c r="C3114">
        <f>Inputs!$B$3&gt;=15</f>
        <v/>
      </c>
      <c r="D3114">
        <f>IF(Skills!C21=1,60+Inputs!$B$25+Inputs!$B$29,IF(Skills!C21=2,90+Inputs!$B$26+Inputs!$B$29,IF(Skills!C21=3,120+Inputs!$B$27+Inputs!$B$29,MAX(0,(Inputs!$B$3-100)*3)+Inputs!$B$28+Inputs!$B$29)))</f>
        <v/>
      </c>
      <c r="E3114">
        <f>INDEX(FactorTable!$B$2:$Y$301, MATCH(ROUND(MIN(300,MAX(1,D3114)),0), FactorTable!$A$2:$A$301,0), Skills!M21+1)</f>
        <v/>
      </c>
      <c r="F3114">
        <f>IF(Skills!N21=TRUE,(Skills!L21/10)*(E3114/1000),Skills!L21/10)+Skills!O21</f>
        <v/>
      </c>
      <c r="G3114">
        <f>Skills!G21*IF(Skills!H21&gt;0,Skills!I21/Skills!H21,1)</f>
        <v/>
      </c>
      <c r="H3114">
        <f>1-(1-Skills!J21/100)^Skills!K21</f>
        <v/>
      </c>
      <c r="I3114" t="inlineStr">
        <is>
          <t>1</t>
        </is>
      </c>
      <c r="J3114" t="inlineStr"/>
      <c r="K3114" t="inlineStr"/>
      <c r="L3114" t="inlineStr"/>
      <c r="M3114" t="inlineStr"/>
      <c r="N3114" t="inlineStr"/>
      <c r="O3114">
        <f>(1-Summary!$B$11)*T3114+Summary!$B$11*V3114</f>
        <v/>
      </c>
      <c r="P3114">
        <f>IF(B3137=0,0,O3114/B3137)</f>
        <v/>
      </c>
      <c r="Q3114" t="n">
        <v>0</v>
      </c>
      <c r="R3114" t="n">
        <v>0</v>
      </c>
      <c r="S3114">
        <f>IFERROR(O3114/N3114,0)</f>
        <v/>
      </c>
      <c r="T3114" t="n">
        <v>0</v>
      </c>
      <c r="V3114" t="n">
        <v>0</v>
      </c>
    </row>
    <row r="3115">
      <c r="A3115">
        <f>Skills!A22</f>
        <v/>
      </c>
      <c r="B3115">
        <f>Skills!B22</f>
        <v/>
      </c>
      <c r="C3115">
        <f>Inputs!$B$3&gt;=10</f>
        <v/>
      </c>
      <c r="D3115">
        <f>IF(Skills!C22=1,60+Inputs!$B$25+Inputs!$B$29,IF(Skills!C22=2,90+Inputs!$B$26+Inputs!$B$29,IF(Skills!C22=3,120+Inputs!$B$27+Inputs!$B$29,MAX(0,(Inputs!$B$3-100)*3)+Inputs!$B$28+Inputs!$B$29)))</f>
        <v/>
      </c>
      <c r="E3115">
        <f>INDEX(FactorTable!$B$2:$Y$301, MATCH(ROUND(MIN(300,MAX(1,D3115)),0), FactorTable!$A$2:$A$301,0), Skills!M22+1)</f>
        <v/>
      </c>
      <c r="F3115">
        <f>IF(Skills!N22=TRUE,(Skills!L22/10)*(E3115/1000),Skills!L22/10)+Skills!O22</f>
        <v/>
      </c>
      <c r="G3115">
        <f>Skills!G22*IF(Skills!H22&gt;0,Skills!I22/Skills!H22,1)</f>
        <v/>
      </c>
      <c r="H3115">
        <f>1-(1-Skills!J22/100)^Skills!K22</f>
        <v/>
      </c>
      <c r="I3115" t="inlineStr">
        <is>
          <t>1</t>
        </is>
      </c>
      <c r="J3115" t="inlineStr"/>
      <c r="K3115" t="inlineStr"/>
      <c r="L3115" t="inlineStr"/>
      <c r="M3115" t="inlineStr"/>
      <c r="N3115" t="inlineStr"/>
      <c r="O3115">
        <f>(1-Summary!$B$11)*T3115+Summary!$B$11*V3115</f>
        <v/>
      </c>
      <c r="P3115">
        <f>IF(B3137=0,0,O3115/B3137)</f>
        <v/>
      </c>
      <c r="Q3115" t="n">
        <v>0</v>
      </c>
      <c r="R3115" t="n">
        <v>0</v>
      </c>
      <c r="S3115">
        <f>IFERROR(O3115/N3115,0)</f>
        <v/>
      </c>
      <c r="T3115" t="n">
        <v>0</v>
      </c>
      <c r="V3115" t="n">
        <v>0</v>
      </c>
    </row>
    <row r="3116">
      <c r="A3116">
        <f>Skills!A23</f>
        <v/>
      </c>
      <c r="B3116">
        <f>Skills!B23</f>
        <v/>
      </c>
      <c r="C3116">
        <f>Inputs!$B$3&gt;=33</f>
        <v/>
      </c>
      <c r="D3116">
        <f>IF(Skills!C23=1,60+Inputs!$B$25+Inputs!$B$29,IF(Skills!C23=2,90+Inputs!$B$26+Inputs!$B$29,IF(Skills!C23=3,120+Inputs!$B$27+Inputs!$B$29,MAX(0,(Inputs!$B$3-100)*3)+Inputs!$B$28+Inputs!$B$29)))</f>
        <v/>
      </c>
      <c r="E3116">
        <f>INDEX(FactorTable!$B$2:$Y$301, MATCH(ROUND(MIN(300,MAX(1,D3116)),0), FactorTable!$A$2:$A$301,0), Skills!M23+1)</f>
        <v/>
      </c>
      <c r="F3116">
        <f>IF(Skills!N23=TRUE,(Skills!L23/10)*(E3116/1000),Skills!L23/10)+Skills!O23</f>
        <v/>
      </c>
      <c r="G3116">
        <f>Skills!G23*IF(Skills!H23&gt;0,Skills!I23/Skills!H23,1)</f>
        <v/>
      </c>
      <c r="H3116">
        <f>1-(1-Skills!J23/100)^Skills!K23</f>
        <v/>
      </c>
      <c r="I3116" t="inlineStr">
        <is>
          <t>1</t>
        </is>
      </c>
      <c r="J3116" t="inlineStr"/>
      <c r="K3116" t="inlineStr"/>
      <c r="L3116" t="inlineStr"/>
      <c r="M3116" t="inlineStr"/>
      <c r="N3116" t="inlineStr"/>
      <c r="O3116">
        <f>(1-Summary!$B$11)*T3116+Summary!$B$11*V3116</f>
        <v/>
      </c>
      <c r="P3116">
        <f>IF(B3137=0,0,O3116/B3137)</f>
        <v/>
      </c>
      <c r="Q3116" t="n">
        <v>0</v>
      </c>
      <c r="R3116" t="n">
        <v>0</v>
      </c>
      <c r="S3116">
        <f>IFERROR(O3116/N3116,0)</f>
        <v/>
      </c>
      <c r="T3116" t="n">
        <v>0</v>
      </c>
      <c r="V3116" t="n">
        <v>0</v>
      </c>
    </row>
    <row r="3117">
      <c r="A3117">
        <f>Skills!A24</f>
        <v/>
      </c>
      <c r="B3117">
        <f>Skills!B24</f>
        <v/>
      </c>
      <c r="C3117">
        <f>Inputs!$B$3&gt;=38</f>
        <v/>
      </c>
      <c r="D3117">
        <f>IF(Skills!C24=1,60+Inputs!$B$25+Inputs!$B$29,IF(Skills!C24=2,90+Inputs!$B$26+Inputs!$B$29,IF(Skills!C24=3,120+Inputs!$B$27+Inputs!$B$29,MAX(0,(Inputs!$B$3-100)*3)+Inputs!$B$28+Inputs!$B$29)))</f>
        <v/>
      </c>
      <c r="E3117">
        <f>INDEX(FactorTable!$B$2:$Y$301, MATCH(ROUND(MIN(300,MAX(1,D3117)),0), FactorTable!$A$2:$A$301,0), Skills!M24+1)</f>
        <v/>
      </c>
      <c r="F3117">
        <f>IF(Skills!N24=TRUE,(Skills!L24/10)*(E3117/1000),Skills!L24/10)+Skills!O24</f>
        <v/>
      </c>
      <c r="G3117">
        <f>Skills!G24*IF(Skills!H24&gt;0,Skills!I24/Skills!H24,1)</f>
        <v/>
      </c>
      <c r="H3117">
        <f>1-(1-Skills!J24/100)^Skills!K24</f>
        <v/>
      </c>
      <c r="I3117" t="inlineStr">
        <is>
          <t>1</t>
        </is>
      </c>
      <c r="J3117" t="inlineStr"/>
      <c r="K3117" t="inlineStr"/>
      <c r="L3117" t="inlineStr"/>
      <c r="M3117" t="inlineStr"/>
      <c r="N3117" t="inlineStr"/>
      <c r="O3117">
        <f>(1-Summary!$B$11)*T3117+Summary!$B$11*V3117</f>
        <v/>
      </c>
      <c r="P3117">
        <f>IF(B3137=0,0,O3117/B3137)</f>
        <v/>
      </c>
      <c r="Q3117" t="n">
        <v>0</v>
      </c>
      <c r="R3117" t="n">
        <v>0</v>
      </c>
      <c r="S3117">
        <f>IFERROR(O3117/N3117,0)</f>
        <v/>
      </c>
      <c r="T3117" t="n">
        <v>0</v>
      </c>
      <c r="V3117" t="n">
        <v>0</v>
      </c>
    </row>
    <row r="3118">
      <c r="A3118">
        <f>Skills!A25</f>
        <v/>
      </c>
      <c r="B3118">
        <f>Skills!B25</f>
        <v/>
      </c>
      <c r="C3118">
        <f>Inputs!$B$3&gt;=43</f>
        <v/>
      </c>
      <c r="D3118">
        <f>IF(Skills!C25=1,60+Inputs!$B$25+Inputs!$B$29,IF(Skills!C25=2,90+Inputs!$B$26+Inputs!$B$29,IF(Skills!C25=3,120+Inputs!$B$27+Inputs!$B$29,MAX(0,(Inputs!$B$3-100)*3)+Inputs!$B$28+Inputs!$B$29)))</f>
        <v/>
      </c>
      <c r="E3118">
        <f>INDEX(FactorTable!$B$2:$Y$301, MATCH(ROUND(MIN(300,MAX(1,D3118)),0), FactorTable!$A$2:$A$301,0), Skills!M25+1)</f>
        <v/>
      </c>
      <c r="F3118">
        <f>IF(Skills!N25=TRUE,(Skills!L25/10)*(E3118/1000),Skills!L25/10)+Skills!O25</f>
        <v/>
      </c>
      <c r="G3118">
        <f>Skills!G25*IF(Skills!H25&gt;0,Skills!I25/Skills!H25,1)</f>
        <v/>
      </c>
      <c r="H3118">
        <f>1-(1-Skills!J25/100)^Skills!K25</f>
        <v/>
      </c>
      <c r="I3118" t="inlineStr">
        <is>
          <t>1</t>
        </is>
      </c>
      <c r="J3118" t="inlineStr"/>
      <c r="K3118" t="inlineStr"/>
      <c r="L3118" t="inlineStr"/>
      <c r="M3118" t="inlineStr"/>
      <c r="N3118" t="inlineStr"/>
      <c r="O3118">
        <f>(1-Summary!$B$11)*T3118+Summary!$B$11*V3118</f>
        <v/>
      </c>
      <c r="P3118">
        <f>IF(B3137=0,0,O3118/B3137)</f>
        <v/>
      </c>
      <c r="Q3118" t="n">
        <v>0</v>
      </c>
      <c r="R3118" t="n">
        <v>0</v>
      </c>
      <c r="S3118">
        <f>IFERROR(O3118/N3118,0)</f>
        <v/>
      </c>
      <c r="T3118" t="n">
        <v>0</v>
      </c>
      <c r="V3118" t="n">
        <v>0</v>
      </c>
    </row>
    <row r="3119">
      <c r="A3119">
        <f>Skills!A26</f>
        <v/>
      </c>
      <c r="B3119">
        <f>Skills!B26</f>
        <v/>
      </c>
      <c r="C3119">
        <f>Inputs!$B$3&gt;=75</f>
        <v/>
      </c>
      <c r="D3119">
        <f>IF(Skills!C26=1,60+Inputs!$B$25+Inputs!$B$29,IF(Skills!C26=2,90+Inputs!$B$26+Inputs!$B$29,IF(Skills!C26=3,120+Inputs!$B$27+Inputs!$B$29,MAX(0,(Inputs!$B$3-100)*3)+Inputs!$B$28+Inputs!$B$29)))</f>
        <v/>
      </c>
      <c r="E3119">
        <f>INDEX(FactorTable!$B$2:$Y$301, MATCH(ROUND(MIN(300,MAX(1,D3119)),0), FactorTable!$A$2:$A$301,0), Skills!M26+1)</f>
        <v/>
      </c>
      <c r="F3119">
        <f>IF(Skills!N26=TRUE,(Skills!L26/10)*(E3119/1000),Skills!L26/10)+Skills!O26</f>
        <v/>
      </c>
      <c r="G3119">
        <f>Skills!G26*IF(Skills!H26&gt;0,Skills!I26/Skills!H26,1)</f>
        <v/>
      </c>
      <c r="H3119">
        <f>1-(1-Skills!J26/100)^Skills!K26</f>
        <v/>
      </c>
      <c r="I3119" t="inlineStr">
        <is>
          <t>1</t>
        </is>
      </c>
      <c r="J3119" t="inlineStr"/>
      <c r="K3119" t="inlineStr"/>
      <c r="L3119" t="inlineStr"/>
      <c r="M3119" t="inlineStr"/>
      <c r="N3119" t="inlineStr"/>
      <c r="O3119">
        <f>(1-Summary!$B$11)*T3119+Summary!$B$11*V3119</f>
        <v/>
      </c>
      <c r="P3119">
        <f>IF(B3137=0,0,O3119/B3137)</f>
        <v/>
      </c>
      <c r="Q3119" t="n">
        <v>0</v>
      </c>
      <c r="R3119" t="n">
        <v>0</v>
      </c>
      <c r="S3119">
        <f>IFERROR(O3119/N3119,0)</f>
        <v/>
      </c>
      <c r="T3119" t="n">
        <v>0</v>
      </c>
      <c r="V3119" t="n">
        <v>0</v>
      </c>
    </row>
    <row r="3120">
      <c r="A3120">
        <f>Skills!A27</f>
        <v/>
      </c>
      <c r="B3120">
        <f>Skills!B27</f>
        <v/>
      </c>
      <c r="C3120">
        <f>Inputs!$B$3&gt;=125</f>
        <v/>
      </c>
      <c r="D3120">
        <f>IF(Skills!C27=1,60+Inputs!$B$25+Inputs!$B$29,IF(Skills!C27=2,90+Inputs!$B$26+Inputs!$B$29,IF(Skills!C27=3,120+Inputs!$B$27+Inputs!$B$29,MAX(0,(Inputs!$B$3-100)*3)+Inputs!$B$28+Inputs!$B$29)))</f>
        <v/>
      </c>
      <c r="E3120">
        <f>INDEX(FactorTable!$B$2:$Y$301, MATCH(ROUND(MIN(300,MAX(1,D3120)),0), FactorTable!$A$2:$A$301,0), Skills!M27+1)</f>
        <v/>
      </c>
      <c r="F3120">
        <f>IF(Skills!N27=TRUE,(Skills!L27/10)*(E3120/1000),Skills!L27/10)+Skills!O27</f>
        <v/>
      </c>
      <c r="G3120">
        <f>Skills!G27*IF(Skills!H27&gt;0,Skills!I27/Skills!H27,1)</f>
        <v/>
      </c>
      <c r="H3120">
        <f>1-(1-Skills!J27/100)^Skills!K27</f>
        <v/>
      </c>
      <c r="I3120" t="inlineStr">
        <is>
          <t>1</t>
        </is>
      </c>
      <c r="J3120" t="inlineStr"/>
      <c r="K3120" t="inlineStr"/>
      <c r="L3120" t="inlineStr"/>
      <c r="M3120" t="inlineStr"/>
      <c r="N3120" t="inlineStr"/>
      <c r="O3120">
        <f>(1-Summary!$B$11)*T3120+Summary!$B$11*V3120</f>
        <v/>
      </c>
      <c r="P3120">
        <f>IF(B3137=0,0,O3120/B3137)</f>
        <v/>
      </c>
      <c r="Q3120" t="n">
        <v>0</v>
      </c>
      <c r="R3120" t="n">
        <v>0</v>
      </c>
      <c r="S3120">
        <f>IFERROR(O3120/N3120,0)</f>
        <v/>
      </c>
      <c r="T3120" t="n">
        <v>0</v>
      </c>
      <c r="V3120" t="n">
        <v>0</v>
      </c>
    </row>
    <row r="3121">
      <c r="A3121">
        <f>Skills!A28</f>
        <v/>
      </c>
      <c r="B3121">
        <f>Skills!B28</f>
        <v/>
      </c>
      <c r="C3121">
        <f>Inputs!$B$3&gt;=125</f>
        <v/>
      </c>
      <c r="D3121">
        <f>IF(Skills!C28=1,60+Inputs!$B$25+Inputs!$B$29,IF(Skills!C28=2,90+Inputs!$B$26+Inputs!$B$29,IF(Skills!C28=3,120+Inputs!$B$27+Inputs!$B$29,MAX(0,(Inputs!$B$3-100)*3)+Inputs!$B$28+Inputs!$B$29)))</f>
        <v/>
      </c>
      <c r="E3121">
        <f>INDEX(FactorTable!$B$2:$Y$301, MATCH(ROUND(MIN(300,MAX(1,D3121)),0), FactorTable!$A$2:$A$301,0), Skills!M28+1)</f>
        <v/>
      </c>
      <c r="F3121">
        <f>IF(Skills!N28=TRUE,(Skills!L28/10)*(E3121/1000),Skills!L28/10)+Skills!O28</f>
        <v/>
      </c>
      <c r="G3121">
        <f>Skills!G28*IF(Skills!H28&gt;0,Skills!I28/Skills!H28,1)</f>
        <v/>
      </c>
      <c r="H3121">
        <f>1-(1-Skills!J28/100)^Skills!K28</f>
        <v/>
      </c>
      <c r="I3121" t="inlineStr">
        <is>
          <t>1</t>
        </is>
      </c>
      <c r="J3121" t="inlineStr"/>
      <c r="K3121" t="inlineStr"/>
      <c r="L3121" t="inlineStr"/>
      <c r="M3121" t="inlineStr"/>
      <c r="N3121" t="inlineStr"/>
      <c r="O3121">
        <f>(1-Summary!$B$11)*T3121+Summary!$B$11*V3121</f>
        <v/>
      </c>
      <c r="P3121">
        <f>IF(B3137=0,0,O3121/B3137)</f>
        <v/>
      </c>
      <c r="Q3121" t="n">
        <v>0</v>
      </c>
      <c r="R3121" t="n">
        <v>0</v>
      </c>
      <c r="S3121">
        <f>IFERROR(O3121/N3121,0)</f>
        <v/>
      </c>
      <c r="T3121" t="n">
        <v>0</v>
      </c>
      <c r="V3121" t="n">
        <v>0</v>
      </c>
    </row>
    <row r="3122">
      <c r="A3122">
        <f>Skills!A29</f>
        <v/>
      </c>
      <c r="B3122">
        <f>Skills!B29</f>
        <v/>
      </c>
      <c r="C3122">
        <f>Inputs!$B$3&gt;=120</f>
        <v/>
      </c>
      <c r="D3122">
        <f>IF(Skills!C29=1,60+Inputs!$B$25+Inputs!$B$29,IF(Skills!C29=2,90+Inputs!$B$26+Inputs!$B$29,IF(Skills!C29=3,120+Inputs!$B$27+Inputs!$B$29,MAX(0,(Inputs!$B$3-100)*3)+Inputs!$B$28+Inputs!$B$29)))</f>
        <v/>
      </c>
      <c r="E3122">
        <f>INDEX(FactorTable!$B$2:$Y$301, MATCH(ROUND(MIN(300,MAX(1,D3122)),0), FactorTable!$A$2:$A$301,0), Skills!M29+1)</f>
        <v/>
      </c>
      <c r="F3122">
        <f>IF(Skills!N29=TRUE,(Skills!L29/10)*(E3122/1000),Skills!L29/10)+Skills!O29</f>
        <v/>
      </c>
      <c r="G3122">
        <f>Skills!G29*IF(Skills!H29&gt;0,Skills!I29/Skills!H29,1)</f>
        <v/>
      </c>
      <c r="H3122">
        <f>1-(1-Skills!J29/100)^Skills!K29</f>
        <v/>
      </c>
      <c r="I3122" t="inlineStr">
        <is>
          <t>1</t>
        </is>
      </c>
      <c r="J3122" t="inlineStr"/>
      <c r="K3122" t="inlineStr"/>
      <c r="L3122" t="inlineStr"/>
      <c r="M3122" t="inlineStr"/>
      <c r="N3122" t="inlineStr"/>
      <c r="O3122">
        <f>(1-Summary!$B$11)*T3122+Summary!$B$11*V3122</f>
        <v/>
      </c>
      <c r="P3122">
        <f>IF(B3137=0,0,O3122/B3137)</f>
        <v/>
      </c>
      <c r="Q3122" t="n">
        <v>0</v>
      </c>
      <c r="R3122" t="n">
        <v>0</v>
      </c>
      <c r="S3122">
        <f>IFERROR(O3122/N3122,0)</f>
        <v/>
      </c>
      <c r="T3122" t="n">
        <v>0</v>
      </c>
      <c r="V3122" t="n">
        <v>0</v>
      </c>
    </row>
    <row r="3123">
      <c r="A3123">
        <f>Skills!A30</f>
        <v/>
      </c>
      <c r="B3123">
        <f>Skills!B30</f>
        <v/>
      </c>
      <c r="C3123">
        <f>Inputs!$B$3&gt;=120</f>
        <v/>
      </c>
      <c r="D3123">
        <f>IF(Skills!C30=1,60+Inputs!$B$25+Inputs!$B$29,IF(Skills!C30=2,90+Inputs!$B$26+Inputs!$B$29,IF(Skills!C30=3,120+Inputs!$B$27+Inputs!$B$29,MAX(0,(Inputs!$B$3-100)*3)+Inputs!$B$28+Inputs!$B$29)))</f>
        <v/>
      </c>
      <c r="E3123">
        <f>INDEX(FactorTable!$B$2:$Y$301, MATCH(ROUND(MIN(300,MAX(1,D3123)),0), FactorTable!$A$2:$A$301,0), Skills!M30+1)</f>
        <v/>
      </c>
      <c r="F3123">
        <f>IF(Skills!N30=TRUE,(Skills!L30/10)*(E3123/1000),Skills!L30/10)+Skills!O30</f>
        <v/>
      </c>
      <c r="G3123">
        <f>Skills!G30*IF(Skills!H30&gt;0,Skills!I30/Skills!H30,1)</f>
        <v/>
      </c>
      <c r="H3123">
        <f>1-(1-Skills!J30/100)^Skills!K30</f>
        <v/>
      </c>
      <c r="I3123" t="inlineStr">
        <is>
          <t>1</t>
        </is>
      </c>
      <c r="J3123" t="inlineStr"/>
      <c r="K3123" t="inlineStr"/>
      <c r="L3123" t="inlineStr"/>
      <c r="M3123" t="inlineStr"/>
      <c r="N3123" t="inlineStr"/>
      <c r="O3123">
        <f>(1-Summary!$B$11)*T3123+Summary!$B$11*V3123</f>
        <v/>
      </c>
      <c r="P3123">
        <f>IF(B3137=0,0,O3123/B3137)</f>
        <v/>
      </c>
      <c r="Q3123" t="n">
        <v>0</v>
      </c>
      <c r="R3123" t="n">
        <v>0</v>
      </c>
      <c r="S3123">
        <f>IFERROR(O3123/N3123,0)</f>
        <v/>
      </c>
      <c r="T3123" t="n">
        <v>0</v>
      </c>
      <c r="V3123" t="n">
        <v>0</v>
      </c>
    </row>
    <row r="3124">
      <c r="A3124">
        <f>Skills!A31</f>
        <v/>
      </c>
      <c r="B3124">
        <f>Skills!B31</f>
        <v/>
      </c>
      <c r="C3124">
        <f>Inputs!$B$3&gt;=45</f>
        <v/>
      </c>
      <c r="D3124">
        <f>IF(Skills!C31=1,60+Inputs!$B$25+Inputs!$B$29,IF(Skills!C31=2,90+Inputs!$B$26+Inputs!$B$29,IF(Skills!C31=3,120+Inputs!$B$27+Inputs!$B$29,MAX(0,(Inputs!$B$3-100)*3)+Inputs!$B$28+Inputs!$B$29)))</f>
        <v/>
      </c>
      <c r="E3124">
        <f>INDEX(FactorTable!$B$2:$Y$301, MATCH(ROUND(MIN(300,MAX(1,D3124)),0), FactorTable!$A$2:$A$301,0), Skills!M31+1)</f>
        <v/>
      </c>
      <c r="F3124">
        <f>IF(Skills!N31=TRUE,(Skills!L31/10)*(E3124/1000),Skills!L31/10)+Skills!O31</f>
        <v/>
      </c>
      <c r="G3124">
        <f>Skills!G31*IF(Skills!H31&gt;0,Skills!I31/Skills!H31,1)</f>
        <v/>
      </c>
      <c r="H3124">
        <f>1-(1-Skills!J31/100)^Skills!K31</f>
        <v/>
      </c>
      <c r="I3124" t="inlineStr">
        <is>
          <t>1</t>
        </is>
      </c>
      <c r="J3124" t="inlineStr"/>
      <c r="K3124" t="inlineStr"/>
      <c r="L3124" t="inlineStr"/>
      <c r="M3124" t="inlineStr"/>
      <c r="N3124" t="inlineStr"/>
      <c r="O3124">
        <f>(1-Summary!$B$11)*T3124+Summary!$B$11*V3124</f>
        <v/>
      </c>
      <c r="P3124">
        <f>IF(B3137=0,0,O3124/B3137)</f>
        <v/>
      </c>
      <c r="Q3124" t="n">
        <v>0</v>
      </c>
      <c r="R3124" t="n">
        <v>0</v>
      </c>
      <c r="S3124">
        <f>IFERROR(O3124/N3124,0)</f>
        <v/>
      </c>
      <c r="T3124" t="n">
        <v>0</v>
      </c>
      <c r="V3124" t="n">
        <v>0</v>
      </c>
    </row>
    <row r="3126">
      <c r="A3126" t="inlineStr">
        <is>
          <t>Attack% Bucket Multiplier</t>
        </is>
      </c>
      <c r="B3126">
        <f>(1+(((C3107=TRUE)*F3107)+((C3108=TRUE)*IF(Inputs!$B$38="pvp",F3108,(1-Summary!$B$11)*(F3108)+Summary!$B$11*(0)))+((C3109=TRUE)*F3109*IF(AND(Inputs!$B$38&lt;&gt;"pvp",Inputs!$B$43&gt;0),(((R3109-1)*(Skills!T16*(1+Inputs!$B$34/100))+MIN((Skills!T16*(1+Inputs!$B$34/100)),MAX(0,Inputs!$B$43-((R3109-1)*Skills!D16))))/Inputs!$B$43),IF(Inputs!$B$38="pvp",MIN((Skills!T16*(1+Inputs!$B$34/100)),15)/15,(Skills!T16*(1+Inputs!$B$34/100))/Skills!D16)))+((C3124=TRUE)*(F3124-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27">
      <c r="A3127" t="inlineStr">
        <is>
          <t>Global Crit Rate Bonus %</t>
        </is>
      </c>
      <c r="B3127">
        <f>(C3110=TRUE)*20*IF(AND(Inputs!$B$38&lt;&gt;"pvp",Inputs!$B$43&gt;0),(((R3110-1)*(Skills!T17*(1+Inputs!$B$34/100))+MIN((Skills!T17*(1+Inputs!$B$34/100)),MAX(0,Inputs!$B$43-((R3110-1)*Skills!D17))))/Inputs!$B$43),IF(Inputs!$B$38="pvp",MIN((Skills!T17*(1+Inputs!$B$34/100)),15)/15,(Skills!T17*(1+Inputs!$B$34/100))/Skills!D17))</f>
        <v/>
      </c>
    </row>
    <row r="3128">
      <c r="A3128" t="inlineStr">
        <is>
          <t>Attack Speed Buff Bonus %</t>
        </is>
      </c>
      <c r="B3128">
        <f>((C3113=TRUE)*F3113*IF(AND(Inputs!$B$38&lt;&gt;"pvp",Inputs!$B$43&gt;0),(((R3113-1)*(Skills!T20*(1+Inputs!$B$34/100))+MIN((Skills!T20*(1+Inputs!$B$34/100)),MAX(0,Inputs!$B$43-((R3113-1)*Skills!D20))))/Inputs!$B$43),IF(Inputs!$B$38="pvp",MIN((Skills!T20*(1+Inputs!$B$34/100)),15)/15,(Skills!T20*(1+Inputs!$B$34/100))/Skills!D20)))</f>
        <v/>
      </c>
    </row>
    <row r="3129">
      <c r="A3129" t="inlineStr">
        <is>
          <t>Actions Per Second</t>
        </is>
      </c>
      <c r="B3129">
        <f>1+MIN(150,150*(1-(1-(Inputs!$B$11+((C3115=TRUE)*(F3115-Calc!F22))+((C3116=TRUE)*(F3116-Calc!F23)))/150)*(1-B3128/150)))/100</f>
        <v/>
      </c>
    </row>
    <row r="3130">
      <c r="A3130" t="inlineStr">
        <is>
          <t>Skill + Buff Cast Rate</t>
        </is>
      </c>
      <c r="B3130">
        <f>IF(AND(Inputs!$B$38&lt;&gt;"pvp",Inputs!$B$43&gt;0),SUMPRODUCT((Skills!E2:E31=TRUE)*(C3095:C3124=TRUE)*R3095:R3124*Skills!F2:F31)/Inputs!$B$43,SUMPRODUCT((Skills!E2:E31=TRUE)*(C3095:C3124=TRUE)*Q3095:Q3124*Skills!F2:F31))</f>
        <v/>
      </c>
    </row>
    <row r="3131">
      <c r="A3131" t="inlineStr">
        <is>
          <t>Arrow Stream Casts Per Second</t>
        </is>
      </c>
      <c r="B3131">
        <f>MAX(0,B3129-B3130)</f>
        <v/>
      </c>
    </row>
    <row r="3132">
      <c r="A3132" t="inlineStr">
        <is>
          <t>Global Critical Damage Bonus % (Sharp Eyes + Concentration)</t>
        </is>
      </c>
      <c r="B3132">
        <f>(C3110=TRUE)*F3110*IF(AND(Inputs!$B$38&lt;&gt;"pvp",Inputs!$B$43&gt;0),(((R3110-1)*(Skills!T17*(1+Inputs!$B$34/100))+MIN((Skills!T17*(1+Inputs!$B$34/100)),MAX(0,Inputs!$B$43-((R3110-1)*Skills!D17))))/Inputs!$B$43),IF(Inputs!$B$38="pvp",MIN((Skills!T17*(1+Inputs!$B$34/100)),15)/15,(Skills!T17*(1+Inputs!$B$34/100))/Skills!D17))+(C3111=TRUE)*30</f>
        <v/>
      </c>
    </row>
    <row r="3133">
      <c r="A3133" t="inlineStr">
        <is>
          <t>Global Final Damage Bonus % (Mortal Blow)</t>
        </is>
      </c>
      <c r="B3133">
        <f>(C3112=TRUE)*F3112</f>
        <v/>
      </c>
    </row>
    <row r="3134">
      <c r="A3134" t="inlineStr">
        <is>
          <t>Buff-Casting Startup Delay (s, fixed-duration only)</t>
        </is>
      </c>
      <c r="B3134">
        <f>IF(AND(Inputs!$B$38&lt;&gt;"pvp",Inputs!$B$43&gt;0),SUMPRODUCT((Skills!T2:T31&gt;0)*(Skills!E2:E31=TRUE)*(C3095:C3124=TRUE))/B3129,0)</f>
        <v/>
      </c>
    </row>
    <row r="3135">
      <c r="A3135" t="inlineStr">
        <is>
          <t>Boss-Only Total DPS (this block's swept value)</t>
        </is>
      </c>
      <c r="B3135">
        <f>SUM(T3095:T3124)</f>
        <v/>
      </c>
    </row>
    <row r="3136">
      <c r="A3136" t="inlineStr">
        <is>
          <t>Normal-Only Total DPS (this block's swept value)</t>
        </is>
      </c>
      <c r="B3136">
        <f>SUM(V3095:V3124)</f>
        <v/>
      </c>
    </row>
    <row r="3137">
      <c r="A3137" s="6" t="inlineStr">
        <is>
          <t>TOTAL DPS</t>
        </is>
      </c>
      <c r="B3137" s="6">
        <f>SUM(O3095:O3124)</f>
        <v/>
      </c>
    </row>
    <row r="3140">
      <c r="A3140" s="6" t="inlineStr">
        <is>
          <t>Stat: CDR = 2.0s</t>
        </is>
      </c>
    </row>
    <row r="3141">
      <c r="A3141" s="5" t="inlineStr">
        <is>
          <t>Key</t>
        </is>
      </c>
      <c r="B3141" s="5" t="inlineStr">
        <is>
          <t>Name</t>
        </is>
      </c>
      <c r="C3141" s="5" t="inlineStr">
        <is>
          <t>Unlocked</t>
        </is>
      </c>
      <c r="D3141" s="5" t="inlineStr">
        <is>
          <t>InputLevel</t>
        </is>
      </c>
      <c r="E3141" s="5" t="inlineStr">
        <is>
          <t>Factor</t>
        </is>
      </c>
      <c r="F3141" s="5" t="inlineStr">
        <is>
          <t>CoefficientPercent</t>
        </is>
      </c>
      <c r="G3141" s="5" t="inlineStr">
        <is>
          <t>EffectiveHits</t>
        </is>
      </c>
      <c r="H3141" s="5" t="inlineStr">
        <is>
          <t>ProcProbability</t>
        </is>
      </c>
      <c r="I3141" s="5" t="inlineStr">
        <is>
          <t>MapleHeroMultiplier</t>
        </is>
      </c>
      <c r="J3141" s="5" t="inlineStr">
        <is>
          <t>BaseDamage</t>
        </is>
      </c>
      <c r="K3141" s="5" t="inlineStr">
        <is>
          <t>BaseHitDamage</t>
        </is>
      </c>
      <c r="L3141" s="5" t="inlineStr">
        <is>
          <t>NonCritAvg</t>
        </is>
      </c>
      <c r="M3141" s="5" t="inlineStr">
        <is>
          <t>CritAvg</t>
        </is>
      </c>
      <c r="N3141" s="5" t="inlineStr">
        <is>
          <t>ExpectedDamage(perHit)</t>
        </is>
      </c>
      <c r="O3141" s="5" t="inlineStr">
        <is>
          <t>DPS</t>
        </is>
      </c>
      <c r="P3141" s="5" t="inlineStr">
        <is>
          <t>% of Total</t>
        </is>
      </c>
      <c r="Q3141" s="5" t="inlineStr">
        <is>
          <t>InvCooldown</t>
        </is>
      </c>
      <c r="R3141" s="5" t="inlineStr">
        <is>
          <t>CastsInFight</t>
        </is>
      </c>
      <c r="S3141" s="5" t="inlineStr">
        <is>
          <t>HitRate(perSec)</t>
        </is>
      </c>
      <c r="U3141" t="inlineStr">
        <is>
          <t>helpers</t>
        </is>
      </c>
    </row>
    <row r="3142">
      <c r="A3142">
        <f>Skills!A2</f>
        <v/>
      </c>
      <c r="B3142">
        <f>Skills!B2</f>
        <v/>
      </c>
      <c r="C3142">
        <f>Inputs!$B$3&gt;=100</f>
        <v/>
      </c>
      <c r="D3142" t="inlineStr"/>
      <c r="E3142" t="inlineStr"/>
      <c r="F3142">
        <f>U3144+Skills!O2</f>
        <v/>
      </c>
      <c r="G3142">
        <f>Skills!G2*IF(Skills!H2&gt;0,Skills!I2/Skills!H2,1)</f>
        <v/>
      </c>
      <c r="H3142">
        <f>1-(1-Skills!J2/100)^Skills!K2</f>
        <v/>
      </c>
      <c r="I3142" t="inlineStr">
        <is>
          <t>1</t>
        </is>
      </c>
      <c r="J3142">
        <f>((Inputs!$B$6*(1+Inputs!$B$7/100))+(((Inputs!$B$12*(1+Inputs!$B$13/100))-(Inputs!$B$12*(1+Inputs!$B$13/100)))+0.25*(Inputs!$B$14-Inputs!$B$14))*(1+Inputs!$B$7/100))*(F3142/100)</f>
        <v/>
      </c>
      <c r="K3142">
        <f>J3142*(1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3142)</f>
        <v/>
      </c>
      <c r="L3142">
        <f>K3142*(MIN(Inputs!$B$22+((C3165=TRUE)*(F3165-Calc!F25)),(Inputs!$B$23+((C3170=TRUE)*(F3170-Calc!F30))+(IF(ArtifactsInput!$M$15,CHOOSE(ArtifactsInput!$N$15+1,25,30,35,40,45,50)/100*(Inputs!$B$11-Inputs!$B$11),0))))/100+(Inputs!$B$23+((C3170=TRUE)*(F3170-Calc!F30))+(IF(ArtifactsInput!$M$15,CHOOSE(ArtifactsInput!$N$15+1,25,30,35,40,45,50)/100*(Inputs!$B$11-Inputs!$B$11),0)))/100)/2</f>
        <v/>
      </c>
      <c r="M3142">
        <f>L3142*(1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2">
        <f>L3142*(1-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3142*(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2">
        <f>(1-Summary!$B$11)*T3142+Summary!$B$11*V3142</f>
        <v/>
      </c>
      <c r="P3142">
        <f>IF(B3184=0,0,O3142/B3184)</f>
        <v/>
      </c>
      <c r="Q3142" t="n">
        <v>0</v>
      </c>
      <c r="R3142" t="n">
        <v>0</v>
      </c>
      <c r="S3142">
        <f>IFERROR(O3142/N3142,0)</f>
        <v/>
      </c>
      <c r="T3142">
        <f>IF(C3142,(Skills!G2*N3142*B3178)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3142*(1-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3142*(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3142*(1-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3142*(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2">
        <f>MAX(0,(Inputs!$B$3-100)*3)+Inputs!$B$28+Inputs!$B$29</f>
        <v/>
      </c>
      <c r="V3142">
        <f>IF(C3142,(Skills!G2*N3142*B3178)*IF(Inputs!$B$38="pvp",1,(1+(Inputs!$B$21+Skills!Q2+(IF(ArtifactsInput!$M$33,CHOOSE(ArtifactsInput!$N$33+1,30,36,42,48,54,60),0))+(IF(AND(ArtifactsInput!$M$35,Inputs!$B$4&lt;&gt;"Chapter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3">
      <c r="A3143">
        <f>Skills!A3</f>
        <v/>
      </c>
      <c r="B3143">
        <f>Skills!B3</f>
        <v/>
      </c>
      <c r="C3143">
        <f>Inputs!$B$3&gt;=50</f>
        <v/>
      </c>
      <c r="D3143">
        <f>IF(Skills!C3=1,60+Inputs!$B$25+Inputs!$B$29,IF(Skills!C3=2,90+Inputs!$B$26+Inputs!$B$29,IF(Skills!C3=3,120+Inputs!$B$27+Inputs!$B$29,MAX(0,(Inputs!$B$3-100)*3)+Inputs!$B$28+Inputs!$B$29)))</f>
        <v/>
      </c>
      <c r="E3143">
        <f>INDEX(FactorTable!$B$2:$Y$301, MATCH(ROUND(MIN(300,MAX(1,D3143)),0), FactorTable!$A$2:$A$301,0), Skills!M3+1)</f>
        <v/>
      </c>
      <c r="F3143">
        <f>IF(Skills!N3=TRUE,(Skills!L3/10)*(E3143/1000),Skills!L3/10)+Skills!O3</f>
        <v/>
      </c>
      <c r="G3143">
        <f>Skills!G3*IF(Skills!H3&gt;0,Skills!I3/Skills!H3,1)</f>
        <v/>
      </c>
      <c r="H3143">
        <f>1-(1-Skills!J3/100)^Skills!K3</f>
        <v/>
      </c>
      <c r="I3143" t="inlineStr">
        <is>
          <t>1</t>
        </is>
      </c>
      <c r="J3143">
        <f>((Inputs!$B$6*(1+Inputs!$B$7/100))+(((Inputs!$B$12*(1+Inputs!$B$13/100))-(Inputs!$B$12*(1+Inputs!$B$13/100)))+0.25*(Inputs!$B$14-Inputs!$B$14))*(1+Inputs!$B$7/100))*(F3143/100)</f>
        <v/>
      </c>
      <c r="K3143">
        <f>J3143*(1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3144=TRUE,F3144,0)/100)*(1+(IF(Skills!A3="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3143)</f>
        <v/>
      </c>
      <c r="L3143">
        <f>K3143*(MIN(Inputs!$B$22+((C3165=TRUE)*(F3165-Calc!F25)),(Inputs!$B$23+((C3170=TRUE)*(F3170-Calc!F30))+(IF(ArtifactsInput!$M$15,CHOOSE(ArtifactsInput!$N$15+1,25,30,35,40,45,50)/100*(Inputs!$B$11-Inputs!$B$11),0))))/100+(Inputs!$B$23+((C3170=TRUE)*(F3170-Calc!F30))+(IF(ArtifactsInput!$M$15,CHOOSE(ArtifactsInput!$N$15+1,25,30,35,40,45,50)/100*(Inputs!$B$11-Inputs!$B$11),0)))/100)/2</f>
        <v/>
      </c>
      <c r="M3143">
        <f>L3143*(1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3">
        <f>L3143*(1-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3143*(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3">
        <f>(1-Summary!$B$11)*T3143+Summary!$B$11*V3143</f>
        <v/>
      </c>
      <c r="P3143">
        <f>IF(B3184=0,0,O3143/B3184)</f>
        <v/>
      </c>
      <c r="Q3143">
        <f>IFERROR(1/(IF(Inputs!$B$38="pvp",15,MAX(0.1,Skills!D3-IF(Skills!E3=TRUE,2.0,0)))*(1-IF(AND(ArtifactsInput!$M$27,Inputs!$B$4="Chapter Hunt"),CHOOSE(ArtifactsInput!$N$27+1,20,24,28,32,36,40),0)/100)),0)</f>
        <v/>
      </c>
      <c r="R3143">
        <f>IF(AND(Inputs!$B$38&lt;&gt;"pvp",Inputs!$B$43&gt;0),IF(MAX(0,Inputs!$B$43-B3181)&lt;=0,0,(INT(MAX(0,Inputs!$B$43-B3181)/(IF(Inputs!$B$38="pvp",15,MAX(0.1,Skills!D3-IF(Skills!E3=TRUE,2.0,0)))*(1-IF(AND(ArtifactsInput!$M$27,Inputs!$B$4="Chapter Hunt"),CHOOSE(ArtifactsInput!$N$27+1,20,24,28,32,36,40),0)/100)))+1)),0)</f>
        <v/>
      </c>
      <c r="S3143">
        <f>IFERROR(O3143/N3143,0)</f>
        <v/>
      </c>
      <c r="T3143">
        <f>IF(C3143,(H3143*N3143*IF(AND(Inputs!$B$38&lt;&gt;"pvp",Inputs!$B$43&gt;0),((Skills!G3*((R3143-1)*IF(Skills!H3&gt;0,Skills!I3/Skills!H3,1)+IF(Skills!H3&gt;0,MIN(Skills!I3,MAX(0,MAX(0,Inputs!$B$43-B3181)-((R3143-1)*(IF(Inputs!$B$38="pvp",15,MAX(0.1,Skills!D3-IF(Skills!E3=TRUE,2.0,0)))*(1-IF(AND(ArtifactsInput!$M$27,Inputs!$B$4="Chapter Hunt"),CHOOSE(ArtifactsInput!$N$27+1,20,24,28,32,36,40),0)/100)))))/Skills!H3,1)))/Inputs!$B$43),G3143*Q3143))*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3143*(1-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3143*(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3143*(1-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3143*(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3">
        <f>INDEX(FactorTable!$B$2:$Y$301, MATCH(ROUND(MIN(300,MAX(1,U3142)),0), FactorTable!$A$2:$A$301,0), 22)</f>
        <v/>
      </c>
      <c r="V3143">
        <f>IF(C3143,(H3143*N3143*IF(AND(Inputs!$B$38&lt;&gt;"pvp",Inputs!$B$43&gt;0),((Skills!G3*((R3143-1)*IF(Skills!H3&gt;0,Skills!I3/Skills!H3,1)+IF(Skills!H3&gt;0,MIN(Skills!I3,MAX(0,MAX(0,Inputs!$B$43-B3181)-((R3143-1)*(IF(Inputs!$B$38="pvp",15,MAX(0.1,Skills!D3-IF(Skills!E3=TRUE,2.0,0)))*(1-IF(AND(ArtifactsInput!$M$27,Inputs!$B$4="Chapter Hunt"),CHOOSE(ArtifactsInput!$N$27+1,20,24,28,32,36,40),0)/100)))))/Skills!H3,1)))/Inputs!$B$43),G3143*Q3143))*IF(Inputs!$B$38="pvp",1,(1+(Inputs!$B$21+Skills!Q3+(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4">
      <c r="A3144">
        <f>Skills!A4</f>
        <v/>
      </c>
      <c r="B3144">
        <f>Skills!B4</f>
        <v/>
      </c>
      <c r="C3144">
        <f>Inputs!$B$3&gt;=105</f>
        <v/>
      </c>
      <c r="D3144">
        <f>IF(Skills!C4=1,60+Inputs!$B$25+Inputs!$B$29,IF(Skills!C4=2,90+Inputs!$B$26+Inputs!$B$29,IF(Skills!C4=3,120+Inputs!$B$27+Inputs!$B$29,MAX(0,(Inputs!$B$3-100)*3)+Inputs!$B$28+Inputs!$B$29)))</f>
        <v/>
      </c>
      <c r="E3144">
        <f>INDEX(FactorTable!$B$2:$Y$301, MATCH(ROUND(MIN(300,MAX(1,D3144)),0), FactorTable!$A$2:$A$301,0), Skills!M4+1)</f>
        <v/>
      </c>
      <c r="F3144">
        <f>IF(Skills!N4=TRUE,(Skills!L4/10)*(E3144/1000),Skills!L4/10)+Skills!O4</f>
        <v/>
      </c>
      <c r="G3144" t="inlineStr"/>
      <c r="H3144" t="inlineStr"/>
      <c r="I3144" t="inlineStr">
        <is>
          <t>1</t>
        </is>
      </c>
      <c r="J3144" t="inlineStr"/>
      <c r="K3144" t="inlineStr"/>
      <c r="L3144" t="inlineStr"/>
      <c r="M3144" t="inlineStr"/>
      <c r="N3144" t="inlineStr"/>
      <c r="O3144" t="inlineStr"/>
      <c r="P3144" t="inlineStr"/>
      <c r="Q3144" t="inlineStr"/>
      <c r="R3144" t="inlineStr"/>
      <c r="S3144" t="inlineStr"/>
      <c r="T3144" t="inlineStr"/>
      <c r="U3144">
        <f>290*U3143/1000</f>
        <v/>
      </c>
      <c r="V3144" t="inlineStr"/>
    </row>
    <row r="3145">
      <c r="A3145">
        <f>Skills!A5</f>
        <v/>
      </c>
      <c r="B3145">
        <f>Skills!B5</f>
        <v/>
      </c>
      <c r="C3145">
        <f>Inputs!$B$3&gt;=35</f>
        <v/>
      </c>
      <c r="D3145">
        <f>IF(Skills!C5=1,60+Inputs!$B$25+Inputs!$B$29,IF(Skills!C5=2,90+Inputs!$B$26+Inputs!$B$29,IF(Skills!C5=3,120+Inputs!$B$27+Inputs!$B$29,MAX(0,(Inputs!$B$3-100)*3)+Inputs!$B$28+Inputs!$B$29)))</f>
        <v/>
      </c>
      <c r="E3145">
        <f>INDEX(FactorTable!$B$2:$Y$301, MATCH(ROUND(MIN(300,MAX(1,D3145)),0), FactorTable!$A$2:$A$301,0), Skills!M5+1)</f>
        <v/>
      </c>
      <c r="F3145">
        <f>IF(Skills!N5=TRUE,(Skills!L5/10)*(E3145/1000),Skills!L5/10)+Skills!O5</f>
        <v/>
      </c>
      <c r="G3145">
        <f>Skills!G5*IF(Skills!H5&gt;0,Skills!I5/Skills!H5,1)</f>
        <v/>
      </c>
      <c r="H3145">
        <f>1-(1-Skills!J5/100)^Skills!K5</f>
        <v/>
      </c>
      <c r="I3145" t="inlineStr">
        <is>
          <t>1</t>
        </is>
      </c>
      <c r="J3145">
        <f>((Inputs!$B$6*(1+Inputs!$B$7/100))+(((Inputs!$B$12*(1+Inputs!$B$13/100))-(Inputs!$B$12*(1+Inputs!$B$13/100)))+0.25*(Inputs!$B$14-Inputs!$B$14))*(1+Inputs!$B$7/100))*(F3145/100)</f>
        <v/>
      </c>
      <c r="K3145">
        <f>J3145*(1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3151=TRUE,F3151,0)/100)*(1+(IF(Skills!A5="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3145)</f>
        <v/>
      </c>
      <c r="L3145">
        <f>K3145*(MIN(Inputs!$B$22+((C3165=TRUE)*(F3165-Calc!F25)),(Inputs!$B$23+((C3170=TRUE)*(F3170-Calc!F30))+(IF(ArtifactsInput!$M$15,CHOOSE(ArtifactsInput!$N$15+1,25,30,35,40,45,50)/100*(Inputs!$B$11-Inputs!$B$11),0))))/100+(Inputs!$B$23+((C3170=TRUE)*(F3170-Calc!F30))+(IF(ArtifactsInput!$M$15,CHOOSE(ArtifactsInput!$N$15+1,25,30,35,40,45,50)/100*(Inputs!$B$11-Inputs!$B$11),0)))/100)/2</f>
        <v/>
      </c>
      <c r="M3145">
        <f>L3145*(1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5">
        <f>L3145*(1-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3145*(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5">
        <f>(1-Summary!$B$11)*T3145+Summary!$B$11*V3145</f>
        <v/>
      </c>
      <c r="P3145">
        <f>IF(B3184=0,0,O3145/B3184)</f>
        <v/>
      </c>
      <c r="Q3145">
        <f>IFERROR(1/(IF(Inputs!$B$38="pvp",15,MAX(0.1,Skills!D5-IF(Skills!E5=TRUE,2.0,0)))*(1-IF(AND(ArtifactsInput!$M$27,Inputs!$B$4="Chapter Hunt"),CHOOSE(ArtifactsInput!$N$27+1,20,24,28,32,36,40),0)/100)),0)</f>
        <v/>
      </c>
      <c r="R3145">
        <f>IF(AND(Inputs!$B$38&lt;&gt;"pvp",Inputs!$B$43&gt;0),IF(MAX(0,Inputs!$B$43-B3181)&lt;=0,0,(INT(MAX(0,Inputs!$B$43-B3181)/(IF(Inputs!$B$38="pvp",15,MAX(0.1,Skills!D5-IF(Skills!E5=TRUE,2.0,0)))*(1-IF(AND(ArtifactsInput!$M$27,Inputs!$B$4="Chapter Hunt"),CHOOSE(ArtifactsInput!$N$27+1,20,24,28,32,36,40),0)/100)))+1)),0)</f>
        <v/>
      </c>
      <c r="S3145">
        <f>IFERROR(O3145/N3145,0)</f>
        <v/>
      </c>
      <c r="T3145">
        <f>IF(C3145,(H3145*N3145*IF(AND(Inputs!$B$38&lt;&gt;"pvp",Inputs!$B$43&gt;0),((Skills!G5*((R3145-1)*IF(Skills!H5&gt;0,Skills!I5/Skills!H5,1)+IF(Skills!H5&gt;0,MIN(Skills!I5,MAX(0,MAX(0,Inputs!$B$43-B3181)-((R3145-1)*(IF(Inputs!$B$38="pvp",15,MAX(0.1,Skills!D5-IF(Skills!E5=TRUE,2.0,0)))*(1-IF(AND(ArtifactsInput!$M$27,Inputs!$B$4="Chapter Hunt"),CHOOSE(ArtifactsInput!$N$27+1,20,24,28,32,36,40),0)/100)))))/Skills!H5,1)))/Inputs!$B$43),G3145*Q3145)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3145*(1-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3145*(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3145*(1-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3145*(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5">
        <f>IF(C3145,(H3145*N3145*IF(AND(Inputs!$B$38&lt;&gt;"pvp",Inputs!$B$43&gt;0),((Skills!G5*((R3145-1)*IF(Skills!H5&gt;0,Skills!I5/Skills!H5,1)+IF(Skills!H5&gt;0,MIN(Skills!I5,MAX(0,MAX(0,Inputs!$B$43-B3181)-((R3145-1)*(IF(Inputs!$B$38="pvp",15,MAX(0.1,Skills!D5-IF(Skills!E5=TRUE,2.0,0)))*(1-IF(AND(ArtifactsInput!$M$27,Inputs!$B$4="Chapter Hunt"),CHOOSE(ArtifactsInput!$N$27+1,20,24,28,32,36,40),0)/100)))))/Skills!H5,1)))/Inputs!$B$43),G3145*Q3145))*IF(Inputs!$B$38="pvp",1,(1+(Inputs!$B$21+Skills!Q5+(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6">
      <c r="A3146">
        <f>Skills!A6</f>
        <v/>
      </c>
      <c r="B3146">
        <f>Skills!B6</f>
        <v/>
      </c>
      <c r="C3146">
        <f>Inputs!$B$3&gt;=40</f>
        <v/>
      </c>
      <c r="D3146">
        <f>IF(Skills!C6=1,60+Inputs!$B$25+Inputs!$B$29,IF(Skills!C6=2,90+Inputs!$B$26+Inputs!$B$29,IF(Skills!C6=3,120+Inputs!$B$27+Inputs!$B$29,MAX(0,(Inputs!$B$3-100)*3)+Inputs!$B$28+Inputs!$B$29)))</f>
        <v/>
      </c>
      <c r="E3146">
        <f>INDEX(FactorTable!$B$2:$Y$301, MATCH(ROUND(MIN(300,MAX(1,D3146)),0), FactorTable!$A$2:$A$301,0), Skills!M6+1)</f>
        <v/>
      </c>
      <c r="F3146">
        <f>IF(Skills!N6=TRUE,(Skills!L6/10)*(E3146/1000),Skills!L6/10)+Skills!O6</f>
        <v/>
      </c>
      <c r="G3146">
        <f>Skills!G6*IF(Skills!H6&gt;0,Skills!I6/Skills!H6,1)</f>
        <v/>
      </c>
      <c r="H3146">
        <f>1-(1-Skills!J6/100)^Skills!K6</f>
        <v/>
      </c>
      <c r="I3146" t="inlineStr">
        <is>
          <t>1</t>
        </is>
      </c>
      <c r="J3146">
        <f>((Inputs!$B$6*(1+Inputs!$B$7/100))+(((Inputs!$B$12*(1+Inputs!$B$13/100))-(Inputs!$B$12*(1+Inputs!$B$13/100)))+0.25*(Inputs!$B$14-Inputs!$B$14))*(1+Inputs!$B$7/100))*(F3146/100)</f>
        <v/>
      </c>
      <c r="K3146">
        <f>J3146*(1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3147=TRUE,F3147,0)/100)*(1+(IF(Skills!A6="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3146)</f>
        <v/>
      </c>
      <c r="L3146">
        <f>K3146*(MIN(Inputs!$B$22+((C3165=TRUE)*(F3165-Calc!F25)),(Inputs!$B$23+((C3170=TRUE)*(F3170-Calc!F30))+(IF(ArtifactsInput!$M$15,CHOOSE(ArtifactsInput!$N$15+1,25,30,35,40,45,50)/100*(Inputs!$B$11-Inputs!$B$11),0))))/100+(Inputs!$B$23+((C3170=TRUE)*(F3170-Calc!F30))+(IF(ArtifactsInput!$M$15,CHOOSE(ArtifactsInput!$N$15+1,25,30,35,40,45,50)/100*(Inputs!$B$11-Inputs!$B$11),0)))/100)/2</f>
        <v/>
      </c>
      <c r="M3146">
        <f>L3146*(1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6">
        <f>L3146*(1-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3146*(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6">
        <f>(1-Summary!$B$11)*T3146+Summary!$B$11*V3146</f>
        <v/>
      </c>
      <c r="P3146">
        <f>IF(B3184=0,0,O3146/B3184)</f>
        <v/>
      </c>
      <c r="Q3146">
        <f>IFERROR(1/(IF(Inputs!$B$38="pvp",15,MAX(0.1,Skills!D6-IF(Skills!E6=TRUE,2.0,0)))*(1-IF(AND(ArtifactsInput!$M$27,Inputs!$B$4="Chapter Hunt"),CHOOSE(ArtifactsInput!$N$27+1,20,24,28,32,36,40),0)/100)),0)</f>
        <v/>
      </c>
      <c r="R3146">
        <f>IF(AND(Inputs!$B$38&lt;&gt;"pvp",Inputs!$B$43&gt;0),IF(MAX(0,Inputs!$B$43-B3181)&lt;=0,0,(INT(MAX(0,Inputs!$B$43-B3181)/(IF(Inputs!$B$38="pvp",15,MAX(0.1,Skills!D6-IF(Skills!E6=TRUE,2.0,0)))*(1-IF(AND(ArtifactsInput!$M$27,Inputs!$B$4="Chapter Hunt"),CHOOSE(ArtifactsInput!$N$27+1,20,24,28,32,36,40),0)/100)))+1)),0)</f>
        <v/>
      </c>
      <c r="S3146">
        <f>IFERROR(O3146/N3146,0)</f>
        <v/>
      </c>
      <c r="T3146">
        <f>IF(C3146,(H3146*N3146*IF(AND(Inputs!$B$38&lt;&gt;"pvp",Inputs!$B$43&gt;0),((Skills!G6*((R3146-1)*IF(Skills!H6&gt;0,Skills!I6/Skills!H6,1)+IF(Skills!H6&gt;0,MIN(Skills!I6,MAX(0,MAX(0,Inputs!$B$43-B3181)-((R3146-1)*(IF(Inputs!$B$38="pvp",15,MAX(0.1,Skills!D6-IF(Skills!E6=TRUE,2.0,0)))*(1-IF(AND(ArtifactsInput!$M$27,Inputs!$B$4="Chapter Hunt"),CHOOSE(ArtifactsInput!$N$27+1,20,24,28,32,36,40),0)/100)))))/Skills!H6,1)))/Inputs!$B$43),G3146*Q3146)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3146*(1-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3146*(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3146*(1-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3146*(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6">
        <f>IF(C3146,(H3146*N3146*IF(AND(Inputs!$B$38&lt;&gt;"pvp",Inputs!$B$43&gt;0),((Skills!G6*((R3146-1)*IF(Skills!H6&gt;0,Skills!I6/Skills!H6,1)+IF(Skills!H6&gt;0,MIN(Skills!I6,MAX(0,MAX(0,Inputs!$B$43-B3181)-((R3146-1)*(IF(Inputs!$B$38="pvp",15,MAX(0.1,Skills!D6-IF(Skills!E6=TRUE,2.0,0)))*(1-IF(AND(ArtifactsInput!$M$27,Inputs!$B$4="Chapter Hunt"),CHOOSE(ArtifactsInput!$N$27+1,20,24,28,32,36,40),0)/100)))))/Skills!H6,1)))/Inputs!$B$43),G3146*Q3146))*IF(Inputs!$B$38="pvp",1,(1+(Inputs!$B$21+Skills!Q6+(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7">
      <c r="A3147">
        <f>Skills!A7</f>
        <v/>
      </c>
      <c r="B3147">
        <f>Skills!B7</f>
        <v/>
      </c>
      <c r="C3147">
        <f>Inputs!$B$3&gt;=107</f>
        <v/>
      </c>
      <c r="D3147">
        <f>IF(Skills!C7=1,60+Inputs!$B$25+Inputs!$B$29,IF(Skills!C7=2,90+Inputs!$B$26+Inputs!$B$29,IF(Skills!C7=3,120+Inputs!$B$27+Inputs!$B$29,MAX(0,(Inputs!$B$3-100)*3)+Inputs!$B$28+Inputs!$B$29)))</f>
        <v/>
      </c>
      <c r="E3147">
        <f>INDEX(FactorTable!$B$2:$Y$301, MATCH(ROUND(MIN(300,MAX(1,D3147)),0), FactorTable!$A$2:$A$301,0), Skills!M7+1)</f>
        <v/>
      </c>
      <c r="F3147">
        <f>IF(Skills!N7=TRUE,(Skills!L7/10)*(E3147/1000),Skills!L7/10)+Skills!O7</f>
        <v/>
      </c>
      <c r="G3147" t="inlineStr"/>
      <c r="H3147" t="inlineStr"/>
      <c r="I3147" t="inlineStr">
        <is>
          <t>1</t>
        </is>
      </c>
      <c r="J3147" t="inlineStr"/>
      <c r="K3147" t="inlineStr"/>
      <c r="L3147" t="inlineStr"/>
      <c r="M3147" t="inlineStr"/>
      <c r="N3147" t="inlineStr"/>
      <c r="O3147" t="inlineStr"/>
      <c r="P3147" t="inlineStr"/>
      <c r="Q3147" t="inlineStr"/>
      <c r="R3147" t="inlineStr"/>
      <c r="S3147" t="inlineStr"/>
      <c r="T3147" t="inlineStr"/>
      <c r="V3147" t="inlineStr"/>
    </row>
    <row r="3148">
      <c r="A3148">
        <f>Skills!A8</f>
        <v/>
      </c>
      <c r="B3148">
        <f>Skills!B8</f>
        <v/>
      </c>
      <c r="C3148">
        <f>Inputs!$B$3&gt;=69</f>
        <v/>
      </c>
      <c r="D3148">
        <f>IF(Skills!C8=1,60+Inputs!$B$25+Inputs!$B$29,IF(Skills!C8=2,90+Inputs!$B$26+Inputs!$B$29,IF(Skills!C8=3,120+Inputs!$B$27+Inputs!$B$29,MAX(0,(Inputs!$B$3-100)*3)+Inputs!$B$28+Inputs!$B$29)))</f>
        <v/>
      </c>
      <c r="E3148">
        <f>INDEX(FactorTable!$B$2:$Y$301, MATCH(ROUND(MIN(300,MAX(1,D3148)),0), FactorTable!$A$2:$A$301,0), Skills!M8+1)</f>
        <v/>
      </c>
      <c r="F3148">
        <f>IF(Skills!N8=TRUE,(Skills!L8/10)*(E3148/1000),Skills!L8/10)+Skills!O8</f>
        <v/>
      </c>
      <c r="G3148">
        <f>Skills!G8*IF(Skills!H8&gt;0,Skills!I8/Skills!H8,1)</f>
        <v/>
      </c>
      <c r="H3148">
        <f>1-(1-Skills!J8/100)^Skills!K8</f>
        <v/>
      </c>
      <c r="I3148" t="inlineStr">
        <is>
          <t>1</t>
        </is>
      </c>
      <c r="J3148">
        <f>((Inputs!$B$6*(1+Inputs!$B$7/100))+(((Inputs!$B$12*(1+Inputs!$B$13/100))-(Inputs!$B$12*(1+Inputs!$B$13/100)))+0.25*(Inputs!$B$14-Inputs!$B$14))*(1+Inputs!$B$7/100))*(F3148/100)</f>
        <v/>
      </c>
      <c r="K3148">
        <f>J3148*(1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3151=TRUE,F3151,0)/100)*(1+(IF(Skills!A8="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3148)</f>
        <v/>
      </c>
      <c r="L3148">
        <f>K3148*(MIN(Inputs!$B$22+((C3165=TRUE)*(F3165-Calc!F25)),(Inputs!$B$23+((C3170=TRUE)*(F3170-Calc!F30))+(IF(ArtifactsInput!$M$15,CHOOSE(ArtifactsInput!$N$15+1,25,30,35,40,45,50)/100*(Inputs!$B$11-Inputs!$B$11),0))))/100+(Inputs!$B$23+((C3170=TRUE)*(F3170-Calc!F30))+(IF(ArtifactsInput!$M$15,CHOOSE(ArtifactsInput!$N$15+1,25,30,35,40,45,50)/100*(Inputs!$B$11-Inputs!$B$11),0)))/100)/2</f>
        <v/>
      </c>
      <c r="M3148">
        <f>L3148*(1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8">
        <f>L3148*(1-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3148*(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8">
        <f>(1-Summary!$B$11)*T3148+Summary!$B$11*V3148</f>
        <v/>
      </c>
      <c r="P3148">
        <f>IF(B3184=0,0,O3148/B3184)</f>
        <v/>
      </c>
      <c r="Q3148">
        <f>IFERROR(1/(IF(Inputs!$B$38="pvp",15,MAX(0.1,Skills!D8-IF(Skills!E8=TRUE,2.0,0)))*(1-IF(AND(ArtifactsInput!$M$27,Inputs!$B$4="Chapter Hunt"),CHOOSE(ArtifactsInput!$N$27+1,20,24,28,32,36,40),0)/100)),0)</f>
        <v/>
      </c>
      <c r="R3148">
        <f>IF(AND(Inputs!$B$38&lt;&gt;"pvp",Inputs!$B$43&gt;0),IF(MAX(0,Inputs!$B$43-B3181)&lt;=0,0,(INT(MAX(0,Inputs!$B$43-B3181)/(IF(Inputs!$B$38="pvp",15,MAX(0.1,Skills!D8-IF(Skills!E8=TRUE,2.0,0)))*(1-IF(AND(ArtifactsInput!$M$27,Inputs!$B$4="Chapter Hunt"),CHOOSE(ArtifactsInput!$N$27+1,20,24,28,32,36,40),0)/100)))+1)),0)</f>
        <v/>
      </c>
      <c r="S3148">
        <f>IFERROR(O3148/N3148,0)</f>
        <v/>
      </c>
      <c r="T3148">
        <f>IF(C3148,(H3148*N3148*IF(AND(Inputs!$B$38&lt;&gt;"pvp",Inputs!$B$43&gt;0),((Skills!G8*((R3148-1)*IF(Skills!H8&gt;0,Skills!I8/Skills!H8,1)+IF(Skills!H8&gt;0,MIN(Skills!I8,MAX(0,MAX(0,Inputs!$B$43-B3181)-((R3148-1)*(IF(Inputs!$B$38="pvp",15,MAX(0.1,Skills!D8-IF(Skills!E8=TRUE,2.0,0)))*(1-IF(AND(ArtifactsInput!$M$27,Inputs!$B$4="Chapter Hunt"),CHOOSE(ArtifactsInput!$N$27+1,20,24,28,32,36,40),0)/100)))))/Skills!H8,1)))/Inputs!$B$43),G3148*Q3148)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3148*(1-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3148*(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3148*(1-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3148*(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8">
        <f>IF(C3148,(H3148*N3148*IF(AND(Inputs!$B$38&lt;&gt;"pvp",Inputs!$B$43&gt;0),((Skills!G8*((R3148-1)*IF(Skills!H8&gt;0,Skills!I8/Skills!H8,1)+IF(Skills!H8&gt;0,MIN(Skills!I8,MAX(0,MAX(0,Inputs!$B$43-B3181)-((R3148-1)*(IF(Inputs!$B$38="pvp",15,MAX(0.1,Skills!D8-IF(Skills!E8=TRUE,2.0,0)))*(1-IF(AND(ArtifactsInput!$M$27,Inputs!$B$4="Chapter Hunt"),CHOOSE(ArtifactsInput!$N$27+1,20,24,28,32,36,40),0)/100)))))/Skills!H8,1)))/Inputs!$B$43),G3148*Q3148))*IF(Inputs!$B$38="pvp",1,(1+(Inputs!$B$21+Skills!Q8+(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9">
      <c r="A3149">
        <f>Skills!A9</f>
        <v/>
      </c>
      <c r="B3149">
        <f>Skills!B9</f>
        <v/>
      </c>
      <c r="C3149">
        <f>Inputs!$B$3&gt;=63</f>
        <v/>
      </c>
      <c r="D3149">
        <f>IF(Skills!C9=1,60+Inputs!$B$25+Inputs!$B$29,IF(Skills!C9=2,90+Inputs!$B$26+Inputs!$B$29,IF(Skills!C9=3,120+Inputs!$B$27+Inputs!$B$29,MAX(0,(Inputs!$B$3-100)*3)+Inputs!$B$28+Inputs!$B$29)))</f>
        <v/>
      </c>
      <c r="E3149">
        <f>INDEX(FactorTable!$B$2:$Y$301, MATCH(ROUND(MIN(300,MAX(1,D3149)),0), FactorTable!$A$2:$A$301,0), Skills!M9+1)</f>
        <v/>
      </c>
      <c r="F3149">
        <f>IF(Skills!N9=TRUE,(Skills!L9/10)*(E3149/1000),Skills!L9/10)+Skills!O9</f>
        <v/>
      </c>
      <c r="G3149">
        <f>Skills!G9*IF(Skills!H9&gt;0,Skills!I9/Skills!H9,1)</f>
        <v/>
      </c>
      <c r="H3149">
        <f>1-(1-Skills!J9/100)^Skills!K9</f>
        <v/>
      </c>
      <c r="I3149" t="inlineStr">
        <is>
          <t>1</t>
        </is>
      </c>
      <c r="J3149">
        <f>((Inputs!$B$6*(1+Inputs!$B$7/100))+(((Inputs!$B$12*(1+Inputs!$B$13/100))-(Inputs!$B$12*(1+Inputs!$B$13/100)))+0.25*(Inputs!$B$14-Inputs!$B$14))*(1+Inputs!$B$7/100))*(F3149/100)</f>
        <v/>
      </c>
      <c r="K3149">
        <f>J3149*(1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3151=TRUE,F3151,0)/100)*(1+(IF(Skills!A9="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3149)</f>
        <v/>
      </c>
      <c r="L3149">
        <f>K3149*(MIN(Inputs!$B$22+((C3165=TRUE)*(F3165-Calc!F25)),(Inputs!$B$23+((C3170=TRUE)*(F3170-Calc!F30))+(IF(ArtifactsInput!$M$15,CHOOSE(ArtifactsInput!$N$15+1,25,30,35,40,45,50)/100*(Inputs!$B$11-Inputs!$B$11),0))))/100+(Inputs!$B$23+((C3170=TRUE)*(F3170-Calc!F30))+(IF(ArtifactsInput!$M$15,CHOOSE(ArtifactsInput!$N$15+1,25,30,35,40,45,50)/100*(Inputs!$B$11-Inputs!$B$11),0)))/100)/2</f>
        <v/>
      </c>
      <c r="M3149">
        <f>L3149*(1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9">
        <f>L3149*(1-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3149*(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9">
        <f>(1-Summary!$B$11)*T3149+Summary!$B$11*V3149</f>
        <v/>
      </c>
      <c r="P3149">
        <f>IF(B3184=0,0,O3149/B3184)</f>
        <v/>
      </c>
      <c r="Q3149">
        <f>IFERROR(1/(IF(Inputs!$B$38="pvp",15,MAX(0.1,Skills!D9-IF(Skills!E9=TRUE,2.0,0)))*(1-IF(AND(ArtifactsInput!$M$27,Inputs!$B$4="Chapter Hunt"),CHOOSE(ArtifactsInput!$N$27+1,20,24,28,32,36,40),0)/100)),0)</f>
        <v/>
      </c>
      <c r="R3149">
        <f>IF(AND(Inputs!$B$38&lt;&gt;"pvp",Inputs!$B$43&gt;0),IF(MAX(0,Inputs!$B$43-B3181)&lt;=0,0,(INT(MAX(0,Inputs!$B$43-B3181)/(IF(Inputs!$B$38="pvp",15,MAX(0.1,Skills!D9-IF(Skills!E9=TRUE,2.0,0)))*(1-IF(AND(ArtifactsInput!$M$27,Inputs!$B$4="Chapter Hunt"),CHOOSE(ArtifactsInput!$N$27+1,20,24,28,32,36,40),0)/100)))+1)),0)</f>
        <v/>
      </c>
      <c r="S3149">
        <f>IFERROR(O3149/N3149,0)</f>
        <v/>
      </c>
      <c r="T3149">
        <f>IF(C3149,(H3149*N3149*IF(AND(Inputs!$B$38&lt;&gt;"pvp",Inputs!$B$43&gt;0),((Skills!G9*((R3149-1)*IF(Skills!H9&gt;0,Skills!I9/Skills!H9,1)+IF(Skills!H9&gt;0,MIN(Skills!I9,MAX(0,MAX(0,Inputs!$B$43-B3181)-((R3149-1)*(IF(Inputs!$B$38="pvp",15,MAX(0.1,Skills!D9-IF(Skills!E9=TRUE,2.0,0)))*(1-IF(AND(ArtifactsInput!$M$27,Inputs!$B$4="Chapter Hunt"),CHOOSE(ArtifactsInput!$N$27+1,20,24,28,32,36,40),0)/100)))))/Skills!H9,1)))/Inputs!$B$43),G3149*Q3149)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3149*(1-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3149*(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3149*(1-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3149*(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9">
        <f>IF(C3149,(H3149*N3149*IF(AND(Inputs!$B$38&lt;&gt;"pvp",Inputs!$B$43&gt;0),((Skills!G9*((R3149-1)*IF(Skills!H9&gt;0,Skills!I9/Skills!H9,1)+IF(Skills!H9&gt;0,MIN(Skills!I9,MAX(0,MAX(0,Inputs!$B$43-B3181)-((R3149-1)*(IF(Inputs!$B$38="pvp",15,MAX(0.1,Skills!D9-IF(Skills!E9=TRUE,2.0,0)))*(1-IF(AND(ArtifactsInput!$M$27,Inputs!$B$4="Chapter Hunt"),CHOOSE(ArtifactsInput!$N$27+1,20,24,28,32,36,40),0)/100)))))/Skills!H9,1)))/Inputs!$B$43),G3149*Q3149))*IF(Inputs!$B$38="pvp",1,(1+(Inputs!$B$21+Skills!Q9+(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0">
      <c r="A3150">
        <f>Skills!A10</f>
        <v/>
      </c>
      <c r="B3150">
        <f>Skills!B10</f>
        <v/>
      </c>
      <c r="C3150">
        <f>Inputs!$B$3&gt;=103</f>
        <v/>
      </c>
      <c r="D3150">
        <f>IF(Skills!C10=1,60+Inputs!$B$25+Inputs!$B$29,IF(Skills!C10=2,90+Inputs!$B$26+Inputs!$B$29,IF(Skills!C10=3,120+Inputs!$B$27+Inputs!$B$29,MAX(0,(Inputs!$B$3-100)*3)+Inputs!$B$28+Inputs!$B$29)))</f>
        <v/>
      </c>
      <c r="E3150">
        <f>INDEX(FactorTable!$B$2:$Y$301, MATCH(ROUND(MIN(300,MAX(1,D3150)),0), FactorTable!$A$2:$A$301,0), Skills!M10+1)</f>
        <v/>
      </c>
      <c r="F3150">
        <f>IF(Skills!N10=TRUE,(Skills!L10/10)*(E3150/1000),Skills!L10/10)+Skills!O10</f>
        <v/>
      </c>
      <c r="G3150">
        <f>Skills!G10*IF(Skills!H10&gt;0,Skills!I10/Skills!H10,1)</f>
        <v/>
      </c>
      <c r="H3150">
        <f>1-(1-Skills!J10/100)^Skills!K10</f>
        <v/>
      </c>
      <c r="I3150" t="inlineStr">
        <is>
          <t>1</t>
        </is>
      </c>
      <c r="J3150">
        <f>((Inputs!$B$6*(1+Inputs!$B$7/100))+(((Inputs!$B$12*(1+Inputs!$B$13/100))-(Inputs!$B$12*(1+Inputs!$B$13/100)))+0.25*(Inputs!$B$14-Inputs!$B$14))*(1+Inputs!$B$7/100))*(F3150/100)</f>
        <v/>
      </c>
      <c r="K3150">
        <f>J3150*(1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3150)</f>
        <v/>
      </c>
      <c r="L3150">
        <f>K3150*(MIN(Inputs!$B$22+((C3165=TRUE)*(F3165-Calc!F25)),(Inputs!$B$23+((C3170=TRUE)*(F3170-Calc!F30))+(IF(ArtifactsInput!$M$15,CHOOSE(ArtifactsInput!$N$15+1,25,30,35,40,45,50)/100*(Inputs!$B$11-Inputs!$B$11),0))))/100+(Inputs!$B$23+((C3170=TRUE)*(F3170-Calc!F30))+(IF(ArtifactsInput!$M$15,CHOOSE(ArtifactsInput!$N$15+1,25,30,35,40,45,50)/100*(Inputs!$B$11-Inputs!$B$11),0)))/100)/2</f>
        <v/>
      </c>
      <c r="M3150">
        <f>L3150*(1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0">
        <f>L3150*(1-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3150*(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0">
        <f>(1-Summary!$B$11)*T3150+Summary!$B$11*V3150</f>
        <v/>
      </c>
      <c r="P3150">
        <f>IF(B3184=0,0,O3150/B3184)</f>
        <v/>
      </c>
      <c r="Q3150">
        <f>IFERROR(1/(IF(Inputs!$B$38="pvp",15,MAX(0.1,Skills!D10-IF(Skills!E10=TRUE,2.0,0)))*(1-IF(AND(ArtifactsInput!$M$27,Inputs!$B$4="Chapter Hunt"),CHOOSE(ArtifactsInput!$N$27+1,20,24,28,32,36,40),0)/100)),0)</f>
        <v/>
      </c>
      <c r="R3150">
        <f>IF(AND(Inputs!$B$38&lt;&gt;"pvp",Inputs!$B$43&gt;0),IF(MAX(0,Inputs!$B$43-B3181)&lt;=0,0,(INT(MAX(0,Inputs!$B$43-B3181)/(IF(Inputs!$B$38="pvp",15,MAX(0.1,Skills!D10-IF(Skills!E10=TRUE,2.0,0)))*(1-IF(AND(ArtifactsInput!$M$27,Inputs!$B$4="Chapter Hunt"),CHOOSE(ArtifactsInput!$N$27+1,20,24,28,32,36,40),0)/100)))+1)),0)</f>
        <v/>
      </c>
      <c r="S3150">
        <f>IFERROR(O3150/N3150,0)</f>
        <v/>
      </c>
      <c r="T3150">
        <f>IF(C3150,(H3150*N3150*IF(AND(Inputs!$B$38&lt;&gt;"pvp",Inputs!$B$43&gt;0),((Skills!G10*((R3150-1)*IF(Skills!H10&gt;0,Skills!I10/Skills!H10,1)+IF(Skills!H10&gt;0,MIN(Skills!I10,MAX(0,MAX(0,Inputs!$B$43-B3181)-((R3150-1)*(IF(Inputs!$B$38="pvp",15,MAX(0.1,Skills!D10-IF(Skills!E10=TRUE,2.0,0)))*(1-IF(AND(ArtifactsInput!$M$27,Inputs!$B$4="Chapter Hunt"),CHOOSE(ArtifactsInput!$N$27+1,20,24,28,32,36,40),0)/100)))))/Skills!H10,1)))/Inputs!$B$43),G3150*Q3150)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3150*(1-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3150*(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3150*(1-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3150*(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0">
        <f>IF(C3150,(H3150*N3150*IF(AND(Inputs!$B$38&lt;&gt;"pvp",Inputs!$B$43&gt;0),((Skills!G10*((R3150-1)*IF(Skills!H10&gt;0,Skills!I10/Skills!H10,1)+IF(Skills!H10&gt;0,MIN(Skills!I10,MAX(0,MAX(0,Inputs!$B$43-B3181)-((R3150-1)*(IF(Inputs!$B$38="pvp",15,MAX(0.1,Skills!D10-IF(Skills!E10=TRUE,2.0,0)))*(1-IF(AND(ArtifactsInput!$M$27,Inputs!$B$4="Chapter Hunt"),CHOOSE(ArtifactsInput!$N$27+1,20,24,28,32,36,40),0)/100)))))/Skills!H10,1)))/Inputs!$B$43),G3150*Q3150))*IF(Inputs!$B$38="pvp",1,(1+(Inputs!$B$21+Skills!Q10+(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1">
      <c r="A3151">
        <f>Skills!A11</f>
        <v/>
      </c>
      <c r="B3151">
        <f>Skills!B11</f>
        <v/>
      </c>
      <c r="C3151">
        <f>Inputs!$B$3&gt;=100</f>
        <v/>
      </c>
      <c r="D3151">
        <f>IF(Skills!C11=1,60+Inputs!$B$25+Inputs!$B$29,IF(Skills!C11=2,90+Inputs!$B$26+Inputs!$B$29,IF(Skills!C11=3,120+Inputs!$B$27+Inputs!$B$29,MAX(0,(Inputs!$B$3-100)*3)+Inputs!$B$28+Inputs!$B$29)))</f>
        <v/>
      </c>
      <c r="E3151">
        <f>INDEX(FactorTable!$B$2:$Y$301, MATCH(ROUND(MIN(300,MAX(1,D3151)),0), FactorTable!$A$2:$A$301,0), Skills!M11+1)</f>
        <v/>
      </c>
      <c r="F3151">
        <f>IF(Skills!N11=TRUE,(Skills!L11/10)*(E3151/1000),Skills!L11/10)+Skills!O11</f>
        <v/>
      </c>
      <c r="G3151" t="inlineStr"/>
      <c r="H3151" t="inlineStr"/>
      <c r="I3151" t="inlineStr">
        <is>
          <t>1</t>
        </is>
      </c>
      <c r="J3151" t="inlineStr"/>
      <c r="K3151" t="inlineStr"/>
      <c r="L3151" t="inlineStr"/>
      <c r="M3151" t="inlineStr"/>
      <c r="N3151" t="inlineStr"/>
      <c r="O3151" t="inlineStr"/>
      <c r="P3151" t="inlineStr"/>
      <c r="Q3151" t="inlineStr"/>
      <c r="R3151" t="inlineStr"/>
      <c r="S3151" t="inlineStr"/>
      <c r="T3151" t="inlineStr"/>
      <c r="V3151" t="inlineStr"/>
    </row>
    <row r="3152">
      <c r="A3152">
        <f>Skills!A12</f>
        <v/>
      </c>
      <c r="B3152">
        <f>Skills!B12</f>
        <v/>
      </c>
      <c r="C3152">
        <f>Inputs!$B$3&gt;=60</f>
        <v/>
      </c>
      <c r="D3152">
        <f>IF(Skills!C12=1,60+Inputs!$B$25+Inputs!$B$29,IF(Skills!C12=2,90+Inputs!$B$26+Inputs!$B$29,IF(Skills!C12=3,120+Inputs!$B$27+Inputs!$B$29,MAX(0,(Inputs!$B$3-100)*3)+Inputs!$B$28+Inputs!$B$29)))</f>
        <v/>
      </c>
      <c r="E3152">
        <f>INDEX(FactorTable!$B$2:$Y$301, MATCH(ROUND(MIN(300,MAX(1,D3152)),0), FactorTable!$A$2:$A$301,0), Skills!M12+1)</f>
        <v/>
      </c>
      <c r="F3152">
        <f>IF(Skills!N12=TRUE,(Skills!L12/10)*(E3152/1000),Skills!L12/10)+Skills!O12</f>
        <v/>
      </c>
      <c r="G3152">
        <f>Skills!G12*IF(Skills!H12&gt;0,Skills!I12/Skills!H12,1)</f>
        <v/>
      </c>
      <c r="H3152">
        <f>1-(1-Skills!J12/100)^Skills!K12</f>
        <v/>
      </c>
      <c r="I3152" t="inlineStr">
        <is>
          <t>1</t>
        </is>
      </c>
      <c r="J3152">
        <f>((Inputs!$B$6*(1+Inputs!$B$7/100))+(((Inputs!$B$12*(1+Inputs!$B$13/100))-(Inputs!$B$12*(1+Inputs!$B$13/100)))+0.25*(Inputs!$B$14-Inputs!$B$14))*(1+Inputs!$B$7/100))*(F3152/100)</f>
        <v/>
      </c>
      <c r="K3152">
        <f>J3152*(1+((Inputs!$B$12*(1+Inputs!$B$13/100))*0.01+Inputs!$B$14*0.0025)/100)*(1+Inputs!$B$15/100)*(1+Inputs!$B$16/100)*(5000/(6000+Inputs!$B$42*(1-(100*(1-(1-(Inputs!$B$19+((C3168=TRUE)*(F3168-Calc!F28)))/100)*(1-CHOOSE(ArtifactsInput!$N$40+1,5,6,7,8,9,10)/100)^(ArtifactsInput!$M$40-ArtifactsInput!$M$40)))/100)))*(1+(Inputs!$B$24+((C3166=TRUE)*(F3166-Calc!F26))+((C3167=TRUE)*(F3167-Calc!F27))+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3153=TRUE,F3153,0)/100)*(1+(IF(Skills!A12="ARROW_STREAM",Inputs!$B$17+((C3164=TRUE)*(F3164-Calc!F24))+(((IF(AND(ArtifactsInput!$M$42,((Inputs!$B$9+((C3161=TRUE)*(F3161-Calc!F21))+B3174+(ArtifactsInput!$M$24-ArtifactsInput!$M$24)*CHOOSE(ArtifactsInput!$N$24+1,10,12,14,16,18,20)+IF(ArtifactsInput!$M$10,CHOOSE(ArtifactsInput!$N$10+1,15,18,21,24,27,30)*(IF(Inputs!$B$38="pvp",MIN(15,15)/15,IF(AND(Inputs!$B$38&lt;&gt;"pvp",Inputs!$B$43&gt;0),MIN(15,Inputs!$B$43)/(Inputs!$B$43),0))),0)))&gt;=100),MIN(100,((Inputs!$B$9+((C3161=TRUE)*(F3161-Calc!F21))+B3174+(ArtifactsInput!$M$24-ArtifactsInput!$M$24)*CHOOSE(ArtifactsInput!$N$24+1,10,12,14,16,18,20)+IF(ArtifactsInput!$M$10,CHOOSE(ArtifactsInput!$N$10+1,15,18,21,24,27,30)*(IF(Inputs!$B$38="pvp",MIN(15,15)/15,IF(AND(Inputs!$B$38&lt;&gt;"pvp",Inputs!$B$43&gt;0),MIN(15,Inputs!$B$43)/(Inputs!$B$43),0))),0)))-100),0))*CHOOSE(ArtifactsInput!$N$42+1,0.6,0.72,0.84,0.96,1.08,1.2))),Inputs!$B$18+((C3169=TRUE)*(F3169-Calc!F29))+(IF(AND(ArtifactsInput!$M$42,((Inputs!$B$9+((C3161=TRUE)*(F3161-Calc!F21))+B3174+(ArtifactsInput!$M$24-ArtifactsInput!$M$24)*CHOOSE(ArtifactsInput!$N$24+1,10,12,14,16,18,20)+IF(ArtifactsInput!$M$10,CHOOSE(ArtifactsInput!$N$10+1,15,18,21,24,27,30)*(IF(Inputs!$B$38="pvp",MIN(15,15)/15,IF(AND(Inputs!$B$38&lt;&gt;"pvp",Inputs!$B$43&gt;0),MIN(15,Inputs!$B$43)/(Inputs!$B$43),0))),0)))&gt;=100),CHOOSE(ArtifactsInput!$N$42+1,40,48,56,64,72,80),0))))/100)*((1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3152)</f>
        <v/>
      </c>
      <c r="L3152">
        <f>K3152*(MIN(Inputs!$B$22+((C3165=TRUE)*(F3165-Calc!F25)),(Inputs!$B$23+((C3170=TRUE)*(F3170-Calc!F30))+(IF(ArtifactsInput!$M$15,CHOOSE(ArtifactsInput!$N$15+1,25,30,35,40,45,50)/100*(Inputs!$B$11-Inputs!$B$11),0))))/100+(Inputs!$B$23+((C3170=TRUE)*(F3170-Calc!F30))+(IF(ArtifactsInput!$M$15,CHOOSE(ArtifactsInput!$N$15+1,25,30,35,40,45,50)/100*(Inputs!$B$11-Inputs!$B$11),0)))/100)/2</f>
        <v/>
      </c>
      <c r="M3152">
        <f>L3152*(1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2">
        <f>L3152*(1-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3152*(MIN((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2">
        <f>(1-Summary!$B$11)*T3152+Summary!$B$11*V3152</f>
        <v/>
      </c>
      <c r="P3152">
        <f>IF(B3184=0,0,O3152/B3184)</f>
        <v/>
      </c>
      <c r="Q3152">
        <f>IFERROR(1/(IF(Inputs!$B$38="pvp",15,MAX(0.1,Skills!D12-IF(Skills!E12=TRUE,2.0,0)))*(1-IF(AND(ArtifactsInput!$M$27,Inputs!$B$4="Chapter Hunt"),CHOOSE(ArtifactsInput!$N$27+1,20,24,28,32,36,40),0)/100)),0)</f>
        <v/>
      </c>
      <c r="R3152">
        <f>IF(AND(Inputs!$B$38&lt;&gt;"pvp",Inputs!$B$43&gt;0),IF(MAX(0,Inputs!$B$43-B3181)&lt;=0,0,(INT(MAX(0,Inputs!$B$43-B3181)/(IF(Inputs!$B$38="pvp",15,MAX(0.1,Skills!D12-IF(Skills!E12=TRUE,2.0,0)))*(1-IF(AND(ArtifactsInput!$M$27,Inputs!$B$4="Chapter Hunt"),CHOOSE(ArtifactsInput!$N$27+1,20,24,28,32,36,40),0)/100)))+1)),0)</f>
        <v/>
      </c>
      <c r="S3152">
        <f>IFERROR(O3152/N3152,0)</f>
        <v/>
      </c>
      <c r="T3152">
        <f>IF(C3152,(H3152*N3152*IF(AND(Inputs!$B$38&lt;&gt;"pvp",Inputs!$B$43&gt;0),((Skills!G12*((R3152-1)*IF(Skills!H12&gt;0,Skills!I12/Skills!H12,1)+IF(Skills!H12&gt;0,MIN(Skills!I12,MAX(0,MAX(0,Inputs!$B$43-B3181)-((R3152-1)*(IF(Inputs!$B$38="pvp",15,MAX(0.1,Skills!D12-IF(Skills!E12=TRUE,2.0,0)))*(1-IF(AND(ArtifactsInput!$M$27,Inputs!$B$4="Chapter Hunt"),CHOOSE(ArtifactsInput!$N$27+1,20,24,28,32,36,40),0)/100)))))/Skills!H12,1)))/Inputs!$B$43),G3152*Q3152))*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(5000/(6000+Inputs!$B$42*(1-(100*(1-(1-(100*(1-(1-(Inputs!$B$19+((C3168=TRUE)*(F3168-Calc!F28)))/100)*(1-CHOOSE(ArtifactsInput!$N$40+1,5,6,7,8,9,10)/100)^(ArtifactsInput!$M$40-ArtifactsInput!$M$40)))/100)*(1-IF(ArtifactsInput!$M$40,CHOOSE(ArtifactsInput!$N$40+1,5,6,7,8,9,10),0)/100)^IF(Inputs!$B$38="pvp",1,2)))/100)))/(5000/(6000+Inputs!$B$42*(1-(100*(1-(1-(Inputs!$B$19+((C3168=TRUE)*(F3168-Calc!F28)))/100)*(1-CHOOSE(ArtifactsInput!$N$40+1,5,6,7,8,9,10)/100)^(ArtifactsInput!$M$40-ArtifactsInput!$M$40)))/100))))*((L3152*(1-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3152*(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3152*(1-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3152*(MIN(100,(Inputs!$B$9+((C3161=TRUE)*(F3161-Calc!F21))+B3174+(ArtifactsInput!$M$24-ArtifactsInput!$M$24)*CHOOSE(ArtifactsInput!$N$24+1,10,12,14,16,18,20)+(IF(AND(ArtifactsInput!$M$42,((Inputs!$B$9+((C3161=TRUE)*(F3161-Calc!F21))+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2">
        <f>IF(C3152,(H3152*N3152*IF(AND(Inputs!$B$38&lt;&gt;"pvp",Inputs!$B$43&gt;0),((Skills!G12*((R3152-1)*IF(Skills!H12&gt;0,Skills!I12/Skills!H12,1)+IF(Skills!H12&gt;0,MIN(Skills!I12,MAX(0,MAX(0,Inputs!$B$43-B3181)-((R3152-1)*(IF(Inputs!$B$38="pvp",15,MAX(0.1,Skills!D12-IF(Skills!E12=TRUE,2.0,0)))*(1-IF(AND(ArtifactsInput!$M$27,Inputs!$B$4="Chapter Hunt"),CHOOSE(ArtifactsInput!$N$27+1,20,24,28,32,36,40),0)/100)))))/Skills!H12,1)))/Inputs!$B$43),G3152*Q3152))*IF(Inputs!$B$38="pvp",1,(1+(Inputs!$B$21+Skills!Q12+(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3">
      <c r="A3153">
        <f>Skills!A13</f>
        <v/>
      </c>
      <c r="B3153">
        <f>Skills!B13</f>
        <v/>
      </c>
      <c r="C3153">
        <f>Inputs!$B$3&gt;=110</f>
        <v/>
      </c>
      <c r="D3153">
        <f>IF(Skills!C13=1,60+Inputs!$B$25+Inputs!$B$29,IF(Skills!C13=2,90+Inputs!$B$26+Inputs!$B$29,IF(Skills!C13=3,120+Inputs!$B$27+Inputs!$B$29,MAX(0,(Inputs!$B$3-100)*3)+Inputs!$B$28+Inputs!$B$29)))</f>
        <v/>
      </c>
      <c r="E3153">
        <f>INDEX(FactorTable!$B$2:$Y$301, MATCH(ROUND(MIN(300,MAX(1,D3153)),0), FactorTable!$A$2:$A$301,0), Skills!M13+1)</f>
        <v/>
      </c>
      <c r="F3153">
        <f>IF(Skills!N13=TRUE,(Skills!L13/10)*(E3153/1000),Skills!L13/10)+Skills!O13</f>
        <v/>
      </c>
      <c r="G3153" t="inlineStr"/>
      <c r="H3153" t="inlineStr"/>
      <c r="I3153" t="inlineStr">
        <is>
          <t>1</t>
        </is>
      </c>
      <c r="J3153" t="inlineStr"/>
      <c r="K3153" t="inlineStr"/>
      <c r="L3153" t="inlineStr"/>
      <c r="M3153" t="inlineStr"/>
      <c r="N3153" t="inlineStr"/>
      <c r="O3153" t="inlineStr"/>
      <c r="P3153" t="inlineStr"/>
      <c r="Q3153" t="inlineStr"/>
      <c r="R3153" t="inlineStr"/>
      <c r="S3153" t="inlineStr"/>
      <c r="T3153" t="inlineStr"/>
      <c r="V3153" t="inlineStr"/>
    </row>
    <row r="3154">
      <c r="A3154">
        <f>Skills!A14</f>
        <v/>
      </c>
      <c r="B3154">
        <f>Skills!B14</f>
        <v/>
      </c>
      <c r="C3154">
        <f>Inputs!$B$3&gt;=74</f>
        <v/>
      </c>
      <c r="D3154">
        <f>IF(Skills!C14=1,60+Inputs!$B$25+Inputs!$B$29,IF(Skills!C14=2,90+Inputs!$B$26+Inputs!$B$29,IF(Skills!C14=3,120+Inputs!$B$27+Inputs!$B$29,MAX(0,(Inputs!$B$3-100)*3)+Inputs!$B$28+Inputs!$B$29)))</f>
        <v/>
      </c>
      <c r="E3154">
        <f>INDEX(FactorTable!$B$2:$Y$301, MATCH(ROUND(MIN(300,MAX(1,D3154)),0), FactorTable!$A$2:$A$301,0), Skills!M14+1)</f>
        <v/>
      </c>
      <c r="F3154">
        <f>IF(Skills!N14=TRUE,(Skills!L14/10)*(E3154/1000),Skills!L14/10)+Skills!O14</f>
        <v/>
      </c>
      <c r="G3154">
        <f>Skills!G14*IF(Skills!H14&gt;0,Skills!I14/Skills!H14,1)</f>
        <v/>
      </c>
      <c r="H3154">
        <f>1-(1-Skills!J14/100)^Skills!K14</f>
        <v/>
      </c>
      <c r="I3154" t="inlineStr">
        <is>
          <t>1</t>
        </is>
      </c>
      <c r="J3154" t="inlineStr"/>
      <c r="K3154" t="inlineStr"/>
      <c r="L3154" t="inlineStr"/>
      <c r="M3154" t="inlineStr"/>
      <c r="N3154" t="inlineStr"/>
      <c r="O3154">
        <f>(1-Summary!$B$11)*T3154+Summary!$B$11*V3154</f>
        <v/>
      </c>
      <c r="P3154">
        <f>IF(B3184=0,0,O3154/B3184)</f>
        <v/>
      </c>
      <c r="Q3154" t="n">
        <v>0</v>
      </c>
      <c r="R3154" t="n">
        <v>0</v>
      </c>
      <c r="S3154">
        <f>IFERROR(O3154/N3154,0)</f>
        <v/>
      </c>
      <c r="T3154" t="n">
        <v>0</v>
      </c>
      <c r="V3154" t="n">
        <v>0</v>
      </c>
    </row>
    <row r="3155">
      <c r="A3155">
        <f>Skills!A15</f>
        <v/>
      </c>
      <c r="B3155">
        <f>Skills!B15</f>
        <v/>
      </c>
      <c r="C3155">
        <f>Inputs!$B$3&gt;=74</f>
        <v/>
      </c>
      <c r="D3155">
        <f>IF(Skills!C15=1,60+Inputs!$B$25+Inputs!$B$29,IF(Skills!C15=2,90+Inputs!$B$26+Inputs!$B$29,IF(Skills!C15=3,120+Inputs!$B$27+Inputs!$B$29,MAX(0,(Inputs!$B$3-100)*3)+Inputs!$B$28+Inputs!$B$29)))</f>
        <v/>
      </c>
      <c r="E3155">
        <f>INDEX(FactorTable!$B$2:$Y$301, MATCH(ROUND(MIN(300,MAX(1,D3155)),0), FactorTable!$A$2:$A$301,0), Skills!M15+1)</f>
        <v/>
      </c>
      <c r="F3155">
        <f>IF(Skills!N15=TRUE,(Skills!L15/10)*(E3155/1000),Skills!L15/10)+Skills!O15</f>
        <v/>
      </c>
      <c r="G3155">
        <f>Skills!G15*IF(Skills!H15&gt;0,Skills!I15/Skills!H15,1)</f>
        <v/>
      </c>
      <c r="H3155">
        <f>1-(1-Skills!J15/100)^Skills!K15</f>
        <v/>
      </c>
      <c r="I3155" t="inlineStr">
        <is>
          <t>1</t>
        </is>
      </c>
      <c r="J3155" t="inlineStr"/>
      <c r="K3155" t="inlineStr"/>
      <c r="L3155" t="inlineStr"/>
      <c r="M3155" t="inlineStr"/>
      <c r="N3155" t="inlineStr"/>
      <c r="O3155">
        <f>(1-Summary!$B$11)*T3155+Summary!$B$11*V3155</f>
        <v/>
      </c>
      <c r="P3155">
        <f>IF(B3184=0,0,O3155/B3184)</f>
        <v/>
      </c>
      <c r="Q3155" t="n">
        <v>0</v>
      </c>
      <c r="R3155" t="n">
        <v>0</v>
      </c>
      <c r="S3155">
        <f>IFERROR(O3155/N3155,0)</f>
        <v/>
      </c>
      <c r="T3155" t="n">
        <v>0</v>
      </c>
      <c r="V3155" t="n">
        <v>0</v>
      </c>
    </row>
    <row r="3156">
      <c r="A3156">
        <f>Skills!A16</f>
        <v/>
      </c>
      <c r="B3156">
        <f>Skills!B16</f>
        <v/>
      </c>
      <c r="C3156">
        <f>Inputs!$B$3&gt;=117</f>
        <v/>
      </c>
      <c r="D3156">
        <f>IF(Skills!C16=1,60+Inputs!$B$25+Inputs!$B$29,IF(Skills!C16=2,90+Inputs!$B$26+Inputs!$B$29,IF(Skills!C16=3,120+Inputs!$B$27+Inputs!$B$29,MAX(0,(Inputs!$B$3-100)*3)+Inputs!$B$28+Inputs!$B$29)))</f>
        <v/>
      </c>
      <c r="E3156">
        <f>INDEX(FactorTable!$B$2:$Y$301, MATCH(ROUND(MIN(300,MAX(1,D3156)),0), FactorTable!$A$2:$A$301,0), Skills!M16+1)</f>
        <v/>
      </c>
      <c r="F3156">
        <f>IF(Skills!N16=TRUE,(Skills!L16/10)*(E3156/1000),Skills!L16/10)+Skills!O16</f>
        <v/>
      </c>
      <c r="G3156">
        <f>Skills!G16*IF(Skills!H16&gt;0,Skills!I16/Skills!H16,1)</f>
        <v/>
      </c>
      <c r="H3156">
        <f>1-(1-Skills!J16/100)^Skills!K16</f>
        <v/>
      </c>
      <c r="I3156" t="inlineStr">
        <is>
          <t>1</t>
        </is>
      </c>
      <c r="J3156" t="inlineStr"/>
      <c r="K3156" t="inlineStr"/>
      <c r="L3156" t="inlineStr"/>
      <c r="M3156" t="inlineStr"/>
      <c r="N3156" t="inlineStr"/>
      <c r="O3156">
        <f>(1-Summary!$B$11)*T3156+Summary!$B$11*V3156</f>
        <v/>
      </c>
      <c r="P3156">
        <f>IF(B3184=0,0,O3156/B3184)</f>
        <v/>
      </c>
      <c r="Q3156">
        <f>IFERROR(1/(IF(Inputs!$B$38="pvp",15,MAX(0.1,Skills!D16-IF(Skills!E16=TRUE,2.0,0)))*(1-IF(AND(ArtifactsInput!$M$27,Inputs!$B$4="Chapter Hunt"),CHOOSE(ArtifactsInput!$N$27+1,20,24,28,32,36,40),0)/100)),0)</f>
        <v/>
      </c>
      <c r="R3156">
        <f>IF(AND(Inputs!$B$38&lt;&gt;"pvp",Inputs!$B$43&gt;0),IF(Inputs!$B$43&lt;=0,0,(INT(Inputs!$B$43/(IF(Inputs!$B$38="pvp",15,MAX(0.1,Skills!D16-IF(Skills!E16=TRUE,2.0,0)))*(1-IF(AND(ArtifactsInput!$M$27,Inputs!$B$4="Chapter Hunt"),CHOOSE(ArtifactsInput!$N$27+1,20,24,28,32,36,40),0)/100)))+1)),0)</f>
        <v/>
      </c>
      <c r="S3156">
        <f>IFERROR(O3156/N3156,0)</f>
        <v/>
      </c>
      <c r="T3156" t="n">
        <v>0</v>
      </c>
      <c r="V3156" t="n">
        <v>0</v>
      </c>
    </row>
    <row r="3157">
      <c r="A3157">
        <f>Skills!A17</f>
        <v/>
      </c>
      <c r="B3157">
        <f>Skills!B17</f>
        <v/>
      </c>
      <c r="C3157">
        <f>Inputs!$B$3&gt;=115</f>
        <v/>
      </c>
      <c r="D3157">
        <f>IF(Skills!C17=1,60+Inputs!$B$25+Inputs!$B$29,IF(Skills!C17=2,90+Inputs!$B$26+Inputs!$B$29,IF(Skills!C17=3,120+Inputs!$B$27+Inputs!$B$29,MAX(0,(Inputs!$B$3-100)*3)+Inputs!$B$28+Inputs!$B$29)))</f>
        <v/>
      </c>
      <c r="E3157">
        <f>INDEX(FactorTable!$B$2:$Y$301, MATCH(ROUND(MIN(300,MAX(1,D3157)),0), FactorTable!$A$2:$A$301,0), Skills!M17+1)</f>
        <v/>
      </c>
      <c r="F3157">
        <f>IF(Skills!N17=TRUE,(Skills!L17/10)*(E3157/1000),Skills!L17/10)+Skills!O17</f>
        <v/>
      </c>
      <c r="G3157">
        <f>Skills!G17*IF(Skills!H17&gt;0,Skills!I17/Skills!H17,1)</f>
        <v/>
      </c>
      <c r="H3157">
        <f>1-(1-Skills!J17/100)^Skills!K17</f>
        <v/>
      </c>
      <c r="I3157" t="inlineStr">
        <is>
          <t>1</t>
        </is>
      </c>
      <c r="J3157" t="inlineStr"/>
      <c r="K3157" t="inlineStr"/>
      <c r="L3157" t="inlineStr"/>
      <c r="M3157" t="inlineStr"/>
      <c r="N3157" t="inlineStr"/>
      <c r="O3157">
        <f>(1-Summary!$B$11)*T3157+Summary!$B$11*V3157</f>
        <v/>
      </c>
      <c r="P3157">
        <f>IF(B3184=0,0,O3157/B3184)</f>
        <v/>
      </c>
      <c r="Q3157">
        <f>IFERROR(1/(IF(Inputs!$B$38="pvp",15,MAX(0.1,Skills!D17-IF(Skills!E17=TRUE,2.0,0)))*(1-IF(AND(ArtifactsInput!$M$27,Inputs!$B$4="Chapter Hunt"),CHOOSE(ArtifactsInput!$N$27+1,20,24,28,32,36,40),0)/100)),0)</f>
        <v/>
      </c>
      <c r="R3157">
        <f>IF(AND(Inputs!$B$38&lt;&gt;"pvp",Inputs!$B$43&gt;0),IF(Inputs!$B$43&lt;=0,0,(INT(Inputs!$B$43/(IF(Inputs!$B$38="pvp",15,MAX(0.1,Skills!D17-IF(Skills!E17=TRUE,2.0,0)))*(1-IF(AND(ArtifactsInput!$M$27,Inputs!$B$4="Chapter Hunt"),CHOOSE(ArtifactsInput!$N$27+1,20,24,28,32,36,40),0)/100)))+1)),0)</f>
        <v/>
      </c>
      <c r="S3157">
        <f>IFERROR(O3157/N3157,0)</f>
        <v/>
      </c>
      <c r="T3157" t="n">
        <v>0</v>
      </c>
      <c r="V3157" t="n">
        <v>0</v>
      </c>
    </row>
    <row r="3158">
      <c r="A3158">
        <f>Skills!A18</f>
        <v/>
      </c>
      <c r="B3158">
        <f>Skills!B18</f>
        <v/>
      </c>
      <c r="C3158">
        <f>Inputs!$B$3&gt;=66</f>
        <v/>
      </c>
      <c r="D3158">
        <f>IF(Skills!C18=1,60+Inputs!$B$25+Inputs!$B$29,IF(Skills!C18=2,90+Inputs!$B$26+Inputs!$B$29,IF(Skills!C18=3,120+Inputs!$B$27+Inputs!$B$29,MAX(0,(Inputs!$B$3-100)*3)+Inputs!$B$28+Inputs!$B$29)))</f>
        <v/>
      </c>
      <c r="E3158">
        <f>INDEX(FactorTable!$B$2:$Y$301, MATCH(ROUND(MIN(300,MAX(1,D3158)),0), FactorTable!$A$2:$A$301,0), Skills!M18+1)</f>
        <v/>
      </c>
      <c r="F3158">
        <f>IF(Skills!N18=TRUE,(Skills!L18/10)*(E3158/1000),Skills!L18/10)+Skills!O18</f>
        <v/>
      </c>
      <c r="G3158">
        <f>Skills!G18*IF(Skills!H18&gt;0,Skills!I18/Skills!H18,1)</f>
        <v/>
      </c>
      <c r="H3158">
        <f>1-(1-Skills!J18/100)^Skills!K18</f>
        <v/>
      </c>
      <c r="I3158" t="inlineStr">
        <is>
          <t>1</t>
        </is>
      </c>
      <c r="J3158" t="inlineStr"/>
      <c r="K3158" t="inlineStr"/>
      <c r="L3158" t="inlineStr"/>
      <c r="M3158" t="inlineStr"/>
      <c r="N3158" t="inlineStr"/>
      <c r="O3158">
        <f>(1-Summary!$B$11)*T3158+Summary!$B$11*V3158</f>
        <v/>
      </c>
      <c r="P3158">
        <f>IF(B3184=0,0,O3158/B3184)</f>
        <v/>
      </c>
      <c r="Q3158" t="n">
        <v>0</v>
      </c>
      <c r="R3158" t="n">
        <v>0</v>
      </c>
      <c r="S3158">
        <f>IFERROR(O3158/N3158,0)</f>
        <v/>
      </c>
      <c r="T3158" t="n">
        <v>0</v>
      </c>
      <c r="V3158" t="n">
        <v>0</v>
      </c>
    </row>
    <row r="3159">
      <c r="A3159">
        <f>Skills!A19</f>
        <v/>
      </c>
      <c r="B3159">
        <f>Skills!B19</f>
        <v/>
      </c>
      <c r="C3159">
        <f>Inputs!$B$3&gt;=72</f>
        <v/>
      </c>
      <c r="D3159">
        <f>IF(Skills!C19=1,60+Inputs!$B$25+Inputs!$B$29,IF(Skills!C19=2,90+Inputs!$B$26+Inputs!$B$29,IF(Skills!C19=3,120+Inputs!$B$27+Inputs!$B$29,MAX(0,(Inputs!$B$3-100)*3)+Inputs!$B$28+Inputs!$B$29)))</f>
        <v/>
      </c>
      <c r="E3159">
        <f>INDEX(FactorTable!$B$2:$Y$301, MATCH(ROUND(MIN(300,MAX(1,D3159)),0), FactorTable!$A$2:$A$301,0), Skills!M19+1)</f>
        <v/>
      </c>
      <c r="F3159">
        <f>IF(Skills!N19=TRUE,(Skills!L19/10)*(E3159/1000),Skills!L19/10)+Skills!O19</f>
        <v/>
      </c>
      <c r="G3159">
        <f>Skills!G19*IF(Skills!H19&gt;0,Skills!I19/Skills!H19,1)</f>
        <v/>
      </c>
      <c r="H3159">
        <f>1-(1-Skills!J19/100)^Skills!K19</f>
        <v/>
      </c>
      <c r="I3159" t="inlineStr">
        <is>
          <t>1</t>
        </is>
      </c>
      <c r="J3159" t="inlineStr"/>
      <c r="K3159" t="inlineStr"/>
      <c r="L3159" t="inlineStr"/>
      <c r="M3159" t="inlineStr"/>
      <c r="N3159" t="inlineStr"/>
      <c r="O3159">
        <f>(1-Summary!$B$11)*T3159+Summary!$B$11*V3159</f>
        <v/>
      </c>
      <c r="P3159">
        <f>IF(B3184=0,0,O3159/B3184)</f>
        <v/>
      </c>
      <c r="Q3159" t="n">
        <v>0</v>
      </c>
      <c r="R3159" t="n">
        <v>0</v>
      </c>
      <c r="S3159">
        <f>IFERROR(O3159/N3159,0)</f>
        <v/>
      </c>
      <c r="T3159" t="n">
        <v>0</v>
      </c>
      <c r="V3159" t="n">
        <v>0</v>
      </c>
    </row>
    <row r="3160">
      <c r="A3160">
        <f>Skills!A20</f>
        <v/>
      </c>
      <c r="B3160">
        <f>Skills!B20</f>
        <v/>
      </c>
      <c r="C3160">
        <f>TRUE</f>
        <v/>
      </c>
      <c r="D3160">
        <f>IF(Skills!C20=1,60+Inputs!$B$25+Inputs!$B$29,IF(Skills!C20=2,90+Inputs!$B$26+Inputs!$B$29,IF(Skills!C20=3,120+Inputs!$B$27+Inputs!$B$29,MAX(0,(Inputs!$B$3-100)*3)+Inputs!$B$28+Inputs!$B$29)))</f>
        <v/>
      </c>
      <c r="E3160">
        <f>INDEX(FactorTable!$B$2:$Y$301, MATCH(ROUND(MIN(300,MAX(1,D3160)),0), FactorTable!$A$2:$A$301,0), Skills!M20+1)</f>
        <v/>
      </c>
      <c r="F3160">
        <f>IF(Skills!N20=TRUE,(Skills!L20/10)*(E3160/1000),Skills!L20/10)+Skills!O20</f>
        <v/>
      </c>
      <c r="G3160">
        <f>Skills!G20*IF(Skills!H20&gt;0,Skills!I20/Skills!H20,1)</f>
        <v/>
      </c>
      <c r="H3160">
        <f>1-(1-Skills!J20/100)^Skills!K20</f>
        <v/>
      </c>
      <c r="I3160" t="inlineStr">
        <is>
          <t>1</t>
        </is>
      </c>
      <c r="J3160" t="inlineStr"/>
      <c r="K3160" t="inlineStr"/>
      <c r="L3160" t="inlineStr"/>
      <c r="M3160" t="inlineStr"/>
      <c r="N3160" t="inlineStr"/>
      <c r="O3160">
        <f>(1-Summary!$B$11)*T3160+Summary!$B$11*V3160</f>
        <v/>
      </c>
      <c r="P3160">
        <f>IF(B3184=0,0,O3160/B3184)</f>
        <v/>
      </c>
      <c r="Q3160">
        <f>IFERROR(1/(IF(Inputs!$B$38="pvp",15,MAX(0.1,Skills!D20-IF(Skills!E20=TRUE,2.0,0)))*(1-IF(AND(ArtifactsInput!$M$27,Inputs!$B$4="Chapter Hunt"),CHOOSE(ArtifactsInput!$N$27+1,20,24,28,32,36,40),0)/100)),0)</f>
        <v/>
      </c>
      <c r="R3160">
        <f>IF(AND(Inputs!$B$38&lt;&gt;"pvp",Inputs!$B$43&gt;0),IF(Inputs!$B$43&lt;=0,0,(INT(Inputs!$B$43/(IF(Inputs!$B$38="pvp",15,MAX(0.1,Skills!D20-IF(Skills!E20=TRUE,2.0,0)))*(1-IF(AND(ArtifactsInput!$M$27,Inputs!$B$4="Chapter Hunt"),CHOOSE(ArtifactsInput!$N$27+1,20,24,28,32,36,40),0)/100)))+1)),0)</f>
        <v/>
      </c>
      <c r="S3160">
        <f>IFERROR(O3160/N3160,0)</f>
        <v/>
      </c>
      <c r="T3160" t="n">
        <v>0</v>
      </c>
      <c r="V3160" t="n">
        <v>0</v>
      </c>
    </row>
    <row r="3161">
      <c r="A3161">
        <f>Skills!A21</f>
        <v/>
      </c>
      <c r="B3161">
        <f>Skills!B21</f>
        <v/>
      </c>
      <c r="C3161">
        <f>Inputs!$B$3&gt;=15</f>
        <v/>
      </c>
      <c r="D3161">
        <f>IF(Skills!C21=1,60+Inputs!$B$25+Inputs!$B$29,IF(Skills!C21=2,90+Inputs!$B$26+Inputs!$B$29,IF(Skills!C21=3,120+Inputs!$B$27+Inputs!$B$29,MAX(0,(Inputs!$B$3-100)*3)+Inputs!$B$28+Inputs!$B$29)))</f>
        <v/>
      </c>
      <c r="E3161">
        <f>INDEX(FactorTable!$B$2:$Y$301, MATCH(ROUND(MIN(300,MAX(1,D3161)),0), FactorTable!$A$2:$A$301,0), Skills!M21+1)</f>
        <v/>
      </c>
      <c r="F3161">
        <f>IF(Skills!N21=TRUE,(Skills!L21/10)*(E3161/1000),Skills!L21/10)+Skills!O21</f>
        <v/>
      </c>
      <c r="G3161">
        <f>Skills!G21*IF(Skills!H21&gt;0,Skills!I21/Skills!H21,1)</f>
        <v/>
      </c>
      <c r="H3161">
        <f>1-(1-Skills!J21/100)^Skills!K21</f>
        <v/>
      </c>
      <c r="I3161" t="inlineStr">
        <is>
          <t>1</t>
        </is>
      </c>
      <c r="J3161" t="inlineStr"/>
      <c r="K3161" t="inlineStr"/>
      <c r="L3161" t="inlineStr"/>
      <c r="M3161" t="inlineStr"/>
      <c r="N3161" t="inlineStr"/>
      <c r="O3161">
        <f>(1-Summary!$B$11)*T3161+Summary!$B$11*V3161</f>
        <v/>
      </c>
      <c r="P3161">
        <f>IF(B3184=0,0,O3161/B3184)</f>
        <v/>
      </c>
      <c r="Q3161" t="n">
        <v>0</v>
      </c>
      <c r="R3161" t="n">
        <v>0</v>
      </c>
      <c r="S3161">
        <f>IFERROR(O3161/N3161,0)</f>
        <v/>
      </c>
      <c r="T3161" t="n">
        <v>0</v>
      </c>
      <c r="V3161" t="n">
        <v>0</v>
      </c>
    </row>
    <row r="3162">
      <c r="A3162">
        <f>Skills!A22</f>
        <v/>
      </c>
      <c r="B3162">
        <f>Skills!B22</f>
        <v/>
      </c>
      <c r="C3162">
        <f>Inputs!$B$3&gt;=10</f>
        <v/>
      </c>
      <c r="D3162">
        <f>IF(Skills!C22=1,60+Inputs!$B$25+Inputs!$B$29,IF(Skills!C22=2,90+Inputs!$B$26+Inputs!$B$29,IF(Skills!C22=3,120+Inputs!$B$27+Inputs!$B$29,MAX(0,(Inputs!$B$3-100)*3)+Inputs!$B$28+Inputs!$B$29)))</f>
        <v/>
      </c>
      <c r="E3162">
        <f>INDEX(FactorTable!$B$2:$Y$301, MATCH(ROUND(MIN(300,MAX(1,D3162)),0), FactorTable!$A$2:$A$301,0), Skills!M22+1)</f>
        <v/>
      </c>
      <c r="F3162">
        <f>IF(Skills!N22=TRUE,(Skills!L22/10)*(E3162/1000),Skills!L22/10)+Skills!O22</f>
        <v/>
      </c>
      <c r="G3162">
        <f>Skills!G22*IF(Skills!H22&gt;0,Skills!I22/Skills!H22,1)</f>
        <v/>
      </c>
      <c r="H3162">
        <f>1-(1-Skills!J22/100)^Skills!K22</f>
        <v/>
      </c>
      <c r="I3162" t="inlineStr">
        <is>
          <t>1</t>
        </is>
      </c>
      <c r="J3162" t="inlineStr"/>
      <c r="K3162" t="inlineStr"/>
      <c r="L3162" t="inlineStr"/>
      <c r="M3162" t="inlineStr"/>
      <c r="N3162" t="inlineStr"/>
      <c r="O3162">
        <f>(1-Summary!$B$11)*T3162+Summary!$B$11*V3162</f>
        <v/>
      </c>
      <c r="P3162">
        <f>IF(B3184=0,0,O3162/B3184)</f>
        <v/>
      </c>
      <c r="Q3162" t="n">
        <v>0</v>
      </c>
      <c r="R3162" t="n">
        <v>0</v>
      </c>
      <c r="S3162">
        <f>IFERROR(O3162/N3162,0)</f>
        <v/>
      </c>
      <c r="T3162" t="n">
        <v>0</v>
      </c>
      <c r="V3162" t="n">
        <v>0</v>
      </c>
    </row>
    <row r="3163">
      <c r="A3163">
        <f>Skills!A23</f>
        <v/>
      </c>
      <c r="B3163">
        <f>Skills!B23</f>
        <v/>
      </c>
      <c r="C3163">
        <f>Inputs!$B$3&gt;=33</f>
        <v/>
      </c>
      <c r="D3163">
        <f>IF(Skills!C23=1,60+Inputs!$B$25+Inputs!$B$29,IF(Skills!C23=2,90+Inputs!$B$26+Inputs!$B$29,IF(Skills!C23=3,120+Inputs!$B$27+Inputs!$B$29,MAX(0,(Inputs!$B$3-100)*3)+Inputs!$B$28+Inputs!$B$29)))</f>
        <v/>
      </c>
      <c r="E3163">
        <f>INDEX(FactorTable!$B$2:$Y$301, MATCH(ROUND(MIN(300,MAX(1,D3163)),0), FactorTable!$A$2:$A$301,0), Skills!M23+1)</f>
        <v/>
      </c>
      <c r="F3163">
        <f>IF(Skills!N23=TRUE,(Skills!L23/10)*(E3163/1000),Skills!L23/10)+Skills!O23</f>
        <v/>
      </c>
      <c r="G3163">
        <f>Skills!G23*IF(Skills!H23&gt;0,Skills!I23/Skills!H23,1)</f>
        <v/>
      </c>
      <c r="H3163">
        <f>1-(1-Skills!J23/100)^Skills!K23</f>
        <v/>
      </c>
      <c r="I3163" t="inlineStr">
        <is>
          <t>1</t>
        </is>
      </c>
      <c r="J3163" t="inlineStr"/>
      <c r="K3163" t="inlineStr"/>
      <c r="L3163" t="inlineStr"/>
      <c r="M3163" t="inlineStr"/>
      <c r="N3163" t="inlineStr"/>
      <c r="O3163">
        <f>(1-Summary!$B$11)*T3163+Summary!$B$11*V3163</f>
        <v/>
      </c>
      <c r="P3163">
        <f>IF(B3184=0,0,O3163/B3184)</f>
        <v/>
      </c>
      <c r="Q3163" t="n">
        <v>0</v>
      </c>
      <c r="R3163" t="n">
        <v>0</v>
      </c>
      <c r="S3163">
        <f>IFERROR(O3163/N3163,0)</f>
        <v/>
      </c>
      <c r="T3163" t="n">
        <v>0</v>
      </c>
      <c r="V3163" t="n">
        <v>0</v>
      </c>
    </row>
    <row r="3164">
      <c r="A3164">
        <f>Skills!A24</f>
        <v/>
      </c>
      <c r="B3164">
        <f>Skills!B24</f>
        <v/>
      </c>
      <c r="C3164">
        <f>Inputs!$B$3&gt;=38</f>
        <v/>
      </c>
      <c r="D3164">
        <f>IF(Skills!C24=1,60+Inputs!$B$25+Inputs!$B$29,IF(Skills!C24=2,90+Inputs!$B$26+Inputs!$B$29,IF(Skills!C24=3,120+Inputs!$B$27+Inputs!$B$29,MAX(0,(Inputs!$B$3-100)*3)+Inputs!$B$28+Inputs!$B$29)))</f>
        <v/>
      </c>
      <c r="E3164">
        <f>INDEX(FactorTable!$B$2:$Y$301, MATCH(ROUND(MIN(300,MAX(1,D3164)),0), FactorTable!$A$2:$A$301,0), Skills!M24+1)</f>
        <v/>
      </c>
      <c r="F3164">
        <f>IF(Skills!N24=TRUE,(Skills!L24/10)*(E3164/1000),Skills!L24/10)+Skills!O24</f>
        <v/>
      </c>
      <c r="G3164">
        <f>Skills!G24*IF(Skills!H24&gt;0,Skills!I24/Skills!H24,1)</f>
        <v/>
      </c>
      <c r="H3164">
        <f>1-(1-Skills!J24/100)^Skills!K24</f>
        <v/>
      </c>
      <c r="I3164" t="inlineStr">
        <is>
          <t>1</t>
        </is>
      </c>
      <c r="J3164" t="inlineStr"/>
      <c r="K3164" t="inlineStr"/>
      <c r="L3164" t="inlineStr"/>
      <c r="M3164" t="inlineStr"/>
      <c r="N3164" t="inlineStr"/>
      <c r="O3164">
        <f>(1-Summary!$B$11)*T3164+Summary!$B$11*V3164</f>
        <v/>
      </c>
      <c r="P3164">
        <f>IF(B3184=0,0,O3164/B3184)</f>
        <v/>
      </c>
      <c r="Q3164" t="n">
        <v>0</v>
      </c>
      <c r="R3164" t="n">
        <v>0</v>
      </c>
      <c r="S3164">
        <f>IFERROR(O3164/N3164,0)</f>
        <v/>
      </c>
      <c r="T3164" t="n">
        <v>0</v>
      </c>
      <c r="V3164" t="n">
        <v>0</v>
      </c>
    </row>
    <row r="3165">
      <c r="A3165">
        <f>Skills!A25</f>
        <v/>
      </c>
      <c r="B3165">
        <f>Skills!B25</f>
        <v/>
      </c>
      <c r="C3165">
        <f>Inputs!$B$3&gt;=43</f>
        <v/>
      </c>
      <c r="D3165">
        <f>IF(Skills!C25=1,60+Inputs!$B$25+Inputs!$B$29,IF(Skills!C25=2,90+Inputs!$B$26+Inputs!$B$29,IF(Skills!C25=3,120+Inputs!$B$27+Inputs!$B$29,MAX(0,(Inputs!$B$3-100)*3)+Inputs!$B$28+Inputs!$B$29)))</f>
        <v/>
      </c>
      <c r="E3165">
        <f>INDEX(FactorTable!$B$2:$Y$301, MATCH(ROUND(MIN(300,MAX(1,D3165)),0), FactorTable!$A$2:$A$301,0), Skills!M25+1)</f>
        <v/>
      </c>
      <c r="F3165">
        <f>IF(Skills!N25=TRUE,(Skills!L25/10)*(E3165/1000),Skills!L25/10)+Skills!O25</f>
        <v/>
      </c>
      <c r="G3165">
        <f>Skills!G25*IF(Skills!H25&gt;0,Skills!I25/Skills!H25,1)</f>
        <v/>
      </c>
      <c r="H3165">
        <f>1-(1-Skills!J25/100)^Skills!K25</f>
        <v/>
      </c>
      <c r="I3165" t="inlineStr">
        <is>
          <t>1</t>
        </is>
      </c>
      <c r="J3165" t="inlineStr"/>
      <c r="K3165" t="inlineStr"/>
      <c r="L3165" t="inlineStr"/>
      <c r="M3165" t="inlineStr"/>
      <c r="N3165" t="inlineStr"/>
      <c r="O3165">
        <f>(1-Summary!$B$11)*T3165+Summary!$B$11*V3165</f>
        <v/>
      </c>
      <c r="P3165">
        <f>IF(B3184=0,0,O3165/B3184)</f>
        <v/>
      </c>
      <c r="Q3165" t="n">
        <v>0</v>
      </c>
      <c r="R3165" t="n">
        <v>0</v>
      </c>
      <c r="S3165">
        <f>IFERROR(O3165/N3165,0)</f>
        <v/>
      </c>
      <c r="T3165" t="n">
        <v>0</v>
      </c>
      <c r="V3165" t="n">
        <v>0</v>
      </c>
    </row>
    <row r="3166">
      <c r="A3166">
        <f>Skills!A26</f>
        <v/>
      </c>
      <c r="B3166">
        <f>Skills!B26</f>
        <v/>
      </c>
      <c r="C3166">
        <f>Inputs!$B$3&gt;=75</f>
        <v/>
      </c>
      <c r="D3166">
        <f>IF(Skills!C26=1,60+Inputs!$B$25+Inputs!$B$29,IF(Skills!C26=2,90+Inputs!$B$26+Inputs!$B$29,IF(Skills!C26=3,120+Inputs!$B$27+Inputs!$B$29,MAX(0,(Inputs!$B$3-100)*3)+Inputs!$B$28+Inputs!$B$29)))</f>
        <v/>
      </c>
      <c r="E3166">
        <f>INDEX(FactorTable!$B$2:$Y$301, MATCH(ROUND(MIN(300,MAX(1,D3166)),0), FactorTable!$A$2:$A$301,0), Skills!M26+1)</f>
        <v/>
      </c>
      <c r="F3166">
        <f>IF(Skills!N26=TRUE,(Skills!L26/10)*(E3166/1000),Skills!L26/10)+Skills!O26</f>
        <v/>
      </c>
      <c r="G3166">
        <f>Skills!G26*IF(Skills!H26&gt;0,Skills!I26/Skills!H26,1)</f>
        <v/>
      </c>
      <c r="H3166">
        <f>1-(1-Skills!J26/100)^Skills!K26</f>
        <v/>
      </c>
      <c r="I3166" t="inlineStr">
        <is>
          <t>1</t>
        </is>
      </c>
      <c r="J3166" t="inlineStr"/>
      <c r="K3166" t="inlineStr"/>
      <c r="L3166" t="inlineStr"/>
      <c r="M3166" t="inlineStr"/>
      <c r="N3166" t="inlineStr"/>
      <c r="O3166">
        <f>(1-Summary!$B$11)*T3166+Summary!$B$11*V3166</f>
        <v/>
      </c>
      <c r="P3166">
        <f>IF(B3184=0,0,O3166/B3184)</f>
        <v/>
      </c>
      <c r="Q3166" t="n">
        <v>0</v>
      </c>
      <c r="R3166" t="n">
        <v>0</v>
      </c>
      <c r="S3166">
        <f>IFERROR(O3166/N3166,0)</f>
        <v/>
      </c>
      <c r="T3166" t="n">
        <v>0</v>
      </c>
      <c r="V3166" t="n">
        <v>0</v>
      </c>
    </row>
    <row r="3167">
      <c r="A3167">
        <f>Skills!A27</f>
        <v/>
      </c>
      <c r="B3167">
        <f>Skills!B27</f>
        <v/>
      </c>
      <c r="C3167">
        <f>Inputs!$B$3&gt;=125</f>
        <v/>
      </c>
      <c r="D3167">
        <f>IF(Skills!C27=1,60+Inputs!$B$25+Inputs!$B$29,IF(Skills!C27=2,90+Inputs!$B$26+Inputs!$B$29,IF(Skills!C27=3,120+Inputs!$B$27+Inputs!$B$29,MAX(0,(Inputs!$B$3-100)*3)+Inputs!$B$28+Inputs!$B$29)))</f>
        <v/>
      </c>
      <c r="E3167">
        <f>INDEX(FactorTable!$B$2:$Y$301, MATCH(ROUND(MIN(300,MAX(1,D3167)),0), FactorTable!$A$2:$A$301,0), Skills!M27+1)</f>
        <v/>
      </c>
      <c r="F3167">
        <f>IF(Skills!N27=TRUE,(Skills!L27/10)*(E3167/1000),Skills!L27/10)+Skills!O27</f>
        <v/>
      </c>
      <c r="G3167">
        <f>Skills!G27*IF(Skills!H27&gt;0,Skills!I27/Skills!H27,1)</f>
        <v/>
      </c>
      <c r="H3167">
        <f>1-(1-Skills!J27/100)^Skills!K27</f>
        <v/>
      </c>
      <c r="I3167" t="inlineStr">
        <is>
          <t>1</t>
        </is>
      </c>
      <c r="J3167" t="inlineStr"/>
      <c r="K3167" t="inlineStr"/>
      <c r="L3167" t="inlineStr"/>
      <c r="M3167" t="inlineStr"/>
      <c r="N3167" t="inlineStr"/>
      <c r="O3167">
        <f>(1-Summary!$B$11)*T3167+Summary!$B$11*V3167</f>
        <v/>
      </c>
      <c r="P3167">
        <f>IF(B3184=0,0,O3167/B3184)</f>
        <v/>
      </c>
      <c r="Q3167" t="n">
        <v>0</v>
      </c>
      <c r="R3167" t="n">
        <v>0</v>
      </c>
      <c r="S3167">
        <f>IFERROR(O3167/N3167,0)</f>
        <v/>
      </c>
      <c r="T3167" t="n">
        <v>0</v>
      </c>
      <c r="V3167" t="n">
        <v>0</v>
      </c>
    </row>
    <row r="3168">
      <c r="A3168">
        <f>Skills!A28</f>
        <v/>
      </c>
      <c r="B3168">
        <f>Skills!B28</f>
        <v/>
      </c>
      <c r="C3168">
        <f>Inputs!$B$3&gt;=125</f>
        <v/>
      </c>
      <c r="D3168">
        <f>IF(Skills!C28=1,60+Inputs!$B$25+Inputs!$B$29,IF(Skills!C28=2,90+Inputs!$B$26+Inputs!$B$29,IF(Skills!C28=3,120+Inputs!$B$27+Inputs!$B$29,MAX(0,(Inputs!$B$3-100)*3)+Inputs!$B$28+Inputs!$B$29)))</f>
        <v/>
      </c>
      <c r="E3168">
        <f>INDEX(FactorTable!$B$2:$Y$301, MATCH(ROUND(MIN(300,MAX(1,D3168)),0), FactorTable!$A$2:$A$301,0), Skills!M28+1)</f>
        <v/>
      </c>
      <c r="F3168">
        <f>IF(Skills!N28=TRUE,(Skills!L28/10)*(E3168/1000),Skills!L28/10)+Skills!O28</f>
        <v/>
      </c>
      <c r="G3168">
        <f>Skills!G28*IF(Skills!H28&gt;0,Skills!I28/Skills!H28,1)</f>
        <v/>
      </c>
      <c r="H3168">
        <f>1-(1-Skills!J28/100)^Skills!K28</f>
        <v/>
      </c>
      <c r="I3168" t="inlineStr">
        <is>
          <t>1</t>
        </is>
      </c>
      <c r="J3168" t="inlineStr"/>
      <c r="K3168" t="inlineStr"/>
      <c r="L3168" t="inlineStr"/>
      <c r="M3168" t="inlineStr"/>
      <c r="N3168" t="inlineStr"/>
      <c r="O3168">
        <f>(1-Summary!$B$11)*T3168+Summary!$B$11*V3168</f>
        <v/>
      </c>
      <c r="P3168">
        <f>IF(B3184=0,0,O3168/B3184)</f>
        <v/>
      </c>
      <c r="Q3168" t="n">
        <v>0</v>
      </c>
      <c r="R3168" t="n">
        <v>0</v>
      </c>
      <c r="S3168">
        <f>IFERROR(O3168/N3168,0)</f>
        <v/>
      </c>
      <c r="T3168" t="n">
        <v>0</v>
      </c>
      <c r="V3168" t="n">
        <v>0</v>
      </c>
    </row>
    <row r="3169">
      <c r="A3169">
        <f>Skills!A29</f>
        <v/>
      </c>
      <c r="B3169">
        <f>Skills!B29</f>
        <v/>
      </c>
      <c r="C3169">
        <f>Inputs!$B$3&gt;=120</f>
        <v/>
      </c>
      <c r="D3169">
        <f>IF(Skills!C29=1,60+Inputs!$B$25+Inputs!$B$29,IF(Skills!C29=2,90+Inputs!$B$26+Inputs!$B$29,IF(Skills!C29=3,120+Inputs!$B$27+Inputs!$B$29,MAX(0,(Inputs!$B$3-100)*3)+Inputs!$B$28+Inputs!$B$29)))</f>
        <v/>
      </c>
      <c r="E3169">
        <f>INDEX(FactorTable!$B$2:$Y$301, MATCH(ROUND(MIN(300,MAX(1,D3169)),0), FactorTable!$A$2:$A$301,0), Skills!M29+1)</f>
        <v/>
      </c>
      <c r="F3169">
        <f>IF(Skills!N29=TRUE,(Skills!L29/10)*(E3169/1000),Skills!L29/10)+Skills!O29</f>
        <v/>
      </c>
      <c r="G3169">
        <f>Skills!G29*IF(Skills!H29&gt;0,Skills!I29/Skills!H29,1)</f>
        <v/>
      </c>
      <c r="H3169">
        <f>1-(1-Skills!J29/100)^Skills!K29</f>
        <v/>
      </c>
      <c r="I3169" t="inlineStr">
        <is>
          <t>1</t>
        </is>
      </c>
      <c r="J3169" t="inlineStr"/>
      <c r="K3169" t="inlineStr"/>
      <c r="L3169" t="inlineStr"/>
      <c r="M3169" t="inlineStr"/>
      <c r="N3169" t="inlineStr"/>
      <c r="O3169">
        <f>(1-Summary!$B$11)*T3169+Summary!$B$11*V3169</f>
        <v/>
      </c>
      <c r="P3169">
        <f>IF(B3184=0,0,O3169/B3184)</f>
        <v/>
      </c>
      <c r="Q3169" t="n">
        <v>0</v>
      </c>
      <c r="R3169" t="n">
        <v>0</v>
      </c>
      <c r="S3169">
        <f>IFERROR(O3169/N3169,0)</f>
        <v/>
      </c>
      <c r="T3169" t="n">
        <v>0</v>
      </c>
      <c r="V3169" t="n">
        <v>0</v>
      </c>
    </row>
    <row r="3170">
      <c r="A3170">
        <f>Skills!A30</f>
        <v/>
      </c>
      <c r="B3170">
        <f>Skills!B30</f>
        <v/>
      </c>
      <c r="C3170">
        <f>Inputs!$B$3&gt;=120</f>
        <v/>
      </c>
      <c r="D3170">
        <f>IF(Skills!C30=1,60+Inputs!$B$25+Inputs!$B$29,IF(Skills!C30=2,90+Inputs!$B$26+Inputs!$B$29,IF(Skills!C30=3,120+Inputs!$B$27+Inputs!$B$29,MAX(0,(Inputs!$B$3-100)*3)+Inputs!$B$28+Inputs!$B$29)))</f>
        <v/>
      </c>
      <c r="E3170">
        <f>INDEX(FactorTable!$B$2:$Y$301, MATCH(ROUND(MIN(300,MAX(1,D3170)),0), FactorTable!$A$2:$A$301,0), Skills!M30+1)</f>
        <v/>
      </c>
      <c r="F3170">
        <f>IF(Skills!N30=TRUE,(Skills!L30/10)*(E3170/1000),Skills!L30/10)+Skills!O30</f>
        <v/>
      </c>
      <c r="G3170">
        <f>Skills!G30*IF(Skills!H30&gt;0,Skills!I30/Skills!H30,1)</f>
        <v/>
      </c>
      <c r="H3170">
        <f>1-(1-Skills!J30/100)^Skills!K30</f>
        <v/>
      </c>
      <c r="I3170" t="inlineStr">
        <is>
          <t>1</t>
        </is>
      </c>
      <c r="J3170" t="inlineStr"/>
      <c r="K3170" t="inlineStr"/>
      <c r="L3170" t="inlineStr"/>
      <c r="M3170" t="inlineStr"/>
      <c r="N3170" t="inlineStr"/>
      <c r="O3170">
        <f>(1-Summary!$B$11)*T3170+Summary!$B$11*V3170</f>
        <v/>
      </c>
      <c r="P3170">
        <f>IF(B3184=0,0,O3170/B3184)</f>
        <v/>
      </c>
      <c r="Q3170" t="n">
        <v>0</v>
      </c>
      <c r="R3170" t="n">
        <v>0</v>
      </c>
      <c r="S3170">
        <f>IFERROR(O3170/N3170,0)</f>
        <v/>
      </c>
      <c r="T3170" t="n">
        <v>0</v>
      </c>
      <c r="V3170" t="n">
        <v>0</v>
      </c>
    </row>
    <row r="3171">
      <c r="A3171">
        <f>Skills!A31</f>
        <v/>
      </c>
      <c r="B3171">
        <f>Skills!B31</f>
        <v/>
      </c>
      <c r="C3171">
        <f>Inputs!$B$3&gt;=45</f>
        <v/>
      </c>
      <c r="D3171">
        <f>IF(Skills!C31=1,60+Inputs!$B$25+Inputs!$B$29,IF(Skills!C31=2,90+Inputs!$B$26+Inputs!$B$29,IF(Skills!C31=3,120+Inputs!$B$27+Inputs!$B$29,MAX(0,(Inputs!$B$3-100)*3)+Inputs!$B$28+Inputs!$B$29)))</f>
        <v/>
      </c>
      <c r="E3171">
        <f>INDEX(FactorTable!$B$2:$Y$301, MATCH(ROUND(MIN(300,MAX(1,D3171)),0), FactorTable!$A$2:$A$301,0), Skills!M31+1)</f>
        <v/>
      </c>
      <c r="F3171">
        <f>IF(Skills!N31=TRUE,(Skills!L31/10)*(E3171/1000),Skills!L31/10)+Skills!O31</f>
        <v/>
      </c>
      <c r="G3171">
        <f>Skills!G31*IF(Skills!H31&gt;0,Skills!I31/Skills!H31,1)</f>
        <v/>
      </c>
      <c r="H3171">
        <f>1-(1-Skills!J31/100)^Skills!K31</f>
        <v/>
      </c>
      <c r="I3171" t="inlineStr">
        <is>
          <t>1</t>
        </is>
      </c>
      <c r="J3171" t="inlineStr"/>
      <c r="K3171" t="inlineStr"/>
      <c r="L3171" t="inlineStr"/>
      <c r="M3171" t="inlineStr"/>
      <c r="N3171" t="inlineStr"/>
      <c r="O3171">
        <f>(1-Summary!$B$11)*T3171+Summary!$B$11*V3171</f>
        <v/>
      </c>
      <c r="P3171">
        <f>IF(B3184=0,0,O3171/B3184)</f>
        <v/>
      </c>
      <c r="Q3171" t="n">
        <v>0</v>
      </c>
      <c r="R3171" t="n">
        <v>0</v>
      </c>
      <c r="S3171">
        <f>IFERROR(O3171/N3171,0)</f>
        <v/>
      </c>
      <c r="T3171" t="n">
        <v>0</v>
      </c>
      <c r="V3171" t="n">
        <v>0</v>
      </c>
    </row>
    <row r="3173">
      <c r="A3173" t="inlineStr">
        <is>
          <t>Attack% Bucket Multiplier</t>
        </is>
      </c>
      <c r="B3173">
        <f>(1+(((C3154=TRUE)*F3154)+((C3155=TRUE)*IF(Inputs!$B$38="pvp",F3155,(1-Summary!$B$11)*(F3155)+Summary!$B$11*(0)))+((C3156=TRUE)*F3156*IF(AND(Inputs!$B$38&lt;&gt;"pvp",Inputs!$B$43&gt;0),(((R3156-1)*(Skills!T16*(1+Inputs!$B$34/100))+MIN((Skills!T16*(1+Inputs!$B$34/100)),MAX(0,Inputs!$B$43-((R3156-1)*Skills!D16))))/Inputs!$B$43),IF(Inputs!$B$38="pvp",MIN((Skills!T16*(1+Inputs!$B$34/100)),15)/15,(Skills!T16*(1+Inputs!$B$34/100))/Skills!D16)))+((C3171=TRUE)*(F3171-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74">
      <c r="A3174" t="inlineStr">
        <is>
          <t>Global Crit Rate Bonus %</t>
        </is>
      </c>
      <c r="B3174">
        <f>(C3157=TRUE)*20*IF(AND(Inputs!$B$38&lt;&gt;"pvp",Inputs!$B$43&gt;0),(((R3157-1)*(Skills!T17*(1+Inputs!$B$34/100))+MIN((Skills!T17*(1+Inputs!$B$34/100)),MAX(0,Inputs!$B$43-((R3157-1)*Skills!D17))))/Inputs!$B$43),IF(Inputs!$B$38="pvp",MIN((Skills!T17*(1+Inputs!$B$34/100)),15)/15,(Skills!T17*(1+Inputs!$B$34/100))/Skills!D17))</f>
        <v/>
      </c>
    </row>
    <row r="3175">
      <c r="A3175" t="inlineStr">
        <is>
          <t>Attack Speed Buff Bonus %</t>
        </is>
      </c>
      <c r="B3175">
        <f>((C3160=TRUE)*F3160*IF(AND(Inputs!$B$38&lt;&gt;"pvp",Inputs!$B$43&gt;0),(((R3160-1)*(Skills!T20*(1+Inputs!$B$34/100))+MIN((Skills!T20*(1+Inputs!$B$34/100)),MAX(0,Inputs!$B$43-((R3160-1)*Skills!D20))))/Inputs!$B$43),IF(Inputs!$B$38="pvp",MIN((Skills!T20*(1+Inputs!$B$34/100)),15)/15,(Skills!T20*(1+Inputs!$B$34/100))/Skills!D20)))</f>
        <v/>
      </c>
    </row>
    <row r="3176">
      <c r="A3176" t="inlineStr">
        <is>
          <t>Actions Per Second</t>
        </is>
      </c>
      <c r="B3176">
        <f>1+MIN(150,150*(1-(1-(Inputs!$B$11+((C3162=TRUE)*(F3162-Calc!F22))+((C3163=TRUE)*(F3163-Calc!F23)))/150)*(1-B3175/150)))/100</f>
        <v/>
      </c>
    </row>
    <row r="3177">
      <c r="A3177" t="inlineStr">
        <is>
          <t>Skill + Buff Cast Rate</t>
        </is>
      </c>
      <c r="B3177">
        <f>IF(AND(Inputs!$B$38&lt;&gt;"pvp",Inputs!$B$43&gt;0),SUMPRODUCT((Skills!E2:E31=TRUE)*(C3142:C3171=TRUE)*R3142:R3171*Skills!F2:F31)/Inputs!$B$43,SUMPRODUCT((Skills!E2:E31=TRUE)*(C3142:C3171=TRUE)*Q3142:Q3171*Skills!F2:F31))</f>
        <v/>
      </c>
    </row>
    <row r="3178">
      <c r="A3178" t="inlineStr">
        <is>
          <t>Arrow Stream Casts Per Second</t>
        </is>
      </c>
      <c r="B3178">
        <f>MAX(0,B3176-B3177)</f>
        <v/>
      </c>
    </row>
    <row r="3179">
      <c r="A3179" t="inlineStr">
        <is>
          <t>Global Critical Damage Bonus % (Sharp Eyes + Concentration)</t>
        </is>
      </c>
      <c r="B3179">
        <f>(C3157=TRUE)*F3157*IF(AND(Inputs!$B$38&lt;&gt;"pvp",Inputs!$B$43&gt;0),(((R3157-1)*(Skills!T17*(1+Inputs!$B$34/100))+MIN((Skills!T17*(1+Inputs!$B$34/100)),MAX(0,Inputs!$B$43-((R3157-1)*Skills!D17))))/Inputs!$B$43),IF(Inputs!$B$38="pvp",MIN((Skills!T17*(1+Inputs!$B$34/100)),15)/15,(Skills!T17*(1+Inputs!$B$34/100))/Skills!D17))+(C3158=TRUE)*30</f>
        <v/>
      </c>
    </row>
    <row r="3180">
      <c r="A3180" t="inlineStr">
        <is>
          <t>Global Final Damage Bonus % (Mortal Blow)</t>
        </is>
      </c>
      <c r="B3180">
        <f>(C3159=TRUE)*F3159</f>
        <v/>
      </c>
    </row>
    <row r="3181">
      <c r="A3181" t="inlineStr">
        <is>
          <t>Buff-Casting Startup Delay (s, fixed-duration only)</t>
        </is>
      </c>
      <c r="B3181">
        <f>IF(AND(Inputs!$B$38&lt;&gt;"pvp",Inputs!$B$43&gt;0),SUMPRODUCT((Skills!T2:T31&gt;0)*(Skills!E2:E31=TRUE)*(C3142:C3171=TRUE))/B3176,0)</f>
        <v/>
      </c>
    </row>
    <row r="3182">
      <c r="A3182" t="inlineStr">
        <is>
          <t>Boss-Only Total DPS (this block's swept value)</t>
        </is>
      </c>
      <c r="B3182">
        <f>SUM(T3142:T3171)</f>
        <v/>
      </c>
    </row>
    <row r="3183">
      <c r="A3183" t="inlineStr">
        <is>
          <t>Normal-Only Total DPS (this block's swept value)</t>
        </is>
      </c>
      <c r="B3183">
        <f>SUM(V3142:V3171)</f>
        <v/>
      </c>
    </row>
    <row r="3184">
      <c r="A3184" s="6" t="inlineStr">
        <is>
          <t>TOTAL DPS</t>
        </is>
      </c>
      <c r="B3184" s="6">
        <f>SUM(O3142:O3171)</f>
        <v/>
      </c>
    </row>
    <row r="3187">
      <c r="A3187" s="6" t="inlineStr">
        <is>
          <t>Stat: CDR = 2.5s</t>
        </is>
      </c>
    </row>
    <row r="3188">
      <c r="A3188" s="5" t="inlineStr">
        <is>
          <t>Key</t>
        </is>
      </c>
      <c r="B3188" s="5" t="inlineStr">
        <is>
          <t>Name</t>
        </is>
      </c>
      <c r="C3188" s="5" t="inlineStr">
        <is>
          <t>Unlocked</t>
        </is>
      </c>
      <c r="D3188" s="5" t="inlineStr">
        <is>
          <t>InputLevel</t>
        </is>
      </c>
      <c r="E3188" s="5" t="inlineStr">
        <is>
          <t>Factor</t>
        </is>
      </c>
      <c r="F3188" s="5" t="inlineStr">
        <is>
          <t>CoefficientPercent</t>
        </is>
      </c>
      <c r="G3188" s="5" t="inlineStr">
        <is>
          <t>EffectiveHits</t>
        </is>
      </c>
      <c r="H3188" s="5" t="inlineStr">
        <is>
          <t>ProcProbability</t>
        </is>
      </c>
      <c r="I3188" s="5" t="inlineStr">
        <is>
          <t>MapleHeroMultiplier</t>
        </is>
      </c>
      <c r="J3188" s="5" t="inlineStr">
        <is>
          <t>BaseDamage</t>
        </is>
      </c>
      <c r="K3188" s="5" t="inlineStr">
        <is>
          <t>BaseHitDamage</t>
        </is>
      </c>
      <c r="L3188" s="5" t="inlineStr">
        <is>
          <t>NonCritAvg</t>
        </is>
      </c>
      <c r="M3188" s="5" t="inlineStr">
        <is>
          <t>CritAvg</t>
        </is>
      </c>
      <c r="N3188" s="5" t="inlineStr">
        <is>
          <t>ExpectedDamage(perHit)</t>
        </is>
      </c>
      <c r="O3188" s="5" t="inlineStr">
        <is>
          <t>DPS</t>
        </is>
      </c>
      <c r="P3188" s="5" t="inlineStr">
        <is>
          <t>% of Total</t>
        </is>
      </c>
      <c r="Q3188" s="5" t="inlineStr">
        <is>
          <t>InvCooldown</t>
        </is>
      </c>
      <c r="R3188" s="5" t="inlineStr">
        <is>
          <t>CastsInFight</t>
        </is>
      </c>
      <c r="S3188" s="5" t="inlineStr">
        <is>
          <t>HitRate(perSec)</t>
        </is>
      </c>
      <c r="U3188" t="inlineStr">
        <is>
          <t>helpers</t>
        </is>
      </c>
    </row>
    <row r="3189">
      <c r="A3189">
        <f>Skills!A2</f>
        <v/>
      </c>
      <c r="B3189">
        <f>Skills!B2</f>
        <v/>
      </c>
      <c r="C3189">
        <f>Inputs!$B$3&gt;=100</f>
        <v/>
      </c>
      <c r="D3189" t="inlineStr"/>
      <c r="E3189" t="inlineStr"/>
      <c r="F3189">
        <f>U3191+Skills!O2</f>
        <v/>
      </c>
      <c r="G3189">
        <f>Skills!G2*IF(Skills!H2&gt;0,Skills!I2/Skills!H2,1)</f>
        <v/>
      </c>
      <c r="H3189">
        <f>1-(1-Skills!J2/100)^Skills!K2</f>
        <v/>
      </c>
      <c r="I3189" t="inlineStr">
        <is>
          <t>1</t>
        </is>
      </c>
      <c r="J3189">
        <f>((Inputs!$B$6*(1+Inputs!$B$7/100))+(((Inputs!$B$12*(1+Inputs!$B$13/100))-(Inputs!$B$12*(1+Inputs!$B$13/100)))+0.25*(Inputs!$B$14-Inputs!$B$14))*(1+Inputs!$B$7/100))*(F3189/100)</f>
        <v/>
      </c>
      <c r="K3189">
        <f>J3189*(1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3189)</f>
        <v/>
      </c>
      <c r="L3189">
        <f>K3189*(MIN(Inputs!$B$22+((C3212=TRUE)*(F3212-Calc!F25)),(Inputs!$B$23+((C3217=TRUE)*(F3217-Calc!F30))+(IF(ArtifactsInput!$M$15,CHOOSE(ArtifactsInput!$N$15+1,25,30,35,40,45,50)/100*(Inputs!$B$11-Inputs!$B$11),0))))/100+(Inputs!$B$23+((C3217=TRUE)*(F3217-Calc!F30))+(IF(ArtifactsInput!$M$15,CHOOSE(ArtifactsInput!$N$15+1,25,30,35,40,45,50)/100*(Inputs!$B$11-Inputs!$B$11),0)))/100)/2</f>
        <v/>
      </c>
      <c r="M3189">
        <f>L3189*(1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9">
        <f>L3189*(1-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3189*(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9">
        <f>(1-Summary!$B$11)*T3189+Summary!$B$11*V3189</f>
        <v/>
      </c>
      <c r="P3189">
        <f>IF(B3231=0,0,O3189/B3231)</f>
        <v/>
      </c>
      <c r="Q3189" t="n">
        <v>0</v>
      </c>
      <c r="R3189" t="n">
        <v>0</v>
      </c>
      <c r="S3189">
        <f>IFERROR(O3189/N3189,0)</f>
        <v/>
      </c>
      <c r="T3189">
        <f>IF(C3189,(Skills!G2*N3189*B3225)*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3189*(1-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3189*(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3189*(1-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3189*(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89">
        <f>MAX(0,(Inputs!$B$3-100)*3)+Inputs!$B$28+Inputs!$B$29</f>
        <v/>
      </c>
      <c r="V3189">
        <f>IF(C3189,(Skills!G2*N3189*B3225)*IF(Inputs!$B$38="pvp",1,(1+(Inputs!$B$21+Skills!Q2+(IF(ArtifactsInput!$M$33,CHOOSE(ArtifactsInput!$N$33+1,30,36,42,48,54,60),0))+(IF(AND(ArtifactsInput!$M$35,Inputs!$B$4&lt;&gt;"Chapter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0">
      <c r="A3190">
        <f>Skills!A3</f>
        <v/>
      </c>
      <c r="B3190">
        <f>Skills!B3</f>
        <v/>
      </c>
      <c r="C3190">
        <f>Inputs!$B$3&gt;=50</f>
        <v/>
      </c>
      <c r="D3190">
        <f>IF(Skills!C3=1,60+Inputs!$B$25+Inputs!$B$29,IF(Skills!C3=2,90+Inputs!$B$26+Inputs!$B$29,IF(Skills!C3=3,120+Inputs!$B$27+Inputs!$B$29,MAX(0,(Inputs!$B$3-100)*3)+Inputs!$B$28+Inputs!$B$29)))</f>
        <v/>
      </c>
      <c r="E3190">
        <f>INDEX(FactorTable!$B$2:$Y$301, MATCH(ROUND(MIN(300,MAX(1,D3190)),0), FactorTable!$A$2:$A$301,0), Skills!M3+1)</f>
        <v/>
      </c>
      <c r="F3190">
        <f>IF(Skills!N3=TRUE,(Skills!L3/10)*(E3190/1000),Skills!L3/10)+Skills!O3</f>
        <v/>
      </c>
      <c r="G3190">
        <f>Skills!G3*IF(Skills!H3&gt;0,Skills!I3/Skills!H3,1)</f>
        <v/>
      </c>
      <c r="H3190">
        <f>1-(1-Skills!J3/100)^Skills!K3</f>
        <v/>
      </c>
      <c r="I3190" t="inlineStr">
        <is>
          <t>1</t>
        </is>
      </c>
      <c r="J3190">
        <f>((Inputs!$B$6*(1+Inputs!$B$7/100))+(((Inputs!$B$12*(1+Inputs!$B$13/100))-(Inputs!$B$12*(1+Inputs!$B$13/100)))+0.25*(Inputs!$B$14-Inputs!$B$14))*(1+Inputs!$B$7/100))*(F3190/100)</f>
        <v/>
      </c>
      <c r="K3190">
        <f>J3190*(1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3191=TRUE,F3191,0)/100)*(1+(IF(Skills!A3="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3190)</f>
        <v/>
      </c>
      <c r="L3190">
        <f>K3190*(MIN(Inputs!$B$22+((C3212=TRUE)*(F3212-Calc!F25)),(Inputs!$B$23+((C3217=TRUE)*(F3217-Calc!F30))+(IF(ArtifactsInput!$M$15,CHOOSE(ArtifactsInput!$N$15+1,25,30,35,40,45,50)/100*(Inputs!$B$11-Inputs!$B$11),0))))/100+(Inputs!$B$23+((C3217=TRUE)*(F3217-Calc!F30))+(IF(ArtifactsInput!$M$15,CHOOSE(ArtifactsInput!$N$15+1,25,30,35,40,45,50)/100*(Inputs!$B$11-Inputs!$B$11),0)))/100)/2</f>
        <v/>
      </c>
      <c r="M3190">
        <f>L3190*(1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0">
        <f>L3190*(1-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3190*(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0">
        <f>(1-Summary!$B$11)*T3190+Summary!$B$11*V3190</f>
        <v/>
      </c>
      <c r="P3190">
        <f>IF(B3231=0,0,O3190/B3231)</f>
        <v/>
      </c>
      <c r="Q3190">
        <f>IFERROR(1/(IF(Inputs!$B$38="pvp",15,MAX(0.1,Skills!D3-IF(Skills!E3=TRUE,2.5,0)))*(1-IF(AND(ArtifactsInput!$M$27,Inputs!$B$4="Chapter Hunt"),CHOOSE(ArtifactsInput!$N$27+1,20,24,28,32,36,40),0)/100)),0)</f>
        <v/>
      </c>
      <c r="R3190">
        <f>IF(AND(Inputs!$B$38&lt;&gt;"pvp",Inputs!$B$43&gt;0),IF(MAX(0,Inputs!$B$43-B3228)&lt;=0,0,(INT(MAX(0,Inputs!$B$43-B3228)/(IF(Inputs!$B$38="pvp",15,MAX(0.1,Skills!D3-IF(Skills!E3=TRUE,2.5,0)))*(1-IF(AND(ArtifactsInput!$M$27,Inputs!$B$4="Chapter Hunt"),CHOOSE(ArtifactsInput!$N$27+1,20,24,28,32,36,40),0)/100)))+1)),0)</f>
        <v/>
      </c>
      <c r="S3190">
        <f>IFERROR(O3190/N3190,0)</f>
        <v/>
      </c>
      <c r="T3190">
        <f>IF(C3190,(H3190*N3190*IF(AND(Inputs!$B$38&lt;&gt;"pvp",Inputs!$B$43&gt;0),((Skills!G3*((R3190-1)*IF(Skills!H3&gt;0,Skills!I3/Skills!H3,1)+IF(Skills!H3&gt;0,MIN(Skills!I3,MAX(0,MAX(0,Inputs!$B$43-B3228)-((R3190-1)*(IF(Inputs!$B$38="pvp",15,MAX(0.1,Skills!D3-IF(Skills!E3=TRUE,2.5,0)))*(1-IF(AND(ArtifactsInput!$M$27,Inputs!$B$4="Chapter Hunt"),CHOOSE(ArtifactsInput!$N$27+1,20,24,28,32,36,40),0)/100)))))/Skills!H3,1)))/Inputs!$B$43),G3190*Q3190)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3190*(1-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3190*(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3190*(1-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3190*(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0">
        <f>INDEX(FactorTable!$B$2:$Y$301, MATCH(ROUND(MIN(300,MAX(1,U3189)),0), FactorTable!$A$2:$A$301,0), 22)</f>
        <v/>
      </c>
      <c r="V3190">
        <f>IF(C3190,(H3190*N3190*IF(AND(Inputs!$B$38&lt;&gt;"pvp",Inputs!$B$43&gt;0),((Skills!G3*((R3190-1)*IF(Skills!H3&gt;0,Skills!I3/Skills!H3,1)+IF(Skills!H3&gt;0,MIN(Skills!I3,MAX(0,MAX(0,Inputs!$B$43-B3228)-((R3190-1)*(IF(Inputs!$B$38="pvp",15,MAX(0.1,Skills!D3-IF(Skills!E3=TRUE,2.5,0)))*(1-IF(AND(ArtifactsInput!$M$27,Inputs!$B$4="Chapter Hunt"),CHOOSE(ArtifactsInput!$N$27+1,20,24,28,32,36,40),0)/100)))))/Skills!H3,1)))/Inputs!$B$43),G3190*Q3190))*IF(Inputs!$B$38="pvp",1,(1+(Inputs!$B$21+Skills!Q3+(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1">
      <c r="A3191">
        <f>Skills!A4</f>
        <v/>
      </c>
      <c r="B3191">
        <f>Skills!B4</f>
        <v/>
      </c>
      <c r="C3191">
        <f>Inputs!$B$3&gt;=105</f>
        <v/>
      </c>
      <c r="D3191">
        <f>IF(Skills!C4=1,60+Inputs!$B$25+Inputs!$B$29,IF(Skills!C4=2,90+Inputs!$B$26+Inputs!$B$29,IF(Skills!C4=3,120+Inputs!$B$27+Inputs!$B$29,MAX(0,(Inputs!$B$3-100)*3)+Inputs!$B$28+Inputs!$B$29)))</f>
        <v/>
      </c>
      <c r="E3191">
        <f>INDEX(FactorTable!$B$2:$Y$301, MATCH(ROUND(MIN(300,MAX(1,D3191)),0), FactorTable!$A$2:$A$301,0), Skills!M4+1)</f>
        <v/>
      </c>
      <c r="F3191">
        <f>IF(Skills!N4=TRUE,(Skills!L4/10)*(E3191/1000),Skills!L4/10)+Skills!O4</f>
        <v/>
      </c>
      <c r="G3191" t="inlineStr"/>
      <c r="H3191" t="inlineStr"/>
      <c r="I3191" t="inlineStr">
        <is>
          <t>1</t>
        </is>
      </c>
      <c r="J3191" t="inlineStr"/>
      <c r="K3191" t="inlineStr"/>
      <c r="L3191" t="inlineStr"/>
      <c r="M3191" t="inlineStr"/>
      <c r="N3191" t="inlineStr"/>
      <c r="O3191" t="inlineStr"/>
      <c r="P3191" t="inlineStr"/>
      <c r="Q3191" t="inlineStr"/>
      <c r="R3191" t="inlineStr"/>
      <c r="S3191" t="inlineStr"/>
      <c r="T3191" t="inlineStr"/>
      <c r="U3191">
        <f>290*U3190/1000</f>
        <v/>
      </c>
      <c r="V3191" t="inlineStr"/>
    </row>
    <row r="3192">
      <c r="A3192">
        <f>Skills!A5</f>
        <v/>
      </c>
      <c r="B3192">
        <f>Skills!B5</f>
        <v/>
      </c>
      <c r="C3192">
        <f>Inputs!$B$3&gt;=35</f>
        <v/>
      </c>
      <c r="D3192">
        <f>IF(Skills!C5=1,60+Inputs!$B$25+Inputs!$B$29,IF(Skills!C5=2,90+Inputs!$B$26+Inputs!$B$29,IF(Skills!C5=3,120+Inputs!$B$27+Inputs!$B$29,MAX(0,(Inputs!$B$3-100)*3)+Inputs!$B$28+Inputs!$B$29)))</f>
        <v/>
      </c>
      <c r="E3192">
        <f>INDEX(FactorTable!$B$2:$Y$301, MATCH(ROUND(MIN(300,MAX(1,D3192)),0), FactorTable!$A$2:$A$301,0), Skills!M5+1)</f>
        <v/>
      </c>
      <c r="F3192">
        <f>IF(Skills!N5=TRUE,(Skills!L5/10)*(E3192/1000),Skills!L5/10)+Skills!O5</f>
        <v/>
      </c>
      <c r="G3192">
        <f>Skills!G5*IF(Skills!H5&gt;0,Skills!I5/Skills!H5,1)</f>
        <v/>
      </c>
      <c r="H3192">
        <f>1-(1-Skills!J5/100)^Skills!K5</f>
        <v/>
      </c>
      <c r="I3192" t="inlineStr">
        <is>
          <t>1</t>
        </is>
      </c>
      <c r="J3192">
        <f>((Inputs!$B$6*(1+Inputs!$B$7/100))+(((Inputs!$B$12*(1+Inputs!$B$13/100))-(Inputs!$B$12*(1+Inputs!$B$13/100)))+0.25*(Inputs!$B$14-Inputs!$B$14))*(1+Inputs!$B$7/100))*(F3192/100)</f>
        <v/>
      </c>
      <c r="K3192">
        <f>J3192*(1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3198=TRUE,F3198,0)/100)*(1+(IF(Skills!A5="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3192)</f>
        <v/>
      </c>
      <c r="L3192">
        <f>K3192*(MIN(Inputs!$B$22+((C3212=TRUE)*(F3212-Calc!F25)),(Inputs!$B$23+((C3217=TRUE)*(F3217-Calc!F30))+(IF(ArtifactsInput!$M$15,CHOOSE(ArtifactsInput!$N$15+1,25,30,35,40,45,50)/100*(Inputs!$B$11-Inputs!$B$11),0))))/100+(Inputs!$B$23+((C3217=TRUE)*(F3217-Calc!F30))+(IF(ArtifactsInput!$M$15,CHOOSE(ArtifactsInput!$N$15+1,25,30,35,40,45,50)/100*(Inputs!$B$11-Inputs!$B$11),0)))/100)/2</f>
        <v/>
      </c>
      <c r="M3192">
        <f>L3192*(1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2">
        <f>L3192*(1-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3192*(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2">
        <f>(1-Summary!$B$11)*T3192+Summary!$B$11*V3192</f>
        <v/>
      </c>
      <c r="P3192">
        <f>IF(B3231=0,0,O3192/B3231)</f>
        <v/>
      </c>
      <c r="Q3192">
        <f>IFERROR(1/(IF(Inputs!$B$38="pvp",15,MAX(0.1,Skills!D5-IF(Skills!E5=TRUE,2.5,0)))*(1-IF(AND(ArtifactsInput!$M$27,Inputs!$B$4="Chapter Hunt"),CHOOSE(ArtifactsInput!$N$27+1,20,24,28,32,36,40),0)/100)),0)</f>
        <v/>
      </c>
      <c r="R3192">
        <f>IF(AND(Inputs!$B$38&lt;&gt;"pvp",Inputs!$B$43&gt;0),IF(MAX(0,Inputs!$B$43-B3228)&lt;=0,0,(INT(MAX(0,Inputs!$B$43-B3228)/(IF(Inputs!$B$38="pvp",15,MAX(0.1,Skills!D5-IF(Skills!E5=TRUE,2.5,0)))*(1-IF(AND(ArtifactsInput!$M$27,Inputs!$B$4="Chapter Hunt"),CHOOSE(ArtifactsInput!$N$27+1,20,24,28,32,36,40),0)/100)))+1)),0)</f>
        <v/>
      </c>
      <c r="S3192">
        <f>IFERROR(O3192/N3192,0)</f>
        <v/>
      </c>
      <c r="T3192">
        <f>IF(C3192,(H3192*N3192*IF(AND(Inputs!$B$38&lt;&gt;"pvp",Inputs!$B$43&gt;0),((Skills!G5*((R3192-1)*IF(Skills!H5&gt;0,Skills!I5/Skills!H5,1)+IF(Skills!H5&gt;0,MIN(Skills!I5,MAX(0,MAX(0,Inputs!$B$43-B3228)-((R3192-1)*(IF(Inputs!$B$38="pvp",15,MAX(0.1,Skills!D5-IF(Skills!E5=TRUE,2.5,0)))*(1-IF(AND(ArtifactsInput!$M$27,Inputs!$B$4="Chapter Hunt"),CHOOSE(ArtifactsInput!$N$27+1,20,24,28,32,36,40),0)/100)))))/Skills!H5,1)))/Inputs!$B$43),G3192*Q3192)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3192*(1-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3192*(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3192*(1-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3192*(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2">
        <f>IF(C3192,(H3192*N3192*IF(AND(Inputs!$B$38&lt;&gt;"pvp",Inputs!$B$43&gt;0),((Skills!G5*((R3192-1)*IF(Skills!H5&gt;0,Skills!I5/Skills!H5,1)+IF(Skills!H5&gt;0,MIN(Skills!I5,MAX(0,MAX(0,Inputs!$B$43-B3228)-((R3192-1)*(IF(Inputs!$B$38="pvp",15,MAX(0.1,Skills!D5-IF(Skills!E5=TRUE,2.5,0)))*(1-IF(AND(ArtifactsInput!$M$27,Inputs!$B$4="Chapter Hunt"),CHOOSE(ArtifactsInput!$N$27+1,20,24,28,32,36,40),0)/100)))))/Skills!H5,1)))/Inputs!$B$43),G3192*Q3192))*IF(Inputs!$B$38="pvp",1,(1+(Inputs!$B$21+Skills!Q5+(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3">
      <c r="A3193">
        <f>Skills!A6</f>
        <v/>
      </c>
      <c r="B3193">
        <f>Skills!B6</f>
        <v/>
      </c>
      <c r="C3193">
        <f>Inputs!$B$3&gt;=40</f>
        <v/>
      </c>
      <c r="D3193">
        <f>IF(Skills!C6=1,60+Inputs!$B$25+Inputs!$B$29,IF(Skills!C6=2,90+Inputs!$B$26+Inputs!$B$29,IF(Skills!C6=3,120+Inputs!$B$27+Inputs!$B$29,MAX(0,(Inputs!$B$3-100)*3)+Inputs!$B$28+Inputs!$B$29)))</f>
        <v/>
      </c>
      <c r="E3193">
        <f>INDEX(FactorTable!$B$2:$Y$301, MATCH(ROUND(MIN(300,MAX(1,D3193)),0), FactorTable!$A$2:$A$301,0), Skills!M6+1)</f>
        <v/>
      </c>
      <c r="F3193">
        <f>IF(Skills!N6=TRUE,(Skills!L6/10)*(E3193/1000),Skills!L6/10)+Skills!O6</f>
        <v/>
      </c>
      <c r="G3193">
        <f>Skills!G6*IF(Skills!H6&gt;0,Skills!I6/Skills!H6,1)</f>
        <v/>
      </c>
      <c r="H3193">
        <f>1-(1-Skills!J6/100)^Skills!K6</f>
        <v/>
      </c>
      <c r="I3193" t="inlineStr">
        <is>
          <t>1</t>
        </is>
      </c>
      <c r="J3193">
        <f>((Inputs!$B$6*(1+Inputs!$B$7/100))+(((Inputs!$B$12*(1+Inputs!$B$13/100))-(Inputs!$B$12*(1+Inputs!$B$13/100)))+0.25*(Inputs!$B$14-Inputs!$B$14))*(1+Inputs!$B$7/100))*(F3193/100)</f>
        <v/>
      </c>
      <c r="K3193">
        <f>J3193*(1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3194=TRUE,F3194,0)/100)*(1+(IF(Skills!A6="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3193)</f>
        <v/>
      </c>
      <c r="L3193">
        <f>K3193*(MIN(Inputs!$B$22+((C3212=TRUE)*(F3212-Calc!F25)),(Inputs!$B$23+((C3217=TRUE)*(F3217-Calc!F30))+(IF(ArtifactsInput!$M$15,CHOOSE(ArtifactsInput!$N$15+1,25,30,35,40,45,50)/100*(Inputs!$B$11-Inputs!$B$11),0))))/100+(Inputs!$B$23+((C3217=TRUE)*(F3217-Calc!F30))+(IF(ArtifactsInput!$M$15,CHOOSE(ArtifactsInput!$N$15+1,25,30,35,40,45,50)/100*(Inputs!$B$11-Inputs!$B$11),0)))/100)/2</f>
        <v/>
      </c>
      <c r="M3193">
        <f>L3193*(1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3">
        <f>L3193*(1-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3193*(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3">
        <f>(1-Summary!$B$11)*T3193+Summary!$B$11*V3193</f>
        <v/>
      </c>
      <c r="P3193">
        <f>IF(B3231=0,0,O3193/B3231)</f>
        <v/>
      </c>
      <c r="Q3193">
        <f>IFERROR(1/(IF(Inputs!$B$38="pvp",15,MAX(0.1,Skills!D6-IF(Skills!E6=TRUE,2.5,0)))*(1-IF(AND(ArtifactsInput!$M$27,Inputs!$B$4="Chapter Hunt"),CHOOSE(ArtifactsInput!$N$27+1,20,24,28,32,36,40),0)/100)),0)</f>
        <v/>
      </c>
      <c r="R3193">
        <f>IF(AND(Inputs!$B$38&lt;&gt;"pvp",Inputs!$B$43&gt;0),IF(MAX(0,Inputs!$B$43-B3228)&lt;=0,0,(INT(MAX(0,Inputs!$B$43-B3228)/(IF(Inputs!$B$38="pvp",15,MAX(0.1,Skills!D6-IF(Skills!E6=TRUE,2.5,0)))*(1-IF(AND(ArtifactsInput!$M$27,Inputs!$B$4="Chapter Hunt"),CHOOSE(ArtifactsInput!$N$27+1,20,24,28,32,36,40),0)/100)))+1)),0)</f>
        <v/>
      </c>
      <c r="S3193">
        <f>IFERROR(O3193/N3193,0)</f>
        <v/>
      </c>
      <c r="T3193">
        <f>IF(C3193,(H3193*N3193*IF(AND(Inputs!$B$38&lt;&gt;"pvp",Inputs!$B$43&gt;0),((Skills!G6*((R3193-1)*IF(Skills!H6&gt;0,Skills!I6/Skills!H6,1)+IF(Skills!H6&gt;0,MIN(Skills!I6,MAX(0,MAX(0,Inputs!$B$43-B3228)-((R3193-1)*(IF(Inputs!$B$38="pvp",15,MAX(0.1,Skills!D6-IF(Skills!E6=TRUE,2.5,0)))*(1-IF(AND(ArtifactsInput!$M$27,Inputs!$B$4="Chapter Hunt"),CHOOSE(ArtifactsInput!$N$27+1,20,24,28,32,36,40),0)/100)))))/Skills!H6,1)))/Inputs!$B$43),G3193*Q3193)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3193*(1-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3193*(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3193*(1-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3193*(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3">
        <f>IF(C3193,(H3193*N3193*IF(AND(Inputs!$B$38&lt;&gt;"pvp",Inputs!$B$43&gt;0),((Skills!G6*((R3193-1)*IF(Skills!H6&gt;0,Skills!I6/Skills!H6,1)+IF(Skills!H6&gt;0,MIN(Skills!I6,MAX(0,MAX(0,Inputs!$B$43-B3228)-((R3193-1)*(IF(Inputs!$B$38="pvp",15,MAX(0.1,Skills!D6-IF(Skills!E6=TRUE,2.5,0)))*(1-IF(AND(ArtifactsInput!$M$27,Inputs!$B$4="Chapter Hunt"),CHOOSE(ArtifactsInput!$N$27+1,20,24,28,32,36,40),0)/100)))))/Skills!H6,1)))/Inputs!$B$43),G3193*Q3193))*IF(Inputs!$B$38="pvp",1,(1+(Inputs!$B$21+Skills!Q6+(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4">
      <c r="A3194">
        <f>Skills!A7</f>
        <v/>
      </c>
      <c r="B3194">
        <f>Skills!B7</f>
        <v/>
      </c>
      <c r="C3194">
        <f>Inputs!$B$3&gt;=107</f>
        <v/>
      </c>
      <c r="D3194">
        <f>IF(Skills!C7=1,60+Inputs!$B$25+Inputs!$B$29,IF(Skills!C7=2,90+Inputs!$B$26+Inputs!$B$29,IF(Skills!C7=3,120+Inputs!$B$27+Inputs!$B$29,MAX(0,(Inputs!$B$3-100)*3)+Inputs!$B$28+Inputs!$B$29)))</f>
        <v/>
      </c>
      <c r="E3194">
        <f>INDEX(FactorTable!$B$2:$Y$301, MATCH(ROUND(MIN(300,MAX(1,D3194)),0), FactorTable!$A$2:$A$301,0), Skills!M7+1)</f>
        <v/>
      </c>
      <c r="F3194">
        <f>IF(Skills!N7=TRUE,(Skills!L7/10)*(E3194/1000),Skills!L7/10)+Skills!O7</f>
        <v/>
      </c>
      <c r="G3194" t="inlineStr"/>
      <c r="H3194" t="inlineStr"/>
      <c r="I3194" t="inlineStr">
        <is>
          <t>1</t>
        </is>
      </c>
      <c r="J3194" t="inlineStr"/>
      <c r="K3194" t="inlineStr"/>
      <c r="L3194" t="inlineStr"/>
      <c r="M3194" t="inlineStr"/>
      <c r="N3194" t="inlineStr"/>
      <c r="O3194" t="inlineStr"/>
      <c r="P3194" t="inlineStr"/>
      <c r="Q3194" t="inlineStr"/>
      <c r="R3194" t="inlineStr"/>
      <c r="S3194" t="inlineStr"/>
      <c r="T3194" t="inlineStr"/>
      <c r="V3194" t="inlineStr"/>
    </row>
    <row r="3195">
      <c r="A3195">
        <f>Skills!A8</f>
        <v/>
      </c>
      <c r="B3195">
        <f>Skills!B8</f>
        <v/>
      </c>
      <c r="C3195">
        <f>Inputs!$B$3&gt;=69</f>
        <v/>
      </c>
      <c r="D3195">
        <f>IF(Skills!C8=1,60+Inputs!$B$25+Inputs!$B$29,IF(Skills!C8=2,90+Inputs!$B$26+Inputs!$B$29,IF(Skills!C8=3,120+Inputs!$B$27+Inputs!$B$29,MAX(0,(Inputs!$B$3-100)*3)+Inputs!$B$28+Inputs!$B$29)))</f>
        <v/>
      </c>
      <c r="E3195">
        <f>INDEX(FactorTable!$B$2:$Y$301, MATCH(ROUND(MIN(300,MAX(1,D3195)),0), FactorTable!$A$2:$A$301,0), Skills!M8+1)</f>
        <v/>
      </c>
      <c r="F3195">
        <f>IF(Skills!N8=TRUE,(Skills!L8/10)*(E3195/1000),Skills!L8/10)+Skills!O8</f>
        <v/>
      </c>
      <c r="G3195">
        <f>Skills!G8*IF(Skills!H8&gt;0,Skills!I8/Skills!H8,1)</f>
        <v/>
      </c>
      <c r="H3195">
        <f>1-(1-Skills!J8/100)^Skills!K8</f>
        <v/>
      </c>
      <c r="I3195" t="inlineStr">
        <is>
          <t>1</t>
        </is>
      </c>
      <c r="J3195">
        <f>((Inputs!$B$6*(1+Inputs!$B$7/100))+(((Inputs!$B$12*(1+Inputs!$B$13/100))-(Inputs!$B$12*(1+Inputs!$B$13/100)))+0.25*(Inputs!$B$14-Inputs!$B$14))*(1+Inputs!$B$7/100))*(F3195/100)</f>
        <v/>
      </c>
      <c r="K3195">
        <f>J3195*(1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3198=TRUE,F3198,0)/100)*(1+(IF(Skills!A8="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3195)</f>
        <v/>
      </c>
      <c r="L3195">
        <f>K3195*(MIN(Inputs!$B$22+((C3212=TRUE)*(F3212-Calc!F25)),(Inputs!$B$23+((C3217=TRUE)*(F3217-Calc!F30))+(IF(ArtifactsInput!$M$15,CHOOSE(ArtifactsInput!$N$15+1,25,30,35,40,45,50)/100*(Inputs!$B$11-Inputs!$B$11),0))))/100+(Inputs!$B$23+((C3217=TRUE)*(F3217-Calc!F30))+(IF(ArtifactsInput!$M$15,CHOOSE(ArtifactsInput!$N$15+1,25,30,35,40,45,50)/100*(Inputs!$B$11-Inputs!$B$11),0)))/100)/2</f>
        <v/>
      </c>
      <c r="M3195">
        <f>L3195*(1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5">
        <f>L3195*(1-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3195*(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5">
        <f>(1-Summary!$B$11)*T3195+Summary!$B$11*V3195</f>
        <v/>
      </c>
      <c r="P3195">
        <f>IF(B3231=0,0,O3195/B3231)</f>
        <v/>
      </c>
      <c r="Q3195">
        <f>IFERROR(1/(IF(Inputs!$B$38="pvp",15,MAX(0.1,Skills!D8-IF(Skills!E8=TRUE,2.5,0)))*(1-IF(AND(ArtifactsInput!$M$27,Inputs!$B$4="Chapter Hunt"),CHOOSE(ArtifactsInput!$N$27+1,20,24,28,32,36,40),0)/100)),0)</f>
        <v/>
      </c>
      <c r="R3195">
        <f>IF(AND(Inputs!$B$38&lt;&gt;"pvp",Inputs!$B$43&gt;0),IF(MAX(0,Inputs!$B$43-B3228)&lt;=0,0,(INT(MAX(0,Inputs!$B$43-B3228)/(IF(Inputs!$B$38="pvp",15,MAX(0.1,Skills!D8-IF(Skills!E8=TRUE,2.5,0)))*(1-IF(AND(ArtifactsInput!$M$27,Inputs!$B$4="Chapter Hunt"),CHOOSE(ArtifactsInput!$N$27+1,20,24,28,32,36,40),0)/100)))+1)),0)</f>
        <v/>
      </c>
      <c r="S3195">
        <f>IFERROR(O3195/N3195,0)</f>
        <v/>
      </c>
      <c r="T3195">
        <f>IF(C3195,(H3195*N3195*IF(AND(Inputs!$B$38&lt;&gt;"pvp",Inputs!$B$43&gt;0),((Skills!G8*((R3195-1)*IF(Skills!H8&gt;0,Skills!I8/Skills!H8,1)+IF(Skills!H8&gt;0,MIN(Skills!I8,MAX(0,MAX(0,Inputs!$B$43-B3228)-((R3195-1)*(IF(Inputs!$B$38="pvp",15,MAX(0.1,Skills!D8-IF(Skills!E8=TRUE,2.5,0)))*(1-IF(AND(ArtifactsInput!$M$27,Inputs!$B$4="Chapter Hunt"),CHOOSE(ArtifactsInput!$N$27+1,20,24,28,32,36,40),0)/100)))))/Skills!H8,1)))/Inputs!$B$43),G3195*Q3195)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3195*(1-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3195*(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3195*(1-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3195*(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5">
        <f>IF(C3195,(H3195*N3195*IF(AND(Inputs!$B$38&lt;&gt;"pvp",Inputs!$B$43&gt;0),((Skills!G8*((R3195-1)*IF(Skills!H8&gt;0,Skills!I8/Skills!H8,1)+IF(Skills!H8&gt;0,MIN(Skills!I8,MAX(0,MAX(0,Inputs!$B$43-B3228)-((R3195-1)*(IF(Inputs!$B$38="pvp",15,MAX(0.1,Skills!D8-IF(Skills!E8=TRUE,2.5,0)))*(1-IF(AND(ArtifactsInput!$M$27,Inputs!$B$4="Chapter Hunt"),CHOOSE(ArtifactsInput!$N$27+1,20,24,28,32,36,40),0)/100)))))/Skills!H8,1)))/Inputs!$B$43),G3195*Q3195))*IF(Inputs!$B$38="pvp",1,(1+(Inputs!$B$21+Skills!Q8+(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6">
      <c r="A3196">
        <f>Skills!A9</f>
        <v/>
      </c>
      <c r="B3196">
        <f>Skills!B9</f>
        <v/>
      </c>
      <c r="C3196">
        <f>Inputs!$B$3&gt;=63</f>
        <v/>
      </c>
      <c r="D3196">
        <f>IF(Skills!C9=1,60+Inputs!$B$25+Inputs!$B$29,IF(Skills!C9=2,90+Inputs!$B$26+Inputs!$B$29,IF(Skills!C9=3,120+Inputs!$B$27+Inputs!$B$29,MAX(0,(Inputs!$B$3-100)*3)+Inputs!$B$28+Inputs!$B$29)))</f>
        <v/>
      </c>
      <c r="E3196">
        <f>INDEX(FactorTable!$B$2:$Y$301, MATCH(ROUND(MIN(300,MAX(1,D3196)),0), FactorTable!$A$2:$A$301,0), Skills!M9+1)</f>
        <v/>
      </c>
      <c r="F3196">
        <f>IF(Skills!N9=TRUE,(Skills!L9/10)*(E3196/1000),Skills!L9/10)+Skills!O9</f>
        <v/>
      </c>
      <c r="G3196">
        <f>Skills!G9*IF(Skills!H9&gt;0,Skills!I9/Skills!H9,1)</f>
        <v/>
      </c>
      <c r="H3196">
        <f>1-(1-Skills!J9/100)^Skills!K9</f>
        <v/>
      </c>
      <c r="I3196" t="inlineStr">
        <is>
          <t>1</t>
        </is>
      </c>
      <c r="J3196">
        <f>((Inputs!$B$6*(1+Inputs!$B$7/100))+(((Inputs!$B$12*(1+Inputs!$B$13/100))-(Inputs!$B$12*(1+Inputs!$B$13/100)))+0.25*(Inputs!$B$14-Inputs!$B$14))*(1+Inputs!$B$7/100))*(F3196/100)</f>
        <v/>
      </c>
      <c r="K3196">
        <f>J3196*(1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3198=TRUE,F3198,0)/100)*(1+(IF(Skills!A9="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3196)</f>
        <v/>
      </c>
      <c r="L3196">
        <f>K3196*(MIN(Inputs!$B$22+((C3212=TRUE)*(F3212-Calc!F25)),(Inputs!$B$23+((C3217=TRUE)*(F3217-Calc!F30))+(IF(ArtifactsInput!$M$15,CHOOSE(ArtifactsInput!$N$15+1,25,30,35,40,45,50)/100*(Inputs!$B$11-Inputs!$B$11),0))))/100+(Inputs!$B$23+((C3217=TRUE)*(F3217-Calc!F30))+(IF(ArtifactsInput!$M$15,CHOOSE(ArtifactsInput!$N$15+1,25,30,35,40,45,50)/100*(Inputs!$B$11-Inputs!$B$11),0)))/100)/2</f>
        <v/>
      </c>
      <c r="M3196">
        <f>L3196*(1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6">
        <f>L3196*(1-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3196*(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6">
        <f>(1-Summary!$B$11)*T3196+Summary!$B$11*V3196</f>
        <v/>
      </c>
      <c r="P3196">
        <f>IF(B3231=0,0,O3196/B3231)</f>
        <v/>
      </c>
      <c r="Q3196">
        <f>IFERROR(1/(IF(Inputs!$B$38="pvp",15,MAX(0.1,Skills!D9-IF(Skills!E9=TRUE,2.5,0)))*(1-IF(AND(ArtifactsInput!$M$27,Inputs!$B$4="Chapter Hunt"),CHOOSE(ArtifactsInput!$N$27+1,20,24,28,32,36,40),0)/100)),0)</f>
        <v/>
      </c>
      <c r="R3196">
        <f>IF(AND(Inputs!$B$38&lt;&gt;"pvp",Inputs!$B$43&gt;0),IF(MAX(0,Inputs!$B$43-B3228)&lt;=0,0,(INT(MAX(0,Inputs!$B$43-B3228)/(IF(Inputs!$B$38="pvp",15,MAX(0.1,Skills!D9-IF(Skills!E9=TRUE,2.5,0)))*(1-IF(AND(ArtifactsInput!$M$27,Inputs!$B$4="Chapter Hunt"),CHOOSE(ArtifactsInput!$N$27+1,20,24,28,32,36,40),0)/100)))+1)),0)</f>
        <v/>
      </c>
      <c r="S3196">
        <f>IFERROR(O3196/N3196,0)</f>
        <v/>
      </c>
      <c r="T3196">
        <f>IF(C3196,(H3196*N3196*IF(AND(Inputs!$B$38&lt;&gt;"pvp",Inputs!$B$43&gt;0),((Skills!G9*((R3196-1)*IF(Skills!H9&gt;0,Skills!I9/Skills!H9,1)+IF(Skills!H9&gt;0,MIN(Skills!I9,MAX(0,MAX(0,Inputs!$B$43-B3228)-((R3196-1)*(IF(Inputs!$B$38="pvp",15,MAX(0.1,Skills!D9-IF(Skills!E9=TRUE,2.5,0)))*(1-IF(AND(ArtifactsInput!$M$27,Inputs!$B$4="Chapter Hunt"),CHOOSE(ArtifactsInput!$N$27+1,20,24,28,32,36,40),0)/100)))))/Skills!H9,1)))/Inputs!$B$43),G3196*Q3196)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3196*(1-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3196*(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3196*(1-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3196*(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6">
        <f>IF(C3196,(H3196*N3196*IF(AND(Inputs!$B$38&lt;&gt;"pvp",Inputs!$B$43&gt;0),((Skills!G9*((R3196-1)*IF(Skills!H9&gt;0,Skills!I9/Skills!H9,1)+IF(Skills!H9&gt;0,MIN(Skills!I9,MAX(0,MAX(0,Inputs!$B$43-B3228)-((R3196-1)*(IF(Inputs!$B$38="pvp",15,MAX(0.1,Skills!D9-IF(Skills!E9=TRUE,2.5,0)))*(1-IF(AND(ArtifactsInput!$M$27,Inputs!$B$4="Chapter Hunt"),CHOOSE(ArtifactsInput!$N$27+1,20,24,28,32,36,40),0)/100)))))/Skills!H9,1)))/Inputs!$B$43),G3196*Q3196))*IF(Inputs!$B$38="pvp",1,(1+(Inputs!$B$21+Skills!Q9+(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7">
      <c r="A3197">
        <f>Skills!A10</f>
        <v/>
      </c>
      <c r="B3197">
        <f>Skills!B10</f>
        <v/>
      </c>
      <c r="C3197">
        <f>Inputs!$B$3&gt;=103</f>
        <v/>
      </c>
      <c r="D3197">
        <f>IF(Skills!C10=1,60+Inputs!$B$25+Inputs!$B$29,IF(Skills!C10=2,90+Inputs!$B$26+Inputs!$B$29,IF(Skills!C10=3,120+Inputs!$B$27+Inputs!$B$29,MAX(0,(Inputs!$B$3-100)*3)+Inputs!$B$28+Inputs!$B$29)))</f>
        <v/>
      </c>
      <c r="E3197">
        <f>INDEX(FactorTable!$B$2:$Y$301, MATCH(ROUND(MIN(300,MAX(1,D3197)),0), FactorTable!$A$2:$A$301,0), Skills!M10+1)</f>
        <v/>
      </c>
      <c r="F3197">
        <f>IF(Skills!N10=TRUE,(Skills!L10/10)*(E3197/1000),Skills!L10/10)+Skills!O10</f>
        <v/>
      </c>
      <c r="G3197">
        <f>Skills!G10*IF(Skills!H10&gt;0,Skills!I10/Skills!H10,1)</f>
        <v/>
      </c>
      <c r="H3197">
        <f>1-(1-Skills!J10/100)^Skills!K10</f>
        <v/>
      </c>
      <c r="I3197" t="inlineStr">
        <is>
          <t>1</t>
        </is>
      </c>
      <c r="J3197">
        <f>((Inputs!$B$6*(1+Inputs!$B$7/100))+(((Inputs!$B$12*(1+Inputs!$B$13/100))-(Inputs!$B$12*(1+Inputs!$B$13/100)))+0.25*(Inputs!$B$14-Inputs!$B$14))*(1+Inputs!$B$7/100))*(F3197/100)</f>
        <v/>
      </c>
      <c r="K3197">
        <f>J3197*(1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3197)</f>
        <v/>
      </c>
      <c r="L3197">
        <f>K3197*(MIN(Inputs!$B$22+((C3212=TRUE)*(F3212-Calc!F25)),(Inputs!$B$23+((C3217=TRUE)*(F3217-Calc!F30))+(IF(ArtifactsInput!$M$15,CHOOSE(ArtifactsInput!$N$15+1,25,30,35,40,45,50)/100*(Inputs!$B$11-Inputs!$B$11),0))))/100+(Inputs!$B$23+((C3217=TRUE)*(F3217-Calc!F30))+(IF(ArtifactsInput!$M$15,CHOOSE(ArtifactsInput!$N$15+1,25,30,35,40,45,50)/100*(Inputs!$B$11-Inputs!$B$11),0)))/100)/2</f>
        <v/>
      </c>
      <c r="M3197">
        <f>L3197*(1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7">
        <f>L3197*(1-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3197*(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7">
        <f>(1-Summary!$B$11)*T3197+Summary!$B$11*V3197</f>
        <v/>
      </c>
      <c r="P3197">
        <f>IF(B3231=0,0,O3197/B3231)</f>
        <v/>
      </c>
      <c r="Q3197">
        <f>IFERROR(1/(IF(Inputs!$B$38="pvp",15,MAX(0.1,Skills!D10-IF(Skills!E10=TRUE,2.5,0)))*(1-IF(AND(ArtifactsInput!$M$27,Inputs!$B$4="Chapter Hunt"),CHOOSE(ArtifactsInput!$N$27+1,20,24,28,32,36,40),0)/100)),0)</f>
        <v/>
      </c>
      <c r="R3197">
        <f>IF(AND(Inputs!$B$38&lt;&gt;"pvp",Inputs!$B$43&gt;0),IF(MAX(0,Inputs!$B$43-B3228)&lt;=0,0,(INT(MAX(0,Inputs!$B$43-B3228)/(IF(Inputs!$B$38="pvp",15,MAX(0.1,Skills!D10-IF(Skills!E10=TRUE,2.5,0)))*(1-IF(AND(ArtifactsInput!$M$27,Inputs!$B$4="Chapter Hunt"),CHOOSE(ArtifactsInput!$N$27+1,20,24,28,32,36,40),0)/100)))+1)),0)</f>
        <v/>
      </c>
      <c r="S3197">
        <f>IFERROR(O3197/N3197,0)</f>
        <v/>
      </c>
      <c r="T3197">
        <f>IF(C3197,(H3197*N3197*IF(AND(Inputs!$B$38&lt;&gt;"pvp",Inputs!$B$43&gt;0),((Skills!G10*((R3197-1)*IF(Skills!H10&gt;0,Skills!I10/Skills!H10,1)+IF(Skills!H10&gt;0,MIN(Skills!I10,MAX(0,MAX(0,Inputs!$B$43-B3228)-((R3197-1)*(IF(Inputs!$B$38="pvp",15,MAX(0.1,Skills!D10-IF(Skills!E10=TRUE,2.5,0)))*(1-IF(AND(ArtifactsInput!$M$27,Inputs!$B$4="Chapter Hunt"),CHOOSE(ArtifactsInput!$N$27+1,20,24,28,32,36,40),0)/100)))))/Skills!H10,1)))/Inputs!$B$43),G3197*Q3197)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3197*(1-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3197*(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3197*(1-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3197*(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7">
        <f>IF(C3197,(H3197*N3197*IF(AND(Inputs!$B$38&lt;&gt;"pvp",Inputs!$B$43&gt;0),((Skills!G10*((R3197-1)*IF(Skills!H10&gt;0,Skills!I10/Skills!H10,1)+IF(Skills!H10&gt;0,MIN(Skills!I10,MAX(0,MAX(0,Inputs!$B$43-B3228)-((R3197-1)*(IF(Inputs!$B$38="pvp",15,MAX(0.1,Skills!D10-IF(Skills!E10=TRUE,2.5,0)))*(1-IF(AND(ArtifactsInput!$M$27,Inputs!$B$4="Chapter Hunt"),CHOOSE(ArtifactsInput!$N$27+1,20,24,28,32,36,40),0)/100)))))/Skills!H10,1)))/Inputs!$B$43),G3197*Q3197))*IF(Inputs!$B$38="pvp",1,(1+(Inputs!$B$21+Skills!Q10+(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8">
      <c r="A3198">
        <f>Skills!A11</f>
        <v/>
      </c>
      <c r="B3198">
        <f>Skills!B11</f>
        <v/>
      </c>
      <c r="C3198">
        <f>Inputs!$B$3&gt;=100</f>
        <v/>
      </c>
      <c r="D3198">
        <f>IF(Skills!C11=1,60+Inputs!$B$25+Inputs!$B$29,IF(Skills!C11=2,90+Inputs!$B$26+Inputs!$B$29,IF(Skills!C11=3,120+Inputs!$B$27+Inputs!$B$29,MAX(0,(Inputs!$B$3-100)*3)+Inputs!$B$28+Inputs!$B$29)))</f>
        <v/>
      </c>
      <c r="E3198">
        <f>INDEX(FactorTable!$B$2:$Y$301, MATCH(ROUND(MIN(300,MAX(1,D3198)),0), FactorTable!$A$2:$A$301,0), Skills!M11+1)</f>
        <v/>
      </c>
      <c r="F3198">
        <f>IF(Skills!N11=TRUE,(Skills!L11/10)*(E3198/1000),Skills!L11/10)+Skills!O11</f>
        <v/>
      </c>
      <c r="G3198" t="inlineStr"/>
      <c r="H3198" t="inlineStr"/>
      <c r="I3198" t="inlineStr">
        <is>
          <t>1</t>
        </is>
      </c>
      <c r="J3198" t="inlineStr"/>
      <c r="K3198" t="inlineStr"/>
      <c r="L3198" t="inlineStr"/>
      <c r="M3198" t="inlineStr"/>
      <c r="N3198" t="inlineStr"/>
      <c r="O3198" t="inlineStr"/>
      <c r="P3198" t="inlineStr"/>
      <c r="Q3198" t="inlineStr"/>
      <c r="R3198" t="inlineStr"/>
      <c r="S3198" t="inlineStr"/>
      <c r="T3198" t="inlineStr"/>
      <c r="V3198" t="inlineStr"/>
    </row>
    <row r="3199">
      <c r="A3199">
        <f>Skills!A12</f>
        <v/>
      </c>
      <c r="B3199">
        <f>Skills!B12</f>
        <v/>
      </c>
      <c r="C3199">
        <f>Inputs!$B$3&gt;=60</f>
        <v/>
      </c>
      <c r="D3199">
        <f>IF(Skills!C12=1,60+Inputs!$B$25+Inputs!$B$29,IF(Skills!C12=2,90+Inputs!$B$26+Inputs!$B$29,IF(Skills!C12=3,120+Inputs!$B$27+Inputs!$B$29,MAX(0,(Inputs!$B$3-100)*3)+Inputs!$B$28+Inputs!$B$29)))</f>
        <v/>
      </c>
      <c r="E3199">
        <f>INDEX(FactorTable!$B$2:$Y$301, MATCH(ROUND(MIN(300,MAX(1,D3199)),0), FactorTable!$A$2:$A$301,0), Skills!M12+1)</f>
        <v/>
      </c>
      <c r="F3199">
        <f>IF(Skills!N12=TRUE,(Skills!L12/10)*(E3199/1000),Skills!L12/10)+Skills!O12</f>
        <v/>
      </c>
      <c r="G3199">
        <f>Skills!G12*IF(Skills!H12&gt;0,Skills!I12/Skills!H12,1)</f>
        <v/>
      </c>
      <c r="H3199">
        <f>1-(1-Skills!J12/100)^Skills!K12</f>
        <v/>
      </c>
      <c r="I3199" t="inlineStr">
        <is>
          <t>1</t>
        </is>
      </c>
      <c r="J3199">
        <f>((Inputs!$B$6*(1+Inputs!$B$7/100))+(((Inputs!$B$12*(1+Inputs!$B$13/100))-(Inputs!$B$12*(1+Inputs!$B$13/100)))+0.25*(Inputs!$B$14-Inputs!$B$14))*(1+Inputs!$B$7/100))*(F3199/100)</f>
        <v/>
      </c>
      <c r="K3199">
        <f>J3199*(1+((Inputs!$B$12*(1+Inputs!$B$13/100))*0.01+Inputs!$B$14*0.0025)/100)*(1+Inputs!$B$15/100)*(1+Inputs!$B$16/100)*(5000/(6000+Inputs!$B$42*(1-(100*(1-(1-(Inputs!$B$19+((C3215=TRUE)*(F3215-Calc!F28)))/100)*(1-CHOOSE(ArtifactsInput!$N$40+1,5,6,7,8,9,10)/100)^(ArtifactsInput!$M$40-ArtifactsInput!$M$40)))/100)))*(1+(Inputs!$B$24+((C3213=TRUE)*(F3213-Calc!F26))+((C3214=TRUE)*(F3214-Calc!F27))+B3227)/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3200=TRUE,F3200,0)/100)*(1+(IF(Skills!A12="ARROW_STREAM",Inputs!$B$17+((C3211=TRUE)*(F3211-Calc!F24))+(((IF(AND(ArtifactsInput!$M$42,((Inputs!$B$9+((C3208=TRUE)*(F3208-Calc!F21))+B3221+(ArtifactsInput!$M$24-ArtifactsInput!$M$24)*CHOOSE(ArtifactsInput!$N$24+1,10,12,14,16,18,20)+IF(ArtifactsInput!$M$10,CHOOSE(ArtifactsInput!$N$10+1,15,18,21,24,27,30)*(IF(Inputs!$B$38="pvp",MIN(15,15)/15,IF(AND(Inputs!$B$38&lt;&gt;"pvp",Inputs!$B$43&gt;0),MIN(15,Inputs!$B$43)/(Inputs!$B$43),0))),0)))&gt;=100),MIN(100,((Inputs!$B$9+((C3208=TRUE)*(F3208-Calc!F21))+B3221+(ArtifactsInput!$M$24-ArtifactsInput!$M$24)*CHOOSE(ArtifactsInput!$N$24+1,10,12,14,16,18,20)+IF(ArtifactsInput!$M$10,CHOOSE(ArtifactsInput!$N$10+1,15,18,21,24,27,30)*(IF(Inputs!$B$38="pvp",MIN(15,15)/15,IF(AND(Inputs!$B$38&lt;&gt;"pvp",Inputs!$B$43&gt;0),MIN(15,Inputs!$B$43)/(Inputs!$B$43),0))),0)))-100),0))*CHOOSE(ArtifactsInput!$N$42+1,0.6,0.72,0.84,0.96,1.08,1.2))),Inputs!$B$18+((C3216=TRUE)*(F3216-Calc!F29))+(IF(AND(ArtifactsInput!$M$42,((Inputs!$B$9+((C3208=TRUE)*(F3208-Calc!F21))+B3221+(ArtifactsInput!$M$24-ArtifactsInput!$M$24)*CHOOSE(ArtifactsInput!$N$24+1,10,12,14,16,18,20)+IF(ArtifactsInput!$M$10,CHOOSE(ArtifactsInput!$N$10+1,15,18,21,24,27,30)*(IF(Inputs!$B$38="pvp",MIN(15,15)/15,IF(AND(Inputs!$B$38&lt;&gt;"pvp",Inputs!$B$43&gt;0),MIN(15,Inputs!$B$43)/(Inputs!$B$43),0))),0)))&gt;=100),CHOOSE(ArtifactsInput!$N$42+1,40,48,56,64,72,80),0))))/100)*((1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3199)</f>
        <v/>
      </c>
      <c r="L3199">
        <f>K3199*(MIN(Inputs!$B$22+((C3212=TRUE)*(F3212-Calc!F25)),(Inputs!$B$23+((C3217=TRUE)*(F3217-Calc!F30))+(IF(ArtifactsInput!$M$15,CHOOSE(ArtifactsInput!$N$15+1,25,30,35,40,45,50)/100*(Inputs!$B$11-Inputs!$B$11),0))))/100+(Inputs!$B$23+((C3217=TRUE)*(F3217-Calc!F30))+(IF(ArtifactsInput!$M$15,CHOOSE(ArtifactsInput!$N$15+1,25,30,35,40,45,50)/100*(Inputs!$B$11-Inputs!$B$11),0)))/100)/2</f>
        <v/>
      </c>
      <c r="M3199">
        <f>L3199*(1+(Inputs!$B$10+0+B3226+(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9">
        <f>L3199*(1-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3199*(MIN((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9">
        <f>(1-Summary!$B$11)*T3199+Summary!$B$11*V3199</f>
        <v/>
      </c>
      <c r="P3199">
        <f>IF(B3231=0,0,O3199/B3231)</f>
        <v/>
      </c>
      <c r="Q3199">
        <f>IFERROR(1/(IF(Inputs!$B$38="pvp",15,MAX(0.1,Skills!D12-IF(Skills!E12=TRUE,2.5,0)))*(1-IF(AND(ArtifactsInput!$M$27,Inputs!$B$4="Chapter Hunt"),CHOOSE(ArtifactsInput!$N$27+1,20,24,28,32,36,40),0)/100)),0)</f>
        <v/>
      </c>
      <c r="R3199">
        <f>IF(AND(Inputs!$B$38&lt;&gt;"pvp",Inputs!$B$43&gt;0),IF(MAX(0,Inputs!$B$43-B3228)&lt;=0,0,(INT(MAX(0,Inputs!$B$43-B3228)/(IF(Inputs!$B$38="pvp",15,MAX(0.1,Skills!D12-IF(Skills!E12=TRUE,2.5,0)))*(1-IF(AND(ArtifactsInput!$M$27,Inputs!$B$4="Chapter Hunt"),CHOOSE(ArtifactsInput!$N$27+1,20,24,28,32,36,40),0)/100)))+1)),0)</f>
        <v/>
      </c>
      <c r="S3199">
        <f>IFERROR(O3199/N3199,0)</f>
        <v/>
      </c>
      <c r="T3199">
        <f>IF(C3199,(H3199*N3199*IF(AND(Inputs!$B$38&lt;&gt;"pvp",Inputs!$B$43&gt;0),((Skills!G12*((R3199-1)*IF(Skills!H12&gt;0,Skills!I12/Skills!H12,1)+IF(Skills!H12&gt;0,MIN(Skills!I12,MAX(0,MAX(0,Inputs!$B$43-B3228)-((R3199-1)*(IF(Inputs!$B$38="pvp",15,MAX(0.1,Skills!D12-IF(Skills!E12=TRUE,2.5,0)))*(1-IF(AND(ArtifactsInput!$M$27,Inputs!$B$4="Chapter Hunt"),CHOOSE(ArtifactsInput!$N$27+1,20,24,28,32,36,40),0)/100)))))/Skills!H12,1)))/Inputs!$B$43),G3199*Q3199)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(5000/(6000+Inputs!$B$42*(1-(100*(1-(1-(100*(1-(1-(Inputs!$B$19+((C3215=TRUE)*(F3215-Calc!F28)))/100)*(1-CHOOSE(ArtifactsInput!$N$40+1,5,6,7,8,9,10)/100)^(ArtifactsInput!$M$40-ArtifactsInput!$M$40)))/100)*(1-IF(ArtifactsInput!$M$40,CHOOSE(ArtifactsInput!$N$40+1,5,6,7,8,9,10),0)/100)^IF(Inputs!$B$38="pvp",1,2)))/100)))/(5000/(6000+Inputs!$B$42*(1-(100*(1-(1-(Inputs!$B$19+((C3215=TRUE)*(F3215-Calc!F28)))/100)*(1-CHOOSE(ArtifactsInput!$N$40+1,5,6,7,8,9,10)/100)^(ArtifactsInput!$M$40-ArtifactsInput!$M$40)))/100))))*((L3199*(1-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3199*(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3199*(1-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3199*(MIN(100,(Inputs!$B$9+((C3208=TRUE)*(F3208-Calc!F21))+B3221+(ArtifactsInput!$M$24-ArtifactsInput!$M$24)*CHOOSE(ArtifactsInput!$N$24+1,10,12,14,16,18,20)+(IF(AND(ArtifactsInput!$M$42,((Inputs!$B$9+((C3208=TRUE)*(F3208-Calc!F21))+B3221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9">
        <f>IF(C3199,(H3199*N3199*IF(AND(Inputs!$B$38&lt;&gt;"pvp",Inputs!$B$43&gt;0),((Skills!G12*((R3199-1)*IF(Skills!H12&gt;0,Skills!I12/Skills!H12,1)+IF(Skills!H12&gt;0,MIN(Skills!I12,MAX(0,MAX(0,Inputs!$B$43-B3228)-((R3199-1)*(IF(Inputs!$B$38="pvp",15,MAX(0.1,Skills!D12-IF(Skills!E12=TRUE,2.5,0)))*(1-IF(AND(ArtifactsInput!$M$27,Inputs!$B$4="Chapter Hunt"),CHOOSE(ArtifactsInput!$N$27+1,20,24,28,32,36,40),0)/100)))))/Skills!H12,1)))/Inputs!$B$43),G3199*Q3199))*IF(Inputs!$B$38="pvp",1,(1+(Inputs!$B$21+Skills!Q12+(IF(ArtifactsInput!$M$33,CHOOSE(ArtifactsInput!$N$33+1,30,36,42,48,54,60),0))+(IF(AND(ArtifactsInput!$M$35,Inputs!$B$4&lt;&gt;"Chapter Hunt"),CHOOSE(ArtifactsInput!$N$35+1,15,18,21,24,27,30)*(1-EXP(-(0.2*B3223)*5)),0)+IF(AND(ArtifactsInput!$M$22,Inputs!$B$4&lt;&gt;"Chapter Hunt"),CHOOSE(ArtifactsInput!$N$22+1,10,12,14,16,18,20)*((0*(((0.15*B3223*5))^0/1)+1*(((0.15*B3223*5))^1/1)+2*(((0.15*B3223*5))^2/2)+3*(((0.15*B3223*5))^3/6)+4*(((0.15*B3223*5))^4/24)+5*(((0.15*B3223*5))^5/120))/((((0.15*B3223*5))^0/1)+(((0.15*B3223*5))^1/1)+(((0.15*B3223*5))^2/2)+(((0.15*B3223*5))^3/6)+(((0.15*B3223*5))^4/24)+(((0.15*B3223*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0">
      <c r="A3200">
        <f>Skills!A13</f>
        <v/>
      </c>
      <c r="B3200">
        <f>Skills!B13</f>
        <v/>
      </c>
      <c r="C3200">
        <f>Inputs!$B$3&gt;=110</f>
        <v/>
      </c>
      <c r="D3200">
        <f>IF(Skills!C13=1,60+Inputs!$B$25+Inputs!$B$29,IF(Skills!C13=2,90+Inputs!$B$26+Inputs!$B$29,IF(Skills!C13=3,120+Inputs!$B$27+Inputs!$B$29,MAX(0,(Inputs!$B$3-100)*3)+Inputs!$B$28+Inputs!$B$29)))</f>
        <v/>
      </c>
      <c r="E3200">
        <f>INDEX(FactorTable!$B$2:$Y$301, MATCH(ROUND(MIN(300,MAX(1,D3200)),0), FactorTable!$A$2:$A$301,0), Skills!M13+1)</f>
        <v/>
      </c>
      <c r="F3200">
        <f>IF(Skills!N13=TRUE,(Skills!L13/10)*(E3200/1000),Skills!L13/10)+Skills!O13</f>
        <v/>
      </c>
      <c r="G3200" t="inlineStr"/>
      <c r="H3200" t="inlineStr"/>
      <c r="I3200" t="inlineStr">
        <is>
          <t>1</t>
        </is>
      </c>
      <c r="J3200" t="inlineStr"/>
      <c r="K3200" t="inlineStr"/>
      <c r="L3200" t="inlineStr"/>
      <c r="M3200" t="inlineStr"/>
      <c r="N3200" t="inlineStr"/>
      <c r="O3200" t="inlineStr"/>
      <c r="P3200" t="inlineStr"/>
      <c r="Q3200" t="inlineStr"/>
      <c r="R3200" t="inlineStr"/>
      <c r="S3200" t="inlineStr"/>
      <c r="T3200" t="inlineStr"/>
      <c r="V3200" t="inlineStr"/>
    </row>
    <row r="3201">
      <c r="A3201">
        <f>Skills!A14</f>
        <v/>
      </c>
      <c r="B3201">
        <f>Skills!B14</f>
        <v/>
      </c>
      <c r="C3201">
        <f>Inputs!$B$3&gt;=74</f>
        <v/>
      </c>
      <c r="D3201">
        <f>IF(Skills!C14=1,60+Inputs!$B$25+Inputs!$B$29,IF(Skills!C14=2,90+Inputs!$B$26+Inputs!$B$29,IF(Skills!C14=3,120+Inputs!$B$27+Inputs!$B$29,MAX(0,(Inputs!$B$3-100)*3)+Inputs!$B$28+Inputs!$B$29)))</f>
        <v/>
      </c>
      <c r="E3201">
        <f>INDEX(FactorTable!$B$2:$Y$301, MATCH(ROUND(MIN(300,MAX(1,D3201)),0), FactorTable!$A$2:$A$301,0), Skills!M14+1)</f>
        <v/>
      </c>
      <c r="F3201">
        <f>IF(Skills!N14=TRUE,(Skills!L14/10)*(E3201/1000),Skills!L14/10)+Skills!O14</f>
        <v/>
      </c>
      <c r="G3201">
        <f>Skills!G14*IF(Skills!H14&gt;0,Skills!I14/Skills!H14,1)</f>
        <v/>
      </c>
      <c r="H3201">
        <f>1-(1-Skills!J14/100)^Skills!K14</f>
        <v/>
      </c>
      <c r="I3201" t="inlineStr">
        <is>
          <t>1</t>
        </is>
      </c>
      <c r="J3201" t="inlineStr"/>
      <c r="K3201" t="inlineStr"/>
      <c r="L3201" t="inlineStr"/>
      <c r="M3201" t="inlineStr"/>
      <c r="N3201" t="inlineStr"/>
      <c r="O3201">
        <f>(1-Summary!$B$11)*T3201+Summary!$B$11*V3201</f>
        <v/>
      </c>
      <c r="P3201">
        <f>IF(B3231=0,0,O3201/B3231)</f>
        <v/>
      </c>
      <c r="Q3201" t="n">
        <v>0</v>
      </c>
      <c r="R3201" t="n">
        <v>0</v>
      </c>
      <c r="S3201">
        <f>IFERROR(O3201/N3201,0)</f>
        <v/>
      </c>
      <c r="T3201" t="n">
        <v>0</v>
      </c>
      <c r="V3201" t="n">
        <v>0</v>
      </c>
    </row>
    <row r="3202">
      <c r="A3202">
        <f>Skills!A15</f>
        <v/>
      </c>
      <c r="B3202">
        <f>Skills!B15</f>
        <v/>
      </c>
      <c r="C3202">
        <f>Inputs!$B$3&gt;=74</f>
        <v/>
      </c>
      <c r="D3202">
        <f>IF(Skills!C15=1,60+Inputs!$B$25+Inputs!$B$29,IF(Skills!C15=2,90+Inputs!$B$26+Inputs!$B$29,IF(Skills!C15=3,120+Inputs!$B$27+Inputs!$B$29,MAX(0,(Inputs!$B$3-100)*3)+Inputs!$B$28+Inputs!$B$29)))</f>
        <v/>
      </c>
      <c r="E3202">
        <f>INDEX(FactorTable!$B$2:$Y$301, MATCH(ROUND(MIN(300,MAX(1,D3202)),0), FactorTable!$A$2:$A$301,0), Skills!M15+1)</f>
        <v/>
      </c>
      <c r="F3202">
        <f>IF(Skills!N15=TRUE,(Skills!L15/10)*(E3202/1000),Skills!L15/10)+Skills!O15</f>
        <v/>
      </c>
      <c r="G3202">
        <f>Skills!G15*IF(Skills!H15&gt;0,Skills!I15/Skills!H15,1)</f>
        <v/>
      </c>
      <c r="H3202">
        <f>1-(1-Skills!J15/100)^Skills!K15</f>
        <v/>
      </c>
      <c r="I3202" t="inlineStr">
        <is>
          <t>1</t>
        </is>
      </c>
      <c r="J3202" t="inlineStr"/>
      <c r="K3202" t="inlineStr"/>
      <c r="L3202" t="inlineStr"/>
      <c r="M3202" t="inlineStr"/>
      <c r="N3202" t="inlineStr"/>
      <c r="O3202">
        <f>(1-Summary!$B$11)*T3202+Summary!$B$11*V3202</f>
        <v/>
      </c>
      <c r="P3202">
        <f>IF(B3231=0,0,O3202/B3231)</f>
        <v/>
      </c>
      <c r="Q3202" t="n">
        <v>0</v>
      </c>
      <c r="R3202" t="n">
        <v>0</v>
      </c>
      <c r="S3202">
        <f>IFERROR(O3202/N3202,0)</f>
        <v/>
      </c>
      <c r="T3202" t="n">
        <v>0</v>
      </c>
      <c r="V3202" t="n">
        <v>0</v>
      </c>
    </row>
    <row r="3203">
      <c r="A3203">
        <f>Skills!A16</f>
        <v/>
      </c>
      <c r="B3203">
        <f>Skills!B16</f>
        <v/>
      </c>
      <c r="C3203">
        <f>Inputs!$B$3&gt;=117</f>
        <v/>
      </c>
      <c r="D3203">
        <f>IF(Skills!C16=1,60+Inputs!$B$25+Inputs!$B$29,IF(Skills!C16=2,90+Inputs!$B$26+Inputs!$B$29,IF(Skills!C16=3,120+Inputs!$B$27+Inputs!$B$29,MAX(0,(Inputs!$B$3-100)*3)+Inputs!$B$28+Inputs!$B$29)))</f>
        <v/>
      </c>
      <c r="E3203">
        <f>INDEX(FactorTable!$B$2:$Y$301, MATCH(ROUND(MIN(300,MAX(1,D3203)),0), FactorTable!$A$2:$A$301,0), Skills!M16+1)</f>
        <v/>
      </c>
      <c r="F3203">
        <f>IF(Skills!N16=TRUE,(Skills!L16/10)*(E3203/1000),Skills!L16/10)+Skills!O16</f>
        <v/>
      </c>
      <c r="G3203">
        <f>Skills!G16*IF(Skills!H16&gt;0,Skills!I16/Skills!H16,1)</f>
        <v/>
      </c>
      <c r="H3203">
        <f>1-(1-Skills!J16/100)^Skills!K16</f>
        <v/>
      </c>
      <c r="I3203" t="inlineStr">
        <is>
          <t>1</t>
        </is>
      </c>
      <c r="J3203" t="inlineStr"/>
      <c r="K3203" t="inlineStr"/>
      <c r="L3203" t="inlineStr"/>
      <c r="M3203" t="inlineStr"/>
      <c r="N3203" t="inlineStr"/>
      <c r="O3203">
        <f>(1-Summary!$B$11)*T3203+Summary!$B$11*V3203</f>
        <v/>
      </c>
      <c r="P3203">
        <f>IF(B3231=0,0,O3203/B3231)</f>
        <v/>
      </c>
      <c r="Q3203">
        <f>IFERROR(1/(IF(Inputs!$B$38="pvp",15,MAX(0.1,Skills!D16-IF(Skills!E16=TRUE,2.5,0)))*(1-IF(AND(ArtifactsInput!$M$27,Inputs!$B$4="Chapter Hunt"),CHOOSE(ArtifactsInput!$N$27+1,20,24,28,32,36,40),0)/100)),0)</f>
        <v/>
      </c>
      <c r="R3203">
        <f>IF(AND(Inputs!$B$38&lt;&gt;"pvp",Inputs!$B$43&gt;0),IF(Inputs!$B$43&lt;=0,0,(INT(Inputs!$B$43/(IF(Inputs!$B$38="pvp",15,MAX(0.1,Skills!D16-IF(Skills!E16=TRUE,2.5,0)))*(1-IF(AND(ArtifactsInput!$M$27,Inputs!$B$4="Chapter Hunt"),CHOOSE(ArtifactsInput!$N$27+1,20,24,28,32,36,40),0)/100)))+1)),0)</f>
        <v/>
      </c>
      <c r="S3203">
        <f>IFERROR(O3203/N3203,0)</f>
        <v/>
      </c>
      <c r="T3203" t="n">
        <v>0</v>
      </c>
      <c r="V3203" t="n">
        <v>0</v>
      </c>
    </row>
    <row r="3204">
      <c r="A3204">
        <f>Skills!A17</f>
        <v/>
      </c>
      <c r="B3204">
        <f>Skills!B17</f>
        <v/>
      </c>
      <c r="C3204">
        <f>Inputs!$B$3&gt;=115</f>
        <v/>
      </c>
      <c r="D3204">
        <f>IF(Skills!C17=1,60+Inputs!$B$25+Inputs!$B$29,IF(Skills!C17=2,90+Inputs!$B$26+Inputs!$B$29,IF(Skills!C17=3,120+Inputs!$B$27+Inputs!$B$29,MAX(0,(Inputs!$B$3-100)*3)+Inputs!$B$28+Inputs!$B$29)))</f>
        <v/>
      </c>
      <c r="E3204">
        <f>INDEX(FactorTable!$B$2:$Y$301, MATCH(ROUND(MIN(300,MAX(1,D3204)),0), FactorTable!$A$2:$A$301,0), Skills!M17+1)</f>
        <v/>
      </c>
      <c r="F3204">
        <f>IF(Skills!N17=TRUE,(Skills!L17/10)*(E3204/1000),Skills!L17/10)+Skills!O17</f>
        <v/>
      </c>
      <c r="G3204">
        <f>Skills!G17*IF(Skills!H17&gt;0,Skills!I17/Skills!H17,1)</f>
        <v/>
      </c>
      <c r="H3204">
        <f>1-(1-Skills!J17/100)^Skills!K17</f>
        <v/>
      </c>
      <c r="I3204" t="inlineStr">
        <is>
          <t>1</t>
        </is>
      </c>
      <c r="J3204" t="inlineStr"/>
      <c r="K3204" t="inlineStr"/>
      <c r="L3204" t="inlineStr"/>
      <c r="M3204" t="inlineStr"/>
      <c r="N3204" t="inlineStr"/>
      <c r="O3204">
        <f>(1-Summary!$B$11)*T3204+Summary!$B$11*V3204</f>
        <v/>
      </c>
      <c r="P3204">
        <f>IF(B3231=0,0,O3204/B3231)</f>
        <v/>
      </c>
      <c r="Q3204">
        <f>IFERROR(1/(IF(Inputs!$B$38="pvp",15,MAX(0.1,Skills!D17-IF(Skills!E17=TRUE,2.5,0)))*(1-IF(AND(ArtifactsInput!$M$27,Inputs!$B$4="Chapter Hunt"),CHOOSE(ArtifactsInput!$N$27+1,20,24,28,32,36,40),0)/100)),0)</f>
        <v/>
      </c>
      <c r="R3204">
        <f>IF(AND(Inputs!$B$38&lt;&gt;"pvp",Inputs!$B$43&gt;0),IF(Inputs!$B$43&lt;=0,0,(INT(Inputs!$B$43/(IF(Inputs!$B$38="pvp",15,MAX(0.1,Skills!D17-IF(Skills!E17=TRUE,2.5,0)))*(1-IF(AND(ArtifactsInput!$M$27,Inputs!$B$4="Chapter Hunt"),CHOOSE(ArtifactsInput!$N$27+1,20,24,28,32,36,40),0)/100)))+1)),0)</f>
        <v/>
      </c>
      <c r="S3204">
        <f>IFERROR(O3204/N3204,0)</f>
        <v/>
      </c>
      <c r="T3204" t="n">
        <v>0</v>
      </c>
      <c r="V3204" t="n">
        <v>0</v>
      </c>
    </row>
    <row r="3205">
      <c r="A3205">
        <f>Skills!A18</f>
        <v/>
      </c>
      <c r="B3205">
        <f>Skills!B18</f>
        <v/>
      </c>
      <c r="C3205">
        <f>Inputs!$B$3&gt;=66</f>
        <v/>
      </c>
      <c r="D3205">
        <f>IF(Skills!C18=1,60+Inputs!$B$25+Inputs!$B$29,IF(Skills!C18=2,90+Inputs!$B$26+Inputs!$B$29,IF(Skills!C18=3,120+Inputs!$B$27+Inputs!$B$29,MAX(0,(Inputs!$B$3-100)*3)+Inputs!$B$28+Inputs!$B$29)))</f>
        <v/>
      </c>
      <c r="E3205">
        <f>INDEX(FactorTable!$B$2:$Y$301, MATCH(ROUND(MIN(300,MAX(1,D3205)),0), FactorTable!$A$2:$A$301,0), Skills!M18+1)</f>
        <v/>
      </c>
      <c r="F3205">
        <f>IF(Skills!N18=TRUE,(Skills!L18/10)*(E3205/1000),Skills!L18/10)+Skills!O18</f>
        <v/>
      </c>
      <c r="G3205">
        <f>Skills!G18*IF(Skills!H18&gt;0,Skills!I18/Skills!H18,1)</f>
        <v/>
      </c>
      <c r="H3205">
        <f>1-(1-Skills!J18/100)^Skills!K18</f>
        <v/>
      </c>
      <c r="I3205" t="inlineStr">
        <is>
          <t>1</t>
        </is>
      </c>
      <c r="J3205" t="inlineStr"/>
      <c r="K3205" t="inlineStr"/>
      <c r="L3205" t="inlineStr"/>
      <c r="M3205" t="inlineStr"/>
      <c r="N3205" t="inlineStr"/>
      <c r="O3205">
        <f>(1-Summary!$B$11)*T3205+Summary!$B$11*V3205</f>
        <v/>
      </c>
      <c r="P3205">
        <f>IF(B3231=0,0,O3205/B3231)</f>
        <v/>
      </c>
      <c r="Q3205" t="n">
        <v>0</v>
      </c>
      <c r="R3205" t="n">
        <v>0</v>
      </c>
      <c r="S3205">
        <f>IFERROR(O3205/N3205,0)</f>
        <v/>
      </c>
      <c r="T3205" t="n">
        <v>0</v>
      </c>
      <c r="V3205" t="n">
        <v>0</v>
      </c>
    </row>
    <row r="3206">
      <c r="A3206">
        <f>Skills!A19</f>
        <v/>
      </c>
      <c r="B3206">
        <f>Skills!B19</f>
        <v/>
      </c>
      <c r="C3206">
        <f>Inputs!$B$3&gt;=72</f>
        <v/>
      </c>
      <c r="D3206">
        <f>IF(Skills!C19=1,60+Inputs!$B$25+Inputs!$B$29,IF(Skills!C19=2,90+Inputs!$B$26+Inputs!$B$29,IF(Skills!C19=3,120+Inputs!$B$27+Inputs!$B$29,MAX(0,(Inputs!$B$3-100)*3)+Inputs!$B$28+Inputs!$B$29)))</f>
        <v/>
      </c>
      <c r="E3206">
        <f>INDEX(FactorTable!$B$2:$Y$301, MATCH(ROUND(MIN(300,MAX(1,D3206)),0), FactorTable!$A$2:$A$301,0), Skills!M19+1)</f>
        <v/>
      </c>
      <c r="F3206">
        <f>IF(Skills!N19=TRUE,(Skills!L19/10)*(E3206/1000),Skills!L19/10)+Skills!O19</f>
        <v/>
      </c>
      <c r="G3206">
        <f>Skills!G19*IF(Skills!H19&gt;0,Skills!I19/Skills!H19,1)</f>
        <v/>
      </c>
      <c r="H3206">
        <f>1-(1-Skills!J19/100)^Skills!K19</f>
        <v/>
      </c>
      <c r="I3206" t="inlineStr">
        <is>
          <t>1</t>
        </is>
      </c>
      <c r="J3206" t="inlineStr"/>
      <c r="K3206" t="inlineStr"/>
      <c r="L3206" t="inlineStr"/>
      <c r="M3206" t="inlineStr"/>
      <c r="N3206" t="inlineStr"/>
      <c r="O3206">
        <f>(1-Summary!$B$11)*T3206+Summary!$B$11*V3206</f>
        <v/>
      </c>
      <c r="P3206">
        <f>IF(B3231=0,0,O3206/B3231)</f>
        <v/>
      </c>
      <c r="Q3206" t="n">
        <v>0</v>
      </c>
      <c r="R3206" t="n">
        <v>0</v>
      </c>
      <c r="S3206">
        <f>IFERROR(O3206/N3206,0)</f>
        <v/>
      </c>
      <c r="T3206" t="n">
        <v>0</v>
      </c>
      <c r="V3206" t="n">
        <v>0</v>
      </c>
    </row>
    <row r="3207">
      <c r="A3207">
        <f>Skills!A20</f>
        <v/>
      </c>
      <c r="B3207">
        <f>Skills!B20</f>
        <v/>
      </c>
      <c r="C3207">
        <f>TRUE</f>
        <v/>
      </c>
      <c r="D3207">
        <f>IF(Skills!C20=1,60+Inputs!$B$25+Inputs!$B$29,IF(Skills!C20=2,90+Inputs!$B$26+Inputs!$B$29,IF(Skills!C20=3,120+Inputs!$B$27+Inputs!$B$29,MAX(0,(Inputs!$B$3-100)*3)+Inputs!$B$28+Inputs!$B$29)))</f>
        <v/>
      </c>
      <c r="E3207">
        <f>INDEX(FactorTable!$B$2:$Y$301, MATCH(ROUND(MIN(300,MAX(1,D3207)),0), FactorTable!$A$2:$A$301,0), Skills!M20+1)</f>
        <v/>
      </c>
      <c r="F3207">
        <f>IF(Skills!N20=TRUE,(Skills!L20/10)*(E3207/1000),Skills!L20/10)+Skills!O20</f>
        <v/>
      </c>
      <c r="G3207">
        <f>Skills!G20*IF(Skills!H20&gt;0,Skills!I20/Skills!H20,1)</f>
        <v/>
      </c>
      <c r="H3207">
        <f>1-(1-Skills!J20/100)^Skills!K20</f>
        <v/>
      </c>
      <c r="I3207" t="inlineStr">
        <is>
          <t>1</t>
        </is>
      </c>
      <c r="J3207" t="inlineStr"/>
      <c r="K3207" t="inlineStr"/>
      <c r="L3207" t="inlineStr"/>
      <c r="M3207" t="inlineStr"/>
      <c r="N3207" t="inlineStr"/>
      <c r="O3207">
        <f>(1-Summary!$B$11)*T3207+Summary!$B$11*V3207</f>
        <v/>
      </c>
      <c r="P3207">
        <f>IF(B3231=0,0,O3207/B3231)</f>
        <v/>
      </c>
      <c r="Q3207">
        <f>IFERROR(1/(IF(Inputs!$B$38="pvp",15,MAX(0.1,Skills!D20-IF(Skills!E20=TRUE,2.5,0)))*(1-IF(AND(ArtifactsInput!$M$27,Inputs!$B$4="Chapter Hunt"),CHOOSE(ArtifactsInput!$N$27+1,20,24,28,32,36,40),0)/100)),0)</f>
        <v/>
      </c>
      <c r="R3207">
        <f>IF(AND(Inputs!$B$38&lt;&gt;"pvp",Inputs!$B$43&gt;0),IF(Inputs!$B$43&lt;=0,0,(INT(Inputs!$B$43/(IF(Inputs!$B$38="pvp",15,MAX(0.1,Skills!D20-IF(Skills!E20=TRUE,2.5,0)))*(1-IF(AND(ArtifactsInput!$M$27,Inputs!$B$4="Chapter Hunt"),CHOOSE(ArtifactsInput!$N$27+1,20,24,28,32,36,40),0)/100)))+1)),0)</f>
        <v/>
      </c>
      <c r="S3207">
        <f>IFERROR(O3207/N3207,0)</f>
        <v/>
      </c>
      <c r="T3207" t="n">
        <v>0</v>
      </c>
      <c r="V3207" t="n">
        <v>0</v>
      </c>
    </row>
    <row r="3208">
      <c r="A3208">
        <f>Skills!A21</f>
        <v/>
      </c>
      <c r="B3208">
        <f>Skills!B21</f>
        <v/>
      </c>
      <c r="C3208">
        <f>Inputs!$B$3&gt;=15</f>
        <v/>
      </c>
      <c r="D3208">
        <f>IF(Skills!C21=1,60+Inputs!$B$25+Inputs!$B$29,IF(Skills!C21=2,90+Inputs!$B$26+Inputs!$B$29,IF(Skills!C21=3,120+Inputs!$B$27+Inputs!$B$29,MAX(0,(Inputs!$B$3-100)*3)+Inputs!$B$28+Inputs!$B$29)))</f>
        <v/>
      </c>
      <c r="E3208">
        <f>INDEX(FactorTable!$B$2:$Y$301, MATCH(ROUND(MIN(300,MAX(1,D3208)),0), FactorTable!$A$2:$A$301,0), Skills!M21+1)</f>
        <v/>
      </c>
      <c r="F3208">
        <f>IF(Skills!N21=TRUE,(Skills!L21/10)*(E3208/1000),Skills!L21/10)+Skills!O21</f>
        <v/>
      </c>
      <c r="G3208">
        <f>Skills!G21*IF(Skills!H21&gt;0,Skills!I21/Skills!H21,1)</f>
        <v/>
      </c>
      <c r="H3208">
        <f>1-(1-Skills!J21/100)^Skills!K21</f>
        <v/>
      </c>
      <c r="I3208" t="inlineStr">
        <is>
          <t>1</t>
        </is>
      </c>
      <c r="J3208" t="inlineStr"/>
      <c r="K3208" t="inlineStr"/>
      <c r="L3208" t="inlineStr"/>
      <c r="M3208" t="inlineStr"/>
      <c r="N3208" t="inlineStr"/>
      <c r="O3208">
        <f>(1-Summary!$B$11)*T3208+Summary!$B$11*V3208</f>
        <v/>
      </c>
      <c r="P3208">
        <f>IF(B3231=0,0,O3208/B3231)</f>
        <v/>
      </c>
      <c r="Q3208" t="n">
        <v>0</v>
      </c>
      <c r="R3208" t="n">
        <v>0</v>
      </c>
      <c r="S3208">
        <f>IFERROR(O3208/N3208,0)</f>
        <v/>
      </c>
      <c r="T3208" t="n">
        <v>0</v>
      </c>
      <c r="V3208" t="n">
        <v>0</v>
      </c>
    </row>
    <row r="3209">
      <c r="A3209">
        <f>Skills!A22</f>
        <v/>
      </c>
      <c r="B3209">
        <f>Skills!B22</f>
        <v/>
      </c>
      <c r="C3209">
        <f>Inputs!$B$3&gt;=10</f>
        <v/>
      </c>
      <c r="D3209">
        <f>IF(Skills!C22=1,60+Inputs!$B$25+Inputs!$B$29,IF(Skills!C22=2,90+Inputs!$B$26+Inputs!$B$29,IF(Skills!C22=3,120+Inputs!$B$27+Inputs!$B$29,MAX(0,(Inputs!$B$3-100)*3)+Inputs!$B$28+Inputs!$B$29)))</f>
        <v/>
      </c>
      <c r="E3209">
        <f>INDEX(FactorTable!$B$2:$Y$301, MATCH(ROUND(MIN(300,MAX(1,D3209)),0), FactorTable!$A$2:$A$301,0), Skills!M22+1)</f>
        <v/>
      </c>
      <c r="F3209">
        <f>IF(Skills!N22=TRUE,(Skills!L22/10)*(E3209/1000),Skills!L22/10)+Skills!O22</f>
        <v/>
      </c>
      <c r="G3209">
        <f>Skills!G22*IF(Skills!H22&gt;0,Skills!I22/Skills!H22,1)</f>
        <v/>
      </c>
      <c r="H3209">
        <f>1-(1-Skills!J22/100)^Skills!K22</f>
        <v/>
      </c>
      <c r="I3209" t="inlineStr">
        <is>
          <t>1</t>
        </is>
      </c>
      <c r="J3209" t="inlineStr"/>
      <c r="K3209" t="inlineStr"/>
      <c r="L3209" t="inlineStr"/>
      <c r="M3209" t="inlineStr"/>
      <c r="N3209" t="inlineStr"/>
      <c r="O3209">
        <f>(1-Summary!$B$11)*T3209+Summary!$B$11*V3209</f>
        <v/>
      </c>
      <c r="P3209">
        <f>IF(B3231=0,0,O3209/B3231)</f>
        <v/>
      </c>
      <c r="Q3209" t="n">
        <v>0</v>
      </c>
      <c r="R3209" t="n">
        <v>0</v>
      </c>
      <c r="S3209">
        <f>IFERROR(O3209/N3209,0)</f>
        <v/>
      </c>
      <c r="T3209" t="n">
        <v>0</v>
      </c>
      <c r="V3209" t="n">
        <v>0</v>
      </c>
    </row>
    <row r="3210">
      <c r="A3210">
        <f>Skills!A23</f>
        <v/>
      </c>
      <c r="B3210">
        <f>Skills!B23</f>
        <v/>
      </c>
      <c r="C3210">
        <f>Inputs!$B$3&gt;=33</f>
        <v/>
      </c>
      <c r="D3210">
        <f>IF(Skills!C23=1,60+Inputs!$B$25+Inputs!$B$29,IF(Skills!C23=2,90+Inputs!$B$26+Inputs!$B$29,IF(Skills!C23=3,120+Inputs!$B$27+Inputs!$B$29,MAX(0,(Inputs!$B$3-100)*3)+Inputs!$B$28+Inputs!$B$29)))</f>
        <v/>
      </c>
      <c r="E3210">
        <f>INDEX(FactorTable!$B$2:$Y$301, MATCH(ROUND(MIN(300,MAX(1,D3210)),0), FactorTable!$A$2:$A$301,0), Skills!M23+1)</f>
        <v/>
      </c>
      <c r="F3210">
        <f>IF(Skills!N23=TRUE,(Skills!L23/10)*(E3210/1000),Skills!L23/10)+Skills!O23</f>
        <v/>
      </c>
      <c r="G3210">
        <f>Skills!G23*IF(Skills!H23&gt;0,Skills!I23/Skills!H23,1)</f>
        <v/>
      </c>
      <c r="H3210">
        <f>1-(1-Skills!J23/100)^Skills!K23</f>
        <v/>
      </c>
      <c r="I3210" t="inlineStr">
        <is>
          <t>1</t>
        </is>
      </c>
      <c r="J3210" t="inlineStr"/>
      <c r="K3210" t="inlineStr"/>
      <c r="L3210" t="inlineStr"/>
      <c r="M3210" t="inlineStr"/>
      <c r="N3210" t="inlineStr"/>
      <c r="O3210">
        <f>(1-Summary!$B$11)*T3210+Summary!$B$11*V3210</f>
        <v/>
      </c>
      <c r="P3210">
        <f>IF(B3231=0,0,O3210/B3231)</f>
        <v/>
      </c>
      <c r="Q3210" t="n">
        <v>0</v>
      </c>
      <c r="R3210" t="n">
        <v>0</v>
      </c>
      <c r="S3210">
        <f>IFERROR(O3210/N3210,0)</f>
        <v/>
      </c>
      <c r="T3210" t="n">
        <v>0</v>
      </c>
      <c r="V3210" t="n">
        <v>0</v>
      </c>
    </row>
    <row r="3211">
      <c r="A3211">
        <f>Skills!A24</f>
        <v/>
      </c>
      <c r="B3211">
        <f>Skills!B24</f>
        <v/>
      </c>
      <c r="C3211">
        <f>Inputs!$B$3&gt;=38</f>
        <v/>
      </c>
      <c r="D3211">
        <f>IF(Skills!C24=1,60+Inputs!$B$25+Inputs!$B$29,IF(Skills!C24=2,90+Inputs!$B$26+Inputs!$B$29,IF(Skills!C24=3,120+Inputs!$B$27+Inputs!$B$29,MAX(0,(Inputs!$B$3-100)*3)+Inputs!$B$28+Inputs!$B$29)))</f>
        <v/>
      </c>
      <c r="E3211">
        <f>INDEX(FactorTable!$B$2:$Y$301, MATCH(ROUND(MIN(300,MAX(1,D3211)),0), FactorTable!$A$2:$A$301,0), Skills!M24+1)</f>
        <v/>
      </c>
      <c r="F3211">
        <f>IF(Skills!N24=TRUE,(Skills!L24/10)*(E3211/1000),Skills!L24/10)+Skills!O24</f>
        <v/>
      </c>
      <c r="G3211">
        <f>Skills!G24*IF(Skills!H24&gt;0,Skills!I24/Skills!H24,1)</f>
        <v/>
      </c>
      <c r="H3211">
        <f>1-(1-Skills!J24/100)^Skills!K24</f>
        <v/>
      </c>
      <c r="I3211" t="inlineStr">
        <is>
          <t>1</t>
        </is>
      </c>
      <c r="J3211" t="inlineStr"/>
      <c r="K3211" t="inlineStr"/>
      <c r="L3211" t="inlineStr"/>
      <c r="M3211" t="inlineStr"/>
      <c r="N3211" t="inlineStr"/>
      <c r="O3211">
        <f>(1-Summary!$B$11)*T3211+Summary!$B$11*V3211</f>
        <v/>
      </c>
      <c r="P3211">
        <f>IF(B3231=0,0,O3211/B3231)</f>
        <v/>
      </c>
      <c r="Q3211" t="n">
        <v>0</v>
      </c>
      <c r="R3211" t="n">
        <v>0</v>
      </c>
      <c r="S3211">
        <f>IFERROR(O3211/N3211,0)</f>
        <v/>
      </c>
      <c r="T3211" t="n">
        <v>0</v>
      </c>
      <c r="V3211" t="n">
        <v>0</v>
      </c>
    </row>
    <row r="3212">
      <c r="A3212">
        <f>Skills!A25</f>
        <v/>
      </c>
      <c r="B3212">
        <f>Skills!B25</f>
        <v/>
      </c>
      <c r="C3212">
        <f>Inputs!$B$3&gt;=43</f>
        <v/>
      </c>
      <c r="D3212">
        <f>IF(Skills!C25=1,60+Inputs!$B$25+Inputs!$B$29,IF(Skills!C25=2,90+Inputs!$B$26+Inputs!$B$29,IF(Skills!C25=3,120+Inputs!$B$27+Inputs!$B$29,MAX(0,(Inputs!$B$3-100)*3)+Inputs!$B$28+Inputs!$B$29)))</f>
        <v/>
      </c>
      <c r="E3212">
        <f>INDEX(FactorTable!$B$2:$Y$301, MATCH(ROUND(MIN(300,MAX(1,D3212)),0), FactorTable!$A$2:$A$301,0), Skills!M25+1)</f>
        <v/>
      </c>
      <c r="F3212">
        <f>IF(Skills!N25=TRUE,(Skills!L25/10)*(E3212/1000),Skills!L25/10)+Skills!O25</f>
        <v/>
      </c>
      <c r="G3212">
        <f>Skills!G25*IF(Skills!H25&gt;0,Skills!I25/Skills!H25,1)</f>
        <v/>
      </c>
      <c r="H3212">
        <f>1-(1-Skills!J25/100)^Skills!K25</f>
        <v/>
      </c>
      <c r="I3212" t="inlineStr">
        <is>
          <t>1</t>
        </is>
      </c>
      <c r="J3212" t="inlineStr"/>
      <c r="K3212" t="inlineStr"/>
      <c r="L3212" t="inlineStr"/>
      <c r="M3212" t="inlineStr"/>
      <c r="N3212" t="inlineStr"/>
      <c r="O3212">
        <f>(1-Summary!$B$11)*T3212+Summary!$B$11*V3212</f>
        <v/>
      </c>
      <c r="P3212">
        <f>IF(B3231=0,0,O3212/B3231)</f>
        <v/>
      </c>
      <c r="Q3212" t="n">
        <v>0</v>
      </c>
      <c r="R3212" t="n">
        <v>0</v>
      </c>
      <c r="S3212">
        <f>IFERROR(O3212/N3212,0)</f>
        <v/>
      </c>
      <c r="T3212" t="n">
        <v>0</v>
      </c>
      <c r="V3212" t="n">
        <v>0</v>
      </c>
    </row>
    <row r="3213">
      <c r="A3213">
        <f>Skills!A26</f>
        <v/>
      </c>
      <c r="B3213">
        <f>Skills!B26</f>
        <v/>
      </c>
      <c r="C3213">
        <f>Inputs!$B$3&gt;=75</f>
        <v/>
      </c>
      <c r="D3213">
        <f>IF(Skills!C26=1,60+Inputs!$B$25+Inputs!$B$29,IF(Skills!C26=2,90+Inputs!$B$26+Inputs!$B$29,IF(Skills!C26=3,120+Inputs!$B$27+Inputs!$B$29,MAX(0,(Inputs!$B$3-100)*3)+Inputs!$B$28+Inputs!$B$29)))</f>
        <v/>
      </c>
      <c r="E3213">
        <f>INDEX(FactorTable!$B$2:$Y$301, MATCH(ROUND(MIN(300,MAX(1,D3213)),0), FactorTable!$A$2:$A$301,0), Skills!M26+1)</f>
        <v/>
      </c>
      <c r="F3213">
        <f>IF(Skills!N26=TRUE,(Skills!L26/10)*(E3213/1000),Skills!L26/10)+Skills!O26</f>
        <v/>
      </c>
      <c r="G3213">
        <f>Skills!G26*IF(Skills!H26&gt;0,Skills!I26/Skills!H26,1)</f>
        <v/>
      </c>
      <c r="H3213">
        <f>1-(1-Skills!J26/100)^Skills!K26</f>
        <v/>
      </c>
      <c r="I3213" t="inlineStr">
        <is>
          <t>1</t>
        </is>
      </c>
      <c r="J3213" t="inlineStr"/>
      <c r="K3213" t="inlineStr"/>
      <c r="L3213" t="inlineStr"/>
      <c r="M3213" t="inlineStr"/>
      <c r="N3213" t="inlineStr"/>
      <c r="O3213">
        <f>(1-Summary!$B$11)*T3213+Summary!$B$11*V3213</f>
        <v/>
      </c>
      <c r="P3213">
        <f>IF(B3231=0,0,O3213/B3231)</f>
        <v/>
      </c>
      <c r="Q3213" t="n">
        <v>0</v>
      </c>
      <c r="R3213" t="n">
        <v>0</v>
      </c>
      <c r="S3213">
        <f>IFERROR(O3213/N3213,0)</f>
        <v/>
      </c>
      <c r="T3213" t="n">
        <v>0</v>
      </c>
      <c r="V3213" t="n">
        <v>0</v>
      </c>
    </row>
    <row r="3214">
      <c r="A3214">
        <f>Skills!A27</f>
        <v/>
      </c>
      <c r="B3214">
        <f>Skills!B27</f>
        <v/>
      </c>
      <c r="C3214">
        <f>Inputs!$B$3&gt;=125</f>
        <v/>
      </c>
      <c r="D3214">
        <f>IF(Skills!C27=1,60+Inputs!$B$25+Inputs!$B$29,IF(Skills!C27=2,90+Inputs!$B$26+Inputs!$B$29,IF(Skills!C27=3,120+Inputs!$B$27+Inputs!$B$29,MAX(0,(Inputs!$B$3-100)*3)+Inputs!$B$28+Inputs!$B$29)))</f>
        <v/>
      </c>
      <c r="E3214">
        <f>INDEX(FactorTable!$B$2:$Y$301, MATCH(ROUND(MIN(300,MAX(1,D3214)),0), FactorTable!$A$2:$A$301,0), Skills!M27+1)</f>
        <v/>
      </c>
      <c r="F3214">
        <f>IF(Skills!N27=TRUE,(Skills!L27/10)*(E3214/1000),Skills!L27/10)+Skills!O27</f>
        <v/>
      </c>
      <c r="G3214">
        <f>Skills!G27*IF(Skills!H27&gt;0,Skills!I27/Skills!H27,1)</f>
        <v/>
      </c>
      <c r="H3214">
        <f>1-(1-Skills!J27/100)^Skills!K27</f>
        <v/>
      </c>
      <c r="I3214" t="inlineStr">
        <is>
          <t>1</t>
        </is>
      </c>
      <c r="J3214" t="inlineStr"/>
      <c r="K3214" t="inlineStr"/>
      <c r="L3214" t="inlineStr"/>
      <c r="M3214" t="inlineStr"/>
      <c r="N3214" t="inlineStr"/>
      <c r="O3214">
        <f>(1-Summary!$B$11)*T3214+Summary!$B$11*V3214</f>
        <v/>
      </c>
      <c r="P3214">
        <f>IF(B3231=0,0,O3214/B3231)</f>
        <v/>
      </c>
      <c r="Q3214" t="n">
        <v>0</v>
      </c>
      <c r="R3214" t="n">
        <v>0</v>
      </c>
      <c r="S3214">
        <f>IFERROR(O3214/N3214,0)</f>
        <v/>
      </c>
      <c r="T3214" t="n">
        <v>0</v>
      </c>
      <c r="V3214" t="n">
        <v>0</v>
      </c>
    </row>
    <row r="3215">
      <c r="A3215">
        <f>Skills!A28</f>
        <v/>
      </c>
      <c r="B3215">
        <f>Skills!B28</f>
        <v/>
      </c>
      <c r="C3215">
        <f>Inputs!$B$3&gt;=125</f>
        <v/>
      </c>
      <c r="D3215">
        <f>IF(Skills!C28=1,60+Inputs!$B$25+Inputs!$B$29,IF(Skills!C28=2,90+Inputs!$B$26+Inputs!$B$29,IF(Skills!C28=3,120+Inputs!$B$27+Inputs!$B$29,MAX(0,(Inputs!$B$3-100)*3)+Inputs!$B$28+Inputs!$B$29)))</f>
        <v/>
      </c>
      <c r="E3215">
        <f>INDEX(FactorTable!$B$2:$Y$301, MATCH(ROUND(MIN(300,MAX(1,D3215)),0), FactorTable!$A$2:$A$301,0), Skills!M28+1)</f>
        <v/>
      </c>
      <c r="F3215">
        <f>IF(Skills!N28=TRUE,(Skills!L28/10)*(E3215/1000),Skills!L28/10)+Skills!O28</f>
        <v/>
      </c>
      <c r="G3215">
        <f>Skills!G28*IF(Skills!H28&gt;0,Skills!I28/Skills!H28,1)</f>
        <v/>
      </c>
      <c r="H3215">
        <f>1-(1-Skills!J28/100)^Skills!K28</f>
        <v/>
      </c>
      <c r="I3215" t="inlineStr">
        <is>
          <t>1</t>
        </is>
      </c>
      <c r="J3215" t="inlineStr"/>
      <c r="K3215" t="inlineStr"/>
      <c r="L3215" t="inlineStr"/>
      <c r="M3215" t="inlineStr"/>
      <c r="N3215" t="inlineStr"/>
      <c r="O3215">
        <f>(1-Summary!$B$11)*T3215+Summary!$B$11*V3215</f>
        <v/>
      </c>
      <c r="P3215">
        <f>IF(B3231=0,0,O3215/B3231)</f>
        <v/>
      </c>
      <c r="Q3215" t="n">
        <v>0</v>
      </c>
      <c r="R3215" t="n">
        <v>0</v>
      </c>
      <c r="S3215">
        <f>IFERROR(O3215/N3215,0)</f>
        <v/>
      </c>
      <c r="T3215" t="n">
        <v>0</v>
      </c>
      <c r="V3215" t="n">
        <v>0</v>
      </c>
    </row>
    <row r="3216">
      <c r="A3216">
        <f>Skills!A29</f>
        <v/>
      </c>
      <c r="B3216">
        <f>Skills!B29</f>
        <v/>
      </c>
      <c r="C3216">
        <f>Inputs!$B$3&gt;=120</f>
        <v/>
      </c>
      <c r="D3216">
        <f>IF(Skills!C29=1,60+Inputs!$B$25+Inputs!$B$29,IF(Skills!C29=2,90+Inputs!$B$26+Inputs!$B$29,IF(Skills!C29=3,120+Inputs!$B$27+Inputs!$B$29,MAX(0,(Inputs!$B$3-100)*3)+Inputs!$B$28+Inputs!$B$29)))</f>
        <v/>
      </c>
      <c r="E3216">
        <f>INDEX(FactorTable!$B$2:$Y$301, MATCH(ROUND(MIN(300,MAX(1,D3216)),0), FactorTable!$A$2:$A$301,0), Skills!M29+1)</f>
        <v/>
      </c>
      <c r="F3216">
        <f>IF(Skills!N29=TRUE,(Skills!L29/10)*(E3216/1000),Skills!L29/10)+Skills!O29</f>
        <v/>
      </c>
      <c r="G3216">
        <f>Skills!G29*IF(Skills!H29&gt;0,Skills!I29/Skills!H29,1)</f>
        <v/>
      </c>
      <c r="H3216">
        <f>1-(1-Skills!J29/100)^Skills!K29</f>
        <v/>
      </c>
      <c r="I3216" t="inlineStr">
        <is>
          <t>1</t>
        </is>
      </c>
      <c r="J3216" t="inlineStr"/>
      <c r="K3216" t="inlineStr"/>
      <c r="L3216" t="inlineStr"/>
      <c r="M3216" t="inlineStr"/>
      <c r="N3216" t="inlineStr"/>
      <c r="O3216">
        <f>(1-Summary!$B$11)*T3216+Summary!$B$11*V3216</f>
        <v/>
      </c>
      <c r="P3216">
        <f>IF(B3231=0,0,O3216/B3231)</f>
        <v/>
      </c>
      <c r="Q3216" t="n">
        <v>0</v>
      </c>
      <c r="R3216" t="n">
        <v>0</v>
      </c>
      <c r="S3216">
        <f>IFERROR(O3216/N3216,0)</f>
        <v/>
      </c>
      <c r="T3216" t="n">
        <v>0</v>
      </c>
      <c r="V3216" t="n">
        <v>0</v>
      </c>
    </row>
    <row r="3217">
      <c r="A3217">
        <f>Skills!A30</f>
        <v/>
      </c>
      <c r="B3217">
        <f>Skills!B30</f>
        <v/>
      </c>
      <c r="C3217">
        <f>Inputs!$B$3&gt;=120</f>
        <v/>
      </c>
      <c r="D3217">
        <f>IF(Skills!C30=1,60+Inputs!$B$25+Inputs!$B$29,IF(Skills!C30=2,90+Inputs!$B$26+Inputs!$B$29,IF(Skills!C30=3,120+Inputs!$B$27+Inputs!$B$29,MAX(0,(Inputs!$B$3-100)*3)+Inputs!$B$28+Inputs!$B$29)))</f>
        <v/>
      </c>
      <c r="E3217">
        <f>INDEX(FactorTable!$B$2:$Y$301, MATCH(ROUND(MIN(300,MAX(1,D3217)),0), FactorTable!$A$2:$A$301,0), Skills!M30+1)</f>
        <v/>
      </c>
      <c r="F3217">
        <f>IF(Skills!N30=TRUE,(Skills!L30/10)*(E3217/1000),Skills!L30/10)+Skills!O30</f>
        <v/>
      </c>
      <c r="G3217">
        <f>Skills!G30*IF(Skills!H30&gt;0,Skills!I30/Skills!H30,1)</f>
        <v/>
      </c>
      <c r="H3217">
        <f>1-(1-Skills!J30/100)^Skills!K30</f>
        <v/>
      </c>
      <c r="I3217" t="inlineStr">
        <is>
          <t>1</t>
        </is>
      </c>
      <c r="J3217" t="inlineStr"/>
      <c r="K3217" t="inlineStr"/>
      <c r="L3217" t="inlineStr"/>
      <c r="M3217" t="inlineStr"/>
      <c r="N3217" t="inlineStr"/>
      <c r="O3217">
        <f>(1-Summary!$B$11)*T3217+Summary!$B$11*V3217</f>
        <v/>
      </c>
      <c r="P3217">
        <f>IF(B3231=0,0,O3217/B3231)</f>
        <v/>
      </c>
      <c r="Q3217" t="n">
        <v>0</v>
      </c>
      <c r="R3217" t="n">
        <v>0</v>
      </c>
      <c r="S3217">
        <f>IFERROR(O3217/N3217,0)</f>
        <v/>
      </c>
      <c r="T3217" t="n">
        <v>0</v>
      </c>
      <c r="V3217" t="n">
        <v>0</v>
      </c>
    </row>
    <row r="3218">
      <c r="A3218">
        <f>Skills!A31</f>
        <v/>
      </c>
      <c r="B3218">
        <f>Skills!B31</f>
        <v/>
      </c>
      <c r="C3218">
        <f>Inputs!$B$3&gt;=45</f>
        <v/>
      </c>
      <c r="D3218">
        <f>IF(Skills!C31=1,60+Inputs!$B$25+Inputs!$B$29,IF(Skills!C31=2,90+Inputs!$B$26+Inputs!$B$29,IF(Skills!C31=3,120+Inputs!$B$27+Inputs!$B$29,MAX(0,(Inputs!$B$3-100)*3)+Inputs!$B$28+Inputs!$B$29)))</f>
        <v/>
      </c>
      <c r="E3218">
        <f>INDEX(FactorTable!$B$2:$Y$301, MATCH(ROUND(MIN(300,MAX(1,D3218)),0), FactorTable!$A$2:$A$301,0), Skills!M31+1)</f>
        <v/>
      </c>
      <c r="F3218">
        <f>IF(Skills!N31=TRUE,(Skills!L31/10)*(E3218/1000),Skills!L31/10)+Skills!O31</f>
        <v/>
      </c>
      <c r="G3218">
        <f>Skills!G31*IF(Skills!H31&gt;0,Skills!I31/Skills!H31,1)</f>
        <v/>
      </c>
      <c r="H3218">
        <f>1-(1-Skills!J31/100)^Skills!K31</f>
        <v/>
      </c>
      <c r="I3218" t="inlineStr">
        <is>
          <t>1</t>
        </is>
      </c>
      <c r="J3218" t="inlineStr"/>
      <c r="K3218" t="inlineStr"/>
      <c r="L3218" t="inlineStr"/>
      <c r="M3218" t="inlineStr"/>
      <c r="N3218" t="inlineStr"/>
      <c r="O3218">
        <f>(1-Summary!$B$11)*T3218+Summary!$B$11*V3218</f>
        <v/>
      </c>
      <c r="P3218">
        <f>IF(B3231=0,0,O3218/B3231)</f>
        <v/>
      </c>
      <c r="Q3218" t="n">
        <v>0</v>
      </c>
      <c r="R3218" t="n">
        <v>0</v>
      </c>
      <c r="S3218">
        <f>IFERROR(O3218/N3218,0)</f>
        <v/>
      </c>
      <c r="T3218" t="n">
        <v>0</v>
      </c>
      <c r="V3218" t="n">
        <v>0</v>
      </c>
    </row>
    <row r="3220">
      <c r="A3220" t="inlineStr">
        <is>
          <t>Attack% Bucket Multiplier</t>
        </is>
      </c>
      <c r="B3220">
        <f>(1+(((C3201=TRUE)*F3201)+((C3202=TRUE)*IF(Inputs!$B$38="pvp",F3202,(1-Summary!$B$11)*(F3202)+Summary!$B$11*(0)))+((C3203=TRUE)*F3203*IF(AND(Inputs!$B$38&lt;&gt;"pvp",Inputs!$B$43&gt;0),(((R3203-1)*(Skills!T16*(1+Inputs!$B$34/100))+MIN((Skills!T16*(1+Inputs!$B$34/100)),MAX(0,Inputs!$B$43-((R3203-1)*Skills!D16))))/Inputs!$B$43),IF(Inputs!$B$38="pvp",MIN((Skills!T16*(1+Inputs!$B$34/100)),15)/15,(Skills!T16*(1+Inputs!$B$34/100))/Skills!D16)))+((C3218=TRUE)*(F3218-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21">
      <c r="A3221" t="inlineStr">
        <is>
          <t>Global Crit Rate Bonus %</t>
        </is>
      </c>
      <c r="B3221">
        <f>(C3204=TRUE)*20*IF(AND(Inputs!$B$38&lt;&gt;"pvp",Inputs!$B$43&gt;0),(((R3204-1)*(Skills!T17*(1+Inputs!$B$34/100))+MIN((Skills!T17*(1+Inputs!$B$34/100)),MAX(0,Inputs!$B$43-((R3204-1)*Skills!D17))))/Inputs!$B$43),IF(Inputs!$B$38="pvp",MIN((Skills!T17*(1+Inputs!$B$34/100)),15)/15,(Skills!T17*(1+Inputs!$B$34/100))/Skills!D17))</f>
        <v/>
      </c>
    </row>
    <row r="3222">
      <c r="A3222" t="inlineStr">
        <is>
          <t>Attack Speed Buff Bonus %</t>
        </is>
      </c>
      <c r="B3222">
        <f>((C3207=TRUE)*F3207*IF(AND(Inputs!$B$38&lt;&gt;"pvp",Inputs!$B$43&gt;0),(((R3207-1)*(Skills!T20*(1+Inputs!$B$34/100))+MIN((Skills!T20*(1+Inputs!$B$34/100)),MAX(0,Inputs!$B$43-((R3207-1)*Skills!D20))))/Inputs!$B$43),IF(Inputs!$B$38="pvp",MIN((Skills!T20*(1+Inputs!$B$34/100)),15)/15,(Skills!T20*(1+Inputs!$B$34/100))/Skills!D20)))</f>
        <v/>
      </c>
    </row>
    <row r="3223">
      <c r="A3223" t="inlineStr">
        <is>
          <t>Actions Per Second</t>
        </is>
      </c>
      <c r="B3223">
        <f>1+MIN(150,150*(1-(1-(Inputs!$B$11+((C3209=TRUE)*(F3209-Calc!F22))+((C3210=TRUE)*(F3210-Calc!F23)))/150)*(1-B3222/150)))/100</f>
        <v/>
      </c>
    </row>
    <row r="3224">
      <c r="A3224" t="inlineStr">
        <is>
          <t>Skill + Buff Cast Rate</t>
        </is>
      </c>
      <c r="B3224">
        <f>IF(AND(Inputs!$B$38&lt;&gt;"pvp",Inputs!$B$43&gt;0),SUMPRODUCT((Skills!E2:E31=TRUE)*(C3189:C3218=TRUE)*R3189:R3218*Skills!F2:F31)/Inputs!$B$43,SUMPRODUCT((Skills!E2:E31=TRUE)*(C3189:C3218=TRUE)*Q3189:Q3218*Skills!F2:F31))</f>
        <v/>
      </c>
    </row>
    <row r="3225">
      <c r="A3225" t="inlineStr">
        <is>
          <t>Arrow Stream Casts Per Second</t>
        </is>
      </c>
      <c r="B3225">
        <f>MAX(0,B3223-B3224)</f>
        <v/>
      </c>
    </row>
    <row r="3226">
      <c r="A3226" t="inlineStr">
        <is>
          <t>Global Critical Damage Bonus % (Sharp Eyes + Concentration)</t>
        </is>
      </c>
      <c r="B3226">
        <f>(C3204=TRUE)*F3204*IF(AND(Inputs!$B$38&lt;&gt;"pvp",Inputs!$B$43&gt;0),(((R3204-1)*(Skills!T17*(1+Inputs!$B$34/100))+MIN((Skills!T17*(1+Inputs!$B$34/100)),MAX(0,Inputs!$B$43-((R3204-1)*Skills!D17))))/Inputs!$B$43),IF(Inputs!$B$38="pvp",MIN((Skills!T17*(1+Inputs!$B$34/100)),15)/15,(Skills!T17*(1+Inputs!$B$34/100))/Skills!D17))+(C3205=TRUE)*30</f>
        <v/>
      </c>
    </row>
    <row r="3227">
      <c r="A3227" t="inlineStr">
        <is>
          <t>Global Final Damage Bonus % (Mortal Blow)</t>
        </is>
      </c>
      <c r="B3227">
        <f>(C3206=TRUE)*F3206</f>
        <v/>
      </c>
    </row>
    <row r="3228">
      <c r="A3228" t="inlineStr">
        <is>
          <t>Buff-Casting Startup Delay (s, fixed-duration only)</t>
        </is>
      </c>
      <c r="B3228">
        <f>IF(AND(Inputs!$B$38&lt;&gt;"pvp",Inputs!$B$43&gt;0),SUMPRODUCT((Skills!T2:T31&gt;0)*(Skills!E2:E31=TRUE)*(C3189:C3218=TRUE))/B3223,0)</f>
        <v/>
      </c>
    </row>
    <row r="3229">
      <c r="A3229" t="inlineStr">
        <is>
          <t>Boss-Only Total DPS (this block's swept value)</t>
        </is>
      </c>
      <c r="B3229">
        <f>SUM(T3189:T3218)</f>
        <v/>
      </c>
    </row>
    <row r="3230">
      <c r="A3230" t="inlineStr">
        <is>
          <t>Normal-Only Total DPS (this block's swept value)</t>
        </is>
      </c>
      <c r="B3230">
        <f>SUM(V3189:V3218)</f>
        <v/>
      </c>
    </row>
    <row r="3231">
      <c r="A3231" s="6" t="inlineStr">
        <is>
          <t>TOTAL DPS</t>
        </is>
      </c>
      <c r="B3231" s="6">
        <f>SUM(O3189:O3218)</f>
        <v/>
      </c>
    </row>
    <row r="3234">
      <c r="A3234" s="6" t="inlineStr">
        <is>
          <t>Stat: CDR = 3.0s</t>
        </is>
      </c>
    </row>
    <row r="3235">
      <c r="A3235" s="5" t="inlineStr">
        <is>
          <t>Key</t>
        </is>
      </c>
      <c r="B3235" s="5" t="inlineStr">
        <is>
          <t>Name</t>
        </is>
      </c>
      <c r="C3235" s="5" t="inlineStr">
        <is>
          <t>Unlocked</t>
        </is>
      </c>
      <c r="D3235" s="5" t="inlineStr">
        <is>
          <t>InputLevel</t>
        </is>
      </c>
      <c r="E3235" s="5" t="inlineStr">
        <is>
          <t>Factor</t>
        </is>
      </c>
      <c r="F3235" s="5" t="inlineStr">
        <is>
          <t>CoefficientPercent</t>
        </is>
      </c>
      <c r="G3235" s="5" t="inlineStr">
        <is>
          <t>EffectiveHits</t>
        </is>
      </c>
      <c r="H3235" s="5" t="inlineStr">
        <is>
          <t>ProcProbability</t>
        </is>
      </c>
      <c r="I3235" s="5" t="inlineStr">
        <is>
          <t>MapleHeroMultiplier</t>
        </is>
      </c>
      <c r="J3235" s="5" t="inlineStr">
        <is>
          <t>BaseDamage</t>
        </is>
      </c>
      <c r="K3235" s="5" t="inlineStr">
        <is>
          <t>BaseHitDamage</t>
        </is>
      </c>
      <c r="L3235" s="5" t="inlineStr">
        <is>
          <t>NonCritAvg</t>
        </is>
      </c>
      <c r="M3235" s="5" t="inlineStr">
        <is>
          <t>CritAvg</t>
        </is>
      </c>
      <c r="N3235" s="5" t="inlineStr">
        <is>
          <t>ExpectedDamage(perHit)</t>
        </is>
      </c>
      <c r="O3235" s="5" t="inlineStr">
        <is>
          <t>DPS</t>
        </is>
      </c>
      <c r="P3235" s="5" t="inlineStr">
        <is>
          <t>% of Total</t>
        </is>
      </c>
      <c r="Q3235" s="5" t="inlineStr">
        <is>
          <t>InvCooldown</t>
        </is>
      </c>
      <c r="R3235" s="5" t="inlineStr">
        <is>
          <t>CastsInFight</t>
        </is>
      </c>
      <c r="S3235" s="5" t="inlineStr">
        <is>
          <t>HitRate(perSec)</t>
        </is>
      </c>
      <c r="U3235" t="inlineStr">
        <is>
          <t>helpers</t>
        </is>
      </c>
    </row>
    <row r="3236">
      <c r="A3236">
        <f>Skills!A2</f>
        <v/>
      </c>
      <c r="B3236">
        <f>Skills!B2</f>
        <v/>
      </c>
      <c r="C3236">
        <f>Inputs!$B$3&gt;=100</f>
        <v/>
      </c>
      <c r="D3236" t="inlineStr"/>
      <c r="E3236" t="inlineStr"/>
      <c r="F3236">
        <f>U3238+Skills!O2</f>
        <v/>
      </c>
      <c r="G3236">
        <f>Skills!G2*IF(Skills!H2&gt;0,Skills!I2/Skills!H2,1)</f>
        <v/>
      </c>
      <c r="H3236">
        <f>1-(1-Skills!J2/100)^Skills!K2</f>
        <v/>
      </c>
      <c r="I3236" t="inlineStr">
        <is>
          <t>1</t>
        </is>
      </c>
      <c r="J3236">
        <f>((Inputs!$B$6*(1+Inputs!$B$7/100))+(((Inputs!$B$12*(1+Inputs!$B$13/100))-(Inputs!$B$12*(1+Inputs!$B$13/100)))+0.25*(Inputs!$B$14-Inputs!$B$14))*(1+Inputs!$B$7/100))*(F3236/100)</f>
        <v/>
      </c>
      <c r="K3236">
        <f>J3236*(1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3236)</f>
        <v/>
      </c>
      <c r="L3236">
        <f>K3236*(MIN(Inputs!$B$22+((C3259=TRUE)*(F3259-Calc!F25)),(Inputs!$B$23+((C3264=TRUE)*(F3264-Calc!F30))+(IF(ArtifactsInput!$M$15,CHOOSE(ArtifactsInput!$N$15+1,25,30,35,40,45,50)/100*(Inputs!$B$11-Inputs!$B$11),0))))/100+(Inputs!$B$23+((C3264=TRUE)*(F3264-Calc!F30))+(IF(ArtifactsInput!$M$15,CHOOSE(ArtifactsInput!$N$15+1,25,30,35,40,45,50)/100*(Inputs!$B$11-Inputs!$B$11),0)))/100)/2</f>
        <v/>
      </c>
      <c r="M3236">
        <f>L3236*(1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6">
        <f>L3236*(1-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3236*(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6">
        <f>(1-Summary!$B$11)*T3236+Summary!$B$11*V3236</f>
        <v/>
      </c>
      <c r="P3236">
        <f>IF(B3278=0,0,O3236/B3278)</f>
        <v/>
      </c>
      <c r="Q3236" t="n">
        <v>0</v>
      </c>
      <c r="R3236" t="n">
        <v>0</v>
      </c>
      <c r="S3236">
        <f>IFERROR(O3236/N3236,0)</f>
        <v/>
      </c>
      <c r="T3236">
        <f>IF(C3236,(Skills!G2*N3236*B3272)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3236*(1-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3236*(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3236*(1-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3236*(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6">
        <f>MAX(0,(Inputs!$B$3-100)*3)+Inputs!$B$28+Inputs!$B$29</f>
        <v/>
      </c>
      <c r="V3236">
        <f>IF(C3236,(Skills!G2*N3236*B3272)*IF(Inputs!$B$38="pvp",1,(1+(Inputs!$B$21+Skills!Q2+(IF(ArtifactsInput!$M$33,CHOOSE(ArtifactsInput!$N$33+1,30,36,42,48,54,60),0))+(IF(AND(ArtifactsInput!$M$35,Inputs!$B$4&lt;&gt;"Chapter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7">
      <c r="A3237">
        <f>Skills!A3</f>
        <v/>
      </c>
      <c r="B3237">
        <f>Skills!B3</f>
        <v/>
      </c>
      <c r="C3237">
        <f>Inputs!$B$3&gt;=50</f>
        <v/>
      </c>
      <c r="D3237">
        <f>IF(Skills!C3=1,60+Inputs!$B$25+Inputs!$B$29,IF(Skills!C3=2,90+Inputs!$B$26+Inputs!$B$29,IF(Skills!C3=3,120+Inputs!$B$27+Inputs!$B$29,MAX(0,(Inputs!$B$3-100)*3)+Inputs!$B$28+Inputs!$B$29)))</f>
        <v/>
      </c>
      <c r="E3237">
        <f>INDEX(FactorTable!$B$2:$Y$301, MATCH(ROUND(MIN(300,MAX(1,D3237)),0), FactorTable!$A$2:$A$301,0), Skills!M3+1)</f>
        <v/>
      </c>
      <c r="F3237">
        <f>IF(Skills!N3=TRUE,(Skills!L3/10)*(E3237/1000),Skills!L3/10)+Skills!O3</f>
        <v/>
      </c>
      <c r="G3237">
        <f>Skills!G3*IF(Skills!H3&gt;0,Skills!I3/Skills!H3,1)</f>
        <v/>
      </c>
      <c r="H3237">
        <f>1-(1-Skills!J3/100)^Skills!K3</f>
        <v/>
      </c>
      <c r="I3237" t="inlineStr">
        <is>
          <t>1</t>
        </is>
      </c>
      <c r="J3237">
        <f>((Inputs!$B$6*(1+Inputs!$B$7/100))+(((Inputs!$B$12*(1+Inputs!$B$13/100))-(Inputs!$B$12*(1+Inputs!$B$13/100)))+0.25*(Inputs!$B$14-Inputs!$B$14))*(1+Inputs!$B$7/100))*(F3237/100)</f>
        <v/>
      </c>
      <c r="K3237">
        <f>J3237*(1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3238=TRUE,F3238,0)/100)*(1+(IF(Skills!A3="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3237)</f>
        <v/>
      </c>
      <c r="L3237">
        <f>K3237*(MIN(Inputs!$B$22+((C3259=TRUE)*(F3259-Calc!F25)),(Inputs!$B$23+((C3264=TRUE)*(F3264-Calc!F30))+(IF(ArtifactsInput!$M$15,CHOOSE(ArtifactsInput!$N$15+1,25,30,35,40,45,50)/100*(Inputs!$B$11-Inputs!$B$11),0))))/100+(Inputs!$B$23+((C3264=TRUE)*(F3264-Calc!F30))+(IF(ArtifactsInput!$M$15,CHOOSE(ArtifactsInput!$N$15+1,25,30,35,40,45,50)/100*(Inputs!$B$11-Inputs!$B$11),0)))/100)/2</f>
        <v/>
      </c>
      <c r="M3237">
        <f>L3237*(1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7">
        <f>L3237*(1-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3237*(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7">
        <f>(1-Summary!$B$11)*T3237+Summary!$B$11*V3237</f>
        <v/>
      </c>
      <c r="P3237">
        <f>IF(B3278=0,0,O3237/B3278)</f>
        <v/>
      </c>
      <c r="Q3237">
        <f>IFERROR(1/(IF(Inputs!$B$38="pvp",15,MAX(0.1,Skills!D3-IF(Skills!E3=TRUE,3.0,0)))*(1-IF(AND(ArtifactsInput!$M$27,Inputs!$B$4="Chapter Hunt"),CHOOSE(ArtifactsInput!$N$27+1,20,24,28,32,36,40),0)/100)),0)</f>
        <v/>
      </c>
      <c r="R3237">
        <f>IF(AND(Inputs!$B$38&lt;&gt;"pvp",Inputs!$B$43&gt;0),IF(MAX(0,Inputs!$B$43-B3275)&lt;=0,0,(INT(MAX(0,Inputs!$B$43-B3275)/(IF(Inputs!$B$38="pvp",15,MAX(0.1,Skills!D3-IF(Skills!E3=TRUE,3.0,0)))*(1-IF(AND(ArtifactsInput!$M$27,Inputs!$B$4="Chapter Hunt"),CHOOSE(ArtifactsInput!$N$27+1,20,24,28,32,36,40),0)/100)))+1)),0)</f>
        <v/>
      </c>
      <c r="S3237">
        <f>IFERROR(O3237/N3237,0)</f>
        <v/>
      </c>
      <c r="T3237">
        <f>IF(C3237,(H3237*N3237*IF(AND(Inputs!$B$38&lt;&gt;"pvp",Inputs!$B$43&gt;0),((Skills!G3*((R3237-1)*IF(Skills!H3&gt;0,Skills!I3/Skills!H3,1)+IF(Skills!H3&gt;0,MIN(Skills!I3,MAX(0,MAX(0,Inputs!$B$43-B3275)-((R3237-1)*(IF(Inputs!$B$38="pvp",15,MAX(0.1,Skills!D3-IF(Skills!E3=TRUE,3.0,0)))*(1-IF(AND(ArtifactsInput!$M$27,Inputs!$B$4="Chapter Hunt"),CHOOSE(ArtifactsInput!$N$27+1,20,24,28,32,36,40),0)/100)))))/Skills!H3,1)))/Inputs!$B$43),G3237*Q3237))*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3237*(1-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3237*(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3237*(1-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3237*(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7">
        <f>INDEX(FactorTable!$B$2:$Y$301, MATCH(ROUND(MIN(300,MAX(1,U3236)),0), FactorTable!$A$2:$A$301,0), 22)</f>
        <v/>
      </c>
      <c r="V3237">
        <f>IF(C3237,(H3237*N3237*IF(AND(Inputs!$B$38&lt;&gt;"pvp",Inputs!$B$43&gt;0),((Skills!G3*((R3237-1)*IF(Skills!H3&gt;0,Skills!I3/Skills!H3,1)+IF(Skills!H3&gt;0,MIN(Skills!I3,MAX(0,MAX(0,Inputs!$B$43-B3275)-((R3237-1)*(IF(Inputs!$B$38="pvp",15,MAX(0.1,Skills!D3-IF(Skills!E3=TRUE,3.0,0)))*(1-IF(AND(ArtifactsInput!$M$27,Inputs!$B$4="Chapter Hunt"),CHOOSE(ArtifactsInput!$N$27+1,20,24,28,32,36,40),0)/100)))))/Skills!H3,1)))/Inputs!$B$43),G3237*Q3237))*IF(Inputs!$B$38="pvp",1,(1+(Inputs!$B$21+Skills!Q3+(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8">
      <c r="A3238">
        <f>Skills!A4</f>
        <v/>
      </c>
      <c r="B3238">
        <f>Skills!B4</f>
        <v/>
      </c>
      <c r="C3238">
        <f>Inputs!$B$3&gt;=105</f>
        <v/>
      </c>
      <c r="D3238">
        <f>IF(Skills!C4=1,60+Inputs!$B$25+Inputs!$B$29,IF(Skills!C4=2,90+Inputs!$B$26+Inputs!$B$29,IF(Skills!C4=3,120+Inputs!$B$27+Inputs!$B$29,MAX(0,(Inputs!$B$3-100)*3)+Inputs!$B$28+Inputs!$B$29)))</f>
        <v/>
      </c>
      <c r="E3238">
        <f>INDEX(FactorTable!$B$2:$Y$301, MATCH(ROUND(MIN(300,MAX(1,D3238)),0), FactorTable!$A$2:$A$301,0), Skills!M4+1)</f>
        <v/>
      </c>
      <c r="F3238">
        <f>IF(Skills!N4=TRUE,(Skills!L4/10)*(E3238/1000),Skills!L4/10)+Skills!O4</f>
        <v/>
      </c>
      <c r="G3238" t="inlineStr"/>
      <c r="H3238" t="inlineStr"/>
      <c r="I3238" t="inlineStr">
        <is>
          <t>1</t>
        </is>
      </c>
      <c r="J3238" t="inlineStr"/>
      <c r="K3238" t="inlineStr"/>
      <c r="L3238" t="inlineStr"/>
      <c r="M3238" t="inlineStr"/>
      <c r="N3238" t="inlineStr"/>
      <c r="O3238" t="inlineStr"/>
      <c r="P3238" t="inlineStr"/>
      <c r="Q3238" t="inlineStr"/>
      <c r="R3238" t="inlineStr"/>
      <c r="S3238" t="inlineStr"/>
      <c r="T3238" t="inlineStr"/>
      <c r="U3238">
        <f>290*U3237/1000</f>
        <v/>
      </c>
      <c r="V3238" t="inlineStr"/>
    </row>
    <row r="3239">
      <c r="A3239">
        <f>Skills!A5</f>
        <v/>
      </c>
      <c r="B3239">
        <f>Skills!B5</f>
        <v/>
      </c>
      <c r="C3239">
        <f>Inputs!$B$3&gt;=35</f>
        <v/>
      </c>
      <c r="D3239">
        <f>IF(Skills!C5=1,60+Inputs!$B$25+Inputs!$B$29,IF(Skills!C5=2,90+Inputs!$B$26+Inputs!$B$29,IF(Skills!C5=3,120+Inputs!$B$27+Inputs!$B$29,MAX(0,(Inputs!$B$3-100)*3)+Inputs!$B$28+Inputs!$B$29)))</f>
        <v/>
      </c>
      <c r="E3239">
        <f>INDEX(FactorTable!$B$2:$Y$301, MATCH(ROUND(MIN(300,MAX(1,D3239)),0), FactorTable!$A$2:$A$301,0), Skills!M5+1)</f>
        <v/>
      </c>
      <c r="F3239">
        <f>IF(Skills!N5=TRUE,(Skills!L5/10)*(E3239/1000),Skills!L5/10)+Skills!O5</f>
        <v/>
      </c>
      <c r="G3239">
        <f>Skills!G5*IF(Skills!H5&gt;0,Skills!I5/Skills!H5,1)</f>
        <v/>
      </c>
      <c r="H3239">
        <f>1-(1-Skills!J5/100)^Skills!K5</f>
        <v/>
      </c>
      <c r="I3239" t="inlineStr">
        <is>
          <t>1</t>
        </is>
      </c>
      <c r="J3239">
        <f>((Inputs!$B$6*(1+Inputs!$B$7/100))+(((Inputs!$B$12*(1+Inputs!$B$13/100))-(Inputs!$B$12*(1+Inputs!$B$13/100)))+0.25*(Inputs!$B$14-Inputs!$B$14))*(1+Inputs!$B$7/100))*(F3239/100)</f>
        <v/>
      </c>
      <c r="K3239">
        <f>J3239*(1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3245=TRUE,F3245,0)/100)*(1+(IF(Skills!A5="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3239)</f>
        <v/>
      </c>
      <c r="L3239">
        <f>K3239*(MIN(Inputs!$B$22+((C3259=TRUE)*(F3259-Calc!F25)),(Inputs!$B$23+((C3264=TRUE)*(F3264-Calc!F30))+(IF(ArtifactsInput!$M$15,CHOOSE(ArtifactsInput!$N$15+1,25,30,35,40,45,50)/100*(Inputs!$B$11-Inputs!$B$11),0))))/100+(Inputs!$B$23+((C3264=TRUE)*(F3264-Calc!F30))+(IF(ArtifactsInput!$M$15,CHOOSE(ArtifactsInput!$N$15+1,25,30,35,40,45,50)/100*(Inputs!$B$11-Inputs!$B$11),0)))/100)/2</f>
        <v/>
      </c>
      <c r="M3239">
        <f>L3239*(1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9">
        <f>L3239*(1-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3239*(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9">
        <f>(1-Summary!$B$11)*T3239+Summary!$B$11*V3239</f>
        <v/>
      </c>
      <c r="P3239">
        <f>IF(B3278=0,0,O3239/B3278)</f>
        <v/>
      </c>
      <c r="Q3239">
        <f>IFERROR(1/(IF(Inputs!$B$38="pvp",15,MAX(0.1,Skills!D5-IF(Skills!E5=TRUE,3.0,0)))*(1-IF(AND(ArtifactsInput!$M$27,Inputs!$B$4="Chapter Hunt"),CHOOSE(ArtifactsInput!$N$27+1,20,24,28,32,36,40),0)/100)),0)</f>
        <v/>
      </c>
      <c r="R3239">
        <f>IF(AND(Inputs!$B$38&lt;&gt;"pvp",Inputs!$B$43&gt;0),IF(MAX(0,Inputs!$B$43-B3275)&lt;=0,0,(INT(MAX(0,Inputs!$B$43-B3275)/(IF(Inputs!$B$38="pvp",15,MAX(0.1,Skills!D5-IF(Skills!E5=TRUE,3.0,0)))*(1-IF(AND(ArtifactsInput!$M$27,Inputs!$B$4="Chapter Hunt"),CHOOSE(ArtifactsInput!$N$27+1,20,24,28,32,36,40),0)/100)))+1)),0)</f>
        <v/>
      </c>
      <c r="S3239">
        <f>IFERROR(O3239/N3239,0)</f>
        <v/>
      </c>
      <c r="T3239">
        <f>IF(C3239,(H3239*N3239*IF(AND(Inputs!$B$38&lt;&gt;"pvp",Inputs!$B$43&gt;0),((Skills!G5*((R3239-1)*IF(Skills!H5&gt;0,Skills!I5/Skills!H5,1)+IF(Skills!H5&gt;0,MIN(Skills!I5,MAX(0,MAX(0,Inputs!$B$43-B3275)-((R3239-1)*(IF(Inputs!$B$38="pvp",15,MAX(0.1,Skills!D5-IF(Skills!E5=TRUE,3.0,0)))*(1-IF(AND(ArtifactsInput!$M$27,Inputs!$B$4="Chapter Hunt"),CHOOSE(ArtifactsInput!$N$27+1,20,24,28,32,36,40),0)/100)))))/Skills!H5,1)))/Inputs!$B$43),G3239*Q3239))*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3239*(1-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3239*(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3239*(1-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3239*(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39">
        <f>IF(C3239,(H3239*N3239*IF(AND(Inputs!$B$38&lt;&gt;"pvp",Inputs!$B$43&gt;0),((Skills!G5*((R3239-1)*IF(Skills!H5&gt;0,Skills!I5/Skills!H5,1)+IF(Skills!H5&gt;0,MIN(Skills!I5,MAX(0,MAX(0,Inputs!$B$43-B3275)-((R3239-1)*(IF(Inputs!$B$38="pvp",15,MAX(0.1,Skills!D5-IF(Skills!E5=TRUE,3.0,0)))*(1-IF(AND(ArtifactsInput!$M$27,Inputs!$B$4="Chapter Hunt"),CHOOSE(ArtifactsInput!$N$27+1,20,24,28,32,36,40),0)/100)))))/Skills!H5,1)))/Inputs!$B$43),G3239*Q3239))*IF(Inputs!$B$38="pvp",1,(1+(Inputs!$B$21+Skills!Q5+(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0">
      <c r="A3240">
        <f>Skills!A6</f>
        <v/>
      </c>
      <c r="B3240">
        <f>Skills!B6</f>
        <v/>
      </c>
      <c r="C3240">
        <f>Inputs!$B$3&gt;=40</f>
        <v/>
      </c>
      <c r="D3240">
        <f>IF(Skills!C6=1,60+Inputs!$B$25+Inputs!$B$29,IF(Skills!C6=2,90+Inputs!$B$26+Inputs!$B$29,IF(Skills!C6=3,120+Inputs!$B$27+Inputs!$B$29,MAX(0,(Inputs!$B$3-100)*3)+Inputs!$B$28+Inputs!$B$29)))</f>
        <v/>
      </c>
      <c r="E3240">
        <f>INDEX(FactorTable!$B$2:$Y$301, MATCH(ROUND(MIN(300,MAX(1,D3240)),0), FactorTable!$A$2:$A$301,0), Skills!M6+1)</f>
        <v/>
      </c>
      <c r="F3240">
        <f>IF(Skills!N6=TRUE,(Skills!L6/10)*(E3240/1000),Skills!L6/10)+Skills!O6</f>
        <v/>
      </c>
      <c r="G3240">
        <f>Skills!G6*IF(Skills!H6&gt;0,Skills!I6/Skills!H6,1)</f>
        <v/>
      </c>
      <c r="H3240">
        <f>1-(1-Skills!J6/100)^Skills!K6</f>
        <v/>
      </c>
      <c r="I3240" t="inlineStr">
        <is>
          <t>1</t>
        </is>
      </c>
      <c r="J3240">
        <f>((Inputs!$B$6*(1+Inputs!$B$7/100))+(((Inputs!$B$12*(1+Inputs!$B$13/100))-(Inputs!$B$12*(1+Inputs!$B$13/100)))+0.25*(Inputs!$B$14-Inputs!$B$14))*(1+Inputs!$B$7/100))*(F3240/100)</f>
        <v/>
      </c>
      <c r="K3240">
        <f>J3240*(1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3241=TRUE,F3241,0)/100)*(1+(IF(Skills!A6="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3240)</f>
        <v/>
      </c>
      <c r="L3240">
        <f>K3240*(MIN(Inputs!$B$22+((C3259=TRUE)*(F3259-Calc!F25)),(Inputs!$B$23+((C3264=TRUE)*(F3264-Calc!F30))+(IF(ArtifactsInput!$M$15,CHOOSE(ArtifactsInput!$N$15+1,25,30,35,40,45,50)/100*(Inputs!$B$11-Inputs!$B$11),0))))/100+(Inputs!$B$23+((C3264=TRUE)*(F3264-Calc!F30))+(IF(ArtifactsInput!$M$15,CHOOSE(ArtifactsInput!$N$15+1,25,30,35,40,45,50)/100*(Inputs!$B$11-Inputs!$B$11),0)))/100)/2</f>
        <v/>
      </c>
      <c r="M3240">
        <f>L3240*(1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0">
        <f>L3240*(1-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3240*(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0">
        <f>(1-Summary!$B$11)*T3240+Summary!$B$11*V3240</f>
        <v/>
      </c>
      <c r="P3240">
        <f>IF(B3278=0,0,O3240/B3278)</f>
        <v/>
      </c>
      <c r="Q3240">
        <f>IFERROR(1/(IF(Inputs!$B$38="pvp",15,MAX(0.1,Skills!D6-IF(Skills!E6=TRUE,3.0,0)))*(1-IF(AND(ArtifactsInput!$M$27,Inputs!$B$4="Chapter Hunt"),CHOOSE(ArtifactsInput!$N$27+1,20,24,28,32,36,40),0)/100)),0)</f>
        <v/>
      </c>
      <c r="R3240">
        <f>IF(AND(Inputs!$B$38&lt;&gt;"pvp",Inputs!$B$43&gt;0),IF(MAX(0,Inputs!$B$43-B3275)&lt;=0,0,(INT(MAX(0,Inputs!$B$43-B3275)/(IF(Inputs!$B$38="pvp",15,MAX(0.1,Skills!D6-IF(Skills!E6=TRUE,3.0,0)))*(1-IF(AND(ArtifactsInput!$M$27,Inputs!$B$4="Chapter Hunt"),CHOOSE(ArtifactsInput!$N$27+1,20,24,28,32,36,40),0)/100)))+1)),0)</f>
        <v/>
      </c>
      <c r="S3240">
        <f>IFERROR(O3240/N3240,0)</f>
        <v/>
      </c>
      <c r="T3240">
        <f>IF(C3240,(H3240*N3240*IF(AND(Inputs!$B$38&lt;&gt;"pvp",Inputs!$B$43&gt;0),((Skills!G6*((R3240-1)*IF(Skills!H6&gt;0,Skills!I6/Skills!H6,1)+IF(Skills!H6&gt;0,MIN(Skills!I6,MAX(0,MAX(0,Inputs!$B$43-B3275)-((R3240-1)*(IF(Inputs!$B$38="pvp",15,MAX(0.1,Skills!D6-IF(Skills!E6=TRUE,3.0,0)))*(1-IF(AND(ArtifactsInput!$M$27,Inputs!$B$4="Chapter Hunt"),CHOOSE(ArtifactsInput!$N$27+1,20,24,28,32,36,40),0)/100)))))/Skills!H6,1)))/Inputs!$B$43),G3240*Q3240))*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3240*(1-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3240*(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3240*(1-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3240*(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0">
        <f>IF(C3240,(H3240*N3240*IF(AND(Inputs!$B$38&lt;&gt;"pvp",Inputs!$B$43&gt;0),((Skills!G6*((R3240-1)*IF(Skills!H6&gt;0,Skills!I6/Skills!H6,1)+IF(Skills!H6&gt;0,MIN(Skills!I6,MAX(0,MAX(0,Inputs!$B$43-B3275)-((R3240-1)*(IF(Inputs!$B$38="pvp",15,MAX(0.1,Skills!D6-IF(Skills!E6=TRUE,3.0,0)))*(1-IF(AND(ArtifactsInput!$M$27,Inputs!$B$4="Chapter Hunt"),CHOOSE(ArtifactsInput!$N$27+1,20,24,28,32,36,40),0)/100)))))/Skills!H6,1)))/Inputs!$B$43),G3240*Q3240))*IF(Inputs!$B$38="pvp",1,(1+(Inputs!$B$21+Skills!Q6+(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1">
      <c r="A3241">
        <f>Skills!A7</f>
        <v/>
      </c>
      <c r="B3241">
        <f>Skills!B7</f>
        <v/>
      </c>
      <c r="C3241">
        <f>Inputs!$B$3&gt;=107</f>
        <v/>
      </c>
      <c r="D3241">
        <f>IF(Skills!C7=1,60+Inputs!$B$25+Inputs!$B$29,IF(Skills!C7=2,90+Inputs!$B$26+Inputs!$B$29,IF(Skills!C7=3,120+Inputs!$B$27+Inputs!$B$29,MAX(0,(Inputs!$B$3-100)*3)+Inputs!$B$28+Inputs!$B$29)))</f>
        <v/>
      </c>
      <c r="E3241">
        <f>INDEX(FactorTable!$B$2:$Y$301, MATCH(ROUND(MIN(300,MAX(1,D3241)),0), FactorTable!$A$2:$A$301,0), Skills!M7+1)</f>
        <v/>
      </c>
      <c r="F3241">
        <f>IF(Skills!N7=TRUE,(Skills!L7/10)*(E3241/1000),Skills!L7/10)+Skills!O7</f>
        <v/>
      </c>
      <c r="G3241" t="inlineStr"/>
      <c r="H3241" t="inlineStr"/>
      <c r="I3241" t="inlineStr">
        <is>
          <t>1</t>
        </is>
      </c>
      <c r="J3241" t="inlineStr"/>
      <c r="K3241" t="inlineStr"/>
      <c r="L3241" t="inlineStr"/>
      <c r="M3241" t="inlineStr"/>
      <c r="N3241" t="inlineStr"/>
      <c r="O3241" t="inlineStr"/>
      <c r="P3241" t="inlineStr"/>
      <c r="Q3241" t="inlineStr"/>
      <c r="R3241" t="inlineStr"/>
      <c r="S3241" t="inlineStr"/>
      <c r="T3241" t="inlineStr"/>
      <c r="V3241" t="inlineStr"/>
    </row>
    <row r="3242">
      <c r="A3242">
        <f>Skills!A8</f>
        <v/>
      </c>
      <c r="B3242">
        <f>Skills!B8</f>
        <v/>
      </c>
      <c r="C3242">
        <f>Inputs!$B$3&gt;=69</f>
        <v/>
      </c>
      <c r="D3242">
        <f>IF(Skills!C8=1,60+Inputs!$B$25+Inputs!$B$29,IF(Skills!C8=2,90+Inputs!$B$26+Inputs!$B$29,IF(Skills!C8=3,120+Inputs!$B$27+Inputs!$B$29,MAX(0,(Inputs!$B$3-100)*3)+Inputs!$B$28+Inputs!$B$29)))</f>
        <v/>
      </c>
      <c r="E3242">
        <f>INDEX(FactorTable!$B$2:$Y$301, MATCH(ROUND(MIN(300,MAX(1,D3242)),0), FactorTable!$A$2:$A$301,0), Skills!M8+1)</f>
        <v/>
      </c>
      <c r="F3242">
        <f>IF(Skills!N8=TRUE,(Skills!L8/10)*(E3242/1000),Skills!L8/10)+Skills!O8</f>
        <v/>
      </c>
      <c r="G3242">
        <f>Skills!G8*IF(Skills!H8&gt;0,Skills!I8/Skills!H8,1)</f>
        <v/>
      </c>
      <c r="H3242">
        <f>1-(1-Skills!J8/100)^Skills!K8</f>
        <v/>
      </c>
      <c r="I3242" t="inlineStr">
        <is>
          <t>1</t>
        </is>
      </c>
      <c r="J3242">
        <f>((Inputs!$B$6*(1+Inputs!$B$7/100))+(((Inputs!$B$12*(1+Inputs!$B$13/100))-(Inputs!$B$12*(1+Inputs!$B$13/100)))+0.25*(Inputs!$B$14-Inputs!$B$14))*(1+Inputs!$B$7/100))*(F3242/100)</f>
        <v/>
      </c>
      <c r="K3242">
        <f>J3242*(1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3245=TRUE,F3245,0)/100)*(1+(IF(Skills!A8="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3242)</f>
        <v/>
      </c>
      <c r="L3242">
        <f>K3242*(MIN(Inputs!$B$22+((C3259=TRUE)*(F3259-Calc!F25)),(Inputs!$B$23+((C3264=TRUE)*(F3264-Calc!F30))+(IF(ArtifactsInput!$M$15,CHOOSE(ArtifactsInput!$N$15+1,25,30,35,40,45,50)/100*(Inputs!$B$11-Inputs!$B$11),0))))/100+(Inputs!$B$23+((C3264=TRUE)*(F3264-Calc!F30))+(IF(ArtifactsInput!$M$15,CHOOSE(ArtifactsInput!$N$15+1,25,30,35,40,45,50)/100*(Inputs!$B$11-Inputs!$B$11),0)))/100)/2</f>
        <v/>
      </c>
      <c r="M3242">
        <f>L3242*(1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2">
        <f>L3242*(1-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3242*(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2">
        <f>(1-Summary!$B$11)*T3242+Summary!$B$11*V3242</f>
        <v/>
      </c>
      <c r="P3242">
        <f>IF(B3278=0,0,O3242/B3278)</f>
        <v/>
      </c>
      <c r="Q3242">
        <f>IFERROR(1/(IF(Inputs!$B$38="pvp",15,MAX(0.1,Skills!D8-IF(Skills!E8=TRUE,3.0,0)))*(1-IF(AND(ArtifactsInput!$M$27,Inputs!$B$4="Chapter Hunt"),CHOOSE(ArtifactsInput!$N$27+1,20,24,28,32,36,40),0)/100)),0)</f>
        <v/>
      </c>
      <c r="R3242">
        <f>IF(AND(Inputs!$B$38&lt;&gt;"pvp",Inputs!$B$43&gt;0),IF(MAX(0,Inputs!$B$43-B3275)&lt;=0,0,(INT(MAX(0,Inputs!$B$43-B3275)/(IF(Inputs!$B$38="pvp",15,MAX(0.1,Skills!D8-IF(Skills!E8=TRUE,3.0,0)))*(1-IF(AND(ArtifactsInput!$M$27,Inputs!$B$4="Chapter Hunt"),CHOOSE(ArtifactsInput!$N$27+1,20,24,28,32,36,40),0)/100)))+1)),0)</f>
        <v/>
      </c>
      <c r="S3242">
        <f>IFERROR(O3242/N3242,0)</f>
        <v/>
      </c>
      <c r="T3242">
        <f>IF(C3242,(H3242*N3242*IF(AND(Inputs!$B$38&lt;&gt;"pvp",Inputs!$B$43&gt;0),((Skills!G8*((R3242-1)*IF(Skills!H8&gt;0,Skills!I8/Skills!H8,1)+IF(Skills!H8&gt;0,MIN(Skills!I8,MAX(0,MAX(0,Inputs!$B$43-B3275)-((R3242-1)*(IF(Inputs!$B$38="pvp",15,MAX(0.1,Skills!D8-IF(Skills!E8=TRUE,3.0,0)))*(1-IF(AND(ArtifactsInput!$M$27,Inputs!$B$4="Chapter Hunt"),CHOOSE(ArtifactsInput!$N$27+1,20,24,28,32,36,40),0)/100)))))/Skills!H8,1)))/Inputs!$B$43),G3242*Q3242))*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3242*(1-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3242*(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3242*(1-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3242*(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2">
        <f>IF(C3242,(H3242*N3242*IF(AND(Inputs!$B$38&lt;&gt;"pvp",Inputs!$B$43&gt;0),((Skills!G8*((R3242-1)*IF(Skills!H8&gt;0,Skills!I8/Skills!H8,1)+IF(Skills!H8&gt;0,MIN(Skills!I8,MAX(0,MAX(0,Inputs!$B$43-B3275)-((R3242-1)*(IF(Inputs!$B$38="pvp",15,MAX(0.1,Skills!D8-IF(Skills!E8=TRUE,3.0,0)))*(1-IF(AND(ArtifactsInput!$M$27,Inputs!$B$4="Chapter Hunt"),CHOOSE(ArtifactsInput!$N$27+1,20,24,28,32,36,40),0)/100)))))/Skills!H8,1)))/Inputs!$B$43),G3242*Q3242))*IF(Inputs!$B$38="pvp",1,(1+(Inputs!$B$21+Skills!Q8+(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3">
      <c r="A3243">
        <f>Skills!A9</f>
        <v/>
      </c>
      <c r="B3243">
        <f>Skills!B9</f>
        <v/>
      </c>
      <c r="C3243">
        <f>Inputs!$B$3&gt;=63</f>
        <v/>
      </c>
      <c r="D3243">
        <f>IF(Skills!C9=1,60+Inputs!$B$25+Inputs!$B$29,IF(Skills!C9=2,90+Inputs!$B$26+Inputs!$B$29,IF(Skills!C9=3,120+Inputs!$B$27+Inputs!$B$29,MAX(0,(Inputs!$B$3-100)*3)+Inputs!$B$28+Inputs!$B$29)))</f>
        <v/>
      </c>
      <c r="E3243">
        <f>INDEX(FactorTable!$B$2:$Y$301, MATCH(ROUND(MIN(300,MAX(1,D3243)),0), FactorTable!$A$2:$A$301,0), Skills!M9+1)</f>
        <v/>
      </c>
      <c r="F3243">
        <f>IF(Skills!N9=TRUE,(Skills!L9/10)*(E3243/1000),Skills!L9/10)+Skills!O9</f>
        <v/>
      </c>
      <c r="G3243">
        <f>Skills!G9*IF(Skills!H9&gt;0,Skills!I9/Skills!H9,1)</f>
        <v/>
      </c>
      <c r="H3243">
        <f>1-(1-Skills!J9/100)^Skills!K9</f>
        <v/>
      </c>
      <c r="I3243" t="inlineStr">
        <is>
          <t>1</t>
        </is>
      </c>
      <c r="J3243">
        <f>((Inputs!$B$6*(1+Inputs!$B$7/100))+(((Inputs!$B$12*(1+Inputs!$B$13/100))-(Inputs!$B$12*(1+Inputs!$B$13/100)))+0.25*(Inputs!$B$14-Inputs!$B$14))*(1+Inputs!$B$7/100))*(F3243/100)</f>
        <v/>
      </c>
      <c r="K3243">
        <f>J3243*(1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3245=TRUE,F3245,0)/100)*(1+(IF(Skills!A9="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3243)</f>
        <v/>
      </c>
      <c r="L3243">
        <f>K3243*(MIN(Inputs!$B$22+((C3259=TRUE)*(F3259-Calc!F25)),(Inputs!$B$23+((C3264=TRUE)*(F3264-Calc!F30))+(IF(ArtifactsInput!$M$15,CHOOSE(ArtifactsInput!$N$15+1,25,30,35,40,45,50)/100*(Inputs!$B$11-Inputs!$B$11),0))))/100+(Inputs!$B$23+((C3264=TRUE)*(F3264-Calc!F30))+(IF(ArtifactsInput!$M$15,CHOOSE(ArtifactsInput!$N$15+1,25,30,35,40,45,50)/100*(Inputs!$B$11-Inputs!$B$11),0)))/100)/2</f>
        <v/>
      </c>
      <c r="M3243">
        <f>L3243*(1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3">
        <f>L3243*(1-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3243*(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3">
        <f>(1-Summary!$B$11)*T3243+Summary!$B$11*V3243</f>
        <v/>
      </c>
      <c r="P3243">
        <f>IF(B3278=0,0,O3243/B3278)</f>
        <v/>
      </c>
      <c r="Q3243">
        <f>IFERROR(1/(IF(Inputs!$B$38="pvp",15,MAX(0.1,Skills!D9-IF(Skills!E9=TRUE,3.0,0)))*(1-IF(AND(ArtifactsInput!$M$27,Inputs!$B$4="Chapter Hunt"),CHOOSE(ArtifactsInput!$N$27+1,20,24,28,32,36,40),0)/100)),0)</f>
        <v/>
      </c>
      <c r="R3243">
        <f>IF(AND(Inputs!$B$38&lt;&gt;"pvp",Inputs!$B$43&gt;0),IF(MAX(0,Inputs!$B$43-B3275)&lt;=0,0,(INT(MAX(0,Inputs!$B$43-B3275)/(IF(Inputs!$B$38="pvp",15,MAX(0.1,Skills!D9-IF(Skills!E9=TRUE,3.0,0)))*(1-IF(AND(ArtifactsInput!$M$27,Inputs!$B$4="Chapter Hunt"),CHOOSE(ArtifactsInput!$N$27+1,20,24,28,32,36,40),0)/100)))+1)),0)</f>
        <v/>
      </c>
      <c r="S3243">
        <f>IFERROR(O3243/N3243,0)</f>
        <v/>
      </c>
      <c r="T3243">
        <f>IF(C3243,(H3243*N3243*IF(AND(Inputs!$B$38&lt;&gt;"pvp",Inputs!$B$43&gt;0),((Skills!G9*((R3243-1)*IF(Skills!H9&gt;0,Skills!I9/Skills!H9,1)+IF(Skills!H9&gt;0,MIN(Skills!I9,MAX(0,MAX(0,Inputs!$B$43-B3275)-((R3243-1)*(IF(Inputs!$B$38="pvp",15,MAX(0.1,Skills!D9-IF(Skills!E9=TRUE,3.0,0)))*(1-IF(AND(ArtifactsInput!$M$27,Inputs!$B$4="Chapter Hunt"),CHOOSE(ArtifactsInput!$N$27+1,20,24,28,32,36,40),0)/100)))))/Skills!H9,1)))/Inputs!$B$43),G3243*Q3243))*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3243*(1-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3243*(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3243*(1-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3243*(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3">
        <f>IF(C3243,(H3243*N3243*IF(AND(Inputs!$B$38&lt;&gt;"pvp",Inputs!$B$43&gt;0),((Skills!G9*((R3243-1)*IF(Skills!H9&gt;0,Skills!I9/Skills!H9,1)+IF(Skills!H9&gt;0,MIN(Skills!I9,MAX(0,MAX(0,Inputs!$B$43-B3275)-((R3243-1)*(IF(Inputs!$B$38="pvp",15,MAX(0.1,Skills!D9-IF(Skills!E9=TRUE,3.0,0)))*(1-IF(AND(ArtifactsInput!$M$27,Inputs!$B$4="Chapter Hunt"),CHOOSE(ArtifactsInput!$N$27+1,20,24,28,32,36,40),0)/100)))))/Skills!H9,1)))/Inputs!$B$43),G3243*Q3243))*IF(Inputs!$B$38="pvp",1,(1+(Inputs!$B$21+Skills!Q9+(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4">
      <c r="A3244">
        <f>Skills!A10</f>
        <v/>
      </c>
      <c r="B3244">
        <f>Skills!B10</f>
        <v/>
      </c>
      <c r="C3244">
        <f>Inputs!$B$3&gt;=103</f>
        <v/>
      </c>
      <c r="D3244">
        <f>IF(Skills!C10=1,60+Inputs!$B$25+Inputs!$B$29,IF(Skills!C10=2,90+Inputs!$B$26+Inputs!$B$29,IF(Skills!C10=3,120+Inputs!$B$27+Inputs!$B$29,MAX(0,(Inputs!$B$3-100)*3)+Inputs!$B$28+Inputs!$B$29)))</f>
        <v/>
      </c>
      <c r="E3244">
        <f>INDEX(FactorTable!$B$2:$Y$301, MATCH(ROUND(MIN(300,MAX(1,D3244)),0), FactorTable!$A$2:$A$301,0), Skills!M10+1)</f>
        <v/>
      </c>
      <c r="F3244">
        <f>IF(Skills!N10=TRUE,(Skills!L10/10)*(E3244/1000),Skills!L10/10)+Skills!O10</f>
        <v/>
      </c>
      <c r="G3244">
        <f>Skills!G10*IF(Skills!H10&gt;0,Skills!I10/Skills!H10,1)</f>
        <v/>
      </c>
      <c r="H3244">
        <f>1-(1-Skills!J10/100)^Skills!K10</f>
        <v/>
      </c>
      <c r="I3244" t="inlineStr">
        <is>
          <t>1</t>
        </is>
      </c>
      <c r="J3244">
        <f>((Inputs!$B$6*(1+Inputs!$B$7/100))+(((Inputs!$B$12*(1+Inputs!$B$13/100))-(Inputs!$B$12*(1+Inputs!$B$13/100)))+0.25*(Inputs!$B$14-Inputs!$B$14))*(1+Inputs!$B$7/100))*(F3244/100)</f>
        <v/>
      </c>
      <c r="K3244">
        <f>J3244*(1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3244)</f>
        <v/>
      </c>
      <c r="L3244">
        <f>K3244*(MIN(Inputs!$B$22+((C3259=TRUE)*(F3259-Calc!F25)),(Inputs!$B$23+((C3264=TRUE)*(F3264-Calc!F30))+(IF(ArtifactsInput!$M$15,CHOOSE(ArtifactsInput!$N$15+1,25,30,35,40,45,50)/100*(Inputs!$B$11-Inputs!$B$11),0))))/100+(Inputs!$B$23+((C3264=TRUE)*(F3264-Calc!F30))+(IF(ArtifactsInput!$M$15,CHOOSE(ArtifactsInput!$N$15+1,25,30,35,40,45,50)/100*(Inputs!$B$11-Inputs!$B$11),0)))/100)/2</f>
        <v/>
      </c>
      <c r="M3244">
        <f>L3244*(1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4">
        <f>L3244*(1-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3244*(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4">
        <f>(1-Summary!$B$11)*T3244+Summary!$B$11*V3244</f>
        <v/>
      </c>
      <c r="P3244">
        <f>IF(B3278=0,0,O3244/B3278)</f>
        <v/>
      </c>
      <c r="Q3244">
        <f>IFERROR(1/(IF(Inputs!$B$38="pvp",15,MAX(0.1,Skills!D10-IF(Skills!E10=TRUE,3.0,0)))*(1-IF(AND(ArtifactsInput!$M$27,Inputs!$B$4="Chapter Hunt"),CHOOSE(ArtifactsInput!$N$27+1,20,24,28,32,36,40),0)/100)),0)</f>
        <v/>
      </c>
      <c r="R3244">
        <f>IF(AND(Inputs!$B$38&lt;&gt;"pvp",Inputs!$B$43&gt;0),IF(MAX(0,Inputs!$B$43-B3275)&lt;=0,0,(INT(MAX(0,Inputs!$B$43-B3275)/(IF(Inputs!$B$38="pvp",15,MAX(0.1,Skills!D10-IF(Skills!E10=TRUE,3.0,0)))*(1-IF(AND(ArtifactsInput!$M$27,Inputs!$B$4="Chapter Hunt"),CHOOSE(ArtifactsInput!$N$27+1,20,24,28,32,36,40),0)/100)))+1)),0)</f>
        <v/>
      </c>
      <c r="S3244">
        <f>IFERROR(O3244/N3244,0)</f>
        <v/>
      </c>
      <c r="T3244">
        <f>IF(C3244,(H3244*N3244*IF(AND(Inputs!$B$38&lt;&gt;"pvp",Inputs!$B$43&gt;0),((Skills!G10*((R3244-1)*IF(Skills!H10&gt;0,Skills!I10/Skills!H10,1)+IF(Skills!H10&gt;0,MIN(Skills!I10,MAX(0,MAX(0,Inputs!$B$43-B3275)-((R3244-1)*(IF(Inputs!$B$38="pvp",15,MAX(0.1,Skills!D10-IF(Skills!E10=TRUE,3.0,0)))*(1-IF(AND(ArtifactsInput!$M$27,Inputs!$B$4="Chapter Hunt"),CHOOSE(ArtifactsInput!$N$27+1,20,24,28,32,36,40),0)/100)))))/Skills!H10,1)))/Inputs!$B$43),G3244*Q3244))*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3244*(1-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3244*(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3244*(1-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3244*(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4">
        <f>IF(C3244,(H3244*N3244*IF(AND(Inputs!$B$38&lt;&gt;"pvp",Inputs!$B$43&gt;0),((Skills!G10*((R3244-1)*IF(Skills!H10&gt;0,Skills!I10/Skills!H10,1)+IF(Skills!H10&gt;0,MIN(Skills!I10,MAX(0,MAX(0,Inputs!$B$43-B3275)-((R3244-1)*(IF(Inputs!$B$38="pvp",15,MAX(0.1,Skills!D10-IF(Skills!E10=TRUE,3.0,0)))*(1-IF(AND(ArtifactsInput!$M$27,Inputs!$B$4="Chapter Hunt"),CHOOSE(ArtifactsInput!$N$27+1,20,24,28,32,36,40),0)/100)))))/Skills!H10,1)))/Inputs!$B$43),G3244*Q3244))*IF(Inputs!$B$38="pvp",1,(1+(Inputs!$B$21+Skills!Q10+(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5">
      <c r="A3245">
        <f>Skills!A11</f>
        <v/>
      </c>
      <c r="B3245">
        <f>Skills!B11</f>
        <v/>
      </c>
      <c r="C3245">
        <f>Inputs!$B$3&gt;=100</f>
        <v/>
      </c>
      <c r="D3245">
        <f>IF(Skills!C11=1,60+Inputs!$B$25+Inputs!$B$29,IF(Skills!C11=2,90+Inputs!$B$26+Inputs!$B$29,IF(Skills!C11=3,120+Inputs!$B$27+Inputs!$B$29,MAX(0,(Inputs!$B$3-100)*3)+Inputs!$B$28+Inputs!$B$29)))</f>
        <v/>
      </c>
      <c r="E3245">
        <f>INDEX(FactorTable!$B$2:$Y$301, MATCH(ROUND(MIN(300,MAX(1,D3245)),0), FactorTable!$A$2:$A$301,0), Skills!M11+1)</f>
        <v/>
      </c>
      <c r="F3245">
        <f>IF(Skills!N11=TRUE,(Skills!L11/10)*(E3245/1000),Skills!L11/10)+Skills!O11</f>
        <v/>
      </c>
      <c r="G3245" t="inlineStr"/>
      <c r="H3245" t="inlineStr"/>
      <c r="I3245" t="inlineStr">
        <is>
          <t>1</t>
        </is>
      </c>
      <c r="J3245" t="inlineStr"/>
      <c r="K3245" t="inlineStr"/>
      <c r="L3245" t="inlineStr"/>
      <c r="M3245" t="inlineStr"/>
      <c r="N3245" t="inlineStr"/>
      <c r="O3245" t="inlineStr"/>
      <c r="P3245" t="inlineStr"/>
      <c r="Q3245" t="inlineStr"/>
      <c r="R3245" t="inlineStr"/>
      <c r="S3245" t="inlineStr"/>
      <c r="T3245" t="inlineStr"/>
      <c r="V3245" t="inlineStr"/>
    </row>
    <row r="3246">
      <c r="A3246">
        <f>Skills!A12</f>
        <v/>
      </c>
      <c r="B3246">
        <f>Skills!B12</f>
        <v/>
      </c>
      <c r="C3246">
        <f>Inputs!$B$3&gt;=60</f>
        <v/>
      </c>
      <c r="D3246">
        <f>IF(Skills!C12=1,60+Inputs!$B$25+Inputs!$B$29,IF(Skills!C12=2,90+Inputs!$B$26+Inputs!$B$29,IF(Skills!C12=3,120+Inputs!$B$27+Inputs!$B$29,MAX(0,(Inputs!$B$3-100)*3)+Inputs!$B$28+Inputs!$B$29)))</f>
        <v/>
      </c>
      <c r="E3246">
        <f>INDEX(FactorTable!$B$2:$Y$301, MATCH(ROUND(MIN(300,MAX(1,D3246)),0), FactorTable!$A$2:$A$301,0), Skills!M12+1)</f>
        <v/>
      </c>
      <c r="F3246">
        <f>IF(Skills!N12=TRUE,(Skills!L12/10)*(E3246/1000),Skills!L12/10)+Skills!O12</f>
        <v/>
      </c>
      <c r="G3246">
        <f>Skills!G12*IF(Skills!H12&gt;0,Skills!I12/Skills!H12,1)</f>
        <v/>
      </c>
      <c r="H3246">
        <f>1-(1-Skills!J12/100)^Skills!K12</f>
        <v/>
      </c>
      <c r="I3246" t="inlineStr">
        <is>
          <t>1</t>
        </is>
      </c>
      <c r="J3246">
        <f>((Inputs!$B$6*(1+Inputs!$B$7/100))+(((Inputs!$B$12*(1+Inputs!$B$13/100))-(Inputs!$B$12*(1+Inputs!$B$13/100)))+0.25*(Inputs!$B$14-Inputs!$B$14))*(1+Inputs!$B$7/100))*(F3246/100)</f>
        <v/>
      </c>
      <c r="K3246">
        <f>J3246*(1+((Inputs!$B$12*(1+Inputs!$B$13/100))*0.01+Inputs!$B$14*0.0025)/100)*(1+Inputs!$B$15/100)*(1+Inputs!$B$16/100)*(5000/(6000+Inputs!$B$42*(1-(100*(1-(1-(Inputs!$B$19+((C3262=TRUE)*(F3262-Calc!F28)))/100)*(1-CHOOSE(ArtifactsInput!$N$40+1,5,6,7,8,9,10)/100)^(ArtifactsInput!$M$40-ArtifactsInput!$M$40)))/100)))*(1+(Inputs!$B$24+((C3260=TRUE)*(F3260-Calc!F26))+((C3261=TRUE)*(F3261-Calc!F27))+B3274)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3247=TRUE,F3247,0)/100)*(1+(IF(Skills!A12="ARROW_STREAM",Inputs!$B$17+((C3258=TRUE)*(F3258-Calc!F24))+(((IF(AND(ArtifactsInput!$M$42,((Inputs!$B$9+((C3255=TRUE)*(F3255-Calc!F21))+B3268+(ArtifactsInput!$M$24-ArtifactsInput!$M$24)*CHOOSE(ArtifactsInput!$N$24+1,10,12,14,16,18,20)+IF(ArtifactsInput!$M$10,CHOOSE(ArtifactsInput!$N$10+1,15,18,21,24,27,30)*(IF(Inputs!$B$38="pvp",MIN(15,15)/15,IF(AND(Inputs!$B$38&lt;&gt;"pvp",Inputs!$B$43&gt;0),MIN(15,Inputs!$B$43)/(Inputs!$B$43),0))),0)))&gt;=100),MIN(100,((Inputs!$B$9+((C3255=TRUE)*(F3255-Calc!F21))+B3268+(ArtifactsInput!$M$24-ArtifactsInput!$M$24)*CHOOSE(ArtifactsInput!$N$24+1,10,12,14,16,18,20)+IF(ArtifactsInput!$M$10,CHOOSE(ArtifactsInput!$N$10+1,15,18,21,24,27,30)*(IF(Inputs!$B$38="pvp",MIN(15,15)/15,IF(AND(Inputs!$B$38&lt;&gt;"pvp",Inputs!$B$43&gt;0),MIN(15,Inputs!$B$43)/(Inputs!$B$43),0))),0)))-100),0))*CHOOSE(ArtifactsInput!$N$42+1,0.6,0.72,0.84,0.96,1.08,1.2))),Inputs!$B$18+((C3263=TRUE)*(F3263-Calc!F29))+(IF(AND(ArtifactsInput!$M$42,((Inputs!$B$9+((C3255=TRUE)*(F3255-Calc!F21))+B3268+(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3246)</f>
        <v/>
      </c>
      <c r="L3246">
        <f>K3246*(MIN(Inputs!$B$22+((C3259=TRUE)*(F3259-Calc!F25)),(Inputs!$B$23+((C3264=TRUE)*(F3264-Calc!F30))+(IF(ArtifactsInput!$M$15,CHOOSE(ArtifactsInput!$N$15+1,25,30,35,40,45,50)/100*(Inputs!$B$11-Inputs!$B$11),0))))/100+(Inputs!$B$23+((C3264=TRUE)*(F3264-Calc!F30))+(IF(ArtifactsInput!$M$15,CHOOSE(ArtifactsInput!$N$15+1,25,30,35,40,45,50)/100*(Inputs!$B$11-Inputs!$B$11),0)))/100)/2</f>
        <v/>
      </c>
      <c r="M3246">
        <f>L3246*(1+(Inputs!$B$10+0+B3273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6">
        <f>L3246*(1-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3246*(MIN((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6">
        <f>(1-Summary!$B$11)*T3246+Summary!$B$11*V3246</f>
        <v/>
      </c>
      <c r="P3246">
        <f>IF(B3278=0,0,O3246/B3278)</f>
        <v/>
      </c>
      <c r="Q3246">
        <f>IFERROR(1/(IF(Inputs!$B$38="pvp",15,MAX(0.1,Skills!D12-IF(Skills!E12=TRUE,3.0,0)))*(1-IF(AND(ArtifactsInput!$M$27,Inputs!$B$4="Chapter Hunt"),CHOOSE(ArtifactsInput!$N$27+1,20,24,28,32,36,40),0)/100)),0)</f>
        <v/>
      </c>
      <c r="R3246">
        <f>IF(AND(Inputs!$B$38&lt;&gt;"pvp",Inputs!$B$43&gt;0),IF(MAX(0,Inputs!$B$43-B3275)&lt;=0,0,(INT(MAX(0,Inputs!$B$43-B3275)/(IF(Inputs!$B$38="pvp",15,MAX(0.1,Skills!D12-IF(Skills!E12=TRUE,3.0,0)))*(1-IF(AND(ArtifactsInput!$M$27,Inputs!$B$4="Chapter Hunt"),CHOOSE(ArtifactsInput!$N$27+1,20,24,28,32,36,40),0)/100)))+1)),0)</f>
        <v/>
      </c>
      <c r="S3246">
        <f>IFERROR(O3246/N3246,0)</f>
        <v/>
      </c>
      <c r="T3246">
        <f>IF(C3246,(H3246*N3246*IF(AND(Inputs!$B$38&lt;&gt;"pvp",Inputs!$B$43&gt;0),((Skills!G12*((R3246-1)*IF(Skills!H12&gt;0,Skills!I12/Skills!H12,1)+IF(Skills!H12&gt;0,MIN(Skills!I12,MAX(0,MAX(0,Inputs!$B$43-B3275)-((R3246-1)*(IF(Inputs!$B$38="pvp",15,MAX(0.1,Skills!D12-IF(Skills!E12=TRUE,3.0,0)))*(1-IF(AND(ArtifactsInput!$M$27,Inputs!$B$4="Chapter Hunt"),CHOOSE(ArtifactsInput!$N$27+1,20,24,28,32,36,40),0)/100)))))/Skills!H12,1)))/Inputs!$B$43),G3246*Q3246))*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$42*(1-(100*(1-(1-(100*(1-(1-(Inputs!$B$19+((C3262=TRUE)*(F3262-Calc!F28)))/100)*(1-CHOOSE(ArtifactsInput!$N$40+1,5,6,7,8,9,10)/100)^(ArtifactsInput!$M$40-ArtifactsInput!$M$40)))/100)*(1-IF(ArtifactsInput!$M$40,CHOOSE(ArtifactsInput!$N$40+1,5,6,7,8,9,10),0)/100)^IF(Inputs!$B$38="pvp",1,2)))/100)))/(5000/(6000+Inputs!$B$42*(1-(100*(1-(1-(Inputs!$B$19+((C3262=TRUE)*(F3262-Calc!F28)))/100)*(1-CHOOSE(ArtifactsInput!$N$40+1,5,6,7,8,9,10)/100)^(ArtifactsInput!$M$40-ArtifactsInput!$M$40)))/100))))*((L3246*(1-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3246*(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3246*(1-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3246*(MIN(100,(Inputs!$B$9+((C3255=TRUE)*(F3255-Calc!F21))+B3268+(ArtifactsInput!$M$24-ArtifactsInput!$M$24)*CHOOSE(ArtifactsInput!$N$24+1,10,12,14,16,18,20)+(IF(AND(ArtifactsInput!$M$42,((Inputs!$B$9+((C3255=TRUE)*(F3255-Calc!F21))+B3268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6">
        <f>IF(C3246,(H3246*N3246*IF(AND(Inputs!$B$38&lt;&gt;"pvp",Inputs!$B$43&gt;0),((Skills!G12*((R3246-1)*IF(Skills!H12&gt;0,Skills!I12/Skills!H12,1)+IF(Skills!H12&gt;0,MIN(Skills!I12,MAX(0,MAX(0,Inputs!$B$43-B3275)-((R3246-1)*(IF(Inputs!$B$38="pvp",15,MAX(0.1,Skills!D12-IF(Skills!E12=TRUE,3.0,0)))*(1-IF(AND(ArtifactsInput!$M$27,Inputs!$B$4="Chapter Hunt"),CHOOSE(ArtifactsInput!$N$27+1,20,24,28,32,36,40),0)/100)))))/Skills!H12,1)))/Inputs!$B$43),G3246*Q3246))*IF(Inputs!$B$38="pvp",1,(1+(Inputs!$B$21+Skills!Q12+(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7">
      <c r="A3247">
        <f>Skills!A13</f>
        <v/>
      </c>
      <c r="B3247">
        <f>Skills!B13</f>
        <v/>
      </c>
      <c r="C3247">
        <f>Inputs!$B$3&gt;=110</f>
        <v/>
      </c>
      <c r="D3247">
        <f>IF(Skills!C13=1,60+Inputs!$B$25+Inputs!$B$29,IF(Skills!C13=2,90+Inputs!$B$26+Inputs!$B$29,IF(Skills!C13=3,120+Inputs!$B$27+Inputs!$B$29,MAX(0,(Inputs!$B$3-100)*3)+Inputs!$B$28+Inputs!$B$29)))</f>
        <v/>
      </c>
      <c r="E3247">
        <f>INDEX(FactorTable!$B$2:$Y$301, MATCH(ROUND(MIN(300,MAX(1,D3247)),0), FactorTable!$A$2:$A$301,0), Skills!M13+1)</f>
        <v/>
      </c>
      <c r="F3247">
        <f>IF(Skills!N13=TRUE,(Skills!L13/10)*(E3247/1000),Skills!L13/10)+Skills!O13</f>
        <v/>
      </c>
      <c r="G3247" t="inlineStr"/>
      <c r="H3247" t="inlineStr"/>
      <c r="I3247" t="inlineStr">
        <is>
          <t>1</t>
        </is>
      </c>
      <c r="J3247" t="inlineStr"/>
      <c r="K3247" t="inlineStr"/>
      <c r="L3247" t="inlineStr"/>
      <c r="M3247" t="inlineStr"/>
      <c r="N3247" t="inlineStr"/>
      <c r="O3247" t="inlineStr"/>
      <c r="P3247" t="inlineStr"/>
      <c r="Q3247" t="inlineStr"/>
      <c r="R3247" t="inlineStr"/>
      <c r="S3247" t="inlineStr"/>
      <c r="T3247" t="inlineStr"/>
      <c r="V3247" t="inlineStr"/>
    </row>
    <row r="3248">
      <c r="A3248">
        <f>Skills!A14</f>
        <v/>
      </c>
      <c r="B3248">
        <f>Skills!B14</f>
        <v/>
      </c>
      <c r="C3248">
        <f>Inputs!$B$3&gt;=74</f>
        <v/>
      </c>
      <c r="D3248">
        <f>IF(Skills!C14=1,60+Inputs!$B$25+Inputs!$B$29,IF(Skills!C14=2,90+Inputs!$B$26+Inputs!$B$29,IF(Skills!C14=3,120+Inputs!$B$27+Inputs!$B$29,MAX(0,(Inputs!$B$3-100)*3)+Inputs!$B$28+Inputs!$B$29)))</f>
        <v/>
      </c>
      <c r="E3248">
        <f>INDEX(FactorTable!$B$2:$Y$301, MATCH(ROUND(MIN(300,MAX(1,D3248)),0), FactorTable!$A$2:$A$301,0), Skills!M14+1)</f>
        <v/>
      </c>
      <c r="F3248">
        <f>IF(Skills!N14=TRUE,(Skills!L14/10)*(E3248/1000),Skills!L14/10)+Skills!O14</f>
        <v/>
      </c>
      <c r="G3248">
        <f>Skills!G14*IF(Skills!H14&gt;0,Skills!I14/Skills!H14,1)</f>
        <v/>
      </c>
      <c r="H3248">
        <f>1-(1-Skills!J14/100)^Skills!K14</f>
        <v/>
      </c>
      <c r="I3248" t="inlineStr">
        <is>
          <t>1</t>
        </is>
      </c>
      <c r="J3248" t="inlineStr"/>
      <c r="K3248" t="inlineStr"/>
      <c r="L3248" t="inlineStr"/>
      <c r="M3248" t="inlineStr"/>
      <c r="N3248" t="inlineStr"/>
      <c r="O3248">
        <f>(1-Summary!$B$11)*T3248+Summary!$B$11*V3248</f>
        <v/>
      </c>
      <c r="P3248">
        <f>IF(B3278=0,0,O3248/B3278)</f>
        <v/>
      </c>
      <c r="Q3248" t="n">
        <v>0</v>
      </c>
      <c r="R3248" t="n">
        <v>0</v>
      </c>
      <c r="S3248">
        <f>IFERROR(O3248/N3248,0)</f>
        <v/>
      </c>
      <c r="T3248" t="n">
        <v>0</v>
      </c>
      <c r="V3248" t="n">
        <v>0</v>
      </c>
    </row>
    <row r="3249">
      <c r="A3249">
        <f>Skills!A15</f>
        <v/>
      </c>
      <c r="B3249">
        <f>Skills!B15</f>
        <v/>
      </c>
      <c r="C3249">
        <f>Inputs!$B$3&gt;=74</f>
        <v/>
      </c>
      <c r="D3249">
        <f>IF(Skills!C15=1,60+Inputs!$B$25+Inputs!$B$29,IF(Skills!C15=2,90+Inputs!$B$26+Inputs!$B$29,IF(Skills!C15=3,120+Inputs!$B$27+Inputs!$B$29,MAX(0,(Inputs!$B$3-100)*3)+Inputs!$B$28+Inputs!$B$29)))</f>
        <v/>
      </c>
      <c r="E3249">
        <f>INDEX(FactorTable!$B$2:$Y$301, MATCH(ROUND(MIN(300,MAX(1,D3249)),0), FactorTable!$A$2:$A$301,0), Skills!M15+1)</f>
        <v/>
      </c>
      <c r="F3249">
        <f>IF(Skills!N15=TRUE,(Skills!L15/10)*(E3249/1000),Skills!L15/10)+Skills!O15</f>
        <v/>
      </c>
      <c r="G3249">
        <f>Skills!G15*IF(Skills!H15&gt;0,Skills!I15/Skills!H15,1)</f>
        <v/>
      </c>
      <c r="H3249">
        <f>1-(1-Skills!J15/100)^Skills!K15</f>
        <v/>
      </c>
      <c r="I3249" t="inlineStr">
        <is>
          <t>1</t>
        </is>
      </c>
      <c r="J3249" t="inlineStr"/>
      <c r="K3249" t="inlineStr"/>
      <c r="L3249" t="inlineStr"/>
      <c r="M3249" t="inlineStr"/>
      <c r="N3249" t="inlineStr"/>
      <c r="O3249">
        <f>(1-Summary!$B$11)*T3249+Summary!$B$11*V3249</f>
        <v/>
      </c>
      <c r="P3249">
        <f>IF(B3278=0,0,O3249/B3278)</f>
        <v/>
      </c>
      <c r="Q3249" t="n">
        <v>0</v>
      </c>
      <c r="R3249" t="n">
        <v>0</v>
      </c>
      <c r="S3249">
        <f>IFERROR(O3249/N3249,0)</f>
        <v/>
      </c>
      <c r="T3249" t="n">
        <v>0</v>
      </c>
      <c r="V3249" t="n">
        <v>0</v>
      </c>
    </row>
    <row r="3250">
      <c r="A3250">
        <f>Skills!A16</f>
        <v/>
      </c>
      <c r="B3250">
        <f>Skills!B16</f>
        <v/>
      </c>
      <c r="C3250">
        <f>Inputs!$B$3&gt;=117</f>
        <v/>
      </c>
      <c r="D3250">
        <f>IF(Skills!C16=1,60+Inputs!$B$25+Inputs!$B$29,IF(Skills!C16=2,90+Inputs!$B$26+Inputs!$B$29,IF(Skills!C16=3,120+Inputs!$B$27+Inputs!$B$29,MAX(0,(Inputs!$B$3-100)*3)+Inputs!$B$28+Inputs!$B$29)))</f>
        <v/>
      </c>
      <c r="E3250">
        <f>INDEX(FactorTable!$B$2:$Y$301, MATCH(ROUND(MIN(300,MAX(1,D3250)),0), FactorTable!$A$2:$A$301,0), Skills!M16+1)</f>
        <v/>
      </c>
      <c r="F3250">
        <f>IF(Skills!N16=TRUE,(Skills!L16/10)*(E3250/1000),Skills!L16/10)+Skills!O16</f>
        <v/>
      </c>
      <c r="G3250">
        <f>Skills!G16*IF(Skills!H16&gt;0,Skills!I16/Skills!H16,1)</f>
        <v/>
      </c>
      <c r="H3250">
        <f>1-(1-Skills!J16/100)^Skills!K16</f>
        <v/>
      </c>
      <c r="I3250" t="inlineStr">
        <is>
          <t>1</t>
        </is>
      </c>
      <c r="J3250" t="inlineStr"/>
      <c r="K3250" t="inlineStr"/>
      <c r="L3250" t="inlineStr"/>
      <c r="M3250" t="inlineStr"/>
      <c r="N3250" t="inlineStr"/>
      <c r="O3250">
        <f>(1-Summary!$B$11)*T3250+Summary!$B$11*V3250</f>
        <v/>
      </c>
      <c r="P3250">
        <f>IF(B3278=0,0,O3250/B3278)</f>
        <v/>
      </c>
      <c r="Q3250">
        <f>IFERROR(1/(IF(Inputs!$B$38="pvp",15,MAX(0.1,Skills!D16-IF(Skills!E16=TRUE,3.0,0)))*(1-IF(AND(ArtifactsInput!$M$27,Inputs!$B$4="Chapter Hunt"),CHOOSE(ArtifactsInput!$N$27+1,20,24,28,32,36,40),0)/100)),0)</f>
        <v/>
      </c>
      <c r="R3250">
        <f>IF(AND(Inputs!$B$38&lt;&gt;"pvp",Inputs!$B$43&gt;0),IF(Inputs!$B$43&lt;=0,0,(INT(Inputs!$B$43/(IF(Inputs!$B$38="pvp",15,MAX(0.1,Skills!D16-IF(Skills!E16=TRUE,3.0,0)))*(1-IF(AND(ArtifactsInput!$M$27,Inputs!$B$4="Chapter Hunt"),CHOOSE(ArtifactsInput!$N$27+1,20,24,28,32,36,40),0)/100)))+1)),0)</f>
        <v/>
      </c>
      <c r="S3250">
        <f>IFERROR(O3250/N3250,0)</f>
        <v/>
      </c>
      <c r="T3250" t="n">
        <v>0</v>
      </c>
      <c r="V3250" t="n">
        <v>0</v>
      </c>
    </row>
    <row r="3251">
      <c r="A3251">
        <f>Skills!A17</f>
        <v/>
      </c>
      <c r="B3251">
        <f>Skills!B17</f>
        <v/>
      </c>
      <c r="C3251">
        <f>Inputs!$B$3&gt;=115</f>
        <v/>
      </c>
      <c r="D3251">
        <f>IF(Skills!C17=1,60+Inputs!$B$25+Inputs!$B$29,IF(Skills!C17=2,90+Inputs!$B$26+Inputs!$B$29,IF(Skills!C17=3,120+Inputs!$B$27+Inputs!$B$29,MAX(0,(Inputs!$B$3-100)*3)+Inputs!$B$28+Inputs!$B$29)))</f>
        <v/>
      </c>
      <c r="E3251">
        <f>INDEX(FactorTable!$B$2:$Y$301, MATCH(ROUND(MIN(300,MAX(1,D3251)),0), FactorTable!$A$2:$A$301,0), Skills!M17+1)</f>
        <v/>
      </c>
      <c r="F3251">
        <f>IF(Skills!N17=TRUE,(Skills!L17/10)*(E3251/1000),Skills!L17/10)+Skills!O17</f>
        <v/>
      </c>
      <c r="G3251">
        <f>Skills!G17*IF(Skills!H17&gt;0,Skills!I17/Skills!H17,1)</f>
        <v/>
      </c>
      <c r="H3251">
        <f>1-(1-Skills!J17/100)^Skills!K17</f>
        <v/>
      </c>
      <c r="I3251" t="inlineStr">
        <is>
          <t>1</t>
        </is>
      </c>
      <c r="J3251" t="inlineStr"/>
      <c r="K3251" t="inlineStr"/>
      <c r="L3251" t="inlineStr"/>
      <c r="M3251" t="inlineStr"/>
      <c r="N3251" t="inlineStr"/>
      <c r="O3251">
        <f>(1-Summary!$B$11)*T3251+Summary!$B$11*V3251</f>
        <v/>
      </c>
      <c r="P3251">
        <f>IF(B3278=0,0,O3251/B3278)</f>
        <v/>
      </c>
      <c r="Q3251">
        <f>IFERROR(1/(IF(Inputs!$B$38="pvp",15,MAX(0.1,Skills!D17-IF(Skills!E17=TRUE,3.0,0)))*(1-IF(AND(ArtifactsInput!$M$27,Inputs!$B$4="Chapter Hunt"),CHOOSE(ArtifactsInput!$N$27+1,20,24,28,32,36,40),0)/100)),0)</f>
        <v/>
      </c>
      <c r="R3251">
        <f>IF(AND(Inputs!$B$38&lt;&gt;"pvp",Inputs!$B$43&gt;0),IF(Inputs!$B$43&lt;=0,0,(INT(Inputs!$B$43/(IF(Inputs!$B$38="pvp",15,MAX(0.1,Skills!D17-IF(Skills!E17=TRUE,3.0,0)))*(1-IF(AND(ArtifactsInput!$M$27,Inputs!$B$4="Chapter Hunt"),CHOOSE(ArtifactsInput!$N$27+1,20,24,28,32,36,40),0)/100)))+1)),0)</f>
        <v/>
      </c>
      <c r="S3251">
        <f>IFERROR(O3251/N3251,0)</f>
        <v/>
      </c>
      <c r="T3251" t="n">
        <v>0</v>
      </c>
      <c r="V3251" t="n">
        <v>0</v>
      </c>
    </row>
    <row r="3252">
      <c r="A3252">
        <f>Skills!A18</f>
        <v/>
      </c>
      <c r="B3252">
        <f>Skills!B18</f>
        <v/>
      </c>
      <c r="C3252">
        <f>Inputs!$B$3&gt;=66</f>
        <v/>
      </c>
      <c r="D3252">
        <f>IF(Skills!C18=1,60+Inputs!$B$25+Inputs!$B$29,IF(Skills!C18=2,90+Inputs!$B$26+Inputs!$B$29,IF(Skills!C18=3,120+Inputs!$B$27+Inputs!$B$29,MAX(0,(Inputs!$B$3-100)*3)+Inputs!$B$28+Inputs!$B$29)))</f>
        <v/>
      </c>
      <c r="E3252">
        <f>INDEX(FactorTable!$B$2:$Y$301, MATCH(ROUND(MIN(300,MAX(1,D3252)),0), FactorTable!$A$2:$A$301,0), Skills!M18+1)</f>
        <v/>
      </c>
      <c r="F3252">
        <f>IF(Skills!N18=TRUE,(Skills!L18/10)*(E3252/1000),Skills!L18/10)+Skills!O18</f>
        <v/>
      </c>
      <c r="G3252">
        <f>Skills!G18*IF(Skills!H18&gt;0,Skills!I18/Skills!H18,1)</f>
        <v/>
      </c>
      <c r="H3252">
        <f>1-(1-Skills!J18/100)^Skills!K18</f>
        <v/>
      </c>
      <c r="I3252" t="inlineStr">
        <is>
          <t>1</t>
        </is>
      </c>
      <c r="J3252" t="inlineStr"/>
      <c r="K3252" t="inlineStr"/>
      <c r="L3252" t="inlineStr"/>
      <c r="M3252" t="inlineStr"/>
      <c r="N3252" t="inlineStr"/>
      <c r="O3252">
        <f>(1-Summary!$B$11)*T3252+Summary!$B$11*V3252</f>
        <v/>
      </c>
      <c r="P3252">
        <f>IF(B3278=0,0,O3252/B3278)</f>
        <v/>
      </c>
      <c r="Q3252" t="n">
        <v>0</v>
      </c>
      <c r="R3252" t="n">
        <v>0</v>
      </c>
      <c r="S3252">
        <f>IFERROR(O3252/N3252,0)</f>
        <v/>
      </c>
      <c r="T3252" t="n">
        <v>0</v>
      </c>
      <c r="V3252" t="n">
        <v>0</v>
      </c>
    </row>
    <row r="3253">
      <c r="A3253">
        <f>Skills!A19</f>
        <v/>
      </c>
      <c r="B3253">
        <f>Skills!B19</f>
        <v/>
      </c>
      <c r="C3253">
        <f>Inputs!$B$3&gt;=72</f>
        <v/>
      </c>
      <c r="D3253">
        <f>IF(Skills!C19=1,60+Inputs!$B$25+Inputs!$B$29,IF(Skills!C19=2,90+Inputs!$B$26+Inputs!$B$29,IF(Skills!C19=3,120+Inputs!$B$27+Inputs!$B$29,MAX(0,(Inputs!$B$3-100)*3)+Inputs!$B$28+Inputs!$B$29)))</f>
        <v/>
      </c>
      <c r="E3253">
        <f>INDEX(FactorTable!$B$2:$Y$301, MATCH(ROUND(MIN(300,MAX(1,D3253)),0), FactorTable!$A$2:$A$301,0), Skills!M19+1)</f>
        <v/>
      </c>
      <c r="F3253">
        <f>IF(Skills!N19=TRUE,(Skills!L19/10)*(E3253/1000),Skills!L19/10)+Skills!O19</f>
        <v/>
      </c>
      <c r="G3253">
        <f>Skills!G19*IF(Skills!H19&gt;0,Skills!I19/Skills!H19,1)</f>
        <v/>
      </c>
      <c r="H3253">
        <f>1-(1-Skills!J19/100)^Skills!K19</f>
        <v/>
      </c>
      <c r="I3253" t="inlineStr">
        <is>
          <t>1</t>
        </is>
      </c>
      <c r="J3253" t="inlineStr"/>
      <c r="K3253" t="inlineStr"/>
      <c r="L3253" t="inlineStr"/>
      <c r="M3253" t="inlineStr"/>
      <c r="N3253" t="inlineStr"/>
      <c r="O3253">
        <f>(1-Summary!$B$11)*T3253+Summary!$B$11*V3253</f>
        <v/>
      </c>
      <c r="P3253">
        <f>IF(B3278=0,0,O3253/B3278)</f>
        <v/>
      </c>
      <c r="Q3253" t="n">
        <v>0</v>
      </c>
      <c r="R3253" t="n">
        <v>0</v>
      </c>
      <c r="S3253">
        <f>IFERROR(O3253/N3253,0)</f>
        <v/>
      </c>
      <c r="T3253" t="n">
        <v>0</v>
      </c>
      <c r="V3253" t="n">
        <v>0</v>
      </c>
    </row>
    <row r="3254">
      <c r="A3254">
        <f>Skills!A20</f>
        <v/>
      </c>
      <c r="B3254">
        <f>Skills!B20</f>
        <v/>
      </c>
      <c r="C3254">
        <f>TRUE</f>
        <v/>
      </c>
      <c r="D3254">
        <f>IF(Skills!C20=1,60+Inputs!$B$25+Inputs!$B$29,IF(Skills!C20=2,90+Inputs!$B$26+Inputs!$B$29,IF(Skills!C20=3,120+Inputs!$B$27+Inputs!$B$29,MAX(0,(Inputs!$B$3-100)*3)+Inputs!$B$28+Inputs!$B$29)))</f>
        <v/>
      </c>
      <c r="E3254">
        <f>INDEX(FactorTable!$B$2:$Y$301, MATCH(ROUND(MIN(300,MAX(1,D3254)),0), FactorTable!$A$2:$A$301,0), Skills!M20+1)</f>
        <v/>
      </c>
      <c r="F3254">
        <f>IF(Skills!N20=TRUE,(Skills!L20/10)*(E3254/1000),Skills!L20/10)+Skills!O20</f>
        <v/>
      </c>
      <c r="G3254">
        <f>Skills!G20*IF(Skills!H20&gt;0,Skills!I20/Skills!H20,1)</f>
        <v/>
      </c>
      <c r="H3254">
        <f>1-(1-Skills!J20/100)^Skills!K20</f>
        <v/>
      </c>
      <c r="I3254" t="inlineStr">
        <is>
          <t>1</t>
        </is>
      </c>
      <c r="J3254" t="inlineStr"/>
      <c r="K3254" t="inlineStr"/>
      <c r="L3254" t="inlineStr"/>
      <c r="M3254" t="inlineStr"/>
      <c r="N3254" t="inlineStr"/>
      <c r="O3254">
        <f>(1-Summary!$B$11)*T3254+Summary!$B$11*V3254</f>
        <v/>
      </c>
      <c r="P3254">
        <f>IF(B3278=0,0,O3254/B3278)</f>
        <v/>
      </c>
      <c r="Q3254">
        <f>IFERROR(1/(IF(Inputs!$B$38="pvp",15,MAX(0.1,Skills!D20-IF(Skills!E20=TRUE,3.0,0)))*(1-IF(AND(ArtifactsInput!$M$27,Inputs!$B$4="Chapter Hunt"),CHOOSE(ArtifactsInput!$N$27+1,20,24,28,32,36,40),0)/100)),0)</f>
        <v/>
      </c>
      <c r="R3254">
        <f>IF(AND(Inputs!$B$38&lt;&gt;"pvp",Inputs!$B$43&gt;0),IF(Inputs!$B$43&lt;=0,0,(INT(Inputs!$B$43/(IF(Inputs!$B$38="pvp",15,MAX(0.1,Skills!D20-IF(Skills!E20=TRUE,3.0,0)))*(1-IF(AND(ArtifactsInput!$M$27,Inputs!$B$4="Chapter Hunt"),CHOOSE(ArtifactsInput!$N$27+1,20,24,28,32,36,40),0)/100)))+1)),0)</f>
        <v/>
      </c>
      <c r="S3254">
        <f>IFERROR(O3254/N3254,0)</f>
        <v/>
      </c>
      <c r="T3254" t="n">
        <v>0</v>
      </c>
      <c r="V3254" t="n">
        <v>0</v>
      </c>
    </row>
    <row r="3255">
      <c r="A3255">
        <f>Skills!A21</f>
        <v/>
      </c>
      <c r="B3255">
        <f>Skills!B21</f>
        <v/>
      </c>
      <c r="C3255">
        <f>Inputs!$B$3&gt;=15</f>
        <v/>
      </c>
      <c r="D3255">
        <f>IF(Skills!C21=1,60+Inputs!$B$25+Inputs!$B$29,IF(Skills!C21=2,90+Inputs!$B$26+Inputs!$B$29,IF(Skills!C21=3,120+Inputs!$B$27+Inputs!$B$29,MAX(0,(Inputs!$B$3-100)*3)+Inputs!$B$28+Inputs!$B$29)))</f>
        <v/>
      </c>
      <c r="E3255">
        <f>INDEX(FactorTable!$B$2:$Y$301, MATCH(ROUND(MIN(300,MAX(1,D3255)),0), FactorTable!$A$2:$A$301,0), Skills!M21+1)</f>
        <v/>
      </c>
      <c r="F3255">
        <f>IF(Skills!N21=TRUE,(Skills!L21/10)*(E3255/1000),Skills!L21/10)+Skills!O21</f>
        <v/>
      </c>
      <c r="G3255">
        <f>Skills!G21*IF(Skills!H21&gt;0,Skills!I21/Skills!H21,1)</f>
        <v/>
      </c>
      <c r="H3255">
        <f>1-(1-Skills!J21/100)^Skills!K21</f>
        <v/>
      </c>
      <c r="I3255" t="inlineStr">
        <is>
          <t>1</t>
        </is>
      </c>
      <c r="J3255" t="inlineStr"/>
      <c r="K3255" t="inlineStr"/>
      <c r="L3255" t="inlineStr"/>
      <c r="M3255" t="inlineStr"/>
      <c r="N3255" t="inlineStr"/>
      <c r="O3255">
        <f>(1-Summary!$B$11)*T3255+Summary!$B$11*V3255</f>
        <v/>
      </c>
      <c r="P3255">
        <f>IF(B3278=0,0,O3255/B3278)</f>
        <v/>
      </c>
      <c r="Q3255" t="n">
        <v>0</v>
      </c>
      <c r="R3255" t="n">
        <v>0</v>
      </c>
      <c r="S3255">
        <f>IFERROR(O3255/N3255,0)</f>
        <v/>
      </c>
      <c r="T3255" t="n">
        <v>0</v>
      </c>
      <c r="V3255" t="n">
        <v>0</v>
      </c>
    </row>
    <row r="3256">
      <c r="A3256">
        <f>Skills!A22</f>
        <v/>
      </c>
      <c r="B3256">
        <f>Skills!B22</f>
        <v/>
      </c>
      <c r="C3256">
        <f>Inputs!$B$3&gt;=10</f>
        <v/>
      </c>
      <c r="D3256">
        <f>IF(Skills!C22=1,60+Inputs!$B$25+Inputs!$B$29,IF(Skills!C22=2,90+Inputs!$B$26+Inputs!$B$29,IF(Skills!C22=3,120+Inputs!$B$27+Inputs!$B$29,MAX(0,(Inputs!$B$3-100)*3)+Inputs!$B$28+Inputs!$B$29)))</f>
        <v/>
      </c>
      <c r="E3256">
        <f>INDEX(FactorTable!$B$2:$Y$301, MATCH(ROUND(MIN(300,MAX(1,D3256)),0), FactorTable!$A$2:$A$301,0), Skills!M22+1)</f>
        <v/>
      </c>
      <c r="F3256">
        <f>IF(Skills!N22=TRUE,(Skills!L22/10)*(E3256/1000),Skills!L22/10)+Skills!O22</f>
        <v/>
      </c>
      <c r="G3256">
        <f>Skills!G22*IF(Skills!H22&gt;0,Skills!I22/Skills!H22,1)</f>
        <v/>
      </c>
      <c r="H3256">
        <f>1-(1-Skills!J22/100)^Skills!K22</f>
        <v/>
      </c>
      <c r="I3256" t="inlineStr">
        <is>
          <t>1</t>
        </is>
      </c>
      <c r="J3256" t="inlineStr"/>
      <c r="K3256" t="inlineStr"/>
      <c r="L3256" t="inlineStr"/>
      <c r="M3256" t="inlineStr"/>
      <c r="N3256" t="inlineStr"/>
      <c r="O3256">
        <f>(1-Summary!$B$11)*T3256+Summary!$B$11*V3256</f>
        <v/>
      </c>
      <c r="P3256">
        <f>IF(B3278=0,0,O3256/B3278)</f>
        <v/>
      </c>
      <c r="Q3256" t="n">
        <v>0</v>
      </c>
      <c r="R3256" t="n">
        <v>0</v>
      </c>
      <c r="S3256">
        <f>IFERROR(O3256/N3256,0)</f>
        <v/>
      </c>
      <c r="T3256" t="n">
        <v>0</v>
      </c>
      <c r="V3256" t="n">
        <v>0</v>
      </c>
    </row>
    <row r="3257">
      <c r="A3257">
        <f>Skills!A23</f>
        <v/>
      </c>
      <c r="B3257">
        <f>Skills!B23</f>
        <v/>
      </c>
      <c r="C3257">
        <f>Inputs!$B$3&gt;=33</f>
        <v/>
      </c>
      <c r="D3257">
        <f>IF(Skills!C23=1,60+Inputs!$B$25+Inputs!$B$29,IF(Skills!C23=2,90+Inputs!$B$26+Inputs!$B$29,IF(Skills!C23=3,120+Inputs!$B$27+Inputs!$B$29,MAX(0,(Inputs!$B$3-100)*3)+Inputs!$B$28+Inputs!$B$29)))</f>
        <v/>
      </c>
      <c r="E3257">
        <f>INDEX(FactorTable!$B$2:$Y$301, MATCH(ROUND(MIN(300,MAX(1,D3257)),0), FactorTable!$A$2:$A$301,0), Skills!M23+1)</f>
        <v/>
      </c>
      <c r="F3257">
        <f>IF(Skills!N23=TRUE,(Skills!L23/10)*(E3257/1000),Skills!L23/10)+Skills!O23</f>
        <v/>
      </c>
      <c r="G3257">
        <f>Skills!G23*IF(Skills!H23&gt;0,Skills!I23/Skills!H23,1)</f>
        <v/>
      </c>
      <c r="H3257">
        <f>1-(1-Skills!J23/100)^Skills!K23</f>
        <v/>
      </c>
      <c r="I3257" t="inlineStr">
        <is>
          <t>1</t>
        </is>
      </c>
      <c r="J3257" t="inlineStr"/>
      <c r="K3257" t="inlineStr"/>
      <c r="L3257" t="inlineStr"/>
      <c r="M3257" t="inlineStr"/>
      <c r="N3257" t="inlineStr"/>
      <c r="O3257">
        <f>(1-Summary!$B$11)*T3257+Summary!$B$11*V3257</f>
        <v/>
      </c>
      <c r="P3257">
        <f>IF(B3278=0,0,O3257/B3278)</f>
        <v/>
      </c>
      <c r="Q3257" t="n">
        <v>0</v>
      </c>
      <c r="R3257" t="n">
        <v>0</v>
      </c>
      <c r="S3257">
        <f>IFERROR(O3257/N3257,0)</f>
        <v/>
      </c>
      <c r="T3257" t="n">
        <v>0</v>
      </c>
      <c r="V3257" t="n">
        <v>0</v>
      </c>
    </row>
    <row r="3258">
      <c r="A3258">
        <f>Skills!A24</f>
        <v/>
      </c>
      <c r="B3258">
        <f>Skills!B24</f>
        <v/>
      </c>
      <c r="C3258">
        <f>Inputs!$B$3&gt;=38</f>
        <v/>
      </c>
      <c r="D3258">
        <f>IF(Skills!C24=1,60+Inputs!$B$25+Inputs!$B$29,IF(Skills!C24=2,90+Inputs!$B$26+Inputs!$B$29,IF(Skills!C24=3,120+Inputs!$B$27+Inputs!$B$29,MAX(0,(Inputs!$B$3-100)*3)+Inputs!$B$28+Inputs!$B$29)))</f>
        <v/>
      </c>
      <c r="E3258">
        <f>INDEX(FactorTable!$B$2:$Y$301, MATCH(ROUND(MIN(300,MAX(1,D3258)),0), FactorTable!$A$2:$A$301,0), Skills!M24+1)</f>
        <v/>
      </c>
      <c r="F3258">
        <f>IF(Skills!N24=TRUE,(Skills!L24/10)*(E3258/1000),Skills!L24/10)+Skills!O24</f>
        <v/>
      </c>
      <c r="G3258">
        <f>Skills!G24*IF(Skills!H24&gt;0,Skills!I24/Skills!H24,1)</f>
        <v/>
      </c>
      <c r="H3258">
        <f>1-(1-Skills!J24/100)^Skills!K24</f>
        <v/>
      </c>
      <c r="I3258" t="inlineStr">
        <is>
          <t>1</t>
        </is>
      </c>
      <c r="J3258" t="inlineStr"/>
      <c r="K3258" t="inlineStr"/>
      <c r="L3258" t="inlineStr"/>
      <c r="M3258" t="inlineStr"/>
      <c r="N3258" t="inlineStr"/>
      <c r="O3258">
        <f>(1-Summary!$B$11)*T3258+Summary!$B$11*V3258</f>
        <v/>
      </c>
      <c r="P3258">
        <f>IF(B3278=0,0,O3258/B3278)</f>
        <v/>
      </c>
      <c r="Q3258" t="n">
        <v>0</v>
      </c>
      <c r="R3258" t="n">
        <v>0</v>
      </c>
      <c r="S3258">
        <f>IFERROR(O3258/N3258,0)</f>
        <v/>
      </c>
      <c r="T3258" t="n">
        <v>0</v>
      </c>
      <c r="V3258" t="n">
        <v>0</v>
      </c>
    </row>
    <row r="3259">
      <c r="A3259">
        <f>Skills!A25</f>
        <v/>
      </c>
      <c r="B3259">
        <f>Skills!B25</f>
        <v/>
      </c>
      <c r="C3259">
        <f>Inputs!$B$3&gt;=43</f>
        <v/>
      </c>
      <c r="D3259">
        <f>IF(Skills!C25=1,60+Inputs!$B$25+Inputs!$B$29,IF(Skills!C25=2,90+Inputs!$B$26+Inputs!$B$29,IF(Skills!C25=3,120+Inputs!$B$27+Inputs!$B$29,MAX(0,(Inputs!$B$3-100)*3)+Inputs!$B$28+Inputs!$B$29)))</f>
        <v/>
      </c>
      <c r="E3259">
        <f>INDEX(FactorTable!$B$2:$Y$301, MATCH(ROUND(MIN(300,MAX(1,D3259)),0), FactorTable!$A$2:$A$301,0), Skills!M25+1)</f>
        <v/>
      </c>
      <c r="F3259">
        <f>IF(Skills!N25=TRUE,(Skills!L25/10)*(E3259/1000),Skills!L25/10)+Skills!O25</f>
        <v/>
      </c>
      <c r="G3259">
        <f>Skills!G25*IF(Skills!H25&gt;0,Skills!I25/Skills!H25,1)</f>
        <v/>
      </c>
      <c r="H3259">
        <f>1-(1-Skills!J25/100)^Skills!K25</f>
        <v/>
      </c>
      <c r="I3259" t="inlineStr">
        <is>
          <t>1</t>
        </is>
      </c>
      <c r="J3259" t="inlineStr"/>
      <c r="K3259" t="inlineStr"/>
      <c r="L3259" t="inlineStr"/>
      <c r="M3259" t="inlineStr"/>
      <c r="N3259" t="inlineStr"/>
      <c r="O3259">
        <f>(1-Summary!$B$11)*T3259+Summary!$B$11*V3259</f>
        <v/>
      </c>
      <c r="P3259">
        <f>IF(B3278=0,0,O3259/B3278)</f>
        <v/>
      </c>
      <c r="Q3259" t="n">
        <v>0</v>
      </c>
      <c r="R3259" t="n">
        <v>0</v>
      </c>
      <c r="S3259">
        <f>IFERROR(O3259/N3259,0)</f>
        <v/>
      </c>
      <c r="T3259" t="n">
        <v>0</v>
      </c>
      <c r="V3259" t="n">
        <v>0</v>
      </c>
    </row>
    <row r="3260">
      <c r="A3260">
        <f>Skills!A26</f>
        <v/>
      </c>
      <c r="B3260">
        <f>Skills!B26</f>
        <v/>
      </c>
      <c r="C3260">
        <f>Inputs!$B$3&gt;=75</f>
        <v/>
      </c>
      <c r="D3260">
        <f>IF(Skills!C26=1,60+Inputs!$B$25+Inputs!$B$29,IF(Skills!C26=2,90+Inputs!$B$26+Inputs!$B$29,IF(Skills!C26=3,120+Inputs!$B$27+Inputs!$B$29,MAX(0,(Inputs!$B$3-100)*3)+Inputs!$B$28+Inputs!$B$29)))</f>
        <v/>
      </c>
      <c r="E3260">
        <f>INDEX(FactorTable!$B$2:$Y$301, MATCH(ROUND(MIN(300,MAX(1,D3260)),0), FactorTable!$A$2:$A$301,0), Skills!M26+1)</f>
        <v/>
      </c>
      <c r="F3260">
        <f>IF(Skills!N26=TRUE,(Skills!L26/10)*(E3260/1000),Skills!L26/10)+Skills!O26</f>
        <v/>
      </c>
      <c r="G3260">
        <f>Skills!G26*IF(Skills!H26&gt;0,Skills!I26/Skills!H26,1)</f>
        <v/>
      </c>
      <c r="H3260">
        <f>1-(1-Skills!J26/100)^Skills!K26</f>
        <v/>
      </c>
      <c r="I3260" t="inlineStr">
        <is>
          <t>1</t>
        </is>
      </c>
      <c r="J3260" t="inlineStr"/>
      <c r="K3260" t="inlineStr"/>
      <c r="L3260" t="inlineStr"/>
      <c r="M3260" t="inlineStr"/>
      <c r="N3260" t="inlineStr"/>
      <c r="O3260">
        <f>(1-Summary!$B$11)*T3260+Summary!$B$11*V3260</f>
        <v/>
      </c>
      <c r="P3260">
        <f>IF(B3278=0,0,O3260/B3278)</f>
        <v/>
      </c>
      <c r="Q3260" t="n">
        <v>0</v>
      </c>
      <c r="R3260" t="n">
        <v>0</v>
      </c>
      <c r="S3260">
        <f>IFERROR(O3260/N3260,0)</f>
        <v/>
      </c>
      <c r="T3260" t="n">
        <v>0</v>
      </c>
      <c r="V3260" t="n">
        <v>0</v>
      </c>
    </row>
    <row r="3261">
      <c r="A3261">
        <f>Skills!A27</f>
        <v/>
      </c>
      <c r="B3261">
        <f>Skills!B27</f>
        <v/>
      </c>
      <c r="C3261">
        <f>Inputs!$B$3&gt;=125</f>
        <v/>
      </c>
      <c r="D3261">
        <f>IF(Skills!C27=1,60+Inputs!$B$25+Inputs!$B$29,IF(Skills!C27=2,90+Inputs!$B$26+Inputs!$B$29,IF(Skills!C27=3,120+Inputs!$B$27+Inputs!$B$29,MAX(0,(Inputs!$B$3-100)*3)+Inputs!$B$28+Inputs!$B$29)))</f>
        <v/>
      </c>
      <c r="E3261">
        <f>INDEX(FactorTable!$B$2:$Y$301, MATCH(ROUND(MIN(300,MAX(1,D3261)),0), FactorTable!$A$2:$A$301,0), Skills!M27+1)</f>
        <v/>
      </c>
      <c r="F3261">
        <f>IF(Skills!N27=TRUE,(Skills!L27/10)*(E3261/1000),Skills!L27/10)+Skills!O27</f>
        <v/>
      </c>
      <c r="G3261">
        <f>Skills!G27*IF(Skills!H27&gt;0,Skills!I27/Skills!H27,1)</f>
        <v/>
      </c>
      <c r="H3261">
        <f>1-(1-Skills!J27/100)^Skills!K27</f>
        <v/>
      </c>
      <c r="I3261" t="inlineStr">
        <is>
          <t>1</t>
        </is>
      </c>
      <c r="J3261" t="inlineStr"/>
      <c r="K3261" t="inlineStr"/>
      <c r="L3261" t="inlineStr"/>
      <c r="M3261" t="inlineStr"/>
      <c r="N3261" t="inlineStr"/>
      <c r="O3261">
        <f>(1-Summary!$B$11)*T3261+Summary!$B$11*V3261</f>
        <v/>
      </c>
      <c r="P3261">
        <f>IF(B3278=0,0,O3261/B3278)</f>
        <v/>
      </c>
      <c r="Q3261" t="n">
        <v>0</v>
      </c>
      <c r="R3261" t="n">
        <v>0</v>
      </c>
      <c r="S3261">
        <f>IFERROR(O3261/N3261,0)</f>
        <v/>
      </c>
      <c r="T3261" t="n">
        <v>0</v>
      </c>
      <c r="V3261" t="n">
        <v>0</v>
      </c>
    </row>
    <row r="3262">
      <c r="A3262">
        <f>Skills!A28</f>
        <v/>
      </c>
      <c r="B3262">
        <f>Skills!B28</f>
        <v/>
      </c>
      <c r="C3262">
        <f>Inputs!$B$3&gt;=125</f>
        <v/>
      </c>
      <c r="D3262">
        <f>IF(Skills!C28=1,60+Inputs!$B$25+Inputs!$B$29,IF(Skills!C28=2,90+Inputs!$B$26+Inputs!$B$29,IF(Skills!C28=3,120+Inputs!$B$27+Inputs!$B$29,MAX(0,(Inputs!$B$3-100)*3)+Inputs!$B$28+Inputs!$B$29)))</f>
        <v/>
      </c>
      <c r="E3262">
        <f>INDEX(FactorTable!$B$2:$Y$301, MATCH(ROUND(MIN(300,MAX(1,D3262)),0), FactorTable!$A$2:$A$301,0), Skills!M28+1)</f>
        <v/>
      </c>
      <c r="F3262">
        <f>IF(Skills!N28=TRUE,(Skills!L28/10)*(E3262/1000),Skills!L28/10)+Skills!O28</f>
        <v/>
      </c>
      <c r="G3262">
        <f>Skills!G28*IF(Skills!H28&gt;0,Skills!I28/Skills!H28,1)</f>
        <v/>
      </c>
      <c r="H3262">
        <f>1-(1-Skills!J28/100)^Skills!K28</f>
        <v/>
      </c>
      <c r="I3262" t="inlineStr">
        <is>
          <t>1</t>
        </is>
      </c>
      <c r="J3262" t="inlineStr"/>
      <c r="K3262" t="inlineStr"/>
      <c r="L3262" t="inlineStr"/>
      <c r="M3262" t="inlineStr"/>
      <c r="N3262" t="inlineStr"/>
      <c r="O3262">
        <f>(1-Summary!$B$11)*T3262+Summary!$B$11*V3262</f>
        <v/>
      </c>
      <c r="P3262">
        <f>IF(B3278=0,0,O3262/B3278)</f>
        <v/>
      </c>
      <c r="Q3262" t="n">
        <v>0</v>
      </c>
      <c r="R3262" t="n">
        <v>0</v>
      </c>
      <c r="S3262">
        <f>IFERROR(O3262/N3262,0)</f>
        <v/>
      </c>
      <c r="T3262" t="n">
        <v>0</v>
      </c>
      <c r="V3262" t="n">
        <v>0</v>
      </c>
    </row>
    <row r="3263">
      <c r="A3263">
        <f>Skills!A29</f>
        <v/>
      </c>
      <c r="B3263">
        <f>Skills!B29</f>
        <v/>
      </c>
      <c r="C3263">
        <f>Inputs!$B$3&gt;=120</f>
        <v/>
      </c>
      <c r="D3263">
        <f>IF(Skills!C29=1,60+Inputs!$B$25+Inputs!$B$29,IF(Skills!C29=2,90+Inputs!$B$26+Inputs!$B$29,IF(Skills!C29=3,120+Inputs!$B$27+Inputs!$B$29,MAX(0,(Inputs!$B$3-100)*3)+Inputs!$B$28+Inputs!$B$29)))</f>
        <v/>
      </c>
      <c r="E3263">
        <f>INDEX(FactorTable!$B$2:$Y$301, MATCH(ROUND(MIN(300,MAX(1,D3263)),0), FactorTable!$A$2:$A$301,0), Skills!M29+1)</f>
        <v/>
      </c>
      <c r="F3263">
        <f>IF(Skills!N29=TRUE,(Skills!L29/10)*(E3263/1000),Skills!L29/10)+Skills!O29</f>
        <v/>
      </c>
      <c r="G3263">
        <f>Skills!G29*IF(Skills!H29&gt;0,Skills!I29/Skills!H29,1)</f>
        <v/>
      </c>
      <c r="H3263">
        <f>1-(1-Skills!J29/100)^Skills!K29</f>
        <v/>
      </c>
      <c r="I3263" t="inlineStr">
        <is>
          <t>1</t>
        </is>
      </c>
      <c r="J3263" t="inlineStr"/>
      <c r="K3263" t="inlineStr"/>
      <c r="L3263" t="inlineStr"/>
      <c r="M3263" t="inlineStr"/>
      <c r="N3263" t="inlineStr"/>
      <c r="O3263">
        <f>(1-Summary!$B$11)*T3263+Summary!$B$11*V3263</f>
        <v/>
      </c>
      <c r="P3263">
        <f>IF(B3278=0,0,O3263/B3278)</f>
        <v/>
      </c>
      <c r="Q3263" t="n">
        <v>0</v>
      </c>
      <c r="R3263" t="n">
        <v>0</v>
      </c>
      <c r="S3263">
        <f>IFERROR(O3263/N3263,0)</f>
        <v/>
      </c>
      <c r="T3263" t="n">
        <v>0</v>
      </c>
      <c r="V3263" t="n">
        <v>0</v>
      </c>
    </row>
    <row r="3264">
      <c r="A3264">
        <f>Skills!A30</f>
        <v/>
      </c>
      <c r="B3264">
        <f>Skills!B30</f>
        <v/>
      </c>
      <c r="C3264">
        <f>Inputs!$B$3&gt;=120</f>
        <v/>
      </c>
      <c r="D3264">
        <f>IF(Skills!C30=1,60+Inputs!$B$25+Inputs!$B$29,IF(Skills!C30=2,90+Inputs!$B$26+Inputs!$B$29,IF(Skills!C30=3,120+Inputs!$B$27+Inputs!$B$29,MAX(0,(Inputs!$B$3-100)*3)+Inputs!$B$28+Inputs!$B$29)))</f>
        <v/>
      </c>
      <c r="E3264">
        <f>INDEX(FactorTable!$B$2:$Y$301, MATCH(ROUND(MIN(300,MAX(1,D3264)),0), FactorTable!$A$2:$A$301,0), Skills!M30+1)</f>
        <v/>
      </c>
      <c r="F3264">
        <f>IF(Skills!N30=TRUE,(Skills!L30/10)*(E3264/1000),Skills!L30/10)+Skills!O30</f>
        <v/>
      </c>
      <c r="G3264">
        <f>Skills!G30*IF(Skills!H30&gt;0,Skills!I30/Skills!H30,1)</f>
        <v/>
      </c>
      <c r="H3264">
        <f>1-(1-Skills!J30/100)^Skills!K30</f>
        <v/>
      </c>
      <c r="I3264" t="inlineStr">
        <is>
          <t>1</t>
        </is>
      </c>
      <c r="J3264" t="inlineStr"/>
      <c r="K3264" t="inlineStr"/>
      <c r="L3264" t="inlineStr"/>
      <c r="M3264" t="inlineStr"/>
      <c r="N3264" t="inlineStr"/>
      <c r="O3264">
        <f>(1-Summary!$B$11)*T3264+Summary!$B$11*V3264</f>
        <v/>
      </c>
      <c r="P3264">
        <f>IF(B3278=0,0,O3264/B3278)</f>
        <v/>
      </c>
      <c r="Q3264" t="n">
        <v>0</v>
      </c>
      <c r="R3264" t="n">
        <v>0</v>
      </c>
      <c r="S3264">
        <f>IFERROR(O3264/N3264,0)</f>
        <v/>
      </c>
      <c r="T3264" t="n">
        <v>0</v>
      </c>
      <c r="V3264" t="n">
        <v>0</v>
      </c>
    </row>
    <row r="3265">
      <c r="A3265">
        <f>Skills!A31</f>
        <v/>
      </c>
      <c r="B3265">
        <f>Skills!B31</f>
        <v/>
      </c>
      <c r="C3265">
        <f>Inputs!$B$3&gt;=45</f>
        <v/>
      </c>
      <c r="D3265">
        <f>IF(Skills!C31=1,60+Inputs!$B$25+Inputs!$B$29,IF(Skills!C31=2,90+Inputs!$B$26+Inputs!$B$29,IF(Skills!C31=3,120+Inputs!$B$27+Inputs!$B$29,MAX(0,(Inputs!$B$3-100)*3)+Inputs!$B$28+Inputs!$B$29)))</f>
        <v/>
      </c>
      <c r="E3265">
        <f>INDEX(FactorTable!$B$2:$Y$301, MATCH(ROUND(MIN(300,MAX(1,D3265)),0), FactorTable!$A$2:$A$301,0), Skills!M31+1)</f>
        <v/>
      </c>
      <c r="F3265">
        <f>IF(Skills!N31=TRUE,(Skills!L31/10)*(E3265/1000),Skills!L31/10)+Skills!O31</f>
        <v/>
      </c>
      <c r="G3265">
        <f>Skills!G31*IF(Skills!H31&gt;0,Skills!I31/Skills!H31,1)</f>
        <v/>
      </c>
      <c r="H3265">
        <f>1-(1-Skills!J31/100)^Skills!K31</f>
        <v/>
      </c>
      <c r="I3265" t="inlineStr">
        <is>
          <t>1</t>
        </is>
      </c>
      <c r="J3265" t="inlineStr"/>
      <c r="K3265" t="inlineStr"/>
      <c r="L3265" t="inlineStr"/>
      <c r="M3265" t="inlineStr"/>
      <c r="N3265" t="inlineStr"/>
      <c r="O3265">
        <f>(1-Summary!$B$11)*T3265+Summary!$B$11*V3265</f>
        <v/>
      </c>
      <c r="P3265">
        <f>IF(B3278=0,0,O3265/B3278)</f>
        <v/>
      </c>
      <c r="Q3265" t="n">
        <v>0</v>
      </c>
      <c r="R3265" t="n">
        <v>0</v>
      </c>
      <c r="S3265">
        <f>IFERROR(O3265/N3265,0)</f>
        <v/>
      </c>
      <c r="T3265" t="n">
        <v>0</v>
      </c>
      <c r="V3265" t="n">
        <v>0</v>
      </c>
    </row>
    <row r="3267">
      <c r="A3267" t="inlineStr">
        <is>
          <t>Attack% Bucket Multiplier</t>
        </is>
      </c>
      <c r="B3267">
        <f>(1+(((C3248=TRUE)*F3248)+((C3249=TRUE)*IF(Inputs!$B$38="pvp",F3249,(1-Summary!$B$11)*(F3249)+Summary!$B$11*(0)))+((C3250=TRUE)*F3250*IF(AND(Inputs!$B$38&lt;&gt;"pvp",Inputs!$B$43&gt;0),(((R3250-1)*(Skills!T16*(1+Inputs!$B$34/100))+MIN((Skills!T16*(1+Inputs!$B$34/100)),MAX(0,Inputs!$B$43-((R3250-1)*Skills!D16))))/Inputs!$B$43),IF(Inputs!$B$38="pvp",MIN((Skills!T16*(1+Inputs!$B$34/100)),15)/15,(Skills!T16*(1+Inputs!$B$34/100))/Skills!D16)))+((C3265=TRUE)*(F3265-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68">
      <c r="A3268" t="inlineStr">
        <is>
          <t>Global Crit Rate Bonus %</t>
        </is>
      </c>
      <c r="B3268">
        <f>(C3251=TRUE)*20*IF(AND(Inputs!$B$38&lt;&gt;"pvp",Inputs!$B$43&gt;0),(((R3251-1)*(Skills!T17*(1+Inputs!$B$34/100))+MIN((Skills!T17*(1+Inputs!$B$34/100)),MAX(0,Inputs!$B$43-((R3251-1)*Skills!D17))))/Inputs!$B$43),IF(Inputs!$B$38="pvp",MIN((Skills!T17*(1+Inputs!$B$34/100)),15)/15,(Skills!T17*(1+Inputs!$B$34/100))/Skills!D17))</f>
        <v/>
      </c>
    </row>
    <row r="3269">
      <c r="A3269" t="inlineStr">
        <is>
          <t>Attack Speed Buff Bonus %</t>
        </is>
      </c>
      <c r="B3269">
        <f>((C3254=TRUE)*F3254*IF(AND(Inputs!$B$38&lt;&gt;"pvp",Inputs!$B$43&gt;0),(((R3254-1)*(Skills!T20*(1+Inputs!$B$34/100))+MIN((Skills!T20*(1+Inputs!$B$34/100)),MAX(0,Inputs!$B$43-((R3254-1)*Skills!D20))))/Inputs!$B$43),IF(Inputs!$B$38="pvp",MIN((Skills!T20*(1+Inputs!$B$34/100)),15)/15,(Skills!T20*(1+Inputs!$B$34/100))/Skills!D20)))</f>
        <v/>
      </c>
    </row>
    <row r="3270">
      <c r="A3270" t="inlineStr">
        <is>
          <t>Actions Per Second</t>
        </is>
      </c>
      <c r="B3270">
        <f>1+MIN(150,150*(1-(1-(Inputs!$B$11+((C3256=TRUE)*(F3256-Calc!F22))+((C3257=TRUE)*(F3257-Calc!F23)))/150)*(1-B3269/150)))/100</f>
        <v/>
      </c>
    </row>
    <row r="3271">
      <c r="A3271" t="inlineStr">
        <is>
          <t>Skill + Buff Cast Rate</t>
        </is>
      </c>
      <c r="B3271">
        <f>IF(AND(Inputs!$B$38&lt;&gt;"pvp",Inputs!$B$43&gt;0),SUMPRODUCT((Skills!E2:E31=TRUE)*(C3236:C3265=TRUE)*R3236:R3265*Skills!F2:F31)/Inputs!$B$43,SUMPRODUCT((Skills!E2:E31=TRUE)*(C3236:C3265=TRUE)*Q3236:Q3265*Skills!F2:F31))</f>
        <v/>
      </c>
    </row>
    <row r="3272">
      <c r="A3272" t="inlineStr">
        <is>
          <t>Arrow Stream Casts Per Second</t>
        </is>
      </c>
      <c r="B3272">
        <f>MAX(0,B3270-B3271)</f>
        <v/>
      </c>
    </row>
    <row r="3273">
      <c r="A3273" t="inlineStr">
        <is>
          <t>Global Critical Damage Bonus % (Sharp Eyes + Concentration)</t>
        </is>
      </c>
      <c r="B3273">
        <f>(C3251=TRUE)*F3251*IF(AND(Inputs!$B$38&lt;&gt;"pvp",Inputs!$B$43&gt;0),(((R3251-1)*(Skills!T17*(1+Inputs!$B$34/100))+MIN((Skills!T17*(1+Inputs!$B$34/100)),MAX(0,Inputs!$B$43-((R3251-1)*Skills!D17))))/Inputs!$B$43),IF(Inputs!$B$38="pvp",MIN((Skills!T17*(1+Inputs!$B$34/100)),15)/15,(Skills!T17*(1+Inputs!$B$34/100))/Skills!D17))+(C3252=TRUE)*30</f>
        <v/>
      </c>
    </row>
    <row r="3274">
      <c r="A3274" t="inlineStr">
        <is>
          <t>Global Final Damage Bonus % (Mortal Blow)</t>
        </is>
      </c>
      <c r="B3274">
        <f>(C3253=TRUE)*F3253</f>
        <v/>
      </c>
    </row>
    <row r="3275">
      <c r="A3275" t="inlineStr">
        <is>
          <t>Buff-Casting Startup Delay (s, fixed-duration only)</t>
        </is>
      </c>
      <c r="B3275">
        <f>IF(AND(Inputs!$B$38&lt;&gt;"pvp",Inputs!$B$43&gt;0),SUMPRODUCT((Skills!T2:T31&gt;0)*(Skills!E2:E31=TRUE)*(C3236:C3265=TRUE))/B3270,0)</f>
        <v/>
      </c>
    </row>
    <row r="3276">
      <c r="A3276" t="inlineStr">
        <is>
          <t>Boss-Only Total DPS (this block's swept value)</t>
        </is>
      </c>
      <c r="B3276">
        <f>SUM(T3236:T3265)</f>
        <v/>
      </c>
    </row>
    <row r="3277">
      <c r="A3277" t="inlineStr">
        <is>
          <t>Normal-Only Total DPS (this block's swept value)</t>
        </is>
      </c>
      <c r="B3277">
        <f>SUM(V3236:V3265)</f>
        <v/>
      </c>
    </row>
    <row r="3278">
      <c r="A3278" s="6" t="inlineStr">
        <is>
          <t>TOTAL DPS</t>
        </is>
      </c>
      <c r="B3278" s="6">
        <f>SUM(O3236:O3265)</f>
        <v/>
      </c>
    </row>
    <row r="3281">
      <c r="A3281" s="6" t="inlineStr">
        <is>
          <t>Stat: CDR = 3.5s</t>
        </is>
      </c>
    </row>
    <row r="3282">
      <c r="A3282" s="5" t="inlineStr">
        <is>
          <t>Key</t>
        </is>
      </c>
      <c r="B3282" s="5" t="inlineStr">
        <is>
          <t>Name</t>
        </is>
      </c>
      <c r="C3282" s="5" t="inlineStr">
        <is>
          <t>Unlocked</t>
        </is>
      </c>
      <c r="D3282" s="5" t="inlineStr">
        <is>
          <t>InputLevel</t>
        </is>
      </c>
      <c r="E3282" s="5" t="inlineStr">
        <is>
          <t>Factor</t>
        </is>
      </c>
      <c r="F3282" s="5" t="inlineStr">
        <is>
          <t>CoefficientPercent</t>
        </is>
      </c>
      <c r="G3282" s="5" t="inlineStr">
        <is>
          <t>EffectiveHits</t>
        </is>
      </c>
      <c r="H3282" s="5" t="inlineStr">
        <is>
          <t>ProcProbability</t>
        </is>
      </c>
      <c r="I3282" s="5" t="inlineStr">
        <is>
          <t>MapleHeroMultiplier</t>
        </is>
      </c>
      <c r="J3282" s="5" t="inlineStr">
        <is>
          <t>BaseDamage</t>
        </is>
      </c>
      <c r="K3282" s="5" t="inlineStr">
        <is>
          <t>BaseHitDamage</t>
        </is>
      </c>
      <c r="L3282" s="5" t="inlineStr">
        <is>
          <t>NonCritAvg</t>
        </is>
      </c>
      <c r="M3282" s="5" t="inlineStr">
        <is>
          <t>CritAvg</t>
        </is>
      </c>
      <c r="N3282" s="5" t="inlineStr">
        <is>
          <t>ExpectedDamage(perHit)</t>
        </is>
      </c>
      <c r="O3282" s="5" t="inlineStr">
        <is>
          <t>DPS</t>
        </is>
      </c>
      <c r="P3282" s="5" t="inlineStr">
        <is>
          <t>% of Total</t>
        </is>
      </c>
      <c r="Q3282" s="5" t="inlineStr">
        <is>
          <t>InvCooldown</t>
        </is>
      </c>
      <c r="R3282" s="5" t="inlineStr">
        <is>
          <t>CastsInFight</t>
        </is>
      </c>
      <c r="S3282" s="5" t="inlineStr">
        <is>
          <t>HitRate(perSec)</t>
        </is>
      </c>
      <c r="U3282" t="inlineStr">
        <is>
          <t>helpers</t>
        </is>
      </c>
    </row>
    <row r="3283">
      <c r="A3283">
        <f>Skills!A2</f>
        <v/>
      </c>
      <c r="B3283">
        <f>Skills!B2</f>
        <v/>
      </c>
      <c r="C3283">
        <f>Inputs!$B$3&gt;=100</f>
        <v/>
      </c>
      <c r="D3283" t="inlineStr"/>
      <c r="E3283" t="inlineStr"/>
      <c r="F3283">
        <f>U3285+Skills!O2</f>
        <v/>
      </c>
      <c r="G3283">
        <f>Skills!G2*IF(Skills!H2&gt;0,Skills!I2/Skills!H2,1)</f>
        <v/>
      </c>
      <c r="H3283">
        <f>1-(1-Skills!J2/100)^Skills!K2</f>
        <v/>
      </c>
      <c r="I3283" t="inlineStr">
        <is>
          <t>1</t>
        </is>
      </c>
      <c r="J3283">
        <f>((Inputs!$B$6*(1+Inputs!$B$7/100))+(((Inputs!$B$12*(1+Inputs!$B$13/100))-(Inputs!$B$12*(1+Inputs!$B$13/100)))+0.25*(Inputs!$B$14-Inputs!$B$14))*(1+Inputs!$B$7/100))*(F3283/100)</f>
        <v/>
      </c>
      <c r="K3283">
        <f>J3283*(1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3283)</f>
        <v/>
      </c>
      <c r="L3283">
        <f>K3283*(MIN(Inputs!$B$22+((C3306=TRUE)*(F3306-Calc!F25)),(Inputs!$B$23+((C3311=TRUE)*(F3311-Calc!F30))+(IF(ArtifactsInput!$M$15,CHOOSE(ArtifactsInput!$N$15+1,25,30,35,40,45,50)/100*(Inputs!$B$11-Inputs!$B$11),0))))/100+(Inputs!$B$23+((C3311=TRUE)*(F3311-Calc!F30))+(IF(ArtifactsInput!$M$15,CHOOSE(ArtifactsInput!$N$15+1,25,30,35,40,45,50)/100*(Inputs!$B$11-Inputs!$B$11),0)))/100)/2</f>
        <v/>
      </c>
      <c r="M3283">
        <f>L3283*(1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3">
        <f>L3283*(1-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3283*(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3">
        <f>(1-Summary!$B$11)*T3283+Summary!$B$11*V3283</f>
        <v/>
      </c>
      <c r="P3283">
        <f>IF(B3325=0,0,O3283/B3325)</f>
        <v/>
      </c>
      <c r="Q3283" t="n">
        <v>0</v>
      </c>
      <c r="R3283" t="n">
        <v>0</v>
      </c>
      <c r="S3283">
        <f>IFERROR(O3283/N3283,0)</f>
        <v/>
      </c>
      <c r="T3283">
        <f>IF(C3283,(Skills!G2*N3283*B3319)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3283*(1-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3283*(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3283*(1-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3283*(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3">
        <f>MAX(0,(Inputs!$B$3-100)*3)+Inputs!$B$28+Inputs!$B$29</f>
        <v/>
      </c>
      <c r="V3283">
        <f>IF(C3283,(Skills!G2*N3283*B3319)*IF(Inputs!$B$38="pvp",1,(1+(Inputs!$B$21+Skills!Q2+(IF(ArtifactsInput!$M$33,CHOOSE(ArtifactsInput!$N$33+1,30,36,42,48,54,60),0))+(IF(AND(ArtifactsInput!$M$35,Inputs!$B$4&lt;&gt;"Chapter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4">
      <c r="A3284">
        <f>Skills!A3</f>
        <v/>
      </c>
      <c r="B3284">
        <f>Skills!B3</f>
        <v/>
      </c>
      <c r="C3284">
        <f>Inputs!$B$3&gt;=50</f>
        <v/>
      </c>
      <c r="D3284">
        <f>IF(Skills!C3=1,60+Inputs!$B$25+Inputs!$B$29,IF(Skills!C3=2,90+Inputs!$B$26+Inputs!$B$29,IF(Skills!C3=3,120+Inputs!$B$27+Inputs!$B$29,MAX(0,(Inputs!$B$3-100)*3)+Inputs!$B$28+Inputs!$B$29)))</f>
        <v/>
      </c>
      <c r="E3284">
        <f>INDEX(FactorTable!$B$2:$Y$301, MATCH(ROUND(MIN(300,MAX(1,D3284)),0), FactorTable!$A$2:$A$301,0), Skills!M3+1)</f>
        <v/>
      </c>
      <c r="F3284">
        <f>IF(Skills!N3=TRUE,(Skills!L3/10)*(E3284/1000),Skills!L3/10)+Skills!O3</f>
        <v/>
      </c>
      <c r="G3284">
        <f>Skills!G3*IF(Skills!H3&gt;0,Skills!I3/Skills!H3,1)</f>
        <v/>
      </c>
      <c r="H3284">
        <f>1-(1-Skills!J3/100)^Skills!K3</f>
        <v/>
      </c>
      <c r="I3284" t="inlineStr">
        <is>
          <t>1</t>
        </is>
      </c>
      <c r="J3284">
        <f>((Inputs!$B$6*(1+Inputs!$B$7/100))+(((Inputs!$B$12*(1+Inputs!$B$13/100))-(Inputs!$B$12*(1+Inputs!$B$13/100)))+0.25*(Inputs!$B$14-Inputs!$B$14))*(1+Inputs!$B$7/100))*(F3284/100)</f>
        <v/>
      </c>
      <c r="K3284">
        <f>J3284*(1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3285=TRUE,F3285,0)/100)*(1+(IF(Skills!A3="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3284)</f>
        <v/>
      </c>
      <c r="L3284">
        <f>K3284*(MIN(Inputs!$B$22+((C3306=TRUE)*(F3306-Calc!F25)),(Inputs!$B$23+((C3311=TRUE)*(F3311-Calc!F30))+(IF(ArtifactsInput!$M$15,CHOOSE(ArtifactsInput!$N$15+1,25,30,35,40,45,50)/100*(Inputs!$B$11-Inputs!$B$11),0))))/100+(Inputs!$B$23+((C3311=TRUE)*(F3311-Calc!F30))+(IF(ArtifactsInput!$M$15,CHOOSE(ArtifactsInput!$N$15+1,25,30,35,40,45,50)/100*(Inputs!$B$11-Inputs!$B$11),0)))/100)/2</f>
        <v/>
      </c>
      <c r="M3284">
        <f>L3284*(1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4">
        <f>L3284*(1-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3284*(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4">
        <f>(1-Summary!$B$11)*T3284+Summary!$B$11*V3284</f>
        <v/>
      </c>
      <c r="P3284">
        <f>IF(B3325=0,0,O3284/B3325)</f>
        <v/>
      </c>
      <c r="Q3284">
        <f>IFERROR(1/(IF(Inputs!$B$38="pvp",15,MAX(0.1,Skills!D3-IF(Skills!E3=TRUE,3.5,0)))*(1-IF(AND(ArtifactsInput!$M$27,Inputs!$B$4="Chapter Hunt"),CHOOSE(ArtifactsInput!$N$27+1,20,24,28,32,36,40),0)/100)),0)</f>
        <v/>
      </c>
      <c r="R3284">
        <f>IF(AND(Inputs!$B$38&lt;&gt;"pvp",Inputs!$B$43&gt;0),IF(MAX(0,Inputs!$B$43-B3322)&lt;=0,0,(INT(MAX(0,Inputs!$B$43-B3322)/(IF(Inputs!$B$38="pvp",15,MAX(0.1,Skills!D3-IF(Skills!E3=TRUE,3.5,0)))*(1-IF(AND(ArtifactsInput!$M$27,Inputs!$B$4="Chapter Hunt"),CHOOSE(ArtifactsInput!$N$27+1,20,24,28,32,36,40),0)/100)))+1)),0)</f>
        <v/>
      </c>
      <c r="S3284">
        <f>IFERROR(O3284/N3284,0)</f>
        <v/>
      </c>
      <c r="T3284">
        <f>IF(C3284,(H3284*N3284*IF(AND(Inputs!$B$38&lt;&gt;"pvp",Inputs!$B$43&gt;0),((Skills!G3*((R3284-1)*IF(Skills!H3&gt;0,Skills!I3/Skills!H3,1)+IF(Skills!H3&gt;0,MIN(Skills!I3,MAX(0,MAX(0,Inputs!$B$43-B3322)-((R3284-1)*(IF(Inputs!$B$38="pvp",15,MAX(0.1,Skills!D3-IF(Skills!E3=TRUE,3.5,0)))*(1-IF(AND(ArtifactsInput!$M$27,Inputs!$B$4="Chapter Hunt"),CHOOSE(ArtifactsInput!$N$27+1,20,24,28,32,36,40),0)/100)))))/Skills!H3,1)))/Inputs!$B$43),G3284*Q3284)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3284*(1-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3284*(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3284*(1-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3284*(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4">
        <f>INDEX(FactorTable!$B$2:$Y$301, MATCH(ROUND(MIN(300,MAX(1,U3283)),0), FactorTable!$A$2:$A$301,0), 22)</f>
        <v/>
      </c>
      <c r="V3284">
        <f>IF(C3284,(H3284*N3284*IF(AND(Inputs!$B$38&lt;&gt;"pvp",Inputs!$B$43&gt;0),((Skills!G3*((R3284-1)*IF(Skills!H3&gt;0,Skills!I3/Skills!H3,1)+IF(Skills!H3&gt;0,MIN(Skills!I3,MAX(0,MAX(0,Inputs!$B$43-B3322)-((R3284-1)*(IF(Inputs!$B$38="pvp",15,MAX(0.1,Skills!D3-IF(Skills!E3=TRUE,3.5,0)))*(1-IF(AND(ArtifactsInput!$M$27,Inputs!$B$4="Chapter Hunt"),CHOOSE(ArtifactsInput!$N$27+1,20,24,28,32,36,40),0)/100)))))/Skills!H3,1)))/Inputs!$B$43),G3284*Q3284))*IF(Inputs!$B$38="pvp",1,(1+(Inputs!$B$21+Skills!Q3+(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5">
      <c r="A3285">
        <f>Skills!A4</f>
        <v/>
      </c>
      <c r="B3285">
        <f>Skills!B4</f>
        <v/>
      </c>
      <c r="C3285">
        <f>Inputs!$B$3&gt;=105</f>
        <v/>
      </c>
      <c r="D3285">
        <f>IF(Skills!C4=1,60+Inputs!$B$25+Inputs!$B$29,IF(Skills!C4=2,90+Inputs!$B$26+Inputs!$B$29,IF(Skills!C4=3,120+Inputs!$B$27+Inputs!$B$29,MAX(0,(Inputs!$B$3-100)*3)+Inputs!$B$28+Inputs!$B$29)))</f>
        <v/>
      </c>
      <c r="E3285">
        <f>INDEX(FactorTable!$B$2:$Y$301, MATCH(ROUND(MIN(300,MAX(1,D3285)),0), FactorTable!$A$2:$A$301,0), Skills!M4+1)</f>
        <v/>
      </c>
      <c r="F3285">
        <f>IF(Skills!N4=TRUE,(Skills!L4/10)*(E3285/1000),Skills!L4/10)+Skills!O4</f>
        <v/>
      </c>
      <c r="G3285" t="inlineStr"/>
      <c r="H3285" t="inlineStr"/>
      <c r="I3285" t="inlineStr">
        <is>
          <t>1</t>
        </is>
      </c>
      <c r="J3285" t="inlineStr"/>
      <c r="K3285" t="inlineStr"/>
      <c r="L3285" t="inlineStr"/>
      <c r="M3285" t="inlineStr"/>
      <c r="N3285" t="inlineStr"/>
      <c r="O3285" t="inlineStr"/>
      <c r="P3285" t="inlineStr"/>
      <c r="Q3285" t="inlineStr"/>
      <c r="R3285" t="inlineStr"/>
      <c r="S3285" t="inlineStr"/>
      <c r="T3285" t="inlineStr"/>
      <c r="U3285">
        <f>290*U3284/1000</f>
        <v/>
      </c>
      <c r="V3285" t="inlineStr"/>
    </row>
    <row r="3286">
      <c r="A3286">
        <f>Skills!A5</f>
        <v/>
      </c>
      <c r="B3286">
        <f>Skills!B5</f>
        <v/>
      </c>
      <c r="C3286">
        <f>Inputs!$B$3&gt;=35</f>
        <v/>
      </c>
      <c r="D3286">
        <f>IF(Skills!C5=1,60+Inputs!$B$25+Inputs!$B$29,IF(Skills!C5=2,90+Inputs!$B$26+Inputs!$B$29,IF(Skills!C5=3,120+Inputs!$B$27+Inputs!$B$29,MAX(0,(Inputs!$B$3-100)*3)+Inputs!$B$28+Inputs!$B$29)))</f>
        <v/>
      </c>
      <c r="E3286">
        <f>INDEX(FactorTable!$B$2:$Y$301, MATCH(ROUND(MIN(300,MAX(1,D3286)),0), FactorTable!$A$2:$A$301,0), Skills!M5+1)</f>
        <v/>
      </c>
      <c r="F3286">
        <f>IF(Skills!N5=TRUE,(Skills!L5/10)*(E3286/1000),Skills!L5/10)+Skills!O5</f>
        <v/>
      </c>
      <c r="G3286">
        <f>Skills!G5*IF(Skills!H5&gt;0,Skills!I5/Skills!H5,1)</f>
        <v/>
      </c>
      <c r="H3286">
        <f>1-(1-Skills!J5/100)^Skills!K5</f>
        <v/>
      </c>
      <c r="I3286" t="inlineStr">
        <is>
          <t>1</t>
        </is>
      </c>
      <c r="J3286">
        <f>((Inputs!$B$6*(1+Inputs!$B$7/100))+(((Inputs!$B$12*(1+Inputs!$B$13/100))-(Inputs!$B$12*(1+Inputs!$B$13/100)))+0.25*(Inputs!$B$14-Inputs!$B$14))*(1+Inputs!$B$7/100))*(F3286/100)</f>
        <v/>
      </c>
      <c r="K3286">
        <f>J3286*(1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3292=TRUE,F3292,0)/100)*(1+(IF(Skills!A5="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3286)</f>
        <v/>
      </c>
      <c r="L3286">
        <f>K3286*(MIN(Inputs!$B$22+((C3306=TRUE)*(F3306-Calc!F25)),(Inputs!$B$23+((C3311=TRUE)*(F3311-Calc!F30))+(IF(ArtifactsInput!$M$15,CHOOSE(ArtifactsInput!$N$15+1,25,30,35,40,45,50)/100*(Inputs!$B$11-Inputs!$B$11),0))))/100+(Inputs!$B$23+((C3311=TRUE)*(F3311-Calc!F30))+(IF(ArtifactsInput!$M$15,CHOOSE(ArtifactsInput!$N$15+1,25,30,35,40,45,50)/100*(Inputs!$B$11-Inputs!$B$11),0)))/100)/2</f>
        <v/>
      </c>
      <c r="M3286">
        <f>L3286*(1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6">
        <f>L3286*(1-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3286*(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6">
        <f>(1-Summary!$B$11)*T3286+Summary!$B$11*V3286</f>
        <v/>
      </c>
      <c r="P3286">
        <f>IF(B3325=0,0,O3286/B3325)</f>
        <v/>
      </c>
      <c r="Q3286">
        <f>IFERROR(1/(IF(Inputs!$B$38="pvp",15,MAX(0.1,Skills!D5-IF(Skills!E5=TRUE,3.5,0)))*(1-IF(AND(ArtifactsInput!$M$27,Inputs!$B$4="Chapter Hunt"),CHOOSE(ArtifactsInput!$N$27+1,20,24,28,32,36,40),0)/100)),0)</f>
        <v/>
      </c>
      <c r="R3286">
        <f>IF(AND(Inputs!$B$38&lt;&gt;"pvp",Inputs!$B$43&gt;0),IF(MAX(0,Inputs!$B$43-B3322)&lt;=0,0,(INT(MAX(0,Inputs!$B$43-B3322)/(IF(Inputs!$B$38="pvp",15,MAX(0.1,Skills!D5-IF(Skills!E5=TRUE,3.5,0)))*(1-IF(AND(ArtifactsInput!$M$27,Inputs!$B$4="Chapter Hunt"),CHOOSE(ArtifactsInput!$N$27+1,20,24,28,32,36,40),0)/100)))+1)),0)</f>
        <v/>
      </c>
      <c r="S3286">
        <f>IFERROR(O3286/N3286,0)</f>
        <v/>
      </c>
      <c r="T3286">
        <f>IF(C3286,(H3286*N3286*IF(AND(Inputs!$B$38&lt;&gt;"pvp",Inputs!$B$43&gt;0),((Skills!G5*((R3286-1)*IF(Skills!H5&gt;0,Skills!I5/Skills!H5,1)+IF(Skills!H5&gt;0,MIN(Skills!I5,MAX(0,MAX(0,Inputs!$B$43-B3322)-((R3286-1)*(IF(Inputs!$B$38="pvp",15,MAX(0.1,Skills!D5-IF(Skills!E5=TRUE,3.5,0)))*(1-IF(AND(ArtifactsInput!$M$27,Inputs!$B$4="Chapter Hunt"),CHOOSE(ArtifactsInput!$N$27+1,20,24,28,32,36,40),0)/100)))))/Skills!H5,1)))/Inputs!$B$43),G3286*Q3286)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3286*(1-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3286*(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3286*(1-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3286*(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6">
        <f>IF(C3286,(H3286*N3286*IF(AND(Inputs!$B$38&lt;&gt;"pvp",Inputs!$B$43&gt;0),((Skills!G5*((R3286-1)*IF(Skills!H5&gt;0,Skills!I5/Skills!H5,1)+IF(Skills!H5&gt;0,MIN(Skills!I5,MAX(0,MAX(0,Inputs!$B$43-B3322)-((R3286-1)*(IF(Inputs!$B$38="pvp",15,MAX(0.1,Skills!D5-IF(Skills!E5=TRUE,3.5,0)))*(1-IF(AND(ArtifactsInput!$M$27,Inputs!$B$4="Chapter Hunt"),CHOOSE(ArtifactsInput!$N$27+1,20,24,28,32,36,40),0)/100)))))/Skills!H5,1)))/Inputs!$B$43),G3286*Q3286))*IF(Inputs!$B$38="pvp",1,(1+(Inputs!$B$21+Skills!Q5+(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7">
      <c r="A3287">
        <f>Skills!A6</f>
        <v/>
      </c>
      <c r="B3287">
        <f>Skills!B6</f>
        <v/>
      </c>
      <c r="C3287">
        <f>Inputs!$B$3&gt;=40</f>
        <v/>
      </c>
      <c r="D3287">
        <f>IF(Skills!C6=1,60+Inputs!$B$25+Inputs!$B$29,IF(Skills!C6=2,90+Inputs!$B$26+Inputs!$B$29,IF(Skills!C6=3,120+Inputs!$B$27+Inputs!$B$29,MAX(0,(Inputs!$B$3-100)*3)+Inputs!$B$28+Inputs!$B$29)))</f>
        <v/>
      </c>
      <c r="E3287">
        <f>INDEX(FactorTable!$B$2:$Y$301, MATCH(ROUND(MIN(300,MAX(1,D3287)),0), FactorTable!$A$2:$A$301,0), Skills!M6+1)</f>
        <v/>
      </c>
      <c r="F3287">
        <f>IF(Skills!N6=TRUE,(Skills!L6/10)*(E3287/1000),Skills!L6/10)+Skills!O6</f>
        <v/>
      </c>
      <c r="G3287">
        <f>Skills!G6*IF(Skills!H6&gt;0,Skills!I6/Skills!H6,1)</f>
        <v/>
      </c>
      <c r="H3287">
        <f>1-(1-Skills!J6/100)^Skills!K6</f>
        <v/>
      </c>
      <c r="I3287" t="inlineStr">
        <is>
          <t>1</t>
        </is>
      </c>
      <c r="J3287">
        <f>((Inputs!$B$6*(1+Inputs!$B$7/100))+(((Inputs!$B$12*(1+Inputs!$B$13/100))-(Inputs!$B$12*(1+Inputs!$B$13/100)))+0.25*(Inputs!$B$14-Inputs!$B$14))*(1+Inputs!$B$7/100))*(F3287/100)</f>
        <v/>
      </c>
      <c r="K3287">
        <f>J3287*(1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3288=TRUE,F3288,0)/100)*(1+(IF(Skills!A6="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3287)</f>
        <v/>
      </c>
      <c r="L3287">
        <f>K3287*(MIN(Inputs!$B$22+((C3306=TRUE)*(F3306-Calc!F25)),(Inputs!$B$23+((C3311=TRUE)*(F3311-Calc!F30))+(IF(ArtifactsInput!$M$15,CHOOSE(ArtifactsInput!$N$15+1,25,30,35,40,45,50)/100*(Inputs!$B$11-Inputs!$B$11),0))))/100+(Inputs!$B$23+((C3311=TRUE)*(F3311-Calc!F30))+(IF(ArtifactsInput!$M$15,CHOOSE(ArtifactsInput!$N$15+1,25,30,35,40,45,50)/100*(Inputs!$B$11-Inputs!$B$11),0)))/100)/2</f>
        <v/>
      </c>
      <c r="M3287">
        <f>L3287*(1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7">
        <f>L3287*(1-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3287*(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7">
        <f>(1-Summary!$B$11)*T3287+Summary!$B$11*V3287</f>
        <v/>
      </c>
      <c r="P3287">
        <f>IF(B3325=0,0,O3287/B3325)</f>
        <v/>
      </c>
      <c r="Q3287">
        <f>IFERROR(1/(IF(Inputs!$B$38="pvp",15,MAX(0.1,Skills!D6-IF(Skills!E6=TRUE,3.5,0)))*(1-IF(AND(ArtifactsInput!$M$27,Inputs!$B$4="Chapter Hunt"),CHOOSE(ArtifactsInput!$N$27+1,20,24,28,32,36,40),0)/100)),0)</f>
        <v/>
      </c>
      <c r="R3287">
        <f>IF(AND(Inputs!$B$38&lt;&gt;"pvp",Inputs!$B$43&gt;0),IF(MAX(0,Inputs!$B$43-B3322)&lt;=0,0,(INT(MAX(0,Inputs!$B$43-B3322)/(IF(Inputs!$B$38="pvp",15,MAX(0.1,Skills!D6-IF(Skills!E6=TRUE,3.5,0)))*(1-IF(AND(ArtifactsInput!$M$27,Inputs!$B$4="Chapter Hunt"),CHOOSE(ArtifactsInput!$N$27+1,20,24,28,32,36,40),0)/100)))+1)),0)</f>
        <v/>
      </c>
      <c r="S3287">
        <f>IFERROR(O3287/N3287,0)</f>
        <v/>
      </c>
      <c r="T3287">
        <f>IF(C3287,(H3287*N3287*IF(AND(Inputs!$B$38&lt;&gt;"pvp",Inputs!$B$43&gt;0),((Skills!G6*((R3287-1)*IF(Skills!H6&gt;0,Skills!I6/Skills!H6,1)+IF(Skills!H6&gt;0,MIN(Skills!I6,MAX(0,MAX(0,Inputs!$B$43-B3322)-((R3287-1)*(IF(Inputs!$B$38="pvp",15,MAX(0.1,Skills!D6-IF(Skills!E6=TRUE,3.5,0)))*(1-IF(AND(ArtifactsInput!$M$27,Inputs!$B$4="Chapter Hunt"),CHOOSE(ArtifactsInput!$N$27+1,20,24,28,32,36,40),0)/100)))))/Skills!H6,1)))/Inputs!$B$43),G3287*Q3287)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3287*(1-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3287*(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3287*(1-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3287*(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7">
        <f>IF(C3287,(H3287*N3287*IF(AND(Inputs!$B$38&lt;&gt;"pvp",Inputs!$B$43&gt;0),((Skills!G6*((R3287-1)*IF(Skills!H6&gt;0,Skills!I6/Skills!H6,1)+IF(Skills!H6&gt;0,MIN(Skills!I6,MAX(0,MAX(0,Inputs!$B$43-B3322)-((R3287-1)*(IF(Inputs!$B$38="pvp",15,MAX(0.1,Skills!D6-IF(Skills!E6=TRUE,3.5,0)))*(1-IF(AND(ArtifactsInput!$M$27,Inputs!$B$4="Chapter Hunt"),CHOOSE(ArtifactsInput!$N$27+1,20,24,28,32,36,40),0)/100)))))/Skills!H6,1)))/Inputs!$B$43),G3287*Q3287))*IF(Inputs!$B$38="pvp",1,(1+(Inputs!$B$21+Skills!Q6+(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8">
      <c r="A3288">
        <f>Skills!A7</f>
        <v/>
      </c>
      <c r="B3288">
        <f>Skills!B7</f>
        <v/>
      </c>
      <c r="C3288">
        <f>Inputs!$B$3&gt;=107</f>
        <v/>
      </c>
      <c r="D3288">
        <f>IF(Skills!C7=1,60+Inputs!$B$25+Inputs!$B$29,IF(Skills!C7=2,90+Inputs!$B$26+Inputs!$B$29,IF(Skills!C7=3,120+Inputs!$B$27+Inputs!$B$29,MAX(0,(Inputs!$B$3-100)*3)+Inputs!$B$28+Inputs!$B$29)))</f>
        <v/>
      </c>
      <c r="E3288">
        <f>INDEX(FactorTable!$B$2:$Y$301, MATCH(ROUND(MIN(300,MAX(1,D3288)),0), FactorTable!$A$2:$A$301,0), Skills!M7+1)</f>
        <v/>
      </c>
      <c r="F3288">
        <f>IF(Skills!N7=TRUE,(Skills!L7/10)*(E3288/1000),Skills!L7/10)+Skills!O7</f>
        <v/>
      </c>
      <c r="G3288" t="inlineStr"/>
      <c r="H3288" t="inlineStr"/>
      <c r="I3288" t="inlineStr">
        <is>
          <t>1</t>
        </is>
      </c>
      <c r="J3288" t="inlineStr"/>
      <c r="K3288" t="inlineStr"/>
      <c r="L3288" t="inlineStr"/>
      <c r="M3288" t="inlineStr"/>
      <c r="N3288" t="inlineStr"/>
      <c r="O3288" t="inlineStr"/>
      <c r="P3288" t="inlineStr"/>
      <c r="Q3288" t="inlineStr"/>
      <c r="R3288" t="inlineStr"/>
      <c r="S3288" t="inlineStr"/>
      <c r="T3288" t="inlineStr"/>
      <c r="V3288" t="inlineStr"/>
    </row>
    <row r="3289">
      <c r="A3289">
        <f>Skills!A8</f>
        <v/>
      </c>
      <c r="B3289">
        <f>Skills!B8</f>
        <v/>
      </c>
      <c r="C3289">
        <f>Inputs!$B$3&gt;=69</f>
        <v/>
      </c>
      <c r="D3289">
        <f>IF(Skills!C8=1,60+Inputs!$B$25+Inputs!$B$29,IF(Skills!C8=2,90+Inputs!$B$26+Inputs!$B$29,IF(Skills!C8=3,120+Inputs!$B$27+Inputs!$B$29,MAX(0,(Inputs!$B$3-100)*3)+Inputs!$B$28+Inputs!$B$29)))</f>
        <v/>
      </c>
      <c r="E3289">
        <f>INDEX(FactorTable!$B$2:$Y$301, MATCH(ROUND(MIN(300,MAX(1,D3289)),0), FactorTable!$A$2:$A$301,0), Skills!M8+1)</f>
        <v/>
      </c>
      <c r="F3289">
        <f>IF(Skills!N8=TRUE,(Skills!L8/10)*(E3289/1000),Skills!L8/10)+Skills!O8</f>
        <v/>
      </c>
      <c r="G3289">
        <f>Skills!G8*IF(Skills!H8&gt;0,Skills!I8/Skills!H8,1)</f>
        <v/>
      </c>
      <c r="H3289">
        <f>1-(1-Skills!J8/100)^Skills!K8</f>
        <v/>
      </c>
      <c r="I3289" t="inlineStr">
        <is>
          <t>1</t>
        </is>
      </c>
      <c r="J3289">
        <f>((Inputs!$B$6*(1+Inputs!$B$7/100))+(((Inputs!$B$12*(1+Inputs!$B$13/100))-(Inputs!$B$12*(1+Inputs!$B$13/100)))+0.25*(Inputs!$B$14-Inputs!$B$14))*(1+Inputs!$B$7/100))*(F3289/100)</f>
        <v/>
      </c>
      <c r="K3289">
        <f>J3289*(1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3292=TRUE,F3292,0)/100)*(1+(IF(Skills!A8="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3289)</f>
        <v/>
      </c>
      <c r="L3289">
        <f>K3289*(MIN(Inputs!$B$22+((C3306=TRUE)*(F3306-Calc!F25)),(Inputs!$B$23+((C3311=TRUE)*(F3311-Calc!F30))+(IF(ArtifactsInput!$M$15,CHOOSE(ArtifactsInput!$N$15+1,25,30,35,40,45,50)/100*(Inputs!$B$11-Inputs!$B$11),0))))/100+(Inputs!$B$23+((C3311=TRUE)*(F3311-Calc!F30))+(IF(ArtifactsInput!$M$15,CHOOSE(ArtifactsInput!$N$15+1,25,30,35,40,45,50)/100*(Inputs!$B$11-Inputs!$B$11),0)))/100)/2</f>
        <v/>
      </c>
      <c r="M3289">
        <f>L3289*(1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9">
        <f>L3289*(1-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3289*(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9">
        <f>(1-Summary!$B$11)*T3289+Summary!$B$11*V3289</f>
        <v/>
      </c>
      <c r="P3289">
        <f>IF(B3325=0,0,O3289/B3325)</f>
        <v/>
      </c>
      <c r="Q3289">
        <f>IFERROR(1/(IF(Inputs!$B$38="pvp",15,MAX(0.1,Skills!D8-IF(Skills!E8=TRUE,3.5,0)))*(1-IF(AND(ArtifactsInput!$M$27,Inputs!$B$4="Chapter Hunt"),CHOOSE(ArtifactsInput!$N$27+1,20,24,28,32,36,40),0)/100)),0)</f>
        <v/>
      </c>
      <c r="R3289">
        <f>IF(AND(Inputs!$B$38&lt;&gt;"pvp",Inputs!$B$43&gt;0),IF(MAX(0,Inputs!$B$43-B3322)&lt;=0,0,(INT(MAX(0,Inputs!$B$43-B3322)/(IF(Inputs!$B$38="pvp",15,MAX(0.1,Skills!D8-IF(Skills!E8=TRUE,3.5,0)))*(1-IF(AND(ArtifactsInput!$M$27,Inputs!$B$4="Chapter Hunt"),CHOOSE(ArtifactsInput!$N$27+1,20,24,28,32,36,40),0)/100)))+1)),0)</f>
        <v/>
      </c>
      <c r="S3289">
        <f>IFERROR(O3289/N3289,0)</f>
        <v/>
      </c>
      <c r="T3289">
        <f>IF(C3289,(H3289*N3289*IF(AND(Inputs!$B$38&lt;&gt;"pvp",Inputs!$B$43&gt;0),((Skills!G8*((R3289-1)*IF(Skills!H8&gt;0,Skills!I8/Skills!H8,1)+IF(Skills!H8&gt;0,MIN(Skills!I8,MAX(0,MAX(0,Inputs!$B$43-B3322)-((R3289-1)*(IF(Inputs!$B$38="pvp",15,MAX(0.1,Skills!D8-IF(Skills!E8=TRUE,3.5,0)))*(1-IF(AND(ArtifactsInput!$M$27,Inputs!$B$4="Chapter Hunt"),CHOOSE(ArtifactsInput!$N$27+1,20,24,28,32,36,40),0)/100)))))/Skills!H8,1)))/Inputs!$B$43),G3289*Q3289)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3289*(1-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3289*(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3289*(1-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3289*(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9">
        <f>IF(C3289,(H3289*N3289*IF(AND(Inputs!$B$38&lt;&gt;"pvp",Inputs!$B$43&gt;0),((Skills!G8*((R3289-1)*IF(Skills!H8&gt;0,Skills!I8/Skills!H8,1)+IF(Skills!H8&gt;0,MIN(Skills!I8,MAX(0,MAX(0,Inputs!$B$43-B3322)-((R3289-1)*(IF(Inputs!$B$38="pvp",15,MAX(0.1,Skills!D8-IF(Skills!E8=TRUE,3.5,0)))*(1-IF(AND(ArtifactsInput!$M$27,Inputs!$B$4="Chapter Hunt"),CHOOSE(ArtifactsInput!$N$27+1,20,24,28,32,36,40),0)/100)))))/Skills!H8,1)))/Inputs!$B$43),G3289*Q3289))*IF(Inputs!$B$38="pvp",1,(1+(Inputs!$B$21+Skills!Q8+(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0">
      <c r="A3290">
        <f>Skills!A9</f>
        <v/>
      </c>
      <c r="B3290">
        <f>Skills!B9</f>
        <v/>
      </c>
      <c r="C3290">
        <f>Inputs!$B$3&gt;=63</f>
        <v/>
      </c>
      <c r="D3290">
        <f>IF(Skills!C9=1,60+Inputs!$B$25+Inputs!$B$29,IF(Skills!C9=2,90+Inputs!$B$26+Inputs!$B$29,IF(Skills!C9=3,120+Inputs!$B$27+Inputs!$B$29,MAX(0,(Inputs!$B$3-100)*3)+Inputs!$B$28+Inputs!$B$29)))</f>
        <v/>
      </c>
      <c r="E3290">
        <f>INDEX(FactorTable!$B$2:$Y$301, MATCH(ROUND(MIN(300,MAX(1,D3290)),0), FactorTable!$A$2:$A$301,0), Skills!M9+1)</f>
        <v/>
      </c>
      <c r="F3290">
        <f>IF(Skills!N9=TRUE,(Skills!L9/10)*(E3290/1000),Skills!L9/10)+Skills!O9</f>
        <v/>
      </c>
      <c r="G3290">
        <f>Skills!G9*IF(Skills!H9&gt;0,Skills!I9/Skills!H9,1)</f>
        <v/>
      </c>
      <c r="H3290">
        <f>1-(1-Skills!J9/100)^Skills!K9</f>
        <v/>
      </c>
      <c r="I3290" t="inlineStr">
        <is>
          <t>1</t>
        </is>
      </c>
      <c r="J3290">
        <f>((Inputs!$B$6*(1+Inputs!$B$7/100))+(((Inputs!$B$12*(1+Inputs!$B$13/100))-(Inputs!$B$12*(1+Inputs!$B$13/100)))+0.25*(Inputs!$B$14-Inputs!$B$14))*(1+Inputs!$B$7/100))*(F3290/100)</f>
        <v/>
      </c>
      <c r="K3290">
        <f>J3290*(1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3292=TRUE,F3292,0)/100)*(1+(IF(Skills!A9="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3290)</f>
        <v/>
      </c>
      <c r="L3290">
        <f>K3290*(MIN(Inputs!$B$22+((C3306=TRUE)*(F3306-Calc!F25)),(Inputs!$B$23+((C3311=TRUE)*(F3311-Calc!F30))+(IF(ArtifactsInput!$M$15,CHOOSE(ArtifactsInput!$N$15+1,25,30,35,40,45,50)/100*(Inputs!$B$11-Inputs!$B$11),0))))/100+(Inputs!$B$23+((C3311=TRUE)*(F3311-Calc!F30))+(IF(ArtifactsInput!$M$15,CHOOSE(ArtifactsInput!$N$15+1,25,30,35,40,45,50)/100*(Inputs!$B$11-Inputs!$B$11),0)))/100)/2</f>
        <v/>
      </c>
      <c r="M3290">
        <f>L3290*(1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0">
        <f>L3290*(1-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3290*(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0">
        <f>(1-Summary!$B$11)*T3290+Summary!$B$11*V3290</f>
        <v/>
      </c>
      <c r="P3290">
        <f>IF(B3325=0,0,O3290/B3325)</f>
        <v/>
      </c>
      <c r="Q3290">
        <f>IFERROR(1/(IF(Inputs!$B$38="pvp",15,MAX(0.1,Skills!D9-IF(Skills!E9=TRUE,3.5,0)))*(1-IF(AND(ArtifactsInput!$M$27,Inputs!$B$4="Chapter Hunt"),CHOOSE(ArtifactsInput!$N$27+1,20,24,28,32,36,40),0)/100)),0)</f>
        <v/>
      </c>
      <c r="R3290">
        <f>IF(AND(Inputs!$B$38&lt;&gt;"pvp",Inputs!$B$43&gt;0),IF(MAX(0,Inputs!$B$43-B3322)&lt;=0,0,(INT(MAX(0,Inputs!$B$43-B3322)/(IF(Inputs!$B$38="pvp",15,MAX(0.1,Skills!D9-IF(Skills!E9=TRUE,3.5,0)))*(1-IF(AND(ArtifactsInput!$M$27,Inputs!$B$4="Chapter Hunt"),CHOOSE(ArtifactsInput!$N$27+1,20,24,28,32,36,40),0)/100)))+1)),0)</f>
        <v/>
      </c>
      <c r="S3290">
        <f>IFERROR(O3290/N3290,0)</f>
        <v/>
      </c>
      <c r="T3290">
        <f>IF(C3290,(H3290*N3290*IF(AND(Inputs!$B$38&lt;&gt;"pvp",Inputs!$B$43&gt;0),((Skills!G9*((R3290-1)*IF(Skills!H9&gt;0,Skills!I9/Skills!H9,1)+IF(Skills!H9&gt;0,MIN(Skills!I9,MAX(0,MAX(0,Inputs!$B$43-B3322)-((R3290-1)*(IF(Inputs!$B$38="pvp",15,MAX(0.1,Skills!D9-IF(Skills!E9=TRUE,3.5,0)))*(1-IF(AND(ArtifactsInput!$M$27,Inputs!$B$4="Chapter Hunt"),CHOOSE(ArtifactsInput!$N$27+1,20,24,28,32,36,40),0)/100)))))/Skills!H9,1)))/Inputs!$B$43),G3290*Q3290)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3290*(1-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3290*(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3290*(1-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3290*(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0">
        <f>IF(C3290,(H3290*N3290*IF(AND(Inputs!$B$38&lt;&gt;"pvp",Inputs!$B$43&gt;0),((Skills!G9*((R3290-1)*IF(Skills!H9&gt;0,Skills!I9/Skills!H9,1)+IF(Skills!H9&gt;0,MIN(Skills!I9,MAX(0,MAX(0,Inputs!$B$43-B3322)-((R3290-1)*(IF(Inputs!$B$38="pvp",15,MAX(0.1,Skills!D9-IF(Skills!E9=TRUE,3.5,0)))*(1-IF(AND(ArtifactsInput!$M$27,Inputs!$B$4="Chapter Hunt"),CHOOSE(ArtifactsInput!$N$27+1,20,24,28,32,36,40),0)/100)))))/Skills!H9,1)))/Inputs!$B$43),G3290*Q3290))*IF(Inputs!$B$38="pvp",1,(1+(Inputs!$B$21+Skills!Q9+(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1">
      <c r="A3291">
        <f>Skills!A10</f>
        <v/>
      </c>
      <c r="B3291">
        <f>Skills!B10</f>
        <v/>
      </c>
      <c r="C3291">
        <f>Inputs!$B$3&gt;=103</f>
        <v/>
      </c>
      <c r="D3291">
        <f>IF(Skills!C10=1,60+Inputs!$B$25+Inputs!$B$29,IF(Skills!C10=2,90+Inputs!$B$26+Inputs!$B$29,IF(Skills!C10=3,120+Inputs!$B$27+Inputs!$B$29,MAX(0,(Inputs!$B$3-100)*3)+Inputs!$B$28+Inputs!$B$29)))</f>
        <v/>
      </c>
      <c r="E3291">
        <f>INDEX(FactorTable!$B$2:$Y$301, MATCH(ROUND(MIN(300,MAX(1,D3291)),0), FactorTable!$A$2:$A$301,0), Skills!M10+1)</f>
        <v/>
      </c>
      <c r="F3291">
        <f>IF(Skills!N10=TRUE,(Skills!L10/10)*(E3291/1000),Skills!L10/10)+Skills!O10</f>
        <v/>
      </c>
      <c r="G3291">
        <f>Skills!G10*IF(Skills!H10&gt;0,Skills!I10/Skills!H10,1)</f>
        <v/>
      </c>
      <c r="H3291">
        <f>1-(1-Skills!J10/100)^Skills!K10</f>
        <v/>
      </c>
      <c r="I3291" t="inlineStr">
        <is>
          <t>1</t>
        </is>
      </c>
      <c r="J3291">
        <f>((Inputs!$B$6*(1+Inputs!$B$7/100))+(((Inputs!$B$12*(1+Inputs!$B$13/100))-(Inputs!$B$12*(1+Inputs!$B$13/100)))+0.25*(Inputs!$B$14-Inputs!$B$14))*(1+Inputs!$B$7/100))*(F3291/100)</f>
        <v/>
      </c>
      <c r="K3291">
        <f>J3291*(1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3291)</f>
        <v/>
      </c>
      <c r="L3291">
        <f>K3291*(MIN(Inputs!$B$22+((C3306=TRUE)*(F3306-Calc!F25)),(Inputs!$B$23+((C3311=TRUE)*(F3311-Calc!F30))+(IF(ArtifactsInput!$M$15,CHOOSE(ArtifactsInput!$N$15+1,25,30,35,40,45,50)/100*(Inputs!$B$11-Inputs!$B$11),0))))/100+(Inputs!$B$23+((C3311=TRUE)*(F3311-Calc!F30))+(IF(ArtifactsInput!$M$15,CHOOSE(ArtifactsInput!$N$15+1,25,30,35,40,45,50)/100*(Inputs!$B$11-Inputs!$B$11),0)))/100)/2</f>
        <v/>
      </c>
      <c r="M3291">
        <f>L3291*(1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1">
        <f>L3291*(1-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1">
        <f>(1-Summary!$B$11)*T3291+Summary!$B$11*V3291</f>
        <v/>
      </c>
      <c r="P3291">
        <f>IF(B3325=0,0,O3291/B3325)</f>
        <v/>
      </c>
      <c r="Q3291">
        <f>IFERROR(1/(IF(Inputs!$B$38="pvp",15,MAX(0.1,Skills!D10-IF(Skills!E10=TRUE,3.5,0)))*(1-IF(AND(ArtifactsInput!$M$27,Inputs!$B$4="Chapter Hunt"),CHOOSE(ArtifactsInput!$N$27+1,20,24,28,32,36,40),0)/100)),0)</f>
        <v/>
      </c>
      <c r="R3291">
        <f>IF(AND(Inputs!$B$38&lt;&gt;"pvp",Inputs!$B$43&gt;0),IF(MAX(0,Inputs!$B$43-B3322)&lt;=0,0,(INT(MAX(0,Inputs!$B$43-B3322)/(IF(Inputs!$B$38="pvp",15,MAX(0.1,Skills!D10-IF(Skills!E10=TRUE,3.5,0)))*(1-IF(AND(ArtifactsInput!$M$27,Inputs!$B$4="Chapter Hunt"),CHOOSE(ArtifactsInput!$N$27+1,20,24,28,32,36,40),0)/100)))+1)),0)</f>
        <v/>
      </c>
      <c r="S3291">
        <f>IFERROR(O3291/N3291,0)</f>
        <v/>
      </c>
      <c r="T3291">
        <f>IF(C3291,(H3291*N3291*IF(AND(Inputs!$B$38&lt;&gt;"pvp",Inputs!$B$43&gt;0),((Skills!G10*((R3291-1)*IF(Skills!H10&gt;0,Skills!I10/Skills!H10,1)+IF(Skills!H10&gt;0,MIN(Skills!I10,MAX(0,MAX(0,Inputs!$B$43-B3322)-((R3291-1)*(IF(Inputs!$B$38="pvp",15,MAX(0.1,Skills!D10-IF(Skills!E10=TRUE,3.5,0)))*(1-IF(AND(ArtifactsInput!$M$27,Inputs!$B$4="Chapter Hunt"),CHOOSE(ArtifactsInput!$N$27+1,20,24,28,32,36,40),0)/100)))))/Skills!H10,1)))/Inputs!$B$43),G3291*Q3291)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3291*(1-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3291*(1-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1">
        <f>IF(C3291,(H3291*N3291*IF(AND(Inputs!$B$38&lt;&gt;"pvp",Inputs!$B$43&gt;0),((Skills!G10*((R3291-1)*IF(Skills!H10&gt;0,Skills!I10/Skills!H10,1)+IF(Skills!H10&gt;0,MIN(Skills!I10,MAX(0,MAX(0,Inputs!$B$43-B3322)-((R3291-1)*(IF(Inputs!$B$38="pvp",15,MAX(0.1,Skills!D10-IF(Skills!E10=TRUE,3.5,0)))*(1-IF(AND(ArtifactsInput!$M$27,Inputs!$B$4="Chapter Hunt"),CHOOSE(ArtifactsInput!$N$27+1,20,24,28,32,36,40),0)/100)))))/Skills!H10,1)))/Inputs!$B$43),G3291*Q3291))*IF(Inputs!$B$38="pvp",1,(1+(Inputs!$B$21+Skills!Q10+(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2">
      <c r="A3292">
        <f>Skills!A11</f>
        <v/>
      </c>
      <c r="B3292">
        <f>Skills!B11</f>
        <v/>
      </c>
      <c r="C3292">
        <f>Inputs!$B$3&gt;=100</f>
        <v/>
      </c>
      <c r="D3292">
        <f>IF(Skills!C11=1,60+Inputs!$B$25+Inputs!$B$29,IF(Skills!C11=2,90+Inputs!$B$26+Inputs!$B$29,IF(Skills!C11=3,120+Inputs!$B$27+Inputs!$B$29,MAX(0,(Inputs!$B$3-100)*3)+Inputs!$B$28+Inputs!$B$29)))</f>
        <v/>
      </c>
      <c r="E3292">
        <f>INDEX(FactorTable!$B$2:$Y$301, MATCH(ROUND(MIN(300,MAX(1,D3292)),0), FactorTable!$A$2:$A$301,0), Skills!M11+1)</f>
        <v/>
      </c>
      <c r="F3292">
        <f>IF(Skills!N11=TRUE,(Skills!L11/10)*(E3292/1000),Skills!L11/10)+Skills!O11</f>
        <v/>
      </c>
      <c r="G3292" t="inlineStr"/>
      <c r="H3292" t="inlineStr"/>
      <c r="I3292" t="inlineStr">
        <is>
          <t>1</t>
        </is>
      </c>
      <c r="J3292" t="inlineStr"/>
      <c r="K3292" t="inlineStr"/>
      <c r="L3292" t="inlineStr"/>
      <c r="M3292" t="inlineStr"/>
      <c r="N3292" t="inlineStr"/>
      <c r="O3292" t="inlineStr"/>
      <c r="P3292" t="inlineStr"/>
      <c r="Q3292" t="inlineStr"/>
      <c r="R3292" t="inlineStr"/>
      <c r="S3292" t="inlineStr"/>
      <c r="T3292" t="inlineStr"/>
      <c r="V3292" t="inlineStr"/>
    </row>
    <row r="3293">
      <c r="A3293">
        <f>Skills!A12</f>
        <v/>
      </c>
      <c r="B3293">
        <f>Skills!B12</f>
        <v/>
      </c>
      <c r="C3293">
        <f>Inputs!$B$3&gt;=60</f>
        <v/>
      </c>
      <c r="D3293">
        <f>IF(Skills!C12=1,60+Inputs!$B$25+Inputs!$B$29,IF(Skills!C12=2,90+Inputs!$B$26+Inputs!$B$29,IF(Skills!C12=3,120+Inputs!$B$27+Inputs!$B$29,MAX(0,(Inputs!$B$3-100)*3)+Inputs!$B$28+Inputs!$B$29)))</f>
        <v/>
      </c>
      <c r="E3293">
        <f>INDEX(FactorTable!$B$2:$Y$301, MATCH(ROUND(MIN(300,MAX(1,D3293)),0), FactorTable!$A$2:$A$301,0), Skills!M12+1)</f>
        <v/>
      </c>
      <c r="F3293">
        <f>IF(Skills!N12=TRUE,(Skills!L12/10)*(E3293/1000),Skills!L12/10)+Skills!O12</f>
        <v/>
      </c>
      <c r="G3293">
        <f>Skills!G12*IF(Skills!H12&gt;0,Skills!I12/Skills!H12,1)</f>
        <v/>
      </c>
      <c r="H3293">
        <f>1-(1-Skills!J12/100)^Skills!K12</f>
        <v/>
      </c>
      <c r="I3293" t="inlineStr">
        <is>
          <t>1</t>
        </is>
      </c>
      <c r="J3293">
        <f>((Inputs!$B$6*(1+Inputs!$B$7/100))+(((Inputs!$B$12*(1+Inputs!$B$13/100))-(Inputs!$B$12*(1+Inputs!$B$13/100)))+0.25*(Inputs!$B$14-Inputs!$B$14))*(1+Inputs!$B$7/100))*(F3293/100)</f>
        <v/>
      </c>
      <c r="K3293">
        <f>J3293*(1+((Inputs!$B$12*(1+Inputs!$B$13/100))*0.01+Inputs!$B$14*0.0025)/100)*(1+Inputs!$B$15/100)*(1+Inputs!$B$16/100)*(5000/(6000+Inputs!$B$42*(1-(100*(1-(1-(Inputs!$B$19+((C3309=TRUE)*(F3309-Calc!F28)))/100)*(1-CHOOSE(ArtifactsInput!$N$40+1,5,6,7,8,9,10)/100)^(ArtifactsInput!$M$40-ArtifactsInput!$M$40)))/100)))*(1+(Inputs!$B$24+((C3307=TRUE)*(F3307-Calc!F26))+((C3308=TRUE)*(F3308-Calc!F27))+B3321)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3294=TRUE,F3294,0)/100)*(1+(IF(Skills!A12="ARROW_STREAM",Inputs!$B$17+((C3305=TRUE)*(F3305-Calc!F24))+(((IF(AND(ArtifactsInput!$M$42,((Inputs!$B$9+((C3302=TRUE)*(F3302-Calc!F21))+B3315+(ArtifactsInput!$M$24-ArtifactsInput!$M$24)*CHOOSE(ArtifactsInput!$N$24+1,10,12,14,16,18,20)+IF(ArtifactsInput!$M$10,CHOOSE(ArtifactsInput!$N$10+1,15,18,21,24,27,30)*(IF(Inputs!$B$38="pvp",MIN(15,15)/15,IF(AND(Inputs!$B$38&lt;&gt;"pvp",Inputs!$B$43&gt;0),MIN(15,Inputs!$B$43)/(Inputs!$B$43),0))),0)))&gt;=100),MIN(100,((Inputs!$B$9+((C3302=TRUE)*(F3302-Calc!F21))+B3315+(ArtifactsInput!$M$24-ArtifactsInput!$M$24)*CHOOSE(ArtifactsInput!$N$24+1,10,12,14,16,18,20)+IF(ArtifactsInput!$M$10,CHOOSE(ArtifactsInput!$N$10+1,15,18,21,24,27,30)*(IF(Inputs!$B$38="pvp",MIN(15,15)/15,IF(AND(Inputs!$B$38&lt;&gt;"pvp",Inputs!$B$43&gt;0),MIN(15,Inputs!$B$43)/(Inputs!$B$43),0))),0)))-100),0))*CHOOSE(ArtifactsInput!$N$42+1,0.6,0.72,0.84,0.96,1.08,1.2))),Inputs!$B$18+((C3310=TRUE)*(F3310-Calc!F29))+(IF(AND(ArtifactsInput!$M$42,((Inputs!$B$9+((C3302=TRUE)*(F3302-Calc!F21))+B3315+(ArtifactsInput!$M$24-ArtifactsInput!$M$24)*CHOOSE(ArtifactsInput!$N$24+1,10,12,14,16,18,20)+IF(ArtifactsInput!$M$10,CHOOSE(ArtifactsInput!$N$10+1,15,18,21,24,27,30)*(IF(Inputs!$B$38="pvp",MIN(15,15)/15,IF(AND(Inputs!$B$38&lt;&gt;"pvp",Inputs!$B$43&gt;0),MIN(15,Inputs!$B$43)/(Inputs!$B$43),0))),0)))&gt;=100),CHOOSE(ArtifactsInput!$N$42+1,40,48,56,64,72,80),0))))/100)*((1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3293)</f>
        <v/>
      </c>
      <c r="L3293">
        <f>K3293*(MIN(Inputs!$B$22+((C3306=TRUE)*(F3306-Calc!F25)),(Inputs!$B$23+((C3311=TRUE)*(F3311-Calc!F30))+(IF(ArtifactsInput!$M$15,CHOOSE(ArtifactsInput!$N$15+1,25,30,35,40,45,50)/100*(Inputs!$B$11-Inputs!$B$11),0))))/100+(Inputs!$B$23+((C3311=TRUE)*(F3311-Calc!F30))+(IF(ArtifactsInput!$M$15,CHOOSE(ArtifactsInput!$N$15+1,25,30,35,40,45,50)/100*(Inputs!$B$11-Inputs!$B$11),0)))/100)/2</f>
        <v/>
      </c>
      <c r="M3293">
        <f>L3293*(1+(Inputs!$B$10+0+B3320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3">
        <f>L3293*(1-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3293*(MIN((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3">
        <f>(1-Summary!$B$11)*T3293+Summary!$B$11*V3293</f>
        <v/>
      </c>
      <c r="P3293">
        <f>IF(B3325=0,0,O3293/B3325)</f>
        <v/>
      </c>
      <c r="Q3293">
        <f>IFERROR(1/(IF(Inputs!$B$38="pvp",15,MAX(0.1,Skills!D12-IF(Skills!E12=TRUE,3.5,0)))*(1-IF(AND(ArtifactsInput!$M$27,Inputs!$B$4="Chapter Hunt"),CHOOSE(ArtifactsInput!$N$27+1,20,24,28,32,36,40),0)/100)),0)</f>
        <v/>
      </c>
      <c r="R3293">
        <f>IF(AND(Inputs!$B$38&lt;&gt;"pvp",Inputs!$B$43&gt;0),IF(MAX(0,Inputs!$B$43-B3322)&lt;=0,0,(INT(MAX(0,Inputs!$B$43-B3322)/(IF(Inputs!$B$38="pvp",15,MAX(0.1,Skills!D12-IF(Skills!E12=TRUE,3.5,0)))*(1-IF(AND(ArtifactsInput!$M$27,Inputs!$B$4="Chapter Hunt"),CHOOSE(ArtifactsInput!$N$27+1,20,24,28,32,36,40),0)/100)))+1)),0)</f>
        <v/>
      </c>
      <c r="S3293">
        <f>IFERROR(O3293/N3293,0)</f>
        <v/>
      </c>
      <c r="T3293">
        <f>IF(C3293,(H3293*N3293*IF(AND(Inputs!$B$38&lt;&gt;"pvp",Inputs!$B$43&gt;0),((Skills!G12*((R3293-1)*IF(Skills!H12&gt;0,Skills!I12/Skills!H12,1)+IF(Skills!H12&gt;0,MIN(Skills!I12,MAX(0,MAX(0,Inputs!$B$43-B3322)-((R3293-1)*(IF(Inputs!$B$38="pvp",15,MAX(0.1,Skills!D12-IF(Skills!E12=TRUE,3.5,0)))*(1-IF(AND(ArtifactsInput!$M$27,Inputs!$B$4="Chapter Hunt"),CHOOSE(ArtifactsInput!$N$27+1,20,24,28,32,36,40),0)/100)))))/Skills!H12,1)))/Inputs!$B$43),G3293*Q3293)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(5000/(6000+Inputs!$B$42*(1-(100*(1-(1-(100*(1-(1-(Inputs!$B$19+((C3309=TRUE)*(F3309-Calc!F28)))/100)*(1-CHOOSE(ArtifactsInput!$N$40+1,5,6,7,8,9,10)/100)^(ArtifactsInput!$M$40-ArtifactsInput!$M$40)))/100)*(1-IF(ArtifactsInput!$M$40,CHOOSE(ArtifactsInput!$N$40+1,5,6,7,8,9,10),0)/100)^IF(Inputs!$B$38="pvp",1,2)))/100)))/(5000/(6000+Inputs!$B$42*(1-(100*(1-(1-(Inputs!$B$19+((C3309=TRUE)*(F3309-Calc!F28)))/100)*(1-CHOOSE(ArtifactsInput!$N$40+1,5,6,7,8,9,10)/100)^(ArtifactsInput!$M$40-ArtifactsInput!$M$40)))/100))))*((L3293*(1-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3293*(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3293*(1-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3293*(MIN(100,(Inputs!$B$9+((C3302=TRUE)*(F3302-Calc!F21))+B3315+(ArtifactsInput!$M$24-ArtifactsInput!$M$24)*CHOOSE(ArtifactsInput!$N$24+1,10,12,14,16,18,20)+(IF(AND(ArtifactsInput!$M$42,((Inputs!$B$9+((C3302=TRUE)*(F3302-Calc!F21))+B3315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3">
        <f>IF(C3293,(H3293*N3293*IF(AND(Inputs!$B$38&lt;&gt;"pvp",Inputs!$B$43&gt;0),((Skills!G12*((R3293-1)*IF(Skills!H12&gt;0,Skills!I12/Skills!H12,1)+IF(Skills!H12&gt;0,MIN(Skills!I12,MAX(0,MAX(0,Inputs!$B$43-B3322)-((R3293-1)*(IF(Inputs!$B$38="pvp",15,MAX(0.1,Skills!D12-IF(Skills!E12=TRUE,3.5,0)))*(1-IF(AND(ArtifactsInput!$M$27,Inputs!$B$4="Chapter Hunt"),CHOOSE(ArtifactsInput!$N$27+1,20,24,28,32,36,40),0)/100)))))/Skills!H12,1)))/Inputs!$B$43),G3293*Q3293))*IF(Inputs!$B$38="pvp",1,(1+(Inputs!$B$21+Skills!Q12+(IF(ArtifactsInput!$M$33,CHOOSE(ArtifactsInput!$N$33+1,30,36,42,48,54,60),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4">
      <c r="A3294">
        <f>Skills!A13</f>
        <v/>
      </c>
      <c r="B3294">
        <f>Skills!B13</f>
        <v/>
      </c>
      <c r="C3294">
        <f>Inputs!$B$3&gt;=110</f>
        <v/>
      </c>
      <c r="D3294">
        <f>IF(Skills!C13=1,60+Inputs!$B$25+Inputs!$B$29,IF(Skills!C13=2,90+Inputs!$B$26+Inputs!$B$29,IF(Skills!C13=3,120+Inputs!$B$27+Inputs!$B$29,MAX(0,(Inputs!$B$3-100)*3)+Inputs!$B$28+Inputs!$B$29)))</f>
        <v/>
      </c>
      <c r="E3294">
        <f>INDEX(FactorTable!$B$2:$Y$301, MATCH(ROUND(MIN(300,MAX(1,D3294)),0), FactorTable!$A$2:$A$301,0), Skills!M13+1)</f>
        <v/>
      </c>
      <c r="F3294">
        <f>IF(Skills!N13=TRUE,(Skills!L13/10)*(E3294/1000),Skills!L13/10)+Skills!O13</f>
        <v/>
      </c>
      <c r="G3294" t="inlineStr"/>
      <c r="H3294" t="inlineStr"/>
      <c r="I3294" t="inlineStr">
        <is>
          <t>1</t>
        </is>
      </c>
      <c r="J3294" t="inlineStr"/>
      <c r="K3294" t="inlineStr"/>
      <c r="L3294" t="inlineStr"/>
      <c r="M3294" t="inlineStr"/>
      <c r="N3294" t="inlineStr"/>
      <c r="O3294" t="inlineStr"/>
      <c r="P3294" t="inlineStr"/>
      <c r="Q3294" t="inlineStr"/>
      <c r="R3294" t="inlineStr"/>
      <c r="S3294" t="inlineStr"/>
      <c r="T3294" t="inlineStr"/>
      <c r="V3294" t="inlineStr"/>
    </row>
    <row r="3295">
      <c r="A3295">
        <f>Skills!A14</f>
        <v/>
      </c>
      <c r="B3295">
        <f>Skills!B14</f>
        <v/>
      </c>
      <c r="C3295">
        <f>Inputs!$B$3&gt;=74</f>
        <v/>
      </c>
      <c r="D3295">
        <f>IF(Skills!C14=1,60+Inputs!$B$25+Inputs!$B$29,IF(Skills!C14=2,90+Inputs!$B$26+Inputs!$B$29,IF(Skills!C14=3,120+Inputs!$B$27+Inputs!$B$29,MAX(0,(Inputs!$B$3-100)*3)+Inputs!$B$28+Inputs!$B$29)))</f>
        <v/>
      </c>
      <c r="E3295">
        <f>INDEX(FactorTable!$B$2:$Y$301, MATCH(ROUND(MIN(300,MAX(1,D3295)),0), FactorTable!$A$2:$A$301,0), Skills!M14+1)</f>
        <v/>
      </c>
      <c r="F3295">
        <f>IF(Skills!N14=TRUE,(Skills!L14/10)*(E3295/1000),Skills!L14/10)+Skills!O14</f>
        <v/>
      </c>
      <c r="G3295">
        <f>Skills!G14*IF(Skills!H14&gt;0,Skills!I14/Skills!H14,1)</f>
        <v/>
      </c>
      <c r="H3295">
        <f>1-(1-Skills!J14/100)^Skills!K14</f>
        <v/>
      </c>
      <c r="I3295" t="inlineStr">
        <is>
          <t>1</t>
        </is>
      </c>
      <c r="J3295" t="inlineStr"/>
      <c r="K3295" t="inlineStr"/>
      <c r="L3295" t="inlineStr"/>
      <c r="M3295" t="inlineStr"/>
      <c r="N3295" t="inlineStr"/>
      <c r="O3295">
        <f>(1-Summary!$B$11)*T3295+Summary!$B$11*V3295</f>
        <v/>
      </c>
      <c r="P3295">
        <f>IF(B3325=0,0,O3295/B3325)</f>
        <v/>
      </c>
      <c r="Q3295" t="n">
        <v>0</v>
      </c>
      <c r="R3295" t="n">
        <v>0</v>
      </c>
      <c r="S3295">
        <f>IFERROR(O3295/N3295,0)</f>
        <v/>
      </c>
      <c r="T3295" t="n">
        <v>0</v>
      </c>
      <c r="V3295" t="n">
        <v>0</v>
      </c>
    </row>
    <row r="3296">
      <c r="A3296">
        <f>Skills!A15</f>
        <v/>
      </c>
      <c r="B3296">
        <f>Skills!B15</f>
        <v/>
      </c>
      <c r="C3296">
        <f>Inputs!$B$3&gt;=74</f>
        <v/>
      </c>
      <c r="D3296">
        <f>IF(Skills!C15=1,60+Inputs!$B$25+Inputs!$B$29,IF(Skills!C15=2,90+Inputs!$B$26+Inputs!$B$29,IF(Skills!C15=3,120+Inputs!$B$27+Inputs!$B$29,MAX(0,(Inputs!$B$3-100)*3)+Inputs!$B$28+Inputs!$B$29)))</f>
        <v/>
      </c>
      <c r="E3296">
        <f>INDEX(FactorTable!$B$2:$Y$301, MATCH(ROUND(MIN(300,MAX(1,D3296)),0), FactorTable!$A$2:$A$301,0), Skills!M15+1)</f>
        <v/>
      </c>
      <c r="F3296">
        <f>IF(Skills!N15=TRUE,(Skills!L15/10)*(E3296/1000),Skills!L15/10)+Skills!O15</f>
        <v/>
      </c>
      <c r="G3296">
        <f>Skills!G15*IF(Skills!H15&gt;0,Skills!I15/Skills!H15,1)</f>
        <v/>
      </c>
      <c r="H3296">
        <f>1-(1-Skills!J15/100)^Skills!K15</f>
        <v/>
      </c>
      <c r="I3296" t="inlineStr">
        <is>
          <t>1</t>
        </is>
      </c>
      <c r="J3296" t="inlineStr"/>
      <c r="K3296" t="inlineStr"/>
      <c r="L3296" t="inlineStr"/>
      <c r="M3296" t="inlineStr"/>
      <c r="N3296" t="inlineStr"/>
      <c r="O3296">
        <f>(1-Summary!$B$11)*T3296+Summary!$B$11*V3296</f>
        <v/>
      </c>
      <c r="P3296">
        <f>IF(B3325=0,0,O3296/B3325)</f>
        <v/>
      </c>
      <c r="Q3296" t="n">
        <v>0</v>
      </c>
      <c r="R3296" t="n">
        <v>0</v>
      </c>
      <c r="S3296">
        <f>IFERROR(O3296/N3296,0)</f>
        <v/>
      </c>
      <c r="T3296" t="n">
        <v>0</v>
      </c>
      <c r="V3296" t="n">
        <v>0</v>
      </c>
    </row>
    <row r="3297">
      <c r="A3297">
        <f>Skills!A16</f>
        <v/>
      </c>
      <c r="B3297">
        <f>Skills!B16</f>
        <v/>
      </c>
      <c r="C3297">
        <f>Inputs!$B$3&gt;=117</f>
        <v/>
      </c>
      <c r="D3297">
        <f>IF(Skills!C16=1,60+Inputs!$B$25+Inputs!$B$29,IF(Skills!C16=2,90+Inputs!$B$26+Inputs!$B$29,IF(Skills!C16=3,120+Inputs!$B$27+Inputs!$B$29,MAX(0,(Inputs!$B$3-100)*3)+Inputs!$B$28+Inputs!$B$29)))</f>
        <v/>
      </c>
      <c r="E3297">
        <f>INDEX(FactorTable!$B$2:$Y$301, MATCH(ROUND(MIN(300,MAX(1,D3297)),0), FactorTable!$A$2:$A$301,0), Skills!M16+1)</f>
        <v/>
      </c>
      <c r="F3297">
        <f>IF(Skills!N16=TRUE,(Skills!L16/10)*(E3297/1000),Skills!L16/10)+Skills!O16</f>
        <v/>
      </c>
      <c r="G3297">
        <f>Skills!G16*IF(Skills!H16&gt;0,Skills!I16/Skills!H16,1)</f>
        <v/>
      </c>
      <c r="H3297">
        <f>1-(1-Skills!J16/100)^Skills!K16</f>
        <v/>
      </c>
      <c r="I3297" t="inlineStr">
        <is>
          <t>1</t>
        </is>
      </c>
      <c r="J3297" t="inlineStr"/>
      <c r="K3297" t="inlineStr"/>
      <c r="L3297" t="inlineStr"/>
      <c r="M3297" t="inlineStr"/>
      <c r="N3297" t="inlineStr"/>
      <c r="O3297">
        <f>(1-Summary!$B$11)*T3297+Summary!$B$11*V3297</f>
        <v/>
      </c>
      <c r="P3297">
        <f>IF(B3325=0,0,O3297/B3325)</f>
        <v/>
      </c>
      <c r="Q3297">
        <f>IFERROR(1/(IF(Inputs!$B$38="pvp",15,MAX(0.1,Skills!D16-IF(Skills!E16=TRUE,3.5,0)))*(1-IF(AND(ArtifactsInput!$M$27,Inputs!$B$4="Chapter Hunt"),CHOOSE(ArtifactsInput!$N$27+1,20,24,28,32,36,40),0)/100)),0)</f>
        <v/>
      </c>
      <c r="R3297">
        <f>IF(AND(Inputs!$B$38&lt;&gt;"pvp",Inputs!$B$43&gt;0),IF(Inputs!$B$43&lt;=0,0,(INT(Inputs!$B$43/(IF(Inputs!$B$38="pvp",15,MAX(0.1,Skills!D16-IF(Skills!E16=TRUE,3.5,0)))*(1-IF(AND(ArtifactsInput!$M$27,Inputs!$B$4="Chapter Hunt"),CHOOSE(ArtifactsInput!$N$27+1,20,24,28,32,36,40),0)/100)))+1)),0)</f>
        <v/>
      </c>
      <c r="S3297">
        <f>IFERROR(O3297/N3297,0)</f>
        <v/>
      </c>
      <c r="T3297" t="n">
        <v>0</v>
      </c>
      <c r="V3297" t="n">
        <v>0</v>
      </c>
    </row>
    <row r="3298">
      <c r="A3298">
        <f>Skills!A17</f>
        <v/>
      </c>
      <c r="B3298">
        <f>Skills!B17</f>
        <v/>
      </c>
      <c r="C3298">
        <f>Inputs!$B$3&gt;=115</f>
        <v/>
      </c>
      <c r="D3298">
        <f>IF(Skills!C17=1,60+Inputs!$B$25+Inputs!$B$29,IF(Skills!C17=2,90+Inputs!$B$26+Inputs!$B$29,IF(Skills!C17=3,120+Inputs!$B$27+Inputs!$B$29,MAX(0,(Inputs!$B$3-100)*3)+Inputs!$B$28+Inputs!$B$29)))</f>
        <v/>
      </c>
      <c r="E3298">
        <f>INDEX(FactorTable!$B$2:$Y$301, MATCH(ROUND(MIN(300,MAX(1,D3298)),0), FactorTable!$A$2:$A$301,0), Skills!M17+1)</f>
        <v/>
      </c>
      <c r="F3298">
        <f>IF(Skills!N17=TRUE,(Skills!L17/10)*(E3298/1000),Skills!L17/10)+Skills!O17</f>
        <v/>
      </c>
      <c r="G3298">
        <f>Skills!G17*IF(Skills!H17&gt;0,Skills!I17/Skills!H17,1)</f>
        <v/>
      </c>
      <c r="H3298">
        <f>1-(1-Skills!J17/100)^Skills!K17</f>
        <v/>
      </c>
      <c r="I3298" t="inlineStr">
        <is>
          <t>1</t>
        </is>
      </c>
      <c r="J3298" t="inlineStr"/>
      <c r="K3298" t="inlineStr"/>
      <c r="L3298" t="inlineStr"/>
      <c r="M3298" t="inlineStr"/>
      <c r="N3298" t="inlineStr"/>
      <c r="O3298">
        <f>(1-Summary!$B$11)*T3298+Summary!$B$11*V3298</f>
        <v/>
      </c>
      <c r="P3298">
        <f>IF(B3325=0,0,O3298/B3325)</f>
        <v/>
      </c>
      <c r="Q3298">
        <f>IFERROR(1/(IF(Inputs!$B$38="pvp",15,MAX(0.1,Skills!D17-IF(Skills!E17=TRUE,3.5,0)))*(1-IF(AND(ArtifactsInput!$M$27,Inputs!$B$4="Chapter Hunt"),CHOOSE(ArtifactsInput!$N$27+1,20,24,28,32,36,40),0)/100)),0)</f>
        <v/>
      </c>
      <c r="R3298">
        <f>IF(AND(Inputs!$B$38&lt;&gt;"pvp",Inputs!$B$43&gt;0),IF(Inputs!$B$43&lt;=0,0,(INT(Inputs!$B$43/(IF(Inputs!$B$38="pvp",15,MAX(0.1,Skills!D17-IF(Skills!E17=TRUE,3.5,0)))*(1-IF(AND(ArtifactsInput!$M$27,Inputs!$B$4="Chapter Hunt"),CHOOSE(ArtifactsInput!$N$27+1,20,24,28,32,36,40),0)/100)))+1)),0)</f>
        <v/>
      </c>
      <c r="S3298">
        <f>IFERROR(O3298/N3298,0)</f>
        <v/>
      </c>
      <c r="T3298" t="n">
        <v>0</v>
      </c>
      <c r="V3298" t="n">
        <v>0</v>
      </c>
    </row>
    <row r="3299">
      <c r="A3299">
        <f>Skills!A18</f>
        <v/>
      </c>
      <c r="B3299">
        <f>Skills!B18</f>
        <v/>
      </c>
      <c r="C3299">
        <f>Inputs!$B$3&gt;=66</f>
        <v/>
      </c>
      <c r="D3299">
        <f>IF(Skills!C18=1,60+Inputs!$B$25+Inputs!$B$29,IF(Skills!C18=2,90+Inputs!$B$26+Inputs!$B$29,IF(Skills!C18=3,120+Inputs!$B$27+Inputs!$B$29,MAX(0,(Inputs!$B$3-100)*3)+Inputs!$B$28+Inputs!$B$29)))</f>
        <v/>
      </c>
      <c r="E3299">
        <f>INDEX(FactorTable!$B$2:$Y$301, MATCH(ROUND(MIN(300,MAX(1,D3299)),0), FactorTable!$A$2:$A$301,0), Skills!M18+1)</f>
        <v/>
      </c>
      <c r="F3299">
        <f>IF(Skills!N18=TRUE,(Skills!L18/10)*(E3299/1000),Skills!L18/10)+Skills!O18</f>
        <v/>
      </c>
      <c r="G3299">
        <f>Skills!G18*IF(Skills!H18&gt;0,Skills!I18/Skills!H18,1)</f>
        <v/>
      </c>
      <c r="H3299">
        <f>1-(1-Skills!J18/100)^Skills!K18</f>
        <v/>
      </c>
      <c r="I3299" t="inlineStr">
        <is>
          <t>1</t>
        </is>
      </c>
      <c r="J3299" t="inlineStr"/>
      <c r="K3299" t="inlineStr"/>
      <c r="L3299" t="inlineStr"/>
      <c r="M3299" t="inlineStr"/>
      <c r="N3299" t="inlineStr"/>
      <c r="O3299">
        <f>(1-Summary!$B$11)*T3299+Summary!$B$11*V3299</f>
        <v/>
      </c>
      <c r="P3299">
        <f>IF(B3325=0,0,O3299/B3325)</f>
        <v/>
      </c>
      <c r="Q3299" t="n">
        <v>0</v>
      </c>
      <c r="R3299" t="n">
        <v>0</v>
      </c>
      <c r="S3299">
        <f>IFERROR(O3299/N3299,0)</f>
        <v/>
      </c>
      <c r="T3299" t="n">
        <v>0</v>
      </c>
      <c r="V3299" t="n">
        <v>0</v>
      </c>
    </row>
    <row r="3300">
      <c r="A3300">
        <f>Skills!A19</f>
        <v/>
      </c>
      <c r="B3300">
        <f>Skills!B19</f>
        <v/>
      </c>
      <c r="C3300">
        <f>Inputs!$B$3&gt;=72</f>
        <v/>
      </c>
      <c r="D3300">
        <f>IF(Skills!C19=1,60+Inputs!$B$25+Inputs!$B$29,IF(Skills!C19=2,90+Inputs!$B$26+Inputs!$B$29,IF(Skills!C19=3,120+Inputs!$B$27+Inputs!$B$29,MAX(0,(Inputs!$B$3-100)*3)+Inputs!$B$28+Inputs!$B$29)))</f>
        <v/>
      </c>
      <c r="E3300">
        <f>INDEX(FactorTable!$B$2:$Y$301, MATCH(ROUND(MIN(300,MAX(1,D3300)),0), FactorTable!$A$2:$A$301,0), Skills!M19+1)</f>
        <v/>
      </c>
      <c r="F3300">
        <f>IF(Skills!N19=TRUE,(Skills!L19/10)*(E3300/1000),Skills!L19/10)+Skills!O19</f>
        <v/>
      </c>
      <c r="G3300">
        <f>Skills!G19*IF(Skills!H19&gt;0,Skills!I19/Skills!H19,1)</f>
        <v/>
      </c>
      <c r="H3300">
        <f>1-(1-Skills!J19/100)^Skills!K19</f>
        <v/>
      </c>
      <c r="I3300" t="inlineStr">
        <is>
          <t>1</t>
        </is>
      </c>
      <c r="J3300" t="inlineStr"/>
      <c r="K3300" t="inlineStr"/>
      <c r="L3300" t="inlineStr"/>
      <c r="M3300" t="inlineStr"/>
      <c r="N3300" t="inlineStr"/>
      <c r="O3300">
        <f>(1-Summary!$B$11)*T3300+Summary!$B$11*V3300</f>
        <v/>
      </c>
      <c r="P3300">
        <f>IF(B3325=0,0,O3300/B3325)</f>
        <v/>
      </c>
      <c r="Q3300" t="n">
        <v>0</v>
      </c>
      <c r="R3300" t="n">
        <v>0</v>
      </c>
      <c r="S3300">
        <f>IFERROR(O3300/N3300,0)</f>
        <v/>
      </c>
      <c r="T3300" t="n">
        <v>0</v>
      </c>
      <c r="V3300" t="n">
        <v>0</v>
      </c>
    </row>
    <row r="3301">
      <c r="A3301">
        <f>Skills!A20</f>
        <v/>
      </c>
      <c r="B3301">
        <f>Skills!B20</f>
        <v/>
      </c>
      <c r="C3301">
        <f>TRUE</f>
        <v/>
      </c>
      <c r="D3301">
        <f>IF(Skills!C20=1,60+Inputs!$B$25+Inputs!$B$29,IF(Skills!C20=2,90+Inputs!$B$26+Inputs!$B$29,IF(Skills!C20=3,120+Inputs!$B$27+Inputs!$B$29,MAX(0,(Inputs!$B$3-100)*3)+Inputs!$B$28+Inputs!$B$29)))</f>
        <v/>
      </c>
      <c r="E3301">
        <f>INDEX(FactorTable!$B$2:$Y$301, MATCH(ROUND(MIN(300,MAX(1,D3301)),0), FactorTable!$A$2:$A$301,0), Skills!M20+1)</f>
        <v/>
      </c>
      <c r="F3301">
        <f>IF(Skills!N20=TRUE,(Skills!L20/10)*(E3301/1000),Skills!L20/10)+Skills!O20</f>
        <v/>
      </c>
      <c r="G3301">
        <f>Skills!G20*IF(Skills!H20&gt;0,Skills!I20/Skills!H20,1)</f>
        <v/>
      </c>
      <c r="H3301">
        <f>1-(1-Skills!J20/100)^Skills!K20</f>
        <v/>
      </c>
      <c r="I3301" t="inlineStr">
        <is>
          <t>1</t>
        </is>
      </c>
      <c r="J3301" t="inlineStr"/>
      <c r="K3301" t="inlineStr"/>
      <c r="L3301" t="inlineStr"/>
      <c r="M3301" t="inlineStr"/>
      <c r="N3301" t="inlineStr"/>
      <c r="O3301">
        <f>(1-Summary!$B$11)*T3301+Summary!$B$11*V3301</f>
        <v/>
      </c>
      <c r="P3301">
        <f>IF(B3325=0,0,O3301/B3325)</f>
        <v/>
      </c>
      <c r="Q3301">
        <f>IFERROR(1/(IF(Inputs!$B$38="pvp",15,MAX(0.1,Skills!D20-IF(Skills!E20=TRUE,3.5,0)))*(1-IF(AND(ArtifactsInput!$M$27,Inputs!$B$4="Chapter Hunt"),CHOOSE(ArtifactsInput!$N$27+1,20,24,28,32,36,40),0)/100)),0)</f>
        <v/>
      </c>
      <c r="R3301">
        <f>IF(AND(Inputs!$B$38&lt;&gt;"pvp",Inputs!$B$43&gt;0),IF(Inputs!$B$43&lt;=0,0,(INT(Inputs!$B$43/(IF(Inputs!$B$38="pvp",15,MAX(0.1,Skills!D20-IF(Skills!E20=TRUE,3.5,0)))*(1-IF(AND(ArtifactsInput!$M$27,Inputs!$B$4="Chapter Hunt"),CHOOSE(ArtifactsInput!$N$27+1,20,24,28,32,36,40),0)/100)))+1)),0)</f>
        <v/>
      </c>
      <c r="S3301">
        <f>IFERROR(O3301/N3301,0)</f>
        <v/>
      </c>
      <c r="T3301" t="n">
        <v>0</v>
      </c>
      <c r="V3301" t="n">
        <v>0</v>
      </c>
    </row>
    <row r="3302">
      <c r="A3302">
        <f>Skills!A21</f>
        <v/>
      </c>
      <c r="B3302">
        <f>Skills!B21</f>
        <v/>
      </c>
      <c r="C3302">
        <f>Inputs!$B$3&gt;=15</f>
        <v/>
      </c>
      <c r="D3302">
        <f>IF(Skills!C21=1,60+Inputs!$B$25+Inputs!$B$29,IF(Skills!C21=2,90+Inputs!$B$26+Inputs!$B$29,IF(Skills!C21=3,120+Inputs!$B$27+Inputs!$B$29,MAX(0,(Inputs!$B$3-100)*3)+Inputs!$B$28+Inputs!$B$29)))</f>
        <v/>
      </c>
      <c r="E3302">
        <f>INDEX(FactorTable!$B$2:$Y$301, MATCH(ROUND(MIN(300,MAX(1,D3302)),0), FactorTable!$A$2:$A$301,0), Skills!M21+1)</f>
        <v/>
      </c>
      <c r="F3302">
        <f>IF(Skills!N21=TRUE,(Skills!L21/10)*(E3302/1000),Skills!L21/10)+Skills!O21</f>
        <v/>
      </c>
      <c r="G3302">
        <f>Skills!G21*IF(Skills!H21&gt;0,Skills!I21/Skills!H21,1)</f>
        <v/>
      </c>
      <c r="H3302">
        <f>1-(1-Skills!J21/100)^Skills!K21</f>
        <v/>
      </c>
      <c r="I3302" t="inlineStr">
        <is>
          <t>1</t>
        </is>
      </c>
      <c r="J3302" t="inlineStr"/>
      <c r="K3302" t="inlineStr"/>
      <c r="L3302" t="inlineStr"/>
      <c r="M3302" t="inlineStr"/>
      <c r="N3302" t="inlineStr"/>
      <c r="O3302">
        <f>(1-Summary!$B$11)*T3302+Summary!$B$11*V3302</f>
        <v/>
      </c>
      <c r="P3302">
        <f>IF(B3325=0,0,O3302/B3325)</f>
        <v/>
      </c>
      <c r="Q3302" t="n">
        <v>0</v>
      </c>
      <c r="R3302" t="n">
        <v>0</v>
      </c>
      <c r="S3302">
        <f>IFERROR(O3302/N3302,0)</f>
        <v/>
      </c>
      <c r="T3302" t="n">
        <v>0</v>
      </c>
      <c r="V3302" t="n">
        <v>0</v>
      </c>
    </row>
    <row r="3303">
      <c r="A3303">
        <f>Skills!A22</f>
        <v/>
      </c>
      <c r="B3303">
        <f>Skills!B22</f>
        <v/>
      </c>
      <c r="C3303">
        <f>Inputs!$B$3&gt;=10</f>
        <v/>
      </c>
      <c r="D3303">
        <f>IF(Skills!C22=1,60+Inputs!$B$25+Inputs!$B$29,IF(Skills!C22=2,90+Inputs!$B$26+Inputs!$B$29,IF(Skills!C22=3,120+Inputs!$B$27+Inputs!$B$29,MAX(0,(Inputs!$B$3-100)*3)+Inputs!$B$28+Inputs!$B$29)))</f>
        <v/>
      </c>
      <c r="E3303">
        <f>INDEX(FactorTable!$B$2:$Y$301, MATCH(ROUND(MIN(300,MAX(1,D3303)),0), FactorTable!$A$2:$A$301,0), Skills!M22+1)</f>
        <v/>
      </c>
      <c r="F3303">
        <f>IF(Skills!N22=TRUE,(Skills!L22/10)*(E3303/1000),Skills!L22/10)+Skills!O22</f>
        <v/>
      </c>
      <c r="G3303">
        <f>Skills!G22*IF(Skills!H22&gt;0,Skills!I22/Skills!H22,1)</f>
        <v/>
      </c>
      <c r="H3303">
        <f>1-(1-Skills!J22/100)^Skills!K22</f>
        <v/>
      </c>
      <c r="I3303" t="inlineStr">
        <is>
          <t>1</t>
        </is>
      </c>
      <c r="J3303" t="inlineStr"/>
      <c r="K3303" t="inlineStr"/>
      <c r="L3303" t="inlineStr"/>
      <c r="M3303" t="inlineStr"/>
      <c r="N3303" t="inlineStr"/>
      <c r="O3303">
        <f>(1-Summary!$B$11)*T3303+Summary!$B$11*V3303</f>
        <v/>
      </c>
      <c r="P3303">
        <f>IF(B3325=0,0,O3303/B3325)</f>
        <v/>
      </c>
      <c r="Q3303" t="n">
        <v>0</v>
      </c>
      <c r="R3303" t="n">
        <v>0</v>
      </c>
      <c r="S3303">
        <f>IFERROR(O3303/N3303,0)</f>
        <v/>
      </c>
      <c r="T3303" t="n">
        <v>0</v>
      </c>
      <c r="V3303" t="n">
        <v>0</v>
      </c>
    </row>
    <row r="3304">
      <c r="A3304">
        <f>Skills!A23</f>
        <v/>
      </c>
      <c r="B3304">
        <f>Skills!B23</f>
        <v/>
      </c>
      <c r="C3304">
        <f>Inputs!$B$3&gt;=33</f>
        <v/>
      </c>
      <c r="D3304">
        <f>IF(Skills!C23=1,60+Inputs!$B$25+Inputs!$B$29,IF(Skills!C23=2,90+Inputs!$B$26+Inputs!$B$29,IF(Skills!C23=3,120+Inputs!$B$27+Inputs!$B$29,MAX(0,(Inputs!$B$3-100)*3)+Inputs!$B$28+Inputs!$B$29)))</f>
        <v/>
      </c>
      <c r="E3304">
        <f>INDEX(FactorTable!$B$2:$Y$301, MATCH(ROUND(MIN(300,MAX(1,D3304)),0), FactorTable!$A$2:$A$301,0), Skills!M23+1)</f>
        <v/>
      </c>
      <c r="F3304">
        <f>IF(Skills!N23=TRUE,(Skills!L23/10)*(E3304/1000),Skills!L23/10)+Skills!O23</f>
        <v/>
      </c>
      <c r="G3304">
        <f>Skills!G23*IF(Skills!H23&gt;0,Skills!I23/Skills!H23,1)</f>
        <v/>
      </c>
      <c r="H3304">
        <f>1-(1-Skills!J23/100)^Skills!K23</f>
        <v/>
      </c>
      <c r="I3304" t="inlineStr">
        <is>
          <t>1</t>
        </is>
      </c>
      <c r="J3304" t="inlineStr"/>
      <c r="K3304" t="inlineStr"/>
      <c r="L3304" t="inlineStr"/>
      <c r="M3304" t="inlineStr"/>
      <c r="N3304" t="inlineStr"/>
      <c r="O3304">
        <f>(1-Summary!$B$11)*T3304+Summary!$B$11*V3304</f>
        <v/>
      </c>
      <c r="P3304">
        <f>IF(B3325=0,0,O3304/B3325)</f>
        <v/>
      </c>
      <c r="Q3304" t="n">
        <v>0</v>
      </c>
      <c r="R3304" t="n">
        <v>0</v>
      </c>
      <c r="S3304">
        <f>IFERROR(O3304/N3304,0)</f>
        <v/>
      </c>
      <c r="T3304" t="n">
        <v>0</v>
      </c>
      <c r="V3304" t="n">
        <v>0</v>
      </c>
    </row>
    <row r="3305">
      <c r="A3305">
        <f>Skills!A24</f>
        <v/>
      </c>
      <c r="B3305">
        <f>Skills!B24</f>
        <v/>
      </c>
      <c r="C3305">
        <f>Inputs!$B$3&gt;=38</f>
        <v/>
      </c>
      <c r="D3305">
        <f>IF(Skills!C24=1,60+Inputs!$B$25+Inputs!$B$29,IF(Skills!C24=2,90+Inputs!$B$26+Inputs!$B$29,IF(Skills!C24=3,120+Inputs!$B$27+Inputs!$B$29,MAX(0,(Inputs!$B$3-100)*3)+Inputs!$B$28+Inputs!$B$29)))</f>
        <v/>
      </c>
      <c r="E3305">
        <f>INDEX(FactorTable!$B$2:$Y$301, MATCH(ROUND(MIN(300,MAX(1,D3305)),0), FactorTable!$A$2:$A$301,0), Skills!M24+1)</f>
        <v/>
      </c>
      <c r="F3305">
        <f>IF(Skills!N24=TRUE,(Skills!L24/10)*(E3305/1000),Skills!L24/10)+Skills!O24</f>
        <v/>
      </c>
      <c r="G3305">
        <f>Skills!G24*IF(Skills!H24&gt;0,Skills!I24/Skills!H24,1)</f>
        <v/>
      </c>
      <c r="H3305">
        <f>1-(1-Skills!J24/100)^Skills!K24</f>
        <v/>
      </c>
      <c r="I3305" t="inlineStr">
        <is>
          <t>1</t>
        </is>
      </c>
      <c r="J3305" t="inlineStr"/>
      <c r="K3305" t="inlineStr"/>
      <c r="L3305" t="inlineStr"/>
      <c r="M3305" t="inlineStr"/>
      <c r="N3305" t="inlineStr"/>
      <c r="O3305">
        <f>(1-Summary!$B$11)*T3305+Summary!$B$11*V3305</f>
        <v/>
      </c>
      <c r="P3305">
        <f>IF(B3325=0,0,O3305/B3325)</f>
        <v/>
      </c>
      <c r="Q3305" t="n">
        <v>0</v>
      </c>
      <c r="R3305" t="n">
        <v>0</v>
      </c>
      <c r="S3305">
        <f>IFERROR(O3305/N3305,0)</f>
        <v/>
      </c>
      <c r="T3305" t="n">
        <v>0</v>
      </c>
      <c r="V3305" t="n">
        <v>0</v>
      </c>
    </row>
    <row r="3306">
      <c r="A3306">
        <f>Skills!A25</f>
        <v/>
      </c>
      <c r="B3306">
        <f>Skills!B25</f>
        <v/>
      </c>
      <c r="C3306">
        <f>Inputs!$B$3&gt;=43</f>
        <v/>
      </c>
      <c r="D3306">
        <f>IF(Skills!C25=1,60+Inputs!$B$25+Inputs!$B$29,IF(Skills!C25=2,90+Inputs!$B$26+Inputs!$B$29,IF(Skills!C25=3,120+Inputs!$B$27+Inputs!$B$29,MAX(0,(Inputs!$B$3-100)*3)+Inputs!$B$28+Inputs!$B$29)))</f>
        <v/>
      </c>
      <c r="E3306">
        <f>INDEX(FactorTable!$B$2:$Y$301, MATCH(ROUND(MIN(300,MAX(1,D3306)),0), FactorTable!$A$2:$A$301,0), Skills!M25+1)</f>
        <v/>
      </c>
      <c r="F3306">
        <f>IF(Skills!N25=TRUE,(Skills!L25/10)*(E3306/1000),Skills!L25/10)+Skills!O25</f>
        <v/>
      </c>
      <c r="G3306">
        <f>Skills!G25*IF(Skills!H25&gt;0,Skills!I25/Skills!H25,1)</f>
        <v/>
      </c>
      <c r="H3306">
        <f>1-(1-Skills!J25/100)^Skills!K25</f>
        <v/>
      </c>
      <c r="I3306" t="inlineStr">
        <is>
          <t>1</t>
        </is>
      </c>
      <c r="J3306" t="inlineStr"/>
      <c r="K3306" t="inlineStr"/>
      <c r="L3306" t="inlineStr"/>
      <c r="M3306" t="inlineStr"/>
      <c r="N3306" t="inlineStr"/>
      <c r="O3306">
        <f>(1-Summary!$B$11)*T3306+Summary!$B$11*V3306</f>
        <v/>
      </c>
      <c r="P3306">
        <f>IF(B3325=0,0,O3306/B3325)</f>
        <v/>
      </c>
      <c r="Q3306" t="n">
        <v>0</v>
      </c>
      <c r="R3306" t="n">
        <v>0</v>
      </c>
      <c r="S3306">
        <f>IFERROR(O3306/N3306,0)</f>
        <v/>
      </c>
      <c r="T3306" t="n">
        <v>0</v>
      </c>
      <c r="V3306" t="n">
        <v>0</v>
      </c>
    </row>
    <row r="3307">
      <c r="A3307">
        <f>Skills!A26</f>
        <v/>
      </c>
      <c r="B3307">
        <f>Skills!B26</f>
        <v/>
      </c>
      <c r="C3307">
        <f>Inputs!$B$3&gt;=75</f>
        <v/>
      </c>
      <c r="D3307">
        <f>IF(Skills!C26=1,60+Inputs!$B$25+Inputs!$B$29,IF(Skills!C26=2,90+Inputs!$B$26+Inputs!$B$29,IF(Skills!C26=3,120+Inputs!$B$27+Inputs!$B$29,MAX(0,(Inputs!$B$3-100)*3)+Inputs!$B$28+Inputs!$B$29)))</f>
        <v/>
      </c>
      <c r="E3307">
        <f>INDEX(FactorTable!$B$2:$Y$301, MATCH(ROUND(MIN(300,MAX(1,D3307)),0), FactorTable!$A$2:$A$301,0), Skills!M26+1)</f>
        <v/>
      </c>
      <c r="F3307">
        <f>IF(Skills!N26=TRUE,(Skills!L26/10)*(E3307/1000),Skills!L26/10)+Skills!O26</f>
        <v/>
      </c>
      <c r="G3307">
        <f>Skills!G26*IF(Skills!H26&gt;0,Skills!I26/Skills!H26,1)</f>
        <v/>
      </c>
      <c r="H3307">
        <f>1-(1-Skills!J26/100)^Skills!K26</f>
        <v/>
      </c>
      <c r="I3307" t="inlineStr">
        <is>
          <t>1</t>
        </is>
      </c>
      <c r="J3307" t="inlineStr"/>
      <c r="K3307" t="inlineStr"/>
      <c r="L3307" t="inlineStr"/>
      <c r="M3307" t="inlineStr"/>
      <c r="N3307" t="inlineStr"/>
      <c r="O3307">
        <f>(1-Summary!$B$11)*T3307+Summary!$B$11*V3307</f>
        <v/>
      </c>
      <c r="P3307">
        <f>IF(B3325=0,0,O3307/B3325)</f>
        <v/>
      </c>
      <c r="Q3307" t="n">
        <v>0</v>
      </c>
      <c r="R3307" t="n">
        <v>0</v>
      </c>
      <c r="S3307">
        <f>IFERROR(O3307/N3307,0)</f>
        <v/>
      </c>
      <c r="T3307" t="n">
        <v>0</v>
      </c>
      <c r="V3307" t="n">
        <v>0</v>
      </c>
    </row>
    <row r="3308">
      <c r="A3308">
        <f>Skills!A27</f>
        <v/>
      </c>
      <c r="B3308">
        <f>Skills!B27</f>
        <v/>
      </c>
      <c r="C3308">
        <f>Inputs!$B$3&gt;=125</f>
        <v/>
      </c>
      <c r="D3308">
        <f>IF(Skills!C27=1,60+Inputs!$B$25+Inputs!$B$29,IF(Skills!C27=2,90+Inputs!$B$26+Inputs!$B$29,IF(Skills!C27=3,120+Inputs!$B$27+Inputs!$B$29,MAX(0,(Inputs!$B$3-100)*3)+Inputs!$B$28+Inputs!$B$29)))</f>
        <v/>
      </c>
      <c r="E3308">
        <f>INDEX(FactorTable!$B$2:$Y$301, MATCH(ROUND(MIN(300,MAX(1,D3308)),0), FactorTable!$A$2:$A$301,0), Skills!M27+1)</f>
        <v/>
      </c>
      <c r="F3308">
        <f>IF(Skills!N27=TRUE,(Skills!L27/10)*(E3308/1000),Skills!L27/10)+Skills!O27</f>
        <v/>
      </c>
      <c r="G3308">
        <f>Skills!G27*IF(Skills!H27&gt;0,Skills!I27/Skills!H27,1)</f>
        <v/>
      </c>
      <c r="H3308">
        <f>1-(1-Skills!J27/100)^Skills!K27</f>
        <v/>
      </c>
      <c r="I3308" t="inlineStr">
        <is>
          <t>1</t>
        </is>
      </c>
      <c r="J3308" t="inlineStr"/>
      <c r="K3308" t="inlineStr"/>
      <c r="L3308" t="inlineStr"/>
      <c r="M3308" t="inlineStr"/>
      <c r="N3308" t="inlineStr"/>
      <c r="O3308">
        <f>(1-Summary!$B$11)*T3308+Summary!$B$11*V3308</f>
        <v/>
      </c>
      <c r="P3308">
        <f>IF(B3325=0,0,O3308/B3325)</f>
        <v/>
      </c>
      <c r="Q3308" t="n">
        <v>0</v>
      </c>
      <c r="R3308" t="n">
        <v>0</v>
      </c>
      <c r="S3308">
        <f>IFERROR(O3308/N3308,0)</f>
        <v/>
      </c>
      <c r="T3308" t="n">
        <v>0</v>
      </c>
      <c r="V3308" t="n">
        <v>0</v>
      </c>
    </row>
    <row r="3309">
      <c r="A3309">
        <f>Skills!A28</f>
        <v/>
      </c>
      <c r="B3309">
        <f>Skills!B28</f>
        <v/>
      </c>
      <c r="C3309">
        <f>Inputs!$B$3&gt;=125</f>
        <v/>
      </c>
      <c r="D3309">
        <f>IF(Skills!C28=1,60+Inputs!$B$25+Inputs!$B$29,IF(Skills!C28=2,90+Inputs!$B$26+Inputs!$B$29,IF(Skills!C28=3,120+Inputs!$B$27+Inputs!$B$29,MAX(0,(Inputs!$B$3-100)*3)+Inputs!$B$28+Inputs!$B$29)))</f>
        <v/>
      </c>
      <c r="E3309">
        <f>INDEX(FactorTable!$B$2:$Y$301, MATCH(ROUND(MIN(300,MAX(1,D3309)),0), FactorTable!$A$2:$A$301,0), Skills!M28+1)</f>
        <v/>
      </c>
      <c r="F3309">
        <f>IF(Skills!N28=TRUE,(Skills!L28/10)*(E3309/1000),Skills!L28/10)+Skills!O28</f>
        <v/>
      </c>
      <c r="G3309">
        <f>Skills!G28*IF(Skills!H28&gt;0,Skills!I28/Skills!H28,1)</f>
        <v/>
      </c>
      <c r="H3309">
        <f>1-(1-Skills!J28/100)^Skills!K28</f>
        <v/>
      </c>
      <c r="I3309" t="inlineStr">
        <is>
          <t>1</t>
        </is>
      </c>
      <c r="J3309" t="inlineStr"/>
      <c r="K3309" t="inlineStr"/>
      <c r="L3309" t="inlineStr"/>
      <c r="M3309" t="inlineStr"/>
      <c r="N3309" t="inlineStr"/>
      <c r="O3309">
        <f>(1-Summary!$B$11)*T3309+Summary!$B$11*V3309</f>
        <v/>
      </c>
      <c r="P3309">
        <f>IF(B3325=0,0,O3309/B3325)</f>
        <v/>
      </c>
      <c r="Q3309" t="n">
        <v>0</v>
      </c>
      <c r="R3309" t="n">
        <v>0</v>
      </c>
      <c r="S3309">
        <f>IFERROR(O3309/N3309,0)</f>
        <v/>
      </c>
      <c r="T3309" t="n">
        <v>0</v>
      </c>
      <c r="V3309" t="n">
        <v>0</v>
      </c>
    </row>
    <row r="3310">
      <c r="A3310">
        <f>Skills!A29</f>
        <v/>
      </c>
      <c r="B3310">
        <f>Skills!B29</f>
        <v/>
      </c>
      <c r="C3310">
        <f>Inputs!$B$3&gt;=120</f>
        <v/>
      </c>
      <c r="D3310">
        <f>IF(Skills!C29=1,60+Inputs!$B$25+Inputs!$B$29,IF(Skills!C29=2,90+Inputs!$B$26+Inputs!$B$29,IF(Skills!C29=3,120+Inputs!$B$27+Inputs!$B$29,MAX(0,(Inputs!$B$3-100)*3)+Inputs!$B$28+Inputs!$B$29)))</f>
        <v/>
      </c>
      <c r="E3310">
        <f>INDEX(FactorTable!$B$2:$Y$301, MATCH(ROUND(MIN(300,MAX(1,D3310)),0), FactorTable!$A$2:$A$301,0), Skills!M29+1)</f>
        <v/>
      </c>
      <c r="F3310">
        <f>IF(Skills!N29=TRUE,(Skills!L29/10)*(E3310/1000),Skills!L29/10)+Skills!O29</f>
        <v/>
      </c>
      <c r="G3310">
        <f>Skills!G29*IF(Skills!H29&gt;0,Skills!I29/Skills!H29,1)</f>
        <v/>
      </c>
      <c r="H3310">
        <f>1-(1-Skills!J29/100)^Skills!K29</f>
        <v/>
      </c>
      <c r="I3310" t="inlineStr">
        <is>
          <t>1</t>
        </is>
      </c>
      <c r="J3310" t="inlineStr"/>
      <c r="K3310" t="inlineStr"/>
      <c r="L3310" t="inlineStr"/>
      <c r="M3310" t="inlineStr"/>
      <c r="N3310" t="inlineStr"/>
      <c r="O3310">
        <f>(1-Summary!$B$11)*T3310+Summary!$B$11*V3310</f>
        <v/>
      </c>
      <c r="P3310">
        <f>IF(B3325=0,0,O3310/B3325)</f>
        <v/>
      </c>
      <c r="Q3310" t="n">
        <v>0</v>
      </c>
      <c r="R3310" t="n">
        <v>0</v>
      </c>
      <c r="S3310">
        <f>IFERROR(O3310/N3310,0)</f>
        <v/>
      </c>
      <c r="T3310" t="n">
        <v>0</v>
      </c>
      <c r="V3310" t="n">
        <v>0</v>
      </c>
    </row>
    <row r="3311">
      <c r="A3311">
        <f>Skills!A30</f>
        <v/>
      </c>
      <c r="B3311">
        <f>Skills!B30</f>
        <v/>
      </c>
      <c r="C3311">
        <f>Inputs!$B$3&gt;=120</f>
        <v/>
      </c>
      <c r="D3311">
        <f>IF(Skills!C30=1,60+Inputs!$B$25+Inputs!$B$29,IF(Skills!C30=2,90+Inputs!$B$26+Inputs!$B$29,IF(Skills!C30=3,120+Inputs!$B$27+Inputs!$B$29,MAX(0,(Inputs!$B$3-100)*3)+Inputs!$B$28+Inputs!$B$29)))</f>
        <v/>
      </c>
      <c r="E3311">
        <f>INDEX(FactorTable!$B$2:$Y$301, MATCH(ROUND(MIN(300,MAX(1,D3311)),0), FactorTable!$A$2:$A$301,0), Skills!M30+1)</f>
        <v/>
      </c>
      <c r="F3311">
        <f>IF(Skills!N30=TRUE,(Skills!L30/10)*(E3311/1000),Skills!L30/10)+Skills!O30</f>
        <v/>
      </c>
      <c r="G3311">
        <f>Skills!G30*IF(Skills!H30&gt;0,Skills!I30/Skills!H30,1)</f>
        <v/>
      </c>
      <c r="H3311">
        <f>1-(1-Skills!J30/100)^Skills!K30</f>
        <v/>
      </c>
      <c r="I3311" t="inlineStr">
        <is>
          <t>1</t>
        </is>
      </c>
      <c r="J3311" t="inlineStr"/>
      <c r="K3311" t="inlineStr"/>
      <c r="L3311" t="inlineStr"/>
      <c r="M3311" t="inlineStr"/>
      <c r="N3311" t="inlineStr"/>
      <c r="O3311">
        <f>(1-Summary!$B$11)*T3311+Summary!$B$11*V3311</f>
        <v/>
      </c>
      <c r="P3311">
        <f>IF(B3325=0,0,O3311/B3325)</f>
        <v/>
      </c>
      <c r="Q3311" t="n">
        <v>0</v>
      </c>
      <c r="R3311" t="n">
        <v>0</v>
      </c>
      <c r="S3311">
        <f>IFERROR(O3311/N3311,0)</f>
        <v/>
      </c>
      <c r="T3311" t="n">
        <v>0</v>
      </c>
      <c r="V3311" t="n">
        <v>0</v>
      </c>
    </row>
    <row r="3312">
      <c r="A3312">
        <f>Skills!A31</f>
        <v/>
      </c>
      <c r="B3312">
        <f>Skills!B31</f>
        <v/>
      </c>
      <c r="C3312">
        <f>Inputs!$B$3&gt;=45</f>
        <v/>
      </c>
      <c r="D3312">
        <f>IF(Skills!C31=1,60+Inputs!$B$25+Inputs!$B$29,IF(Skills!C31=2,90+Inputs!$B$26+Inputs!$B$29,IF(Skills!C31=3,120+Inputs!$B$27+Inputs!$B$29,MAX(0,(Inputs!$B$3-100)*3)+Inputs!$B$28+Inputs!$B$29)))</f>
        <v/>
      </c>
      <c r="E3312">
        <f>INDEX(FactorTable!$B$2:$Y$301, MATCH(ROUND(MIN(300,MAX(1,D3312)),0), FactorTable!$A$2:$A$301,0), Skills!M31+1)</f>
        <v/>
      </c>
      <c r="F3312">
        <f>IF(Skills!N31=TRUE,(Skills!L31/10)*(E3312/1000),Skills!L31/10)+Skills!O31</f>
        <v/>
      </c>
      <c r="G3312">
        <f>Skills!G31*IF(Skills!H31&gt;0,Skills!I31/Skills!H31,1)</f>
        <v/>
      </c>
      <c r="H3312">
        <f>1-(1-Skills!J31/100)^Skills!K31</f>
        <v/>
      </c>
      <c r="I3312" t="inlineStr">
        <is>
          <t>1</t>
        </is>
      </c>
      <c r="J3312" t="inlineStr"/>
      <c r="K3312" t="inlineStr"/>
      <c r="L3312" t="inlineStr"/>
      <c r="M3312" t="inlineStr"/>
      <c r="N3312" t="inlineStr"/>
      <c r="O3312">
        <f>(1-Summary!$B$11)*T3312+Summary!$B$11*V3312</f>
        <v/>
      </c>
      <c r="P3312">
        <f>IF(B3325=0,0,O3312/B3325)</f>
        <v/>
      </c>
      <c r="Q3312" t="n">
        <v>0</v>
      </c>
      <c r="R3312" t="n">
        <v>0</v>
      </c>
      <c r="S3312">
        <f>IFERROR(O3312/N3312,0)</f>
        <v/>
      </c>
      <c r="T3312" t="n">
        <v>0</v>
      </c>
      <c r="V3312" t="n">
        <v>0</v>
      </c>
    </row>
    <row r="3314">
      <c r="A3314" t="inlineStr">
        <is>
          <t>Attack% Bucket Multiplier</t>
        </is>
      </c>
      <c r="B3314">
        <f>(1+(((C3295=TRUE)*F3295)+((C3296=TRUE)*IF(Inputs!$B$38="pvp",F3296,(1-Summary!$B$11)*(F3296)+Summary!$B$11*(0)))+((C3297=TRUE)*F3297*IF(AND(Inputs!$B$38&lt;&gt;"pvp",Inputs!$B$43&gt;0),(((R3297-1)*(Skills!T16*(1+Inputs!$B$34/100))+MIN((Skills!T16*(1+Inputs!$B$34/100)),MAX(0,Inputs!$B$43-((R3297-1)*Skills!D16))))/Inputs!$B$43),IF(Inputs!$B$38="pvp",MIN((Skills!T16*(1+Inputs!$B$34/100)),15)/15,(Skills!T16*(1+Inputs!$B$34/100))/Skills!D16)))+((C3312=TRUE)*(F3312-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15">
      <c r="A3315" t="inlineStr">
        <is>
          <t>Global Crit Rate Bonus %</t>
        </is>
      </c>
      <c r="B3315">
        <f>(C3298=TRUE)*20*IF(AND(Inputs!$B$38&lt;&gt;"pvp",Inputs!$B$43&gt;0),(((R3298-1)*(Skills!T17*(1+Inputs!$B$34/100))+MIN((Skills!T17*(1+Inputs!$B$34/100)),MAX(0,Inputs!$B$43-((R3298-1)*Skills!D17))))/Inputs!$B$43),IF(Inputs!$B$38="pvp",MIN((Skills!T17*(1+Inputs!$B$34/100)),15)/15,(Skills!T17*(1+Inputs!$B$34/100))/Skills!D17))</f>
        <v/>
      </c>
    </row>
    <row r="3316">
      <c r="A3316" t="inlineStr">
        <is>
          <t>Attack Speed Buff Bonus %</t>
        </is>
      </c>
      <c r="B3316">
        <f>((C3301=TRUE)*F3301*IF(AND(Inputs!$B$38&lt;&gt;"pvp",Inputs!$B$43&gt;0),(((R3301-1)*(Skills!T20*(1+Inputs!$B$34/100))+MIN((Skills!T20*(1+Inputs!$B$34/100)),MAX(0,Inputs!$B$43-((R3301-1)*Skills!D20))))/Inputs!$B$43),IF(Inputs!$B$38="pvp",MIN((Skills!T20*(1+Inputs!$B$34/100)),15)/15,(Skills!T20*(1+Inputs!$B$34/100))/Skills!D20)))</f>
        <v/>
      </c>
    </row>
    <row r="3317">
      <c r="A3317" t="inlineStr">
        <is>
          <t>Actions Per Second</t>
        </is>
      </c>
      <c r="B3317">
        <f>1+MIN(150,150*(1-(1-(Inputs!$B$11+((C3303=TRUE)*(F3303-Calc!F22))+((C3304=TRUE)*(F3304-Calc!F23)))/150)*(1-B3316/150)))/100</f>
        <v/>
      </c>
    </row>
    <row r="3318">
      <c r="A3318" t="inlineStr">
        <is>
          <t>Skill + Buff Cast Rate</t>
        </is>
      </c>
      <c r="B3318">
        <f>IF(AND(Inputs!$B$38&lt;&gt;"pvp",Inputs!$B$43&gt;0),SUMPRODUCT((Skills!E2:E31=TRUE)*(C3283:C3312=TRUE)*R3283:R3312*Skills!F2:F31)/Inputs!$B$43,SUMPRODUCT((Skills!E2:E31=TRUE)*(C3283:C3312=TRUE)*Q3283:Q3312*Skills!F2:F31))</f>
        <v/>
      </c>
    </row>
    <row r="3319">
      <c r="A3319" t="inlineStr">
        <is>
          <t>Arrow Stream Casts Per Second</t>
        </is>
      </c>
      <c r="B3319">
        <f>MAX(0,B3317-B3318)</f>
        <v/>
      </c>
    </row>
    <row r="3320">
      <c r="A3320" t="inlineStr">
        <is>
          <t>Global Critical Damage Bonus % (Sharp Eyes + Concentration)</t>
        </is>
      </c>
      <c r="B3320">
        <f>(C3298=TRUE)*F3298*IF(AND(Inputs!$B$38&lt;&gt;"pvp",Inputs!$B$43&gt;0),(((R3298-1)*(Skills!T17*(1+Inputs!$B$34/100))+MIN((Skills!T17*(1+Inputs!$B$34/100)),MAX(0,Inputs!$B$43-((R3298-1)*Skills!D17))))/Inputs!$B$43),IF(Inputs!$B$38="pvp",MIN((Skills!T17*(1+Inputs!$B$34/100)),15)/15,(Skills!T17*(1+Inputs!$B$34/100))/Skills!D17))+(C3299=TRUE)*30</f>
        <v/>
      </c>
    </row>
    <row r="3321">
      <c r="A3321" t="inlineStr">
        <is>
          <t>Global Final Damage Bonus % (Mortal Blow)</t>
        </is>
      </c>
      <c r="B3321">
        <f>(C3300=TRUE)*F3300</f>
        <v/>
      </c>
    </row>
    <row r="3322">
      <c r="A3322" t="inlineStr">
        <is>
          <t>Buff-Casting Startup Delay (s, fixed-duration only)</t>
        </is>
      </c>
      <c r="B3322">
        <f>IF(AND(Inputs!$B$38&lt;&gt;"pvp",Inputs!$B$43&gt;0),SUMPRODUCT((Skills!T2:T31&gt;0)*(Skills!E2:E31=TRUE)*(C3283:C3312=TRUE))/B3317,0)</f>
        <v/>
      </c>
    </row>
    <row r="3323">
      <c r="A3323" t="inlineStr">
        <is>
          <t>Boss-Only Total DPS (this block's swept value)</t>
        </is>
      </c>
      <c r="B3323">
        <f>SUM(T3283:T3312)</f>
        <v/>
      </c>
    </row>
    <row r="3324">
      <c r="A3324" t="inlineStr">
        <is>
          <t>Normal-Only Total DPS (this block's swept value)</t>
        </is>
      </c>
      <c r="B3324">
        <f>SUM(V3283:V3312)</f>
        <v/>
      </c>
    </row>
    <row r="3325">
      <c r="A3325" s="6" t="inlineStr">
        <is>
          <t>TOTAL DPS</t>
        </is>
      </c>
      <c r="B3325" s="6">
        <f>SUM(O3283:O3312)</f>
        <v/>
      </c>
    </row>
    <row r="3328">
      <c r="A3328" s="6" t="inlineStr">
        <is>
          <t>Stat: CDR = 4.0s</t>
        </is>
      </c>
    </row>
    <row r="3329">
      <c r="A3329" s="5" t="inlineStr">
        <is>
          <t>Key</t>
        </is>
      </c>
      <c r="B3329" s="5" t="inlineStr">
        <is>
          <t>Name</t>
        </is>
      </c>
      <c r="C3329" s="5" t="inlineStr">
        <is>
          <t>Unlocked</t>
        </is>
      </c>
      <c r="D3329" s="5" t="inlineStr">
        <is>
          <t>InputLevel</t>
        </is>
      </c>
      <c r="E3329" s="5" t="inlineStr">
        <is>
          <t>Factor</t>
        </is>
      </c>
      <c r="F3329" s="5" t="inlineStr">
        <is>
          <t>CoefficientPercent</t>
        </is>
      </c>
      <c r="G3329" s="5" t="inlineStr">
        <is>
          <t>EffectiveHits</t>
        </is>
      </c>
      <c r="H3329" s="5" t="inlineStr">
        <is>
          <t>ProcProbability</t>
        </is>
      </c>
      <c r="I3329" s="5" t="inlineStr">
        <is>
          <t>MapleHeroMultiplier</t>
        </is>
      </c>
      <c r="J3329" s="5" t="inlineStr">
        <is>
          <t>BaseDamage</t>
        </is>
      </c>
      <c r="K3329" s="5" t="inlineStr">
        <is>
          <t>BaseHitDamage</t>
        </is>
      </c>
      <c r="L3329" s="5" t="inlineStr">
        <is>
          <t>NonCritAvg</t>
        </is>
      </c>
      <c r="M3329" s="5" t="inlineStr">
        <is>
          <t>CritAvg</t>
        </is>
      </c>
      <c r="N3329" s="5" t="inlineStr">
        <is>
          <t>ExpectedDamage(perHit)</t>
        </is>
      </c>
      <c r="O3329" s="5" t="inlineStr">
        <is>
          <t>DPS</t>
        </is>
      </c>
      <c r="P3329" s="5" t="inlineStr">
        <is>
          <t>% of Total</t>
        </is>
      </c>
      <c r="Q3329" s="5" t="inlineStr">
        <is>
          <t>InvCooldown</t>
        </is>
      </c>
      <c r="R3329" s="5" t="inlineStr">
        <is>
          <t>CastsInFight</t>
        </is>
      </c>
      <c r="S3329" s="5" t="inlineStr">
        <is>
          <t>HitRate(perSec)</t>
        </is>
      </c>
      <c r="U3329" t="inlineStr">
        <is>
          <t>helpers</t>
        </is>
      </c>
    </row>
    <row r="3330">
      <c r="A3330">
        <f>Skills!A2</f>
        <v/>
      </c>
      <c r="B3330">
        <f>Skills!B2</f>
        <v/>
      </c>
      <c r="C3330">
        <f>Inputs!$B$3&gt;=100</f>
        <v/>
      </c>
      <c r="D3330" t="inlineStr"/>
      <c r="E3330" t="inlineStr"/>
      <c r="F3330">
        <f>U3332+Skills!O2</f>
        <v/>
      </c>
      <c r="G3330">
        <f>Skills!G2*IF(Skills!H2&gt;0,Skills!I2/Skills!H2,1)</f>
        <v/>
      </c>
      <c r="H3330">
        <f>1-(1-Skills!J2/100)^Skills!K2</f>
        <v/>
      </c>
      <c r="I3330" t="inlineStr">
        <is>
          <t>1</t>
        </is>
      </c>
      <c r="J3330">
        <f>((Inputs!$B$6*(1+Inputs!$B$7/100))+(((Inputs!$B$12*(1+Inputs!$B$13/100))-(Inputs!$B$12*(1+Inputs!$B$13/100)))+0.25*(Inputs!$B$14-Inputs!$B$14))*(1+Inputs!$B$7/100))*(F3330/100)</f>
        <v/>
      </c>
      <c r="K3330">
        <f>J3330*(1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3330)</f>
        <v/>
      </c>
      <c r="L3330">
        <f>K3330*(MIN(Inputs!$B$22+((C3353=TRUE)*(F3353-Calc!F25)),(Inputs!$B$23+((C3358=TRUE)*(F3358-Calc!F30))+(IF(ArtifactsInput!$M$15,CHOOSE(ArtifactsInput!$N$15+1,25,30,35,40,45,50)/100*(Inputs!$B$11-Inputs!$B$11),0))))/100+(Inputs!$B$23+((C3358=TRUE)*(F3358-Calc!F30))+(IF(ArtifactsInput!$M$15,CHOOSE(ArtifactsInput!$N$15+1,25,30,35,40,45,50)/100*(Inputs!$B$11-Inputs!$B$11),0)))/100)/2</f>
        <v/>
      </c>
      <c r="M3330">
        <f>L3330*(1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0">
        <f>L3330*(1-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3330*(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0">
        <f>(1-Summary!$B$11)*T3330+Summary!$B$11*V3330</f>
        <v/>
      </c>
      <c r="P3330">
        <f>IF(B3372=0,0,O3330/B3372)</f>
        <v/>
      </c>
      <c r="Q3330" t="n">
        <v>0</v>
      </c>
      <c r="R3330" t="n">
        <v>0</v>
      </c>
      <c r="S3330">
        <f>IFERROR(O3330/N3330,0)</f>
        <v/>
      </c>
      <c r="T3330">
        <f>IF(C3330,(Skills!G2*N3330*B3366)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3330*(1-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3330*(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3330*(1-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3330*(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30">
        <f>MAX(0,(Inputs!$B$3-100)*3)+Inputs!$B$28+Inputs!$B$29</f>
        <v/>
      </c>
      <c r="V3330">
        <f>IF(C3330,(Skills!G2*N3330*B3366)*IF(Inputs!$B$38="pvp",1,(1+(Inputs!$B$21+Skills!Q2+(IF(ArtifactsInput!$M$33,CHOOSE(ArtifactsInput!$N$33+1,30,36,42,48,54,60),0))+(IF(AND(ArtifactsInput!$M$35,Inputs!$B$4&lt;&gt;"Chapter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1">
      <c r="A3331">
        <f>Skills!A3</f>
        <v/>
      </c>
      <c r="B3331">
        <f>Skills!B3</f>
        <v/>
      </c>
      <c r="C3331">
        <f>Inputs!$B$3&gt;=50</f>
        <v/>
      </c>
      <c r="D3331">
        <f>IF(Skills!C3=1,60+Inputs!$B$25+Inputs!$B$29,IF(Skills!C3=2,90+Inputs!$B$26+Inputs!$B$29,IF(Skills!C3=3,120+Inputs!$B$27+Inputs!$B$29,MAX(0,(Inputs!$B$3-100)*3)+Inputs!$B$28+Inputs!$B$29)))</f>
        <v/>
      </c>
      <c r="E3331">
        <f>INDEX(FactorTable!$B$2:$Y$301, MATCH(ROUND(MIN(300,MAX(1,D3331)),0), FactorTable!$A$2:$A$301,0), Skills!M3+1)</f>
        <v/>
      </c>
      <c r="F3331">
        <f>IF(Skills!N3=TRUE,(Skills!L3/10)*(E3331/1000),Skills!L3/10)+Skills!O3</f>
        <v/>
      </c>
      <c r="G3331">
        <f>Skills!G3*IF(Skills!H3&gt;0,Skills!I3/Skills!H3,1)</f>
        <v/>
      </c>
      <c r="H3331">
        <f>1-(1-Skills!J3/100)^Skills!K3</f>
        <v/>
      </c>
      <c r="I3331" t="inlineStr">
        <is>
          <t>1</t>
        </is>
      </c>
      <c r="J3331">
        <f>((Inputs!$B$6*(1+Inputs!$B$7/100))+(((Inputs!$B$12*(1+Inputs!$B$13/100))-(Inputs!$B$12*(1+Inputs!$B$13/100)))+0.25*(Inputs!$B$14-Inputs!$B$14))*(1+Inputs!$B$7/100))*(F3331/100)</f>
        <v/>
      </c>
      <c r="K3331">
        <f>J3331*(1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3332=TRUE,F3332,0)/100)*(1+(IF(Skills!A3="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3331)</f>
        <v/>
      </c>
      <c r="L3331">
        <f>K3331*(MIN(Inputs!$B$22+((C3353=TRUE)*(F3353-Calc!F25)),(Inputs!$B$23+((C3358=TRUE)*(F3358-Calc!F30))+(IF(ArtifactsInput!$M$15,CHOOSE(ArtifactsInput!$N$15+1,25,30,35,40,45,50)/100*(Inputs!$B$11-Inputs!$B$11),0))))/100+(Inputs!$B$23+((C3358=TRUE)*(F3358-Calc!F30))+(IF(ArtifactsInput!$M$15,CHOOSE(ArtifactsInput!$N$15+1,25,30,35,40,45,50)/100*(Inputs!$B$11-Inputs!$B$11),0)))/100)/2</f>
        <v/>
      </c>
      <c r="M3331">
        <f>L3331*(1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1">
        <f>L3331*(1-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1">
        <f>(1-Summary!$B$11)*T3331+Summary!$B$11*V3331</f>
        <v/>
      </c>
      <c r="P3331">
        <f>IF(B3372=0,0,O3331/B3372)</f>
        <v/>
      </c>
      <c r="Q3331">
        <f>IFERROR(1/(IF(Inputs!$B$38="pvp",15,MAX(0.1,Skills!D3-IF(Skills!E3=TRUE,4.0,0)))*(1-IF(AND(ArtifactsInput!$M$27,Inputs!$B$4="Chapter Hunt"),CHOOSE(ArtifactsInput!$N$27+1,20,24,28,32,36,40),0)/100)),0)</f>
        <v/>
      </c>
      <c r="R3331">
        <f>IF(AND(Inputs!$B$38&lt;&gt;"pvp",Inputs!$B$43&gt;0),IF(MAX(0,Inputs!$B$43-B3369)&lt;=0,0,(INT(MAX(0,Inputs!$B$43-B3369)/(IF(Inputs!$B$38="pvp",15,MAX(0.1,Skills!D3-IF(Skills!E3=TRUE,4.0,0)))*(1-IF(AND(ArtifactsInput!$M$27,Inputs!$B$4="Chapter Hunt"),CHOOSE(ArtifactsInput!$N$27+1,20,24,28,32,36,40),0)/100)))+1)),0)</f>
        <v/>
      </c>
      <c r="S3331">
        <f>IFERROR(O3331/N3331,0)</f>
        <v/>
      </c>
      <c r="T3331">
        <f>IF(C3331,(H3331*N3331*IF(AND(Inputs!$B$38&lt;&gt;"pvp",Inputs!$B$43&gt;0),((Skills!G3*((R3331-1)*IF(Skills!H3&gt;0,Skills!I3/Skills!H3,1)+IF(Skills!H3&gt;0,MIN(Skills!I3,MAX(0,MAX(0,Inputs!$B$43-B3369)-((R3331-1)*(IF(Inputs!$B$38="pvp",15,MAX(0.1,Skills!D3-IF(Skills!E3=TRUE,4.0,0)))*(1-IF(AND(ArtifactsInput!$M$27,Inputs!$B$4="Chapter Hunt"),CHOOSE(ArtifactsInput!$N$27+1,20,24,28,32,36,40),0)/100)))))/Skills!H3,1)))/Inputs!$B$43),G3331*Q3331)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3331*(1-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3331*(1-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31">
        <f>INDEX(FactorTable!$B$2:$Y$301, MATCH(ROUND(MIN(300,MAX(1,U3330)),0), FactorTable!$A$2:$A$301,0), 22)</f>
        <v/>
      </c>
      <c r="V3331">
        <f>IF(C3331,(H3331*N3331*IF(AND(Inputs!$B$38&lt;&gt;"pvp",Inputs!$B$43&gt;0),((Skills!G3*((R3331-1)*IF(Skills!H3&gt;0,Skills!I3/Skills!H3,1)+IF(Skills!H3&gt;0,MIN(Skills!I3,MAX(0,MAX(0,Inputs!$B$43-B3369)-((R3331-1)*(IF(Inputs!$B$38="pvp",15,MAX(0.1,Skills!D3-IF(Skills!E3=TRUE,4.0,0)))*(1-IF(AND(ArtifactsInput!$M$27,Inputs!$B$4="Chapter Hunt"),CHOOSE(ArtifactsInput!$N$27+1,20,24,28,32,36,40),0)/100)))))/Skills!H3,1)))/Inputs!$B$43),G3331*Q3331))*IF(Inputs!$B$38="pvp",1,(1+(Inputs!$B$21+Skills!Q3+(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2">
      <c r="A3332">
        <f>Skills!A4</f>
        <v/>
      </c>
      <c r="B3332">
        <f>Skills!B4</f>
        <v/>
      </c>
      <c r="C3332">
        <f>Inputs!$B$3&gt;=105</f>
        <v/>
      </c>
      <c r="D3332">
        <f>IF(Skills!C4=1,60+Inputs!$B$25+Inputs!$B$29,IF(Skills!C4=2,90+Inputs!$B$26+Inputs!$B$29,IF(Skills!C4=3,120+Inputs!$B$27+Inputs!$B$29,MAX(0,(Inputs!$B$3-100)*3)+Inputs!$B$28+Inputs!$B$29)))</f>
        <v/>
      </c>
      <c r="E3332">
        <f>INDEX(FactorTable!$B$2:$Y$301, MATCH(ROUND(MIN(300,MAX(1,D3332)),0), FactorTable!$A$2:$A$301,0), Skills!M4+1)</f>
        <v/>
      </c>
      <c r="F3332">
        <f>IF(Skills!N4=TRUE,(Skills!L4/10)*(E3332/1000),Skills!L4/10)+Skills!O4</f>
        <v/>
      </c>
      <c r="G3332" t="inlineStr"/>
      <c r="H3332" t="inlineStr"/>
      <c r="I3332" t="inlineStr">
        <is>
          <t>1</t>
        </is>
      </c>
      <c r="J3332" t="inlineStr"/>
      <c r="K3332" t="inlineStr"/>
      <c r="L3332" t="inlineStr"/>
      <c r="M3332" t="inlineStr"/>
      <c r="N3332" t="inlineStr"/>
      <c r="O3332" t="inlineStr"/>
      <c r="P3332" t="inlineStr"/>
      <c r="Q3332" t="inlineStr"/>
      <c r="R3332" t="inlineStr"/>
      <c r="S3332" t="inlineStr"/>
      <c r="T3332" t="inlineStr"/>
      <c r="U3332">
        <f>290*U3331/1000</f>
        <v/>
      </c>
      <c r="V3332" t="inlineStr"/>
    </row>
    <row r="3333">
      <c r="A3333">
        <f>Skills!A5</f>
        <v/>
      </c>
      <c r="B3333">
        <f>Skills!B5</f>
        <v/>
      </c>
      <c r="C3333">
        <f>Inputs!$B$3&gt;=35</f>
        <v/>
      </c>
      <c r="D3333">
        <f>IF(Skills!C5=1,60+Inputs!$B$25+Inputs!$B$29,IF(Skills!C5=2,90+Inputs!$B$26+Inputs!$B$29,IF(Skills!C5=3,120+Inputs!$B$27+Inputs!$B$29,MAX(0,(Inputs!$B$3-100)*3)+Inputs!$B$28+Inputs!$B$29)))</f>
        <v/>
      </c>
      <c r="E3333">
        <f>INDEX(FactorTable!$B$2:$Y$301, MATCH(ROUND(MIN(300,MAX(1,D3333)),0), FactorTable!$A$2:$A$301,0), Skills!M5+1)</f>
        <v/>
      </c>
      <c r="F3333">
        <f>IF(Skills!N5=TRUE,(Skills!L5/10)*(E3333/1000),Skills!L5/10)+Skills!O5</f>
        <v/>
      </c>
      <c r="G3333">
        <f>Skills!G5*IF(Skills!H5&gt;0,Skills!I5/Skills!H5,1)</f>
        <v/>
      </c>
      <c r="H3333">
        <f>1-(1-Skills!J5/100)^Skills!K5</f>
        <v/>
      </c>
      <c r="I3333" t="inlineStr">
        <is>
          <t>1</t>
        </is>
      </c>
      <c r="J3333">
        <f>((Inputs!$B$6*(1+Inputs!$B$7/100))+(((Inputs!$B$12*(1+Inputs!$B$13/100))-(Inputs!$B$12*(1+Inputs!$B$13/100)))+0.25*(Inputs!$B$14-Inputs!$B$14))*(1+Inputs!$B$7/100))*(F3333/100)</f>
        <v/>
      </c>
      <c r="K3333">
        <f>J3333*(1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3339=TRUE,F3339,0)/100)*(1+(IF(Skills!A5="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3333)</f>
        <v/>
      </c>
      <c r="L3333">
        <f>K3333*(MIN(Inputs!$B$22+((C3353=TRUE)*(F3353-Calc!F25)),(Inputs!$B$23+((C3358=TRUE)*(F3358-Calc!F30))+(IF(ArtifactsInput!$M$15,CHOOSE(ArtifactsInput!$N$15+1,25,30,35,40,45,50)/100*(Inputs!$B$11-Inputs!$B$11),0))))/100+(Inputs!$B$23+((C3358=TRUE)*(F3358-Calc!F30))+(IF(ArtifactsInput!$M$15,CHOOSE(ArtifactsInput!$N$15+1,25,30,35,40,45,50)/100*(Inputs!$B$11-Inputs!$B$11),0)))/100)/2</f>
        <v/>
      </c>
      <c r="M3333">
        <f>L3333*(1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3">
        <f>L3333*(1-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3333*(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3">
        <f>(1-Summary!$B$11)*T3333+Summary!$B$11*V3333</f>
        <v/>
      </c>
      <c r="P3333">
        <f>IF(B3372=0,0,O3333/B3372)</f>
        <v/>
      </c>
      <c r="Q3333">
        <f>IFERROR(1/(IF(Inputs!$B$38="pvp",15,MAX(0.1,Skills!D5-IF(Skills!E5=TRUE,4.0,0)))*(1-IF(AND(ArtifactsInput!$M$27,Inputs!$B$4="Chapter Hunt"),CHOOSE(ArtifactsInput!$N$27+1,20,24,28,32,36,40),0)/100)),0)</f>
        <v/>
      </c>
      <c r="R3333">
        <f>IF(AND(Inputs!$B$38&lt;&gt;"pvp",Inputs!$B$43&gt;0),IF(MAX(0,Inputs!$B$43-B3369)&lt;=0,0,(INT(MAX(0,Inputs!$B$43-B3369)/(IF(Inputs!$B$38="pvp",15,MAX(0.1,Skills!D5-IF(Skills!E5=TRUE,4.0,0)))*(1-IF(AND(ArtifactsInput!$M$27,Inputs!$B$4="Chapter Hunt"),CHOOSE(ArtifactsInput!$N$27+1,20,24,28,32,36,40),0)/100)))+1)),0)</f>
        <v/>
      </c>
      <c r="S3333">
        <f>IFERROR(O3333/N3333,0)</f>
        <v/>
      </c>
      <c r="T3333">
        <f>IF(C3333,(H3333*N3333*IF(AND(Inputs!$B$38&lt;&gt;"pvp",Inputs!$B$43&gt;0),((Skills!G5*((R3333-1)*IF(Skills!H5&gt;0,Skills!I5/Skills!H5,1)+IF(Skills!H5&gt;0,MIN(Skills!I5,MAX(0,MAX(0,Inputs!$B$43-B3369)-((R3333-1)*(IF(Inputs!$B$38="pvp",15,MAX(0.1,Skills!D5-IF(Skills!E5=TRUE,4.0,0)))*(1-IF(AND(ArtifactsInput!$M$27,Inputs!$B$4="Chapter Hunt"),CHOOSE(ArtifactsInput!$N$27+1,20,24,28,32,36,40),0)/100)))))/Skills!H5,1)))/Inputs!$B$43),G3333*Q3333))*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3333*(1-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3333*(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3333*(1-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3333*(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3">
        <f>IF(C3333,(H3333*N3333*IF(AND(Inputs!$B$38&lt;&gt;"pvp",Inputs!$B$43&gt;0),((Skills!G5*((R3333-1)*IF(Skills!H5&gt;0,Skills!I5/Skills!H5,1)+IF(Skills!H5&gt;0,MIN(Skills!I5,MAX(0,MAX(0,Inputs!$B$43-B3369)-((R3333-1)*(IF(Inputs!$B$38="pvp",15,MAX(0.1,Skills!D5-IF(Skills!E5=TRUE,4.0,0)))*(1-IF(AND(ArtifactsInput!$M$27,Inputs!$B$4="Chapter Hunt"),CHOOSE(ArtifactsInput!$N$27+1,20,24,28,32,36,40),0)/100)))))/Skills!H5,1)))/Inputs!$B$43),G3333*Q3333))*IF(Inputs!$B$38="pvp",1,(1+(Inputs!$B$21+Skills!Q5+(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4">
      <c r="A3334">
        <f>Skills!A6</f>
        <v/>
      </c>
      <c r="B3334">
        <f>Skills!B6</f>
        <v/>
      </c>
      <c r="C3334">
        <f>Inputs!$B$3&gt;=40</f>
        <v/>
      </c>
      <c r="D3334">
        <f>IF(Skills!C6=1,60+Inputs!$B$25+Inputs!$B$29,IF(Skills!C6=2,90+Inputs!$B$26+Inputs!$B$29,IF(Skills!C6=3,120+Inputs!$B$27+Inputs!$B$29,MAX(0,(Inputs!$B$3-100)*3)+Inputs!$B$28+Inputs!$B$29)))</f>
        <v/>
      </c>
      <c r="E3334">
        <f>INDEX(FactorTable!$B$2:$Y$301, MATCH(ROUND(MIN(300,MAX(1,D3334)),0), FactorTable!$A$2:$A$301,0), Skills!M6+1)</f>
        <v/>
      </c>
      <c r="F3334">
        <f>IF(Skills!N6=TRUE,(Skills!L6/10)*(E3334/1000),Skills!L6/10)+Skills!O6</f>
        <v/>
      </c>
      <c r="G3334">
        <f>Skills!G6*IF(Skills!H6&gt;0,Skills!I6/Skills!H6,1)</f>
        <v/>
      </c>
      <c r="H3334">
        <f>1-(1-Skills!J6/100)^Skills!K6</f>
        <v/>
      </c>
      <c r="I3334" t="inlineStr">
        <is>
          <t>1</t>
        </is>
      </c>
      <c r="J3334">
        <f>((Inputs!$B$6*(1+Inputs!$B$7/100))+(((Inputs!$B$12*(1+Inputs!$B$13/100))-(Inputs!$B$12*(1+Inputs!$B$13/100)))+0.25*(Inputs!$B$14-Inputs!$B$14))*(1+Inputs!$B$7/100))*(F3334/100)</f>
        <v/>
      </c>
      <c r="K3334">
        <f>J3334*(1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3335=TRUE,F3335,0)/100)*(1+(IF(Skills!A6="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3334)</f>
        <v/>
      </c>
      <c r="L3334">
        <f>K3334*(MIN(Inputs!$B$22+((C3353=TRUE)*(F3353-Calc!F25)),(Inputs!$B$23+((C3358=TRUE)*(F3358-Calc!F30))+(IF(ArtifactsInput!$M$15,CHOOSE(ArtifactsInput!$N$15+1,25,30,35,40,45,50)/100*(Inputs!$B$11-Inputs!$B$11),0))))/100+(Inputs!$B$23+((C3358=TRUE)*(F3358-Calc!F30))+(IF(ArtifactsInput!$M$15,CHOOSE(ArtifactsInput!$N$15+1,25,30,35,40,45,50)/100*(Inputs!$B$11-Inputs!$B$11),0)))/100)/2</f>
        <v/>
      </c>
      <c r="M3334">
        <f>L3334*(1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4">
        <f>L3334*(1-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3334*(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4">
        <f>(1-Summary!$B$11)*T3334+Summary!$B$11*V3334</f>
        <v/>
      </c>
      <c r="P3334">
        <f>IF(B3372=0,0,O3334/B3372)</f>
        <v/>
      </c>
      <c r="Q3334">
        <f>IFERROR(1/(IF(Inputs!$B$38="pvp",15,MAX(0.1,Skills!D6-IF(Skills!E6=TRUE,4.0,0)))*(1-IF(AND(ArtifactsInput!$M$27,Inputs!$B$4="Chapter Hunt"),CHOOSE(ArtifactsInput!$N$27+1,20,24,28,32,36,40),0)/100)),0)</f>
        <v/>
      </c>
      <c r="R3334">
        <f>IF(AND(Inputs!$B$38&lt;&gt;"pvp",Inputs!$B$43&gt;0),IF(MAX(0,Inputs!$B$43-B3369)&lt;=0,0,(INT(MAX(0,Inputs!$B$43-B3369)/(IF(Inputs!$B$38="pvp",15,MAX(0.1,Skills!D6-IF(Skills!E6=TRUE,4.0,0)))*(1-IF(AND(ArtifactsInput!$M$27,Inputs!$B$4="Chapter Hunt"),CHOOSE(ArtifactsInput!$N$27+1,20,24,28,32,36,40),0)/100)))+1)),0)</f>
        <v/>
      </c>
      <c r="S3334">
        <f>IFERROR(O3334/N3334,0)</f>
        <v/>
      </c>
      <c r="T3334">
        <f>IF(C3334,(H3334*N3334*IF(AND(Inputs!$B$38&lt;&gt;"pvp",Inputs!$B$43&gt;0),((Skills!G6*((R3334-1)*IF(Skills!H6&gt;0,Skills!I6/Skills!H6,1)+IF(Skills!H6&gt;0,MIN(Skills!I6,MAX(0,MAX(0,Inputs!$B$43-B3369)-((R3334-1)*(IF(Inputs!$B$38="pvp",15,MAX(0.1,Skills!D6-IF(Skills!E6=TRUE,4.0,0)))*(1-IF(AND(ArtifactsInput!$M$27,Inputs!$B$4="Chapter Hunt"),CHOOSE(ArtifactsInput!$N$27+1,20,24,28,32,36,40),0)/100)))))/Skills!H6,1)))/Inputs!$B$43),G3334*Q3334))*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3334*(1-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3334*(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3334*(1-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3334*(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4">
        <f>IF(C3334,(H3334*N3334*IF(AND(Inputs!$B$38&lt;&gt;"pvp",Inputs!$B$43&gt;0),((Skills!G6*((R3334-1)*IF(Skills!H6&gt;0,Skills!I6/Skills!H6,1)+IF(Skills!H6&gt;0,MIN(Skills!I6,MAX(0,MAX(0,Inputs!$B$43-B3369)-((R3334-1)*(IF(Inputs!$B$38="pvp",15,MAX(0.1,Skills!D6-IF(Skills!E6=TRUE,4.0,0)))*(1-IF(AND(ArtifactsInput!$M$27,Inputs!$B$4="Chapter Hunt"),CHOOSE(ArtifactsInput!$N$27+1,20,24,28,32,36,40),0)/100)))))/Skills!H6,1)))/Inputs!$B$43),G3334*Q3334))*IF(Inputs!$B$38="pvp",1,(1+(Inputs!$B$21+Skills!Q6+(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5">
      <c r="A3335">
        <f>Skills!A7</f>
        <v/>
      </c>
      <c r="B3335">
        <f>Skills!B7</f>
        <v/>
      </c>
      <c r="C3335">
        <f>Inputs!$B$3&gt;=107</f>
        <v/>
      </c>
      <c r="D3335">
        <f>IF(Skills!C7=1,60+Inputs!$B$25+Inputs!$B$29,IF(Skills!C7=2,90+Inputs!$B$26+Inputs!$B$29,IF(Skills!C7=3,120+Inputs!$B$27+Inputs!$B$29,MAX(0,(Inputs!$B$3-100)*3)+Inputs!$B$28+Inputs!$B$29)))</f>
        <v/>
      </c>
      <c r="E3335">
        <f>INDEX(FactorTable!$B$2:$Y$301, MATCH(ROUND(MIN(300,MAX(1,D3335)),0), FactorTable!$A$2:$A$301,0), Skills!M7+1)</f>
        <v/>
      </c>
      <c r="F3335">
        <f>IF(Skills!N7=TRUE,(Skills!L7/10)*(E3335/1000),Skills!L7/10)+Skills!O7</f>
        <v/>
      </c>
      <c r="G3335" t="inlineStr"/>
      <c r="H3335" t="inlineStr"/>
      <c r="I3335" t="inlineStr">
        <is>
          <t>1</t>
        </is>
      </c>
      <c r="J3335" t="inlineStr"/>
      <c r="K3335" t="inlineStr"/>
      <c r="L3335" t="inlineStr"/>
      <c r="M3335" t="inlineStr"/>
      <c r="N3335" t="inlineStr"/>
      <c r="O3335" t="inlineStr"/>
      <c r="P3335" t="inlineStr"/>
      <c r="Q3335" t="inlineStr"/>
      <c r="R3335" t="inlineStr"/>
      <c r="S3335" t="inlineStr"/>
      <c r="T3335" t="inlineStr"/>
      <c r="V3335" t="inlineStr"/>
    </row>
    <row r="3336">
      <c r="A3336">
        <f>Skills!A8</f>
        <v/>
      </c>
      <c r="B3336">
        <f>Skills!B8</f>
        <v/>
      </c>
      <c r="C3336">
        <f>Inputs!$B$3&gt;=69</f>
        <v/>
      </c>
      <c r="D3336">
        <f>IF(Skills!C8=1,60+Inputs!$B$25+Inputs!$B$29,IF(Skills!C8=2,90+Inputs!$B$26+Inputs!$B$29,IF(Skills!C8=3,120+Inputs!$B$27+Inputs!$B$29,MAX(0,(Inputs!$B$3-100)*3)+Inputs!$B$28+Inputs!$B$29)))</f>
        <v/>
      </c>
      <c r="E3336">
        <f>INDEX(FactorTable!$B$2:$Y$301, MATCH(ROUND(MIN(300,MAX(1,D3336)),0), FactorTable!$A$2:$A$301,0), Skills!M8+1)</f>
        <v/>
      </c>
      <c r="F3336">
        <f>IF(Skills!N8=TRUE,(Skills!L8/10)*(E3336/1000),Skills!L8/10)+Skills!O8</f>
        <v/>
      </c>
      <c r="G3336">
        <f>Skills!G8*IF(Skills!H8&gt;0,Skills!I8/Skills!H8,1)</f>
        <v/>
      </c>
      <c r="H3336">
        <f>1-(1-Skills!J8/100)^Skills!K8</f>
        <v/>
      </c>
      <c r="I3336" t="inlineStr">
        <is>
          <t>1</t>
        </is>
      </c>
      <c r="J3336">
        <f>((Inputs!$B$6*(1+Inputs!$B$7/100))+(((Inputs!$B$12*(1+Inputs!$B$13/100))-(Inputs!$B$12*(1+Inputs!$B$13/100)))+0.25*(Inputs!$B$14-Inputs!$B$14))*(1+Inputs!$B$7/100))*(F3336/100)</f>
        <v/>
      </c>
      <c r="K3336">
        <f>J3336*(1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3339=TRUE,F3339,0)/100)*(1+(IF(Skills!A8="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3336)</f>
        <v/>
      </c>
      <c r="L3336">
        <f>K3336*(MIN(Inputs!$B$22+((C3353=TRUE)*(F3353-Calc!F25)),(Inputs!$B$23+((C3358=TRUE)*(F3358-Calc!F30))+(IF(ArtifactsInput!$M$15,CHOOSE(ArtifactsInput!$N$15+1,25,30,35,40,45,50)/100*(Inputs!$B$11-Inputs!$B$11),0))))/100+(Inputs!$B$23+((C3358=TRUE)*(F3358-Calc!F30))+(IF(ArtifactsInput!$M$15,CHOOSE(ArtifactsInput!$N$15+1,25,30,35,40,45,50)/100*(Inputs!$B$11-Inputs!$B$11),0)))/100)/2</f>
        <v/>
      </c>
      <c r="M3336">
        <f>L3336*(1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6">
        <f>L3336*(1-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3336*(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6">
        <f>(1-Summary!$B$11)*T3336+Summary!$B$11*V3336</f>
        <v/>
      </c>
      <c r="P3336">
        <f>IF(B3372=0,0,O3336/B3372)</f>
        <v/>
      </c>
      <c r="Q3336">
        <f>IFERROR(1/(IF(Inputs!$B$38="pvp",15,MAX(0.1,Skills!D8-IF(Skills!E8=TRUE,4.0,0)))*(1-IF(AND(ArtifactsInput!$M$27,Inputs!$B$4="Chapter Hunt"),CHOOSE(ArtifactsInput!$N$27+1,20,24,28,32,36,40),0)/100)),0)</f>
        <v/>
      </c>
      <c r="R3336">
        <f>IF(AND(Inputs!$B$38&lt;&gt;"pvp",Inputs!$B$43&gt;0),IF(MAX(0,Inputs!$B$43-B3369)&lt;=0,0,(INT(MAX(0,Inputs!$B$43-B3369)/(IF(Inputs!$B$38="pvp",15,MAX(0.1,Skills!D8-IF(Skills!E8=TRUE,4.0,0)))*(1-IF(AND(ArtifactsInput!$M$27,Inputs!$B$4="Chapter Hunt"),CHOOSE(ArtifactsInput!$N$27+1,20,24,28,32,36,40),0)/100)))+1)),0)</f>
        <v/>
      </c>
      <c r="S3336">
        <f>IFERROR(O3336/N3336,0)</f>
        <v/>
      </c>
      <c r="T3336">
        <f>IF(C3336,(H3336*N3336*IF(AND(Inputs!$B$38&lt;&gt;"pvp",Inputs!$B$43&gt;0),((Skills!G8*((R3336-1)*IF(Skills!H8&gt;0,Skills!I8/Skills!H8,1)+IF(Skills!H8&gt;0,MIN(Skills!I8,MAX(0,MAX(0,Inputs!$B$43-B3369)-((R3336-1)*(IF(Inputs!$B$38="pvp",15,MAX(0.1,Skills!D8-IF(Skills!E8=TRUE,4.0,0)))*(1-IF(AND(ArtifactsInput!$M$27,Inputs!$B$4="Chapter Hunt"),CHOOSE(ArtifactsInput!$N$27+1,20,24,28,32,36,40),0)/100)))))/Skills!H8,1)))/Inputs!$B$43),G3336*Q3336))*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3336*(1-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3336*(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3336*(1-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3336*(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6">
        <f>IF(C3336,(H3336*N3336*IF(AND(Inputs!$B$38&lt;&gt;"pvp",Inputs!$B$43&gt;0),((Skills!G8*((R3336-1)*IF(Skills!H8&gt;0,Skills!I8/Skills!H8,1)+IF(Skills!H8&gt;0,MIN(Skills!I8,MAX(0,MAX(0,Inputs!$B$43-B3369)-((R3336-1)*(IF(Inputs!$B$38="pvp",15,MAX(0.1,Skills!D8-IF(Skills!E8=TRUE,4.0,0)))*(1-IF(AND(ArtifactsInput!$M$27,Inputs!$B$4="Chapter Hunt"),CHOOSE(ArtifactsInput!$N$27+1,20,24,28,32,36,40),0)/100)))))/Skills!H8,1)))/Inputs!$B$43),G3336*Q3336))*IF(Inputs!$B$38="pvp",1,(1+(Inputs!$B$21+Skills!Q8+(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7">
      <c r="A3337">
        <f>Skills!A9</f>
        <v/>
      </c>
      <c r="B3337">
        <f>Skills!B9</f>
        <v/>
      </c>
      <c r="C3337">
        <f>Inputs!$B$3&gt;=63</f>
        <v/>
      </c>
      <c r="D3337">
        <f>IF(Skills!C9=1,60+Inputs!$B$25+Inputs!$B$29,IF(Skills!C9=2,90+Inputs!$B$26+Inputs!$B$29,IF(Skills!C9=3,120+Inputs!$B$27+Inputs!$B$29,MAX(0,(Inputs!$B$3-100)*3)+Inputs!$B$28+Inputs!$B$29)))</f>
        <v/>
      </c>
      <c r="E3337">
        <f>INDEX(FactorTable!$B$2:$Y$301, MATCH(ROUND(MIN(300,MAX(1,D3337)),0), FactorTable!$A$2:$A$301,0), Skills!M9+1)</f>
        <v/>
      </c>
      <c r="F3337">
        <f>IF(Skills!N9=TRUE,(Skills!L9/10)*(E3337/1000),Skills!L9/10)+Skills!O9</f>
        <v/>
      </c>
      <c r="G3337">
        <f>Skills!G9*IF(Skills!H9&gt;0,Skills!I9/Skills!H9,1)</f>
        <v/>
      </c>
      <c r="H3337">
        <f>1-(1-Skills!J9/100)^Skills!K9</f>
        <v/>
      </c>
      <c r="I3337" t="inlineStr">
        <is>
          <t>1</t>
        </is>
      </c>
      <c r="J3337">
        <f>((Inputs!$B$6*(1+Inputs!$B$7/100))+(((Inputs!$B$12*(1+Inputs!$B$13/100))-(Inputs!$B$12*(1+Inputs!$B$13/100)))+0.25*(Inputs!$B$14-Inputs!$B$14))*(1+Inputs!$B$7/100))*(F3337/100)</f>
        <v/>
      </c>
      <c r="K3337">
        <f>J3337*(1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3339=TRUE,F3339,0)/100)*(1+(IF(Skills!A9="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3337)</f>
        <v/>
      </c>
      <c r="L3337">
        <f>K3337*(MIN(Inputs!$B$22+((C3353=TRUE)*(F3353-Calc!F25)),(Inputs!$B$23+((C3358=TRUE)*(F3358-Calc!F30))+(IF(ArtifactsInput!$M$15,CHOOSE(ArtifactsInput!$N$15+1,25,30,35,40,45,50)/100*(Inputs!$B$11-Inputs!$B$11),0))))/100+(Inputs!$B$23+((C3358=TRUE)*(F3358-Calc!F30))+(IF(ArtifactsInput!$M$15,CHOOSE(ArtifactsInput!$N$15+1,25,30,35,40,45,50)/100*(Inputs!$B$11-Inputs!$B$11),0)))/100)/2</f>
        <v/>
      </c>
      <c r="M3337">
        <f>L3337*(1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7">
        <f>L3337*(1-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3337*(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7">
        <f>(1-Summary!$B$11)*T3337+Summary!$B$11*V3337</f>
        <v/>
      </c>
      <c r="P3337">
        <f>IF(B3372=0,0,O3337/B3372)</f>
        <v/>
      </c>
      <c r="Q3337">
        <f>IFERROR(1/(IF(Inputs!$B$38="pvp",15,MAX(0.1,Skills!D9-IF(Skills!E9=TRUE,4.0,0)))*(1-IF(AND(ArtifactsInput!$M$27,Inputs!$B$4="Chapter Hunt"),CHOOSE(ArtifactsInput!$N$27+1,20,24,28,32,36,40),0)/100)),0)</f>
        <v/>
      </c>
      <c r="R3337">
        <f>IF(AND(Inputs!$B$38&lt;&gt;"pvp",Inputs!$B$43&gt;0),IF(MAX(0,Inputs!$B$43-B3369)&lt;=0,0,(INT(MAX(0,Inputs!$B$43-B3369)/(IF(Inputs!$B$38="pvp",15,MAX(0.1,Skills!D9-IF(Skills!E9=TRUE,4.0,0)))*(1-IF(AND(ArtifactsInput!$M$27,Inputs!$B$4="Chapter Hunt"),CHOOSE(ArtifactsInput!$N$27+1,20,24,28,32,36,40),0)/100)))+1)),0)</f>
        <v/>
      </c>
      <c r="S3337">
        <f>IFERROR(O3337/N3337,0)</f>
        <v/>
      </c>
      <c r="T3337">
        <f>IF(C3337,(H3337*N3337*IF(AND(Inputs!$B$38&lt;&gt;"pvp",Inputs!$B$43&gt;0),((Skills!G9*((R3337-1)*IF(Skills!H9&gt;0,Skills!I9/Skills!H9,1)+IF(Skills!H9&gt;0,MIN(Skills!I9,MAX(0,MAX(0,Inputs!$B$43-B3369)-((R3337-1)*(IF(Inputs!$B$38="pvp",15,MAX(0.1,Skills!D9-IF(Skills!E9=TRUE,4.0,0)))*(1-IF(AND(ArtifactsInput!$M$27,Inputs!$B$4="Chapter Hunt"),CHOOSE(ArtifactsInput!$N$27+1,20,24,28,32,36,40),0)/100)))))/Skills!H9,1)))/Inputs!$B$43),G3337*Q3337))*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3337*(1-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3337*(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3337*(1-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3337*(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7">
        <f>IF(C3337,(H3337*N3337*IF(AND(Inputs!$B$38&lt;&gt;"pvp",Inputs!$B$43&gt;0),((Skills!G9*((R3337-1)*IF(Skills!H9&gt;0,Skills!I9/Skills!H9,1)+IF(Skills!H9&gt;0,MIN(Skills!I9,MAX(0,MAX(0,Inputs!$B$43-B3369)-((R3337-1)*(IF(Inputs!$B$38="pvp",15,MAX(0.1,Skills!D9-IF(Skills!E9=TRUE,4.0,0)))*(1-IF(AND(ArtifactsInput!$M$27,Inputs!$B$4="Chapter Hunt"),CHOOSE(ArtifactsInput!$N$27+1,20,24,28,32,36,40),0)/100)))))/Skills!H9,1)))/Inputs!$B$43),G3337*Q3337))*IF(Inputs!$B$38="pvp",1,(1+(Inputs!$B$21+Skills!Q9+(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8">
      <c r="A3338">
        <f>Skills!A10</f>
        <v/>
      </c>
      <c r="B3338">
        <f>Skills!B10</f>
        <v/>
      </c>
      <c r="C3338">
        <f>Inputs!$B$3&gt;=103</f>
        <v/>
      </c>
      <c r="D3338">
        <f>IF(Skills!C10=1,60+Inputs!$B$25+Inputs!$B$29,IF(Skills!C10=2,90+Inputs!$B$26+Inputs!$B$29,IF(Skills!C10=3,120+Inputs!$B$27+Inputs!$B$29,MAX(0,(Inputs!$B$3-100)*3)+Inputs!$B$28+Inputs!$B$29)))</f>
        <v/>
      </c>
      <c r="E3338">
        <f>INDEX(FactorTable!$B$2:$Y$301, MATCH(ROUND(MIN(300,MAX(1,D3338)),0), FactorTable!$A$2:$A$301,0), Skills!M10+1)</f>
        <v/>
      </c>
      <c r="F3338">
        <f>IF(Skills!N10=TRUE,(Skills!L10/10)*(E3338/1000),Skills!L10/10)+Skills!O10</f>
        <v/>
      </c>
      <c r="G3338">
        <f>Skills!G10*IF(Skills!H10&gt;0,Skills!I10/Skills!H10,1)</f>
        <v/>
      </c>
      <c r="H3338">
        <f>1-(1-Skills!J10/100)^Skills!K10</f>
        <v/>
      </c>
      <c r="I3338" t="inlineStr">
        <is>
          <t>1</t>
        </is>
      </c>
      <c r="J3338">
        <f>((Inputs!$B$6*(1+Inputs!$B$7/100))+(((Inputs!$B$12*(1+Inputs!$B$13/100))-(Inputs!$B$12*(1+Inputs!$B$13/100)))+0.25*(Inputs!$B$14-Inputs!$B$14))*(1+Inputs!$B$7/100))*(F3338/100)</f>
        <v/>
      </c>
      <c r="K3338">
        <f>J3338*(1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3338)</f>
        <v/>
      </c>
      <c r="L3338">
        <f>K3338*(MIN(Inputs!$B$22+((C3353=TRUE)*(F3353-Calc!F25)),(Inputs!$B$23+((C3358=TRUE)*(F3358-Calc!F30))+(IF(ArtifactsInput!$M$15,CHOOSE(ArtifactsInput!$N$15+1,25,30,35,40,45,50)/100*(Inputs!$B$11-Inputs!$B$11),0))))/100+(Inputs!$B$23+((C3358=TRUE)*(F3358-Calc!F30))+(IF(ArtifactsInput!$M$15,CHOOSE(ArtifactsInput!$N$15+1,25,30,35,40,45,50)/100*(Inputs!$B$11-Inputs!$B$11),0)))/100)/2</f>
        <v/>
      </c>
      <c r="M3338">
        <f>L3338*(1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8">
        <f>L3338*(1-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3338*(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8">
        <f>(1-Summary!$B$11)*T3338+Summary!$B$11*V3338</f>
        <v/>
      </c>
      <c r="P3338">
        <f>IF(B3372=0,0,O3338/B3372)</f>
        <v/>
      </c>
      <c r="Q3338">
        <f>IFERROR(1/(IF(Inputs!$B$38="pvp",15,MAX(0.1,Skills!D10-IF(Skills!E10=TRUE,4.0,0)))*(1-IF(AND(ArtifactsInput!$M$27,Inputs!$B$4="Chapter Hunt"),CHOOSE(ArtifactsInput!$N$27+1,20,24,28,32,36,40),0)/100)),0)</f>
        <v/>
      </c>
      <c r="R3338">
        <f>IF(AND(Inputs!$B$38&lt;&gt;"pvp",Inputs!$B$43&gt;0),IF(MAX(0,Inputs!$B$43-B3369)&lt;=0,0,(INT(MAX(0,Inputs!$B$43-B3369)/(IF(Inputs!$B$38="pvp",15,MAX(0.1,Skills!D10-IF(Skills!E10=TRUE,4.0,0)))*(1-IF(AND(ArtifactsInput!$M$27,Inputs!$B$4="Chapter Hunt"),CHOOSE(ArtifactsInput!$N$27+1,20,24,28,32,36,40),0)/100)))+1)),0)</f>
        <v/>
      </c>
      <c r="S3338">
        <f>IFERROR(O3338/N3338,0)</f>
        <v/>
      </c>
      <c r="T3338">
        <f>IF(C3338,(H3338*N3338*IF(AND(Inputs!$B$38&lt;&gt;"pvp",Inputs!$B$43&gt;0),((Skills!G10*((R3338-1)*IF(Skills!H10&gt;0,Skills!I10/Skills!H10,1)+IF(Skills!H10&gt;0,MIN(Skills!I10,MAX(0,MAX(0,Inputs!$B$43-B3369)-((R3338-1)*(IF(Inputs!$B$38="pvp",15,MAX(0.1,Skills!D10-IF(Skills!E10=TRUE,4.0,0)))*(1-IF(AND(ArtifactsInput!$M$27,Inputs!$B$4="Chapter Hunt"),CHOOSE(ArtifactsInput!$N$27+1,20,24,28,32,36,40),0)/100)))))/Skills!H10,1)))/Inputs!$B$43),G3338*Q3338))*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3338*(1-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3338*(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3338*(1-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3338*(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8">
        <f>IF(C3338,(H3338*N3338*IF(AND(Inputs!$B$38&lt;&gt;"pvp",Inputs!$B$43&gt;0),((Skills!G10*((R3338-1)*IF(Skills!H10&gt;0,Skills!I10/Skills!H10,1)+IF(Skills!H10&gt;0,MIN(Skills!I10,MAX(0,MAX(0,Inputs!$B$43-B3369)-((R3338-1)*(IF(Inputs!$B$38="pvp",15,MAX(0.1,Skills!D10-IF(Skills!E10=TRUE,4.0,0)))*(1-IF(AND(ArtifactsInput!$M$27,Inputs!$B$4="Chapter Hunt"),CHOOSE(ArtifactsInput!$N$27+1,20,24,28,32,36,40),0)/100)))))/Skills!H10,1)))/Inputs!$B$43),G3338*Q3338))*IF(Inputs!$B$38="pvp",1,(1+(Inputs!$B$21+Skills!Q10+(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9">
      <c r="A3339">
        <f>Skills!A11</f>
        <v/>
      </c>
      <c r="B3339">
        <f>Skills!B11</f>
        <v/>
      </c>
      <c r="C3339">
        <f>Inputs!$B$3&gt;=100</f>
        <v/>
      </c>
      <c r="D3339">
        <f>IF(Skills!C11=1,60+Inputs!$B$25+Inputs!$B$29,IF(Skills!C11=2,90+Inputs!$B$26+Inputs!$B$29,IF(Skills!C11=3,120+Inputs!$B$27+Inputs!$B$29,MAX(0,(Inputs!$B$3-100)*3)+Inputs!$B$28+Inputs!$B$29)))</f>
        <v/>
      </c>
      <c r="E3339">
        <f>INDEX(FactorTable!$B$2:$Y$301, MATCH(ROUND(MIN(300,MAX(1,D3339)),0), FactorTable!$A$2:$A$301,0), Skills!M11+1)</f>
        <v/>
      </c>
      <c r="F3339">
        <f>IF(Skills!N11=TRUE,(Skills!L11/10)*(E3339/1000),Skills!L11/10)+Skills!O11</f>
        <v/>
      </c>
      <c r="G3339" t="inlineStr"/>
      <c r="H3339" t="inlineStr"/>
      <c r="I3339" t="inlineStr">
        <is>
          <t>1</t>
        </is>
      </c>
      <c r="J3339" t="inlineStr"/>
      <c r="K3339" t="inlineStr"/>
      <c r="L3339" t="inlineStr"/>
      <c r="M3339" t="inlineStr"/>
      <c r="N3339" t="inlineStr"/>
      <c r="O3339" t="inlineStr"/>
      <c r="P3339" t="inlineStr"/>
      <c r="Q3339" t="inlineStr"/>
      <c r="R3339" t="inlineStr"/>
      <c r="S3339" t="inlineStr"/>
      <c r="T3339" t="inlineStr"/>
      <c r="V3339" t="inlineStr"/>
    </row>
    <row r="3340">
      <c r="A3340">
        <f>Skills!A12</f>
        <v/>
      </c>
      <c r="B3340">
        <f>Skills!B12</f>
        <v/>
      </c>
      <c r="C3340">
        <f>Inputs!$B$3&gt;=60</f>
        <v/>
      </c>
      <c r="D3340">
        <f>IF(Skills!C12=1,60+Inputs!$B$25+Inputs!$B$29,IF(Skills!C12=2,90+Inputs!$B$26+Inputs!$B$29,IF(Skills!C12=3,120+Inputs!$B$27+Inputs!$B$29,MAX(0,(Inputs!$B$3-100)*3)+Inputs!$B$28+Inputs!$B$29)))</f>
        <v/>
      </c>
      <c r="E3340">
        <f>INDEX(FactorTable!$B$2:$Y$301, MATCH(ROUND(MIN(300,MAX(1,D3340)),0), FactorTable!$A$2:$A$301,0), Skills!M12+1)</f>
        <v/>
      </c>
      <c r="F3340">
        <f>IF(Skills!N12=TRUE,(Skills!L12/10)*(E3340/1000),Skills!L12/10)+Skills!O12</f>
        <v/>
      </c>
      <c r="G3340">
        <f>Skills!G12*IF(Skills!H12&gt;0,Skills!I12/Skills!H12,1)</f>
        <v/>
      </c>
      <c r="H3340">
        <f>1-(1-Skills!J12/100)^Skills!K12</f>
        <v/>
      </c>
      <c r="I3340" t="inlineStr">
        <is>
          <t>1</t>
        </is>
      </c>
      <c r="J3340">
        <f>((Inputs!$B$6*(1+Inputs!$B$7/100))+(((Inputs!$B$12*(1+Inputs!$B$13/100))-(Inputs!$B$12*(1+Inputs!$B$13/100)))+0.25*(Inputs!$B$14-Inputs!$B$14))*(1+Inputs!$B$7/100))*(F3340/100)</f>
        <v/>
      </c>
      <c r="K3340">
        <f>J3340*(1+((Inputs!$B$12*(1+Inputs!$B$13/100))*0.01+Inputs!$B$14*0.0025)/100)*(1+Inputs!$B$15/100)*(1+Inputs!$B$16/100)*(5000/(6000+Inputs!$B$42*(1-(100*(1-(1-(Inputs!$B$19+((C3356=TRUE)*(F3356-Calc!F28)))/100)*(1-CHOOSE(ArtifactsInput!$N$40+1,5,6,7,8,9,10)/100)^(ArtifactsInput!$M$40-ArtifactsInput!$M$40)))/100)))*(1+(Inputs!$B$24+((C3354=TRUE)*(F3354-Calc!F26))+((C3355=TRUE)*(F3355-Calc!F27))+B3368)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3341=TRUE,F3341,0)/100)*(1+(IF(Skills!A12="ARROW_STREAM",Inputs!$B$17+((C3352=TRUE)*(F3352-Calc!F24))+(((IF(AND(ArtifactsInput!$M$42,((Inputs!$B$9+((C3349=TRUE)*(F3349-Calc!F21))+B3362+(ArtifactsInput!$M$24-ArtifactsInput!$M$24)*CHOOSE(ArtifactsInput!$N$24+1,10,12,14,16,18,20)+IF(ArtifactsInput!$M$10,CHOOSE(ArtifactsInput!$N$10+1,15,18,21,24,27,30)*(IF(Inputs!$B$38="pvp",MIN(15,15)/15,IF(AND(Inputs!$B$38&lt;&gt;"pvp",Inputs!$B$43&gt;0),MIN(15,Inputs!$B$43)/(Inputs!$B$43),0))),0)))&gt;=100),MIN(100,((Inputs!$B$9+((C3349=TRUE)*(F3349-Calc!F21))+B3362+(ArtifactsInput!$M$24-ArtifactsInput!$M$24)*CHOOSE(ArtifactsInput!$N$24+1,10,12,14,16,18,20)+IF(ArtifactsInput!$M$10,CHOOSE(ArtifactsInput!$N$10+1,15,18,21,24,27,30)*(IF(Inputs!$B$38="pvp",MIN(15,15)/15,IF(AND(Inputs!$B$38&lt;&gt;"pvp",Inputs!$B$43&gt;0),MIN(15,Inputs!$B$43)/(Inputs!$B$43),0))),0)))-100),0))*CHOOSE(ArtifactsInput!$N$42+1,0.6,0.72,0.84,0.96,1.08,1.2))),Inputs!$B$18+((C3357=TRUE)*(F3357-Calc!F29))+(IF(AND(ArtifactsInput!$M$42,((Inputs!$B$9+((C3349=TRUE)*(F3349-Calc!F21))+B3362+(ArtifactsInput!$M$24-ArtifactsInput!$M$24)*CHOOSE(ArtifactsInput!$N$24+1,10,12,14,16,18,20)+IF(ArtifactsInput!$M$10,CHOOSE(ArtifactsInput!$N$10+1,15,18,21,24,27,30)*(IF(Inputs!$B$38="pvp",MIN(15,15)/15,IF(AND(Inputs!$B$38&lt;&gt;"pvp",Inputs!$B$43&gt;0),MIN(15,Inputs!$B$43)/(Inputs!$B$43),0))),0)))&gt;=100),CHOOSE(ArtifactsInput!$N$42+1,40,48,56,64,72,80),0))))/100)*((1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3340)</f>
        <v/>
      </c>
      <c r="L3340">
        <f>K3340*(MIN(Inputs!$B$22+((C3353=TRUE)*(F3353-Calc!F25)),(Inputs!$B$23+((C3358=TRUE)*(F3358-Calc!F30))+(IF(ArtifactsInput!$M$15,CHOOSE(ArtifactsInput!$N$15+1,25,30,35,40,45,50)/100*(Inputs!$B$11-Inputs!$B$11),0))))/100+(Inputs!$B$23+((C3358=TRUE)*(F3358-Calc!F30))+(IF(ArtifactsInput!$M$15,CHOOSE(ArtifactsInput!$N$15+1,25,30,35,40,45,50)/100*(Inputs!$B$11-Inputs!$B$11),0)))/100)/2</f>
        <v/>
      </c>
      <c r="M3340">
        <f>L3340*(1+(Inputs!$B$10+0+B3367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40">
        <f>L3340*(1-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3340*(MIN((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40">
        <f>(1-Summary!$B$11)*T3340+Summary!$B$11*V3340</f>
        <v/>
      </c>
      <c r="P3340">
        <f>IF(B3372=0,0,O3340/B3372)</f>
        <v/>
      </c>
      <c r="Q3340">
        <f>IFERROR(1/(IF(Inputs!$B$38="pvp",15,MAX(0.1,Skills!D12-IF(Skills!E12=TRUE,4.0,0)))*(1-IF(AND(ArtifactsInput!$M$27,Inputs!$B$4="Chapter Hunt"),CHOOSE(ArtifactsInput!$N$27+1,20,24,28,32,36,40),0)/100)),0)</f>
        <v/>
      </c>
      <c r="R3340">
        <f>IF(AND(Inputs!$B$38&lt;&gt;"pvp",Inputs!$B$43&gt;0),IF(MAX(0,Inputs!$B$43-B3369)&lt;=0,0,(INT(MAX(0,Inputs!$B$43-B3369)/(IF(Inputs!$B$38="pvp",15,MAX(0.1,Skills!D12-IF(Skills!E12=TRUE,4.0,0)))*(1-IF(AND(ArtifactsInput!$M$27,Inputs!$B$4="Chapter Hunt"),CHOOSE(ArtifactsInput!$N$27+1,20,24,28,32,36,40),0)/100)))+1)),0)</f>
        <v/>
      </c>
      <c r="S3340">
        <f>IFERROR(O3340/N3340,0)</f>
        <v/>
      </c>
      <c r="T3340">
        <f>IF(C3340,(H3340*N3340*IF(AND(Inputs!$B$38&lt;&gt;"pvp",Inputs!$B$43&gt;0),((Skills!G12*((R3340-1)*IF(Skills!H12&gt;0,Skills!I12/Skills!H12,1)+IF(Skills!H12&gt;0,MIN(Skills!I12,MAX(0,MAX(0,Inputs!$B$43-B3369)-((R3340-1)*(IF(Inputs!$B$38="pvp",15,MAX(0.1,Skills!D12-IF(Skills!E12=TRUE,4.0,0)))*(1-IF(AND(ArtifactsInput!$M$27,Inputs!$B$4="Chapter Hunt"),CHOOSE(ArtifactsInput!$N$27+1,20,24,28,32,36,40),0)/100)))))/Skills!H12,1)))/Inputs!$B$43),G3340*Q3340))*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(5000/(6000+Inputs!$B$42*(1-(100*(1-(1-(100*(1-(1-(Inputs!$B$19+((C3356=TRUE)*(F3356-Calc!F28)))/100)*(1-CHOOSE(ArtifactsInput!$N$40+1,5,6,7,8,9,10)/100)^(ArtifactsInput!$M$40-ArtifactsInput!$M$40)))/100)*(1-IF(ArtifactsInput!$M$40,CHOOSE(ArtifactsInput!$N$40+1,5,6,7,8,9,10),0)/100)^IF(Inputs!$B$38="pvp",1,2)))/100)))/(5000/(6000+Inputs!$B$42*(1-(100*(1-(1-(Inputs!$B$19+((C3356=TRUE)*(F3356-Calc!F28)))/100)*(1-CHOOSE(ArtifactsInput!$N$40+1,5,6,7,8,9,10)/100)^(ArtifactsInput!$M$40-ArtifactsInput!$M$40)))/100))))*((L3340*(1-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3340*(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3340*(1-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3340*(MIN(100,(Inputs!$B$9+((C3349=TRUE)*(F3349-Calc!F21))+B3362+(ArtifactsInput!$M$24-ArtifactsInput!$M$24)*CHOOSE(ArtifactsInput!$N$24+1,10,12,14,16,18,20)+(IF(AND(ArtifactsInput!$M$42,((Inputs!$B$9+((C3349=TRUE)*(F3349-Calc!F21))+B3362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40">
        <f>IF(C3340,(H3340*N3340*IF(AND(Inputs!$B$38&lt;&gt;"pvp",Inputs!$B$43&gt;0),((Skills!G12*((R3340-1)*IF(Skills!H12&gt;0,Skills!I12/Skills!H12,1)+IF(Skills!H12&gt;0,MIN(Skills!I12,MAX(0,MAX(0,Inputs!$B$43-B3369)-((R3340-1)*(IF(Inputs!$B$38="pvp",15,MAX(0.1,Skills!D12-IF(Skills!E12=TRUE,4.0,0)))*(1-IF(AND(ArtifactsInput!$M$27,Inputs!$B$4="Chapter Hunt"),CHOOSE(ArtifactsInput!$N$27+1,20,24,28,32,36,40),0)/100)))))/Skills!H12,1)))/Inputs!$B$43),G3340*Q3340))*IF(Inputs!$B$38="pvp",1,(1+(Inputs!$B$21+Skills!Q12+(IF(ArtifactsInput!$M$33,CHOOSE(ArtifactsInput!$N$33+1,30,36,42,48,54,60),0))+(IF(AND(ArtifactsInput!$M$35,Inputs!$B$4&lt;&gt;"Chapter Hunt"),CHOOSE(ArtifactsInput!$N$35+1,15,18,21,24,27,30)*(1-EXP(-(0.2*B3364)*5)),0)+IF(AND(ArtifactsInput!$M$22,Inputs!$B$4&lt;&gt;"Chapter Hunt"),CHOOSE(ArtifactsInput!$N$22+1,10,12,14,16,18,20)*((0*(((0.15*B3364*5))^0/1)+1*(((0.15*B3364*5))^1/1)+2*(((0.15*B3364*5))^2/2)+3*(((0.15*B3364*5))^3/6)+4*(((0.15*B3364*5))^4/24)+5*(((0.15*B3364*5))^5/120))/((((0.15*B3364*5))^0/1)+(((0.15*B3364*5))^1/1)+(((0.15*B3364*5))^2/2)+(((0.15*B3364*5))^3/6)+(((0.15*B3364*5))^4/24)+(((0.15*B3364*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41">
      <c r="A3341">
        <f>Skills!A13</f>
        <v/>
      </c>
      <c r="B3341">
        <f>Skills!B13</f>
        <v/>
      </c>
      <c r="C3341">
        <f>Inputs!$B$3&gt;=110</f>
        <v/>
      </c>
      <c r="D3341">
        <f>IF(Skills!C13=1,60+Inputs!$B$25+Inputs!$B$29,IF(Skills!C13=2,90+Inputs!$B$26+Inputs!$B$29,IF(Skills!C13=3,120+Inputs!$B$27+Inputs!$B$29,MAX(0,(Inputs!$B$3-100)*3)+Inputs!$B$28+Inputs!$B$29)))</f>
        <v/>
      </c>
      <c r="E3341">
        <f>INDEX(FactorTable!$B$2:$Y$301, MATCH(ROUND(MIN(300,MAX(1,D3341)),0), FactorTable!$A$2:$A$301,0), Skills!M13+1)</f>
        <v/>
      </c>
      <c r="F3341">
        <f>IF(Skills!N13=TRUE,(Skills!L13/10)*(E3341/1000),Skills!L13/10)+Skills!O13</f>
        <v/>
      </c>
      <c r="G3341" t="inlineStr"/>
      <c r="H3341" t="inlineStr"/>
      <c r="I3341" t="inlineStr">
        <is>
          <t>1</t>
        </is>
      </c>
      <c r="J3341" t="inlineStr"/>
      <c r="K3341" t="inlineStr"/>
      <c r="L3341" t="inlineStr"/>
      <c r="M3341" t="inlineStr"/>
      <c r="N3341" t="inlineStr"/>
      <c r="O3341" t="inlineStr"/>
      <c r="P3341" t="inlineStr"/>
      <c r="Q3341" t="inlineStr"/>
      <c r="R3341" t="inlineStr"/>
      <c r="S3341" t="inlineStr"/>
      <c r="T3341" t="inlineStr"/>
      <c r="V3341" t="inlineStr"/>
    </row>
    <row r="3342">
      <c r="A3342">
        <f>Skills!A14</f>
        <v/>
      </c>
      <c r="B3342">
        <f>Skills!B14</f>
        <v/>
      </c>
      <c r="C3342">
        <f>Inputs!$B$3&gt;=74</f>
        <v/>
      </c>
      <c r="D3342">
        <f>IF(Skills!C14=1,60+Inputs!$B$25+Inputs!$B$29,IF(Skills!C14=2,90+Inputs!$B$26+Inputs!$B$29,IF(Skills!C14=3,120+Inputs!$B$27+Inputs!$B$29,MAX(0,(Inputs!$B$3-100)*3)+Inputs!$B$28+Inputs!$B$29)))</f>
        <v/>
      </c>
      <c r="E3342">
        <f>INDEX(FactorTable!$B$2:$Y$301, MATCH(ROUND(MIN(300,MAX(1,D3342)),0), FactorTable!$A$2:$A$301,0), Skills!M14+1)</f>
        <v/>
      </c>
      <c r="F3342">
        <f>IF(Skills!N14=TRUE,(Skills!L14/10)*(E3342/1000),Skills!L14/10)+Skills!O14</f>
        <v/>
      </c>
      <c r="G3342">
        <f>Skills!G14*IF(Skills!H14&gt;0,Skills!I14/Skills!H14,1)</f>
        <v/>
      </c>
      <c r="H3342">
        <f>1-(1-Skills!J14/100)^Skills!K14</f>
        <v/>
      </c>
      <c r="I3342" t="inlineStr">
        <is>
          <t>1</t>
        </is>
      </c>
      <c r="J3342" t="inlineStr"/>
      <c r="K3342" t="inlineStr"/>
      <c r="L3342" t="inlineStr"/>
      <c r="M3342" t="inlineStr"/>
      <c r="N3342" t="inlineStr"/>
      <c r="O3342">
        <f>(1-Summary!$B$11)*T3342+Summary!$B$11*V3342</f>
        <v/>
      </c>
      <c r="P3342">
        <f>IF(B3372=0,0,O3342/B3372)</f>
        <v/>
      </c>
      <c r="Q3342" t="n">
        <v>0</v>
      </c>
      <c r="R3342" t="n">
        <v>0</v>
      </c>
      <c r="S3342">
        <f>IFERROR(O3342/N3342,0)</f>
        <v/>
      </c>
      <c r="T3342" t="n">
        <v>0</v>
      </c>
      <c r="V3342" t="n">
        <v>0</v>
      </c>
    </row>
    <row r="3343">
      <c r="A3343">
        <f>Skills!A15</f>
        <v/>
      </c>
      <c r="B3343">
        <f>Skills!B15</f>
        <v/>
      </c>
      <c r="C3343">
        <f>Inputs!$B$3&gt;=74</f>
        <v/>
      </c>
      <c r="D3343">
        <f>IF(Skills!C15=1,60+Inputs!$B$25+Inputs!$B$29,IF(Skills!C15=2,90+Inputs!$B$26+Inputs!$B$29,IF(Skills!C15=3,120+Inputs!$B$27+Inputs!$B$29,MAX(0,(Inputs!$B$3-100)*3)+Inputs!$B$28+Inputs!$B$29)))</f>
        <v/>
      </c>
      <c r="E3343">
        <f>INDEX(FactorTable!$B$2:$Y$301, MATCH(ROUND(MIN(300,MAX(1,D3343)),0), FactorTable!$A$2:$A$301,0), Skills!M15+1)</f>
        <v/>
      </c>
      <c r="F3343">
        <f>IF(Skills!N15=TRUE,(Skills!L15/10)*(E3343/1000),Skills!L15/10)+Skills!O15</f>
        <v/>
      </c>
      <c r="G3343">
        <f>Skills!G15*IF(Skills!H15&gt;0,Skills!I15/Skills!H15,1)</f>
        <v/>
      </c>
      <c r="H3343">
        <f>1-(1-Skills!J15/100)^Skills!K15</f>
        <v/>
      </c>
      <c r="I3343" t="inlineStr">
        <is>
          <t>1</t>
        </is>
      </c>
      <c r="J3343" t="inlineStr"/>
      <c r="K3343" t="inlineStr"/>
      <c r="L3343" t="inlineStr"/>
      <c r="M3343" t="inlineStr"/>
      <c r="N3343" t="inlineStr"/>
      <c r="O3343">
        <f>(1-Summary!$B$11)*T3343+Summary!$B$11*V3343</f>
        <v/>
      </c>
      <c r="P3343">
        <f>IF(B3372=0,0,O3343/B3372)</f>
        <v/>
      </c>
      <c r="Q3343" t="n">
        <v>0</v>
      </c>
      <c r="R3343" t="n">
        <v>0</v>
      </c>
      <c r="S3343">
        <f>IFERROR(O3343/N3343,0)</f>
        <v/>
      </c>
      <c r="T3343" t="n">
        <v>0</v>
      </c>
      <c r="V3343" t="n">
        <v>0</v>
      </c>
    </row>
    <row r="3344">
      <c r="A3344">
        <f>Skills!A16</f>
        <v/>
      </c>
      <c r="B3344">
        <f>Skills!B16</f>
        <v/>
      </c>
      <c r="C3344">
        <f>Inputs!$B$3&gt;=117</f>
        <v/>
      </c>
      <c r="D3344">
        <f>IF(Skills!C16=1,60+Inputs!$B$25+Inputs!$B$29,IF(Skills!C16=2,90+Inputs!$B$26+Inputs!$B$29,IF(Skills!C16=3,120+Inputs!$B$27+Inputs!$B$29,MAX(0,(Inputs!$B$3-100)*3)+Inputs!$B$28+Inputs!$B$29)))</f>
        <v/>
      </c>
      <c r="E3344">
        <f>INDEX(FactorTable!$B$2:$Y$301, MATCH(ROUND(MIN(300,MAX(1,D3344)),0), FactorTable!$A$2:$A$301,0), Skills!M16+1)</f>
        <v/>
      </c>
      <c r="F3344">
        <f>IF(Skills!N16=TRUE,(Skills!L16/10)*(E3344/1000),Skills!L16/10)+Skills!O16</f>
        <v/>
      </c>
      <c r="G3344">
        <f>Skills!G16*IF(Skills!H16&gt;0,Skills!I16/Skills!H16,1)</f>
        <v/>
      </c>
      <c r="H3344">
        <f>1-(1-Skills!J16/100)^Skills!K16</f>
        <v/>
      </c>
      <c r="I3344" t="inlineStr">
        <is>
          <t>1</t>
        </is>
      </c>
      <c r="J3344" t="inlineStr"/>
      <c r="K3344" t="inlineStr"/>
      <c r="L3344" t="inlineStr"/>
      <c r="M3344" t="inlineStr"/>
      <c r="N3344" t="inlineStr"/>
      <c r="O3344">
        <f>(1-Summary!$B$11)*T3344+Summary!$B$11*V3344</f>
        <v/>
      </c>
      <c r="P3344">
        <f>IF(B3372=0,0,O3344/B3372)</f>
        <v/>
      </c>
      <c r="Q3344">
        <f>IFERROR(1/(IF(Inputs!$B$38="pvp",15,MAX(0.1,Skills!D16-IF(Skills!E16=TRUE,4.0,0)))*(1-IF(AND(ArtifactsInput!$M$27,Inputs!$B$4="Chapter Hunt"),CHOOSE(ArtifactsInput!$N$27+1,20,24,28,32,36,40),0)/100)),0)</f>
        <v/>
      </c>
      <c r="R3344">
        <f>IF(AND(Inputs!$B$38&lt;&gt;"pvp",Inputs!$B$43&gt;0),IF(Inputs!$B$43&lt;=0,0,(INT(Inputs!$B$43/(IF(Inputs!$B$38="pvp",15,MAX(0.1,Skills!D16-IF(Skills!E16=TRUE,4.0,0)))*(1-IF(AND(ArtifactsInput!$M$27,Inputs!$B$4="Chapter Hunt"),CHOOSE(ArtifactsInput!$N$27+1,20,24,28,32,36,40),0)/100)))+1)),0)</f>
        <v/>
      </c>
      <c r="S3344">
        <f>IFERROR(O3344/N3344,0)</f>
        <v/>
      </c>
      <c r="T3344" t="n">
        <v>0</v>
      </c>
      <c r="V3344" t="n">
        <v>0</v>
      </c>
    </row>
    <row r="3345">
      <c r="A3345">
        <f>Skills!A17</f>
        <v/>
      </c>
      <c r="B3345">
        <f>Skills!B17</f>
        <v/>
      </c>
      <c r="C3345">
        <f>Inputs!$B$3&gt;=115</f>
        <v/>
      </c>
      <c r="D3345">
        <f>IF(Skills!C17=1,60+Inputs!$B$25+Inputs!$B$29,IF(Skills!C17=2,90+Inputs!$B$26+Inputs!$B$29,IF(Skills!C17=3,120+Inputs!$B$27+Inputs!$B$29,MAX(0,(Inputs!$B$3-100)*3)+Inputs!$B$28+Inputs!$B$29)))</f>
        <v/>
      </c>
      <c r="E3345">
        <f>INDEX(FactorTable!$B$2:$Y$301, MATCH(ROUND(MIN(300,MAX(1,D3345)),0), FactorTable!$A$2:$A$301,0), Skills!M17+1)</f>
        <v/>
      </c>
      <c r="F3345">
        <f>IF(Skills!N17=TRUE,(Skills!L17/10)*(E3345/1000),Skills!L17/10)+Skills!O17</f>
        <v/>
      </c>
      <c r="G3345">
        <f>Skills!G17*IF(Skills!H17&gt;0,Skills!I17/Skills!H17,1)</f>
        <v/>
      </c>
      <c r="H3345">
        <f>1-(1-Skills!J17/100)^Skills!K17</f>
        <v/>
      </c>
      <c r="I3345" t="inlineStr">
        <is>
          <t>1</t>
        </is>
      </c>
      <c r="J3345" t="inlineStr"/>
      <c r="K3345" t="inlineStr"/>
      <c r="L3345" t="inlineStr"/>
      <c r="M3345" t="inlineStr"/>
      <c r="N3345" t="inlineStr"/>
      <c r="O3345">
        <f>(1-Summary!$B$11)*T3345+Summary!$B$11*V3345</f>
        <v/>
      </c>
      <c r="P3345">
        <f>IF(B3372=0,0,O3345/B3372)</f>
        <v/>
      </c>
      <c r="Q3345">
        <f>IFERROR(1/(IF(Inputs!$B$38="pvp",15,MAX(0.1,Skills!D17-IF(Skills!E17=TRUE,4.0,0)))*(1-IF(AND(ArtifactsInput!$M$27,Inputs!$B$4="Chapter Hunt"),CHOOSE(ArtifactsInput!$N$27+1,20,24,28,32,36,40),0)/100)),0)</f>
        <v/>
      </c>
      <c r="R3345">
        <f>IF(AND(Inputs!$B$38&lt;&gt;"pvp",Inputs!$B$43&gt;0),IF(Inputs!$B$43&lt;=0,0,(INT(Inputs!$B$43/(IF(Inputs!$B$38="pvp",15,MAX(0.1,Skills!D17-IF(Skills!E17=TRUE,4.0,0)))*(1-IF(AND(ArtifactsInput!$M$27,Inputs!$B$4="Chapter Hunt"),CHOOSE(ArtifactsInput!$N$27+1,20,24,28,32,36,40),0)/100)))+1)),0)</f>
        <v/>
      </c>
      <c r="S3345">
        <f>IFERROR(O3345/N3345,0)</f>
        <v/>
      </c>
      <c r="T3345" t="n">
        <v>0</v>
      </c>
      <c r="V3345" t="n">
        <v>0</v>
      </c>
    </row>
    <row r="3346">
      <c r="A3346">
        <f>Skills!A18</f>
        <v/>
      </c>
      <c r="B3346">
        <f>Skills!B18</f>
        <v/>
      </c>
      <c r="C3346">
        <f>Inputs!$B$3&gt;=66</f>
        <v/>
      </c>
      <c r="D3346">
        <f>IF(Skills!C18=1,60+Inputs!$B$25+Inputs!$B$29,IF(Skills!C18=2,90+Inputs!$B$26+Inputs!$B$29,IF(Skills!C18=3,120+Inputs!$B$27+Inputs!$B$29,MAX(0,(Inputs!$B$3-100)*3)+Inputs!$B$28+Inputs!$B$29)))</f>
        <v/>
      </c>
      <c r="E3346">
        <f>INDEX(FactorTable!$B$2:$Y$301, MATCH(ROUND(MIN(300,MAX(1,D3346)),0), FactorTable!$A$2:$A$301,0), Skills!M18+1)</f>
        <v/>
      </c>
      <c r="F3346">
        <f>IF(Skills!N18=TRUE,(Skills!L18/10)*(E3346/1000),Skills!L18/10)+Skills!O18</f>
        <v/>
      </c>
      <c r="G3346">
        <f>Skills!G18*IF(Skills!H18&gt;0,Skills!I18/Skills!H18,1)</f>
        <v/>
      </c>
      <c r="H3346">
        <f>1-(1-Skills!J18/100)^Skills!K18</f>
        <v/>
      </c>
      <c r="I3346" t="inlineStr">
        <is>
          <t>1</t>
        </is>
      </c>
      <c r="J3346" t="inlineStr"/>
      <c r="K3346" t="inlineStr"/>
      <c r="L3346" t="inlineStr"/>
      <c r="M3346" t="inlineStr"/>
      <c r="N3346" t="inlineStr"/>
      <c r="O3346">
        <f>(1-Summary!$B$11)*T3346+Summary!$B$11*V3346</f>
        <v/>
      </c>
      <c r="P3346">
        <f>IF(B3372=0,0,O3346/B3372)</f>
        <v/>
      </c>
      <c r="Q3346" t="n">
        <v>0</v>
      </c>
      <c r="R3346" t="n">
        <v>0</v>
      </c>
      <c r="S3346">
        <f>IFERROR(O3346/N3346,0)</f>
        <v/>
      </c>
      <c r="T3346" t="n">
        <v>0</v>
      </c>
      <c r="V3346" t="n">
        <v>0</v>
      </c>
    </row>
    <row r="3347">
      <c r="A3347">
        <f>Skills!A19</f>
        <v/>
      </c>
      <c r="B3347">
        <f>Skills!B19</f>
        <v/>
      </c>
      <c r="C3347">
        <f>Inputs!$B$3&gt;=72</f>
        <v/>
      </c>
      <c r="D3347">
        <f>IF(Skills!C19=1,60+Inputs!$B$25+Inputs!$B$29,IF(Skills!C19=2,90+Inputs!$B$26+Inputs!$B$29,IF(Skills!C19=3,120+Inputs!$B$27+Inputs!$B$29,MAX(0,(Inputs!$B$3-100)*3)+Inputs!$B$28+Inputs!$B$29)))</f>
        <v/>
      </c>
      <c r="E3347">
        <f>INDEX(FactorTable!$B$2:$Y$301, MATCH(ROUND(MIN(300,MAX(1,D3347)),0), FactorTable!$A$2:$A$301,0), Skills!M19+1)</f>
        <v/>
      </c>
      <c r="F3347">
        <f>IF(Skills!N19=TRUE,(Skills!L19/10)*(E3347/1000),Skills!L19/10)+Skills!O19</f>
        <v/>
      </c>
      <c r="G3347">
        <f>Skills!G19*IF(Skills!H19&gt;0,Skills!I19/Skills!H19,1)</f>
        <v/>
      </c>
      <c r="H3347">
        <f>1-(1-Skills!J19/100)^Skills!K19</f>
        <v/>
      </c>
      <c r="I3347" t="inlineStr">
        <is>
          <t>1</t>
        </is>
      </c>
      <c r="J3347" t="inlineStr"/>
      <c r="K3347" t="inlineStr"/>
      <c r="L3347" t="inlineStr"/>
      <c r="M3347" t="inlineStr"/>
      <c r="N3347" t="inlineStr"/>
      <c r="O3347">
        <f>(1-Summary!$B$11)*T3347+Summary!$B$11*V3347</f>
        <v/>
      </c>
      <c r="P3347">
        <f>IF(B3372=0,0,O3347/B3372)</f>
        <v/>
      </c>
      <c r="Q3347" t="n">
        <v>0</v>
      </c>
      <c r="R3347" t="n">
        <v>0</v>
      </c>
      <c r="S3347">
        <f>IFERROR(O3347/N3347,0)</f>
        <v/>
      </c>
      <c r="T3347" t="n">
        <v>0</v>
      </c>
      <c r="V3347" t="n">
        <v>0</v>
      </c>
    </row>
    <row r="3348">
      <c r="A3348">
        <f>Skills!A20</f>
        <v/>
      </c>
      <c r="B3348">
        <f>Skills!B20</f>
        <v/>
      </c>
      <c r="C3348">
        <f>TRUE</f>
        <v/>
      </c>
      <c r="D3348">
        <f>IF(Skills!C20=1,60+Inputs!$B$25+Inputs!$B$29,IF(Skills!C20=2,90+Inputs!$B$26+Inputs!$B$29,IF(Skills!C20=3,120+Inputs!$B$27+Inputs!$B$29,MAX(0,(Inputs!$B$3-100)*3)+Inputs!$B$28+Inputs!$B$29)))</f>
        <v/>
      </c>
      <c r="E3348">
        <f>INDEX(FactorTable!$B$2:$Y$301, MATCH(ROUND(MIN(300,MAX(1,D3348)),0), FactorTable!$A$2:$A$301,0), Skills!M20+1)</f>
        <v/>
      </c>
      <c r="F3348">
        <f>IF(Skills!N20=TRUE,(Skills!L20/10)*(E3348/1000),Skills!L20/10)+Skills!O20</f>
        <v/>
      </c>
      <c r="G3348">
        <f>Skills!G20*IF(Skills!H20&gt;0,Skills!I20/Skills!H20,1)</f>
        <v/>
      </c>
      <c r="H3348">
        <f>1-(1-Skills!J20/100)^Skills!K20</f>
        <v/>
      </c>
      <c r="I3348" t="inlineStr">
        <is>
          <t>1</t>
        </is>
      </c>
      <c r="J3348" t="inlineStr"/>
      <c r="K3348" t="inlineStr"/>
      <c r="L3348" t="inlineStr"/>
      <c r="M3348" t="inlineStr"/>
      <c r="N3348" t="inlineStr"/>
      <c r="O3348">
        <f>(1-Summary!$B$11)*T3348+Summary!$B$11*V3348</f>
        <v/>
      </c>
      <c r="P3348">
        <f>IF(B3372=0,0,O3348/B3372)</f>
        <v/>
      </c>
      <c r="Q3348">
        <f>IFERROR(1/(IF(Inputs!$B$38="pvp",15,MAX(0.1,Skills!D20-IF(Skills!E20=TRUE,4.0,0)))*(1-IF(AND(ArtifactsInput!$M$27,Inputs!$B$4="Chapter Hunt"),CHOOSE(ArtifactsInput!$N$27+1,20,24,28,32,36,40),0)/100)),0)</f>
        <v/>
      </c>
      <c r="R3348">
        <f>IF(AND(Inputs!$B$38&lt;&gt;"pvp",Inputs!$B$43&gt;0),IF(Inputs!$B$43&lt;=0,0,(INT(Inputs!$B$43/(IF(Inputs!$B$38="pvp",15,MAX(0.1,Skills!D20-IF(Skills!E20=TRUE,4.0,0)))*(1-IF(AND(ArtifactsInput!$M$27,Inputs!$B$4="Chapter Hunt"),CHOOSE(ArtifactsInput!$N$27+1,20,24,28,32,36,40),0)/100)))+1)),0)</f>
        <v/>
      </c>
      <c r="S3348">
        <f>IFERROR(O3348/N3348,0)</f>
        <v/>
      </c>
      <c r="T3348" t="n">
        <v>0</v>
      </c>
      <c r="V3348" t="n">
        <v>0</v>
      </c>
    </row>
    <row r="3349">
      <c r="A3349">
        <f>Skills!A21</f>
        <v/>
      </c>
      <c r="B3349">
        <f>Skills!B21</f>
        <v/>
      </c>
      <c r="C3349">
        <f>Inputs!$B$3&gt;=15</f>
        <v/>
      </c>
      <c r="D3349">
        <f>IF(Skills!C21=1,60+Inputs!$B$25+Inputs!$B$29,IF(Skills!C21=2,90+Inputs!$B$26+Inputs!$B$29,IF(Skills!C21=3,120+Inputs!$B$27+Inputs!$B$29,MAX(0,(Inputs!$B$3-100)*3)+Inputs!$B$28+Inputs!$B$29)))</f>
        <v/>
      </c>
      <c r="E3349">
        <f>INDEX(FactorTable!$B$2:$Y$301, MATCH(ROUND(MIN(300,MAX(1,D3349)),0), FactorTable!$A$2:$A$301,0), Skills!M21+1)</f>
        <v/>
      </c>
      <c r="F3349">
        <f>IF(Skills!N21=TRUE,(Skills!L21/10)*(E3349/1000),Skills!L21/10)+Skills!O21</f>
        <v/>
      </c>
      <c r="G3349">
        <f>Skills!G21*IF(Skills!H21&gt;0,Skills!I21/Skills!H21,1)</f>
        <v/>
      </c>
      <c r="H3349">
        <f>1-(1-Skills!J21/100)^Skills!K21</f>
        <v/>
      </c>
      <c r="I3349" t="inlineStr">
        <is>
          <t>1</t>
        </is>
      </c>
      <c r="J3349" t="inlineStr"/>
      <c r="K3349" t="inlineStr"/>
      <c r="L3349" t="inlineStr"/>
      <c r="M3349" t="inlineStr"/>
      <c r="N3349" t="inlineStr"/>
      <c r="O3349">
        <f>(1-Summary!$B$11)*T3349+Summary!$B$11*V3349</f>
        <v/>
      </c>
      <c r="P3349">
        <f>IF(B3372=0,0,O3349/B3372)</f>
        <v/>
      </c>
      <c r="Q3349" t="n">
        <v>0</v>
      </c>
      <c r="R3349" t="n">
        <v>0</v>
      </c>
      <c r="S3349">
        <f>IFERROR(O3349/N3349,0)</f>
        <v/>
      </c>
      <c r="T3349" t="n">
        <v>0</v>
      </c>
      <c r="V3349" t="n">
        <v>0</v>
      </c>
    </row>
    <row r="3350">
      <c r="A3350">
        <f>Skills!A22</f>
        <v/>
      </c>
      <c r="B3350">
        <f>Skills!B22</f>
        <v/>
      </c>
      <c r="C3350">
        <f>Inputs!$B$3&gt;=10</f>
        <v/>
      </c>
      <c r="D3350">
        <f>IF(Skills!C22=1,60+Inputs!$B$25+Inputs!$B$29,IF(Skills!C22=2,90+Inputs!$B$26+Inputs!$B$29,IF(Skills!C22=3,120+Inputs!$B$27+Inputs!$B$29,MAX(0,(Inputs!$B$3-100)*3)+Inputs!$B$28+Inputs!$B$29)))</f>
        <v/>
      </c>
      <c r="E3350">
        <f>INDEX(FactorTable!$B$2:$Y$301, MATCH(ROUND(MIN(300,MAX(1,D3350)),0), FactorTable!$A$2:$A$301,0), Skills!M22+1)</f>
        <v/>
      </c>
      <c r="F3350">
        <f>IF(Skills!N22=TRUE,(Skills!L22/10)*(E3350/1000),Skills!L22/10)+Skills!O22</f>
        <v/>
      </c>
      <c r="G3350">
        <f>Skills!G22*IF(Skills!H22&gt;0,Skills!I22/Skills!H22,1)</f>
        <v/>
      </c>
      <c r="H3350">
        <f>1-(1-Skills!J22/100)^Skills!K22</f>
        <v/>
      </c>
      <c r="I3350" t="inlineStr">
        <is>
          <t>1</t>
        </is>
      </c>
      <c r="J3350" t="inlineStr"/>
      <c r="K3350" t="inlineStr"/>
      <c r="L3350" t="inlineStr"/>
      <c r="M3350" t="inlineStr"/>
      <c r="N3350" t="inlineStr"/>
      <c r="O3350">
        <f>(1-Summary!$B$11)*T3350+Summary!$B$11*V3350</f>
        <v/>
      </c>
      <c r="P3350">
        <f>IF(B3372=0,0,O3350/B3372)</f>
        <v/>
      </c>
      <c r="Q3350" t="n">
        <v>0</v>
      </c>
      <c r="R3350" t="n">
        <v>0</v>
      </c>
      <c r="S3350">
        <f>IFERROR(O3350/N3350,0)</f>
        <v/>
      </c>
      <c r="T3350" t="n">
        <v>0</v>
      </c>
      <c r="V3350" t="n">
        <v>0</v>
      </c>
    </row>
    <row r="3351">
      <c r="A3351">
        <f>Skills!A23</f>
        <v/>
      </c>
      <c r="B3351">
        <f>Skills!B23</f>
        <v/>
      </c>
      <c r="C3351">
        <f>Inputs!$B$3&gt;=33</f>
        <v/>
      </c>
      <c r="D3351">
        <f>IF(Skills!C23=1,60+Inputs!$B$25+Inputs!$B$29,IF(Skills!C23=2,90+Inputs!$B$26+Inputs!$B$29,IF(Skills!C23=3,120+Inputs!$B$27+Inputs!$B$29,MAX(0,(Inputs!$B$3-100)*3)+Inputs!$B$28+Inputs!$B$29)))</f>
        <v/>
      </c>
      <c r="E3351">
        <f>INDEX(FactorTable!$B$2:$Y$301, MATCH(ROUND(MIN(300,MAX(1,D3351)),0), FactorTable!$A$2:$A$301,0), Skills!M23+1)</f>
        <v/>
      </c>
      <c r="F3351">
        <f>IF(Skills!N23=TRUE,(Skills!L23/10)*(E3351/1000),Skills!L23/10)+Skills!O23</f>
        <v/>
      </c>
      <c r="G3351">
        <f>Skills!G23*IF(Skills!H23&gt;0,Skills!I23/Skills!H23,1)</f>
        <v/>
      </c>
      <c r="H3351">
        <f>1-(1-Skills!J23/100)^Skills!K23</f>
        <v/>
      </c>
      <c r="I3351" t="inlineStr">
        <is>
          <t>1</t>
        </is>
      </c>
      <c r="J3351" t="inlineStr"/>
      <c r="K3351" t="inlineStr"/>
      <c r="L3351" t="inlineStr"/>
      <c r="M3351" t="inlineStr"/>
      <c r="N3351" t="inlineStr"/>
      <c r="O3351">
        <f>(1-Summary!$B$11)*T3351+Summary!$B$11*V3351</f>
        <v/>
      </c>
      <c r="P3351">
        <f>IF(B3372=0,0,O3351/B3372)</f>
        <v/>
      </c>
      <c r="Q3351" t="n">
        <v>0</v>
      </c>
      <c r="R3351" t="n">
        <v>0</v>
      </c>
      <c r="S3351">
        <f>IFERROR(O3351/N3351,0)</f>
        <v/>
      </c>
      <c r="T3351" t="n">
        <v>0</v>
      </c>
      <c r="V3351" t="n">
        <v>0</v>
      </c>
    </row>
    <row r="3352">
      <c r="A3352">
        <f>Skills!A24</f>
        <v/>
      </c>
      <c r="B3352">
        <f>Skills!B24</f>
        <v/>
      </c>
      <c r="C3352">
        <f>Inputs!$B$3&gt;=38</f>
        <v/>
      </c>
      <c r="D3352">
        <f>IF(Skills!C24=1,60+Inputs!$B$25+Inputs!$B$29,IF(Skills!C24=2,90+Inputs!$B$26+Inputs!$B$29,IF(Skills!C24=3,120+Inputs!$B$27+Inputs!$B$29,MAX(0,(Inputs!$B$3-100)*3)+Inputs!$B$28+Inputs!$B$29)))</f>
        <v/>
      </c>
      <c r="E3352">
        <f>INDEX(FactorTable!$B$2:$Y$301, MATCH(ROUND(MIN(300,MAX(1,D3352)),0), FactorTable!$A$2:$A$301,0), Skills!M24+1)</f>
        <v/>
      </c>
      <c r="F3352">
        <f>IF(Skills!N24=TRUE,(Skills!L24/10)*(E3352/1000),Skills!L24/10)+Skills!O24</f>
        <v/>
      </c>
      <c r="G3352">
        <f>Skills!G24*IF(Skills!H24&gt;0,Skills!I24/Skills!H24,1)</f>
        <v/>
      </c>
      <c r="H3352">
        <f>1-(1-Skills!J24/100)^Skills!K24</f>
        <v/>
      </c>
      <c r="I3352" t="inlineStr">
        <is>
          <t>1</t>
        </is>
      </c>
      <c r="J3352" t="inlineStr"/>
      <c r="K3352" t="inlineStr"/>
      <c r="L3352" t="inlineStr"/>
      <c r="M3352" t="inlineStr"/>
      <c r="N3352" t="inlineStr"/>
      <c r="O3352">
        <f>(1-Summary!$B$11)*T3352+Summary!$B$11*V3352</f>
        <v/>
      </c>
      <c r="P3352">
        <f>IF(B3372=0,0,O3352/B3372)</f>
        <v/>
      </c>
      <c r="Q3352" t="n">
        <v>0</v>
      </c>
      <c r="R3352" t="n">
        <v>0</v>
      </c>
      <c r="S3352">
        <f>IFERROR(O3352/N3352,0)</f>
        <v/>
      </c>
      <c r="T3352" t="n">
        <v>0</v>
      </c>
      <c r="V3352" t="n">
        <v>0</v>
      </c>
    </row>
    <row r="3353">
      <c r="A3353">
        <f>Skills!A25</f>
        <v/>
      </c>
      <c r="B3353">
        <f>Skills!B25</f>
        <v/>
      </c>
      <c r="C3353">
        <f>Inputs!$B$3&gt;=43</f>
        <v/>
      </c>
      <c r="D3353">
        <f>IF(Skills!C25=1,60+Inputs!$B$25+Inputs!$B$29,IF(Skills!C25=2,90+Inputs!$B$26+Inputs!$B$29,IF(Skills!C25=3,120+Inputs!$B$27+Inputs!$B$29,MAX(0,(Inputs!$B$3-100)*3)+Inputs!$B$28+Inputs!$B$29)))</f>
        <v/>
      </c>
      <c r="E3353">
        <f>INDEX(FactorTable!$B$2:$Y$301, MATCH(ROUND(MIN(300,MAX(1,D3353)),0), FactorTable!$A$2:$A$301,0), Skills!M25+1)</f>
        <v/>
      </c>
      <c r="F3353">
        <f>IF(Skills!N25=TRUE,(Skills!L25/10)*(E3353/1000),Skills!L25/10)+Skills!O25</f>
        <v/>
      </c>
      <c r="G3353">
        <f>Skills!G25*IF(Skills!H25&gt;0,Skills!I25/Skills!H25,1)</f>
        <v/>
      </c>
      <c r="H3353">
        <f>1-(1-Skills!J25/100)^Skills!K25</f>
        <v/>
      </c>
      <c r="I3353" t="inlineStr">
        <is>
          <t>1</t>
        </is>
      </c>
      <c r="J3353" t="inlineStr"/>
      <c r="K3353" t="inlineStr"/>
      <c r="L3353" t="inlineStr"/>
      <c r="M3353" t="inlineStr"/>
      <c r="N3353" t="inlineStr"/>
      <c r="O3353">
        <f>(1-Summary!$B$11)*T3353+Summary!$B$11*V3353</f>
        <v/>
      </c>
      <c r="P3353">
        <f>IF(B3372=0,0,O3353/B3372)</f>
        <v/>
      </c>
      <c r="Q3353" t="n">
        <v>0</v>
      </c>
      <c r="R3353" t="n">
        <v>0</v>
      </c>
      <c r="S3353">
        <f>IFERROR(O3353/N3353,0)</f>
        <v/>
      </c>
      <c r="T3353" t="n">
        <v>0</v>
      </c>
      <c r="V3353" t="n">
        <v>0</v>
      </c>
    </row>
    <row r="3354">
      <c r="A3354">
        <f>Skills!A26</f>
        <v/>
      </c>
      <c r="B3354">
        <f>Skills!B26</f>
        <v/>
      </c>
      <c r="C3354">
        <f>Inputs!$B$3&gt;=75</f>
        <v/>
      </c>
      <c r="D3354">
        <f>IF(Skills!C26=1,60+Inputs!$B$25+Inputs!$B$29,IF(Skills!C26=2,90+Inputs!$B$26+Inputs!$B$29,IF(Skills!C26=3,120+Inputs!$B$27+Inputs!$B$29,MAX(0,(Inputs!$B$3-100)*3)+Inputs!$B$28+Inputs!$B$29)))</f>
        <v/>
      </c>
      <c r="E3354">
        <f>INDEX(FactorTable!$B$2:$Y$301, MATCH(ROUND(MIN(300,MAX(1,D3354)),0), FactorTable!$A$2:$A$301,0), Skills!M26+1)</f>
        <v/>
      </c>
      <c r="F3354">
        <f>IF(Skills!N26=TRUE,(Skills!L26/10)*(E3354/1000),Skills!L26/10)+Skills!O26</f>
        <v/>
      </c>
      <c r="G3354">
        <f>Skills!G26*IF(Skills!H26&gt;0,Skills!I26/Skills!H26,1)</f>
        <v/>
      </c>
      <c r="H3354">
        <f>1-(1-Skills!J26/100)^Skills!K26</f>
        <v/>
      </c>
      <c r="I3354" t="inlineStr">
        <is>
          <t>1</t>
        </is>
      </c>
      <c r="J3354" t="inlineStr"/>
      <c r="K3354" t="inlineStr"/>
      <c r="L3354" t="inlineStr"/>
      <c r="M3354" t="inlineStr"/>
      <c r="N3354" t="inlineStr"/>
      <c r="O3354">
        <f>(1-Summary!$B$11)*T3354+Summary!$B$11*V3354</f>
        <v/>
      </c>
      <c r="P3354">
        <f>IF(B3372=0,0,O3354/B3372)</f>
        <v/>
      </c>
      <c r="Q3354" t="n">
        <v>0</v>
      </c>
      <c r="R3354" t="n">
        <v>0</v>
      </c>
      <c r="S3354">
        <f>IFERROR(O3354/N3354,0)</f>
        <v/>
      </c>
      <c r="T3354" t="n">
        <v>0</v>
      </c>
      <c r="V3354" t="n">
        <v>0</v>
      </c>
    </row>
    <row r="3355">
      <c r="A3355">
        <f>Skills!A27</f>
        <v/>
      </c>
      <c r="B3355">
        <f>Skills!B27</f>
        <v/>
      </c>
      <c r="C3355">
        <f>Inputs!$B$3&gt;=125</f>
        <v/>
      </c>
      <c r="D3355">
        <f>IF(Skills!C27=1,60+Inputs!$B$25+Inputs!$B$29,IF(Skills!C27=2,90+Inputs!$B$26+Inputs!$B$29,IF(Skills!C27=3,120+Inputs!$B$27+Inputs!$B$29,MAX(0,(Inputs!$B$3-100)*3)+Inputs!$B$28+Inputs!$B$29)))</f>
        <v/>
      </c>
      <c r="E3355">
        <f>INDEX(FactorTable!$B$2:$Y$301, MATCH(ROUND(MIN(300,MAX(1,D3355)),0), FactorTable!$A$2:$A$301,0), Skills!M27+1)</f>
        <v/>
      </c>
      <c r="F3355">
        <f>IF(Skills!N27=TRUE,(Skills!L27/10)*(E3355/1000),Skills!L27/10)+Skills!O27</f>
        <v/>
      </c>
      <c r="G3355">
        <f>Skills!G27*IF(Skills!H27&gt;0,Skills!I27/Skills!H27,1)</f>
        <v/>
      </c>
      <c r="H3355">
        <f>1-(1-Skills!J27/100)^Skills!K27</f>
        <v/>
      </c>
      <c r="I3355" t="inlineStr">
        <is>
          <t>1</t>
        </is>
      </c>
      <c r="J3355" t="inlineStr"/>
      <c r="K3355" t="inlineStr"/>
      <c r="L3355" t="inlineStr"/>
      <c r="M3355" t="inlineStr"/>
      <c r="N3355" t="inlineStr"/>
      <c r="O3355">
        <f>(1-Summary!$B$11)*T3355+Summary!$B$11*V3355</f>
        <v/>
      </c>
      <c r="P3355">
        <f>IF(B3372=0,0,O3355/B3372)</f>
        <v/>
      </c>
      <c r="Q3355" t="n">
        <v>0</v>
      </c>
      <c r="R3355" t="n">
        <v>0</v>
      </c>
      <c r="S3355">
        <f>IFERROR(O3355/N3355,0)</f>
        <v/>
      </c>
      <c r="T3355" t="n">
        <v>0</v>
      </c>
      <c r="V3355" t="n">
        <v>0</v>
      </c>
    </row>
    <row r="3356">
      <c r="A3356">
        <f>Skills!A28</f>
        <v/>
      </c>
      <c r="B3356">
        <f>Skills!B28</f>
        <v/>
      </c>
      <c r="C3356">
        <f>Inputs!$B$3&gt;=125</f>
        <v/>
      </c>
      <c r="D3356">
        <f>IF(Skills!C28=1,60+Inputs!$B$25+Inputs!$B$29,IF(Skills!C28=2,90+Inputs!$B$26+Inputs!$B$29,IF(Skills!C28=3,120+Inputs!$B$27+Inputs!$B$29,MAX(0,(Inputs!$B$3-100)*3)+Inputs!$B$28+Inputs!$B$29)))</f>
        <v/>
      </c>
      <c r="E3356">
        <f>INDEX(FactorTable!$B$2:$Y$301, MATCH(ROUND(MIN(300,MAX(1,D3356)),0), FactorTable!$A$2:$A$301,0), Skills!M28+1)</f>
        <v/>
      </c>
      <c r="F3356">
        <f>IF(Skills!N28=TRUE,(Skills!L28/10)*(E3356/1000),Skills!L28/10)+Skills!O28</f>
        <v/>
      </c>
      <c r="G3356">
        <f>Skills!G28*IF(Skills!H28&gt;0,Skills!I28/Skills!H28,1)</f>
        <v/>
      </c>
      <c r="H3356">
        <f>1-(1-Skills!J28/100)^Skills!K28</f>
        <v/>
      </c>
      <c r="I3356" t="inlineStr">
        <is>
          <t>1</t>
        </is>
      </c>
      <c r="J3356" t="inlineStr"/>
      <c r="K3356" t="inlineStr"/>
      <c r="L3356" t="inlineStr"/>
      <c r="M3356" t="inlineStr"/>
      <c r="N3356" t="inlineStr"/>
      <c r="O3356">
        <f>(1-Summary!$B$11)*T3356+Summary!$B$11*V3356</f>
        <v/>
      </c>
      <c r="P3356">
        <f>IF(B3372=0,0,O3356/B3372)</f>
        <v/>
      </c>
      <c r="Q3356" t="n">
        <v>0</v>
      </c>
      <c r="R3356" t="n">
        <v>0</v>
      </c>
      <c r="S3356">
        <f>IFERROR(O3356/N3356,0)</f>
        <v/>
      </c>
      <c r="T3356" t="n">
        <v>0</v>
      </c>
      <c r="V3356" t="n">
        <v>0</v>
      </c>
    </row>
    <row r="3357">
      <c r="A3357">
        <f>Skills!A29</f>
        <v/>
      </c>
      <c r="B3357">
        <f>Skills!B29</f>
        <v/>
      </c>
      <c r="C3357">
        <f>Inputs!$B$3&gt;=120</f>
        <v/>
      </c>
      <c r="D3357">
        <f>IF(Skills!C29=1,60+Inputs!$B$25+Inputs!$B$29,IF(Skills!C29=2,90+Inputs!$B$26+Inputs!$B$29,IF(Skills!C29=3,120+Inputs!$B$27+Inputs!$B$29,MAX(0,(Inputs!$B$3-100)*3)+Inputs!$B$28+Inputs!$B$29)))</f>
        <v/>
      </c>
      <c r="E3357">
        <f>INDEX(FactorTable!$B$2:$Y$301, MATCH(ROUND(MIN(300,MAX(1,D3357)),0), FactorTable!$A$2:$A$301,0), Skills!M29+1)</f>
        <v/>
      </c>
      <c r="F3357">
        <f>IF(Skills!N29=TRUE,(Skills!L29/10)*(E3357/1000),Skills!L29/10)+Skills!O29</f>
        <v/>
      </c>
      <c r="G3357">
        <f>Skills!G29*IF(Skills!H29&gt;0,Skills!I29/Skills!H29,1)</f>
        <v/>
      </c>
      <c r="H3357">
        <f>1-(1-Skills!J29/100)^Skills!K29</f>
        <v/>
      </c>
      <c r="I3357" t="inlineStr">
        <is>
          <t>1</t>
        </is>
      </c>
      <c r="J3357" t="inlineStr"/>
      <c r="K3357" t="inlineStr"/>
      <c r="L3357" t="inlineStr"/>
      <c r="M3357" t="inlineStr"/>
      <c r="N3357" t="inlineStr"/>
      <c r="O3357">
        <f>(1-Summary!$B$11)*T3357+Summary!$B$11*V3357</f>
        <v/>
      </c>
      <c r="P3357">
        <f>IF(B3372=0,0,O3357/B3372)</f>
        <v/>
      </c>
      <c r="Q3357" t="n">
        <v>0</v>
      </c>
      <c r="R3357" t="n">
        <v>0</v>
      </c>
      <c r="S3357">
        <f>IFERROR(O3357/N3357,0)</f>
        <v/>
      </c>
      <c r="T3357" t="n">
        <v>0</v>
      </c>
      <c r="V3357" t="n">
        <v>0</v>
      </c>
    </row>
    <row r="3358">
      <c r="A3358">
        <f>Skills!A30</f>
        <v/>
      </c>
      <c r="B3358">
        <f>Skills!B30</f>
        <v/>
      </c>
      <c r="C3358">
        <f>Inputs!$B$3&gt;=120</f>
        <v/>
      </c>
      <c r="D3358">
        <f>IF(Skills!C30=1,60+Inputs!$B$25+Inputs!$B$29,IF(Skills!C30=2,90+Inputs!$B$26+Inputs!$B$29,IF(Skills!C30=3,120+Inputs!$B$27+Inputs!$B$29,MAX(0,(Inputs!$B$3-100)*3)+Inputs!$B$28+Inputs!$B$29)))</f>
        <v/>
      </c>
      <c r="E3358">
        <f>INDEX(FactorTable!$B$2:$Y$301, MATCH(ROUND(MIN(300,MAX(1,D3358)),0), FactorTable!$A$2:$A$301,0), Skills!M30+1)</f>
        <v/>
      </c>
      <c r="F3358">
        <f>IF(Skills!N30=TRUE,(Skills!L30/10)*(E3358/1000),Skills!L30/10)+Skills!O30</f>
        <v/>
      </c>
      <c r="G3358">
        <f>Skills!G30*IF(Skills!H30&gt;0,Skills!I30/Skills!H30,1)</f>
        <v/>
      </c>
      <c r="H3358">
        <f>1-(1-Skills!J30/100)^Skills!K30</f>
        <v/>
      </c>
      <c r="I3358" t="inlineStr">
        <is>
          <t>1</t>
        </is>
      </c>
      <c r="J3358" t="inlineStr"/>
      <c r="K3358" t="inlineStr"/>
      <c r="L3358" t="inlineStr"/>
      <c r="M3358" t="inlineStr"/>
      <c r="N3358" t="inlineStr"/>
      <c r="O3358">
        <f>(1-Summary!$B$11)*T3358+Summary!$B$11*V3358</f>
        <v/>
      </c>
      <c r="P3358">
        <f>IF(B3372=0,0,O3358/B3372)</f>
        <v/>
      </c>
      <c r="Q3358" t="n">
        <v>0</v>
      </c>
      <c r="R3358" t="n">
        <v>0</v>
      </c>
      <c r="S3358">
        <f>IFERROR(O3358/N3358,0)</f>
        <v/>
      </c>
      <c r="T3358" t="n">
        <v>0</v>
      </c>
      <c r="V3358" t="n">
        <v>0</v>
      </c>
    </row>
    <row r="3359">
      <c r="A3359">
        <f>Skills!A31</f>
        <v/>
      </c>
      <c r="B3359">
        <f>Skills!B31</f>
        <v/>
      </c>
      <c r="C3359">
        <f>Inputs!$B$3&gt;=45</f>
        <v/>
      </c>
      <c r="D3359">
        <f>IF(Skills!C31=1,60+Inputs!$B$25+Inputs!$B$29,IF(Skills!C31=2,90+Inputs!$B$26+Inputs!$B$29,IF(Skills!C31=3,120+Inputs!$B$27+Inputs!$B$29,MAX(0,(Inputs!$B$3-100)*3)+Inputs!$B$28+Inputs!$B$29)))</f>
        <v/>
      </c>
      <c r="E3359">
        <f>INDEX(FactorTable!$B$2:$Y$301, MATCH(ROUND(MIN(300,MAX(1,D3359)),0), FactorTable!$A$2:$A$301,0), Skills!M31+1)</f>
        <v/>
      </c>
      <c r="F3359">
        <f>IF(Skills!N31=TRUE,(Skills!L31/10)*(E3359/1000),Skills!L31/10)+Skills!O31</f>
        <v/>
      </c>
      <c r="G3359">
        <f>Skills!G31*IF(Skills!H31&gt;0,Skills!I31/Skills!H31,1)</f>
        <v/>
      </c>
      <c r="H3359">
        <f>1-(1-Skills!J31/100)^Skills!K31</f>
        <v/>
      </c>
      <c r="I3359" t="inlineStr">
        <is>
          <t>1</t>
        </is>
      </c>
      <c r="J3359" t="inlineStr"/>
      <c r="K3359" t="inlineStr"/>
      <c r="L3359" t="inlineStr"/>
      <c r="M3359" t="inlineStr"/>
      <c r="N3359" t="inlineStr"/>
      <c r="O3359">
        <f>(1-Summary!$B$11)*T3359+Summary!$B$11*V3359</f>
        <v/>
      </c>
      <c r="P3359">
        <f>IF(B3372=0,0,O3359/B3372)</f>
        <v/>
      </c>
      <c r="Q3359" t="n">
        <v>0</v>
      </c>
      <c r="R3359" t="n">
        <v>0</v>
      </c>
      <c r="S3359">
        <f>IFERROR(O3359/N3359,0)</f>
        <v/>
      </c>
      <c r="T3359" t="n">
        <v>0</v>
      </c>
      <c r="V3359" t="n">
        <v>0</v>
      </c>
    </row>
    <row r="3361">
      <c r="A3361" t="inlineStr">
        <is>
          <t>Attack% Bucket Multiplier</t>
        </is>
      </c>
      <c r="B3361">
        <f>(1+(((C3342=TRUE)*F3342)+((C3343=TRUE)*IF(Inputs!$B$38="pvp",F3343,(1-Summary!$B$11)*(F3343)+Summary!$B$11*(0)))+((C3344=TRUE)*F3344*IF(AND(Inputs!$B$38&lt;&gt;"pvp",Inputs!$B$43&gt;0),(((R3344-1)*(Skills!T16*(1+Inputs!$B$34/100))+MIN((Skills!T16*(1+Inputs!$B$34/100)),MAX(0,Inputs!$B$43-((R3344-1)*Skills!D16))))/Inputs!$B$43),IF(Inputs!$B$38="pvp",MIN((Skills!T16*(1+Inputs!$B$34/100)),15)/15,(Skills!T16*(1+Inputs!$B$34/100))/Skills!D16)))+((C3359=TRUE)*(F3359-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62">
      <c r="A3362" t="inlineStr">
        <is>
          <t>Global Crit Rate Bonus %</t>
        </is>
      </c>
      <c r="B3362">
        <f>(C3345=TRUE)*20*IF(AND(Inputs!$B$38&lt;&gt;"pvp",Inputs!$B$43&gt;0),(((R3345-1)*(Skills!T17*(1+Inputs!$B$34/100))+MIN((Skills!T17*(1+Inputs!$B$34/100)),MAX(0,Inputs!$B$43-((R3345-1)*Skills!D17))))/Inputs!$B$43),IF(Inputs!$B$38="pvp",MIN((Skills!T17*(1+Inputs!$B$34/100)),15)/15,(Skills!T17*(1+Inputs!$B$34/100))/Skills!D17))</f>
        <v/>
      </c>
    </row>
    <row r="3363">
      <c r="A3363" t="inlineStr">
        <is>
          <t>Attack Speed Buff Bonus %</t>
        </is>
      </c>
      <c r="B3363">
        <f>((C3348=TRUE)*F3348*IF(AND(Inputs!$B$38&lt;&gt;"pvp",Inputs!$B$43&gt;0),(((R3348-1)*(Skills!T20*(1+Inputs!$B$34/100))+MIN((Skills!T20*(1+Inputs!$B$34/100)),MAX(0,Inputs!$B$43-((R3348-1)*Skills!D20))))/Inputs!$B$43),IF(Inputs!$B$38="pvp",MIN((Skills!T20*(1+Inputs!$B$34/100)),15)/15,(Skills!T20*(1+Inputs!$B$34/100))/Skills!D20)))</f>
        <v/>
      </c>
    </row>
    <row r="3364">
      <c r="A3364" t="inlineStr">
        <is>
          <t>Actions Per Second</t>
        </is>
      </c>
      <c r="B3364">
        <f>1+MIN(150,150*(1-(1-(Inputs!$B$11+((C3350=TRUE)*(F3350-Calc!F22))+((C3351=TRUE)*(F3351-Calc!F23)))/150)*(1-B3363/150)))/100</f>
        <v/>
      </c>
    </row>
    <row r="3365">
      <c r="A3365" t="inlineStr">
        <is>
          <t>Skill + Buff Cast Rate</t>
        </is>
      </c>
      <c r="B3365">
        <f>IF(AND(Inputs!$B$38&lt;&gt;"pvp",Inputs!$B$43&gt;0),SUMPRODUCT((Skills!E2:E31=TRUE)*(C3330:C3359=TRUE)*R3330:R3359*Skills!F2:F31)/Inputs!$B$43,SUMPRODUCT((Skills!E2:E31=TRUE)*(C3330:C3359=TRUE)*Q3330:Q3359*Skills!F2:F31))</f>
        <v/>
      </c>
    </row>
    <row r="3366">
      <c r="A3366" t="inlineStr">
        <is>
          <t>Arrow Stream Casts Per Second</t>
        </is>
      </c>
      <c r="B3366">
        <f>MAX(0,B3364-B3365)</f>
        <v/>
      </c>
    </row>
    <row r="3367">
      <c r="A3367" t="inlineStr">
        <is>
          <t>Global Critical Damage Bonus % (Sharp Eyes + Concentration)</t>
        </is>
      </c>
      <c r="B3367">
        <f>(C3345=TRUE)*F3345*IF(AND(Inputs!$B$38&lt;&gt;"pvp",Inputs!$B$43&gt;0),(((R3345-1)*(Skills!T17*(1+Inputs!$B$34/100))+MIN((Skills!T17*(1+Inputs!$B$34/100)),MAX(0,Inputs!$B$43-((R3345-1)*Skills!D17))))/Inputs!$B$43),IF(Inputs!$B$38="pvp",MIN((Skills!T17*(1+Inputs!$B$34/100)),15)/15,(Skills!T17*(1+Inputs!$B$34/100))/Skills!D17))+(C3346=TRUE)*30</f>
        <v/>
      </c>
    </row>
    <row r="3368">
      <c r="A3368" t="inlineStr">
        <is>
          <t>Global Final Damage Bonus % (Mortal Blow)</t>
        </is>
      </c>
      <c r="B3368">
        <f>(C3347=TRUE)*F3347</f>
        <v/>
      </c>
    </row>
    <row r="3369">
      <c r="A3369" t="inlineStr">
        <is>
          <t>Buff-Casting Startup Delay (s, fixed-duration only)</t>
        </is>
      </c>
      <c r="B3369">
        <f>IF(AND(Inputs!$B$38&lt;&gt;"pvp",Inputs!$B$43&gt;0),SUMPRODUCT((Skills!T2:T31&gt;0)*(Skills!E2:E31=TRUE)*(C3330:C3359=TRUE))/B3364,0)</f>
        <v/>
      </c>
    </row>
    <row r="3370">
      <c r="A3370" t="inlineStr">
        <is>
          <t>Boss-Only Total DPS (this block's swept value)</t>
        </is>
      </c>
      <c r="B3370">
        <f>SUM(T3330:T3359)</f>
        <v/>
      </c>
    </row>
    <row r="3371">
      <c r="A3371" t="inlineStr">
        <is>
          <t>Normal-Only Total DPS (this block's swept value)</t>
        </is>
      </c>
      <c r="B3371">
        <f>SUM(V3330:V3359)</f>
        <v/>
      </c>
    </row>
    <row r="3372">
      <c r="A3372" s="6" t="inlineStr">
        <is>
          <t>TOTAL DPS</t>
        </is>
      </c>
      <c r="B3372" s="6">
        <f>SUM(O3330:O3359)</f>
        <v/>
      </c>
    </row>
    <row r="3375">
      <c r="A3375" s="6" t="inlineStr">
        <is>
          <t>Stat: CDR = 4.5s</t>
        </is>
      </c>
    </row>
    <row r="3376">
      <c r="A3376" s="5" t="inlineStr">
        <is>
          <t>Key</t>
        </is>
      </c>
      <c r="B3376" s="5" t="inlineStr">
        <is>
          <t>Name</t>
        </is>
      </c>
      <c r="C3376" s="5" t="inlineStr">
        <is>
          <t>Unlocked</t>
        </is>
      </c>
      <c r="D3376" s="5" t="inlineStr">
        <is>
          <t>InputLevel</t>
        </is>
      </c>
      <c r="E3376" s="5" t="inlineStr">
        <is>
          <t>Factor</t>
        </is>
      </c>
      <c r="F3376" s="5" t="inlineStr">
        <is>
          <t>CoefficientPercent</t>
        </is>
      </c>
      <c r="G3376" s="5" t="inlineStr">
        <is>
          <t>EffectiveHits</t>
        </is>
      </c>
      <c r="H3376" s="5" t="inlineStr">
        <is>
          <t>ProcProbability</t>
        </is>
      </c>
      <c r="I3376" s="5" t="inlineStr">
        <is>
          <t>MapleHeroMultiplier</t>
        </is>
      </c>
      <c r="J3376" s="5" t="inlineStr">
        <is>
          <t>BaseDamage</t>
        </is>
      </c>
      <c r="K3376" s="5" t="inlineStr">
        <is>
          <t>BaseHitDamage</t>
        </is>
      </c>
      <c r="L3376" s="5" t="inlineStr">
        <is>
          <t>NonCritAvg</t>
        </is>
      </c>
      <c r="M3376" s="5" t="inlineStr">
        <is>
          <t>CritAvg</t>
        </is>
      </c>
      <c r="N3376" s="5" t="inlineStr">
        <is>
          <t>ExpectedDamage(perHit)</t>
        </is>
      </c>
      <c r="O3376" s="5" t="inlineStr">
        <is>
          <t>DPS</t>
        </is>
      </c>
      <c r="P3376" s="5" t="inlineStr">
        <is>
          <t>% of Total</t>
        </is>
      </c>
      <c r="Q3376" s="5" t="inlineStr">
        <is>
          <t>InvCooldown</t>
        </is>
      </c>
      <c r="R3376" s="5" t="inlineStr">
        <is>
          <t>CastsInFight</t>
        </is>
      </c>
      <c r="S3376" s="5" t="inlineStr">
        <is>
          <t>HitRate(perSec)</t>
        </is>
      </c>
      <c r="U3376" t="inlineStr">
        <is>
          <t>helpers</t>
        </is>
      </c>
    </row>
    <row r="3377">
      <c r="A3377">
        <f>Skills!A2</f>
        <v/>
      </c>
      <c r="B3377">
        <f>Skills!B2</f>
        <v/>
      </c>
      <c r="C3377">
        <f>Inputs!$B$3&gt;=100</f>
        <v/>
      </c>
      <c r="D3377" t="inlineStr"/>
      <c r="E3377" t="inlineStr"/>
      <c r="F3377">
        <f>U3379+Skills!O2</f>
        <v/>
      </c>
      <c r="G3377">
        <f>Skills!G2*IF(Skills!H2&gt;0,Skills!I2/Skills!H2,1)</f>
        <v/>
      </c>
      <c r="H3377">
        <f>1-(1-Skills!J2/100)^Skills!K2</f>
        <v/>
      </c>
      <c r="I3377" t="inlineStr">
        <is>
          <t>1</t>
        </is>
      </c>
      <c r="J3377">
        <f>((Inputs!$B$6*(1+Inputs!$B$7/100))+(((Inputs!$B$12*(1+Inputs!$B$13/100))-(Inputs!$B$12*(1+Inputs!$B$13/100)))+0.25*(Inputs!$B$14-Inputs!$B$14))*(1+Inputs!$B$7/100))*(F3377/100)</f>
        <v/>
      </c>
      <c r="K3377">
        <f>J3377*(1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3377)</f>
        <v/>
      </c>
      <c r="L3377">
        <f>K3377*(MIN(Inputs!$B$22+((C3400=TRUE)*(F3400-Calc!F25)),(Inputs!$B$23+((C3405=TRUE)*(F3405-Calc!F30))+(IF(ArtifactsInput!$M$15,CHOOSE(ArtifactsInput!$N$15+1,25,30,35,40,45,50)/100*(Inputs!$B$11-Inputs!$B$11),0))))/100+(Inputs!$B$23+((C3405=TRUE)*(F3405-Calc!F30))+(IF(ArtifactsInput!$M$15,CHOOSE(ArtifactsInput!$N$15+1,25,30,35,40,45,50)/100*(Inputs!$B$11-Inputs!$B$11),0)))/100)/2</f>
        <v/>
      </c>
      <c r="M3377">
        <f>L3377*(1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77">
        <f>L3377*(1-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3377*(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77">
        <f>(1-Summary!$B$11)*T3377+Summary!$B$11*V3377</f>
        <v/>
      </c>
      <c r="P3377">
        <f>IF(B3419=0,0,O3377/B3419)</f>
        <v/>
      </c>
      <c r="Q3377" t="n">
        <v>0</v>
      </c>
      <c r="R3377" t="n">
        <v>0</v>
      </c>
      <c r="S3377">
        <f>IFERROR(O3377/N3377,0)</f>
        <v/>
      </c>
      <c r="T3377">
        <f>IF(C3377,(Skills!G2*N3377*B3413)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3377*(1-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3377*(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3377*(1-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3377*(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77">
        <f>MAX(0,(Inputs!$B$3-100)*3)+Inputs!$B$28+Inputs!$B$29</f>
        <v/>
      </c>
      <c r="V3377">
        <f>IF(C3377,(Skills!G2*N3377*B3413)*IF(Inputs!$B$38="pvp",1,(1+(Inputs!$B$21+Skills!Q2+(IF(ArtifactsInput!$M$33,CHOOSE(ArtifactsInput!$N$33+1,30,36,42,48,54,60),0))+(IF(AND(ArtifactsInput!$M$35,Inputs!$B$4&lt;&gt;"Chapter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78">
      <c r="A3378">
        <f>Skills!A3</f>
        <v/>
      </c>
      <c r="B3378">
        <f>Skills!B3</f>
        <v/>
      </c>
      <c r="C3378">
        <f>Inputs!$B$3&gt;=50</f>
        <v/>
      </c>
      <c r="D3378">
        <f>IF(Skills!C3=1,60+Inputs!$B$25+Inputs!$B$29,IF(Skills!C3=2,90+Inputs!$B$26+Inputs!$B$29,IF(Skills!C3=3,120+Inputs!$B$27+Inputs!$B$29,MAX(0,(Inputs!$B$3-100)*3)+Inputs!$B$28+Inputs!$B$29)))</f>
        <v/>
      </c>
      <c r="E3378">
        <f>INDEX(FactorTable!$B$2:$Y$301, MATCH(ROUND(MIN(300,MAX(1,D3378)),0), FactorTable!$A$2:$A$301,0), Skills!M3+1)</f>
        <v/>
      </c>
      <c r="F3378">
        <f>IF(Skills!N3=TRUE,(Skills!L3/10)*(E3378/1000),Skills!L3/10)+Skills!O3</f>
        <v/>
      </c>
      <c r="G3378">
        <f>Skills!G3*IF(Skills!H3&gt;0,Skills!I3/Skills!H3,1)</f>
        <v/>
      </c>
      <c r="H3378">
        <f>1-(1-Skills!J3/100)^Skills!K3</f>
        <v/>
      </c>
      <c r="I3378" t="inlineStr">
        <is>
          <t>1</t>
        </is>
      </c>
      <c r="J3378">
        <f>((Inputs!$B$6*(1+Inputs!$B$7/100))+(((Inputs!$B$12*(1+Inputs!$B$13/100))-(Inputs!$B$12*(1+Inputs!$B$13/100)))+0.25*(Inputs!$B$14-Inputs!$B$14))*(1+Inputs!$B$7/100))*(F3378/100)</f>
        <v/>
      </c>
      <c r="K3378">
        <f>J3378*(1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3379=TRUE,F3379,0)/100)*(1+(IF(Skills!A3="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3378)</f>
        <v/>
      </c>
      <c r="L3378">
        <f>K3378*(MIN(Inputs!$B$22+((C3400=TRUE)*(F3400-Calc!F25)),(Inputs!$B$23+((C3405=TRUE)*(F3405-Calc!F30))+(IF(ArtifactsInput!$M$15,CHOOSE(ArtifactsInput!$N$15+1,25,30,35,40,45,50)/100*(Inputs!$B$11-Inputs!$B$11),0))))/100+(Inputs!$B$23+((C3405=TRUE)*(F3405-Calc!F30))+(IF(ArtifactsInput!$M$15,CHOOSE(ArtifactsInput!$N$15+1,25,30,35,40,45,50)/100*(Inputs!$B$11-Inputs!$B$11),0)))/100)/2</f>
        <v/>
      </c>
      <c r="M3378">
        <f>L3378*(1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78">
        <f>L3378*(1-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3378*(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78">
        <f>(1-Summary!$B$11)*T3378+Summary!$B$11*V3378</f>
        <v/>
      </c>
      <c r="P3378">
        <f>IF(B3419=0,0,O3378/B3419)</f>
        <v/>
      </c>
      <c r="Q3378">
        <f>IFERROR(1/(IF(Inputs!$B$38="pvp",15,MAX(0.1,Skills!D3-IF(Skills!E3=TRUE,4.5,0)))*(1-IF(AND(ArtifactsInput!$M$27,Inputs!$B$4="Chapter Hunt"),CHOOSE(ArtifactsInput!$N$27+1,20,24,28,32,36,40),0)/100)),0)</f>
        <v/>
      </c>
      <c r="R3378">
        <f>IF(AND(Inputs!$B$38&lt;&gt;"pvp",Inputs!$B$43&gt;0),IF(MAX(0,Inputs!$B$43-B3416)&lt;=0,0,(INT(MAX(0,Inputs!$B$43-B3416)/(IF(Inputs!$B$38="pvp",15,MAX(0.1,Skills!D3-IF(Skills!E3=TRUE,4.5,0)))*(1-IF(AND(ArtifactsInput!$M$27,Inputs!$B$4="Chapter Hunt"),CHOOSE(ArtifactsInput!$N$27+1,20,24,28,32,36,40),0)/100)))+1)),0)</f>
        <v/>
      </c>
      <c r="S3378">
        <f>IFERROR(O3378/N3378,0)</f>
        <v/>
      </c>
      <c r="T3378">
        <f>IF(C3378,(H3378*N3378*IF(AND(Inputs!$B$38&lt;&gt;"pvp",Inputs!$B$43&gt;0),((Skills!G3*((R3378-1)*IF(Skills!H3&gt;0,Skills!I3/Skills!H3,1)+IF(Skills!H3&gt;0,MIN(Skills!I3,MAX(0,MAX(0,Inputs!$B$43-B3416)-((R3378-1)*(IF(Inputs!$B$38="pvp",15,MAX(0.1,Skills!D3-IF(Skills!E3=TRUE,4.5,0)))*(1-IF(AND(ArtifactsInput!$M$27,Inputs!$B$4="Chapter Hunt"),CHOOSE(ArtifactsInput!$N$27+1,20,24,28,32,36,40),0)/100)))))/Skills!H3,1)))/Inputs!$B$43),G3378*Q3378)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3378*(1-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3378*(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3378*(1-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3378*(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78">
        <f>INDEX(FactorTable!$B$2:$Y$301, MATCH(ROUND(MIN(300,MAX(1,U3377)),0), FactorTable!$A$2:$A$301,0), 22)</f>
        <v/>
      </c>
      <c r="V3378">
        <f>IF(C3378,(H3378*N3378*IF(AND(Inputs!$B$38&lt;&gt;"pvp",Inputs!$B$43&gt;0),((Skills!G3*((R3378-1)*IF(Skills!H3&gt;0,Skills!I3/Skills!H3,1)+IF(Skills!H3&gt;0,MIN(Skills!I3,MAX(0,MAX(0,Inputs!$B$43-B3416)-((R3378-1)*(IF(Inputs!$B$38="pvp",15,MAX(0.1,Skills!D3-IF(Skills!E3=TRUE,4.5,0)))*(1-IF(AND(ArtifactsInput!$M$27,Inputs!$B$4="Chapter Hunt"),CHOOSE(ArtifactsInput!$N$27+1,20,24,28,32,36,40),0)/100)))))/Skills!H3,1)))/Inputs!$B$43),G3378*Q3378))*IF(Inputs!$B$38="pvp",1,(1+(Inputs!$B$21+Skills!Q3+(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79">
      <c r="A3379">
        <f>Skills!A4</f>
        <v/>
      </c>
      <c r="B3379">
        <f>Skills!B4</f>
        <v/>
      </c>
      <c r="C3379">
        <f>Inputs!$B$3&gt;=105</f>
        <v/>
      </c>
      <c r="D3379">
        <f>IF(Skills!C4=1,60+Inputs!$B$25+Inputs!$B$29,IF(Skills!C4=2,90+Inputs!$B$26+Inputs!$B$29,IF(Skills!C4=3,120+Inputs!$B$27+Inputs!$B$29,MAX(0,(Inputs!$B$3-100)*3)+Inputs!$B$28+Inputs!$B$29)))</f>
        <v/>
      </c>
      <c r="E3379">
        <f>INDEX(FactorTable!$B$2:$Y$301, MATCH(ROUND(MIN(300,MAX(1,D3379)),0), FactorTable!$A$2:$A$301,0), Skills!M4+1)</f>
        <v/>
      </c>
      <c r="F3379">
        <f>IF(Skills!N4=TRUE,(Skills!L4/10)*(E3379/1000),Skills!L4/10)+Skills!O4</f>
        <v/>
      </c>
      <c r="G3379" t="inlineStr"/>
      <c r="H3379" t="inlineStr"/>
      <c r="I3379" t="inlineStr">
        <is>
          <t>1</t>
        </is>
      </c>
      <c r="J3379" t="inlineStr"/>
      <c r="K3379" t="inlineStr"/>
      <c r="L3379" t="inlineStr"/>
      <c r="M3379" t="inlineStr"/>
      <c r="N3379" t="inlineStr"/>
      <c r="O3379" t="inlineStr"/>
      <c r="P3379" t="inlineStr"/>
      <c r="Q3379" t="inlineStr"/>
      <c r="R3379" t="inlineStr"/>
      <c r="S3379" t="inlineStr"/>
      <c r="T3379" t="inlineStr"/>
      <c r="U3379">
        <f>290*U3378/1000</f>
        <v/>
      </c>
      <c r="V3379" t="inlineStr"/>
    </row>
    <row r="3380">
      <c r="A3380">
        <f>Skills!A5</f>
        <v/>
      </c>
      <c r="B3380">
        <f>Skills!B5</f>
        <v/>
      </c>
      <c r="C3380">
        <f>Inputs!$B$3&gt;=35</f>
        <v/>
      </c>
      <c r="D3380">
        <f>IF(Skills!C5=1,60+Inputs!$B$25+Inputs!$B$29,IF(Skills!C5=2,90+Inputs!$B$26+Inputs!$B$29,IF(Skills!C5=3,120+Inputs!$B$27+Inputs!$B$29,MAX(0,(Inputs!$B$3-100)*3)+Inputs!$B$28+Inputs!$B$29)))</f>
        <v/>
      </c>
      <c r="E3380">
        <f>INDEX(FactorTable!$B$2:$Y$301, MATCH(ROUND(MIN(300,MAX(1,D3380)),0), FactorTable!$A$2:$A$301,0), Skills!M5+1)</f>
        <v/>
      </c>
      <c r="F3380">
        <f>IF(Skills!N5=TRUE,(Skills!L5/10)*(E3380/1000),Skills!L5/10)+Skills!O5</f>
        <v/>
      </c>
      <c r="G3380">
        <f>Skills!G5*IF(Skills!H5&gt;0,Skills!I5/Skills!H5,1)</f>
        <v/>
      </c>
      <c r="H3380">
        <f>1-(1-Skills!J5/100)^Skills!K5</f>
        <v/>
      </c>
      <c r="I3380" t="inlineStr">
        <is>
          <t>1</t>
        </is>
      </c>
      <c r="J3380">
        <f>((Inputs!$B$6*(1+Inputs!$B$7/100))+(((Inputs!$B$12*(1+Inputs!$B$13/100))-(Inputs!$B$12*(1+Inputs!$B$13/100)))+0.25*(Inputs!$B$14-Inputs!$B$14))*(1+Inputs!$B$7/100))*(F3380/100)</f>
        <v/>
      </c>
      <c r="K3380">
        <f>J3380*(1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3386=TRUE,F3386,0)/100)*(1+(IF(Skills!A5="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3380)</f>
        <v/>
      </c>
      <c r="L3380">
        <f>K3380*(MIN(Inputs!$B$22+((C3400=TRUE)*(F3400-Calc!F25)),(Inputs!$B$23+((C3405=TRUE)*(F3405-Calc!F30))+(IF(ArtifactsInput!$M$15,CHOOSE(ArtifactsInput!$N$15+1,25,30,35,40,45,50)/100*(Inputs!$B$11-Inputs!$B$11),0))))/100+(Inputs!$B$23+((C3405=TRUE)*(F3405-Calc!F30))+(IF(ArtifactsInput!$M$15,CHOOSE(ArtifactsInput!$N$15+1,25,30,35,40,45,50)/100*(Inputs!$B$11-Inputs!$B$11),0)))/100)/2</f>
        <v/>
      </c>
      <c r="M3380">
        <f>L3380*(1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0">
        <f>L3380*(1-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3380*(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0">
        <f>(1-Summary!$B$11)*T3380+Summary!$B$11*V3380</f>
        <v/>
      </c>
      <c r="P3380">
        <f>IF(B3419=0,0,O3380/B3419)</f>
        <v/>
      </c>
      <c r="Q3380">
        <f>IFERROR(1/(IF(Inputs!$B$38="pvp",15,MAX(0.1,Skills!D5-IF(Skills!E5=TRUE,4.5,0)))*(1-IF(AND(ArtifactsInput!$M$27,Inputs!$B$4="Chapter Hunt"),CHOOSE(ArtifactsInput!$N$27+1,20,24,28,32,36,40),0)/100)),0)</f>
        <v/>
      </c>
      <c r="R3380">
        <f>IF(AND(Inputs!$B$38&lt;&gt;"pvp",Inputs!$B$43&gt;0),IF(MAX(0,Inputs!$B$43-B3416)&lt;=0,0,(INT(MAX(0,Inputs!$B$43-B3416)/(IF(Inputs!$B$38="pvp",15,MAX(0.1,Skills!D5-IF(Skills!E5=TRUE,4.5,0)))*(1-IF(AND(ArtifactsInput!$M$27,Inputs!$B$4="Chapter Hunt"),CHOOSE(ArtifactsInput!$N$27+1,20,24,28,32,36,40),0)/100)))+1)),0)</f>
        <v/>
      </c>
      <c r="S3380">
        <f>IFERROR(O3380/N3380,0)</f>
        <v/>
      </c>
      <c r="T3380">
        <f>IF(C3380,(H3380*N3380*IF(AND(Inputs!$B$38&lt;&gt;"pvp",Inputs!$B$43&gt;0),((Skills!G5*((R3380-1)*IF(Skills!H5&gt;0,Skills!I5/Skills!H5,1)+IF(Skills!H5&gt;0,MIN(Skills!I5,MAX(0,MAX(0,Inputs!$B$43-B3416)-((R3380-1)*(IF(Inputs!$B$38="pvp",15,MAX(0.1,Skills!D5-IF(Skills!E5=TRUE,4.5,0)))*(1-IF(AND(ArtifactsInput!$M$27,Inputs!$B$4="Chapter Hunt"),CHOOSE(ArtifactsInput!$N$27+1,20,24,28,32,36,40),0)/100)))))/Skills!H5,1)))/Inputs!$B$43),G3380*Q3380)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3380*(1-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3380*(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3380*(1-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3380*(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0">
        <f>IF(C3380,(H3380*N3380*IF(AND(Inputs!$B$38&lt;&gt;"pvp",Inputs!$B$43&gt;0),((Skills!G5*((R3380-1)*IF(Skills!H5&gt;0,Skills!I5/Skills!H5,1)+IF(Skills!H5&gt;0,MIN(Skills!I5,MAX(0,MAX(0,Inputs!$B$43-B3416)-((R3380-1)*(IF(Inputs!$B$38="pvp",15,MAX(0.1,Skills!D5-IF(Skills!E5=TRUE,4.5,0)))*(1-IF(AND(ArtifactsInput!$M$27,Inputs!$B$4="Chapter Hunt"),CHOOSE(ArtifactsInput!$N$27+1,20,24,28,32,36,40),0)/100)))))/Skills!H5,1)))/Inputs!$B$43),G3380*Q3380))*IF(Inputs!$B$38="pvp",1,(1+(Inputs!$B$21+Skills!Q5+(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1">
      <c r="A3381">
        <f>Skills!A6</f>
        <v/>
      </c>
      <c r="B3381">
        <f>Skills!B6</f>
        <v/>
      </c>
      <c r="C3381">
        <f>Inputs!$B$3&gt;=40</f>
        <v/>
      </c>
      <c r="D3381">
        <f>IF(Skills!C6=1,60+Inputs!$B$25+Inputs!$B$29,IF(Skills!C6=2,90+Inputs!$B$26+Inputs!$B$29,IF(Skills!C6=3,120+Inputs!$B$27+Inputs!$B$29,MAX(0,(Inputs!$B$3-100)*3)+Inputs!$B$28+Inputs!$B$29)))</f>
        <v/>
      </c>
      <c r="E3381">
        <f>INDEX(FactorTable!$B$2:$Y$301, MATCH(ROUND(MIN(300,MAX(1,D3381)),0), FactorTable!$A$2:$A$301,0), Skills!M6+1)</f>
        <v/>
      </c>
      <c r="F3381">
        <f>IF(Skills!N6=TRUE,(Skills!L6/10)*(E3381/1000),Skills!L6/10)+Skills!O6</f>
        <v/>
      </c>
      <c r="G3381">
        <f>Skills!G6*IF(Skills!H6&gt;0,Skills!I6/Skills!H6,1)</f>
        <v/>
      </c>
      <c r="H3381">
        <f>1-(1-Skills!J6/100)^Skills!K6</f>
        <v/>
      </c>
      <c r="I3381" t="inlineStr">
        <is>
          <t>1</t>
        </is>
      </c>
      <c r="J3381">
        <f>((Inputs!$B$6*(1+Inputs!$B$7/100))+(((Inputs!$B$12*(1+Inputs!$B$13/100))-(Inputs!$B$12*(1+Inputs!$B$13/100)))+0.25*(Inputs!$B$14-Inputs!$B$14))*(1+Inputs!$B$7/100))*(F3381/100)</f>
        <v/>
      </c>
      <c r="K3381">
        <f>J3381*(1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3382=TRUE,F3382,0)/100)*(1+(IF(Skills!A6="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3381)</f>
        <v/>
      </c>
      <c r="L3381">
        <f>K3381*(MIN(Inputs!$B$22+((C3400=TRUE)*(F3400-Calc!F25)),(Inputs!$B$23+((C3405=TRUE)*(F3405-Calc!F30))+(IF(ArtifactsInput!$M$15,CHOOSE(ArtifactsInput!$N$15+1,25,30,35,40,45,50)/100*(Inputs!$B$11-Inputs!$B$11),0))))/100+(Inputs!$B$23+((C3405=TRUE)*(F3405-Calc!F30))+(IF(ArtifactsInput!$M$15,CHOOSE(ArtifactsInput!$N$15+1,25,30,35,40,45,50)/100*(Inputs!$B$11-Inputs!$B$11),0)))/100)/2</f>
        <v/>
      </c>
      <c r="M3381">
        <f>L3381*(1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1">
        <f>L3381*(1-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1">
        <f>(1-Summary!$B$11)*T3381+Summary!$B$11*V3381</f>
        <v/>
      </c>
      <c r="P3381">
        <f>IF(B3419=0,0,O3381/B3419)</f>
        <v/>
      </c>
      <c r="Q3381">
        <f>IFERROR(1/(IF(Inputs!$B$38="pvp",15,MAX(0.1,Skills!D6-IF(Skills!E6=TRUE,4.5,0)))*(1-IF(AND(ArtifactsInput!$M$27,Inputs!$B$4="Chapter Hunt"),CHOOSE(ArtifactsInput!$N$27+1,20,24,28,32,36,40),0)/100)),0)</f>
        <v/>
      </c>
      <c r="R3381">
        <f>IF(AND(Inputs!$B$38&lt;&gt;"pvp",Inputs!$B$43&gt;0),IF(MAX(0,Inputs!$B$43-B3416)&lt;=0,0,(INT(MAX(0,Inputs!$B$43-B3416)/(IF(Inputs!$B$38="pvp",15,MAX(0.1,Skills!D6-IF(Skills!E6=TRUE,4.5,0)))*(1-IF(AND(ArtifactsInput!$M$27,Inputs!$B$4="Chapter Hunt"),CHOOSE(ArtifactsInput!$N$27+1,20,24,28,32,36,40),0)/100)))+1)),0)</f>
        <v/>
      </c>
      <c r="S3381">
        <f>IFERROR(O3381/N3381,0)</f>
        <v/>
      </c>
      <c r="T3381">
        <f>IF(C3381,(H3381*N3381*IF(AND(Inputs!$B$38&lt;&gt;"pvp",Inputs!$B$43&gt;0),((Skills!G6*((R3381-1)*IF(Skills!H6&gt;0,Skills!I6/Skills!H6,1)+IF(Skills!H6&gt;0,MIN(Skills!I6,MAX(0,MAX(0,Inputs!$B$43-B3416)-((R3381-1)*(IF(Inputs!$B$38="pvp",15,MAX(0.1,Skills!D6-IF(Skills!E6=TRUE,4.5,0)))*(1-IF(AND(ArtifactsInput!$M$27,Inputs!$B$4="Chapter Hunt"),CHOOSE(ArtifactsInput!$N$27+1,20,24,28,32,36,40),0)/100)))))/Skills!H6,1)))/Inputs!$B$43),G3381*Q3381)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3381*(1-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3381*(1-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1">
        <f>IF(C3381,(H3381*N3381*IF(AND(Inputs!$B$38&lt;&gt;"pvp",Inputs!$B$43&gt;0),((Skills!G6*((R3381-1)*IF(Skills!H6&gt;0,Skills!I6/Skills!H6,1)+IF(Skills!H6&gt;0,MIN(Skills!I6,MAX(0,MAX(0,Inputs!$B$43-B3416)-((R3381-1)*(IF(Inputs!$B$38="pvp",15,MAX(0.1,Skills!D6-IF(Skills!E6=TRUE,4.5,0)))*(1-IF(AND(ArtifactsInput!$M$27,Inputs!$B$4="Chapter Hunt"),CHOOSE(ArtifactsInput!$N$27+1,20,24,28,32,36,40),0)/100)))))/Skills!H6,1)))/Inputs!$B$43),G3381*Q3381))*IF(Inputs!$B$38="pvp",1,(1+(Inputs!$B$21+Skills!Q6+(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2">
      <c r="A3382">
        <f>Skills!A7</f>
        <v/>
      </c>
      <c r="B3382">
        <f>Skills!B7</f>
        <v/>
      </c>
      <c r="C3382">
        <f>Inputs!$B$3&gt;=107</f>
        <v/>
      </c>
      <c r="D3382">
        <f>IF(Skills!C7=1,60+Inputs!$B$25+Inputs!$B$29,IF(Skills!C7=2,90+Inputs!$B$26+Inputs!$B$29,IF(Skills!C7=3,120+Inputs!$B$27+Inputs!$B$29,MAX(0,(Inputs!$B$3-100)*3)+Inputs!$B$28+Inputs!$B$29)))</f>
        <v/>
      </c>
      <c r="E3382">
        <f>INDEX(FactorTable!$B$2:$Y$301, MATCH(ROUND(MIN(300,MAX(1,D3382)),0), FactorTable!$A$2:$A$301,0), Skills!M7+1)</f>
        <v/>
      </c>
      <c r="F3382">
        <f>IF(Skills!N7=TRUE,(Skills!L7/10)*(E3382/1000),Skills!L7/10)+Skills!O7</f>
        <v/>
      </c>
      <c r="G3382" t="inlineStr"/>
      <c r="H3382" t="inlineStr"/>
      <c r="I3382" t="inlineStr">
        <is>
          <t>1</t>
        </is>
      </c>
      <c r="J3382" t="inlineStr"/>
      <c r="K3382" t="inlineStr"/>
      <c r="L3382" t="inlineStr"/>
      <c r="M3382" t="inlineStr"/>
      <c r="N3382" t="inlineStr"/>
      <c r="O3382" t="inlineStr"/>
      <c r="P3382" t="inlineStr"/>
      <c r="Q3382" t="inlineStr"/>
      <c r="R3382" t="inlineStr"/>
      <c r="S3382" t="inlineStr"/>
      <c r="T3382" t="inlineStr"/>
      <c r="V3382" t="inlineStr"/>
    </row>
    <row r="3383">
      <c r="A3383">
        <f>Skills!A8</f>
        <v/>
      </c>
      <c r="B3383">
        <f>Skills!B8</f>
        <v/>
      </c>
      <c r="C3383">
        <f>Inputs!$B$3&gt;=69</f>
        <v/>
      </c>
      <c r="D3383">
        <f>IF(Skills!C8=1,60+Inputs!$B$25+Inputs!$B$29,IF(Skills!C8=2,90+Inputs!$B$26+Inputs!$B$29,IF(Skills!C8=3,120+Inputs!$B$27+Inputs!$B$29,MAX(0,(Inputs!$B$3-100)*3)+Inputs!$B$28+Inputs!$B$29)))</f>
        <v/>
      </c>
      <c r="E3383">
        <f>INDEX(FactorTable!$B$2:$Y$301, MATCH(ROUND(MIN(300,MAX(1,D3383)),0), FactorTable!$A$2:$A$301,0), Skills!M8+1)</f>
        <v/>
      </c>
      <c r="F3383">
        <f>IF(Skills!N8=TRUE,(Skills!L8/10)*(E3383/1000),Skills!L8/10)+Skills!O8</f>
        <v/>
      </c>
      <c r="G3383">
        <f>Skills!G8*IF(Skills!H8&gt;0,Skills!I8/Skills!H8,1)</f>
        <v/>
      </c>
      <c r="H3383">
        <f>1-(1-Skills!J8/100)^Skills!K8</f>
        <v/>
      </c>
      <c r="I3383" t="inlineStr">
        <is>
          <t>1</t>
        </is>
      </c>
      <c r="J3383">
        <f>((Inputs!$B$6*(1+Inputs!$B$7/100))+(((Inputs!$B$12*(1+Inputs!$B$13/100))-(Inputs!$B$12*(1+Inputs!$B$13/100)))+0.25*(Inputs!$B$14-Inputs!$B$14))*(1+Inputs!$B$7/100))*(F3383/100)</f>
        <v/>
      </c>
      <c r="K3383">
        <f>J3383*(1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3386=TRUE,F3386,0)/100)*(1+(IF(Skills!A8="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3383)</f>
        <v/>
      </c>
      <c r="L3383">
        <f>K3383*(MIN(Inputs!$B$22+((C3400=TRUE)*(F3400-Calc!F25)),(Inputs!$B$23+((C3405=TRUE)*(F3405-Calc!F30))+(IF(ArtifactsInput!$M$15,CHOOSE(ArtifactsInput!$N$15+1,25,30,35,40,45,50)/100*(Inputs!$B$11-Inputs!$B$11),0))))/100+(Inputs!$B$23+((C3405=TRUE)*(F3405-Calc!F30))+(IF(ArtifactsInput!$M$15,CHOOSE(ArtifactsInput!$N$15+1,25,30,35,40,45,50)/100*(Inputs!$B$11-Inputs!$B$11),0)))/100)/2</f>
        <v/>
      </c>
      <c r="M3383">
        <f>L3383*(1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3">
        <f>L3383*(1-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3383*(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3">
        <f>(1-Summary!$B$11)*T3383+Summary!$B$11*V3383</f>
        <v/>
      </c>
      <c r="P3383">
        <f>IF(B3419=0,0,O3383/B3419)</f>
        <v/>
      </c>
      <c r="Q3383">
        <f>IFERROR(1/(IF(Inputs!$B$38="pvp",15,MAX(0.1,Skills!D8-IF(Skills!E8=TRUE,4.5,0)))*(1-IF(AND(ArtifactsInput!$M$27,Inputs!$B$4="Chapter Hunt"),CHOOSE(ArtifactsInput!$N$27+1,20,24,28,32,36,40),0)/100)),0)</f>
        <v/>
      </c>
      <c r="R3383">
        <f>IF(AND(Inputs!$B$38&lt;&gt;"pvp",Inputs!$B$43&gt;0),IF(MAX(0,Inputs!$B$43-B3416)&lt;=0,0,(INT(MAX(0,Inputs!$B$43-B3416)/(IF(Inputs!$B$38="pvp",15,MAX(0.1,Skills!D8-IF(Skills!E8=TRUE,4.5,0)))*(1-IF(AND(ArtifactsInput!$M$27,Inputs!$B$4="Chapter Hunt"),CHOOSE(ArtifactsInput!$N$27+1,20,24,28,32,36,40),0)/100)))+1)),0)</f>
        <v/>
      </c>
      <c r="S3383">
        <f>IFERROR(O3383/N3383,0)</f>
        <v/>
      </c>
      <c r="T3383">
        <f>IF(C3383,(H3383*N3383*IF(AND(Inputs!$B$38&lt;&gt;"pvp",Inputs!$B$43&gt;0),((Skills!G8*((R3383-1)*IF(Skills!H8&gt;0,Skills!I8/Skills!H8,1)+IF(Skills!H8&gt;0,MIN(Skills!I8,MAX(0,MAX(0,Inputs!$B$43-B3416)-((R3383-1)*(IF(Inputs!$B$38="pvp",15,MAX(0.1,Skills!D8-IF(Skills!E8=TRUE,4.5,0)))*(1-IF(AND(ArtifactsInput!$M$27,Inputs!$B$4="Chapter Hunt"),CHOOSE(ArtifactsInput!$N$27+1,20,24,28,32,36,40),0)/100)))))/Skills!H8,1)))/Inputs!$B$43),G3383*Q3383)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3383*(1-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3383*(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3383*(1-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3383*(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3">
        <f>IF(C3383,(H3383*N3383*IF(AND(Inputs!$B$38&lt;&gt;"pvp",Inputs!$B$43&gt;0),((Skills!G8*((R3383-1)*IF(Skills!H8&gt;0,Skills!I8/Skills!H8,1)+IF(Skills!H8&gt;0,MIN(Skills!I8,MAX(0,MAX(0,Inputs!$B$43-B3416)-((R3383-1)*(IF(Inputs!$B$38="pvp",15,MAX(0.1,Skills!D8-IF(Skills!E8=TRUE,4.5,0)))*(1-IF(AND(ArtifactsInput!$M$27,Inputs!$B$4="Chapter Hunt"),CHOOSE(ArtifactsInput!$N$27+1,20,24,28,32,36,40),0)/100)))))/Skills!H8,1)))/Inputs!$B$43),G3383*Q3383))*IF(Inputs!$B$38="pvp",1,(1+(Inputs!$B$21+Skills!Q8+(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4">
      <c r="A3384">
        <f>Skills!A9</f>
        <v/>
      </c>
      <c r="B3384">
        <f>Skills!B9</f>
        <v/>
      </c>
      <c r="C3384">
        <f>Inputs!$B$3&gt;=63</f>
        <v/>
      </c>
      <c r="D3384">
        <f>IF(Skills!C9=1,60+Inputs!$B$25+Inputs!$B$29,IF(Skills!C9=2,90+Inputs!$B$26+Inputs!$B$29,IF(Skills!C9=3,120+Inputs!$B$27+Inputs!$B$29,MAX(0,(Inputs!$B$3-100)*3)+Inputs!$B$28+Inputs!$B$29)))</f>
        <v/>
      </c>
      <c r="E3384">
        <f>INDEX(FactorTable!$B$2:$Y$301, MATCH(ROUND(MIN(300,MAX(1,D3384)),0), FactorTable!$A$2:$A$301,0), Skills!M9+1)</f>
        <v/>
      </c>
      <c r="F3384">
        <f>IF(Skills!N9=TRUE,(Skills!L9/10)*(E3384/1000),Skills!L9/10)+Skills!O9</f>
        <v/>
      </c>
      <c r="G3384">
        <f>Skills!G9*IF(Skills!H9&gt;0,Skills!I9/Skills!H9,1)</f>
        <v/>
      </c>
      <c r="H3384">
        <f>1-(1-Skills!J9/100)^Skills!K9</f>
        <v/>
      </c>
      <c r="I3384" t="inlineStr">
        <is>
          <t>1</t>
        </is>
      </c>
      <c r="J3384">
        <f>((Inputs!$B$6*(1+Inputs!$B$7/100))+(((Inputs!$B$12*(1+Inputs!$B$13/100))-(Inputs!$B$12*(1+Inputs!$B$13/100)))+0.25*(Inputs!$B$14-Inputs!$B$14))*(1+Inputs!$B$7/100))*(F3384/100)</f>
        <v/>
      </c>
      <c r="K3384">
        <f>J3384*(1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3386=TRUE,F3386,0)/100)*(1+(IF(Skills!A9="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3384)</f>
        <v/>
      </c>
      <c r="L3384">
        <f>K3384*(MIN(Inputs!$B$22+((C3400=TRUE)*(F3400-Calc!F25)),(Inputs!$B$23+((C3405=TRUE)*(F3405-Calc!F30))+(IF(ArtifactsInput!$M$15,CHOOSE(ArtifactsInput!$N$15+1,25,30,35,40,45,50)/100*(Inputs!$B$11-Inputs!$B$11),0))))/100+(Inputs!$B$23+((C3405=TRUE)*(F3405-Calc!F30))+(IF(ArtifactsInput!$M$15,CHOOSE(ArtifactsInput!$N$15+1,25,30,35,40,45,50)/100*(Inputs!$B$11-Inputs!$B$11),0)))/100)/2</f>
        <v/>
      </c>
      <c r="M3384">
        <f>L3384*(1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4">
        <f>L3384*(1-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3384*(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4">
        <f>(1-Summary!$B$11)*T3384+Summary!$B$11*V3384</f>
        <v/>
      </c>
      <c r="P3384">
        <f>IF(B3419=0,0,O3384/B3419)</f>
        <v/>
      </c>
      <c r="Q3384">
        <f>IFERROR(1/(IF(Inputs!$B$38="pvp",15,MAX(0.1,Skills!D9-IF(Skills!E9=TRUE,4.5,0)))*(1-IF(AND(ArtifactsInput!$M$27,Inputs!$B$4="Chapter Hunt"),CHOOSE(ArtifactsInput!$N$27+1,20,24,28,32,36,40),0)/100)),0)</f>
        <v/>
      </c>
      <c r="R3384">
        <f>IF(AND(Inputs!$B$38&lt;&gt;"pvp",Inputs!$B$43&gt;0),IF(MAX(0,Inputs!$B$43-B3416)&lt;=0,0,(INT(MAX(0,Inputs!$B$43-B3416)/(IF(Inputs!$B$38="pvp",15,MAX(0.1,Skills!D9-IF(Skills!E9=TRUE,4.5,0)))*(1-IF(AND(ArtifactsInput!$M$27,Inputs!$B$4="Chapter Hunt"),CHOOSE(ArtifactsInput!$N$27+1,20,24,28,32,36,40),0)/100)))+1)),0)</f>
        <v/>
      </c>
      <c r="S3384">
        <f>IFERROR(O3384/N3384,0)</f>
        <v/>
      </c>
      <c r="T3384">
        <f>IF(C3384,(H3384*N3384*IF(AND(Inputs!$B$38&lt;&gt;"pvp",Inputs!$B$43&gt;0),((Skills!G9*((R3384-1)*IF(Skills!H9&gt;0,Skills!I9/Skills!H9,1)+IF(Skills!H9&gt;0,MIN(Skills!I9,MAX(0,MAX(0,Inputs!$B$43-B3416)-((R3384-1)*(IF(Inputs!$B$38="pvp",15,MAX(0.1,Skills!D9-IF(Skills!E9=TRUE,4.5,0)))*(1-IF(AND(ArtifactsInput!$M$27,Inputs!$B$4="Chapter Hunt"),CHOOSE(ArtifactsInput!$N$27+1,20,24,28,32,36,40),0)/100)))))/Skills!H9,1)))/Inputs!$B$43),G3384*Q3384)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3384*(1-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3384*(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3384*(1-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3384*(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4">
        <f>IF(C3384,(H3384*N3384*IF(AND(Inputs!$B$38&lt;&gt;"pvp",Inputs!$B$43&gt;0),((Skills!G9*((R3384-1)*IF(Skills!H9&gt;0,Skills!I9/Skills!H9,1)+IF(Skills!H9&gt;0,MIN(Skills!I9,MAX(0,MAX(0,Inputs!$B$43-B3416)-((R3384-1)*(IF(Inputs!$B$38="pvp",15,MAX(0.1,Skills!D9-IF(Skills!E9=TRUE,4.5,0)))*(1-IF(AND(ArtifactsInput!$M$27,Inputs!$B$4="Chapter Hunt"),CHOOSE(ArtifactsInput!$N$27+1,20,24,28,32,36,40),0)/100)))))/Skills!H9,1)))/Inputs!$B$43),G3384*Q3384))*IF(Inputs!$B$38="pvp",1,(1+(Inputs!$B$21+Skills!Q9+(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5">
      <c r="A3385">
        <f>Skills!A10</f>
        <v/>
      </c>
      <c r="B3385">
        <f>Skills!B10</f>
        <v/>
      </c>
      <c r="C3385">
        <f>Inputs!$B$3&gt;=103</f>
        <v/>
      </c>
      <c r="D3385">
        <f>IF(Skills!C10=1,60+Inputs!$B$25+Inputs!$B$29,IF(Skills!C10=2,90+Inputs!$B$26+Inputs!$B$29,IF(Skills!C10=3,120+Inputs!$B$27+Inputs!$B$29,MAX(0,(Inputs!$B$3-100)*3)+Inputs!$B$28+Inputs!$B$29)))</f>
        <v/>
      </c>
      <c r="E3385">
        <f>INDEX(FactorTable!$B$2:$Y$301, MATCH(ROUND(MIN(300,MAX(1,D3385)),0), FactorTable!$A$2:$A$301,0), Skills!M10+1)</f>
        <v/>
      </c>
      <c r="F3385">
        <f>IF(Skills!N10=TRUE,(Skills!L10/10)*(E3385/1000),Skills!L10/10)+Skills!O10</f>
        <v/>
      </c>
      <c r="G3385">
        <f>Skills!G10*IF(Skills!H10&gt;0,Skills!I10/Skills!H10,1)</f>
        <v/>
      </c>
      <c r="H3385">
        <f>1-(1-Skills!J10/100)^Skills!K10</f>
        <v/>
      </c>
      <c r="I3385" t="inlineStr">
        <is>
          <t>1</t>
        </is>
      </c>
      <c r="J3385">
        <f>((Inputs!$B$6*(1+Inputs!$B$7/100))+(((Inputs!$B$12*(1+Inputs!$B$13/100))-(Inputs!$B$12*(1+Inputs!$B$13/100)))+0.25*(Inputs!$B$14-Inputs!$B$14))*(1+Inputs!$B$7/100))*(F3385/100)</f>
        <v/>
      </c>
      <c r="K3385">
        <f>J3385*(1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3385)</f>
        <v/>
      </c>
      <c r="L3385">
        <f>K3385*(MIN(Inputs!$B$22+((C3400=TRUE)*(F3400-Calc!F25)),(Inputs!$B$23+((C3405=TRUE)*(F3405-Calc!F30))+(IF(ArtifactsInput!$M$15,CHOOSE(ArtifactsInput!$N$15+1,25,30,35,40,45,50)/100*(Inputs!$B$11-Inputs!$B$11),0))))/100+(Inputs!$B$23+((C3405=TRUE)*(F3405-Calc!F30))+(IF(ArtifactsInput!$M$15,CHOOSE(ArtifactsInput!$N$15+1,25,30,35,40,45,50)/100*(Inputs!$B$11-Inputs!$B$11),0)))/100)/2</f>
        <v/>
      </c>
      <c r="M3385">
        <f>L3385*(1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5">
        <f>L3385*(1-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3385*(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5">
        <f>(1-Summary!$B$11)*T3385+Summary!$B$11*V3385</f>
        <v/>
      </c>
      <c r="P3385">
        <f>IF(B3419=0,0,O3385/B3419)</f>
        <v/>
      </c>
      <c r="Q3385">
        <f>IFERROR(1/(IF(Inputs!$B$38="pvp",15,MAX(0.1,Skills!D10-IF(Skills!E10=TRUE,4.5,0)))*(1-IF(AND(ArtifactsInput!$M$27,Inputs!$B$4="Chapter Hunt"),CHOOSE(ArtifactsInput!$N$27+1,20,24,28,32,36,40),0)/100)),0)</f>
        <v/>
      </c>
      <c r="R3385">
        <f>IF(AND(Inputs!$B$38&lt;&gt;"pvp",Inputs!$B$43&gt;0),IF(MAX(0,Inputs!$B$43-B3416)&lt;=0,0,(INT(MAX(0,Inputs!$B$43-B3416)/(IF(Inputs!$B$38="pvp",15,MAX(0.1,Skills!D10-IF(Skills!E10=TRUE,4.5,0)))*(1-IF(AND(ArtifactsInput!$M$27,Inputs!$B$4="Chapter Hunt"),CHOOSE(ArtifactsInput!$N$27+1,20,24,28,32,36,40),0)/100)))+1)),0)</f>
        <v/>
      </c>
      <c r="S3385">
        <f>IFERROR(O3385/N3385,0)</f>
        <v/>
      </c>
      <c r="T3385">
        <f>IF(C3385,(H3385*N3385*IF(AND(Inputs!$B$38&lt;&gt;"pvp",Inputs!$B$43&gt;0),((Skills!G10*((R3385-1)*IF(Skills!H10&gt;0,Skills!I10/Skills!H10,1)+IF(Skills!H10&gt;0,MIN(Skills!I10,MAX(0,MAX(0,Inputs!$B$43-B3416)-((R3385-1)*(IF(Inputs!$B$38="pvp",15,MAX(0.1,Skills!D10-IF(Skills!E10=TRUE,4.5,0)))*(1-IF(AND(ArtifactsInput!$M$27,Inputs!$B$4="Chapter Hunt"),CHOOSE(ArtifactsInput!$N$27+1,20,24,28,32,36,40),0)/100)))))/Skills!H10,1)))/Inputs!$B$43),G3385*Q3385)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3385*(1-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3385*(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3385*(1-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3385*(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5">
        <f>IF(C3385,(H3385*N3385*IF(AND(Inputs!$B$38&lt;&gt;"pvp",Inputs!$B$43&gt;0),((Skills!G10*((R3385-1)*IF(Skills!H10&gt;0,Skills!I10/Skills!H10,1)+IF(Skills!H10&gt;0,MIN(Skills!I10,MAX(0,MAX(0,Inputs!$B$43-B3416)-((R3385-1)*(IF(Inputs!$B$38="pvp",15,MAX(0.1,Skills!D10-IF(Skills!E10=TRUE,4.5,0)))*(1-IF(AND(ArtifactsInput!$M$27,Inputs!$B$4="Chapter Hunt"),CHOOSE(ArtifactsInput!$N$27+1,20,24,28,32,36,40),0)/100)))))/Skills!H10,1)))/Inputs!$B$43),G3385*Q3385))*IF(Inputs!$B$38="pvp",1,(1+(Inputs!$B$21+Skills!Q10+(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6">
      <c r="A3386">
        <f>Skills!A11</f>
        <v/>
      </c>
      <c r="B3386">
        <f>Skills!B11</f>
        <v/>
      </c>
      <c r="C3386">
        <f>Inputs!$B$3&gt;=100</f>
        <v/>
      </c>
      <c r="D3386">
        <f>IF(Skills!C11=1,60+Inputs!$B$25+Inputs!$B$29,IF(Skills!C11=2,90+Inputs!$B$26+Inputs!$B$29,IF(Skills!C11=3,120+Inputs!$B$27+Inputs!$B$29,MAX(0,(Inputs!$B$3-100)*3)+Inputs!$B$28+Inputs!$B$29)))</f>
        <v/>
      </c>
      <c r="E3386">
        <f>INDEX(FactorTable!$B$2:$Y$301, MATCH(ROUND(MIN(300,MAX(1,D3386)),0), FactorTable!$A$2:$A$301,0), Skills!M11+1)</f>
        <v/>
      </c>
      <c r="F3386">
        <f>IF(Skills!N11=TRUE,(Skills!L11/10)*(E3386/1000),Skills!L11/10)+Skills!O11</f>
        <v/>
      </c>
      <c r="G3386" t="inlineStr"/>
      <c r="H3386" t="inlineStr"/>
      <c r="I3386" t="inlineStr">
        <is>
          <t>1</t>
        </is>
      </c>
      <c r="J3386" t="inlineStr"/>
      <c r="K3386" t="inlineStr"/>
      <c r="L3386" t="inlineStr"/>
      <c r="M3386" t="inlineStr"/>
      <c r="N3386" t="inlineStr"/>
      <c r="O3386" t="inlineStr"/>
      <c r="P3386" t="inlineStr"/>
      <c r="Q3386" t="inlineStr"/>
      <c r="R3386" t="inlineStr"/>
      <c r="S3386" t="inlineStr"/>
      <c r="T3386" t="inlineStr"/>
      <c r="V3386" t="inlineStr"/>
    </row>
    <row r="3387">
      <c r="A3387">
        <f>Skills!A12</f>
        <v/>
      </c>
      <c r="B3387">
        <f>Skills!B12</f>
        <v/>
      </c>
      <c r="C3387">
        <f>Inputs!$B$3&gt;=60</f>
        <v/>
      </c>
      <c r="D3387">
        <f>IF(Skills!C12=1,60+Inputs!$B$25+Inputs!$B$29,IF(Skills!C12=2,90+Inputs!$B$26+Inputs!$B$29,IF(Skills!C12=3,120+Inputs!$B$27+Inputs!$B$29,MAX(0,(Inputs!$B$3-100)*3)+Inputs!$B$28+Inputs!$B$29)))</f>
        <v/>
      </c>
      <c r="E3387">
        <f>INDEX(FactorTable!$B$2:$Y$301, MATCH(ROUND(MIN(300,MAX(1,D3387)),0), FactorTable!$A$2:$A$301,0), Skills!M12+1)</f>
        <v/>
      </c>
      <c r="F3387">
        <f>IF(Skills!N12=TRUE,(Skills!L12/10)*(E3387/1000),Skills!L12/10)+Skills!O12</f>
        <v/>
      </c>
      <c r="G3387">
        <f>Skills!G12*IF(Skills!H12&gt;0,Skills!I12/Skills!H12,1)</f>
        <v/>
      </c>
      <c r="H3387">
        <f>1-(1-Skills!J12/100)^Skills!K12</f>
        <v/>
      </c>
      <c r="I3387" t="inlineStr">
        <is>
          <t>1</t>
        </is>
      </c>
      <c r="J3387">
        <f>((Inputs!$B$6*(1+Inputs!$B$7/100))+(((Inputs!$B$12*(1+Inputs!$B$13/100))-(Inputs!$B$12*(1+Inputs!$B$13/100)))+0.25*(Inputs!$B$14-Inputs!$B$14))*(1+Inputs!$B$7/100))*(F3387/100)</f>
        <v/>
      </c>
      <c r="K3387">
        <f>J3387*(1+((Inputs!$B$12*(1+Inputs!$B$13/100))*0.01+Inputs!$B$14*0.0025)/100)*(1+Inputs!$B$15/100)*(1+Inputs!$B$16/100)*(5000/(6000+Inputs!$B$42*(1-(100*(1-(1-(Inputs!$B$19+((C3403=TRUE)*(F3403-Calc!F28)))/100)*(1-CHOOSE(ArtifactsInput!$N$40+1,5,6,7,8,9,10)/100)^(ArtifactsInput!$M$40-ArtifactsInput!$M$40)))/100)))*(1+(Inputs!$B$24+((C3401=TRUE)*(F3401-Calc!F26))+((C3402=TRUE)*(F3402-Calc!F27))+B3415)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3388=TRUE,F3388,0)/100)*(1+(IF(Skills!A12="ARROW_STREAM",Inputs!$B$17+((C3399=TRUE)*(F3399-Calc!F24))+(((IF(AND(ArtifactsInput!$M$42,((Inputs!$B$9+((C3396=TRUE)*(F3396-Calc!F21))+B3409+(ArtifactsInput!$M$24-ArtifactsInput!$M$24)*CHOOSE(ArtifactsInput!$N$24+1,10,12,14,16,18,20)+IF(ArtifactsInput!$M$10,CHOOSE(ArtifactsInput!$N$10+1,15,18,21,24,27,30)*(IF(Inputs!$B$38="pvp",MIN(15,15)/15,IF(AND(Inputs!$B$38&lt;&gt;"pvp",Inputs!$B$43&gt;0),MIN(15,Inputs!$B$43)/(Inputs!$B$43),0))),0)))&gt;=100),MIN(100,((Inputs!$B$9+((C3396=TRUE)*(F3396-Calc!F21))+B3409+(ArtifactsInput!$M$24-ArtifactsInput!$M$24)*CHOOSE(ArtifactsInput!$N$24+1,10,12,14,16,18,20)+IF(ArtifactsInput!$M$10,CHOOSE(ArtifactsInput!$N$10+1,15,18,21,24,27,30)*(IF(Inputs!$B$38="pvp",MIN(15,15)/15,IF(AND(Inputs!$B$38&lt;&gt;"pvp",Inputs!$B$43&gt;0),MIN(15,Inputs!$B$43)/(Inputs!$B$43),0))),0)))-100),0))*CHOOSE(ArtifactsInput!$N$42+1,0.6,0.72,0.84,0.96,1.08,1.2))),Inputs!$B$18+((C3404=TRUE)*(F3404-Calc!F29))+(IF(AND(ArtifactsInput!$M$42,((Inputs!$B$9+((C3396=TRUE)*(F3396-Calc!F21))+B3409+(ArtifactsInput!$M$24-ArtifactsInput!$M$24)*CHOOSE(ArtifactsInput!$N$24+1,10,12,14,16,18,20)+IF(ArtifactsInput!$M$10,CHOOSE(ArtifactsInput!$N$10+1,15,18,21,24,27,30)*(IF(Inputs!$B$38="pvp",MIN(15,15)/15,IF(AND(Inputs!$B$38&lt;&gt;"pvp",Inputs!$B$43&gt;0),MIN(15,Inputs!$B$43)/(Inputs!$B$43),0))),0)))&gt;=100),CHOOSE(ArtifactsInput!$N$42+1,40,48,56,64,72,80),0))))/100)*((1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3387)</f>
        <v/>
      </c>
      <c r="L3387">
        <f>K3387*(MIN(Inputs!$B$22+((C3400=TRUE)*(F3400-Calc!F25)),(Inputs!$B$23+((C3405=TRUE)*(F3405-Calc!F30))+(IF(ArtifactsInput!$M$15,CHOOSE(ArtifactsInput!$N$15+1,25,30,35,40,45,50)/100*(Inputs!$B$11-Inputs!$B$11),0))))/100+(Inputs!$B$23+((C3405=TRUE)*(F3405-Calc!F30))+(IF(ArtifactsInput!$M$15,CHOOSE(ArtifactsInput!$N$15+1,25,30,35,40,45,50)/100*(Inputs!$B$11-Inputs!$B$11),0)))/100)/2</f>
        <v/>
      </c>
      <c r="M3387">
        <f>L3387*(1+(Inputs!$B$10+0+B3414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7">
        <f>L3387*(1-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3387*(MIN((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7">
        <f>(1-Summary!$B$11)*T3387+Summary!$B$11*V3387</f>
        <v/>
      </c>
      <c r="P3387">
        <f>IF(B3419=0,0,O3387/B3419)</f>
        <v/>
      </c>
      <c r="Q3387">
        <f>IFERROR(1/(IF(Inputs!$B$38="pvp",15,MAX(0.1,Skills!D12-IF(Skills!E12=TRUE,4.5,0)))*(1-IF(AND(ArtifactsInput!$M$27,Inputs!$B$4="Chapter Hunt"),CHOOSE(ArtifactsInput!$N$27+1,20,24,28,32,36,40),0)/100)),0)</f>
        <v/>
      </c>
      <c r="R3387">
        <f>IF(AND(Inputs!$B$38&lt;&gt;"pvp",Inputs!$B$43&gt;0),IF(MAX(0,Inputs!$B$43-B3416)&lt;=0,0,(INT(MAX(0,Inputs!$B$43-B3416)/(IF(Inputs!$B$38="pvp",15,MAX(0.1,Skills!D12-IF(Skills!E12=TRUE,4.5,0)))*(1-IF(AND(ArtifactsInput!$M$27,Inputs!$B$4="Chapter Hunt"),CHOOSE(ArtifactsInput!$N$27+1,20,24,28,32,36,40),0)/100)))+1)),0)</f>
        <v/>
      </c>
      <c r="S3387">
        <f>IFERROR(O3387/N3387,0)</f>
        <v/>
      </c>
      <c r="T3387">
        <f>IF(C3387,(H3387*N3387*IF(AND(Inputs!$B$38&lt;&gt;"pvp",Inputs!$B$43&gt;0),((Skills!G12*((R3387-1)*IF(Skills!H12&gt;0,Skills!I12/Skills!H12,1)+IF(Skills!H12&gt;0,MIN(Skills!I12,MAX(0,MAX(0,Inputs!$B$43-B3416)-((R3387-1)*(IF(Inputs!$B$38="pvp",15,MAX(0.1,Skills!D12-IF(Skills!E12=TRUE,4.5,0)))*(1-IF(AND(ArtifactsInput!$M$27,Inputs!$B$4="Chapter Hunt"),CHOOSE(ArtifactsInput!$N$27+1,20,24,28,32,36,40),0)/100)))))/Skills!H12,1)))/Inputs!$B$43),G3387*Q3387)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(5000/(6000+Inputs!$B$42*(1-(100*(1-(1-(100*(1-(1-(Inputs!$B$19+((C3403=TRUE)*(F3403-Calc!F28)))/100)*(1-CHOOSE(ArtifactsInput!$N$40+1,5,6,7,8,9,10)/100)^(ArtifactsInput!$M$40-ArtifactsInput!$M$40)))/100)*(1-IF(ArtifactsInput!$M$40,CHOOSE(ArtifactsInput!$N$40+1,5,6,7,8,9,10),0)/100)^IF(Inputs!$B$38="pvp",1,2)))/100)))/(5000/(6000+Inputs!$B$42*(1-(100*(1-(1-(Inputs!$B$19+((C3403=TRUE)*(F3403-Calc!F28)))/100)*(1-CHOOSE(ArtifactsInput!$N$40+1,5,6,7,8,9,10)/100)^(ArtifactsInput!$M$40-ArtifactsInput!$M$40)))/100))))*((L3387*(1-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3387*(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3387*(1-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3387*(MIN(100,(Inputs!$B$9+((C3396=TRUE)*(F3396-Calc!F21))+B3409+(ArtifactsInput!$M$24-ArtifactsInput!$M$24)*CHOOSE(ArtifactsInput!$N$24+1,10,12,14,16,18,20)+(IF(AND(ArtifactsInput!$M$42,((Inputs!$B$9+((C3396=TRUE)*(F3396-Calc!F21))+B3409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87">
        <f>IF(C3387,(H3387*N3387*IF(AND(Inputs!$B$38&lt;&gt;"pvp",Inputs!$B$43&gt;0),((Skills!G12*((R3387-1)*IF(Skills!H12&gt;0,Skills!I12/Skills!H12,1)+IF(Skills!H12&gt;0,MIN(Skills!I12,MAX(0,MAX(0,Inputs!$B$43-B3416)-((R3387-1)*(IF(Inputs!$B$38="pvp",15,MAX(0.1,Skills!D12-IF(Skills!E12=TRUE,4.5,0)))*(1-IF(AND(ArtifactsInput!$M$27,Inputs!$B$4="Chapter Hunt"),CHOOSE(ArtifactsInput!$N$27+1,20,24,28,32,36,40),0)/100)))))/Skills!H12,1)))/Inputs!$B$43),G3387*Q3387))*IF(Inputs!$B$38="pvp",1,(1+(Inputs!$B$21+Skills!Q12+(IF(ArtifactsInput!$M$33,CHOOSE(ArtifactsInput!$N$33+1,30,36,42,48,54,60),0))+(IF(AND(ArtifactsInput!$M$35,Inputs!$B$4&lt;&gt;"Chapter Hunt"),CHOOSE(ArtifactsInput!$N$35+1,15,18,21,24,27,30)*(1-EXP(-(0.2*B3411)*5)),0)+IF(AND(ArtifactsInput!$M$22,Inputs!$B$4&lt;&gt;"Chapter Hunt"),CHOOSE(ArtifactsInput!$N$22+1,10,12,14,16,18,20)*((0*(((0.15*B3411*5))^0/1)+1*(((0.15*B3411*5))^1/1)+2*(((0.15*B3411*5))^2/2)+3*(((0.15*B3411*5))^3/6)+4*(((0.15*B3411*5))^4/24)+5*(((0.15*B3411*5))^5/120))/((((0.15*B3411*5))^0/1)+(((0.15*B3411*5))^1/1)+(((0.15*B3411*5))^2/2)+(((0.15*B3411*5))^3/6)+(((0.15*B3411*5))^4/24)+(((0.15*B3411*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88">
      <c r="A3388">
        <f>Skills!A13</f>
        <v/>
      </c>
      <c r="B3388">
        <f>Skills!B13</f>
        <v/>
      </c>
      <c r="C3388">
        <f>Inputs!$B$3&gt;=110</f>
        <v/>
      </c>
      <c r="D3388">
        <f>IF(Skills!C13=1,60+Inputs!$B$25+Inputs!$B$29,IF(Skills!C13=2,90+Inputs!$B$26+Inputs!$B$29,IF(Skills!C13=3,120+Inputs!$B$27+Inputs!$B$29,MAX(0,(Inputs!$B$3-100)*3)+Inputs!$B$28+Inputs!$B$29)))</f>
        <v/>
      </c>
      <c r="E3388">
        <f>INDEX(FactorTable!$B$2:$Y$301, MATCH(ROUND(MIN(300,MAX(1,D3388)),0), FactorTable!$A$2:$A$301,0), Skills!M13+1)</f>
        <v/>
      </c>
      <c r="F3388">
        <f>IF(Skills!N13=TRUE,(Skills!L13/10)*(E3388/1000),Skills!L13/10)+Skills!O13</f>
        <v/>
      </c>
      <c r="G3388" t="inlineStr"/>
      <c r="H3388" t="inlineStr"/>
      <c r="I3388" t="inlineStr">
        <is>
          <t>1</t>
        </is>
      </c>
      <c r="J3388" t="inlineStr"/>
      <c r="K3388" t="inlineStr"/>
      <c r="L3388" t="inlineStr"/>
      <c r="M3388" t="inlineStr"/>
      <c r="N3388" t="inlineStr"/>
      <c r="O3388" t="inlineStr"/>
      <c r="P3388" t="inlineStr"/>
      <c r="Q3388" t="inlineStr"/>
      <c r="R3388" t="inlineStr"/>
      <c r="S3388" t="inlineStr"/>
      <c r="T3388" t="inlineStr"/>
      <c r="V3388" t="inlineStr"/>
    </row>
    <row r="3389">
      <c r="A3389">
        <f>Skills!A14</f>
        <v/>
      </c>
      <c r="B3389">
        <f>Skills!B14</f>
        <v/>
      </c>
      <c r="C3389">
        <f>Inputs!$B$3&gt;=74</f>
        <v/>
      </c>
      <c r="D3389">
        <f>IF(Skills!C14=1,60+Inputs!$B$25+Inputs!$B$29,IF(Skills!C14=2,90+Inputs!$B$26+Inputs!$B$29,IF(Skills!C14=3,120+Inputs!$B$27+Inputs!$B$29,MAX(0,(Inputs!$B$3-100)*3)+Inputs!$B$28+Inputs!$B$29)))</f>
        <v/>
      </c>
      <c r="E3389">
        <f>INDEX(FactorTable!$B$2:$Y$301, MATCH(ROUND(MIN(300,MAX(1,D3389)),0), FactorTable!$A$2:$A$301,0), Skills!M14+1)</f>
        <v/>
      </c>
      <c r="F3389">
        <f>IF(Skills!N14=TRUE,(Skills!L14/10)*(E3389/1000),Skills!L14/10)+Skills!O14</f>
        <v/>
      </c>
      <c r="G3389">
        <f>Skills!G14*IF(Skills!H14&gt;0,Skills!I14/Skills!H14,1)</f>
        <v/>
      </c>
      <c r="H3389">
        <f>1-(1-Skills!J14/100)^Skills!K14</f>
        <v/>
      </c>
      <c r="I3389" t="inlineStr">
        <is>
          <t>1</t>
        </is>
      </c>
      <c r="J3389" t="inlineStr"/>
      <c r="K3389" t="inlineStr"/>
      <c r="L3389" t="inlineStr"/>
      <c r="M3389" t="inlineStr"/>
      <c r="N3389" t="inlineStr"/>
      <c r="O3389">
        <f>(1-Summary!$B$11)*T3389+Summary!$B$11*V3389</f>
        <v/>
      </c>
      <c r="P3389">
        <f>IF(B3419=0,0,O3389/B3419)</f>
        <v/>
      </c>
      <c r="Q3389" t="n">
        <v>0</v>
      </c>
      <c r="R3389" t="n">
        <v>0</v>
      </c>
      <c r="S3389">
        <f>IFERROR(O3389/N3389,0)</f>
        <v/>
      </c>
      <c r="T3389" t="n">
        <v>0</v>
      </c>
      <c r="V3389" t="n">
        <v>0</v>
      </c>
    </row>
    <row r="3390">
      <c r="A3390">
        <f>Skills!A15</f>
        <v/>
      </c>
      <c r="B3390">
        <f>Skills!B15</f>
        <v/>
      </c>
      <c r="C3390">
        <f>Inputs!$B$3&gt;=74</f>
        <v/>
      </c>
      <c r="D3390">
        <f>IF(Skills!C15=1,60+Inputs!$B$25+Inputs!$B$29,IF(Skills!C15=2,90+Inputs!$B$26+Inputs!$B$29,IF(Skills!C15=3,120+Inputs!$B$27+Inputs!$B$29,MAX(0,(Inputs!$B$3-100)*3)+Inputs!$B$28+Inputs!$B$29)))</f>
        <v/>
      </c>
      <c r="E3390">
        <f>INDEX(FactorTable!$B$2:$Y$301, MATCH(ROUND(MIN(300,MAX(1,D3390)),0), FactorTable!$A$2:$A$301,0), Skills!M15+1)</f>
        <v/>
      </c>
      <c r="F3390">
        <f>IF(Skills!N15=TRUE,(Skills!L15/10)*(E3390/1000),Skills!L15/10)+Skills!O15</f>
        <v/>
      </c>
      <c r="G3390">
        <f>Skills!G15*IF(Skills!H15&gt;0,Skills!I15/Skills!H15,1)</f>
        <v/>
      </c>
      <c r="H3390">
        <f>1-(1-Skills!J15/100)^Skills!K15</f>
        <v/>
      </c>
      <c r="I3390" t="inlineStr">
        <is>
          <t>1</t>
        </is>
      </c>
      <c r="J3390" t="inlineStr"/>
      <c r="K3390" t="inlineStr"/>
      <c r="L3390" t="inlineStr"/>
      <c r="M3390" t="inlineStr"/>
      <c r="N3390" t="inlineStr"/>
      <c r="O3390">
        <f>(1-Summary!$B$11)*T3390+Summary!$B$11*V3390</f>
        <v/>
      </c>
      <c r="P3390">
        <f>IF(B3419=0,0,O3390/B3419)</f>
        <v/>
      </c>
      <c r="Q3390" t="n">
        <v>0</v>
      </c>
      <c r="R3390" t="n">
        <v>0</v>
      </c>
      <c r="S3390">
        <f>IFERROR(O3390/N3390,0)</f>
        <v/>
      </c>
      <c r="T3390" t="n">
        <v>0</v>
      </c>
      <c r="V3390" t="n">
        <v>0</v>
      </c>
    </row>
    <row r="3391">
      <c r="A3391">
        <f>Skills!A16</f>
        <v/>
      </c>
      <c r="B3391">
        <f>Skills!B16</f>
        <v/>
      </c>
      <c r="C3391">
        <f>Inputs!$B$3&gt;=117</f>
        <v/>
      </c>
      <c r="D3391">
        <f>IF(Skills!C16=1,60+Inputs!$B$25+Inputs!$B$29,IF(Skills!C16=2,90+Inputs!$B$26+Inputs!$B$29,IF(Skills!C16=3,120+Inputs!$B$27+Inputs!$B$29,MAX(0,(Inputs!$B$3-100)*3)+Inputs!$B$28+Inputs!$B$29)))</f>
        <v/>
      </c>
      <c r="E3391">
        <f>INDEX(FactorTable!$B$2:$Y$301, MATCH(ROUND(MIN(300,MAX(1,D3391)),0), FactorTable!$A$2:$A$301,0), Skills!M16+1)</f>
        <v/>
      </c>
      <c r="F3391">
        <f>IF(Skills!N16=TRUE,(Skills!L16/10)*(E3391/1000),Skills!L16/10)+Skills!O16</f>
        <v/>
      </c>
      <c r="G3391">
        <f>Skills!G16*IF(Skills!H16&gt;0,Skills!I16/Skills!H16,1)</f>
        <v/>
      </c>
      <c r="H3391">
        <f>1-(1-Skills!J16/100)^Skills!K16</f>
        <v/>
      </c>
      <c r="I3391" t="inlineStr">
        <is>
          <t>1</t>
        </is>
      </c>
      <c r="J3391" t="inlineStr"/>
      <c r="K3391" t="inlineStr"/>
      <c r="L3391" t="inlineStr"/>
      <c r="M3391" t="inlineStr"/>
      <c r="N3391" t="inlineStr"/>
      <c r="O3391">
        <f>(1-Summary!$B$11)*T3391+Summary!$B$11*V3391</f>
        <v/>
      </c>
      <c r="P3391">
        <f>IF(B3419=0,0,O3391/B3419)</f>
        <v/>
      </c>
      <c r="Q3391">
        <f>IFERROR(1/(IF(Inputs!$B$38="pvp",15,MAX(0.1,Skills!D16-IF(Skills!E16=TRUE,4.5,0)))*(1-IF(AND(ArtifactsInput!$M$27,Inputs!$B$4="Chapter Hunt"),CHOOSE(ArtifactsInput!$N$27+1,20,24,28,32,36,40),0)/100)),0)</f>
        <v/>
      </c>
      <c r="R3391">
        <f>IF(AND(Inputs!$B$38&lt;&gt;"pvp",Inputs!$B$43&gt;0),IF(Inputs!$B$43&lt;=0,0,(INT(Inputs!$B$43/(IF(Inputs!$B$38="pvp",15,MAX(0.1,Skills!D16-IF(Skills!E16=TRUE,4.5,0)))*(1-IF(AND(ArtifactsInput!$M$27,Inputs!$B$4="Chapter Hunt"),CHOOSE(ArtifactsInput!$N$27+1,20,24,28,32,36,40),0)/100)))+1)),0)</f>
        <v/>
      </c>
      <c r="S3391">
        <f>IFERROR(O3391/N3391,0)</f>
        <v/>
      </c>
      <c r="T3391" t="n">
        <v>0</v>
      </c>
      <c r="V3391" t="n">
        <v>0</v>
      </c>
    </row>
    <row r="3392">
      <c r="A3392">
        <f>Skills!A17</f>
        <v/>
      </c>
      <c r="B3392">
        <f>Skills!B17</f>
        <v/>
      </c>
      <c r="C3392">
        <f>Inputs!$B$3&gt;=115</f>
        <v/>
      </c>
      <c r="D3392">
        <f>IF(Skills!C17=1,60+Inputs!$B$25+Inputs!$B$29,IF(Skills!C17=2,90+Inputs!$B$26+Inputs!$B$29,IF(Skills!C17=3,120+Inputs!$B$27+Inputs!$B$29,MAX(0,(Inputs!$B$3-100)*3)+Inputs!$B$28+Inputs!$B$29)))</f>
        <v/>
      </c>
      <c r="E3392">
        <f>INDEX(FactorTable!$B$2:$Y$301, MATCH(ROUND(MIN(300,MAX(1,D3392)),0), FactorTable!$A$2:$A$301,0), Skills!M17+1)</f>
        <v/>
      </c>
      <c r="F3392">
        <f>IF(Skills!N17=TRUE,(Skills!L17/10)*(E3392/1000),Skills!L17/10)+Skills!O17</f>
        <v/>
      </c>
      <c r="G3392">
        <f>Skills!G17*IF(Skills!H17&gt;0,Skills!I17/Skills!H17,1)</f>
        <v/>
      </c>
      <c r="H3392">
        <f>1-(1-Skills!J17/100)^Skills!K17</f>
        <v/>
      </c>
      <c r="I3392" t="inlineStr">
        <is>
          <t>1</t>
        </is>
      </c>
      <c r="J3392" t="inlineStr"/>
      <c r="K3392" t="inlineStr"/>
      <c r="L3392" t="inlineStr"/>
      <c r="M3392" t="inlineStr"/>
      <c r="N3392" t="inlineStr"/>
      <c r="O3392">
        <f>(1-Summary!$B$11)*T3392+Summary!$B$11*V3392</f>
        <v/>
      </c>
      <c r="P3392">
        <f>IF(B3419=0,0,O3392/B3419)</f>
        <v/>
      </c>
      <c r="Q3392">
        <f>IFERROR(1/(IF(Inputs!$B$38="pvp",15,MAX(0.1,Skills!D17-IF(Skills!E17=TRUE,4.5,0)))*(1-IF(AND(ArtifactsInput!$M$27,Inputs!$B$4="Chapter Hunt"),CHOOSE(ArtifactsInput!$N$27+1,20,24,28,32,36,40),0)/100)),0)</f>
        <v/>
      </c>
      <c r="R3392">
        <f>IF(AND(Inputs!$B$38&lt;&gt;"pvp",Inputs!$B$43&gt;0),IF(Inputs!$B$43&lt;=0,0,(INT(Inputs!$B$43/(IF(Inputs!$B$38="pvp",15,MAX(0.1,Skills!D17-IF(Skills!E17=TRUE,4.5,0)))*(1-IF(AND(ArtifactsInput!$M$27,Inputs!$B$4="Chapter Hunt"),CHOOSE(ArtifactsInput!$N$27+1,20,24,28,32,36,40),0)/100)))+1)),0)</f>
        <v/>
      </c>
      <c r="S3392">
        <f>IFERROR(O3392/N3392,0)</f>
        <v/>
      </c>
      <c r="T3392" t="n">
        <v>0</v>
      </c>
      <c r="V3392" t="n">
        <v>0</v>
      </c>
    </row>
    <row r="3393">
      <c r="A3393">
        <f>Skills!A18</f>
        <v/>
      </c>
      <c r="B3393">
        <f>Skills!B18</f>
        <v/>
      </c>
      <c r="C3393">
        <f>Inputs!$B$3&gt;=66</f>
        <v/>
      </c>
      <c r="D3393">
        <f>IF(Skills!C18=1,60+Inputs!$B$25+Inputs!$B$29,IF(Skills!C18=2,90+Inputs!$B$26+Inputs!$B$29,IF(Skills!C18=3,120+Inputs!$B$27+Inputs!$B$29,MAX(0,(Inputs!$B$3-100)*3)+Inputs!$B$28+Inputs!$B$29)))</f>
        <v/>
      </c>
      <c r="E3393">
        <f>INDEX(FactorTable!$B$2:$Y$301, MATCH(ROUND(MIN(300,MAX(1,D3393)),0), FactorTable!$A$2:$A$301,0), Skills!M18+1)</f>
        <v/>
      </c>
      <c r="F3393">
        <f>IF(Skills!N18=TRUE,(Skills!L18/10)*(E3393/1000),Skills!L18/10)+Skills!O18</f>
        <v/>
      </c>
      <c r="G3393">
        <f>Skills!G18*IF(Skills!H18&gt;0,Skills!I18/Skills!H18,1)</f>
        <v/>
      </c>
      <c r="H3393">
        <f>1-(1-Skills!J18/100)^Skills!K18</f>
        <v/>
      </c>
      <c r="I3393" t="inlineStr">
        <is>
          <t>1</t>
        </is>
      </c>
      <c r="J3393" t="inlineStr"/>
      <c r="K3393" t="inlineStr"/>
      <c r="L3393" t="inlineStr"/>
      <c r="M3393" t="inlineStr"/>
      <c r="N3393" t="inlineStr"/>
      <c r="O3393">
        <f>(1-Summary!$B$11)*T3393+Summary!$B$11*V3393</f>
        <v/>
      </c>
      <c r="P3393">
        <f>IF(B3419=0,0,O3393/B3419)</f>
        <v/>
      </c>
      <c r="Q3393" t="n">
        <v>0</v>
      </c>
      <c r="R3393" t="n">
        <v>0</v>
      </c>
      <c r="S3393">
        <f>IFERROR(O3393/N3393,0)</f>
        <v/>
      </c>
      <c r="T3393" t="n">
        <v>0</v>
      </c>
      <c r="V3393" t="n">
        <v>0</v>
      </c>
    </row>
    <row r="3394">
      <c r="A3394">
        <f>Skills!A19</f>
        <v/>
      </c>
      <c r="B3394">
        <f>Skills!B19</f>
        <v/>
      </c>
      <c r="C3394">
        <f>Inputs!$B$3&gt;=72</f>
        <v/>
      </c>
      <c r="D3394">
        <f>IF(Skills!C19=1,60+Inputs!$B$25+Inputs!$B$29,IF(Skills!C19=2,90+Inputs!$B$26+Inputs!$B$29,IF(Skills!C19=3,120+Inputs!$B$27+Inputs!$B$29,MAX(0,(Inputs!$B$3-100)*3)+Inputs!$B$28+Inputs!$B$29)))</f>
        <v/>
      </c>
      <c r="E3394">
        <f>INDEX(FactorTable!$B$2:$Y$301, MATCH(ROUND(MIN(300,MAX(1,D3394)),0), FactorTable!$A$2:$A$301,0), Skills!M19+1)</f>
        <v/>
      </c>
      <c r="F3394">
        <f>IF(Skills!N19=TRUE,(Skills!L19/10)*(E3394/1000),Skills!L19/10)+Skills!O19</f>
        <v/>
      </c>
      <c r="G3394">
        <f>Skills!G19*IF(Skills!H19&gt;0,Skills!I19/Skills!H19,1)</f>
        <v/>
      </c>
      <c r="H3394">
        <f>1-(1-Skills!J19/100)^Skills!K19</f>
        <v/>
      </c>
      <c r="I3394" t="inlineStr">
        <is>
          <t>1</t>
        </is>
      </c>
      <c r="J3394" t="inlineStr"/>
      <c r="K3394" t="inlineStr"/>
      <c r="L3394" t="inlineStr"/>
      <c r="M3394" t="inlineStr"/>
      <c r="N3394" t="inlineStr"/>
      <c r="O3394">
        <f>(1-Summary!$B$11)*T3394+Summary!$B$11*V3394</f>
        <v/>
      </c>
      <c r="P3394">
        <f>IF(B3419=0,0,O3394/B3419)</f>
        <v/>
      </c>
      <c r="Q3394" t="n">
        <v>0</v>
      </c>
      <c r="R3394" t="n">
        <v>0</v>
      </c>
      <c r="S3394">
        <f>IFERROR(O3394/N3394,0)</f>
        <v/>
      </c>
      <c r="T3394" t="n">
        <v>0</v>
      </c>
      <c r="V3394" t="n">
        <v>0</v>
      </c>
    </row>
    <row r="3395">
      <c r="A3395">
        <f>Skills!A20</f>
        <v/>
      </c>
      <c r="B3395">
        <f>Skills!B20</f>
        <v/>
      </c>
      <c r="C3395">
        <f>TRUE</f>
        <v/>
      </c>
      <c r="D3395">
        <f>IF(Skills!C20=1,60+Inputs!$B$25+Inputs!$B$29,IF(Skills!C20=2,90+Inputs!$B$26+Inputs!$B$29,IF(Skills!C20=3,120+Inputs!$B$27+Inputs!$B$29,MAX(0,(Inputs!$B$3-100)*3)+Inputs!$B$28+Inputs!$B$29)))</f>
        <v/>
      </c>
      <c r="E3395">
        <f>INDEX(FactorTable!$B$2:$Y$301, MATCH(ROUND(MIN(300,MAX(1,D3395)),0), FactorTable!$A$2:$A$301,0), Skills!M20+1)</f>
        <v/>
      </c>
      <c r="F3395">
        <f>IF(Skills!N20=TRUE,(Skills!L20/10)*(E3395/1000),Skills!L20/10)+Skills!O20</f>
        <v/>
      </c>
      <c r="G3395">
        <f>Skills!G20*IF(Skills!H20&gt;0,Skills!I20/Skills!H20,1)</f>
        <v/>
      </c>
      <c r="H3395">
        <f>1-(1-Skills!J20/100)^Skills!K20</f>
        <v/>
      </c>
      <c r="I3395" t="inlineStr">
        <is>
          <t>1</t>
        </is>
      </c>
      <c r="J3395" t="inlineStr"/>
      <c r="K3395" t="inlineStr"/>
      <c r="L3395" t="inlineStr"/>
      <c r="M3395" t="inlineStr"/>
      <c r="N3395" t="inlineStr"/>
      <c r="O3395">
        <f>(1-Summary!$B$11)*T3395+Summary!$B$11*V3395</f>
        <v/>
      </c>
      <c r="P3395">
        <f>IF(B3419=0,0,O3395/B3419)</f>
        <v/>
      </c>
      <c r="Q3395">
        <f>IFERROR(1/(IF(Inputs!$B$38="pvp",15,MAX(0.1,Skills!D20-IF(Skills!E20=TRUE,4.5,0)))*(1-IF(AND(ArtifactsInput!$M$27,Inputs!$B$4="Chapter Hunt"),CHOOSE(ArtifactsInput!$N$27+1,20,24,28,32,36,40),0)/100)),0)</f>
        <v/>
      </c>
      <c r="R3395">
        <f>IF(AND(Inputs!$B$38&lt;&gt;"pvp",Inputs!$B$43&gt;0),IF(Inputs!$B$43&lt;=0,0,(INT(Inputs!$B$43/(IF(Inputs!$B$38="pvp",15,MAX(0.1,Skills!D20-IF(Skills!E20=TRUE,4.5,0)))*(1-IF(AND(ArtifactsInput!$M$27,Inputs!$B$4="Chapter Hunt"),CHOOSE(ArtifactsInput!$N$27+1,20,24,28,32,36,40),0)/100)))+1)),0)</f>
        <v/>
      </c>
      <c r="S3395">
        <f>IFERROR(O3395/N3395,0)</f>
        <v/>
      </c>
      <c r="T3395" t="n">
        <v>0</v>
      </c>
      <c r="V3395" t="n">
        <v>0</v>
      </c>
    </row>
    <row r="3396">
      <c r="A3396">
        <f>Skills!A21</f>
        <v/>
      </c>
      <c r="B3396">
        <f>Skills!B21</f>
        <v/>
      </c>
      <c r="C3396">
        <f>Inputs!$B$3&gt;=15</f>
        <v/>
      </c>
      <c r="D3396">
        <f>IF(Skills!C21=1,60+Inputs!$B$25+Inputs!$B$29,IF(Skills!C21=2,90+Inputs!$B$26+Inputs!$B$29,IF(Skills!C21=3,120+Inputs!$B$27+Inputs!$B$29,MAX(0,(Inputs!$B$3-100)*3)+Inputs!$B$28+Inputs!$B$29)))</f>
        <v/>
      </c>
      <c r="E3396">
        <f>INDEX(FactorTable!$B$2:$Y$301, MATCH(ROUND(MIN(300,MAX(1,D3396)),0), FactorTable!$A$2:$A$301,0), Skills!M21+1)</f>
        <v/>
      </c>
      <c r="F3396">
        <f>IF(Skills!N21=TRUE,(Skills!L21/10)*(E3396/1000),Skills!L21/10)+Skills!O21</f>
        <v/>
      </c>
      <c r="G3396">
        <f>Skills!G21*IF(Skills!H21&gt;0,Skills!I21/Skills!H21,1)</f>
        <v/>
      </c>
      <c r="H3396">
        <f>1-(1-Skills!J21/100)^Skills!K21</f>
        <v/>
      </c>
      <c r="I3396" t="inlineStr">
        <is>
          <t>1</t>
        </is>
      </c>
      <c r="J3396" t="inlineStr"/>
      <c r="K3396" t="inlineStr"/>
      <c r="L3396" t="inlineStr"/>
      <c r="M3396" t="inlineStr"/>
      <c r="N3396" t="inlineStr"/>
      <c r="O3396">
        <f>(1-Summary!$B$11)*T3396+Summary!$B$11*V3396</f>
        <v/>
      </c>
      <c r="P3396">
        <f>IF(B3419=0,0,O3396/B3419)</f>
        <v/>
      </c>
      <c r="Q3396" t="n">
        <v>0</v>
      </c>
      <c r="R3396" t="n">
        <v>0</v>
      </c>
      <c r="S3396">
        <f>IFERROR(O3396/N3396,0)</f>
        <v/>
      </c>
      <c r="T3396" t="n">
        <v>0</v>
      </c>
      <c r="V3396" t="n">
        <v>0</v>
      </c>
    </row>
    <row r="3397">
      <c r="A3397">
        <f>Skills!A22</f>
        <v/>
      </c>
      <c r="B3397">
        <f>Skills!B22</f>
        <v/>
      </c>
      <c r="C3397">
        <f>Inputs!$B$3&gt;=10</f>
        <v/>
      </c>
      <c r="D3397">
        <f>IF(Skills!C22=1,60+Inputs!$B$25+Inputs!$B$29,IF(Skills!C22=2,90+Inputs!$B$26+Inputs!$B$29,IF(Skills!C22=3,120+Inputs!$B$27+Inputs!$B$29,MAX(0,(Inputs!$B$3-100)*3)+Inputs!$B$28+Inputs!$B$29)))</f>
        <v/>
      </c>
      <c r="E3397">
        <f>INDEX(FactorTable!$B$2:$Y$301, MATCH(ROUND(MIN(300,MAX(1,D3397)),0), FactorTable!$A$2:$A$301,0), Skills!M22+1)</f>
        <v/>
      </c>
      <c r="F3397">
        <f>IF(Skills!N22=TRUE,(Skills!L22/10)*(E3397/1000),Skills!L22/10)+Skills!O22</f>
        <v/>
      </c>
      <c r="G3397">
        <f>Skills!G22*IF(Skills!H22&gt;0,Skills!I22/Skills!H22,1)</f>
        <v/>
      </c>
      <c r="H3397">
        <f>1-(1-Skills!J22/100)^Skills!K22</f>
        <v/>
      </c>
      <c r="I3397" t="inlineStr">
        <is>
          <t>1</t>
        </is>
      </c>
      <c r="J3397" t="inlineStr"/>
      <c r="K3397" t="inlineStr"/>
      <c r="L3397" t="inlineStr"/>
      <c r="M3397" t="inlineStr"/>
      <c r="N3397" t="inlineStr"/>
      <c r="O3397">
        <f>(1-Summary!$B$11)*T3397+Summary!$B$11*V3397</f>
        <v/>
      </c>
      <c r="P3397">
        <f>IF(B3419=0,0,O3397/B3419)</f>
        <v/>
      </c>
      <c r="Q3397" t="n">
        <v>0</v>
      </c>
      <c r="R3397" t="n">
        <v>0</v>
      </c>
      <c r="S3397">
        <f>IFERROR(O3397/N3397,0)</f>
        <v/>
      </c>
      <c r="T3397" t="n">
        <v>0</v>
      </c>
      <c r="V3397" t="n">
        <v>0</v>
      </c>
    </row>
    <row r="3398">
      <c r="A3398">
        <f>Skills!A23</f>
        <v/>
      </c>
      <c r="B3398">
        <f>Skills!B23</f>
        <v/>
      </c>
      <c r="C3398">
        <f>Inputs!$B$3&gt;=33</f>
        <v/>
      </c>
      <c r="D3398">
        <f>IF(Skills!C23=1,60+Inputs!$B$25+Inputs!$B$29,IF(Skills!C23=2,90+Inputs!$B$26+Inputs!$B$29,IF(Skills!C23=3,120+Inputs!$B$27+Inputs!$B$29,MAX(0,(Inputs!$B$3-100)*3)+Inputs!$B$28+Inputs!$B$29)))</f>
        <v/>
      </c>
      <c r="E3398">
        <f>INDEX(FactorTable!$B$2:$Y$301, MATCH(ROUND(MIN(300,MAX(1,D3398)),0), FactorTable!$A$2:$A$301,0), Skills!M23+1)</f>
        <v/>
      </c>
      <c r="F3398">
        <f>IF(Skills!N23=TRUE,(Skills!L23/10)*(E3398/1000),Skills!L23/10)+Skills!O23</f>
        <v/>
      </c>
      <c r="G3398">
        <f>Skills!G23*IF(Skills!H23&gt;0,Skills!I23/Skills!H23,1)</f>
        <v/>
      </c>
      <c r="H3398">
        <f>1-(1-Skills!J23/100)^Skills!K23</f>
        <v/>
      </c>
      <c r="I3398" t="inlineStr">
        <is>
          <t>1</t>
        </is>
      </c>
      <c r="J3398" t="inlineStr"/>
      <c r="K3398" t="inlineStr"/>
      <c r="L3398" t="inlineStr"/>
      <c r="M3398" t="inlineStr"/>
      <c r="N3398" t="inlineStr"/>
      <c r="O3398">
        <f>(1-Summary!$B$11)*T3398+Summary!$B$11*V3398</f>
        <v/>
      </c>
      <c r="P3398">
        <f>IF(B3419=0,0,O3398/B3419)</f>
        <v/>
      </c>
      <c r="Q3398" t="n">
        <v>0</v>
      </c>
      <c r="R3398" t="n">
        <v>0</v>
      </c>
      <c r="S3398">
        <f>IFERROR(O3398/N3398,0)</f>
        <v/>
      </c>
      <c r="T3398" t="n">
        <v>0</v>
      </c>
      <c r="V3398" t="n">
        <v>0</v>
      </c>
    </row>
    <row r="3399">
      <c r="A3399">
        <f>Skills!A24</f>
        <v/>
      </c>
      <c r="B3399">
        <f>Skills!B24</f>
        <v/>
      </c>
      <c r="C3399">
        <f>Inputs!$B$3&gt;=38</f>
        <v/>
      </c>
      <c r="D3399">
        <f>IF(Skills!C24=1,60+Inputs!$B$25+Inputs!$B$29,IF(Skills!C24=2,90+Inputs!$B$26+Inputs!$B$29,IF(Skills!C24=3,120+Inputs!$B$27+Inputs!$B$29,MAX(0,(Inputs!$B$3-100)*3)+Inputs!$B$28+Inputs!$B$29)))</f>
        <v/>
      </c>
      <c r="E3399">
        <f>INDEX(FactorTable!$B$2:$Y$301, MATCH(ROUND(MIN(300,MAX(1,D3399)),0), FactorTable!$A$2:$A$301,0), Skills!M24+1)</f>
        <v/>
      </c>
      <c r="F3399">
        <f>IF(Skills!N24=TRUE,(Skills!L24/10)*(E3399/1000),Skills!L24/10)+Skills!O24</f>
        <v/>
      </c>
      <c r="G3399">
        <f>Skills!G24*IF(Skills!H24&gt;0,Skills!I24/Skills!H24,1)</f>
        <v/>
      </c>
      <c r="H3399">
        <f>1-(1-Skills!J24/100)^Skills!K24</f>
        <v/>
      </c>
      <c r="I3399" t="inlineStr">
        <is>
          <t>1</t>
        </is>
      </c>
      <c r="J3399" t="inlineStr"/>
      <c r="K3399" t="inlineStr"/>
      <c r="L3399" t="inlineStr"/>
      <c r="M3399" t="inlineStr"/>
      <c r="N3399" t="inlineStr"/>
      <c r="O3399">
        <f>(1-Summary!$B$11)*T3399+Summary!$B$11*V3399</f>
        <v/>
      </c>
      <c r="P3399">
        <f>IF(B3419=0,0,O3399/B3419)</f>
        <v/>
      </c>
      <c r="Q3399" t="n">
        <v>0</v>
      </c>
      <c r="R3399" t="n">
        <v>0</v>
      </c>
      <c r="S3399">
        <f>IFERROR(O3399/N3399,0)</f>
        <v/>
      </c>
      <c r="T3399" t="n">
        <v>0</v>
      </c>
      <c r="V3399" t="n">
        <v>0</v>
      </c>
    </row>
    <row r="3400">
      <c r="A3400">
        <f>Skills!A25</f>
        <v/>
      </c>
      <c r="B3400">
        <f>Skills!B25</f>
        <v/>
      </c>
      <c r="C3400">
        <f>Inputs!$B$3&gt;=43</f>
        <v/>
      </c>
      <c r="D3400">
        <f>IF(Skills!C25=1,60+Inputs!$B$25+Inputs!$B$29,IF(Skills!C25=2,90+Inputs!$B$26+Inputs!$B$29,IF(Skills!C25=3,120+Inputs!$B$27+Inputs!$B$29,MAX(0,(Inputs!$B$3-100)*3)+Inputs!$B$28+Inputs!$B$29)))</f>
        <v/>
      </c>
      <c r="E3400">
        <f>INDEX(FactorTable!$B$2:$Y$301, MATCH(ROUND(MIN(300,MAX(1,D3400)),0), FactorTable!$A$2:$A$301,0), Skills!M25+1)</f>
        <v/>
      </c>
      <c r="F3400">
        <f>IF(Skills!N25=TRUE,(Skills!L25/10)*(E3400/1000),Skills!L25/10)+Skills!O25</f>
        <v/>
      </c>
      <c r="G3400">
        <f>Skills!G25*IF(Skills!H25&gt;0,Skills!I25/Skills!H25,1)</f>
        <v/>
      </c>
      <c r="H3400">
        <f>1-(1-Skills!J25/100)^Skills!K25</f>
        <v/>
      </c>
      <c r="I3400" t="inlineStr">
        <is>
          <t>1</t>
        </is>
      </c>
      <c r="J3400" t="inlineStr"/>
      <c r="K3400" t="inlineStr"/>
      <c r="L3400" t="inlineStr"/>
      <c r="M3400" t="inlineStr"/>
      <c r="N3400" t="inlineStr"/>
      <c r="O3400">
        <f>(1-Summary!$B$11)*T3400+Summary!$B$11*V3400</f>
        <v/>
      </c>
      <c r="P3400">
        <f>IF(B3419=0,0,O3400/B3419)</f>
        <v/>
      </c>
      <c r="Q3400" t="n">
        <v>0</v>
      </c>
      <c r="R3400" t="n">
        <v>0</v>
      </c>
      <c r="S3400">
        <f>IFERROR(O3400/N3400,0)</f>
        <v/>
      </c>
      <c r="T3400" t="n">
        <v>0</v>
      </c>
      <c r="V3400" t="n">
        <v>0</v>
      </c>
    </row>
    <row r="3401">
      <c r="A3401">
        <f>Skills!A26</f>
        <v/>
      </c>
      <c r="B3401">
        <f>Skills!B26</f>
        <v/>
      </c>
      <c r="C3401">
        <f>Inputs!$B$3&gt;=75</f>
        <v/>
      </c>
      <c r="D3401">
        <f>IF(Skills!C26=1,60+Inputs!$B$25+Inputs!$B$29,IF(Skills!C26=2,90+Inputs!$B$26+Inputs!$B$29,IF(Skills!C26=3,120+Inputs!$B$27+Inputs!$B$29,MAX(0,(Inputs!$B$3-100)*3)+Inputs!$B$28+Inputs!$B$29)))</f>
        <v/>
      </c>
      <c r="E3401">
        <f>INDEX(FactorTable!$B$2:$Y$301, MATCH(ROUND(MIN(300,MAX(1,D3401)),0), FactorTable!$A$2:$A$301,0), Skills!M26+1)</f>
        <v/>
      </c>
      <c r="F3401">
        <f>IF(Skills!N26=TRUE,(Skills!L26/10)*(E3401/1000),Skills!L26/10)+Skills!O26</f>
        <v/>
      </c>
      <c r="G3401">
        <f>Skills!G26*IF(Skills!H26&gt;0,Skills!I26/Skills!H26,1)</f>
        <v/>
      </c>
      <c r="H3401">
        <f>1-(1-Skills!J26/100)^Skills!K26</f>
        <v/>
      </c>
      <c r="I3401" t="inlineStr">
        <is>
          <t>1</t>
        </is>
      </c>
      <c r="J3401" t="inlineStr"/>
      <c r="K3401" t="inlineStr"/>
      <c r="L3401" t="inlineStr"/>
      <c r="M3401" t="inlineStr"/>
      <c r="N3401" t="inlineStr"/>
      <c r="O3401">
        <f>(1-Summary!$B$11)*T3401+Summary!$B$11*V3401</f>
        <v/>
      </c>
      <c r="P3401">
        <f>IF(B3419=0,0,O3401/B3419)</f>
        <v/>
      </c>
      <c r="Q3401" t="n">
        <v>0</v>
      </c>
      <c r="R3401" t="n">
        <v>0</v>
      </c>
      <c r="S3401">
        <f>IFERROR(O3401/N3401,0)</f>
        <v/>
      </c>
      <c r="T3401" t="n">
        <v>0</v>
      </c>
      <c r="V3401" t="n">
        <v>0</v>
      </c>
    </row>
    <row r="3402">
      <c r="A3402">
        <f>Skills!A27</f>
        <v/>
      </c>
      <c r="B3402">
        <f>Skills!B27</f>
        <v/>
      </c>
      <c r="C3402">
        <f>Inputs!$B$3&gt;=125</f>
        <v/>
      </c>
      <c r="D3402">
        <f>IF(Skills!C27=1,60+Inputs!$B$25+Inputs!$B$29,IF(Skills!C27=2,90+Inputs!$B$26+Inputs!$B$29,IF(Skills!C27=3,120+Inputs!$B$27+Inputs!$B$29,MAX(0,(Inputs!$B$3-100)*3)+Inputs!$B$28+Inputs!$B$29)))</f>
        <v/>
      </c>
      <c r="E3402">
        <f>INDEX(FactorTable!$B$2:$Y$301, MATCH(ROUND(MIN(300,MAX(1,D3402)),0), FactorTable!$A$2:$A$301,0), Skills!M27+1)</f>
        <v/>
      </c>
      <c r="F3402">
        <f>IF(Skills!N27=TRUE,(Skills!L27/10)*(E3402/1000),Skills!L27/10)+Skills!O27</f>
        <v/>
      </c>
      <c r="G3402">
        <f>Skills!G27*IF(Skills!H27&gt;0,Skills!I27/Skills!H27,1)</f>
        <v/>
      </c>
      <c r="H3402">
        <f>1-(1-Skills!J27/100)^Skills!K27</f>
        <v/>
      </c>
      <c r="I3402" t="inlineStr">
        <is>
          <t>1</t>
        </is>
      </c>
      <c r="J3402" t="inlineStr"/>
      <c r="K3402" t="inlineStr"/>
      <c r="L3402" t="inlineStr"/>
      <c r="M3402" t="inlineStr"/>
      <c r="N3402" t="inlineStr"/>
      <c r="O3402">
        <f>(1-Summary!$B$11)*T3402+Summary!$B$11*V3402</f>
        <v/>
      </c>
      <c r="P3402">
        <f>IF(B3419=0,0,O3402/B3419)</f>
        <v/>
      </c>
      <c r="Q3402" t="n">
        <v>0</v>
      </c>
      <c r="R3402" t="n">
        <v>0</v>
      </c>
      <c r="S3402">
        <f>IFERROR(O3402/N3402,0)</f>
        <v/>
      </c>
      <c r="T3402" t="n">
        <v>0</v>
      </c>
      <c r="V3402" t="n">
        <v>0</v>
      </c>
    </row>
    <row r="3403">
      <c r="A3403">
        <f>Skills!A28</f>
        <v/>
      </c>
      <c r="B3403">
        <f>Skills!B28</f>
        <v/>
      </c>
      <c r="C3403">
        <f>Inputs!$B$3&gt;=125</f>
        <v/>
      </c>
      <c r="D3403">
        <f>IF(Skills!C28=1,60+Inputs!$B$25+Inputs!$B$29,IF(Skills!C28=2,90+Inputs!$B$26+Inputs!$B$29,IF(Skills!C28=3,120+Inputs!$B$27+Inputs!$B$29,MAX(0,(Inputs!$B$3-100)*3)+Inputs!$B$28+Inputs!$B$29)))</f>
        <v/>
      </c>
      <c r="E3403">
        <f>INDEX(FactorTable!$B$2:$Y$301, MATCH(ROUND(MIN(300,MAX(1,D3403)),0), FactorTable!$A$2:$A$301,0), Skills!M28+1)</f>
        <v/>
      </c>
      <c r="F3403">
        <f>IF(Skills!N28=TRUE,(Skills!L28/10)*(E3403/1000),Skills!L28/10)+Skills!O28</f>
        <v/>
      </c>
      <c r="G3403">
        <f>Skills!G28*IF(Skills!H28&gt;0,Skills!I28/Skills!H28,1)</f>
        <v/>
      </c>
      <c r="H3403">
        <f>1-(1-Skills!J28/100)^Skills!K28</f>
        <v/>
      </c>
      <c r="I3403" t="inlineStr">
        <is>
          <t>1</t>
        </is>
      </c>
      <c r="J3403" t="inlineStr"/>
      <c r="K3403" t="inlineStr"/>
      <c r="L3403" t="inlineStr"/>
      <c r="M3403" t="inlineStr"/>
      <c r="N3403" t="inlineStr"/>
      <c r="O3403">
        <f>(1-Summary!$B$11)*T3403+Summary!$B$11*V3403</f>
        <v/>
      </c>
      <c r="P3403">
        <f>IF(B3419=0,0,O3403/B3419)</f>
        <v/>
      </c>
      <c r="Q3403" t="n">
        <v>0</v>
      </c>
      <c r="R3403" t="n">
        <v>0</v>
      </c>
      <c r="S3403">
        <f>IFERROR(O3403/N3403,0)</f>
        <v/>
      </c>
      <c r="T3403" t="n">
        <v>0</v>
      </c>
      <c r="V3403" t="n">
        <v>0</v>
      </c>
    </row>
    <row r="3404">
      <c r="A3404">
        <f>Skills!A29</f>
        <v/>
      </c>
      <c r="B3404">
        <f>Skills!B29</f>
        <v/>
      </c>
      <c r="C3404">
        <f>Inputs!$B$3&gt;=120</f>
        <v/>
      </c>
      <c r="D3404">
        <f>IF(Skills!C29=1,60+Inputs!$B$25+Inputs!$B$29,IF(Skills!C29=2,90+Inputs!$B$26+Inputs!$B$29,IF(Skills!C29=3,120+Inputs!$B$27+Inputs!$B$29,MAX(0,(Inputs!$B$3-100)*3)+Inputs!$B$28+Inputs!$B$29)))</f>
        <v/>
      </c>
      <c r="E3404">
        <f>INDEX(FactorTable!$B$2:$Y$301, MATCH(ROUND(MIN(300,MAX(1,D3404)),0), FactorTable!$A$2:$A$301,0), Skills!M29+1)</f>
        <v/>
      </c>
      <c r="F3404">
        <f>IF(Skills!N29=TRUE,(Skills!L29/10)*(E3404/1000),Skills!L29/10)+Skills!O29</f>
        <v/>
      </c>
      <c r="G3404">
        <f>Skills!G29*IF(Skills!H29&gt;0,Skills!I29/Skills!H29,1)</f>
        <v/>
      </c>
      <c r="H3404">
        <f>1-(1-Skills!J29/100)^Skills!K29</f>
        <v/>
      </c>
      <c r="I3404" t="inlineStr">
        <is>
          <t>1</t>
        </is>
      </c>
      <c r="J3404" t="inlineStr"/>
      <c r="K3404" t="inlineStr"/>
      <c r="L3404" t="inlineStr"/>
      <c r="M3404" t="inlineStr"/>
      <c r="N3404" t="inlineStr"/>
      <c r="O3404">
        <f>(1-Summary!$B$11)*T3404+Summary!$B$11*V3404</f>
        <v/>
      </c>
      <c r="P3404">
        <f>IF(B3419=0,0,O3404/B3419)</f>
        <v/>
      </c>
      <c r="Q3404" t="n">
        <v>0</v>
      </c>
      <c r="R3404" t="n">
        <v>0</v>
      </c>
      <c r="S3404">
        <f>IFERROR(O3404/N3404,0)</f>
        <v/>
      </c>
      <c r="T3404" t="n">
        <v>0</v>
      </c>
      <c r="V3404" t="n">
        <v>0</v>
      </c>
    </row>
    <row r="3405">
      <c r="A3405">
        <f>Skills!A30</f>
        <v/>
      </c>
      <c r="B3405">
        <f>Skills!B30</f>
        <v/>
      </c>
      <c r="C3405">
        <f>Inputs!$B$3&gt;=120</f>
        <v/>
      </c>
      <c r="D3405">
        <f>IF(Skills!C30=1,60+Inputs!$B$25+Inputs!$B$29,IF(Skills!C30=2,90+Inputs!$B$26+Inputs!$B$29,IF(Skills!C30=3,120+Inputs!$B$27+Inputs!$B$29,MAX(0,(Inputs!$B$3-100)*3)+Inputs!$B$28+Inputs!$B$29)))</f>
        <v/>
      </c>
      <c r="E3405">
        <f>INDEX(FactorTable!$B$2:$Y$301, MATCH(ROUND(MIN(300,MAX(1,D3405)),0), FactorTable!$A$2:$A$301,0), Skills!M30+1)</f>
        <v/>
      </c>
      <c r="F3405">
        <f>IF(Skills!N30=TRUE,(Skills!L30/10)*(E3405/1000),Skills!L30/10)+Skills!O30</f>
        <v/>
      </c>
      <c r="G3405">
        <f>Skills!G30*IF(Skills!H30&gt;0,Skills!I30/Skills!H30,1)</f>
        <v/>
      </c>
      <c r="H3405">
        <f>1-(1-Skills!J30/100)^Skills!K30</f>
        <v/>
      </c>
      <c r="I3405" t="inlineStr">
        <is>
          <t>1</t>
        </is>
      </c>
      <c r="J3405" t="inlineStr"/>
      <c r="K3405" t="inlineStr"/>
      <c r="L3405" t="inlineStr"/>
      <c r="M3405" t="inlineStr"/>
      <c r="N3405" t="inlineStr"/>
      <c r="O3405">
        <f>(1-Summary!$B$11)*T3405+Summary!$B$11*V3405</f>
        <v/>
      </c>
      <c r="P3405">
        <f>IF(B3419=0,0,O3405/B3419)</f>
        <v/>
      </c>
      <c r="Q3405" t="n">
        <v>0</v>
      </c>
      <c r="R3405" t="n">
        <v>0</v>
      </c>
      <c r="S3405">
        <f>IFERROR(O3405/N3405,0)</f>
        <v/>
      </c>
      <c r="T3405" t="n">
        <v>0</v>
      </c>
      <c r="V3405" t="n">
        <v>0</v>
      </c>
    </row>
    <row r="3406">
      <c r="A3406">
        <f>Skills!A31</f>
        <v/>
      </c>
      <c r="B3406">
        <f>Skills!B31</f>
        <v/>
      </c>
      <c r="C3406">
        <f>Inputs!$B$3&gt;=45</f>
        <v/>
      </c>
      <c r="D3406">
        <f>IF(Skills!C31=1,60+Inputs!$B$25+Inputs!$B$29,IF(Skills!C31=2,90+Inputs!$B$26+Inputs!$B$29,IF(Skills!C31=3,120+Inputs!$B$27+Inputs!$B$29,MAX(0,(Inputs!$B$3-100)*3)+Inputs!$B$28+Inputs!$B$29)))</f>
        <v/>
      </c>
      <c r="E3406">
        <f>INDEX(FactorTable!$B$2:$Y$301, MATCH(ROUND(MIN(300,MAX(1,D3406)),0), FactorTable!$A$2:$A$301,0), Skills!M31+1)</f>
        <v/>
      </c>
      <c r="F3406">
        <f>IF(Skills!N31=TRUE,(Skills!L31/10)*(E3406/1000),Skills!L31/10)+Skills!O31</f>
        <v/>
      </c>
      <c r="G3406">
        <f>Skills!G31*IF(Skills!H31&gt;0,Skills!I31/Skills!H31,1)</f>
        <v/>
      </c>
      <c r="H3406">
        <f>1-(1-Skills!J31/100)^Skills!K31</f>
        <v/>
      </c>
      <c r="I3406" t="inlineStr">
        <is>
          <t>1</t>
        </is>
      </c>
      <c r="J3406" t="inlineStr"/>
      <c r="K3406" t="inlineStr"/>
      <c r="L3406" t="inlineStr"/>
      <c r="M3406" t="inlineStr"/>
      <c r="N3406" t="inlineStr"/>
      <c r="O3406">
        <f>(1-Summary!$B$11)*T3406+Summary!$B$11*V3406</f>
        <v/>
      </c>
      <c r="P3406">
        <f>IF(B3419=0,0,O3406/B3419)</f>
        <v/>
      </c>
      <c r="Q3406" t="n">
        <v>0</v>
      </c>
      <c r="R3406" t="n">
        <v>0</v>
      </c>
      <c r="S3406">
        <f>IFERROR(O3406/N3406,0)</f>
        <v/>
      </c>
      <c r="T3406" t="n">
        <v>0</v>
      </c>
      <c r="V3406" t="n">
        <v>0</v>
      </c>
    </row>
    <row r="3408">
      <c r="A3408" t="inlineStr">
        <is>
          <t>Attack% Bucket Multiplier</t>
        </is>
      </c>
      <c r="B3408">
        <f>(1+(((C3389=TRUE)*F3389)+((C3390=TRUE)*IF(Inputs!$B$38="pvp",F3390,(1-Summary!$B$11)*(F3390)+Summary!$B$11*(0)))+((C3391=TRUE)*F3391*IF(AND(Inputs!$B$38&lt;&gt;"pvp",Inputs!$B$43&gt;0),(((R3391-1)*(Skills!T16*(1+Inputs!$B$34/100))+MIN((Skills!T16*(1+Inputs!$B$34/100)),MAX(0,Inputs!$B$43-((R3391-1)*Skills!D16))))/Inputs!$B$43),IF(Inputs!$B$38="pvp",MIN((Skills!T16*(1+Inputs!$B$34/100)),15)/15,(Skills!T16*(1+Inputs!$B$34/100))/Skills!D16)))+((C3406=TRUE)*(F3406-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409">
      <c r="A3409" t="inlineStr">
        <is>
          <t>Global Crit Rate Bonus %</t>
        </is>
      </c>
      <c r="B3409">
        <f>(C3392=TRUE)*20*IF(AND(Inputs!$B$38&lt;&gt;"pvp",Inputs!$B$43&gt;0),(((R3392-1)*(Skills!T17*(1+Inputs!$B$34/100))+MIN((Skills!T17*(1+Inputs!$B$34/100)),MAX(0,Inputs!$B$43-((R3392-1)*Skills!D17))))/Inputs!$B$43),IF(Inputs!$B$38="pvp",MIN((Skills!T17*(1+Inputs!$B$34/100)),15)/15,(Skills!T17*(1+Inputs!$B$34/100))/Skills!D17))</f>
        <v/>
      </c>
    </row>
    <row r="3410">
      <c r="A3410" t="inlineStr">
        <is>
          <t>Attack Speed Buff Bonus %</t>
        </is>
      </c>
      <c r="B3410">
        <f>((C3395=TRUE)*F3395*IF(AND(Inputs!$B$38&lt;&gt;"pvp",Inputs!$B$43&gt;0),(((R3395-1)*(Skills!T20*(1+Inputs!$B$34/100))+MIN((Skills!T20*(1+Inputs!$B$34/100)),MAX(0,Inputs!$B$43-((R3395-1)*Skills!D20))))/Inputs!$B$43),IF(Inputs!$B$38="pvp",MIN((Skills!T20*(1+Inputs!$B$34/100)),15)/15,(Skills!T20*(1+Inputs!$B$34/100))/Skills!D20)))</f>
        <v/>
      </c>
    </row>
    <row r="3411">
      <c r="A3411" t="inlineStr">
        <is>
          <t>Actions Per Second</t>
        </is>
      </c>
      <c r="B3411">
        <f>1+MIN(150,150*(1-(1-(Inputs!$B$11+((C3397=TRUE)*(F3397-Calc!F22))+((C3398=TRUE)*(F3398-Calc!F23)))/150)*(1-B3410/150)))/100</f>
        <v/>
      </c>
    </row>
    <row r="3412">
      <c r="A3412" t="inlineStr">
        <is>
          <t>Skill + Buff Cast Rate</t>
        </is>
      </c>
      <c r="B3412">
        <f>IF(AND(Inputs!$B$38&lt;&gt;"pvp",Inputs!$B$43&gt;0),SUMPRODUCT((Skills!E2:E31=TRUE)*(C3377:C3406=TRUE)*R3377:R3406*Skills!F2:F31)/Inputs!$B$43,SUMPRODUCT((Skills!E2:E31=TRUE)*(C3377:C3406=TRUE)*Q3377:Q3406*Skills!F2:F31))</f>
        <v/>
      </c>
    </row>
    <row r="3413">
      <c r="A3413" t="inlineStr">
        <is>
          <t>Arrow Stream Casts Per Second</t>
        </is>
      </c>
      <c r="B3413">
        <f>MAX(0,B3411-B3412)</f>
        <v/>
      </c>
    </row>
    <row r="3414">
      <c r="A3414" t="inlineStr">
        <is>
          <t>Global Critical Damage Bonus % (Sharp Eyes + Concentration)</t>
        </is>
      </c>
      <c r="B3414">
        <f>(C3392=TRUE)*F3392*IF(AND(Inputs!$B$38&lt;&gt;"pvp",Inputs!$B$43&gt;0),(((R3392-1)*(Skills!T17*(1+Inputs!$B$34/100))+MIN((Skills!T17*(1+Inputs!$B$34/100)),MAX(0,Inputs!$B$43-((R3392-1)*Skills!D17))))/Inputs!$B$43),IF(Inputs!$B$38="pvp",MIN((Skills!T17*(1+Inputs!$B$34/100)),15)/15,(Skills!T17*(1+Inputs!$B$34/100))/Skills!D17))+(C3393=TRUE)*30</f>
        <v/>
      </c>
    </row>
    <row r="3415">
      <c r="A3415" t="inlineStr">
        <is>
          <t>Global Final Damage Bonus % (Mortal Blow)</t>
        </is>
      </c>
      <c r="B3415">
        <f>(C3394=TRUE)*F3394</f>
        <v/>
      </c>
    </row>
    <row r="3416">
      <c r="A3416" t="inlineStr">
        <is>
          <t>Buff-Casting Startup Delay (s, fixed-duration only)</t>
        </is>
      </c>
      <c r="B3416">
        <f>IF(AND(Inputs!$B$38&lt;&gt;"pvp",Inputs!$B$43&gt;0),SUMPRODUCT((Skills!T2:T31&gt;0)*(Skills!E2:E31=TRUE)*(C3377:C3406=TRUE))/B3411,0)</f>
        <v/>
      </c>
    </row>
    <row r="3417">
      <c r="A3417" t="inlineStr">
        <is>
          <t>Boss-Only Total DPS (this block's swept value)</t>
        </is>
      </c>
      <c r="B3417">
        <f>SUM(T3377:T3406)</f>
        <v/>
      </c>
    </row>
    <row r="3418">
      <c r="A3418" t="inlineStr">
        <is>
          <t>Normal-Only Total DPS (this block's swept value)</t>
        </is>
      </c>
      <c r="B3418">
        <f>SUM(V3377:V3406)</f>
        <v/>
      </c>
    </row>
    <row r="3419">
      <c r="A3419" s="6" t="inlineStr">
        <is>
          <t>TOTAL DPS</t>
        </is>
      </c>
      <c r="B3419" s="6">
        <f>SUM(O3377:O3406)</f>
        <v/>
      </c>
    </row>
    <row r="3422">
      <c r="A3422" s="6" t="inlineStr">
        <is>
          <t>Stat: CDR = 5.0s</t>
        </is>
      </c>
    </row>
    <row r="3423">
      <c r="A3423" s="5" t="inlineStr">
        <is>
          <t>Key</t>
        </is>
      </c>
      <c r="B3423" s="5" t="inlineStr">
        <is>
          <t>Name</t>
        </is>
      </c>
      <c r="C3423" s="5" t="inlineStr">
        <is>
          <t>Unlocked</t>
        </is>
      </c>
      <c r="D3423" s="5" t="inlineStr">
        <is>
          <t>InputLevel</t>
        </is>
      </c>
      <c r="E3423" s="5" t="inlineStr">
        <is>
          <t>Factor</t>
        </is>
      </c>
      <c r="F3423" s="5" t="inlineStr">
        <is>
          <t>CoefficientPercent</t>
        </is>
      </c>
      <c r="G3423" s="5" t="inlineStr">
        <is>
          <t>EffectiveHits</t>
        </is>
      </c>
      <c r="H3423" s="5" t="inlineStr">
        <is>
          <t>ProcProbability</t>
        </is>
      </c>
      <c r="I3423" s="5" t="inlineStr">
        <is>
          <t>MapleHeroMultiplier</t>
        </is>
      </c>
      <c r="J3423" s="5" t="inlineStr">
        <is>
          <t>BaseDamage</t>
        </is>
      </c>
      <c r="K3423" s="5" t="inlineStr">
        <is>
          <t>BaseHitDamage</t>
        </is>
      </c>
      <c r="L3423" s="5" t="inlineStr">
        <is>
          <t>NonCritAvg</t>
        </is>
      </c>
      <c r="M3423" s="5" t="inlineStr">
        <is>
          <t>CritAvg</t>
        </is>
      </c>
      <c r="N3423" s="5" t="inlineStr">
        <is>
          <t>ExpectedDamage(perHit)</t>
        </is>
      </c>
      <c r="O3423" s="5" t="inlineStr">
        <is>
          <t>DPS</t>
        </is>
      </c>
      <c r="P3423" s="5" t="inlineStr">
        <is>
          <t>% of Total</t>
        </is>
      </c>
      <c r="Q3423" s="5" t="inlineStr">
        <is>
          <t>InvCooldown</t>
        </is>
      </c>
      <c r="R3423" s="5" t="inlineStr">
        <is>
          <t>CastsInFight</t>
        </is>
      </c>
      <c r="S3423" s="5" t="inlineStr">
        <is>
          <t>HitRate(perSec)</t>
        </is>
      </c>
      <c r="U3423" t="inlineStr">
        <is>
          <t>helpers</t>
        </is>
      </c>
    </row>
    <row r="3424">
      <c r="A3424">
        <f>Skills!A2</f>
        <v/>
      </c>
      <c r="B3424">
        <f>Skills!B2</f>
        <v/>
      </c>
      <c r="C3424">
        <f>Inputs!$B$3&gt;=100</f>
        <v/>
      </c>
      <c r="D3424" t="inlineStr"/>
      <c r="E3424" t="inlineStr"/>
      <c r="F3424">
        <f>U3426+Skills!O2</f>
        <v/>
      </c>
      <c r="G3424">
        <f>Skills!G2*IF(Skills!H2&gt;0,Skills!I2/Skills!H2,1)</f>
        <v/>
      </c>
      <c r="H3424">
        <f>1-(1-Skills!J2/100)^Skills!K2</f>
        <v/>
      </c>
      <c r="I3424" t="inlineStr">
        <is>
          <t>1</t>
        </is>
      </c>
      <c r="J3424">
        <f>((Inputs!$B$6*(1+Inputs!$B$7/100))+(((Inputs!$B$12*(1+Inputs!$B$13/100))-(Inputs!$B$12*(1+Inputs!$B$13/100)))+0.25*(Inputs!$B$14-Inputs!$B$14))*(1+Inputs!$B$7/100))*(F3424/100)</f>
        <v/>
      </c>
      <c r="K3424">
        <f>J3424*(1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3424)</f>
        <v/>
      </c>
      <c r="L3424">
        <f>K3424*(MIN(Inputs!$B$22+((C3447=TRUE)*(F3447-Calc!F25)),(Inputs!$B$23+((C3452=TRUE)*(F3452-Calc!F30))+(IF(ArtifactsInput!$M$15,CHOOSE(ArtifactsInput!$N$15+1,25,30,35,40,45,50)/100*(Inputs!$B$11-Inputs!$B$11),0))))/100+(Inputs!$B$23+((C3452=TRUE)*(F3452-Calc!F30))+(IF(ArtifactsInput!$M$15,CHOOSE(ArtifactsInput!$N$15+1,25,30,35,40,45,50)/100*(Inputs!$B$11-Inputs!$B$11),0)))/100)/2</f>
        <v/>
      </c>
      <c r="M3424">
        <f>L3424*(1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24">
        <f>L3424*(1-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3424*(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24">
        <f>(1-Summary!$B$11)*T3424+Summary!$B$11*V3424</f>
        <v/>
      </c>
      <c r="P3424">
        <f>IF(B3466=0,0,O3424/B3466)</f>
        <v/>
      </c>
      <c r="Q3424" t="n">
        <v>0</v>
      </c>
      <c r="R3424" t="n">
        <v>0</v>
      </c>
      <c r="S3424">
        <f>IFERROR(O3424/N3424,0)</f>
        <v/>
      </c>
      <c r="T3424">
        <f>IF(C3424,(Skills!G2*N3424*B3460)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3424*(1-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3424*(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3424*(1-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3424*(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24">
        <f>MAX(0,(Inputs!$B$3-100)*3)+Inputs!$B$28+Inputs!$B$29</f>
        <v/>
      </c>
      <c r="V3424">
        <f>IF(C3424,(Skills!G2*N3424*B3460)*IF(Inputs!$B$38="pvp",1,(1+(Inputs!$B$21+Skills!Q2+(IF(ArtifactsInput!$M$33,CHOOSE(ArtifactsInput!$N$33+1,30,36,42,48,54,60),0))+(IF(AND(ArtifactsInput!$M$35,Inputs!$B$4&lt;&gt;"Chapter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25">
      <c r="A3425">
        <f>Skills!A3</f>
        <v/>
      </c>
      <c r="B3425">
        <f>Skills!B3</f>
        <v/>
      </c>
      <c r="C3425">
        <f>Inputs!$B$3&gt;=50</f>
        <v/>
      </c>
      <c r="D3425">
        <f>IF(Skills!C3=1,60+Inputs!$B$25+Inputs!$B$29,IF(Skills!C3=2,90+Inputs!$B$26+Inputs!$B$29,IF(Skills!C3=3,120+Inputs!$B$27+Inputs!$B$29,MAX(0,(Inputs!$B$3-100)*3)+Inputs!$B$28+Inputs!$B$29)))</f>
        <v/>
      </c>
      <c r="E3425">
        <f>INDEX(FactorTable!$B$2:$Y$301, MATCH(ROUND(MIN(300,MAX(1,D3425)),0), FactorTable!$A$2:$A$301,0), Skills!M3+1)</f>
        <v/>
      </c>
      <c r="F3425">
        <f>IF(Skills!N3=TRUE,(Skills!L3/10)*(E3425/1000),Skills!L3/10)+Skills!O3</f>
        <v/>
      </c>
      <c r="G3425">
        <f>Skills!G3*IF(Skills!H3&gt;0,Skills!I3/Skills!H3,1)</f>
        <v/>
      </c>
      <c r="H3425">
        <f>1-(1-Skills!J3/100)^Skills!K3</f>
        <v/>
      </c>
      <c r="I3425" t="inlineStr">
        <is>
          <t>1</t>
        </is>
      </c>
      <c r="J3425">
        <f>((Inputs!$B$6*(1+Inputs!$B$7/100))+(((Inputs!$B$12*(1+Inputs!$B$13/100))-(Inputs!$B$12*(1+Inputs!$B$13/100)))+0.25*(Inputs!$B$14-Inputs!$B$14))*(1+Inputs!$B$7/100))*(F3425/100)</f>
        <v/>
      </c>
      <c r="K3425">
        <f>J3425*(1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3426=TRUE,F3426,0)/100)*(1+(IF(Skills!A3="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3425)</f>
        <v/>
      </c>
      <c r="L3425">
        <f>K3425*(MIN(Inputs!$B$22+((C3447=TRUE)*(F3447-Calc!F25)),(Inputs!$B$23+((C3452=TRUE)*(F3452-Calc!F30))+(IF(ArtifactsInput!$M$15,CHOOSE(ArtifactsInput!$N$15+1,25,30,35,40,45,50)/100*(Inputs!$B$11-Inputs!$B$11),0))))/100+(Inputs!$B$23+((C3452=TRUE)*(F3452-Calc!F30))+(IF(ArtifactsInput!$M$15,CHOOSE(ArtifactsInput!$N$15+1,25,30,35,40,45,50)/100*(Inputs!$B$11-Inputs!$B$11),0)))/100)/2</f>
        <v/>
      </c>
      <c r="M3425">
        <f>L3425*(1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25">
        <f>L3425*(1-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3425*(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25">
        <f>(1-Summary!$B$11)*T3425+Summary!$B$11*V3425</f>
        <v/>
      </c>
      <c r="P3425">
        <f>IF(B3466=0,0,O3425/B3466)</f>
        <v/>
      </c>
      <c r="Q3425">
        <f>IFERROR(1/(IF(Inputs!$B$38="pvp",15,MAX(0.1,Skills!D3-IF(Skills!E3=TRUE,5.0,0)))*(1-IF(AND(ArtifactsInput!$M$27,Inputs!$B$4="Chapter Hunt"),CHOOSE(ArtifactsInput!$N$27+1,20,24,28,32,36,40),0)/100)),0)</f>
        <v/>
      </c>
      <c r="R3425">
        <f>IF(AND(Inputs!$B$38&lt;&gt;"pvp",Inputs!$B$43&gt;0),IF(MAX(0,Inputs!$B$43-B3463)&lt;=0,0,(INT(MAX(0,Inputs!$B$43-B3463)/(IF(Inputs!$B$38="pvp",15,MAX(0.1,Skills!D3-IF(Skills!E3=TRUE,5.0,0)))*(1-IF(AND(ArtifactsInput!$M$27,Inputs!$B$4="Chapter Hunt"),CHOOSE(ArtifactsInput!$N$27+1,20,24,28,32,36,40),0)/100)))+1)),0)</f>
        <v/>
      </c>
      <c r="S3425">
        <f>IFERROR(O3425/N3425,0)</f>
        <v/>
      </c>
      <c r="T3425">
        <f>IF(C3425,(H3425*N3425*IF(AND(Inputs!$B$38&lt;&gt;"pvp",Inputs!$B$43&gt;0),((Skills!G3*((R3425-1)*IF(Skills!H3&gt;0,Skills!I3/Skills!H3,1)+IF(Skills!H3&gt;0,MIN(Skills!I3,MAX(0,MAX(0,Inputs!$B$43-B3463)-((R3425-1)*(IF(Inputs!$B$38="pvp",15,MAX(0.1,Skills!D3-IF(Skills!E3=TRUE,5.0,0)))*(1-IF(AND(ArtifactsInput!$M$27,Inputs!$B$4="Chapter Hunt"),CHOOSE(ArtifactsInput!$N$27+1,20,24,28,32,36,40),0)/100)))))/Skills!H3,1)))/Inputs!$B$43),G3425*Q3425)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3425*(1-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3425*(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3425*(1-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3425*(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25">
        <f>INDEX(FactorTable!$B$2:$Y$301, MATCH(ROUND(MIN(300,MAX(1,U3424)),0), FactorTable!$A$2:$A$301,0), 22)</f>
        <v/>
      </c>
      <c r="V3425">
        <f>IF(C3425,(H3425*N3425*IF(AND(Inputs!$B$38&lt;&gt;"pvp",Inputs!$B$43&gt;0),((Skills!G3*((R3425-1)*IF(Skills!H3&gt;0,Skills!I3/Skills!H3,1)+IF(Skills!H3&gt;0,MIN(Skills!I3,MAX(0,MAX(0,Inputs!$B$43-B3463)-((R3425-1)*(IF(Inputs!$B$38="pvp",15,MAX(0.1,Skills!D3-IF(Skills!E3=TRUE,5.0,0)))*(1-IF(AND(ArtifactsInput!$M$27,Inputs!$B$4="Chapter Hunt"),CHOOSE(ArtifactsInput!$N$27+1,20,24,28,32,36,40),0)/100)))))/Skills!H3,1)))/Inputs!$B$43),G3425*Q3425))*IF(Inputs!$B$38="pvp",1,(1+(Inputs!$B$21+Skills!Q3+(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26">
      <c r="A3426">
        <f>Skills!A4</f>
        <v/>
      </c>
      <c r="B3426">
        <f>Skills!B4</f>
        <v/>
      </c>
      <c r="C3426">
        <f>Inputs!$B$3&gt;=105</f>
        <v/>
      </c>
      <c r="D3426">
        <f>IF(Skills!C4=1,60+Inputs!$B$25+Inputs!$B$29,IF(Skills!C4=2,90+Inputs!$B$26+Inputs!$B$29,IF(Skills!C4=3,120+Inputs!$B$27+Inputs!$B$29,MAX(0,(Inputs!$B$3-100)*3)+Inputs!$B$28+Inputs!$B$29)))</f>
        <v/>
      </c>
      <c r="E3426">
        <f>INDEX(FactorTable!$B$2:$Y$301, MATCH(ROUND(MIN(300,MAX(1,D3426)),0), FactorTable!$A$2:$A$301,0), Skills!M4+1)</f>
        <v/>
      </c>
      <c r="F3426">
        <f>IF(Skills!N4=TRUE,(Skills!L4/10)*(E3426/1000),Skills!L4/10)+Skills!O4</f>
        <v/>
      </c>
      <c r="G3426" t="inlineStr"/>
      <c r="H3426" t="inlineStr"/>
      <c r="I3426" t="inlineStr">
        <is>
          <t>1</t>
        </is>
      </c>
      <c r="J3426" t="inlineStr"/>
      <c r="K3426" t="inlineStr"/>
      <c r="L3426" t="inlineStr"/>
      <c r="M3426" t="inlineStr"/>
      <c r="N3426" t="inlineStr"/>
      <c r="O3426" t="inlineStr"/>
      <c r="P3426" t="inlineStr"/>
      <c r="Q3426" t="inlineStr"/>
      <c r="R3426" t="inlineStr"/>
      <c r="S3426" t="inlineStr"/>
      <c r="T3426" t="inlineStr"/>
      <c r="U3426">
        <f>290*U3425/1000</f>
        <v/>
      </c>
      <c r="V3426" t="inlineStr"/>
    </row>
    <row r="3427">
      <c r="A3427">
        <f>Skills!A5</f>
        <v/>
      </c>
      <c r="B3427">
        <f>Skills!B5</f>
        <v/>
      </c>
      <c r="C3427">
        <f>Inputs!$B$3&gt;=35</f>
        <v/>
      </c>
      <c r="D3427">
        <f>IF(Skills!C5=1,60+Inputs!$B$25+Inputs!$B$29,IF(Skills!C5=2,90+Inputs!$B$26+Inputs!$B$29,IF(Skills!C5=3,120+Inputs!$B$27+Inputs!$B$29,MAX(0,(Inputs!$B$3-100)*3)+Inputs!$B$28+Inputs!$B$29)))</f>
        <v/>
      </c>
      <c r="E3427">
        <f>INDEX(FactorTable!$B$2:$Y$301, MATCH(ROUND(MIN(300,MAX(1,D3427)),0), FactorTable!$A$2:$A$301,0), Skills!M5+1)</f>
        <v/>
      </c>
      <c r="F3427">
        <f>IF(Skills!N5=TRUE,(Skills!L5/10)*(E3427/1000),Skills!L5/10)+Skills!O5</f>
        <v/>
      </c>
      <c r="G3427">
        <f>Skills!G5*IF(Skills!H5&gt;0,Skills!I5/Skills!H5,1)</f>
        <v/>
      </c>
      <c r="H3427">
        <f>1-(1-Skills!J5/100)^Skills!K5</f>
        <v/>
      </c>
      <c r="I3427" t="inlineStr">
        <is>
          <t>1</t>
        </is>
      </c>
      <c r="J3427">
        <f>((Inputs!$B$6*(1+Inputs!$B$7/100))+(((Inputs!$B$12*(1+Inputs!$B$13/100))-(Inputs!$B$12*(1+Inputs!$B$13/100)))+0.25*(Inputs!$B$14-Inputs!$B$14))*(1+Inputs!$B$7/100))*(F3427/100)</f>
        <v/>
      </c>
      <c r="K3427">
        <f>J3427*(1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3433=TRUE,F3433,0)/100)*(1+(IF(Skills!A5="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3427)</f>
        <v/>
      </c>
      <c r="L3427">
        <f>K3427*(MIN(Inputs!$B$22+((C3447=TRUE)*(F3447-Calc!F25)),(Inputs!$B$23+((C3452=TRUE)*(F3452-Calc!F30))+(IF(ArtifactsInput!$M$15,CHOOSE(ArtifactsInput!$N$15+1,25,30,35,40,45,50)/100*(Inputs!$B$11-Inputs!$B$11),0))))/100+(Inputs!$B$23+((C3452=TRUE)*(F3452-Calc!F30))+(IF(ArtifactsInput!$M$15,CHOOSE(ArtifactsInput!$N$15+1,25,30,35,40,45,50)/100*(Inputs!$B$11-Inputs!$B$11),0)))/100)/2</f>
        <v/>
      </c>
      <c r="M3427">
        <f>L3427*(1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27">
        <f>L3427*(1-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3427*(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27">
        <f>(1-Summary!$B$11)*T3427+Summary!$B$11*V3427</f>
        <v/>
      </c>
      <c r="P3427">
        <f>IF(B3466=0,0,O3427/B3466)</f>
        <v/>
      </c>
      <c r="Q3427">
        <f>IFERROR(1/(IF(Inputs!$B$38="pvp",15,MAX(0.1,Skills!D5-IF(Skills!E5=TRUE,5.0,0)))*(1-IF(AND(ArtifactsInput!$M$27,Inputs!$B$4="Chapter Hunt"),CHOOSE(ArtifactsInput!$N$27+1,20,24,28,32,36,40),0)/100)),0)</f>
        <v/>
      </c>
      <c r="R3427">
        <f>IF(AND(Inputs!$B$38&lt;&gt;"pvp",Inputs!$B$43&gt;0),IF(MAX(0,Inputs!$B$43-B3463)&lt;=0,0,(INT(MAX(0,Inputs!$B$43-B3463)/(IF(Inputs!$B$38="pvp",15,MAX(0.1,Skills!D5-IF(Skills!E5=TRUE,5.0,0)))*(1-IF(AND(ArtifactsInput!$M$27,Inputs!$B$4="Chapter Hunt"),CHOOSE(ArtifactsInput!$N$27+1,20,24,28,32,36,40),0)/100)))+1)),0)</f>
        <v/>
      </c>
      <c r="S3427">
        <f>IFERROR(O3427/N3427,0)</f>
        <v/>
      </c>
      <c r="T3427">
        <f>IF(C3427,(H3427*N3427*IF(AND(Inputs!$B$38&lt;&gt;"pvp",Inputs!$B$43&gt;0),((Skills!G5*((R3427-1)*IF(Skills!H5&gt;0,Skills!I5/Skills!H5,1)+IF(Skills!H5&gt;0,MIN(Skills!I5,MAX(0,MAX(0,Inputs!$B$43-B3463)-((R3427-1)*(IF(Inputs!$B$38="pvp",15,MAX(0.1,Skills!D5-IF(Skills!E5=TRUE,5.0,0)))*(1-IF(AND(ArtifactsInput!$M$27,Inputs!$B$4="Chapter Hunt"),CHOOSE(ArtifactsInput!$N$27+1,20,24,28,32,36,40),0)/100)))))/Skills!H5,1)))/Inputs!$B$43),G3427*Q3427))*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3427*(1-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3427*(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3427*(1-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3427*(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27">
        <f>IF(C3427,(H3427*N3427*IF(AND(Inputs!$B$38&lt;&gt;"pvp",Inputs!$B$43&gt;0),((Skills!G5*((R3427-1)*IF(Skills!H5&gt;0,Skills!I5/Skills!H5,1)+IF(Skills!H5&gt;0,MIN(Skills!I5,MAX(0,MAX(0,Inputs!$B$43-B3463)-((R3427-1)*(IF(Inputs!$B$38="pvp",15,MAX(0.1,Skills!D5-IF(Skills!E5=TRUE,5.0,0)))*(1-IF(AND(ArtifactsInput!$M$27,Inputs!$B$4="Chapter Hunt"),CHOOSE(ArtifactsInput!$N$27+1,20,24,28,32,36,40),0)/100)))))/Skills!H5,1)))/Inputs!$B$43),G3427*Q3427))*IF(Inputs!$B$38="pvp",1,(1+(Inputs!$B$21+Skills!Q5+(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28">
      <c r="A3428">
        <f>Skills!A6</f>
        <v/>
      </c>
      <c r="B3428">
        <f>Skills!B6</f>
        <v/>
      </c>
      <c r="C3428">
        <f>Inputs!$B$3&gt;=40</f>
        <v/>
      </c>
      <c r="D3428">
        <f>IF(Skills!C6=1,60+Inputs!$B$25+Inputs!$B$29,IF(Skills!C6=2,90+Inputs!$B$26+Inputs!$B$29,IF(Skills!C6=3,120+Inputs!$B$27+Inputs!$B$29,MAX(0,(Inputs!$B$3-100)*3)+Inputs!$B$28+Inputs!$B$29)))</f>
        <v/>
      </c>
      <c r="E3428">
        <f>INDEX(FactorTable!$B$2:$Y$301, MATCH(ROUND(MIN(300,MAX(1,D3428)),0), FactorTable!$A$2:$A$301,0), Skills!M6+1)</f>
        <v/>
      </c>
      <c r="F3428">
        <f>IF(Skills!N6=TRUE,(Skills!L6/10)*(E3428/1000),Skills!L6/10)+Skills!O6</f>
        <v/>
      </c>
      <c r="G3428">
        <f>Skills!G6*IF(Skills!H6&gt;0,Skills!I6/Skills!H6,1)</f>
        <v/>
      </c>
      <c r="H3428">
        <f>1-(1-Skills!J6/100)^Skills!K6</f>
        <v/>
      </c>
      <c r="I3428" t="inlineStr">
        <is>
          <t>1</t>
        </is>
      </c>
      <c r="J3428">
        <f>((Inputs!$B$6*(1+Inputs!$B$7/100))+(((Inputs!$B$12*(1+Inputs!$B$13/100))-(Inputs!$B$12*(1+Inputs!$B$13/100)))+0.25*(Inputs!$B$14-Inputs!$B$14))*(1+Inputs!$B$7/100))*(F3428/100)</f>
        <v/>
      </c>
      <c r="K3428">
        <f>J3428*(1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3429=TRUE,F3429,0)/100)*(1+(IF(Skills!A6="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3428)</f>
        <v/>
      </c>
      <c r="L3428">
        <f>K3428*(MIN(Inputs!$B$22+((C3447=TRUE)*(F3447-Calc!F25)),(Inputs!$B$23+((C3452=TRUE)*(F3452-Calc!F30))+(IF(ArtifactsInput!$M$15,CHOOSE(ArtifactsInput!$N$15+1,25,30,35,40,45,50)/100*(Inputs!$B$11-Inputs!$B$11),0))))/100+(Inputs!$B$23+((C3452=TRUE)*(F3452-Calc!F30))+(IF(ArtifactsInput!$M$15,CHOOSE(ArtifactsInput!$N$15+1,25,30,35,40,45,50)/100*(Inputs!$B$11-Inputs!$B$11),0)))/100)/2</f>
        <v/>
      </c>
      <c r="M3428">
        <f>L3428*(1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28">
        <f>L3428*(1-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3428*(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28">
        <f>(1-Summary!$B$11)*T3428+Summary!$B$11*V3428</f>
        <v/>
      </c>
      <c r="P3428">
        <f>IF(B3466=0,0,O3428/B3466)</f>
        <v/>
      </c>
      <c r="Q3428">
        <f>IFERROR(1/(IF(Inputs!$B$38="pvp",15,MAX(0.1,Skills!D6-IF(Skills!E6=TRUE,5.0,0)))*(1-IF(AND(ArtifactsInput!$M$27,Inputs!$B$4="Chapter Hunt"),CHOOSE(ArtifactsInput!$N$27+1,20,24,28,32,36,40),0)/100)),0)</f>
        <v/>
      </c>
      <c r="R3428">
        <f>IF(AND(Inputs!$B$38&lt;&gt;"pvp",Inputs!$B$43&gt;0),IF(MAX(0,Inputs!$B$43-B3463)&lt;=0,0,(INT(MAX(0,Inputs!$B$43-B3463)/(IF(Inputs!$B$38="pvp",15,MAX(0.1,Skills!D6-IF(Skills!E6=TRUE,5.0,0)))*(1-IF(AND(ArtifactsInput!$M$27,Inputs!$B$4="Chapter Hunt"),CHOOSE(ArtifactsInput!$N$27+1,20,24,28,32,36,40),0)/100)))+1)),0)</f>
        <v/>
      </c>
      <c r="S3428">
        <f>IFERROR(O3428/N3428,0)</f>
        <v/>
      </c>
      <c r="T3428">
        <f>IF(C3428,(H3428*N3428*IF(AND(Inputs!$B$38&lt;&gt;"pvp",Inputs!$B$43&gt;0),((Skills!G6*((R3428-1)*IF(Skills!H6&gt;0,Skills!I6/Skills!H6,1)+IF(Skills!H6&gt;0,MIN(Skills!I6,MAX(0,MAX(0,Inputs!$B$43-B3463)-((R3428-1)*(IF(Inputs!$B$38="pvp",15,MAX(0.1,Skills!D6-IF(Skills!E6=TRUE,5.0,0)))*(1-IF(AND(ArtifactsInput!$M$27,Inputs!$B$4="Chapter Hunt"),CHOOSE(ArtifactsInput!$N$27+1,20,24,28,32,36,40),0)/100)))))/Skills!H6,1)))/Inputs!$B$43),G3428*Q3428))*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3428*(1-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3428*(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3428*(1-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3428*(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28">
        <f>IF(C3428,(H3428*N3428*IF(AND(Inputs!$B$38&lt;&gt;"pvp",Inputs!$B$43&gt;0),((Skills!G6*((R3428-1)*IF(Skills!H6&gt;0,Skills!I6/Skills!H6,1)+IF(Skills!H6&gt;0,MIN(Skills!I6,MAX(0,MAX(0,Inputs!$B$43-B3463)-((R3428-1)*(IF(Inputs!$B$38="pvp",15,MAX(0.1,Skills!D6-IF(Skills!E6=TRUE,5.0,0)))*(1-IF(AND(ArtifactsInput!$M$27,Inputs!$B$4="Chapter Hunt"),CHOOSE(ArtifactsInput!$N$27+1,20,24,28,32,36,40),0)/100)))))/Skills!H6,1)))/Inputs!$B$43),G3428*Q3428))*IF(Inputs!$B$38="pvp",1,(1+(Inputs!$B$21+Skills!Q6+(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29">
      <c r="A3429">
        <f>Skills!A7</f>
        <v/>
      </c>
      <c r="B3429">
        <f>Skills!B7</f>
        <v/>
      </c>
      <c r="C3429">
        <f>Inputs!$B$3&gt;=107</f>
        <v/>
      </c>
      <c r="D3429">
        <f>IF(Skills!C7=1,60+Inputs!$B$25+Inputs!$B$29,IF(Skills!C7=2,90+Inputs!$B$26+Inputs!$B$29,IF(Skills!C7=3,120+Inputs!$B$27+Inputs!$B$29,MAX(0,(Inputs!$B$3-100)*3)+Inputs!$B$28+Inputs!$B$29)))</f>
        <v/>
      </c>
      <c r="E3429">
        <f>INDEX(FactorTable!$B$2:$Y$301, MATCH(ROUND(MIN(300,MAX(1,D3429)),0), FactorTable!$A$2:$A$301,0), Skills!M7+1)</f>
        <v/>
      </c>
      <c r="F3429">
        <f>IF(Skills!N7=TRUE,(Skills!L7/10)*(E3429/1000),Skills!L7/10)+Skills!O7</f>
        <v/>
      </c>
      <c r="G3429" t="inlineStr"/>
      <c r="H3429" t="inlineStr"/>
      <c r="I3429" t="inlineStr">
        <is>
          <t>1</t>
        </is>
      </c>
      <c r="J3429" t="inlineStr"/>
      <c r="K3429" t="inlineStr"/>
      <c r="L3429" t="inlineStr"/>
      <c r="M3429" t="inlineStr"/>
      <c r="N3429" t="inlineStr"/>
      <c r="O3429" t="inlineStr"/>
      <c r="P3429" t="inlineStr"/>
      <c r="Q3429" t="inlineStr"/>
      <c r="R3429" t="inlineStr"/>
      <c r="S3429" t="inlineStr"/>
      <c r="T3429" t="inlineStr"/>
      <c r="V3429" t="inlineStr"/>
    </row>
    <row r="3430">
      <c r="A3430">
        <f>Skills!A8</f>
        <v/>
      </c>
      <c r="B3430">
        <f>Skills!B8</f>
        <v/>
      </c>
      <c r="C3430">
        <f>Inputs!$B$3&gt;=69</f>
        <v/>
      </c>
      <c r="D3430">
        <f>IF(Skills!C8=1,60+Inputs!$B$25+Inputs!$B$29,IF(Skills!C8=2,90+Inputs!$B$26+Inputs!$B$29,IF(Skills!C8=3,120+Inputs!$B$27+Inputs!$B$29,MAX(0,(Inputs!$B$3-100)*3)+Inputs!$B$28+Inputs!$B$29)))</f>
        <v/>
      </c>
      <c r="E3430">
        <f>INDEX(FactorTable!$B$2:$Y$301, MATCH(ROUND(MIN(300,MAX(1,D3430)),0), FactorTable!$A$2:$A$301,0), Skills!M8+1)</f>
        <v/>
      </c>
      <c r="F3430">
        <f>IF(Skills!N8=TRUE,(Skills!L8/10)*(E3430/1000),Skills!L8/10)+Skills!O8</f>
        <v/>
      </c>
      <c r="G3430">
        <f>Skills!G8*IF(Skills!H8&gt;0,Skills!I8/Skills!H8,1)</f>
        <v/>
      </c>
      <c r="H3430">
        <f>1-(1-Skills!J8/100)^Skills!K8</f>
        <v/>
      </c>
      <c r="I3430" t="inlineStr">
        <is>
          <t>1</t>
        </is>
      </c>
      <c r="J3430">
        <f>((Inputs!$B$6*(1+Inputs!$B$7/100))+(((Inputs!$B$12*(1+Inputs!$B$13/100))-(Inputs!$B$12*(1+Inputs!$B$13/100)))+0.25*(Inputs!$B$14-Inputs!$B$14))*(1+Inputs!$B$7/100))*(F3430/100)</f>
        <v/>
      </c>
      <c r="K3430">
        <f>J3430*(1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3433=TRUE,F3433,0)/100)*(1+(IF(Skills!A8="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3430)</f>
        <v/>
      </c>
      <c r="L3430">
        <f>K3430*(MIN(Inputs!$B$22+((C3447=TRUE)*(F3447-Calc!F25)),(Inputs!$B$23+((C3452=TRUE)*(F3452-Calc!F30))+(IF(ArtifactsInput!$M$15,CHOOSE(ArtifactsInput!$N$15+1,25,30,35,40,45,50)/100*(Inputs!$B$11-Inputs!$B$11),0))))/100+(Inputs!$B$23+((C3452=TRUE)*(F3452-Calc!F30))+(IF(ArtifactsInput!$M$15,CHOOSE(ArtifactsInput!$N$15+1,25,30,35,40,45,50)/100*(Inputs!$B$11-Inputs!$B$11),0)))/100)/2</f>
        <v/>
      </c>
      <c r="M3430">
        <f>L3430*(1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0">
        <f>L3430*(1-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3430*(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0">
        <f>(1-Summary!$B$11)*T3430+Summary!$B$11*V3430</f>
        <v/>
      </c>
      <c r="P3430">
        <f>IF(B3466=0,0,O3430/B3466)</f>
        <v/>
      </c>
      <c r="Q3430">
        <f>IFERROR(1/(IF(Inputs!$B$38="pvp",15,MAX(0.1,Skills!D8-IF(Skills!E8=TRUE,5.0,0)))*(1-IF(AND(ArtifactsInput!$M$27,Inputs!$B$4="Chapter Hunt"),CHOOSE(ArtifactsInput!$N$27+1,20,24,28,32,36,40),0)/100)),0)</f>
        <v/>
      </c>
      <c r="R3430">
        <f>IF(AND(Inputs!$B$38&lt;&gt;"pvp",Inputs!$B$43&gt;0),IF(MAX(0,Inputs!$B$43-B3463)&lt;=0,0,(INT(MAX(0,Inputs!$B$43-B3463)/(IF(Inputs!$B$38="pvp",15,MAX(0.1,Skills!D8-IF(Skills!E8=TRUE,5.0,0)))*(1-IF(AND(ArtifactsInput!$M$27,Inputs!$B$4="Chapter Hunt"),CHOOSE(ArtifactsInput!$N$27+1,20,24,28,32,36,40),0)/100)))+1)),0)</f>
        <v/>
      </c>
      <c r="S3430">
        <f>IFERROR(O3430/N3430,0)</f>
        <v/>
      </c>
      <c r="T3430">
        <f>IF(C3430,(H3430*N3430*IF(AND(Inputs!$B$38&lt;&gt;"pvp",Inputs!$B$43&gt;0),((Skills!G8*((R3430-1)*IF(Skills!H8&gt;0,Skills!I8/Skills!H8,1)+IF(Skills!H8&gt;0,MIN(Skills!I8,MAX(0,MAX(0,Inputs!$B$43-B3463)-((R3430-1)*(IF(Inputs!$B$38="pvp",15,MAX(0.1,Skills!D8-IF(Skills!E8=TRUE,5.0,0)))*(1-IF(AND(ArtifactsInput!$M$27,Inputs!$B$4="Chapter Hunt"),CHOOSE(ArtifactsInput!$N$27+1,20,24,28,32,36,40),0)/100)))))/Skills!H8,1)))/Inputs!$B$43),G3430*Q3430))*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3430*(1-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3430*(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3430*(1-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3430*(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30">
        <f>IF(C3430,(H3430*N3430*IF(AND(Inputs!$B$38&lt;&gt;"pvp",Inputs!$B$43&gt;0),((Skills!G8*((R3430-1)*IF(Skills!H8&gt;0,Skills!I8/Skills!H8,1)+IF(Skills!H8&gt;0,MIN(Skills!I8,MAX(0,MAX(0,Inputs!$B$43-B3463)-((R3430-1)*(IF(Inputs!$B$38="pvp",15,MAX(0.1,Skills!D8-IF(Skills!E8=TRUE,5.0,0)))*(1-IF(AND(ArtifactsInput!$M$27,Inputs!$B$4="Chapter Hunt"),CHOOSE(ArtifactsInput!$N$27+1,20,24,28,32,36,40),0)/100)))))/Skills!H8,1)))/Inputs!$B$43),G3430*Q3430))*IF(Inputs!$B$38="pvp",1,(1+(Inputs!$B$21+Skills!Q8+(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31">
      <c r="A3431">
        <f>Skills!A9</f>
        <v/>
      </c>
      <c r="B3431">
        <f>Skills!B9</f>
        <v/>
      </c>
      <c r="C3431">
        <f>Inputs!$B$3&gt;=63</f>
        <v/>
      </c>
      <c r="D3431">
        <f>IF(Skills!C9=1,60+Inputs!$B$25+Inputs!$B$29,IF(Skills!C9=2,90+Inputs!$B$26+Inputs!$B$29,IF(Skills!C9=3,120+Inputs!$B$27+Inputs!$B$29,MAX(0,(Inputs!$B$3-100)*3)+Inputs!$B$28+Inputs!$B$29)))</f>
        <v/>
      </c>
      <c r="E3431">
        <f>INDEX(FactorTable!$B$2:$Y$301, MATCH(ROUND(MIN(300,MAX(1,D3431)),0), FactorTable!$A$2:$A$301,0), Skills!M9+1)</f>
        <v/>
      </c>
      <c r="F3431">
        <f>IF(Skills!N9=TRUE,(Skills!L9/10)*(E3431/1000),Skills!L9/10)+Skills!O9</f>
        <v/>
      </c>
      <c r="G3431">
        <f>Skills!G9*IF(Skills!H9&gt;0,Skills!I9/Skills!H9,1)</f>
        <v/>
      </c>
      <c r="H3431">
        <f>1-(1-Skills!J9/100)^Skills!K9</f>
        <v/>
      </c>
      <c r="I3431" t="inlineStr">
        <is>
          <t>1</t>
        </is>
      </c>
      <c r="J3431">
        <f>((Inputs!$B$6*(1+Inputs!$B$7/100))+(((Inputs!$B$12*(1+Inputs!$B$13/100))-(Inputs!$B$12*(1+Inputs!$B$13/100)))+0.25*(Inputs!$B$14-Inputs!$B$14))*(1+Inputs!$B$7/100))*(F3431/100)</f>
        <v/>
      </c>
      <c r="K3431">
        <f>J3431*(1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3433=TRUE,F3433,0)/100)*(1+(IF(Skills!A9="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3431)</f>
        <v/>
      </c>
      <c r="L3431">
        <f>K3431*(MIN(Inputs!$B$22+((C3447=TRUE)*(F3447-Calc!F25)),(Inputs!$B$23+((C3452=TRUE)*(F3452-Calc!F30))+(IF(ArtifactsInput!$M$15,CHOOSE(ArtifactsInput!$N$15+1,25,30,35,40,45,50)/100*(Inputs!$B$11-Inputs!$B$11),0))))/100+(Inputs!$B$23+((C3452=TRUE)*(F3452-Calc!F30))+(IF(ArtifactsInput!$M$15,CHOOSE(ArtifactsInput!$N$15+1,25,30,35,40,45,50)/100*(Inputs!$B$11-Inputs!$B$11),0)))/100)/2</f>
        <v/>
      </c>
      <c r="M3431">
        <f>L3431*(1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1">
        <f>L3431*(1-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1">
        <f>(1-Summary!$B$11)*T3431+Summary!$B$11*V3431</f>
        <v/>
      </c>
      <c r="P3431">
        <f>IF(B3466=0,0,O3431/B3466)</f>
        <v/>
      </c>
      <c r="Q3431">
        <f>IFERROR(1/(IF(Inputs!$B$38="pvp",15,MAX(0.1,Skills!D9-IF(Skills!E9=TRUE,5.0,0)))*(1-IF(AND(ArtifactsInput!$M$27,Inputs!$B$4="Chapter Hunt"),CHOOSE(ArtifactsInput!$N$27+1,20,24,28,32,36,40),0)/100)),0)</f>
        <v/>
      </c>
      <c r="R3431">
        <f>IF(AND(Inputs!$B$38&lt;&gt;"pvp",Inputs!$B$43&gt;0),IF(MAX(0,Inputs!$B$43-B3463)&lt;=0,0,(INT(MAX(0,Inputs!$B$43-B3463)/(IF(Inputs!$B$38="pvp",15,MAX(0.1,Skills!D9-IF(Skills!E9=TRUE,5.0,0)))*(1-IF(AND(ArtifactsInput!$M$27,Inputs!$B$4="Chapter Hunt"),CHOOSE(ArtifactsInput!$N$27+1,20,24,28,32,36,40),0)/100)))+1)),0)</f>
        <v/>
      </c>
      <c r="S3431">
        <f>IFERROR(O3431/N3431,0)</f>
        <v/>
      </c>
      <c r="T3431">
        <f>IF(C3431,(H3431*N3431*IF(AND(Inputs!$B$38&lt;&gt;"pvp",Inputs!$B$43&gt;0),((Skills!G9*((R3431-1)*IF(Skills!H9&gt;0,Skills!I9/Skills!H9,1)+IF(Skills!H9&gt;0,MIN(Skills!I9,MAX(0,MAX(0,Inputs!$B$43-B3463)-((R3431-1)*(IF(Inputs!$B$38="pvp",15,MAX(0.1,Skills!D9-IF(Skills!E9=TRUE,5.0,0)))*(1-IF(AND(ArtifactsInput!$M$27,Inputs!$B$4="Chapter Hunt"),CHOOSE(ArtifactsInput!$N$27+1,20,24,28,32,36,40),0)/100)))))/Skills!H9,1)))/Inputs!$B$43),G3431*Q3431))*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3431*(1-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3431*(1-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31">
        <f>IF(C3431,(H3431*N3431*IF(AND(Inputs!$B$38&lt;&gt;"pvp",Inputs!$B$43&gt;0),((Skills!G9*((R3431-1)*IF(Skills!H9&gt;0,Skills!I9/Skills!H9,1)+IF(Skills!H9&gt;0,MIN(Skills!I9,MAX(0,MAX(0,Inputs!$B$43-B3463)-((R3431-1)*(IF(Inputs!$B$38="pvp",15,MAX(0.1,Skills!D9-IF(Skills!E9=TRUE,5.0,0)))*(1-IF(AND(ArtifactsInput!$M$27,Inputs!$B$4="Chapter Hunt"),CHOOSE(ArtifactsInput!$N$27+1,20,24,28,32,36,40),0)/100)))))/Skills!H9,1)))/Inputs!$B$43),G3431*Q3431))*IF(Inputs!$B$38="pvp",1,(1+(Inputs!$B$21+Skills!Q9+(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32">
      <c r="A3432">
        <f>Skills!A10</f>
        <v/>
      </c>
      <c r="B3432">
        <f>Skills!B10</f>
        <v/>
      </c>
      <c r="C3432">
        <f>Inputs!$B$3&gt;=103</f>
        <v/>
      </c>
      <c r="D3432">
        <f>IF(Skills!C10=1,60+Inputs!$B$25+Inputs!$B$29,IF(Skills!C10=2,90+Inputs!$B$26+Inputs!$B$29,IF(Skills!C10=3,120+Inputs!$B$27+Inputs!$B$29,MAX(0,(Inputs!$B$3-100)*3)+Inputs!$B$28+Inputs!$B$29)))</f>
        <v/>
      </c>
      <c r="E3432">
        <f>INDEX(FactorTable!$B$2:$Y$301, MATCH(ROUND(MIN(300,MAX(1,D3432)),0), FactorTable!$A$2:$A$301,0), Skills!M10+1)</f>
        <v/>
      </c>
      <c r="F3432">
        <f>IF(Skills!N10=TRUE,(Skills!L10/10)*(E3432/1000),Skills!L10/10)+Skills!O10</f>
        <v/>
      </c>
      <c r="G3432">
        <f>Skills!G10*IF(Skills!H10&gt;0,Skills!I10/Skills!H10,1)</f>
        <v/>
      </c>
      <c r="H3432">
        <f>1-(1-Skills!J10/100)^Skills!K10</f>
        <v/>
      </c>
      <c r="I3432" t="inlineStr">
        <is>
          <t>1</t>
        </is>
      </c>
      <c r="J3432">
        <f>((Inputs!$B$6*(1+Inputs!$B$7/100))+(((Inputs!$B$12*(1+Inputs!$B$13/100))-(Inputs!$B$12*(1+Inputs!$B$13/100)))+0.25*(Inputs!$B$14-Inputs!$B$14))*(1+Inputs!$B$7/100))*(F3432/100)</f>
        <v/>
      </c>
      <c r="K3432">
        <f>J3432*(1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3432)</f>
        <v/>
      </c>
      <c r="L3432">
        <f>K3432*(MIN(Inputs!$B$22+((C3447=TRUE)*(F3447-Calc!F25)),(Inputs!$B$23+((C3452=TRUE)*(F3452-Calc!F30))+(IF(ArtifactsInput!$M$15,CHOOSE(ArtifactsInput!$N$15+1,25,30,35,40,45,50)/100*(Inputs!$B$11-Inputs!$B$11),0))))/100+(Inputs!$B$23+((C3452=TRUE)*(F3452-Calc!F30))+(IF(ArtifactsInput!$M$15,CHOOSE(ArtifactsInput!$N$15+1,25,30,35,40,45,50)/100*(Inputs!$B$11-Inputs!$B$11),0)))/100)/2</f>
        <v/>
      </c>
      <c r="M3432">
        <f>L3432*(1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2">
        <f>L3432*(1-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3432*(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2">
        <f>(1-Summary!$B$11)*T3432+Summary!$B$11*V3432</f>
        <v/>
      </c>
      <c r="P3432">
        <f>IF(B3466=0,0,O3432/B3466)</f>
        <v/>
      </c>
      <c r="Q3432">
        <f>IFERROR(1/(IF(Inputs!$B$38="pvp",15,MAX(0.1,Skills!D10-IF(Skills!E10=TRUE,5.0,0)))*(1-IF(AND(ArtifactsInput!$M$27,Inputs!$B$4="Chapter Hunt"),CHOOSE(ArtifactsInput!$N$27+1,20,24,28,32,36,40),0)/100)),0)</f>
        <v/>
      </c>
      <c r="R3432">
        <f>IF(AND(Inputs!$B$38&lt;&gt;"pvp",Inputs!$B$43&gt;0),IF(MAX(0,Inputs!$B$43-B3463)&lt;=0,0,(INT(MAX(0,Inputs!$B$43-B3463)/(IF(Inputs!$B$38="pvp",15,MAX(0.1,Skills!D10-IF(Skills!E10=TRUE,5.0,0)))*(1-IF(AND(ArtifactsInput!$M$27,Inputs!$B$4="Chapter Hunt"),CHOOSE(ArtifactsInput!$N$27+1,20,24,28,32,36,40),0)/100)))+1)),0)</f>
        <v/>
      </c>
      <c r="S3432">
        <f>IFERROR(O3432/N3432,0)</f>
        <v/>
      </c>
      <c r="T3432">
        <f>IF(C3432,(H3432*N3432*IF(AND(Inputs!$B$38&lt;&gt;"pvp",Inputs!$B$43&gt;0),((Skills!G10*((R3432-1)*IF(Skills!H10&gt;0,Skills!I10/Skills!H10,1)+IF(Skills!H10&gt;0,MIN(Skills!I10,MAX(0,MAX(0,Inputs!$B$43-B3463)-((R3432-1)*(IF(Inputs!$B$38="pvp",15,MAX(0.1,Skills!D10-IF(Skills!E10=TRUE,5.0,0)))*(1-IF(AND(ArtifactsInput!$M$27,Inputs!$B$4="Chapter Hunt"),CHOOSE(ArtifactsInput!$N$27+1,20,24,28,32,36,40),0)/100)))))/Skills!H10,1)))/Inputs!$B$43),G3432*Q3432))*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3432*(1-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3432*(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3432*(1-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3432*(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32">
        <f>IF(C3432,(H3432*N3432*IF(AND(Inputs!$B$38&lt;&gt;"pvp",Inputs!$B$43&gt;0),((Skills!G10*((R3432-1)*IF(Skills!H10&gt;0,Skills!I10/Skills!H10,1)+IF(Skills!H10&gt;0,MIN(Skills!I10,MAX(0,MAX(0,Inputs!$B$43-B3463)-((R3432-1)*(IF(Inputs!$B$38="pvp",15,MAX(0.1,Skills!D10-IF(Skills!E10=TRUE,5.0,0)))*(1-IF(AND(ArtifactsInput!$M$27,Inputs!$B$4="Chapter Hunt"),CHOOSE(ArtifactsInput!$N$27+1,20,24,28,32,36,40),0)/100)))))/Skills!H10,1)))/Inputs!$B$43),G3432*Q3432))*IF(Inputs!$B$38="pvp",1,(1+(Inputs!$B$21+Skills!Q10+(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33">
      <c r="A3433">
        <f>Skills!A11</f>
        <v/>
      </c>
      <c r="B3433">
        <f>Skills!B11</f>
        <v/>
      </c>
      <c r="C3433">
        <f>Inputs!$B$3&gt;=100</f>
        <v/>
      </c>
      <c r="D3433">
        <f>IF(Skills!C11=1,60+Inputs!$B$25+Inputs!$B$29,IF(Skills!C11=2,90+Inputs!$B$26+Inputs!$B$29,IF(Skills!C11=3,120+Inputs!$B$27+Inputs!$B$29,MAX(0,(Inputs!$B$3-100)*3)+Inputs!$B$28+Inputs!$B$29)))</f>
        <v/>
      </c>
      <c r="E3433">
        <f>INDEX(FactorTable!$B$2:$Y$301, MATCH(ROUND(MIN(300,MAX(1,D3433)),0), FactorTable!$A$2:$A$301,0), Skills!M11+1)</f>
        <v/>
      </c>
      <c r="F3433">
        <f>IF(Skills!N11=TRUE,(Skills!L11/10)*(E3433/1000),Skills!L11/10)+Skills!O11</f>
        <v/>
      </c>
      <c r="G3433" t="inlineStr"/>
      <c r="H3433" t="inlineStr"/>
      <c r="I3433" t="inlineStr">
        <is>
          <t>1</t>
        </is>
      </c>
      <c r="J3433" t="inlineStr"/>
      <c r="K3433" t="inlineStr"/>
      <c r="L3433" t="inlineStr"/>
      <c r="M3433" t="inlineStr"/>
      <c r="N3433" t="inlineStr"/>
      <c r="O3433" t="inlineStr"/>
      <c r="P3433" t="inlineStr"/>
      <c r="Q3433" t="inlineStr"/>
      <c r="R3433" t="inlineStr"/>
      <c r="S3433" t="inlineStr"/>
      <c r="T3433" t="inlineStr"/>
      <c r="V3433" t="inlineStr"/>
    </row>
    <row r="3434">
      <c r="A3434">
        <f>Skills!A12</f>
        <v/>
      </c>
      <c r="B3434">
        <f>Skills!B12</f>
        <v/>
      </c>
      <c r="C3434">
        <f>Inputs!$B$3&gt;=60</f>
        <v/>
      </c>
      <c r="D3434">
        <f>IF(Skills!C12=1,60+Inputs!$B$25+Inputs!$B$29,IF(Skills!C12=2,90+Inputs!$B$26+Inputs!$B$29,IF(Skills!C12=3,120+Inputs!$B$27+Inputs!$B$29,MAX(0,(Inputs!$B$3-100)*3)+Inputs!$B$28+Inputs!$B$29)))</f>
        <v/>
      </c>
      <c r="E3434">
        <f>INDEX(FactorTable!$B$2:$Y$301, MATCH(ROUND(MIN(300,MAX(1,D3434)),0), FactorTable!$A$2:$A$301,0), Skills!M12+1)</f>
        <v/>
      </c>
      <c r="F3434">
        <f>IF(Skills!N12=TRUE,(Skills!L12/10)*(E3434/1000),Skills!L12/10)+Skills!O12</f>
        <v/>
      </c>
      <c r="G3434">
        <f>Skills!G12*IF(Skills!H12&gt;0,Skills!I12/Skills!H12,1)</f>
        <v/>
      </c>
      <c r="H3434">
        <f>1-(1-Skills!J12/100)^Skills!K12</f>
        <v/>
      </c>
      <c r="I3434" t="inlineStr">
        <is>
          <t>1</t>
        </is>
      </c>
      <c r="J3434">
        <f>((Inputs!$B$6*(1+Inputs!$B$7/100))+(((Inputs!$B$12*(1+Inputs!$B$13/100))-(Inputs!$B$12*(1+Inputs!$B$13/100)))+0.25*(Inputs!$B$14-Inputs!$B$14))*(1+Inputs!$B$7/100))*(F3434/100)</f>
        <v/>
      </c>
      <c r="K3434">
        <f>J3434*(1+((Inputs!$B$12*(1+Inputs!$B$13/100))*0.01+Inputs!$B$14*0.0025)/100)*(1+Inputs!$B$15/100)*(1+Inputs!$B$16/100)*(5000/(6000+Inputs!$B$42*(1-(100*(1-(1-(Inputs!$B$19+((C3450=TRUE)*(F3450-Calc!F28)))/100)*(1-CHOOSE(ArtifactsInput!$N$40+1,5,6,7,8,9,10)/100)^(ArtifactsInput!$M$40-ArtifactsInput!$M$40)))/100)))*(1+(Inputs!$B$24+((C3448=TRUE)*(F3448-Calc!F26))+((C3449=TRUE)*(F3449-Calc!F27))+B3462)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3435=TRUE,F3435,0)/100)*(1+(IF(Skills!A12="ARROW_STREAM",Inputs!$B$17+((C3446=TRUE)*(F3446-Calc!F24))+(((IF(AND(ArtifactsInput!$M$42,((Inputs!$B$9+((C3443=TRUE)*(F3443-Calc!F21))+B3456+(ArtifactsInput!$M$24-ArtifactsInput!$M$24)*CHOOSE(ArtifactsInput!$N$24+1,10,12,14,16,18,20)+IF(ArtifactsInput!$M$10,CHOOSE(ArtifactsInput!$N$10+1,15,18,21,24,27,30)*(IF(Inputs!$B$38="pvp",MIN(15,15)/15,IF(AND(Inputs!$B$38&lt;&gt;"pvp",Inputs!$B$43&gt;0),MIN(15,Inputs!$B$43)/(Inputs!$B$43),0))),0)))&gt;=100),MIN(100,((Inputs!$B$9+((C3443=TRUE)*(F3443-Calc!F21))+B3456+(ArtifactsInput!$M$24-ArtifactsInput!$M$24)*CHOOSE(ArtifactsInput!$N$24+1,10,12,14,16,18,20)+IF(ArtifactsInput!$M$10,CHOOSE(ArtifactsInput!$N$10+1,15,18,21,24,27,30)*(IF(Inputs!$B$38="pvp",MIN(15,15)/15,IF(AND(Inputs!$B$38&lt;&gt;"pvp",Inputs!$B$43&gt;0),MIN(15,Inputs!$B$43)/(Inputs!$B$43),0))),0)))-100),0))*CHOOSE(ArtifactsInput!$N$42+1,0.6,0.72,0.84,0.96,1.08,1.2))),Inputs!$B$18+((C3451=TRUE)*(F3451-Calc!F29))+(IF(AND(ArtifactsInput!$M$42,((Inputs!$B$9+((C3443=TRUE)*(F3443-Calc!F21))+B3456+(ArtifactsInput!$M$24-ArtifactsInput!$M$24)*CHOOSE(ArtifactsInput!$N$24+1,10,12,14,16,18,20)+IF(ArtifactsInput!$M$10,CHOOSE(ArtifactsInput!$N$10+1,15,18,21,24,27,30)*(IF(Inputs!$B$38="pvp",MIN(15,15)/15,IF(AND(Inputs!$B$38&lt;&gt;"pvp",Inputs!$B$43&gt;0),MIN(15,Inputs!$B$43)/(Inputs!$B$43),0))),0)))&gt;=100),CHOOSE(ArtifactsInput!$N$42+1,40,48,56,64,72,80),0))))/100)*((1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3434)</f>
        <v/>
      </c>
      <c r="L3434">
        <f>K3434*(MIN(Inputs!$B$22+((C3447=TRUE)*(F3447-Calc!F25)),(Inputs!$B$23+((C3452=TRUE)*(F3452-Calc!F30))+(IF(ArtifactsInput!$M$15,CHOOSE(ArtifactsInput!$N$15+1,25,30,35,40,45,50)/100*(Inputs!$B$11-Inputs!$B$11),0))))/100+(Inputs!$B$23+((C3452=TRUE)*(F3452-Calc!F30))+(IF(ArtifactsInput!$M$15,CHOOSE(ArtifactsInput!$N$15+1,25,30,35,40,45,50)/100*(Inputs!$B$11-Inputs!$B$11),0)))/100)/2</f>
        <v/>
      </c>
      <c r="M3434">
        <f>L3434*(1+(Inputs!$B$10+0+B3461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4">
        <f>L3434*(1-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3434*(MIN((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4">
        <f>(1-Summary!$B$11)*T3434+Summary!$B$11*V3434</f>
        <v/>
      </c>
      <c r="P3434">
        <f>IF(B3466=0,0,O3434/B3466)</f>
        <v/>
      </c>
      <c r="Q3434">
        <f>IFERROR(1/(IF(Inputs!$B$38="pvp",15,MAX(0.1,Skills!D12-IF(Skills!E12=TRUE,5.0,0)))*(1-IF(AND(ArtifactsInput!$M$27,Inputs!$B$4="Chapter Hunt"),CHOOSE(ArtifactsInput!$N$27+1,20,24,28,32,36,40),0)/100)),0)</f>
        <v/>
      </c>
      <c r="R3434">
        <f>IF(AND(Inputs!$B$38&lt;&gt;"pvp",Inputs!$B$43&gt;0),IF(MAX(0,Inputs!$B$43-B3463)&lt;=0,0,(INT(MAX(0,Inputs!$B$43-B3463)/(IF(Inputs!$B$38="pvp",15,MAX(0.1,Skills!D12-IF(Skills!E12=TRUE,5.0,0)))*(1-IF(AND(ArtifactsInput!$M$27,Inputs!$B$4="Chapter Hunt"),CHOOSE(ArtifactsInput!$N$27+1,20,24,28,32,36,40),0)/100)))+1)),0)</f>
        <v/>
      </c>
      <c r="S3434">
        <f>IFERROR(O3434/N3434,0)</f>
        <v/>
      </c>
      <c r="T3434">
        <f>IF(C3434,(H3434*N3434*IF(AND(Inputs!$B$38&lt;&gt;"pvp",Inputs!$B$43&gt;0),((Skills!G12*((R3434-1)*IF(Skills!H12&gt;0,Skills!I12/Skills!H12,1)+IF(Skills!H12&gt;0,MIN(Skills!I12,MAX(0,MAX(0,Inputs!$B$43-B3463)-((R3434-1)*(IF(Inputs!$B$38="pvp",15,MAX(0.1,Skills!D12-IF(Skills!E12=TRUE,5.0,0)))*(1-IF(AND(ArtifactsInput!$M$27,Inputs!$B$4="Chapter Hunt"),CHOOSE(ArtifactsInput!$N$27+1,20,24,28,32,36,40),0)/100)))))/Skills!H12,1)))/Inputs!$B$43),G3434*Q3434))*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(5000/(6000+Inputs!$B$42*(1-(100*(1-(1-(100*(1-(1-(Inputs!$B$19+((C3450=TRUE)*(F3450-Calc!F28)))/100)*(1-CHOOSE(ArtifactsInput!$N$40+1,5,6,7,8,9,10)/100)^(ArtifactsInput!$M$40-ArtifactsInput!$M$40)))/100)*(1-IF(ArtifactsInput!$M$40,CHOOSE(ArtifactsInput!$N$40+1,5,6,7,8,9,10),0)/100)^IF(Inputs!$B$38="pvp",1,2)))/100)))/(5000/(6000+Inputs!$B$42*(1-(100*(1-(1-(Inputs!$B$19+((C3450=TRUE)*(F3450-Calc!F28)))/100)*(1-CHOOSE(ArtifactsInput!$N$40+1,5,6,7,8,9,10)/100)^(ArtifactsInput!$M$40-ArtifactsInput!$M$40)))/100))))*((L3434*(1-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3434*(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3434*(1-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3434*(MIN(100,(Inputs!$B$9+((C3443=TRUE)*(F3443-Calc!F21))+B3456+(ArtifactsInput!$M$24-ArtifactsInput!$M$24)*CHOOSE(ArtifactsInput!$N$24+1,10,12,14,16,18,20)+(IF(AND(ArtifactsInput!$M$42,((Inputs!$B$9+((C3443=TRUE)*(F3443-Calc!F21))+B3456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34">
        <f>IF(C3434,(H3434*N3434*IF(AND(Inputs!$B$38&lt;&gt;"pvp",Inputs!$B$43&gt;0),((Skills!G12*((R3434-1)*IF(Skills!H12&gt;0,Skills!I12/Skills!H12,1)+IF(Skills!H12&gt;0,MIN(Skills!I12,MAX(0,MAX(0,Inputs!$B$43-B3463)-((R3434-1)*(IF(Inputs!$B$38="pvp",15,MAX(0.1,Skills!D12-IF(Skills!E12=TRUE,5.0,0)))*(1-IF(AND(ArtifactsInput!$M$27,Inputs!$B$4="Chapter Hunt"),CHOOSE(ArtifactsInput!$N$27+1,20,24,28,32,36,40),0)/100)))))/Skills!H12,1)))/Inputs!$B$43),G3434*Q3434))*IF(Inputs!$B$38="pvp",1,(1+(Inputs!$B$21+Skills!Q12+(IF(ArtifactsInput!$M$33,CHOOSE(ArtifactsInput!$N$33+1,30,36,42,48,54,60),0))+(IF(AND(ArtifactsInput!$M$35,Inputs!$B$4&lt;&gt;"Chapter Hunt"),CHOOSE(ArtifactsInput!$N$35+1,15,18,21,24,27,30)*(1-EXP(-(0.2*B3458)*5)),0)+IF(AND(ArtifactsInput!$M$22,Inputs!$B$4&lt;&gt;"Chapter Hunt"),CHOOSE(ArtifactsInput!$N$22+1,10,12,14,16,18,20)*((0*(((0.15*B3458*5))^0/1)+1*(((0.15*B3458*5))^1/1)+2*(((0.15*B3458*5))^2/2)+3*(((0.15*B3458*5))^3/6)+4*(((0.15*B3458*5))^4/24)+5*(((0.15*B3458*5))^5/120))/((((0.15*B3458*5))^0/1)+(((0.15*B3458*5))^1/1)+(((0.15*B3458*5))^2/2)+(((0.15*B3458*5))^3/6)+(((0.15*B3458*5))^4/24)+(((0.15*B3458*5))^5/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35">
      <c r="A3435">
        <f>Skills!A13</f>
        <v/>
      </c>
      <c r="B3435">
        <f>Skills!B13</f>
        <v/>
      </c>
      <c r="C3435">
        <f>Inputs!$B$3&gt;=110</f>
        <v/>
      </c>
      <c r="D3435">
        <f>IF(Skills!C13=1,60+Inputs!$B$25+Inputs!$B$29,IF(Skills!C13=2,90+Inputs!$B$26+Inputs!$B$29,IF(Skills!C13=3,120+Inputs!$B$27+Inputs!$B$29,MAX(0,(Inputs!$B$3-100)*3)+Inputs!$B$28+Inputs!$B$29)))</f>
        <v/>
      </c>
      <c r="E3435">
        <f>INDEX(FactorTable!$B$2:$Y$301, MATCH(ROUND(MIN(300,MAX(1,D3435)),0), FactorTable!$A$2:$A$301,0), Skills!M13+1)</f>
        <v/>
      </c>
      <c r="F3435">
        <f>IF(Skills!N13=TRUE,(Skills!L13/10)*(E3435/1000),Skills!L13/10)+Skills!O13</f>
        <v/>
      </c>
      <c r="G3435" t="inlineStr"/>
      <c r="H3435" t="inlineStr"/>
      <c r="I3435" t="inlineStr">
        <is>
          <t>1</t>
        </is>
      </c>
      <c r="J3435" t="inlineStr"/>
      <c r="K3435" t="inlineStr"/>
      <c r="L3435" t="inlineStr"/>
      <c r="M3435" t="inlineStr"/>
      <c r="N3435" t="inlineStr"/>
      <c r="O3435" t="inlineStr"/>
      <c r="P3435" t="inlineStr"/>
      <c r="Q3435" t="inlineStr"/>
      <c r="R3435" t="inlineStr"/>
      <c r="S3435" t="inlineStr"/>
      <c r="T3435" t="inlineStr"/>
      <c r="V3435" t="inlineStr"/>
    </row>
    <row r="3436">
      <c r="A3436">
        <f>Skills!A14</f>
        <v/>
      </c>
      <c r="B3436">
        <f>Skills!B14</f>
        <v/>
      </c>
      <c r="C3436">
        <f>Inputs!$B$3&gt;=74</f>
        <v/>
      </c>
      <c r="D3436">
        <f>IF(Skills!C14=1,60+Inputs!$B$25+Inputs!$B$29,IF(Skills!C14=2,90+Inputs!$B$26+Inputs!$B$29,IF(Skills!C14=3,120+Inputs!$B$27+Inputs!$B$29,MAX(0,(Inputs!$B$3-100)*3)+Inputs!$B$28+Inputs!$B$29)))</f>
        <v/>
      </c>
      <c r="E3436">
        <f>INDEX(FactorTable!$B$2:$Y$301, MATCH(ROUND(MIN(300,MAX(1,D3436)),0), FactorTable!$A$2:$A$301,0), Skills!M14+1)</f>
        <v/>
      </c>
      <c r="F3436">
        <f>IF(Skills!N14=TRUE,(Skills!L14/10)*(E3436/1000),Skills!L14/10)+Skills!O14</f>
        <v/>
      </c>
      <c r="G3436">
        <f>Skills!G14*IF(Skills!H14&gt;0,Skills!I14/Skills!H14,1)</f>
        <v/>
      </c>
      <c r="H3436">
        <f>1-(1-Skills!J14/100)^Skills!K14</f>
        <v/>
      </c>
      <c r="I3436" t="inlineStr">
        <is>
          <t>1</t>
        </is>
      </c>
      <c r="J3436" t="inlineStr"/>
      <c r="K3436" t="inlineStr"/>
      <c r="L3436" t="inlineStr"/>
      <c r="M3436" t="inlineStr"/>
      <c r="N3436" t="inlineStr"/>
      <c r="O3436">
        <f>(1-Summary!$B$11)*T3436+Summary!$B$11*V3436</f>
        <v/>
      </c>
      <c r="P3436">
        <f>IF(B3466=0,0,O3436/B3466)</f>
        <v/>
      </c>
      <c r="Q3436" t="n">
        <v>0</v>
      </c>
      <c r="R3436" t="n">
        <v>0</v>
      </c>
      <c r="S3436">
        <f>IFERROR(O3436/N3436,0)</f>
        <v/>
      </c>
      <c r="T3436" t="n">
        <v>0</v>
      </c>
      <c r="V3436" t="n">
        <v>0</v>
      </c>
    </row>
    <row r="3437">
      <c r="A3437">
        <f>Skills!A15</f>
        <v/>
      </c>
      <c r="B3437">
        <f>Skills!B15</f>
        <v/>
      </c>
      <c r="C3437">
        <f>Inputs!$B$3&gt;=74</f>
        <v/>
      </c>
      <c r="D3437">
        <f>IF(Skills!C15=1,60+Inputs!$B$25+Inputs!$B$29,IF(Skills!C15=2,90+Inputs!$B$26+Inputs!$B$29,IF(Skills!C15=3,120+Inputs!$B$27+Inputs!$B$29,MAX(0,(Inputs!$B$3-100)*3)+Inputs!$B$28+Inputs!$B$29)))</f>
        <v/>
      </c>
      <c r="E3437">
        <f>INDEX(FactorTable!$B$2:$Y$301, MATCH(ROUND(MIN(300,MAX(1,D3437)),0), FactorTable!$A$2:$A$301,0), Skills!M15+1)</f>
        <v/>
      </c>
      <c r="F3437">
        <f>IF(Skills!N15=TRUE,(Skills!L15/10)*(E3437/1000),Skills!L15/10)+Skills!O15</f>
        <v/>
      </c>
      <c r="G3437">
        <f>Skills!G15*IF(Skills!H15&gt;0,Skills!I15/Skills!H15,1)</f>
        <v/>
      </c>
      <c r="H3437">
        <f>1-(1-Skills!J15/100)^Skills!K15</f>
        <v/>
      </c>
      <c r="I3437" t="inlineStr">
        <is>
          <t>1</t>
        </is>
      </c>
      <c r="J3437" t="inlineStr"/>
      <c r="K3437" t="inlineStr"/>
      <c r="L3437" t="inlineStr"/>
      <c r="M3437" t="inlineStr"/>
      <c r="N3437" t="inlineStr"/>
      <c r="O3437">
        <f>(1-Summary!$B$11)*T3437+Summary!$B$11*V3437</f>
        <v/>
      </c>
      <c r="P3437">
        <f>IF(B3466=0,0,O3437/B3466)</f>
        <v/>
      </c>
      <c r="Q3437" t="n">
        <v>0</v>
      </c>
      <c r="R3437" t="n">
        <v>0</v>
      </c>
      <c r="S3437">
        <f>IFERROR(O3437/N3437,0)</f>
        <v/>
      </c>
      <c r="T3437" t="n">
        <v>0</v>
      </c>
      <c r="V3437" t="n">
        <v>0</v>
      </c>
    </row>
    <row r="3438">
      <c r="A3438">
        <f>Skills!A16</f>
        <v/>
      </c>
      <c r="B3438">
        <f>Skills!B16</f>
        <v/>
      </c>
      <c r="C3438">
        <f>Inputs!$B$3&gt;=117</f>
        <v/>
      </c>
      <c r="D3438">
        <f>IF(Skills!C16=1,60+Inputs!$B$25+Inputs!$B$29,IF(Skills!C16=2,90+Inputs!$B$26+Inputs!$B$29,IF(Skills!C16=3,120+Inputs!$B$27+Inputs!$B$29,MAX(0,(Inputs!$B$3-100)*3)+Inputs!$B$28+Inputs!$B$29)))</f>
        <v/>
      </c>
      <c r="E3438">
        <f>INDEX(FactorTable!$B$2:$Y$301, MATCH(ROUND(MIN(300,MAX(1,D3438)),0), FactorTable!$A$2:$A$301,0), Skills!M16+1)</f>
        <v/>
      </c>
      <c r="F3438">
        <f>IF(Skills!N16=TRUE,(Skills!L16/10)*(E3438/1000),Skills!L16/10)+Skills!O16</f>
        <v/>
      </c>
      <c r="G3438">
        <f>Skills!G16*IF(Skills!H16&gt;0,Skills!I16/Skills!H16,1)</f>
        <v/>
      </c>
      <c r="H3438">
        <f>1-(1-Skills!J16/100)^Skills!K16</f>
        <v/>
      </c>
      <c r="I3438" t="inlineStr">
        <is>
          <t>1</t>
        </is>
      </c>
      <c r="J3438" t="inlineStr"/>
      <c r="K3438" t="inlineStr"/>
      <c r="L3438" t="inlineStr"/>
      <c r="M3438" t="inlineStr"/>
      <c r="N3438" t="inlineStr"/>
      <c r="O3438">
        <f>(1-Summary!$B$11)*T3438+Summary!$B$11*V3438</f>
        <v/>
      </c>
      <c r="P3438">
        <f>IF(B3466=0,0,O3438/B3466)</f>
        <v/>
      </c>
      <c r="Q3438">
        <f>IFERROR(1/(IF(Inputs!$B$38="pvp",15,MAX(0.1,Skills!D16-IF(Skills!E16=TRUE,5.0,0)))*(1-IF(AND(ArtifactsInput!$M$27,Inputs!$B$4="Chapter Hunt"),CHOOSE(ArtifactsInput!$N$27+1,20,24,28,32,36,40),0)/100)),0)</f>
        <v/>
      </c>
      <c r="R3438">
        <f>IF(AND(Inputs!$B$38&lt;&gt;"pvp",Inputs!$B$43&gt;0),IF(Inputs!$B$43&lt;=0,0,(INT(Inputs!$B$43/(IF(Inputs!$B$38="pvp",15,MAX(0.1,Skills!D16-IF(Skills!E16=TRUE,5.0,0)))*(1-IF(AND(ArtifactsInput!$M$27,Inputs!$B$4="Chapter Hunt"),CHOOSE(ArtifactsInput!$N$27+1,20,24,28,32,36,40),0)/100)))+1)),0)</f>
        <v/>
      </c>
      <c r="S3438">
        <f>IFERROR(O3438/N3438,0)</f>
        <v/>
      </c>
      <c r="T3438" t="n">
        <v>0</v>
      </c>
      <c r="V3438" t="n">
        <v>0</v>
      </c>
    </row>
    <row r="3439">
      <c r="A3439">
        <f>Skills!A17</f>
        <v/>
      </c>
      <c r="B3439">
        <f>Skills!B17</f>
        <v/>
      </c>
      <c r="C3439">
        <f>Inputs!$B$3&gt;=115</f>
        <v/>
      </c>
      <c r="D3439">
        <f>IF(Skills!C17=1,60+Inputs!$B$25+Inputs!$B$29,IF(Skills!C17=2,90+Inputs!$B$26+Inputs!$B$29,IF(Skills!C17=3,120+Inputs!$B$27+Inputs!$B$29,MAX(0,(Inputs!$B$3-100)*3)+Inputs!$B$28+Inputs!$B$29)))</f>
        <v/>
      </c>
      <c r="E3439">
        <f>INDEX(FactorTable!$B$2:$Y$301, MATCH(ROUND(MIN(300,MAX(1,D3439)),0), FactorTable!$A$2:$A$301,0), Skills!M17+1)</f>
        <v/>
      </c>
      <c r="F3439">
        <f>IF(Skills!N17=TRUE,(Skills!L17/10)*(E3439/1000),Skills!L17/10)+Skills!O17</f>
        <v/>
      </c>
      <c r="G3439">
        <f>Skills!G17*IF(Skills!H17&gt;0,Skills!I17/Skills!H17,1)</f>
        <v/>
      </c>
      <c r="H3439">
        <f>1-(1-Skills!J17/100)^Skills!K17</f>
        <v/>
      </c>
      <c r="I3439" t="inlineStr">
        <is>
          <t>1</t>
        </is>
      </c>
      <c r="J3439" t="inlineStr"/>
      <c r="K3439" t="inlineStr"/>
      <c r="L3439" t="inlineStr"/>
      <c r="M3439" t="inlineStr"/>
      <c r="N3439" t="inlineStr"/>
      <c r="O3439">
        <f>(1-Summary!$B$11)*T3439+Summary!$B$11*V3439</f>
        <v/>
      </c>
      <c r="P3439">
        <f>IF(B3466=0,0,O3439/B3466)</f>
        <v/>
      </c>
      <c r="Q3439">
        <f>IFERROR(1/(IF(Inputs!$B$38="pvp",15,MAX(0.1,Skills!D17-IF(Skills!E17=TRUE,5.0,0)))*(1-IF(AND(ArtifactsInput!$M$27,Inputs!$B$4="Chapter Hunt"),CHOOSE(ArtifactsInput!$N$27+1,20,24,28,32,36,40),0)/100)),0)</f>
        <v/>
      </c>
      <c r="R3439">
        <f>IF(AND(Inputs!$B$38&lt;&gt;"pvp",Inputs!$B$43&gt;0),IF(Inputs!$B$43&lt;=0,0,(INT(Inputs!$B$43/(IF(Inputs!$B$38="pvp",15,MAX(0.1,Skills!D17-IF(Skills!E17=TRUE,5.0,0)))*(1-IF(AND(ArtifactsInput!$M$27,Inputs!$B$4="Chapter Hunt"),CHOOSE(ArtifactsInput!$N$27+1,20,24,28,32,36,40),0)/100)))+1)),0)</f>
        <v/>
      </c>
      <c r="S3439">
        <f>IFERROR(O3439/N3439,0)</f>
        <v/>
      </c>
      <c r="T3439" t="n">
        <v>0</v>
      </c>
      <c r="V3439" t="n">
        <v>0</v>
      </c>
    </row>
    <row r="3440">
      <c r="A3440">
        <f>Skills!A18</f>
        <v/>
      </c>
      <c r="B3440">
        <f>Skills!B18</f>
        <v/>
      </c>
      <c r="C3440">
        <f>Inputs!$B$3&gt;=66</f>
        <v/>
      </c>
      <c r="D3440">
        <f>IF(Skills!C18=1,60+Inputs!$B$25+Inputs!$B$29,IF(Skills!C18=2,90+Inputs!$B$26+Inputs!$B$29,IF(Skills!C18=3,120+Inputs!$B$27+Inputs!$B$29,MAX(0,(Inputs!$B$3-100)*3)+Inputs!$B$28+Inputs!$B$29)))</f>
        <v/>
      </c>
      <c r="E3440">
        <f>INDEX(FactorTable!$B$2:$Y$301, MATCH(ROUND(MIN(300,MAX(1,D3440)),0), FactorTable!$A$2:$A$301,0), Skills!M18+1)</f>
        <v/>
      </c>
      <c r="F3440">
        <f>IF(Skills!N18=TRUE,(Skills!L18/10)*(E3440/1000),Skills!L18/10)+Skills!O18</f>
        <v/>
      </c>
      <c r="G3440">
        <f>Skills!G18*IF(Skills!H18&gt;0,Skills!I18/Skills!H18,1)</f>
        <v/>
      </c>
      <c r="H3440">
        <f>1-(1-Skills!J18/100)^Skills!K18</f>
        <v/>
      </c>
      <c r="I3440" t="inlineStr">
        <is>
          <t>1</t>
        </is>
      </c>
      <c r="J3440" t="inlineStr"/>
      <c r="K3440" t="inlineStr"/>
      <c r="L3440" t="inlineStr"/>
      <c r="M3440" t="inlineStr"/>
      <c r="N3440" t="inlineStr"/>
      <c r="O3440">
        <f>(1-Summary!$B$11)*T3440+Summary!$B$11*V3440</f>
        <v/>
      </c>
      <c r="P3440">
        <f>IF(B3466=0,0,O3440/B3466)</f>
        <v/>
      </c>
      <c r="Q3440" t="n">
        <v>0</v>
      </c>
      <c r="R3440" t="n">
        <v>0</v>
      </c>
      <c r="S3440">
        <f>IFERROR(O3440/N3440,0)</f>
        <v/>
      </c>
      <c r="T3440" t="n">
        <v>0</v>
      </c>
      <c r="V3440" t="n">
        <v>0</v>
      </c>
    </row>
    <row r="3441">
      <c r="A3441">
        <f>Skills!A19</f>
        <v/>
      </c>
      <c r="B3441">
        <f>Skills!B19</f>
        <v/>
      </c>
      <c r="C3441">
        <f>Inputs!$B$3&gt;=72</f>
        <v/>
      </c>
      <c r="D3441">
        <f>IF(Skills!C19=1,60+Inputs!$B$25+Inputs!$B$29,IF(Skills!C19=2,90+Inputs!$B$26+Inputs!$B$29,IF(Skills!C19=3,120+Inputs!$B$27+Inputs!$B$29,MAX(0,(Inputs!$B$3-100)*3)+Inputs!$B$28+Inputs!$B$29)))</f>
        <v/>
      </c>
      <c r="E3441">
        <f>INDEX(FactorTable!$B$2:$Y$301, MATCH(ROUND(MIN(300,MAX(1,D3441)),0), FactorTable!$A$2:$A$301,0), Skills!M19+1)</f>
        <v/>
      </c>
      <c r="F3441">
        <f>IF(Skills!N19=TRUE,(Skills!L19/10)*(E3441/1000),Skills!L19/10)+Skills!O19</f>
        <v/>
      </c>
      <c r="G3441">
        <f>Skills!G19*IF(Skills!H19&gt;0,Skills!I19/Skills!H19,1)</f>
        <v/>
      </c>
      <c r="H3441">
        <f>1-(1-Skills!J19/100)^Skills!K19</f>
        <v/>
      </c>
      <c r="I3441" t="inlineStr">
        <is>
          <t>1</t>
        </is>
      </c>
      <c r="J3441" t="inlineStr"/>
      <c r="K3441" t="inlineStr"/>
      <c r="L3441" t="inlineStr"/>
      <c r="M3441" t="inlineStr"/>
      <c r="N3441" t="inlineStr"/>
      <c r="O3441">
        <f>(1-Summary!$B$11)*T3441+Summary!$B$11*V3441</f>
        <v/>
      </c>
      <c r="P3441">
        <f>IF(B3466=0,0,O3441/B3466)</f>
        <v/>
      </c>
      <c r="Q3441" t="n">
        <v>0</v>
      </c>
      <c r="R3441" t="n">
        <v>0</v>
      </c>
      <c r="S3441">
        <f>IFERROR(O3441/N3441,0)</f>
        <v/>
      </c>
      <c r="T3441" t="n">
        <v>0</v>
      </c>
      <c r="V3441" t="n">
        <v>0</v>
      </c>
    </row>
    <row r="3442">
      <c r="A3442">
        <f>Skills!A20</f>
        <v/>
      </c>
      <c r="B3442">
        <f>Skills!B20</f>
        <v/>
      </c>
      <c r="C3442">
        <f>TRUE</f>
        <v/>
      </c>
      <c r="D3442">
        <f>IF(Skills!C20=1,60+Inputs!$B$25+Inputs!$B$29,IF(Skills!C20=2,90+Inputs!$B$26+Inputs!$B$29,IF(Skills!C20=3,120+Inputs!$B$27+Inputs!$B$29,MAX(0,(Inputs!$B$3-100)*3)+Inputs!$B$28+Inputs!$B$29)))</f>
        <v/>
      </c>
      <c r="E3442">
        <f>INDEX(FactorTable!$B$2:$Y$301, MATCH(ROUND(MIN(300,MAX(1,D3442)),0), FactorTable!$A$2:$A$301,0), Skills!M20+1)</f>
        <v/>
      </c>
      <c r="F3442">
        <f>IF(Skills!N20=TRUE,(Skills!L20/10)*(E3442/1000),Skills!L20/10)+Skills!O20</f>
        <v/>
      </c>
      <c r="G3442">
        <f>Skills!G20*IF(Skills!H20&gt;0,Skills!I20/Skills!H20,1)</f>
        <v/>
      </c>
      <c r="H3442">
        <f>1-(1-Skills!J20/100)^Skills!K20</f>
        <v/>
      </c>
      <c r="I3442" t="inlineStr">
        <is>
          <t>1</t>
        </is>
      </c>
      <c r="J3442" t="inlineStr"/>
      <c r="K3442" t="inlineStr"/>
      <c r="L3442" t="inlineStr"/>
      <c r="M3442" t="inlineStr"/>
      <c r="N3442" t="inlineStr"/>
      <c r="O3442">
        <f>(1-Summary!$B$11)*T3442+Summary!$B$11*V3442</f>
        <v/>
      </c>
      <c r="P3442">
        <f>IF(B3466=0,0,O3442/B3466)</f>
        <v/>
      </c>
      <c r="Q3442">
        <f>IFERROR(1/(IF(Inputs!$B$38="pvp",15,MAX(0.1,Skills!D20-IF(Skills!E20=TRUE,5.0,0)))*(1-IF(AND(ArtifactsInput!$M$27,Inputs!$B$4="Chapter Hunt"),CHOOSE(ArtifactsInput!$N$27+1,20,24,28,32,36,40),0)/100)),0)</f>
        <v/>
      </c>
      <c r="R3442">
        <f>IF(AND(Inputs!$B$38&lt;&gt;"pvp",Inputs!$B$43&gt;0),IF(Inputs!$B$43&lt;=0,0,(INT(Inputs!$B$43/(IF(Inputs!$B$38="pvp",15,MAX(0.1,Skills!D20-IF(Skills!E20=TRUE,5.0,0)))*(1-IF(AND(ArtifactsInput!$M$27,Inputs!$B$4="Chapter Hunt"),CHOOSE(ArtifactsInput!$N$27+1,20,24,28,32,36,40),0)/100)))+1)),0)</f>
        <v/>
      </c>
      <c r="S3442">
        <f>IFERROR(O3442/N3442,0)</f>
        <v/>
      </c>
      <c r="T3442" t="n">
        <v>0</v>
      </c>
      <c r="V3442" t="n">
        <v>0</v>
      </c>
    </row>
    <row r="3443">
      <c r="A3443">
        <f>Skills!A21</f>
        <v/>
      </c>
      <c r="B3443">
        <f>Skills!B21</f>
        <v/>
      </c>
      <c r="C3443">
        <f>Inputs!$B$3&gt;=15</f>
        <v/>
      </c>
      <c r="D3443">
        <f>IF(Skills!C21=1,60+Inputs!$B$25+Inputs!$B$29,IF(Skills!C21=2,90+Inputs!$B$26+Inputs!$B$29,IF(Skills!C21=3,120+Inputs!$B$27+Inputs!$B$29,MAX(0,(Inputs!$B$3-100)*3)+Inputs!$B$28+Inputs!$B$29)))</f>
        <v/>
      </c>
      <c r="E3443">
        <f>INDEX(FactorTable!$B$2:$Y$301, MATCH(ROUND(MIN(300,MAX(1,D3443)),0), FactorTable!$A$2:$A$301,0), Skills!M21+1)</f>
        <v/>
      </c>
      <c r="F3443">
        <f>IF(Skills!N21=TRUE,(Skills!L21/10)*(E3443/1000),Skills!L21/10)+Skills!O21</f>
        <v/>
      </c>
      <c r="G3443">
        <f>Skills!G21*IF(Skills!H21&gt;0,Skills!I21/Skills!H21,1)</f>
        <v/>
      </c>
      <c r="H3443">
        <f>1-(1-Skills!J21/100)^Skills!K21</f>
        <v/>
      </c>
      <c r="I3443" t="inlineStr">
        <is>
          <t>1</t>
        </is>
      </c>
      <c r="J3443" t="inlineStr"/>
      <c r="K3443" t="inlineStr"/>
      <c r="L3443" t="inlineStr"/>
      <c r="M3443" t="inlineStr"/>
      <c r="N3443" t="inlineStr"/>
      <c r="O3443">
        <f>(1-Summary!$B$11)*T3443+Summary!$B$11*V3443</f>
        <v/>
      </c>
      <c r="P3443">
        <f>IF(B3466=0,0,O3443/B3466)</f>
        <v/>
      </c>
      <c r="Q3443" t="n">
        <v>0</v>
      </c>
      <c r="R3443" t="n">
        <v>0</v>
      </c>
      <c r="S3443">
        <f>IFERROR(O3443/N3443,0)</f>
        <v/>
      </c>
      <c r="T3443" t="n">
        <v>0</v>
      </c>
      <c r="V3443" t="n">
        <v>0</v>
      </c>
    </row>
    <row r="3444">
      <c r="A3444">
        <f>Skills!A22</f>
        <v/>
      </c>
      <c r="B3444">
        <f>Skills!B22</f>
        <v/>
      </c>
      <c r="C3444">
        <f>Inputs!$B$3&gt;=10</f>
        <v/>
      </c>
      <c r="D3444">
        <f>IF(Skills!C22=1,60+Inputs!$B$25+Inputs!$B$29,IF(Skills!C22=2,90+Inputs!$B$26+Inputs!$B$29,IF(Skills!C22=3,120+Inputs!$B$27+Inputs!$B$29,MAX(0,(Inputs!$B$3-100)*3)+Inputs!$B$28+Inputs!$B$29)))</f>
        <v/>
      </c>
      <c r="E3444">
        <f>INDEX(FactorTable!$B$2:$Y$301, MATCH(ROUND(MIN(300,MAX(1,D3444)),0), FactorTable!$A$2:$A$301,0), Skills!M22+1)</f>
        <v/>
      </c>
      <c r="F3444">
        <f>IF(Skills!N22=TRUE,(Skills!L22/10)*(E3444/1000),Skills!L22/10)+Skills!O22</f>
        <v/>
      </c>
      <c r="G3444">
        <f>Skills!G22*IF(Skills!H22&gt;0,Skills!I22/Skills!H22,1)</f>
        <v/>
      </c>
      <c r="H3444">
        <f>1-(1-Skills!J22/100)^Skills!K22</f>
        <v/>
      </c>
      <c r="I3444" t="inlineStr">
        <is>
          <t>1</t>
        </is>
      </c>
      <c r="J3444" t="inlineStr"/>
      <c r="K3444" t="inlineStr"/>
      <c r="L3444" t="inlineStr"/>
      <c r="M3444" t="inlineStr"/>
      <c r="N3444" t="inlineStr"/>
      <c r="O3444">
        <f>(1-Summary!$B$11)*T3444+Summary!$B$11*V3444</f>
        <v/>
      </c>
      <c r="P3444">
        <f>IF(B3466=0,0,O3444/B3466)</f>
        <v/>
      </c>
      <c r="Q3444" t="n">
        <v>0</v>
      </c>
      <c r="R3444" t="n">
        <v>0</v>
      </c>
      <c r="S3444">
        <f>IFERROR(O3444/N3444,0)</f>
        <v/>
      </c>
      <c r="T3444" t="n">
        <v>0</v>
      </c>
      <c r="V3444" t="n">
        <v>0</v>
      </c>
    </row>
    <row r="3445">
      <c r="A3445">
        <f>Skills!A23</f>
        <v/>
      </c>
      <c r="B3445">
        <f>Skills!B23</f>
        <v/>
      </c>
      <c r="C3445">
        <f>Inputs!$B$3&gt;=33</f>
        <v/>
      </c>
      <c r="D3445">
        <f>IF(Skills!C23=1,60+Inputs!$B$25+Inputs!$B$29,IF(Skills!C23=2,90+Inputs!$B$26+Inputs!$B$29,IF(Skills!C23=3,120+Inputs!$B$27+Inputs!$B$29,MAX(0,(Inputs!$B$3-100)*3)+Inputs!$B$28+Inputs!$B$29)))</f>
        <v/>
      </c>
      <c r="E3445">
        <f>INDEX(FactorTable!$B$2:$Y$301, MATCH(ROUND(MIN(300,MAX(1,D3445)),0), FactorTable!$A$2:$A$301,0), Skills!M23+1)</f>
        <v/>
      </c>
      <c r="F3445">
        <f>IF(Skills!N23=TRUE,(Skills!L23/10)*(E3445/1000),Skills!L23/10)+Skills!O23</f>
        <v/>
      </c>
      <c r="G3445">
        <f>Skills!G23*IF(Skills!H23&gt;0,Skills!I23/Skills!H23,1)</f>
        <v/>
      </c>
      <c r="H3445">
        <f>1-(1-Skills!J23/100)^Skills!K23</f>
        <v/>
      </c>
      <c r="I3445" t="inlineStr">
        <is>
          <t>1</t>
        </is>
      </c>
      <c r="J3445" t="inlineStr"/>
      <c r="K3445" t="inlineStr"/>
      <c r="L3445" t="inlineStr"/>
      <c r="M3445" t="inlineStr"/>
      <c r="N3445" t="inlineStr"/>
      <c r="O3445">
        <f>(1-Summary!$B$11)*T3445+Summary!$B$11*V3445</f>
        <v/>
      </c>
      <c r="P3445">
        <f>IF(B3466=0,0,O3445/B3466)</f>
        <v/>
      </c>
      <c r="Q3445" t="n">
        <v>0</v>
      </c>
      <c r="R3445" t="n">
        <v>0</v>
      </c>
      <c r="S3445">
        <f>IFERROR(O3445/N3445,0)</f>
        <v/>
      </c>
      <c r="T3445" t="n">
        <v>0</v>
      </c>
      <c r="V3445" t="n">
        <v>0</v>
      </c>
    </row>
    <row r="3446">
      <c r="A3446">
        <f>Skills!A24</f>
        <v/>
      </c>
      <c r="B3446">
        <f>Skills!B24</f>
        <v/>
      </c>
      <c r="C3446">
        <f>Inputs!$B$3&gt;=38</f>
        <v/>
      </c>
      <c r="D3446">
        <f>IF(Skills!C24=1,60+Inputs!$B$25+Inputs!$B$29,IF(Skills!C24=2,90+Inputs!$B$26+Inputs!$B$29,IF(Skills!C24=3,120+Inputs!$B$27+Inputs!$B$29,MAX(0,(Inputs!$B$3-100)*3)+Inputs!$B$28+Inputs!$B$29)))</f>
        <v/>
      </c>
      <c r="E3446">
        <f>INDEX(FactorTable!$B$2:$Y$301, MATCH(ROUND(MIN(300,MAX(1,D3446)),0), FactorTable!$A$2:$A$301,0), Skills!M24+1)</f>
        <v/>
      </c>
      <c r="F3446">
        <f>IF(Skills!N24=TRUE,(Skills!L24/10)*(E3446/1000),Skills!L24/10)+Skills!O24</f>
        <v/>
      </c>
      <c r="G3446">
        <f>Skills!G24*IF(Skills!H24&gt;0,Skills!I24/Skills!H24,1)</f>
        <v/>
      </c>
      <c r="H3446">
        <f>1-(1-Skills!J24/100)^Skills!K24</f>
        <v/>
      </c>
      <c r="I3446" t="inlineStr">
        <is>
          <t>1</t>
        </is>
      </c>
      <c r="J3446" t="inlineStr"/>
      <c r="K3446" t="inlineStr"/>
      <c r="L3446" t="inlineStr"/>
      <c r="M3446" t="inlineStr"/>
      <c r="N3446" t="inlineStr"/>
      <c r="O3446">
        <f>(1-Summary!$B$11)*T3446+Summary!$B$11*V3446</f>
        <v/>
      </c>
      <c r="P3446">
        <f>IF(B3466=0,0,O3446/B3466)</f>
        <v/>
      </c>
      <c r="Q3446" t="n">
        <v>0</v>
      </c>
      <c r="R3446" t="n">
        <v>0</v>
      </c>
      <c r="S3446">
        <f>IFERROR(O3446/N3446,0)</f>
        <v/>
      </c>
      <c r="T3446" t="n">
        <v>0</v>
      </c>
      <c r="V3446" t="n">
        <v>0</v>
      </c>
    </row>
    <row r="3447">
      <c r="A3447">
        <f>Skills!A25</f>
        <v/>
      </c>
      <c r="B3447">
        <f>Skills!B25</f>
        <v/>
      </c>
      <c r="C3447">
        <f>Inputs!$B$3&gt;=43</f>
        <v/>
      </c>
      <c r="D3447">
        <f>IF(Skills!C25=1,60+Inputs!$B$25+Inputs!$B$29,IF(Skills!C25=2,90+Inputs!$B$26+Inputs!$B$29,IF(Skills!C25=3,120+Inputs!$B$27+Inputs!$B$29,MAX(0,(Inputs!$B$3-100)*3)+Inputs!$B$28+Inputs!$B$29)))</f>
        <v/>
      </c>
      <c r="E3447">
        <f>INDEX(FactorTable!$B$2:$Y$301, MATCH(ROUND(MIN(300,MAX(1,D3447)),0), FactorTable!$A$2:$A$301,0), Skills!M25+1)</f>
        <v/>
      </c>
      <c r="F3447">
        <f>IF(Skills!N25=TRUE,(Skills!L25/10)*(E3447/1000),Skills!L25/10)+Skills!O25</f>
        <v/>
      </c>
      <c r="G3447">
        <f>Skills!G25*IF(Skills!H25&gt;0,Skills!I25/Skills!H25,1)</f>
        <v/>
      </c>
      <c r="H3447">
        <f>1-(1-Skills!J25/100)^Skills!K25</f>
        <v/>
      </c>
      <c r="I3447" t="inlineStr">
        <is>
          <t>1</t>
        </is>
      </c>
      <c r="J3447" t="inlineStr"/>
      <c r="K3447" t="inlineStr"/>
      <c r="L3447" t="inlineStr"/>
      <c r="M3447" t="inlineStr"/>
      <c r="N3447" t="inlineStr"/>
      <c r="O3447">
        <f>(1-Summary!$B$11)*T3447+Summary!$B$11*V3447</f>
        <v/>
      </c>
      <c r="P3447">
        <f>IF(B3466=0,0,O3447/B3466)</f>
        <v/>
      </c>
      <c r="Q3447" t="n">
        <v>0</v>
      </c>
      <c r="R3447" t="n">
        <v>0</v>
      </c>
      <c r="S3447">
        <f>IFERROR(O3447/N3447,0)</f>
        <v/>
      </c>
      <c r="T3447" t="n">
        <v>0</v>
      </c>
      <c r="V3447" t="n">
        <v>0</v>
      </c>
    </row>
    <row r="3448">
      <c r="A3448">
        <f>Skills!A26</f>
        <v/>
      </c>
      <c r="B3448">
        <f>Skills!B26</f>
        <v/>
      </c>
      <c r="C3448">
        <f>Inputs!$B$3&gt;=75</f>
        <v/>
      </c>
      <c r="D3448">
        <f>IF(Skills!C26=1,60+Inputs!$B$25+Inputs!$B$29,IF(Skills!C26=2,90+Inputs!$B$26+Inputs!$B$29,IF(Skills!C26=3,120+Inputs!$B$27+Inputs!$B$29,MAX(0,(Inputs!$B$3-100)*3)+Inputs!$B$28+Inputs!$B$29)))</f>
        <v/>
      </c>
      <c r="E3448">
        <f>INDEX(FactorTable!$B$2:$Y$301, MATCH(ROUND(MIN(300,MAX(1,D3448)),0), FactorTable!$A$2:$A$301,0), Skills!M26+1)</f>
        <v/>
      </c>
      <c r="F3448">
        <f>IF(Skills!N26=TRUE,(Skills!L26/10)*(E3448/1000),Skills!L26/10)+Skills!O26</f>
        <v/>
      </c>
      <c r="G3448">
        <f>Skills!G26*IF(Skills!H26&gt;0,Skills!I26/Skills!H26,1)</f>
        <v/>
      </c>
      <c r="H3448">
        <f>1-(1-Skills!J26/100)^Skills!K26</f>
        <v/>
      </c>
      <c r="I3448" t="inlineStr">
        <is>
          <t>1</t>
        </is>
      </c>
      <c r="J3448" t="inlineStr"/>
      <c r="K3448" t="inlineStr"/>
      <c r="L3448" t="inlineStr"/>
      <c r="M3448" t="inlineStr"/>
      <c r="N3448" t="inlineStr"/>
      <c r="O3448">
        <f>(1-Summary!$B$11)*T3448+Summary!$B$11*V3448</f>
        <v/>
      </c>
      <c r="P3448">
        <f>IF(B3466=0,0,O3448/B3466)</f>
        <v/>
      </c>
      <c r="Q3448" t="n">
        <v>0</v>
      </c>
      <c r="R3448" t="n">
        <v>0</v>
      </c>
      <c r="S3448">
        <f>IFERROR(O3448/N3448,0)</f>
        <v/>
      </c>
      <c r="T3448" t="n">
        <v>0</v>
      </c>
      <c r="V3448" t="n">
        <v>0</v>
      </c>
    </row>
    <row r="3449">
      <c r="A3449">
        <f>Skills!A27</f>
        <v/>
      </c>
      <c r="B3449">
        <f>Skills!B27</f>
        <v/>
      </c>
      <c r="C3449">
        <f>Inputs!$B$3&gt;=125</f>
        <v/>
      </c>
      <c r="D3449">
        <f>IF(Skills!C27=1,60+Inputs!$B$25+Inputs!$B$29,IF(Skills!C27=2,90+Inputs!$B$26+Inputs!$B$29,IF(Skills!C27=3,120+Inputs!$B$27+Inputs!$B$29,MAX(0,(Inputs!$B$3-100)*3)+Inputs!$B$28+Inputs!$B$29)))</f>
        <v/>
      </c>
      <c r="E3449">
        <f>INDEX(FactorTable!$B$2:$Y$301, MATCH(ROUND(MIN(300,MAX(1,D3449)),0), FactorTable!$A$2:$A$301,0), Skills!M27+1)</f>
        <v/>
      </c>
      <c r="F3449">
        <f>IF(Skills!N27=TRUE,(Skills!L27/10)*(E3449/1000),Skills!L27/10)+Skills!O27</f>
        <v/>
      </c>
      <c r="G3449">
        <f>Skills!G27*IF(Skills!H27&gt;0,Skills!I27/Skills!H27,1)</f>
        <v/>
      </c>
      <c r="H3449">
        <f>1-(1-Skills!J27/100)^Skills!K27</f>
        <v/>
      </c>
      <c r="I3449" t="inlineStr">
        <is>
          <t>1</t>
        </is>
      </c>
      <c r="J3449" t="inlineStr"/>
      <c r="K3449" t="inlineStr"/>
      <c r="L3449" t="inlineStr"/>
      <c r="M3449" t="inlineStr"/>
      <c r="N3449" t="inlineStr"/>
      <c r="O3449">
        <f>(1-Summary!$B$11)*T3449+Summary!$B$11*V3449</f>
        <v/>
      </c>
      <c r="P3449">
        <f>IF(B3466=0,0,O3449/B3466)</f>
        <v/>
      </c>
      <c r="Q3449" t="n">
        <v>0</v>
      </c>
      <c r="R3449" t="n">
        <v>0</v>
      </c>
      <c r="S3449">
        <f>IFERROR(O3449/N3449,0)</f>
        <v/>
      </c>
      <c r="T3449" t="n">
        <v>0</v>
      </c>
      <c r="V3449" t="n">
        <v>0</v>
      </c>
    </row>
    <row r="3450">
      <c r="A3450">
        <f>Skills!A28</f>
        <v/>
      </c>
      <c r="B3450">
        <f>Skills!B28</f>
        <v/>
      </c>
      <c r="C3450">
        <f>Inputs!$B$3&gt;=125</f>
        <v/>
      </c>
      <c r="D3450">
        <f>IF(Skills!C28=1,60+Inputs!$B$25+Inputs!$B$29,IF(Skills!C28=2,90+Inputs!$B$26+Inputs!$B$29,IF(Skills!C28=3,120+Inputs!$B$27+Inputs!$B$29,MAX(0,(Inputs!$B$3-100)*3)+Inputs!$B$28+Inputs!$B$29)))</f>
        <v/>
      </c>
      <c r="E3450">
        <f>INDEX(FactorTable!$B$2:$Y$301, MATCH(ROUND(MIN(300,MAX(1,D3450)),0), FactorTable!$A$2:$A$301,0), Skills!M28+1)</f>
        <v/>
      </c>
      <c r="F3450">
        <f>IF(Skills!N28=TRUE,(Skills!L28/10)*(E3450/1000),Skills!L28/10)+Skills!O28</f>
        <v/>
      </c>
      <c r="G3450">
        <f>Skills!G28*IF(Skills!H28&gt;0,Skills!I28/Skills!H28,1)</f>
        <v/>
      </c>
      <c r="H3450">
        <f>1-(1-Skills!J28/100)^Skills!K28</f>
        <v/>
      </c>
      <c r="I3450" t="inlineStr">
        <is>
          <t>1</t>
        </is>
      </c>
      <c r="J3450" t="inlineStr"/>
      <c r="K3450" t="inlineStr"/>
      <c r="L3450" t="inlineStr"/>
      <c r="M3450" t="inlineStr"/>
      <c r="N3450" t="inlineStr"/>
      <c r="O3450">
        <f>(1-Summary!$B$11)*T3450+Summary!$B$11*V3450</f>
        <v/>
      </c>
      <c r="P3450">
        <f>IF(B3466=0,0,O3450/B3466)</f>
        <v/>
      </c>
      <c r="Q3450" t="n">
        <v>0</v>
      </c>
      <c r="R3450" t="n">
        <v>0</v>
      </c>
      <c r="S3450">
        <f>IFERROR(O3450/N3450,0)</f>
        <v/>
      </c>
      <c r="T3450" t="n">
        <v>0</v>
      </c>
      <c r="V3450" t="n">
        <v>0</v>
      </c>
    </row>
    <row r="3451">
      <c r="A3451">
        <f>Skills!A29</f>
        <v/>
      </c>
      <c r="B3451">
        <f>Skills!B29</f>
        <v/>
      </c>
      <c r="C3451">
        <f>Inputs!$B$3&gt;=120</f>
        <v/>
      </c>
      <c r="D3451">
        <f>IF(Skills!C29=1,60+Inputs!$B$25+Inputs!$B$29,IF(Skills!C29=2,90+Inputs!$B$26+Inputs!$B$29,IF(Skills!C29=3,120+Inputs!$B$27+Inputs!$B$29,MAX(0,(Inputs!$B$3-100)*3)+Inputs!$B$28+Inputs!$B$29)))</f>
        <v/>
      </c>
      <c r="E3451">
        <f>INDEX(FactorTable!$B$2:$Y$301, MATCH(ROUND(MIN(300,MAX(1,D3451)),0), FactorTable!$A$2:$A$301,0), Skills!M29+1)</f>
        <v/>
      </c>
      <c r="F3451">
        <f>IF(Skills!N29=TRUE,(Skills!L29/10)*(E3451/1000),Skills!L29/10)+Skills!O29</f>
        <v/>
      </c>
      <c r="G3451">
        <f>Skills!G29*IF(Skills!H29&gt;0,Skills!I29/Skills!H29,1)</f>
        <v/>
      </c>
      <c r="H3451">
        <f>1-(1-Skills!J29/100)^Skills!K29</f>
        <v/>
      </c>
      <c r="I3451" t="inlineStr">
        <is>
          <t>1</t>
        </is>
      </c>
      <c r="J3451" t="inlineStr"/>
      <c r="K3451" t="inlineStr"/>
      <c r="L3451" t="inlineStr"/>
      <c r="M3451" t="inlineStr"/>
      <c r="N3451" t="inlineStr"/>
      <c r="O3451">
        <f>(1-Summary!$B$11)*T3451+Summary!$B$11*V3451</f>
        <v/>
      </c>
      <c r="P3451">
        <f>IF(B3466=0,0,O3451/B3466)</f>
        <v/>
      </c>
      <c r="Q3451" t="n">
        <v>0</v>
      </c>
      <c r="R3451" t="n">
        <v>0</v>
      </c>
      <c r="S3451">
        <f>IFERROR(O3451/N3451,0)</f>
        <v/>
      </c>
      <c r="T3451" t="n">
        <v>0</v>
      </c>
      <c r="V3451" t="n">
        <v>0</v>
      </c>
    </row>
    <row r="3452">
      <c r="A3452">
        <f>Skills!A30</f>
        <v/>
      </c>
      <c r="B3452">
        <f>Skills!B30</f>
        <v/>
      </c>
      <c r="C3452">
        <f>Inputs!$B$3&gt;=120</f>
        <v/>
      </c>
      <c r="D3452">
        <f>IF(Skills!C30=1,60+Inputs!$B$25+Inputs!$B$29,IF(Skills!C30=2,90+Inputs!$B$26+Inputs!$B$29,IF(Skills!C30=3,120+Inputs!$B$27+Inputs!$B$29,MAX(0,(Inputs!$B$3-100)*3)+Inputs!$B$28+Inputs!$B$29)))</f>
        <v/>
      </c>
      <c r="E3452">
        <f>INDEX(FactorTable!$B$2:$Y$301, MATCH(ROUND(MIN(300,MAX(1,D3452)),0), FactorTable!$A$2:$A$301,0), Skills!M30+1)</f>
        <v/>
      </c>
      <c r="F3452">
        <f>IF(Skills!N30=TRUE,(Skills!L30/10)*(E3452/1000),Skills!L30/10)+Skills!O30</f>
        <v/>
      </c>
      <c r="G3452">
        <f>Skills!G30*IF(Skills!H30&gt;0,Skills!I30/Skills!H30,1)</f>
        <v/>
      </c>
      <c r="H3452">
        <f>1-(1-Skills!J30/100)^Skills!K30</f>
        <v/>
      </c>
      <c r="I3452" t="inlineStr">
        <is>
          <t>1</t>
        </is>
      </c>
      <c r="J3452" t="inlineStr"/>
      <c r="K3452" t="inlineStr"/>
      <c r="L3452" t="inlineStr"/>
      <c r="M3452" t="inlineStr"/>
      <c r="N3452" t="inlineStr"/>
      <c r="O3452">
        <f>(1-Summary!$B$11)*T3452+Summary!$B$11*V3452</f>
        <v/>
      </c>
      <c r="P3452">
        <f>IF(B3466=0,0,O3452/B3466)</f>
        <v/>
      </c>
      <c r="Q3452" t="n">
        <v>0</v>
      </c>
      <c r="R3452" t="n">
        <v>0</v>
      </c>
      <c r="S3452">
        <f>IFERROR(O3452/N3452,0)</f>
        <v/>
      </c>
      <c r="T3452" t="n">
        <v>0</v>
      </c>
      <c r="V3452" t="n">
        <v>0</v>
      </c>
    </row>
    <row r="3453">
      <c r="A3453">
        <f>Skills!A31</f>
        <v/>
      </c>
      <c r="B3453">
        <f>Skills!B31</f>
        <v/>
      </c>
      <c r="C3453">
        <f>Inputs!$B$3&gt;=45</f>
        <v/>
      </c>
      <c r="D3453">
        <f>IF(Skills!C31=1,60+Inputs!$B$25+Inputs!$B$29,IF(Skills!C31=2,90+Inputs!$B$26+Inputs!$B$29,IF(Skills!C31=3,120+Inputs!$B$27+Inputs!$B$29,MAX(0,(Inputs!$B$3-100)*3)+Inputs!$B$28+Inputs!$B$29)))</f>
        <v/>
      </c>
      <c r="E3453">
        <f>INDEX(FactorTable!$B$2:$Y$301, MATCH(ROUND(MIN(300,MAX(1,D3453)),0), FactorTable!$A$2:$A$301,0), Skills!M31+1)</f>
        <v/>
      </c>
      <c r="F3453">
        <f>IF(Skills!N31=TRUE,(Skills!L31/10)*(E3453/1000),Skills!L31/10)+Skills!O31</f>
        <v/>
      </c>
      <c r="G3453">
        <f>Skills!G31*IF(Skills!H31&gt;0,Skills!I31/Skills!H31,1)</f>
        <v/>
      </c>
      <c r="H3453">
        <f>1-(1-Skills!J31/100)^Skills!K31</f>
        <v/>
      </c>
      <c r="I3453" t="inlineStr">
        <is>
          <t>1</t>
        </is>
      </c>
      <c r="J3453" t="inlineStr"/>
      <c r="K3453" t="inlineStr"/>
      <c r="L3453" t="inlineStr"/>
      <c r="M3453" t="inlineStr"/>
      <c r="N3453" t="inlineStr"/>
      <c r="O3453">
        <f>(1-Summary!$B$11)*T3453+Summary!$B$11*V3453</f>
        <v/>
      </c>
      <c r="P3453">
        <f>IF(B3466=0,0,O3453/B3466)</f>
        <v/>
      </c>
      <c r="Q3453" t="n">
        <v>0</v>
      </c>
      <c r="R3453" t="n">
        <v>0</v>
      </c>
      <c r="S3453">
        <f>IFERROR(O3453/N3453,0)</f>
        <v/>
      </c>
      <c r="T3453" t="n">
        <v>0</v>
      </c>
      <c r="V3453" t="n">
        <v>0</v>
      </c>
    </row>
    <row r="3455">
      <c r="A3455" t="inlineStr">
        <is>
          <t>Attack% Bucket Multiplier</t>
        </is>
      </c>
      <c r="B3455">
        <f>(1+(((C3436=TRUE)*F3436)+((C3437=TRUE)*IF(Inputs!$B$38="pvp",F3437,(1-Summary!$B$11)*(F3437)+Summary!$B$11*(0)))+((C3438=TRUE)*F3438*IF(AND(Inputs!$B$38&lt;&gt;"pvp",Inputs!$B$43&gt;0),(((R3438-1)*(Skills!T16*(1+Inputs!$B$34/100))+MIN((Skills!T16*(1+Inputs!$B$34/100)),MAX(0,Inputs!$B$43-((R3438-1)*Skills!D16))))/Inputs!$B$43),IF(Inputs!$B$38="pvp",MIN((Skills!T16*(1+Inputs!$B$34/100)),15)/15,(Skills!T16*(1+Inputs!$B$34/100))/Skills!D16)))+((C3453=TRUE)*(F3453-Calc!F31))+(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456">
      <c r="A3456" t="inlineStr">
        <is>
          <t>Global Crit Rate Bonus %</t>
        </is>
      </c>
      <c r="B3456">
        <f>(C3439=TRUE)*20*IF(AND(Inputs!$B$38&lt;&gt;"pvp",Inputs!$B$43&gt;0),(((R3439-1)*(Skills!T17*(1+Inputs!$B$34/100))+MIN((Skills!T17*(1+Inputs!$B$34/100)),MAX(0,Inputs!$B$43-((R3439-1)*Skills!D17))))/Inputs!$B$43),IF(Inputs!$B$38="pvp",MIN((Skills!T17*(1+Inputs!$B$34/100)),15)/15,(Skills!T17*(1+Inputs!$B$34/100))/Skills!D17))</f>
        <v/>
      </c>
    </row>
    <row r="3457">
      <c r="A3457" t="inlineStr">
        <is>
          <t>Attack Speed Buff Bonus %</t>
        </is>
      </c>
      <c r="B3457">
        <f>((C3442=TRUE)*F3442*IF(AND(Inputs!$B$38&lt;&gt;"pvp",Inputs!$B$43&gt;0),(((R3442-1)*(Skills!T20*(1+Inputs!$B$34/100))+MIN((Skills!T20*(1+Inputs!$B$34/100)),MAX(0,Inputs!$B$43-((R3442-1)*Skills!D20))))/Inputs!$B$43),IF(Inputs!$B$38="pvp",MIN((Skills!T20*(1+Inputs!$B$34/100)),15)/15,(Skills!T20*(1+Inputs!$B$34/100))/Skills!D20)))</f>
        <v/>
      </c>
    </row>
    <row r="3458">
      <c r="A3458" t="inlineStr">
        <is>
          <t>Actions Per Second</t>
        </is>
      </c>
      <c r="B3458">
        <f>1+MIN(150,150*(1-(1-(Inputs!$B$11+((C3444=TRUE)*(F3444-Calc!F22))+((C3445=TRUE)*(F3445-Calc!F23)))/150)*(1-B3457/150)))/100</f>
        <v/>
      </c>
    </row>
    <row r="3459">
      <c r="A3459" t="inlineStr">
        <is>
          <t>Skill + Buff Cast Rate</t>
        </is>
      </c>
      <c r="B3459">
        <f>IF(AND(Inputs!$B$38&lt;&gt;"pvp",Inputs!$B$43&gt;0),SUMPRODUCT((Skills!E2:E31=TRUE)*(C3424:C3453=TRUE)*R3424:R3453*Skills!F2:F31)/Inputs!$B$43,SUMPRODUCT((Skills!E2:E31=TRUE)*(C3424:C3453=TRUE)*Q3424:Q3453*Skills!F2:F31))</f>
        <v/>
      </c>
    </row>
    <row r="3460">
      <c r="A3460" t="inlineStr">
        <is>
          <t>Arrow Stream Casts Per Second</t>
        </is>
      </c>
      <c r="B3460">
        <f>MAX(0,B3458-B3459)</f>
        <v/>
      </c>
    </row>
    <row r="3461">
      <c r="A3461" t="inlineStr">
        <is>
          <t>Global Critical Damage Bonus % (Sharp Eyes + Concentration)</t>
        </is>
      </c>
      <c r="B3461">
        <f>(C3439=TRUE)*F3439*IF(AND(Inputs!$B$38&lt;&gt;"pvp",Inputs!$B$43&gt;0),(((R3439-1)*(Skills!T17*(1+Inputs!$B$34/100))+MIN((Skills!T17*(1+Inputs!$B$34/100)),MAX(0,Inputs!$B$43-((R3439-1)*Skills!D17))))/Inputs!$B$43),IF(Inputs!$B$38="pvp",MIN((Skills!T17*(1+Inputs!$B$34/100)),15)/15,(Skills!T17*(1+Inputs!$B$34/100))/Skills!D17))+(C3440=TRUE)*30</f>
        <v/>
      </c>
    </row>
    <row r="3462">
      <c r="A3462" t="inlineStr">
        <is>
          <t>Global Final Damage Bonus % (Mortal Blow)</t>
        </is>
      </c>
      <c r="B3462">
        <f>(C3441=TRUE)*F3441</f>
        <v/>
      </c>
    </row>
    <row r="3463">
      <c r="A3463" t="inlineStr">
        <is>
          <t>Buff-Casting Startup Delay (s, fixed-duration only)</t>
        </is>
      </c>
      <c r="B3463">
        <f>IF(AND(Inputs!$B$38&lt;&gt;"pvp",Inputs!$B$43&gt;0),SUMPRODUCT((Skills!T2:T31&gt;0)*(Skills!E2:E31=TRUE)*(C3424:C3453=TRUE))/B3458,0)</f>
        <v/>
      </c>
    </row>
    <row r="3464">
      <c r="A3464" t="inlineStr">
        <is>
          <t>Boss-Only Total DPS (this block's swept value)</t>
        </is>
      </c>
      <c r="B3464">
        <f>SUM(T3424:T3453)</f>
        <v/>
      </c>
    </row>
    <row r="3465">
      <c r="A3465" t="inlineStr">
        <is>
          <t>Normal-Only Total DPS (this block's swept value)</t>
        </is>
      </c>
      <c r="B3465">
        <f>SUM(V3424:V3453)</f>
        <v/>
      </c>
    </row>
    <row r="3466">
      <c r="A3466" s="6" t="inlineStr">
        <is>
          <t>TOTAL DPS</t>
        </is>
      </c>
      <c r="B3466" s="6">
        <f>SUM(O3424:O3453)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Bowmaster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%",IF((Inputs!$B$9+Summary!$B$14+Artifacts!$B$32)&gt;=100,Sensitivity!H16,Sensitivity!H15),IF(B6="Critical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%",IF((Inputs!$B$9+Summary!$B$14+Artifacts!$B$32)&gt;=100,Sensitivity!H16,Sensitivity!H15),IF(I6="Critical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%",IF((Inputs!$B$9+Summary!$B$14+Artifacts!$B$32)&gt;=100,Sensitivity!H16,Sensitivity!H15),IF(B7="Critical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%",IF((Inputs!$B$9+Summary!$B$14+Artifacts!$B$32)&gt;=100,Sensitivity!H16,Sensitivity!H15),IF(I7="Critical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%",IF((Inputs!$B$9+Summary!$B$14+Artifacts!$B$32)&gt;=100,Sensitivity!H16,Sensitivity!H15),IF(B8="Critical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%",IF((Inputs!$B$9+Summary!$B$14+Artifacts!$B$32)&gt;=100,Sensitivity!H16,Sensitivity!H15),IF(I8="Critical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%",IF((Inputs!$B$9+Summary!$B$14+Artifacts!$B$32)&gt;=100,Sensitivity!H16,Sensitivity!H15),IF(B9="Critical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%",IF((Inputs!$B$9+Summary!$B$14+Artifacts!$B$32)&gt;=100,Sensitivity!H16,Sensitivity!H15),IF(I9="Critical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%",IF((Inputs!$B$9+Summary!$B$14+Artifacts!$B$32)&gt;=100,Sensitivity!H16,Sensitivity!H15),IF(B10="Critical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%",IF((Inputs!$B$9+Summary!$B$14+Artifacts!$B$32)&gt;=100,Sensitivity!H16,Sensitivity!H15),IF(I10="Critical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Q1" s="11" t="inlineStr">
        <is>
          <t>SlotList</t>
        </is>
      </c>
    </row>
    <row r="2">
      <c r="A2" t="inlineStr">
        <is>
          <t>ALL</t>
        </is>
      </c>
      <c r="B2" t="inlineStr">
        <is>
          <t>normal</t>
        </is>
      </c>
      <c r="C2" t="n">
        <v>1</v>
      </c>
      <c r="D2" t="inlineStr">
        <is>
          <t>Critical Rate %</t>
        </is>
      </c>
      <c r="E2" t="n">
        <v>3</v>
      </c>
      <c r="F2" t="n">
        <v>2.5</v>
      </c>
      <c r="G2" t="b">
        <v>0</v>
      </c>
      <c r="H2">
        <f>IF((Inputs!$B$9+Summary!$B$14+Artifacts!$B$32)&gt;=100,Sensitivity!H16,Sensitivity!H15)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IF((Inputs!$B$9+Summary!$B$14+Artifacts!$B$32)&gt;=100,Sensitivity!H16,Sensitivity!H15)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IF((Inputs!$B$9+Summary!$B$14+Artifacts!$B$32)&gt;=100,Sensitivity!H16,Sensitivity!H15)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IF((Inputs!$B$9+Summary!$B$14+Artifacts!$B$32)&gt;=100,Sensitivity!H16,Sensitivity!H15)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IF((Inputs!$B$9+Summary!$B$14+Artifacts!$B$32)&gt;=100,Sensitivity!H16,Sensitivity!H15)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IF((Inputs!$B$9+Summary!$B$14+Artifacts!$B$32)&gt;=100,Sensitivity!H16,Sensitivity!H15)</f>
        <v/>
      </c>
    </row>
    <row r="67">
      <c r="A67" t="inlineStr">
        <is>
          <t>ALL</t>
        </is>
      </c>
      <c r="B67" t="inlineStr">
        <is>
          <t>rare</t>
        </is>
      </c>
      <c r="C67" t="n">
        <v>2</v>
      </c>
      <c r="D67" t="inlineStr">
        <is>
          <t>Critical Rate %</t>
        </is>
      </c>
      <c r="E67" t="n">
        <v>4.5</v>
      </c>
      <c r="F67" t="n">
        <v>0.6</v>
      </c>
      <c r="G67" t="b">
        <v>1</v>
      </c>
      <c r="H67">
        <f>IF((Inputs!$B$9+Summary!$B$14+Artifacts!$B$32)&gt;=100,Sensitivity!H16,Sensitivity!H15)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IF((Inputs!$B$9+Summary!$B$14+Artifacts!$B$32)&gt;=100,Sensitivity!H16,Sensitivity!H15)</f>
        <v/>
      </c>
    </row>
    <row r="99">
      <c r="A99" t="inlineStr">
        <is>
          <t>ALL</t>
        </is>
      </c>
      <c r="B99" t="inlineStr">
        <is>
          <t>rare</t>
        </is>
      </c>
      <c r="C99" t="n">
        <v>3</v>
      </c>
      <c r="D99" t="inlineStr">
        <is>
          <t>Critical Rate %</t>
        </is>
      </c>
      <c r="E99" t="n">
        <v>4.5</v>
      </c>
      <c r="F99" t="n">
        <v>0.2</v>
      </c>
      <c r="G99" t="b">
        <v>1</v>
      </c>
      <c r="H99">
        <f>IF((Inputs!$B$9+Summary!$B$14+Artifacts!$B$32)&gt;=100,Sensitivity!H16,Sensitivity!H15)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IF((Inputs!$B$9+Summary!$B$14+Artifacts!$B$32)&gt;=100,Sensitivity!H16,Sensitivity!H15)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IF((Inputs!$B$9+Summary!$B$14+Artifacts!$B$32)&gt;=100,Sensitivity!H16,Sensitivity!H15)</f>
        <v/>
      </c>
    </row>
    <row r="147">
      <c r="A147" t="inlineStr">
        <is>
          <t>ALL</t>
        </is>
      </c>
      <c r="B147" t="inlineStr">
        <is>
          <t>epic</t>
        </is>
      </c>
      <c r="C147" t="n">
        <v>2</v>
      </c>
      <c r="D147" t="inlineStr">
        <is>
          <t>Critical Rate %</t>
        </is>
      </c>
      <c r="E147" t="n">
        <v>6</v>
      </c>
      <c r="F147" t="n">
        <v>0.6</v>
      </c>
      <c r="G147" t="b">
        <v>1</v>
      </c>
      <c r="H147">
        <f>IF((Inputs!$B$9+Summary!$B$14+Artifacts!$B$32)&gt;=100,Sensitivity!H16,Sensitivity!H15)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IF((Inputs!$B$9+Summary!$B$14+Artifacts!$B$32)&gt;=100,Sensitivity!H16,Sensitivity!H15)</f>
        <v/>
      </c>
    </row>
    <row r="179">
      <c r="A179" t="inlineStr">
        <is>
          <t>ALL</t>
        </is>
      </c>
      <c r="B179" t="inlineStr">
        <is>
          <t>epic</t>
        </is>
      </c>
      <c r="C179" t="n">
        <v>3</v>
      </c>
      <c r="D179" t="inlineStr">
        <is>
          <t>Critical Rate %</t>
        </is>
      </c>
      <c r="E179" t="n">
        <v>6</v>
      </c>
      <c r="F179" t="n">
        <v>0.2</v>
      </c>
      <c r="G179" t="b">
        <v>1</v>
      </c>
      <c r="H179">
        <f>IF((Inputs!$B$9+Summary!$B$14+Artifacts!$B$32)&gt;=100,Sensitivity!H16,Sensitivity!H15)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IF((Inputs!$B$9+Summary!$B$14+Artifacts!$B$32)&gt;=100,Sensitivity!H16,Sensitivity!H15)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IF((Inputs!$B$9+Summary!$B$14+Artifacts!$B$32)&gt;=100,Sensitivity!H16,Sensitivity!H15)</f>
        <v/>
      </c>
    </row>
    <row r="227">
      <c r="A227" t="inlineStr">
        <is>
          <t>ALL</t>
        </is>
      </c>
      <c r="B227" t="inlineStr">
        <is>
          <t>unique</t>
        </is>
      </c>
      <c r="C227" t="n">
        <v>2</v>
      </c>
      <c r="D227" t="inlineStr">
        <is>
          <t>Critical Rate %</t>
        </is>
      </c>
      <c r="E227" t="n">
        <v>9</v>
      </c>
      <c r="F227" t="n">
        <v>0.6</v>
      </c>
      <c r="G227" t="b">
        <v>1</v>
      </c>
      <c r="H227">
        <f>IF((Inputs!$B$9+Summary!$B$14+Artifacts!$B$32)&gt;=100,Sensitivity!H16,Sensitivity!H15)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IF((Inputs!$B$9+Summary!$B$14+Artifacts!$B$32)&gt;=100,Sensitivity!H16,Sensitivity!H15)</f>
        <v/>
      </c>
    </row>
    <row r="259">
      <c r="A259" t="inlineStr">
        <is>
          <t>ALL</t>
        </is>
      </c>
      <c r="B259" t="inlineStr">
        <is>
          <t>unique</t>
        </is>
      </c>
      <c r="C259" t="n">
        <v>3</v>
      </c>
      <c r="D259" t="inlineStr">
        <is>
          <t>Critical Rate %</t>
        </is>
      </c>
      <c r="E259" t="n">
        <v>9</v>
      </c>
      <c r="F259" t="n">
        <v>0.2</v>
      </c>
      <c r="G259" t="b">
        <v>1</v>
      </c>
      <c r="H259">
        <f>IF((Inputs!$B$9+Summary!$B$14+Artifacts!$B$32)&gt;=100,Sensitivity!H16,Sensitivity!H15)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IF((Inputs!$B$9+Summary!$B$14+Artifacts!$B$32)&gt;=100,Sensitivity!H16,Sensitivity!H15)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IF((Inputs!$B$9+Summary!$B$14+Artifacts!$B$32)&gt;=100,Sensitivity!H16,Sensitivity!H15)</f>
        <v/>
      </c>
    </row>
    <row r="307">
      <c r="A307" t="inlineStr">
        <is>
          <t>ALL</t>
        </is>
      </c>
      <c r="B307" t="inlineStr">
        <is>
          <t>legendary</t>
        </is>
      </c>
      <c r="C307" t="n">
        <v>2</v>
      </c>
      <c r="D307" t="inlineStr">
        <is>
          <t>Critical Rate %</t>
        </is>
      </c>
      <c r="E307" t="n">
        <v>12</v>
      </c>
      <c r="F307" t="n">
        <v>0.6</v>
      </c>
      <c r="G307" t="b">
        <v>1</v>
      </c>
      <c r="H307">
        <f>IF((Inputs!$B$9+Summary!$B$14+Artifacts!$B$32)&gt;=100,Sensitivity!H16,Sensitivity!H15)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IF((Inputs!$B$9+Summary!$B$14+Artifacts!$B$32)&gt;=100,Sensitivity!H16,Sensitivity!H15)</f>
        <v/>
      </c>
    </row>
    <row r="339">
      <c r="A339" t="inlineStr">
        <is>
          <t>ALL</t>
        </is>
      </c>
      <c r="B339" t="inlineStr">
        <is>
          <t>legendary</t>
        </is>
      </c>
      <c r="C339" t="n">
        <v>3</v>
      </c>
      <c r="D339" t="inlineStr">
        <is>
          <t>Critical Rate %</t>
        </is>
      </c>
      <c r="E339" t="n">
        <v>12</v>
      </c>
      <c r="F339" t="n">
        <v>0.2</v>
      </c>
      <c r="G339" t="b">
        <v>1</v>
      </c>
      <c r="H339">
        <f>IF((Inputs!$B$9+Summary!$B$14+Artifacts!$B$32)&gt;=100,Sensitivity!H16,Sensitivity!H15)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IF((Inputs!$B$9+Summary!$B$14+Artifacts!$B$32)&gt;=100,Sensitivity!H16,Sensitivity!H15)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IF((Inputs!$B$9+Summary!$B$14+Artifacts!$B$32)&gt;=100,Sensitivity!H16,Sensitivity!H15)</f>
        <v/>
      </c>
    </row>
    <row r="387">
      <c r="A387" t="inlineStr">
        <is>
          <t>ALL</t>
        </is>
      </c>
      <c r="B387" t="inlineStr">
        <is>
          <t>mystic</t>
        </is>
      </c>
      <c r="C387" t="n">
        <v>2</v>
      </c>
      <c r="D387" t="inlineStr">
        <is>
          <t>Critical Rate %</t>
        </is>
      </c>
      <c r="E387" t="n">
        <v>15</v>
      </c>
      <c r="F387" t="n">
        <v>0.6</v>
      </c>
      <c r="G387" t="b">
        <v>1</v>
      </c>
      <c r="H387">
        <f>IF((Inputs!$B$9+Summary!$B$14+Artifacts!$B$32)&gt;=100,Sensitivity!H16,Sensitivity!H15)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IF((Inputs!$B$9+Summary!$B$14+Artifacts!$B$32)&gt;=100,Sensitivity!H16,Sensitivity!H15)</f>
        <v/>
      </c>
    </row>
    <row r="419">
      <c r="A419" t="inlineStr">
        <is>
          <t>ALL</t>
        </is>
      </c>
      <c r="B419" t="inlineStr">
        <is>
          <t>mystic</t>
        </is>
      </c>
      <c r="C419" t="n">
        <v>3</v>
      </c>
      <c r="D419" t="inlineStr">
        <is>
          <t>Critical Rate %</t>
        </is>
      </c>
      <c r="E419" t="n">
        <v>15</v>
      </c>
      <c r="F419" t="n">
        <v>0.2</v>
      </c>
      <c r="G419" t="b">
        <v>1</v>
      </c>
      <c r="H419">
        <f>IF((Inputs!$B$9+Summary!$B$14+Artifacts!$B$32)&gt;=100,Sensitivity!H16,Sensitivity!H15)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Fire/Poison Arch Mage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2026-10-04T08:14:11Z</dcterms:created>
  <dcterms:modified xsi:type="dcterms:W3CDTF">2026-10-04T08:14:11Z</dcterms:modified>
</cp:coreProperties>
</file>