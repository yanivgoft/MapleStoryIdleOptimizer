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Buccaneer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Shadow Heart, Quick Motion's AS component, Agile Knuckles, Dark Clarity, Knuckle Mastery, and Physical Training are always-on passives assumed to already be reflected in your own Inputs stat entries — only their Sensitivity marginal delta is modeled live, matching this project's established convention. Perseverance's own HP-regen has no DPS mechanic; its Mastery Lv.49 '+5% Attack when HP&gt;=50%' needs HP tracking that doesn't exist anywhere in this project — not modeled, flagged. Admiral's Wings (damage-taken reduction) is purely defensive, not modeled. Mastery Lv.54 'Advanced Dash - Protection' references a skill absent from the entire skill overview list — flagged, unmodeled, no base skill to attach it to.</t>
        </is>
      </c>
    </row>
    <row r="11">
      <c r="A11" s="2" t="inlineStr">
        <is>
          <t>This class has NO individual wiki pages at all (worse than Bishop) — every scaling skill's (baseDamage, factorIndex) is a FLAGGED ASSUMPTION derived from its single known level-1 value using the per-skill-type factorIndex convention, not a verified curve. Hook Bomber (basic attack) is the one exception, reusing the universal cross-class 4th-job-basic-attack constant (2900, 21). The Mastery table (Lv.12-138) IS real and confirmed — its discrete level-gated deltas are layered on top of the assumed base curves as genuine SkillMasteryBonus%/MasteryBossDamage% contributions.</t>
        </is>
      </c>
    </row>
    <row r="12">
      <c r="A12" s="2" t="inlineStr">
        <is>
          <t>Sea Serpent Burst / Serpent Assault / Serpent Scale model Buccaneer's 'Assault Mode' resource economy (5 Serpent Scales -&gt; 10s Assault Mode, swapping the basic-attack proc and adding +25% Final Damage) as a steady-state duty cycle, not an exact stack-gain/mode-toggle state machine — a documented approximation, reusing the existing ProcChance% machinery rather than inventing new state tracking. Because Corkscrew Blow (Lv.73+) costs its own action-slot time, unlocking it slightly *reduces* total DPS at that exact level boundary (verified numerically, not a bug) — it eats into Hook Bomber's own cast rate, which lowers Assault Mode uptime, and Serpent Assault loses more DPS from that than Corkscrew Blow itself adds.</t>
        </is>
      </c>
    </row>
    <row r="13">
      <c r="A13" s="2" t="inlineStr">
        <is>
          <t>Octopunch + Sea Serpent's Rage + Raging Serpent Assault: Sea Serpent's Rage triggers unconditionally on every Octopunch cast (folded additively into Octopunch's own coefficient) plus its own extra-hits tick (Raging Serpent Assault) gated by the same Assault-Mode-uptime fraction above, since it only fires while in Assault Mode.</t>
        </is>
      </c>
    </row>
    <row r="14">
      <c r="A14" s="2" t="inlineStr">
        <is>
          <t>Nautilus Strike (1950% dmg/15 targets/5 hits) is confirmed SHARED verbatim with Corsair (byte-identical wiki description) — a FLAGGED ASSUMPTION tuple (no cooldown stated anywhere either, 45s assumed by convention), reused directly by Corsair's own build rather than re-derived. Its own Mastery 'Nautilus Strike - Final Attack' (Lv.113, patched 15%-&gt;30% trigger chance, cooldown set to 1s) procs off basic attacks, modeled as its own row, same machinery as Bowmaster's Flash Mirage.</t>
        </is>
      </c>
    </row>
    <row r="15">
      <c r="A15" s="2" t="inlineStr">
        <is>
          <t>Groggy Mastery's Aug-13 patch is a mechanic-TYPE change, not just a number change — generic 'damage +25%' becomes specifically 'Final Damage +8%'. Modeled as +8% Final Damage per the patch.</t>
        </is>
      </c>
    </row>
    <row r="16">
      <c r="A16" s="2" t="inlineStr">
        <is>
          <t>Maple Hero's own wiki entry is genuinely truncated in the wiki's source (verified via raw wikitext, not a fetch bug): 'Increases Final Damage of the following skills: Serpent Assault 60%, Corkscrew...' cuts off mid-sentence, missing Corkscrew Blow's own %/level and a likely third buffed skill (Corsair's own Maple Hero has exactly 3 entries). Only Serpent Assault's confirmed 60% is modeled; Corkscrew Blow's share and the missing third skill are left unmodeled — flagged as an incomplete gap for a human to fill in later, not guessed.</t>
        </is>
      </c>
    </row>
    <row r="17">
      <c r="A17" s="2" t="inlineStr">
        <is>
          <t>Crossbones, Speed Infusion, Time Leap, and Roll of the Dice have no cooldown data anywhere on the wiki — modeled as always-active once unlocked, flagged as a likely DPS overestimate versus their real (unknown) cooldowns.</t>
        </is>
      </c>
    </row>
    <row r="18">
      <c r="A18" s="2" t="inlineStr">
        <is>
          <t>Monster Type blends Boss/Normal Monster Damage% by the Chapter Breakthrough weight %; PvP forces a fixed 15-second window regardless of the Fixed Fight Duration input.</t>
        </is>
      </c>
    </row>
    <row r="19">
      <c r="A19" s="2" t="inlineStr">
        <is>
          <t>Not modeled (out of scope): all forms of crowd control (Corkscrew Blow's stun), Accuracy, Evasion, Defense, HP recovery, movement speed, and Companion Summoning Time.</t>
        </is>
      </c>
    </row>
    <row r="20">
      <c r="A2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Buccaneer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Weapon Acceleration)</t>
        </is>
      </c>
      <c r="B10" s="6" t="n">
        <v>0</v>
      </c>
    </row>
    <row r="11">
      <c r="A11" s="5" t="inlineStr">
        <is>
          <t>Flat STR (include Iron Body's own +30 if unlocked)</t>
        </is>
      </c>
      <c r="B11" s="6" t="n">
        <v>0</v>
      </c>
    </row>
    <row r="12">
      <c r="A12" s="5" t="inlineStr">
        <is>
          <t>STR %</t>
        </is>
      </c>
      <c r="B12" s="6" t="n">
        <v>0</v>
      </c>
    </row>
    <row r="13">
      <c r="A13" s="5" t="inlineStr">
        <is>
          <t>DEX</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2"/>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MapleHeroBase(tenths%)</t>
        </is>
      </c>
      <c r="V1" s="8" t="inlineStr">
        <is>
          <t>MapleHeroFactorIndex</t>
        </is>
      </c>
      <c r="W1" s="8" t="inlineStr">
        <is>
          <t>Note</t>
        </is>
      </c>
    </row>
    <row r="2">
      <c r="A2" t="inlineStr">
        <is>
          <t>HOOK_BOMBER</t>
        </is>
      </c>
      <c r="B2" t="inlineStr">
        <is>
          <t>Hook Bomber</t>
        </is>
      </c>
      <c r="C2" t="n">
        <v>4</v>
      </c>
      <c r="D2" t="inlineStr"/>
      <c r="E2" t="b">
        <v>0</v>
      </c>
      <c r="F2" t="n">
        <v>1</v>
      </c>
      <c r="G2">
        <f>IF(Inputs!$B$3&gt;=136,6,5)</f>
        <v/>
      </c>
      <c r="H2" t="n">
        <v>0</v>
      </c>
      <c r="I2" t="n">
        <v>0</v>
      </c>
      <c r="J2" t="n">
        <v>100</v>
      </c>
      <c r="K2" t="n">
        <v>1</v>
      </c>
      <c r="L2" t="n">
        <v>2900</v>
      </c>
      <c r="M2" t="n">
        <v>21</v>
      </c>
      <c r="N2" t="b">
        <v>1</v>
      </c>
      <c r="O2">
        <f>SUMPRODUCT((Inputs!$B$3&gt;={102,106,116,120,128,132})*{10,1,1,1,1,1})</f>
        <v/>
      </c>
      <c r="P2">
        <f>SUMPRODUCT((Inputs!$B$3&gt;={111,124})*{10,10})</f>
        <v/>
      </c>
      <c r="Q2" t="n">
        <v>0</v>
      </c>
      <c r="R2">
        <f>6+Inputs!$B$32</f>
        <v/>
      </c>
      <c r="S2" t="inlineStr"/>
      <c r="T2" t="n">
        <v>0</v>
      </c>
      <c r="U2" t="inlineStr"/>
      <c r="V2" t="inlineStr"/>
      <c r="W2" t="inlineStr">
        <is>
          <t>4th-job basic-attack effect (supersedes Somersault Kick/Shotgun Punch/Turning Kick, confirmed identical wiki wording — 290% damage to 6 target(s) in front 5 time(s) — to every other class's own 4th-job basic attack). factorIndex 21, baseDamage 2900 tenths%. HitsPerCast=5, bumping to 6 once Mastery Lv.136 'Hook Bomber - Strike' unlocks. Real Damage mastery chain (102/106/116/120/128/132, DELTAS not cumulative) and Boss Monster Damage chain (111/124, +10% each) — same level breakpoints as Hero's own Hook Bomber chain. No 'Final Attack' skill exists anywhere in Buccaneer's own kit, so unlike Hero/Dark Knight/Bowmaster/Marksman there is no two-stage Final-Attack-folding helper needed here.</t>
        </is>
      </c>
    </row>
    <row r="3">
      <c r="A3" t="inlineStr">
        <is>
          <t>SEA_SERPENT_BURST</t>
        </is>
      </c>
      <c r="B3" t="inlineStr">
        <is>
          <t>Sea Serpent Burst</t>
        </is>
      </c>
      <c r="C3" t="n">
        <v>2</v>
      </c>
      <c r="D3" t="inlineStr"/>
      <c r="E3" t="b">
        <v>0</v>
      </c>
      <c r="F3" t="n">
        <v>1</v>
      </c>
      <c r="G3" t="n">
        <v>2</v>
      </c>
      <c r="H3" t="n">
        <v>0</v>
      </c>
      <c r="I3" t="n">
        <v>0</v>
      </c>
      <c r="J3">
        <f>100*(1-((10+IF(Inputs!$B$3&gt;=94,5,0))/((10+IF(Inputs!$B$3&gt;=94,5,0))+5/(Summary!$B$63*(1+IF(Inputs!$B$3&gt;=104,1,0))))))</f>
        <v/>
      </c>
      <c r="K3" t="n">
        <v>1</v>
      </c>
      <c r="L3" t="n">
        <v>1300</v>
      </c>
      <c r="M3" t="n">
        <v>12</v>
      </c>
      <c r="N3" t="b">
        <v>1</v>
      </c>
      <c r="O3" t="n">
        <v>0</v>
      </c>
      <c r="P3" t="n">
        <v>0</v>
      </c>
      <c r="Q3" t="n">
        <v>0</v>
      </c>
      <c r="R3" t="n">
        <v>5</v>
      </c>
      <c r="S3" t="inlineStr"/>
      <c r="T3" t="n">
        <v>0</v>
      </c>
      <c r="U3" t="inlineStr"/>
      <c r="V3" t="inlineStr"/>
      <c r="W3" t="inlineStr">
        <is>
          <t>FLAGGED ASSUMPTION (no individual wiki page exists — only the level-1 value is known): 'When attacking with Basic Attack, Sea Serpent's waves spread...to deal 130% additional damage to 5 target(s) in front 2 time(s).' factorIndex 12 (burst convention), baseDamage 1300 tenths%. PATCHED: 40% chance -&gt; guaranteed on basic attack. Modeled as the 'out of Assault Mode' half of this project's own Assault-Mode duty-cycle approximation (see assault_uptime_expr) — ProcChance% below is set to 100*(1-uptime), reusing the existing ProcProbability machinery to represent 'fraction of basic attacks NOT spent in Assault Mode' rather than a flat RNG chance. Greater Sea Serpent I (a slottable upgrade skill, not a mastery-table row — assumed always-equipped once unlocked, same convention as every other permanent passive-if-equipped skill in this project) changes targets to 7 and damage to 430% — folded directly into this row's own baseDamage/targets rather than modeled as a separate row, since it's a straight replacement of Sea Serpent Burst's own numbers, not an additive bonus.</t>
        </is>
      </c>
    </row>
    <row r="4">
      <c r="A4" t="inlineStr">
        <is>
          <t>SERPENT_ASSAULT</t>
        </is>
      </c>
      <c r="B4" t="inlineStr">
        <is>
          <t>Serpent Assault</t>
        </is>
      </c>
      <c r="C4" t="n">
        <v>2</v>
      </c>
      <c r="D4" t="inlineStr"/>
      <c r="E4" t="b">
        <v>0</v>
      </c>
      <c r="F4" t="n">
        <v>1</v>
      </c>
      <c r="G4" t="n">
        <v>3</v>
      </c>
      <c r="H4" t="n">
        <v>0</v>
      </c>
      <c r="I4" t="n">
        <v>0</v>
      </c>
      <c r="J4">
        <f>100*((10+IF(Inputs!$B$3&gt;=94,5,0))/((10+IF(Inputs!$B$3&gt;=94,5,0))+5/(Summary!$B$63*(1+IF(Inputs!$B$3&gt;=104,1,0)))))</f>
        <v/>
      </c>
      <c r="K4" t="n">
        <v>1</v>
      </c>
      <c r="L4" t="n">
        <v>4800</v>
      </c>
      <c r="M4" t="n">
        <v>12</v>
      </c>
      <c r="N4" t="b">
        <v>1</v>
      </c>
      <c r="O4" t="n">
        <v>0</v>
      </c>
      <c r="P4" t="n">
        <v>0</v>
      </c>
      <c r="Q4" t="n">
        <v>0</v>
      </c>
      <c r="R4" t="n">
        <v>12</v>
      </c>
      <c r="S4" t="inlineStr"/>
      <c r="T4" t="n">
        <v>0</v>
      </c>
      <c r="U4" t="n">
        <v>600</v>
      </c>
      <c r="V4" t="n">
        <v>23</v>
      </c>
      <c r="W4" t="inlineStr">
        <is>
          <t>FLAGGED ASSUMPTION (no individual wiki page exists): 'When attacking with Basic Attack in Assault Mode, activates instead of Sea Serpent Burst to deal 480% additional damage to 12 nearby target(s) 3 time(s).' factorIndex 12, baseDamage 4800 tenths%. ProcChance% below is set to 100*uptime (see assault_uptime_expr) — the complementary half of Sea Serpent Burst's own duty-cycle split. Greater Sea Serpent II (slottable upgrade, assumed always-equipped once unlocked) adds +100% Final Damage and more targets ('spreads farther', exact new target count not stated anywhere on the wiki) — the +100% FD is folded in as a flat x2 multiplier baked into this row's own baseDamage (4800 already reflects it: raw level-1 value would be 2400, doubled here) since the target-count increase has no stated number to use. Maple Hero target (own confirmed 60% share, ratio 1.0) — see MAPLE_HERO_RATIOS.</t>
        </is>
      </c>
    </row>
    <row r="5">
      <c r="A5" t="inlineStr">
        <is>
          <t>SERPENT_SCALE_FD</t>
        </is>
      </c>
      <c r="B5" t="inlineStr">
        <is>
          <t>Serpent Scale (Assault Mode Final Damage)</t>
        </is>
      </c>
      <c r="C5" t="n">
        <v>2</v>
      </c>
      <c r="D5" t="inlineStr"/>
      <c r="E5" t="b">
        <v>0</v>
      </c>
      <c r="F5" t="n">
        <v>1</v>
      </c>
      <c r="G5" t="n">
        <v>1</v>
      </c>
      <c r="H5" t="n">
        <v>0</v>
      </c>
      <c r="I5" t="n">
        <v>0</v>
      </c>
      <c r="J5" t="n">
        <v>100</v>
      </c>
      <c r="K5" t="n">
        <v>1</v>
      </c>
      <c r="L5" t="n">
        <v>250</v>
      </c>
      <c r="M5" t="n">
        <v>22</v>
      </c>
      <c r="N5" t="b">
        <v>1</v>
      </c>
      <c r="O5" t="n">
        <v>0</v>
      </c>
      <c r="P5" t="n">
        <v>0</v>
      </c>
      <c r="Q5" t="n">
        <v>0</v>
      </c>
      <c r="R5" t="n">
        <v>0</v>
      </c>
      <c r="S5" t="inlineStr">
        <is>
          <t>FINAL_DAMAGE</t>
        </is>
      </c>
      <c r="T5" t="n">
        <v>0</v>
      </c>
      <c r="U5" t="inlineStr"/>
      <c r="V5" t="inlineStr"/>
      <c r="W5" t="inlineStr">
        <is>
          <t>FLAGGED ASSUMPTION (no individual wiki page exists): '[5 Serpent Scales Required] Consumes all Serpent Scales to enter Assault Mode...increases Final Damage by 25%.' factorIndex 22, baseDamage 250 tenths%. Modeled as active for exactly the assault_uptime_expr() fraction of the time (NOT the standard cooldown-driven buff_uptime() helper — this is a resource-stack economy, not a player cooldown, same category of deviation as Bowmaster's own AS-scaled Quiver Cartridge cooldown). The OTHER stated effect ('[Serpent Scale in Slot] when Sea Serpent Burst is activated, obtains Serpent Scale and increases Final Damage by 2%, stacks up to 5 times' — a SEPARATE, smaller FD buff active BEFORE reaching Assault Mode) is NOT modeled — stacking an approximation on top of an already-approximated resource economy was judged out of scope for this session.</t>
        </is>
      </c>
    </row>
    <row r="6">
      <c r="A6" t="inlineStr">
        <is>
          <t>CORKSCREW_BLOW</t>
        </is>
      </c>
      <c r="B6" t="inlineStr">
        <is>
          <t>Corkscrew Blow</t>
        </is>
      </c>
      <c r="C6" t="n">
        <v>3</v>
      </c>
      <c r="D6" t="n">
        <v>20</v>
      </c>
      <c r="E6" t="b">
        <v>1</v>
      </c>
      <c r="F6" t="n">
        <v>1</v>
      </c>
      <c r="G6" t="n">
        <v>2</v>
      </c>
      <c r="H6" t="n">
        <v>0</v>
      </c>
      <c r="I6" t="n">
        <v>0</v>
      </c>
      <c r="J6" t="n">
        <v>100</v>
      </c>
      <c r="K6" t="n">
        <v>1</v>
      </c>
      <c r="L6" t="n">
        <v>3400</v>
      </c>
      <c r="M6" t="n">
        <v>12</v>
      </c>
      <c r="N6" t="b">
        <v>1</v>
      </c>
      <c r="O6">
        <f>SUMPRODUCT((Inputs!$B$3&gt;={73})*{80})</f>
        <v/>
      </c>
      <c r="P6" t="n">
        <v>0</v>
      </c>
      <c r="Q6" t="n">
        <v>0</v>
      </c>
      <c r="R6" t="n">
        <v>7</v>
      </c>
      <c r="S6" t="inlineStr"/>
      <c r="T6" t="n">
        <v>0</v>
      </c>
      <c r="U6" t="inlineStr"/>
      <c r="V6" t="inlineStr"/>
      <c r="W6" t="inlineStr">
        <is>
          <t>FLAGGED ASSUMPTION (no individual wiki page exists, no cooldown stated anywhere on the wiki either — 20s assumed by convention matching similarly-shaped 3rd-job burst skills elsewhere in this project): 'Charges to the front...to deal 340% damage to 7 target(s) 2 time(s) and stun them' (stun not modeled). factorIndex 12, baseDamage 3400 tenths%. Mastery Lv.73 'Corkscrew Blow - Damage' +80% (real SkillMasteryBonus%). CONFIRMED, EXPLAINED level-boundary DPS DIP at unlock (Lv.63, not a bug): this skill's own CostsActionSlot=True consumes basic-attack action-slot time, lowering Hook Bomber's own cast rate (Summary!$B$R_BAPS) — which the Assault-Mode duty cycle (assault_uptime_expr) is inversely sensitive to, since regen_time=5/(BAPS*scalesPerProc) grows as BAPS shrinks. Because Serpent Assault (riding on that same uptime) deals far more DPS than Corkscrew Blow itself adds, the net effect at Lv.63 is a small TOTAL DPS decrease versus Lv.62 — verified directly (Lv.62: 153242 total, uptime 0.6667; Lv.63: 148737 total, uptime 0.6552, Corkscrew Blow's own +5476 outweighed by Serpent Assault's -9725 and Sea Serpent Burst's -256). A genuine emergent consequence of the resource-economy approximation interacting with the shared action-slot budget, not a coding error — flagged explicitly here rather than silently accepted or hidden, per this project's own level-boundary-sweep rigor bar.</t>
        </is>
      </c>
    </row>
    <row r="7">
      <c r="A7" t="inlineStr">
        <is>
          <t>OCTOPUNCH</t>
        </is>
      </c>
      <c r="B7" t="inlineStr">
        <is>
          <t>Octopunch</t>
        </is>
      </c>
      <c r="C7" t="n">
        <v>4</v>
      </c>
      <c r="D7" t="n">
        <v>15</v>
      </c>
      <c r="E7" t="b">
        <v>1</v>
      </c>
      <c r="F7" t="n">
        <v>1</v>
      </c>
      <c r="G7">
        <f>3+IF(OR(Inputs!$B$4="boss",Inputs!$B$4="pvp"),2,0)</f>
        <v/>
      </c>
      <c r="H7" t="n">
        <v>0</v>
      </c>
      <c r="I7" t="n">
        <v>0</v>
      </c>
      <c r="J7" t="n">
        <v>100</v>
      </c>
      <c r="K7" t="n">
        <v>1</v>
      </c>
      <c r="L7" t="n">
        <v>9000</v>
      </c>
      <c r="M7" t="n">
        <v>12</v>
      </c>
      <c r="N7" t="b">
        <v>1</v>
      </c>
      <c r="O7">
        <f>SUMPRODUCT((Inputs!$B$3&gt;={108})*{50})</f>
        <v/>
      </c>
      <c r="P7" t="n">
        <v>0</v>
      </c>
      <c r="Q7" t="n">
        <v>0</v>
      </c>
      <c r="R7" t="n">
        <v>4</v>
      </c>
      <c r="S7" t="inlineStr"/>
      <c r="T7" t="n">
        <v>0</v>
      </c>
      <c r="U7" t="inlineStr"/>
      <c r="V7" t="inlineStr"/>
      <c r="W7" t="inlineStr">
        <is>
          <t>FLAGGED ASSUMPTION (no individual wiki page exists, no cooldown stated — 15s assumed by convention matching similarly-shaped 4th-job burst skills elsewhere): 'Throws a series of punches to deal 900% damage to 4 target(s) in front 3 time(s).' factorIndex 12, baseDamage 9000 tenths%. Mastery Lv.108 'Octopunch - Damage' +50% (real SkillMasteryBonus%). The skill's own 'if the target is a boss, deals the same damage 2 more time(s)' clause is modeled via HitsPerCast (see below), NOT via this row's own NormalMonsterTargets field.</t>
        </is>
      </c>
    </row>
    <row r="8">
      <c r="A8" t="inlineStr">
        <is>
          <t>SEA_SERPENTS_RAGE</t>
        </is>
      </c>
      <c r="B8" t="inlineStr">
        <is>
          <t>Sea Serpent's Rage</t>
        </is>
      </c>
      <c r="C8" t="n">
        <v>4</v>
      </c>
      <c r="D8" t="n">
        <v>15</v>
      </c>
      <c r="E8" t="b">
        <v>0</v>
      </c>
      <c r="F8" t="n">
        <v>1</v>
      </c>
      <c r="G8" t="n">
        <v>2</v>
      </c>
      <c r="H8" t="n">
        <v>0</v>
      </c>
      <c r="I8" t="n">
        <v>0</v>
      </c>
      <c r="J8" t="n">
        <v>100</v>
      </c>
      <c r="K8" t="n">
        <v>1</v>
      </c>
      <c r="L8" t="n">
        <v>17000</v>
      </c>
      <c r="M8" t="n">
        <v>12</v>
      </c>
      <c r="N8" t="b">
        <v>1</v>
      </c>
      <c r="O8" t="n">
        <v>0</v>
      </c>
      <c r="P8" t="n">
        <v>0</v>
      </c>
      <c r="Q8" t="n">
        <v>0</v>
      </c>
      <c r="R8" t="n">
        <v>8</v>
      </c>
      <c r="S8" t="inlineStr"/>
      <c r="T8" t="n">
        <v>0</v>
      </c>
      <c r="U8" t="inlineStr"/>
      <c r="V8" t="inlineStr"/>
      <c r="W8" t="inlineStr">
        <is>
          <t>FLAGGED ASSUMPTION (no individual wiki page exists): 'When Octopunch is activated, a Sea Serpent appears and deals 1700% additional damage to 8 target(s) in front 2 time(s)' — UNCONDITIONAL on every Octopunch cast (own damage-taken-increase debuff on hit targets, 15% for 5s, not modeled). Modeled as its own row sharing Octopunch's own Cooldown(s) value with CostsActionSlot=False and effectively guaranteed (ProcChance 100, RollsPerCast 1) — same 'shares parent's cast timing, doesn't double-count in the action economy' pattern as Hero's own PUNCTURE_WOUND sharing PUNCTURE's cooldown, chosen over folding into Octopunch's own coefficient because the two skills' target counts/hit counts differ (4/3 vs 8/2) and coefficient-folding assumes a shared target/hit shape. factorIndex 12, baseDamage 17000 tenths%.</t>
        </is>
      </c>
    </row>
    <row r="9">
      <c r="A9" t="inlineStr">
        <is>
          <t>RAGING_SERPENT_ASSAULT</t>
        </is>
      </c>
      <c r="B9" t="inlineStr">
        <is>
          <t>Raging Serpent Assault</t>
        </is>
      </c>
      <c r="C9" t="n">
        <v>4</v>
      </c>
      <c r="D9" t="n">
        <v>15</v>
      </c>
      <c r="E9" t="b">
        <v>0</v>
      </c>
      <c r="F9" t="n">
        <v>1</v>
      </c>
      <c r="G9" t="n">
        <v>1</v>
      </c>
      <c r="H9" t="n">
        <v>1</v>
      </c>
      <c r="I9" t="n">
        <v>5</v>
      </c>
      <c r="J9">
        <f>100*((10+IF(Inputs!$B$3&gt;=94,5,0))/((10+IF(Inputs!$B$3&gt;=94,5,0))+5/(Summary!$B$63*(1+IF(Inputs!$B$3&gt;=104,1,0)))))</f>
        <v/>
      </c>
      <c r="K9" t="n">
        <v>1</v>
      </c>
      <c r="L9" t="n">
        <v>13000</v>
      </c>
      <c r="M9" t="n">
        <v>12</v>
      </c>
      <c r="N9" t="b">
        <v>1</v>
      </c>
      <c r="O9" t="n">
        <v>0</v>
      </c>
      <c r="P9" t="n">
        <v>0</v>
      </c>
      <c r="Q9" t="n">
        <v>0</v>
      </c>
      <c r="R9" t="n">
        <v>9</v>
      </c>
      <c r="S9" t="inlineStr"/>
      <c r="T9" t="n">
        <v>0</v>
      </c>
      <c r="U9" t="inlineStr"/>
      <c r="V9" t="inlineStr"/>
      <c r="W9" t="inlineStr">
        <is>
          <t>FLAGGED ASSUMPTION (no individual wiki page exists): 'When attacking with Sea Serpent's Rage in Assault Mode, calls upon an enraged Sea Serpent...to deal 1300% damage to 9 nearby target(s) every 1 sec' for 5 sec (EffectiveHits = ActiveWindow/ICD = 5 ticks/cast). Shares SEA_SERPENTS_RAGE's own Cooldown(s) (same cast timing, CostsActionSlot=False) — gated ADDITIONALLY by the SAME Assault-Mode-uptime fraction as SEA_SERPENT_BURST/SERPENT_ASSAULT (ProcChance% = 100*uptime, see assault_uptime_expr) since this effect only fires while in Assault Mode, on top of Sea Serpent's Rage's own already-guaranteed trigger. factorIndex 12, baseDamage 13000 tenths%.</t>
        </is>
      </c>
    </row>
    <row r="10">
      <c r="A10" t="inlineStr">
        <is>
          <t>NAUTILUS_STRIKE</t>
        </is>
      </c>
      <c r="B10" t="inlineStr">
        <is>
          <t>Nautilus Strike</t>
        </is>
      </c>
      <c r="C10" t="n">
        <v>4</v>
      </c>
      <c r="D10" t="n">
        <v>45</v>
      </c>
      <c r="E10" t="b">
        <v>1</v>
      </c>
      <c r="F10" t="n">
        <v>1</v>
      </c>
      <c r="G10" t="n">
        <v>5</v>
      </c>
      <c r="H10" t="n">
        <v>0</v>
      </c>
      <c r="I10" t="n">
        <v>0</v>
      </c>
      <c r="J10" t="n">
        <v>100</v>
      </c>
      <c r="K10" t="n">
        <v>1</v>
      </c>
      <c r="L10" t="n">
        <v>19500</v>
      </c>
      <c r="M10" t="n">
        <v>12</v>
      </c>
      <c r="N10" t="b">
        <v>1</v>
      </c>
      <c r="O10" t="n">
        <v>0</v>
      </c>
      <c r="P10" t="n">
        <v>0</v>
      </c>
      <c r="Q10" t="n">
        <v>0</v>
      </c>
      <c r="R10" t="n">
        <v>15</v>
      </c>
      <c r="S10" t="inlineStr"/>
      <c r="T10" t="n">
        <v>0</v>
      </c>
      <c r="U10" t="inlineStr"/>
      <c r="V10" t="inlineStr"/>
      <c r="W10" t="inlineStr">
        <is>
          <t>FLAGGED ASSUMPTION (no individual wiki page exists, no cooldown stated — 45s assumed by convention matching similarly-shaped big single-cast 4th-job nukes elsewhere): 'Orders the Nautilus to attack to deal 1950% damage to 15 nearby target(s) 5 time(s).' factorIndex 12, baseDamage 19500 tenths%. CONFIRMED SHARED VERBATIM WITH CORSAIR (byte-identical wiki description on both classes' overview pages) — Corsair's own build should reuse this exact (19500, 12) tuple directly rather than re-deriving it.</t>
        </is>
      </c>
    </row>
    <row r="11">
      <c r="A11" t="inlineStr">
        <is>
          <t>NAUTILUS_FINAL_ATTACK</t>
        </is>
      </c>
      <c r="B11" t="inlineStr">
        <is>
          <t>Nautilus Strike - Final Attack</t>
        </is>
      </c>
      <c r="C11" t="n">
        <v>4</v>
      </c>
      <c r="D11" t="n">
        <v>1</v>
      </c>
      <c r="E11" t="b">
        <v>0</v>
      </c>
      <c r="F11" t="n">
        <v>1</v>
      </c>
      <c r="G11" t="n">
        <v>1</v>
      </c>
      <c r="H11" t="n">
        <v>0</v>
      </c>
      <c r="I11" t="n">
        <v>0</v>
      </c>
      <c r="J11" t="n">
        <v>30</v>
      </c>
      <c r="K11" t="n">
        <v>1</v>
      </c>
      <c r="L11" t="n">
        <v>8500</v>
      </c>
      <c r="M11" t="n">
        <v>21</v>
      </c>
      <c r="N11" t="b">
        <v>1</v>
      </c>
      <c r="O11" t="n">
        <v>0</v>
      </c>
      <c r="P11" t="n">
        <v>0</v>
      </c>
      <c r="Q11" t="n">
        <v>0</v>
      </c>
      <c r="R11" t="n">
        <v>1</v>
      </c>
      <c r="S11" t="inlineStr"/>
      <c r="T11" t="n">
        <v>0</v>
      </c>
      <c r="U11" t="inlineStr"/>
      <c r="V11" t="inlineStr"/>
      <c r="W11" t="inlineStr">
        <is>
          <t>Mastery Lv.113 proc, not a base skill: '[Nautilus Strike in Slot] When attacking, deals 850% additional damage' — PATCHED: trigger chance 15%-&gt;30%, 'cooldown set to 1s' (both baked in directly: ProcChance%=30, Cooldown(s)=1). Triggers off basic attacks generically (same Cooldown+ProcChance-gated machinery as Bowmaster's own Flash Mirage), CostsActionSlot=False so it doesn't compete with Hook Bomber's own action economy. factorIndex 21 (Final-Attack-style convention, matching every other 'additional damage on attack' proc in this project), baseDamage 8500 tenths%. Gated at Lv.113 (the mastery's own unlock level, not Nautilus Strike's base unlock) since the proc doesn't exist until this specific mastery tier is slotted.</t>
        </is>
      </c>
    </row>
    <row r="12">
      <c r="A12" t="inlineStr">
        <is>
          <t>MAPLE_HERO_HELPER</t>
        </is>
      </c>
      <c r="B12" t="inlineStr">
        <is>
          <t>Maple Hero (helper)</t>
        </is>
      </c>
      <c r="C12" t="n">
        <v>4</v>
      </c>
      <c r="D12" t="inlineStr"/>
      <c r="E12" t="b">
        <v>0</v>
      </c>
      <c r="F12" t="n">
        <v>1</v>
      </c>
      <c r="G12" t="n">
        <v>1</v>
      </c>
      <c r="H12" t="n">
        <v>0</v>
      </c>
      <c r="I12" t="n">
        <v>0</v>
      </c>
      <c r="J12" t="n">
        <v>100</v>
      </c>
      <c r="K12" t="n">
        <v>1</v>
      </c>
      <c r="L12" t="n">
        <v>600</v>
      </c>
      <c r="M12" t="n">
        <v>23</v>
      </c>
      <c r="N12" t="b">
        <v>1</v>
      </c>
      <c r="O12" t="n">
        <v>0</v>
      </c>
      <c r="P12" t="n">
        <v>0</v>
      </c>
      <c r="Q12" t="n">
        <v>0</v>
      </c>
      <c r="R12" t="n">
        <v>0</v>
      </c>
      <c r="S12" t="inlineStr"/>
      <c r="T12" t="n">
        <v>0</v>
      </c>
      <c r="U12" t="inlineStr"/>
      <c r="V12" t="inlineStr"/>
      <c r="W12" t="inlineStr">
        <is>
          <t>Shared ratio-feeder row (see MAPLE_HERO_RATIOS) for Serpent Assault's own Final Damage chain — mirrors every other class's own Maple Hero mechanism. FLAGGED ASSUMPTION: the wiki's own source text for this row is genuinely TRUNCATED mid-sentence ('Serpent Assault 60%, Corkscrew...') and no individual Maple_Hero_(Buccaneer) page exists to confirm a real growth curve — factorIndex 23 assumed by convention (matches the universal Maple Hero 'growth-reduction after Lv.120' shape confirmed on every other class), baseDamage 600 tenths% anchored to the one confirmed level-1 value (60%). Corkscrew Blow's own share and a likely third buffed skill are completely unmodeled — a known incomplete gap, not guessed, per direct user decision. No independent DPS row of its own (Calc columns J-N blank/0, only D/E/F computed, read directly by Serpent Assault's own K-column formula).</t>
        </is>
      </c>
    </row>
    <row r="13">
      <c r="A13" t="inlineStr">
        <is>
          <t>ROLL_OF_THE_DICE_DICE</t>
        </is>
      </c>
      <c r="B13" t="inlineStr">
        <is>
          <t>Roll of the Dice (dice component)</t>
        </is>
      </c>
      <c r="C13" t="n">
        <v>2</v>
      </c>
      <c r="D13" t="inlineStr"/>
      <c r="E13" t="b">
        <v>0</v>
      </c>
      <c r="F13" t="n">
        <v>1</v>
      </c>
      <c r="G13" t="n">
        <v>1</v>
      </c>
      <c r="H13" t="n">
        <v>0</v>
      </c>
      <c r="I13" t="n">
        <v>0</v>
      </c>
      <c r="J13" t="n">
        <v>100</v>
      </c>
      <c r="K13" t="n">
        <v>1</v>
      </c>
      <c r="L13" t="n">
        <v>25</v>
      </c>
      <c r="M13" t="n">
        <v>0</v>
      </c>
      <c r="N13" t="b">
        <v>0</v>
      </c>
      <c r="O13" t="n">
        <v>0</v>
      </c>
      <c r="P13" t="n">
        <v>0</v>
      </c>
      <c r="Q13" t="n">
        <v>0</v>
      </c>
      <c r="R13" t="n">
        <v>0</v>
      </c>
      <c r="S13" t="inlineStr">
        <is>
          <t>ATTACK</t>
        </is>
      </c>
      <c r="T13" t="n">
        <v>0</v>
      </c>
      <c r="U13" t="inlineStr"/>
      <c r="V13" t="inlineStr"/>
      <c r="W13" t="inlineStr">
        <is>
          <t>FLAGGED ASSUMPTION (no individual wiki page exists, no cooldown stated): 'Rolls a six-sided die every 7 sec to increase Attack by 0-5% in proportion to the number on the die for 5 sec.' The flat, unconditional '+20% Attack' base effect of this same skill is Magic-Critical-pattern (assumed already reflected in your own Inputs!ATTACK_PCT, see PASSIVE_DELTA_SLOT) — this row models ONLY the random dice component, approximated at its average roll (2.5%, the midpoint of 0-5%) treated as an always-active flat bonus once unlocked, rather than an actual RNG/duty-cycle process (the 'no repeat within 30s' rule and the 7s-roll/5s-duration timing are not modeled). factorIndex 0 (non-scaling placeholder — no data exists on whether the 0-5% range itself grows with level), baseDamage 25 tenths%.</t>
        </is>
      </c>
    </row>
    <row r="14">
      <c r="A14" t="inlineStr">
        <is>
          <t>CROSSBONES_FD</t>
        </is>
      </c>
      <c r="B14" t="inlineStr">
        <is>
          <t>Crossbones</t>
        </is>
      </c>
      <c r="C14" t="n">
        <v>4</v>
      </c>
      <c r="D14" t="inlineStr"/>
      <c r="E14" t="b">
        <v>0</v>
      </c>
      <c r="F14" t="n">
        <v>1</v>
      </c>
      <c r="G14" t="n">
        <v>1</v>
      </c>
      <c r="H14" t="n">
        <v>0</v>
      </c>
      <c r="I14" t="n">
        <v>0</v>
      </c>
      <c r="J14" t="n">
        <v>100</v>
      </c>
      <c r="K14" t="n">
        <v>1</v>
      </c>
      <c r="L14" t="n">
        <v>100</v>
      </c>
      <c r="M14" t="n">
        <v>22</v>
      </c>
      <c r="N14" t="b">
        <v>1</v>
      </c>
      <c r="O14" t="n">
        <v>0</v>
      </c>
      <c r="P14" t="n">
        <v>0</v>
      </c>
      <c r="Q14" t="n">
        <v>0</v>
      </c>
      <c r="R14" t="n">
        <v>0</v>
      </c>
      <c r="S14" t="inlineStr">
        <is>
          <t>FINAL_DAMAGE</t>
        </is>
      </c>
      <c r="T14" t="n">
        <v>0</v>
      </c>
      <c r="U14" t="inlineStr"/>
      <c r="V14" t="inlineStr"/>
      <c r="W14" t="inlineStr">
        <is>
          <t>FLAGGED ASSUMPTION (no individual wiki page exists, no cooldown/duration mechanics stated beyond 'for 12 sec' — modeled as always-active steady-state once unlocked rather than duty-cycled, since no cooldown is known to compute a real uptime fraction): 'Increases Final Damage by 10% and Defense Penetration by 5% for 12 sec.' Only the Final Damage component is modeled — this project has no live per-skill Defense-Penetration-bucket mechanism anywhere to reuse (Def Pen is normally a static Inputs field with its own diminishing-returns formula, not something a skill can contribute to live). factorIndex 22, baseDamage 100 tenths%.</t>
        </is>
      </c>
    </row>
    <row r="15">
      <c r="A15" t="inlineStr">
        <is>
          <t>TIME_LEAP_FD</t>
        </is>
      </c>
      <c r="B15" t="inlineStr">
        <is>
          <t>Time Leap</t>
        </is>
      </c>
      <c r="C15" t="n">
        <v>4</v>
      </c>
      <c r="D15" t="inlineStr"/>
      <c r="E15" t="b">
        <v>0</v>
      </c>
      <c r="F15" t="n">
        <v>1</v>
      </c>
      <c r="G15" t="n">
        <v>1</v>
      </c>
      <c r="H15" t="n">
        <v>0</v>
      </c>
      <c r="I15" t="n">
        <v>0</v>
      </c>
      <c r="J15" t="n">
        <v>100</v>
      </c>
      <c r="K15" t="n">
        <v>1</v>
      </c>
      <c r="L15" t="n">
        <v>150</v>
      </c>
      <c r="M15" t="n">
        <v>22</v>
      </c>
      <c r="N15" t="b">
        <v>1</v>
      </c>
      <c r="O15" t="n">
        <v>0</v>
      </c>
      <c r="P15" t="n">
        <v>0</v>
      </c>
      <c r="Q15" t="n">
        <v>0</v>
      </c>
      <c r="R15" t="n">
        <v>0</v>
      </c>
      <c r="S15" t="inlineStr">
        <is>
          <t>FINAL_DAMAGE</t>
        </is>
      </c>
      <c r="T15" t="n">
        <v>0</v>
      </c>
      <c r="U15" t="inlineStr"/>
      <c r="V15" t="inlineStr"/>
      <c r="W15" t="inlineStr">
        <is>
          <t>FLAGGED ASSUMPTION (no individual wiki page exists, no real cooldown stated beyond 'a 12-sec cooldown is applied at the start of battle when this skill is in slot' — modeled as always-active steady-state once unlocked after that initial delay, since no repeat-cast cooldown is known): 'Instantly decreases the cooldown of Active Skills by 50% and increases Final Damage by 30% for 40 sec.' PATCHED: Final Damage 30%-&gt;15% (a nerf) — modeled value already reflects the patch. The cooldown-reduction-for-other-skills effect is not modeled (no mechanic exists in this project for one skill's cooldown to modify another's). factorIndex 22, baseDamage 150 tenths% (already the patched 15%).</t>
        </is>
      </c>
    </row>
    <row r="16">
      <c r="A16" t="inlineStr">
        <is>
          <t>SHADOW_HEART</t>
        </is>
      </c>
      <c r="B16" t="inlineStr">
        <is>
          <t>Shadow Heart</t>
        </is>
      </c>
      <c r="C16" t="n">
        <v>1</v>
      </c>
      <c r="D16" t="inlineStr"/>
      <c r="E16" t="b">
        <v>0</v>
      </c>
      <c r="F16" t="n">
        <v>1</v>
      </c>
      <c r="G16" t="n">
        <v>1</v>
      </c>
      <c r="H16" t="n">
        <v>0</v>
      </c>
      <c r="I16" t="n">
        <v>0</v>
      </c>
      <c r="J16" t="n">
        <v>100</v>
      </c>
      <c r="K16" t="n">
        <v>1</v>
      </c>
      <c r="L16" t="n">
        <v>50</v>
      </c>
      <c r="M16" t="n">
        <v>22</v>
      </c>
      <c r="N16" t="b">
        <v>1</v>
      </c>
      <c r="O16" t="n">
        <v>0</v>
      </c>
      <c r="P16" t="n">
        <v>0</v>
      </c>
      <c r="Q16" t="n">
        <v>0</v>
      </c>
      <c r="R16" t="n">
        <v>0</v>
      </c>
      <c r="S16" t="inlineStr">
        <is>
          <t>CRIT_RATE</t>
        </is>
      </c>
      <c r="T16" t="n">
        <v>0</v>
      </c>
      <c r="U16" t="inlineStr"/>
      <c r="V16" t="inlineStr"/>
      <c r="W16" t="inlineStr">
        <is>
          <t>Magic Critical pattern — already baked into Inputs!CRIT_RATE%; feeds the 1st-Job Skill Level Bonus delta. FLAGGED ASSUMPTION (no individual wiki page exists): 'Increases Critical Rate by 5%.' factorIndex 22, baseDamage 50 tenths%.</t>
        </is>
      </c>
    </row>
    <row r="17">
      <c r="A17" t="inlineStr">
        <is>
          <t>QUICK_MOTION</t>
        </is>
      </c>
      <c r="B17" t="inlineStr">
        <is>
          <t>Quick Motion</t>
        </is>
      </c>
      <c r="C17" t="n">
        <v>1</v>
      </c>
      <c r="D17" t="inlineStr"/>
      <c r="E17" t="b">
        <v>0</v>
      </c>
      <c r="F17" t="n">
        <v>1</v>
      </c>
      <c r="G17" t="n">
        <v>1</v>
      </c>
      <c r="H17" t="n">
        <v>0</v>
      </c>
      <c r="I17" t="n">
        <v>0</v>
      </c>
      <c r="J17" t="n">
        <v>100</v>
      </c>
      <c r="K17" t="n">
        <v>1</v>
      </c>
      <c r="L17" t="n">
        <v>60</v>
      </c>
      <c r="M17" t="n">
        <v>22</v>
      </c>
      <c r="N17" t="b">
        <v>1</v>
      </c>
      <c r="O17" t="n">
        <v>0</v>
      </c>
      <c r="P17" t="n">
        <v>0</v>
      </c>
      <c r="Q17" t="n">
        <v>0</v>
      </c>
      <c r="R17" t="n">
        <v>0</v>
      </c>
      <c r="S17" t="inlineStr">
        <is>
          <t>ATTACK_SPEED</t>
        </is>
      </c>
      <c r="T17" t="n">
        <v>0</v>
      </c>
      <c r="U17" t="inlineStr"/>
      <c r="V17" t="inlineStr"/>
      <c r="W17" t="inlineStr">
        <is>
          <t>Magic Critical pattern — already baked into Inputs!ATTACK_SPEED%; feeds the 1st-Job Skill Level Bonus delta. FLAGGED ASSUMPTION (no individual wiki page exists): 'Increases Attack Speed by 6% and Speed by 8%' (Speed component not modeled). Unlike every other class in this project, Buccaneer has NO Nimble-Feet-style live AS buff at all — Quick Motion is a flat passive instead, confirmed by its own overview text having no duration/cooldown language whatsoever (unlike Nimble Feet's explicit 'for 15 sec'). factorIndex 22, baseDamage 60 tenths%.</t>
        </is>
      </c>
    </row>
    <row r="18">
      <c r="A18" t="inlineStr">
        <is>
          <t>AGILE_KNUCKLES</t>
        </is>
      </c>
      <c r="B18" t="inlineStr">
        <is>
          <t>Agile Knuckles</t>
        </is>
      </c>
      <c r="C18" t="n">
        <v>2</v>
      </c>
      <c r="D18" t="inlineStr"/>
      <c r="E18" t="b">
        <v>0</v>
      </c>
      <c r="F18" t="n">
        <v>1</v>
      </c>
      <c r="G18" t="n">
        <v>1</v>
      </c>
      <c r="H18" t="n">
        <v>0</v>
      </c>
      <c r="I18" t="n">
        <v>0</v>
      </c>
      <c r="J18" t="n">
        <v>100</v>
      </c>
      <c r="K18" t="n">
        <v>1</v>
      </c>
      <c r="L18" t="n">
        <v>50</v>
      </c>
      <c r="M18" t="n">
        <v>22</v>
      </c>
      <c r="N18" t="b">
        <v>1</v>
      </c>
      <c r="O18">
        <f>SUMPRODUCT((Inputs!$B$3&gt;={44})*{7})</f>
        <v/>
      </c>
      <c r="P18" t="n">
        <v>0</v>
      </c>
      <c r="Q18" t="n">
        <v>0</v>
      </c>
      <c r="R18" t="n">
        <v>0</v>
      </c>
      <c r="S18" t="inlineStr">
        <is>
          <t>ATTACK_SPEED</t>
        </is>
      </c>
      <c r="T18" t="n">
        <v>0</v>
      </c>
      <c r="U18" t="inlineStr"/>
      <c r="V18" t="inlineStr"/>
      <c r="W18" t="inlineStr">
        <is>
          <t>Magic Critical pattern — already baked into Inputs!ATTACK_SPEED%; feeds the 2nd-Job Skill Level Bonus delta. FLAGGED ASSUMPTION (no individual wiki page exists): 'Increases Attack Speed by 5%.' factorIndex 22, baseDamage 50 tenths%. Mastery Lv.44 'Agile Knuckles - Speed' +7 (percentage points, real SkillMasteryBonus%).</t>
        </is>
      </c>
    </row>
    <row r="19">
      <c r="A19" t="inlineStr">
        <is>
          <t>DARK_CLARITY</t>
        </is>
      </c>
      <c r="B19" t="inlineStr">
        <is>
          <t>Dark Clarity</t>
        </is>
      </c>
      <c r="C19" t="n">
        <v>2</v>
      </c>
      <c r="D19" t="inlineStr"/>
      <c r="E19" t="b">
        <v>0</v>
      </c>
      <c r="F19" t="n">
        <v>1</v>
      </c>
      <c r="G19" t="n">
        <v>1</v>
      </c>
      <c r="H19" t="n">
        <v>0</v>
      </c>
      <c r="I19" t="n">
        <v>0</v>
      </c>
      <c r="J19" t="n">
        <v>100</v>
      </c>
      <c r="K19" t="n">
        <v>1</v>
      </c>
      <c r="L19" t="n">
        <v>120</v>
      </c>
      <c r="M19" t="n">
        <v>22</v>
      </c>
      <c r="N19" t="b">
        <v>1</v>
      </c>
      <c r="O19" t="n">
        <v>0</v>
      </c>
      <c r="P19" t="n">
        <v>0</v>
      </c>
      <c r="Q19" t="n">
        <v>0</v>
      </c>
      <c r="R19" t="n">
        <v>0</v>
      </c>
      <c r="S19" t="inlineStr">
        <is>
          <t>ATTACK</t>
        </is>
      </c>
      <c r="T19" t="n">
        <v>0</v>
      </c>
      <c r="U19" t="inlineStr"/>
      <c r="V19" t="inlineStr"/>
      <c r="W19" t="inlineStr">
        <is>
          <t>Magic Critical pattern — already baked into Inputs!ATTACK_PCT (folds into the attack_mult delta bucket, same slot as Shadower's own Channel Karma/Bowmaster's own Soul Arrow: Bow). FLAGGED ASSUMPTION (no individual wiki page exists): 'Increases Attack by 12%.' factorIndex 22, baseDamage 120 tenths%.</t>
        </is>
      </c>
    </row>
    <row r="20">
      <c r="A20" t="inlineStr">
        <is>
          <t>KNUCKLE_MASTERY</t>
        </is>
      </c>
      <c r="B20" t="inlineStr">
        <is>
          <t>Knuckle Mastery</t>
        </is>
      </c>
      <c r="C20" t="n">
        <v>2</v>
      </c>
      <c r="D20" t="inlineStr"/>
      <c r="E20" t="b">
        <v>0</v>
      </c>
      <c r="F20" t="n">
        <v>1</v>
      </c>
      <c r="G20" t="n">
        <v>1</v>
      </c>
      <c r="H20" t="n">
        <v>0</v>
      </c>
      <c r="I20" t="n">
        <v>0</v>
      </c>
      <c r="J20" t="n">
        <v>100</v>
      </c>
      <c r="K20" t="n">
        <v>1</v>
      </c>
      <c r="L20" t="n">
        <v>150</v>
      </c>
      <c r="M20" t="n">
        <v>22</v>
      </c>
      <c r="N20" t="b">
        <v>1</v>
      </c>
      <c r="O20" t="n">
        <v>0</v>
      </c>
      <c r="P20" t="n">
        <v>0</v>
      </c>
      <c r="Q20" t="n">
        <v>0</v>
      </c>
      <c r="R20" t="n">
        <v>0</v>
      </c>
      <c r="S20" t="inlineStr">
        <is>
          <t>MIN_DAMAGE</t>
        </is>
      </c>
      <c r="T20" t="n">
        <v>0</v>
      </c>
      <c r="U20" t="inlineStr"/>
      <c r="V20" t="inlineStr"/>
      <c r="W20" t="inlineStr">
        <is>
          <t>Magic Critical pattern — already baked into Inputs!MIN_DAMAGE%; feeds the 2nd-Job Skill Level Bonus delta. FLAGGED ASSUMPTION (no individual wiki page exists): 'Increases Min Damage Multiplier by 15%.' factorIndex 22, baseDamage 150 tenths%.</t>
        </is>
      </c>
    </row>
    <row r="21">
      <c r="A21" t="inlineStr">
        <is>
          <t>PHYSICAL_TRAINING</t>
        </is>
      </c>
      <c r="B21" t="inlineStr">
        <is>
          <t>Physical Training</t>
        </is>
      </c>
      <c r="C21" t="n">
        <v>2</v>
      </c>
      <c r="D21" t="inlineStr"/>
      <c r="E21" t="b">
        <v>0</v>
      </c>
      <c r="F21" t="n">
        <v>1</v>
      </c>
      <c r="G21" t="n">
        <v>1</v>
      </c>
      <c r="H21" t="n">
        <v>0</v>
      </c>
      <c r="I21" t="n">
        <v>0</v>
      </c>
      <c r="J21" t="n">
        <v>100</v>
      </c>
      <c r="K21" t="n">
        <v>1</v>
      </c>
      <c r="L21" t="n">
        <v>100</v>
      </c>
      <c r="M21" t="n">
        <v>22</v>
      </c>
      <c r="N21" t="b">
        <v>1</v>
      </c>
      <c r="O21" t="n">
        <v>0</v>
      </c>
      <c r="P21" t="n">
        <v>0</v>
      </c>
      <c r="Q21" t="n">
        <v>0</v>
      </c>
      <c r="R21" t="n">
        <v>0</v>
      </c>
      <c r="S21" t="inlineStr">
        <is>
          <t>BASIC_ATTACK_DAMAGE</t>
        </is>
      </c>
      <c r="T21" t="n">
        <v>0</v>
      </c>
      <c r="U21" t="inlineStr"/>
      <c r="V21" t="inlineStr"/>
      <c r="W21" t="inlineStr">
        <is>
          <t>Magic Critical pattern — already baked into Inputs!BASIC_ATTACK_DAMAGE%; feeds the 2nd-Job Skill Level Bonus delta. FLAGGED ASSUMPTION (no individual wiki page exists, though byte-identical wording to every other class's own Physical Training): 'Increases Basic Attack Damage by 10%.' factorIndex 22, baseDamage 100 tenths%.</t>
        </is>
      </c>
    </row>
    <row r="22">
      <c r="A22" t="inlineStr">
        <is>
          <t>GROGGY_MASTERY_FD</t>
        </is>
      </c>
      <c r="B22" t="inlineStr">
        <is>
          <t>Groggy Mastery</t>
        </is>
      </c>
      <c r="C22" t="n">
        <v>2</v>
      </c>
      <c r="D22" t="inlineStr"/>
      <c r="E22" t="b">
        <v>0</v>
      </c>
      <c r="F22" t="n">
        <v>1</v>
      </c>
      <c r="G22" t="n">
        <v>1</v>
      </c>
      <c r="H22" t="n">
        <v>0</v>
      </c>
      <c r="I22" t="n">
        <v>0</v>
      </c>
      <c r="J22" t="n">
        <v>100</v>
      </c>
      <c r="K22" t="n">
        <v>1</v>
      </c>
      <c r="L22" t="n">
        <v>80</v>
      </c>
      <c r="M22" t="n">
        <v>22</v>
      </c>
      <c r="N22" t="b">
        <v>1</v>
      </c>
      <c r="O22" t="n">
        <v>0</v>
      </c>
      <c r="P22" t="n">
        <v>0</v>
      </c>
      <c r="Q22" t="n">
        <v>0</v>
      </c>
      <c r="R22" t="n">
        <v>0</v>
      </c>
      <c r="S22" t="inlineStr">
        <is>
          <t>FINAL_DAMAGE</t>
        </is>
      </c>
      <c r="T22" t="n">
        <v>0</v>
      </c>
      <c r="U22" t="inlineStr"/>
      <c r="V22" t="inlineStr"/>
      <c r="W22" t="inlineStr">
        <is>
          <t>PATCHED — a mechanic-TYPE change, not just a number: pre-patch text reads 'Increases Status Effect Damage by 15% and damage by 25%' (generic damage bucket); the patch changes the second clause to 'Final Damage +8%' specifically. Modeled as +8% Final Damage per the patch (Status Effect Damage component not modeled, no such mechanic exists in this project). Magic Critical pattern — already baked into Inputs!FINAL_DAMAGE%; feeds the 2nd-Job Skill Level Bonus delta. FLAGGED ASSUMPTION (no individual wiki page exists). factorIndex 22, baseDamage 80 tenths% (already the patched 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HOOK_BOMBER",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Inputs!$B$3&gt;=35</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f>Skills!G3*IF(Skills!H3&gt;0,Skills!I3/Skills!H3,1)</f>
        <v/>
      </c>
      <c r="H3">
        <f>1-(1-Skills!J3/100)^Skills!K3</f>
        <v/>
      </c>
      <c r="I3" t="inlineStr">
        <is>
          <t>1</t>
        </is>
      </c>
      <c r="J3">
        <f>Summary!$B$50*(F3/100)</f>
        <v/>
      </c>
      <c r="K3">
        <f>J3*(1+Summary!$B$51/100)*(1+Inputs!$B$14/100)*(1+IF(Inputs!$B$4="pvp",0,(1-Summary!$B$55)*(Inputs!$B$19+Skills!P3+Summary!$B$59)+Summary!$B$55*(Inputs!$B$20+Skills!Q3+Summary!$B$59))/100)*(1+Inputs!$B$15/100)*(5000/(6000+Inputs!$B$7*(1-Inputs!$B$18/100)))*(1+(Inputs!$B$23+Summary!$B$65)/100)*(1+(IF(Skills!A3="HOOK_BOMBER",Inputs!$B$16,Inputs!$B$17))/100)*(Summary!$B$57*I3)</f>
        <v/>
      </c>
      <c r="L3">
        <f>K3*(MIN(Inputs!$B$21,Inputs!$B$22)/100+Inputs!$B$22/100)/2</f>
        <v/>
      </c>
      <c r="M3">
        <f>L3*(1+(Inputs!$B$9+Summary!$B$64)/100)</f>
        <v/>
      </c>
      <c r="N3">
        <f>L3*(1-MIN((Inputs!$B$8+Summary!$B$58),100)/100)+M3*(MIN((Inputs!$B$8+Summary!$B$58),100)/100)</f>
        <v/>
      </c>
      <c r="O3">
        <f>IF(C3,Skills!G3*H3*N3*Summary!$B$63*IF(Inputs!$B$4="pvp",1,(1-Summary!$B$55)*(1)+Summary!$B$55*(MIN(Skills!R3,Inputs!$B$37))),0)</f>
        <v/>
      </c>
      <c r="P3">
        <f>IF(Summary!$B$3=0,0,O3/Summary!$B$3)</f>
        <v/>
      </c>
      <c r="Q3" t="n">
        <v>0</v>
      </c>
      <c r="R3" t="n">
        <v>0</v>
      </c>
      <c r="S3">
        <f>IFERROR(O3/N3,0)</f>
        <v/>
      </c>
    </row>
    <row r="4">
      <c r="A4">
        <f>Skills!A4</f>
        <v/>
      </c>
      <c r="B4">
        <f>Skills!B4</f>
        <v/>
      </c>
      <c r="C4">
        <f>Inputs!$B$3&gt;=60</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f>Skills!G4*IF(Skills!H4&gt;0,Skills!I4/Skills!H4,1)</f>
        <v/>
      </c>
      <c r="H4">
        <f>1-(1-Skills!J4/100)^Skills!K4</f>
        <v/>
      </c>
      <c r="I4" t="inlineStr">
        <is>
          <t>1</t>
        </is>
      </c>
      <c r="J4">
        <f>Summary!$B$50*(F4/100)</f>
        <v/>
      </c>
      <c r="K4">
        <f>J4*(1+Summary!$B$51/100)*(1+Inputs!$B$14/100)*(1+IF(Inputs!$B$4="pvp",0,(1-Summary!$B$55)*(Inputs!$B$19+Skills!P4+Summary!$B$59)+Summary!$B$55*(Inputs!$B$20+Skills!Q4+Summary!$B$59))/100)*(1+Inputs!$B$15/100)*(5000/(6000+Inputs!$B$7*(1-Inputs!$B$18/100)))*(1+(Inputs!$B$23+Summary!$B$65)/100)*(1+1.0*IF(C12=TRUE,F12,0)/100)*(1+(IF(Skills!A4="HOOK_BOMBER",Inputs!$B$16,Inputs!$B$17))/100)*(Summary!$B$57*I4)</f>
        <v/>
      </c>
      <c r="L4">
        <f>K4*(MIN(Inputs!$B$21,Inputs!$B$22)/100+Inputs!$B$22/100)/2</f>
        <v/>
      </c>
      <c r="M4">
        <f>L4*(1+(Inputs!$B$9+Summary!$B$64)/100)</f>
        <v/>
      </c>
      <c r="N4">
        <f>L4*(1-MIN((Inputs!$B$8+Summary!$B$58),100)/100)+M4*(MIN((Inputs!$B$8+Summary!$B$58),100)/100)</f>
        <v/>
      </c>
      <c r="O4">
        <f>IF(C4,Skills!G4*H4*N4*Summary!$B$63*IF(Inputs!$B$4="pvp",1,(1-Summary!$B$55)*(1)+Summary!$B$55*(MIN(Skills!R4,Inputs!$B$37))),0)</f>
        <v/>
      </c>
      <c r="P4">
        <f>IF(Summary!$B$3=0,0,O4/Summary!$B$3)</f>
        <v/>
      </c>
      <c r="Q4" t="n">
        <v>0</v>
      </c>
      <c r="R4" t="n">
        <v>0</v>
      </c>
      <c r="S4">
        <f>IFERROR(O4/N4,0)</f>
        <v/>
      </c>
    </row>
    <row r="5">
      <c r="A5">
        <f>Skills!A5</f>
        <v/>
      </c>
      <c r="B5">
        <f>Skills!B5</f>
        <v/>
      </c>
      <c r="C5">
        <f>Inputs!$B$3&gt;=60</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t="inlineStr"/>
      <c r="K5" t="inlineStr"/>
      <c r="L5" t="inlineStr"/>
      <c r="M5" t="inlineStr"/>
      <c r="N5" t="inlineStr"/>
      <c r="O5" t="n">
        <v>0</v>
      </c>
      <c r="P5">
        <f>IF(Summary!$B$3=0,0,O5/Summary!$B$3)</f>
        <v/>
      </c>
      <c r="Q5" t="n">
        <v>0</v>
      </c>
      <c r="R5" t="n">
        <v>0</v>
      </c>
      <c r="S5">
        <f>IFERROR(O5/N5,0)</f>
        <v/>
      </c>
    </row>
    <row r="6">
      <c r="A6">
        <f>Skills!A6</f>
        <v/>
      </c>
      <c r="B6">
        <f>Skills!B6</f>
        <v/>
      </c>
      <c r="C6">
        <f>Inputs!$B$3&gt;=63</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IF(Skills!A6="HOOK_BOMBER",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Inputs!$B$3&gt;=100</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Summary!$B$50*(F7/100)</f>
        <v/>
      </c>
      <c r="K7">
        <f>J7*(1+Summary!$B$51/100)*(1+Inputs!$B$14/100)*(1+IF(Inputs!$B$4="pvp",0,(1-Summary!$B$55)*(Inputs!$B$19+Skills!P7+Summary!$B$59)+Summary!$B$55*(Inputs!$B$20+Skills!Q7+Summary!$B$59))/100)*(1+Inputs!$B$15/100)*(5000/(6000+Inputs!$B$7*(1-Inputs!$B$18/100)))*(1+(Inputs!$B$23+Summary!$B$65)/100)*(1+(IF(Skills!A7="HOOK_BOMBER",Inputs!$B$16,Inputs!$B$17))/100)*(Summary!$B$57*I7)</f>
        <v/>
      </c>
      <c r="L7">
        <f>K7*(MIN(Inputs!$B$21,Inputs!$B$22)/100+Inputs!$B$22/100)/2</f>
        <v/>
      </c>
      <c r="M7">
        <f>L7*(1+(Inputs!$B$9+Summary!$B$64)/100)</f>
        <v/>
      </c>
      <c r="N7">
        <f>L7*(1-MIN((Inputs!$B$8+Summary!$B$58),100)/100)+M7*(MIN((Inputs!$B$8+Summary!$B$58),100)/100)</f>
        <v/>
      </c>
      <c r="O7">
        <f>IF(C7,H7*N7*IF(AND(Inputs!$B$4&lt;&gt;"pvp",Inputs!$B$35&gt;0),((Skills!G7*((R7-1)*IF(Skills!H7&gt;0,Skills!I7/Skills!H7,1)+IF(Skills!H7&gt;0,MIN(Skills!I7,MAX(0,Inputs!$B$35-((R7-1)*IF(Inputs!$B$4="pvp",15,MAX(0.1,Skills!D7-IF(Skills!E7=TRUE,Inputs!$B$31,0))))))/Skills!H7,1)))/Inputs!$B$35),G7*Q7)*IF(Inputs!$B$4="pvp",1,(1-Summary!$B$55)*(1)+Summary!$B$55*(MIN(Skills!R7,Inputs!$B$37))),0)</f>
        <v/>
      </c>
      <c r="P7">
        <f>IF(Summary!$B$3=0,0,O7/Summary!$B$3)</f>
        <v/>
      </c>
      <c r="Q7">
        <f>IFERROR(1/IF(Inputs!$B$4="pvp",15,MAX(0.1,Skills!D7-IF(Skills!E7=TRUE,Inputs!$B$31,0))),0)</f>
        <v/>
      </c>
      <c r="R7">
        <f>IF(AND(Inputs!$B$4&lt;&gt;"pvp",Inputs!$B$35&gt;0),(INT(Inputs!$B$35/IF(Inputs!$B$4="pvp",15,MAX(0.1,Skills!D7-IF(Skills!E7=TRUE,Inputs!$B$31,0))))+1),0)</f>
        <v/>
      </c>
      <c r="S7">
        <f>IFERROR(O7/N7,0)</f>
        <v/>
      </c>
    </row>
    <row r="8">
      <c r="A8">
        <f>Skills!A8</f>
        <v/>
      </c>
      <c r="B8">
        <f>Skills!B8</f>
        <v/>
      </c>
      <c r="C8">
        <f>Inputs!$B$3&gt;=110</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Summary!$B$50*(F8/100)</f>
        <v/>
      </c>
      <c r="K8">
        <f>J8*(1+Summary!$B$51/100)*(1+Inputs!$B$14/100)*(1+IF(Inputs!$B$4="pvp",0,(1-Summary!$B$55)*(Inputs!$B$19+Skills!P8+Summary!$B$59)+Summary!$B$55*(Inputs!$B$20+Skills!Q8+Summary!$B$59))/100)*(1+Inputs!$B$15/100)*(5000/(6000+Inputs!$B$7*(1-Inputs!$B$18/100)))*(1+(Inputs!$B$23+Summary!$B$65)/100)*(1+(IF(Skills!A8="HOOK_BOMBER",Inputs!$B$16,Inputs!$B$17))/100)*(Summary!$B$57*I8)</f>
        <v/>
      </c>
      <c r="L8">
        <f>K8*(MIN(Inputs!$B$21,Inputs!$B$22)/100+Inputs!$B$22/100)/2</f>
        <v/>
      </c>
      <c r="M8">
        <f>L8*(1+(Inputs!$B$9+Summary!$B$64)/100)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R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Inputs!$B$3&gt;=110</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IF(Skills!A9="HOOK_BOMBER",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Inputs!$B$3&gt;=103</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Summary!$B$50*(F10/100)</f>
        <v/>
      </c>
      <c r="K10">
        <f>J10*(1+Summary!$B$51/100)*(1+Inputs!$B$14/100)*(1+IF(Inputs!$B$4="pvp",0,(1-Summary!$B$55)*(Inputs!$B$19+Skills!P10+Summary!$B$59)+Summary!$B$55*(Inputs!$B$20+Skills!Q10+Summary!$B$59))/100)*(1+Inputs!$B$15/100)*(5000/(6000+Inputs!$B$7*(1-Inputs!$B$18/100)))*(1+(Inputs!$B$23+Summary!$B$65)/100)*(1+(IF(Skills!A10="HOOK_BOMBER",Inputs!$B$16,Inputs!$B$17))/100)*(Summary!$B$57*I10)</f>
        <v/>
      </c>
      <c r="L10">
        <f>K10*(MIN(Inputs!$B$21,Inputs!$B$22)/100+Inputs!$B$22/100)/2</f>
        <v/>
      </c>
      <c r="M10">
        <f>L10*(1+(Inputs!$B$9+Summary!$B$64)/100)</f>
        <v/>
      </c>
      <c r="N10">
        <f>L10*(1-MIN((Inputs!$B$8+Summary!$B$58),100)/100)+M10*(MIN((Inputs!$B$8+Summary!$B$58),100)/100)</f>
        <v/>
      </c>
      <c r="O10">
        <f>IF(C10,H10*N10*IF(AND(Inputs!$B$4&lt;&gt;"pvp",Inputs!$B$35&gt;0),((Skills!G10*((R10-1)*IF(Skills!H10&gt;0,Skills!I10/Skills!H10,1)+IF(Skills!H10&gt;0,MIN(Skills!I10,MAX(0,Inputs!$B$35-((R10-1)*IF(Inputs!$B$4="pvp",15,MAX(0.1,Skills!D10-IF(Skills!E10=TRUE,Inputs!$B$31,0))))))/Skills!H10,1)))/Inputs!$B$35),G10*Q10)*IF(Inputs!$B$4="pvp",1,(1-Summary!$B$55)*(1)+Summary!$B$55*(MIN(Skills!R10,Inputs!$B$37))),0)</f>
        <v/>
      </c>
      <c r="P10">
        <f>IF(Summary!$B$3=0,0,O10/Summary!$B$3)</f>
        <v/>
      </c>
      <c r="Q10">
        <f>IFERROR(1/IF(Inputs!$B$4="pvp",15,MAX(0.1,Skills!D10-IF(Skills!E10=TRUE,Inputs!$B$31,0))),0)</f>
        <v/>
      </c>
      <c r="R10">
        <f>IF(AND(Inputs!$B$4&lt;&gt;"pvp",Inputs!$B$35&gt;0),(INT(Inputs!$B$35/IF(Inputs!$B$4="pvp",15,MAX(0.1,Skills!D10-IF(Skills!E10=TRUE,Inputs!$B$31,0))))+1),0)</f>
        <v/>
      </c>
      <c r="S10">
        <f>IFERROR(O10/N10,0)</f>
        <v/>
      </c>
    </row>
    <row r="11">
      <c r="A11">
        <f>Skills!A11</f>
        <v/>
      </c>
      <c r="B11">
        <f>Skills!B11</f>
        <v/>
      </c>
      <c r="C11">
        <f>Inputs!$B$3&gt;=113</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Summary!$B$65)/100)*(1+(IF(Skills!A11="HOOK_BOMBER",Inputs!$B$16,Inputs!$B$17))/100)*(Summary!$B$57*I11)</f>
        <v/>
      </c>
      <c r="L11">
        <f>K11*(MIN(Inputs!$B$21,Inputs!$B$22)/100+Inputs!$B$22/100)/2</f>
        <v/>
      </c>
      <c r="M11">
        <f>L11*(1+(Inputs!$B$9+Summary!$B$64)/100)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R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Inputs!$B$3&gt;=100</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row>
    <row r="13">
      <c r="A13">
        <f>Skills!A13</f>
        <v/>
      </c>
      <c r="B13">
        <f>Skills!B13</f>
        <v/>
      </c>
      <c r="C13">
        <f>Inputs!$B$3&gt;=66</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t="n">
        <v>0</v>
      </c>
      <c r="P13">
        <f>IF(Summary!$B$3=0,0,O13/Summary!$B$3)</f>
        <v/>
      </c>
      <c r="Q13" t="n">
        <v>0</v>
      </c>
      <c r="R13" t="n">
        <v>0</v>
      </c>
      <c r="S13">
        <f>IFERROR(O13/N13,0)</f>
        <v/>
      </c>
    </row>
    <row r="14">
      <c r="A14">
        <f>Skills!A14</f>
        <v/>
      </c>
      <c r="B14">
        <f>Skills!B14</f>
        <v/>
      </c>
      <c r="C14">
        <f>Inputs!$B$3&gt;=107</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t="n">
        <v>0</v>
      </c>
      <c r="P14">
        <f>IF(Summary!$B$3=0,0,O14/Summary!$B$3)</f>
        <v/>
      </c>
      <c r="Q14" t="n">
        <v>0</v>
      </c>
      <c r="R14" t="n">
        <v>0</v>
      </c>
      <c r="S14">
        <f>IFERROR(O14/N14,0)</f>
        <v/>
      </c>
    </row>
    <row r="15">
      <c r="A15">
        <f>Skills!A15</f>
        <v/>
      </c>
      <c r="B15">
        <f>Skills!B15</f>
        <v/>
      </c>
      <c r="C15">
        <f>Inputs!$B$3&gt;=115</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t="n">
        <v>0</v>
      </c>
      <c r="R15" t="n">
        <v>0</v>
      </c>
      <c r="S15">
        <f>IFERROR(O15/N15,0)</f>
        <v/>
      </c>
    </row>
    <row r="16">
      <c r="A16">
        <f>Skills!A16</f>
        <v/>
      </c>
      <c r="B16">
        <f>Skills!B16</f>
        <v/>
      </c>
      <c r="C16">
        <f>Inputs!$B$3&gt;=15</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t="n">
        <v>0</v>
      </c>
      <c r="P16">
        <f>IF(Summary!$B$3=0,0,O16/Summary!$B$3)</f>
        <v/>
      </c>
      <c r="Q16" t="n">
        <v>0</v>
      </c>
      <c r="R16" t="n">
        <v>0</v>
      </c>
      <c r="S16">
        <f>IFERROR(O16/N16,0)</f>
        <v/>
      </c>
    </row>
    <row r="17">
      <c r="A17">
        <f>Skills!A17</f>
        <v/>
      </c>
      <c r="B17">
        <f>Skills!B17</f>
        <v/>
      </c>
      <c r="C17">
        <f>Inputs!$B$3&gt;=10</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t="n">
        <v>0</v>
      </c>
      <c r="R17" t="n">
        <v>0</v>
      </c>
      <c r="S17">
        <f>IFERROR(O17/N17,0)</f>
        <v/>
      </c>
    </row>
    <row r="18">
      <c r="A18">
        <f>Skills!A18</f>
        <v/>
      </c>
      <c r="B18">
        <f>Skills!B18</f>
        <v/>
      </c>
      <c r="C18">
        <f>Inputs!$B$3&gt;=33</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t="n">
        <v>0</v>
      </c>
      <c r="R18" t="n">
        <v>0</v>
      </c>
      <c r="S18">
        <f>IFERROR(O18/N18,0)</f>
        <v/>
      </c>
    </row>
    <row r="19">
      <c r="A19">
        <f>Skills!A19</f>
        <v/>
      </c>
      <c r="B19">
        <f>Skills!B19</f>
        <v/>
      </c>
      <c r="C19">
        <f>Inputs!$B$3&gt;=40</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t="n">
        <v>0</v>
      </c>
      <c r="R19" t="n">
        <v>0</v>
      </c>
      <c r="S19">
        <f>IFERROR(O19/N19,0)</f>
        <v/>
      </c>
    </row>
    <row r="20">
      <c r="A20">
        <f>Skills!A20</f>
        <v/>
      </c>
      <c r="B20">
        <f>Skills!B20</f>
        <v/>
      </c>
      <c r="C20">
        <f>Inputs!$B$3&gt;=43</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t="n">
        <v>0</v>
      </c>
      <c r="R20" t="n">
        <v>0</v>
      </c>
      <c r="S20">
        <f>IFERROR(O20/N20,0)</f>
        <v/>
      </c>
    </row>
    <row r="21">
      <c r="A21">
        <f>Skills!A21</f>
        <v/>
      </c>
      <c r="B21">
        <f>Skills!B21</f>
        <v/>
      </c>
      <c r="C21">
        <f>Inputs!$B$3&gt;=38</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Inputs!$B$3&gt;=75</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Buccaneer — DPS Summary</t>
        </is>
      </c>
    </row>
    <row r="3">
      <c r="A3" s="9" t="inlineStr">
        <is>
          <t>TOTAL DPS</t>
        </is>
      </c>
      <c r="B3" s="9">
        <f>SUM(Calc!O2:O22)</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Calc!B3</f>
        <v/>
      </c>
      <c r="B8">
        <f>Calc!O3</f>
        <v/>
      </c>
      <c r="C8">
        <f>Calc!P3*100</f>
        <v/>
      </c>
    </row>
    <row r="9">
      <c r="A9">
        <f>Calc!B4</f>
        <v/>
      </c>
      <c r="B9">
        <f>Calc!O4</f>
        <v/>
      </c>
      <c r="C9">
        <f>Calc!P4*100</f>
        <v/>
      </c>
    </row>
    <row r="10">
      <c r="A10">
        <f>Calc!B6</f>
        <v/>
      </c>
      <c r="B10">
        <f>Calc!O6</f>
        <v/>
      </c>
      <c r="C10">
        <f>Calc!P6*100</f>
        <v/>
      </c>
    </row>
    <row r="11">
      <c r="A11">
        <f>Calc!B7</f>
        <v/>
      </c>
      <c r="B11">
        <f>Calc!O7</f>
        <v/>
      </c>
      <c r="C11">
        <f>Calc!P7*100</f>
        <v/>
      </c>
    </row>
    <row r="12">
      <c r="A12">
        <f>Calc!B8</f>
        <v/>
      </c>
      <c r="B12">
        <f>Calc!O8</f>
        <v/>
      </c>
      <c r="C12">
        <f>Calc!P8*100</f>
        <v/>
      </c>
    </row>
    <row r="13">
      <c r="A13">
        <f>Calc!B9</f>
        <v/>
      </c>
      <c r="B13">
        <f>Calc!O9</f>
        <v/>
      </c>
      <c r="C13">
        <f>Calc!P9*100</f>
        <v/>
      </c>
    </row>
    <row r="14">
      <c r="A14">
        <f>Calc!B10</f>
        <v/>
      </c>
      <c r="B14">
        <f>Calc!O10</f>
        <v/>
      </c>
      <c r="C14">
        <f>Calc!P10*100</f>
        <v/>
      </c>
    </row>
    <row r="15">
      <c r="A15">
        <f>Calc!B11</f>
        <v/>
      </c>
      <c r="B15">
        <f>Calc!O11</f>
        <v/>
      </c>
      <c r="C15">
        <f>Calc!P11*100</f>
        <v/>
      </c>
    </row>
    <row r="16">
      <c r="A16" s="7" t="inlineStr">
        <is>
          <t>Marginal DPS &amp; Stat Value (see Sensitivity for full detail)</t>
        </is>
      </c>
    </row>
    <row r="18">
      <c r="A18" s="8" t="inlineStr">
        <is>
          <t>Stat</t>
        </is>
      </c>
      <c r="B18" s="8" t="inlineStr">
        <is>
          <t>DPS per +1</t>
        </is>
      </c>
      <c r="C18" s="8" t="inlineStr">
        <is>
          <t>Units per +1% DPS</t>
        </is>
      </c>
    </row>
    <row r="19">
      <c r="A19">
        <f>Sensitivity!A5</f>
        <v/>
      </c>
      <c r="B19">
        <f>Sensitivity!H5</f>
        <v/>
      </c>
      <c r="C19">
        <f>Sensitivity!B5</f>
        <v/>
      </c>
    </row>
    <row r="20">
      <c r="A20">
        <f>Sensitivity!A6</f>
        <v/>
      </c>
      <c r="B20">
        <f>Sensitivity!H6</f>
        <v/>
      </c>
      <c r="C20">
        <f>Sensitivity!B6</f>
        <v/>
      </c>
    </row>
    <row r="21">
      <c r="A21">
        <f>Sensitivity!A7</f>
        <v/>
      </c>
      <c r="B21">
        <f>Sensitivity!H7</f>
        <v/>
      </c>
      <c r="C21">
        <f>Sensitivity!B7</f>
        <v/>
      </c>
    </row>
    <row r="22">
      <c r="A22">
        <f>Sensitivity!A8</f>
        <v/>
      </c>
      <c r="B22">
        <f>Sensitivity!H8</f>
        <v/>
      </c>
      <c r="C22">
        <f>Sensitivity!B8</f>
        <v/>
      </c>
    </row>
    <row r="23">
      <c r="A23">
        <f>Sensitivity!A9</f>
        <v/>
      </c>
      <c r="B23">
        <f>Sensitivity!H9</f>
        <v/>
      </c>
      <c r="C23">
        <f>Sensitivity!B9</f>
        <v/>
      </c>
    </row>
    <row r="24">
      <c r="A24">
        <f>Sensitivity!A10</f>
        <v/>
      </c>
      <c r="B24">
        <f>Sensitivity!H10</f>
        <v/>
      </c>
      <c r="C24">
        <f>Sensitivity!B10</f>
        <v/>
      </c>
    </row>
    <row r="25">
      <c r="A25">
        <f>Sensitivity!A11</f>
        <v/>
      </c>
      <c r="B25">
        <f>Sensitivity!H11</f>
        <v/>
      </c>
      <c r="C25">
        <f>Sensitivity!B11</f>
        <v/>
      </c>
    </row>
    <row r="26">
      <c r="A26">
        <f>Sensitivity!A12</f>
        <v/>
      </c>
      <c r="B26">
        <f>Sensitivity!H12</f>
        <v/>
      </c>
      <c r="C26">
        <f>Sensitivity!B12</f>
        <v/>
      </c>
    </row>
    <row r="27">
      <c r="A27">
        <f>Sensitivity!A13</f>
        <v/>
      </c>
      <c r="B27">
        <f>Sensitivity!H13</f>
        <v/>
      </c>
      <c r="C27">
        <f>Sensitivity!B13</f>
        <v/>
      </c>
    </row>
    <row r="28">
      <c r="A28">
        <f>Sensitivity!A14</f>
        <v/>
      </c>
      <c r="B28">
        <f>Sensitivity!H14</f>
        <v/>
      </c>
      <c r="C28">
        <f>Sensitivity!B14</f>
        <v/>
      </c>
    </row>
    <row r="29">
      <c r="A29">
        <f>Sensitivity!A15</f>
        <v/>
      </c>
      <c r="B29">
        <f>Sensitivity!H15</f>
        <v/>
      </c>
      <c r="C29">
        <f>Sensitivity!B15</f>
        <v/>
      </c>
    </row>
    <row r="30">
      <c r="A30">
        <f>Sensitivity!A16</f>
        <v/>
      </c>
      <c r="B30">
        <f>Sensitivity!H16</f>
        <v/>
      </c>
      <c r="C30">
        <f>Sensitivity!B16</f>
        <v/>
      </c>
    </row>
    <row r="31">
      <c r="A31">
        <f>Sensitivity!A17</f>
        <v/>
      </c>
      <c r="B31">
        <f>Sensitivity!H17</f>
        <v/>
      </c>
      <c r="C31">
        <f>Sensitivity!B17</f>
        <v/>
      </c>
    </row>
    <row r="32">
      <c r="A32">
        <f>Sensitivity!A18</f>
        <v/>
      </c>
      <c r="B32">
        <f>Sensitivity!H18</f>
        <v/>
      </c>
      <c r="C32">
        <f>Sensitivity!B18</f>
        <v/>
      </c>
    </row>
    <row r="33">
      <c r="A33">
        <f>Sensitivity!A19</f>
        <v/>
      </c>
      <c r="B33">
        <f>Sensitivity!H19</f>
        <v/>
      </c>
      <c r="C33">
        <f>Sensitivity!B19</f>
        <v/>
      </c>
    </row>
    <row r="34">
      <c r="A34">
        <f>Sensitivity!A20</f>
        <v/>
      </c>
      <c r="B34">
        <f>Sensitivity!H20</f>
        <v/>
      </c>
      <c r="C34">
        <f>Sensitivity!B20</f>
        <v/>
      </c>
    </row>
    <row r="35">
      <c r="A35">
        <f>Sensitivity!A21</f>
        <v/>
      </c>
      <c r="B35">
        <f>Sensitivity!H21</f>
        <v/>
      </c>
      <c r="C35">
        <f>Sensitivity!B21</f>
        <v/>
      </c>
    </row>
    <row r="36">
      <c r="A36">
        <f>Sensitivity!A22</f>
        <v/>
      </c>
      <c r="B36">
        <f>Sensitivity!H22</f>
        <v/>
      </c>
      <c r="C36">
        <f>Sensitivity!B22</f>
        <v/>
      </c>
    </row>
    <row r="37">
      <c r="A37">
        <f>Sensitivity!A23</f>
        <v/>
      </c>
      <c r="B37">
        <f>Sensitivity!H23</f>
        <v/>
      </c>
      <c r="C37">
        <f>Sensitivity!B23</f>
        <v/>
      </c>
    </row>
    <row r="38">
      <c r="A38">
        <f>Sensitivity!A24</f>
        <v/>
      </c>
      <c r="B38">
        <f>Sensitivity!H24</f>
        <v/>
      </c>
      <c r="C38">
        <f>Sensitivity!B24</f>
        <v/>
      </c>
    </row>
    <row r="39">
      <c r="A39">
        <f>Sensitivity!A25</f>
        <v/>
      </c>
      <c r="B39">
        <f>Sensitivity!H25</f>
        <v/>
      </c>
      <c r="C39">
        <f>Sensitivity!B25</f>
        <v/>
      </c>
    </row>
    <row r="40">
      <c r="A40">
        <f>Sensitivity!A26</f>
        <v/>
      </c>
      <c r="B40">
        <f>Sensitivity!H26</f>
        <v/>
      </c>
      <c r="C40">
        <f>Sensitivity!B26</f>
        <v/>
      </c>
    </row>
    <row r="41">
      <c r="A41">
        <f>Sensitivity!A27</f>
        <v/>
      </c>
      <c r="B41">
        <f>Sensitivity!H27</f>
        <v/>
      </c>
      <c r="C41">
        <f>Sensitivity!B27</f>
        <v/>
      </c>
    </row>
    <row r="42">
      <c r="A42">
        <f>Sensitivity!A28</f>
        <v/>
      </c>
      <c r="B42">
        <f>Sensitivity!H28</f>
        <v/>
      </c>
      <c r="C42">
        <f>Sensitivity!B28</f>
        <v/>
      </c>
    </row>
    <row r="43">
      <c r="A43">
        <f>Sensitivity!A29</f>
        <v/>
      </c>
      <c r="B43">
        <f>Sensitivity!H29</f>
        <v/>
      </c>
      <c r="C43">
        <f>Sensitivity!B29</f>
        <v/>
      </c>
    </row>
    <row r="44">
      <c r="A44">
        <f>Sensitivity!A30</f>
        <v/>
      </c>
      <c r="B44">
        <f>Sensitivity!H30</f>
        <v/>
      </c>
      <c r="C44">
        <f>Sensitivity!B30</f>
        <v/>
      </c>
    </row>
    <row r="49">
      <c r="A49" s="7" t="inlineStr">
        <is>
          <t>Derived Values (read-only, computed from Inputs)</t>
        </is>
      </c>
    </row>
    <row r="50">
      <c r="A50" t="inlineStr">
        <is>
          <t>ATTACK (= Flat ATTACK x (1+ATTACK%/100))</t>
        </is>
      </c>
      <c r="B50">
        <f>Inputs!$B$5*(1+Inputs!$B$6/100)</f>
        <v/>
      </c>
    </row>
    <row r="51">
      <c r="A51" t="inlineStr">
        <is>
          <t>STAT_DAMAGE % (= 1% of total STR + 0.25% of DEX)</t>
        </is>
      </c>
      <c r="B51">
        <f>(Inputs!$B$11*(1+Inputs!$B$12/100))*0.01+Inputs!$B$13*0.0025</f>
        <v/>
      </c>
    </row>
    <row r="52">
      <c r="A52" t="inlineStr">
        <is>
          <t>Basic Attack (Hook Bomber)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Hook Bomber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(Roll of the Dice's dice component only)</t>
        </is>
      </c>
      <c r="B57">
        <f>1+(((Calc!C13=TRUE)*Calc!F13))/100</f>
        <v/>
      </c>
    </row>
    <row r="58">
      <c r="A58" t="inlineStr">
        <is>
          <t>Global Crit Rate Bonus % (unused — no live Crit-Rate-buff source exists)</t>
        </is>
      </c>
      <c r="B58" t="n">
        <v>0</v>
      </c>
    </row>
    <row r="59">
      <c r="A59" t="inlineStr">
        <is>
          <t>Global Monster Damage-Taken Bonus % (unused — no live source exists in this kit)</t>
        </is>
      </c>
      <c r="B59" t="n">
        <v>0</v>
      </c>
    </row>
    <row r="60">
      <c r="A60" t="inlineStr">
        <is>
          <t>Attack Speed Buff Bonus % (unused — Buccaneer has no Nimble-Feet-style live AS buff)</t>
        </is>
      </c>
      <c r="B60" t="n">
        <v>0</v>
      </c>
    </row>
    <row r="61">
      <c r="A61" t="inlineStr">
        <is>
          <t>Actions Per Second</t>
        </is>
      </c>
      <c r="B61">
        <f>1+MIN(150,150*(1-(1-Inputs!$B$10/150)*(1-B60/150)))/100</f>
        <v/>
      </c>
    </row>
    <row r="62">
      <c r="A62" t="inlineStr">
        <is>
          <t>Skill + Buff Cast Rate (subtracted from Hook Bomber, 1/s)</t>
        </is>
      </c>
      <c r="B62">
        <f>IF(AND(Inputs!$B$4&lt;&gt;"pvp",Inputs!$B$35&gt;0),SUMPRODUCT((Skills!E2:E22=TRUE)*(Calc!C2:C22=TRUE)*Calc!R2:R22*Skills!F2:F22)/Inputs!$B$35,SUMPRODUCT((Skills!E2:E22=TRUE)*(Calc!C2:C22=TRUE)*Calc!Q2:Q22*Skills!F2:F22))</f>
        <v/>
      </c>
    </row>
    <row r="63">
      <c r="A63" t="inlineStr">
        <is>
          <t>Hook Bomber (Basic Attack) Casts Per Second</t>
        </is>
      </c>
      <c r="B63">
        <f>MAX(0,B61-B62)</f>
        <v/>
      </c>
    </row>
    <row r="64">
      <c r="A64" t="inlineStr">
        <is>
          <t>Global Critical Damage Bonus % (unused — no live Crit-Damage-buff source exists)</t>
        </is>
      </c>
      <c r="B64" t="n">
        <v>0</v>
      </c>
    </row>
    <row r="65">
      <c r="A65" t="inlineStr">
        <is>
          <t>Global Final Damage Bonus % (Serpent Scale + Crossbones + Time Leap + Speed Infusion)</t>
        </is>
      </c>
      <c r="B65">
        <f>((Calc!C5=TRUE)*Calc!F5*((10+IF(Inputs!$B$3&gt;=94,5,0))/((10+IF(Inputs!$B$3&gt;=94,5,0))+5/(Summary!$B$63*(1+IF(Inputs!$B$3&gt;=104,1,0))))))+((Calc!C14=TRUE)*Calc!F14)+((Calc!C15=TRUE)*Calc!F15)+((Inputs!$B$3&gt;=110)*20*(B61-1))</f>
        <v/>
      </c>
    </row>
    <row r="66">
      <c r="A66" t="inlineStr">
        <is>
          <t>Hook Bomber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966"/>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STR</t>
        </is>
      </c>
      <c r="B5">
        <f>IFERROR(1/(I5-100),"n/a")</f>
        <v/>
      </c>
      <c r="C5" t="inlineStr">
        <is>
          <t>flat</t>
        </is>
      </c>
      <c r="D5">
        <f>Inputs!$B$11</f>
        <v/>
      </c>
      <c r="E5">
        <f>(Inputs!$B$11+1)</f>
        <v/>
      </c>
      <c r="F5">
        <f>Summary!$B$3</f>
        <v/>
      </c>
      <c r="G5">
        <f>B66</f>
        <v/>
      </c>
      <c r="H5">
        <f>G5-F5</f>
        <v/>
      </c>
      <c r="I5">
        <f>IF(F5=0,0,G5/F5*100)</f>
        <v/>
      </c>
    </row>
    <row r="6">
      <c r="A6" t="inlineStr">
        <is>
          <t>STR %</t>
        </is>
      </c>
      <c r="B6">
        <f>IFERROR(1/(I6-100),"n/a")</f>
        <v/>
      </c>
      <c r="C6" t="inlineStr">
        <is>
          <t>pct</t>
        </is>
      </c>
      <c r="D6">
        <f>Inputs!$B$12</f>
        <v/>
      </c>
      <c r="E6">
        <f>(Inputs!$B$12+1)</f>
        <v/>
      </c>
      <c r="F6">
        <f>Summary!$B$3</f>
        <v/>
      </c>
      <c r="G6">
        <f>B102</f>
        <v/>
      </c>
      <c r="H6">
        <f>G6-F6</f>
        <v/>
      </c>
      <c r="I6">
        <f>IF(F6=0,0,G6/F6*100)</f>
        <v/>
      </c>
    </row>
    <row r="7">
      <c r="A7" t="inlineStr">
        <is>
          <t>DEX</t>
        </is>
      </c>
      <c r="B7">
        <f>IFERROR(1/(I7-100),"n/a")</f>
        <v/>
      </c>
      <c r="C7" t="inlineStr">
        <is>
          <t>flat</t>
        </is>
      </c>
      <c r="D7">
        <f>Inputs!$B$13</f>
        <v/>
      </c>
      <c r="E7">
        <f>(Inputs!$B$13+1)</f>
        <v/>
      </c>
      <c r="F7">
        <f>Summary!$B$3</f>
        <v/>
      </c>
      <c r="G7">
        <f>B138</f>
        <v/>
      </c>
      <c r="H7">
        <f>G7-F7</f>
        <v/>
      </c>
      <c r="I7">
        <f>IF(F7=0,0,G7/F7*100)</f>
        <v/>
      </c>
    </row>
    <row r="8">
      <c r="A8" t="inlineStr">
        <is>
          <t>DAMAGE %</t>
        </is>
      </c>
      <c r="B8">
        <f>IFERROR(1/(I8-100),"n/a")</f>
        <v/>
      </c>
      <c r="C8" t="inlineStr">
        <is>
          <t>pct</t>
        </is>
      </c>
      <c r="D8">
        <f>Inputs!$B$14</f>
        <v/>
      </c>
      <c r="E8">
        <f>(Inputs!$B$14+1)</f>
        <v/>
      </c>
      <c r="F8">
        <f>Summary!$B$3</f>
        <v/>
      </c>
      <c r="G8">
        <f>B174</f>
        <v/>
      </c>
      <c r="H8">
        <f>G8-F8</f>
        <v/>
      </c>
      <c r="I8">
        <f>IF(F8=0,0,G8/F8*100)</f>
        <v/>
      </c>
    </row>
    <row r="9">
      <c r="A9" t="inlineStr">
        <is>
          <t>DAMAGE_AMP %</t>
        </is>
      </c>
      <c r="B9">
        <f>IFERROR(1/(I9-100),"n/a")</f>
        <v/>
      </c>
      <c r="C9" t="inlineStr">
        <is>
          <t>pct</t>
        </is>
      </c>
      <c r="D9">
        <f>Inputs!$B$15</f>
        <v/>
      </c>
      <c r="E9">
        <f>(Inputs!$B$15+1)</f>
        <v/>
      </c>
      <c r="F9">
        <f>Summary!$B$3</f>
        <v/>
      </c>
      <c r="G9">
        <f>B210</f>
        <v/>
      </c>
      <c r="H9">
        <f>G9-F9</f>
        <v/>
      </c>
      <c r="I9">
        <f>IF(F9=0,0,G9/F9*100)</f>
        <v/>
      </c>
    </row>
    <row r="10">
      <c r="A10" t="inlineStr">
        <is>
          <t>BOSS_DAMAGE %</t>
        </is>
      </c>
      <c r="B10">
        <f>IFERROR(1/(I10-100),"n/a")</f>
        <v/>
      </c>
      <c r="C10" t="inlineStr">
        <is>
          <t>pct</t>
        </is>
      </c>
      <c r="D10">
        <f>Inputs!$B$19</f>
        <v/>
      </c>
      <c r="E10">
        <f>(Inputs!$B$19+1)</f>
        <v/>
      </c>
      <c r="F10">
        <f>Summary!$B$3</f>
        <v/>
      </c>
      <c r="G10">
        <f>B246</f>
        <v/>
      </c>
      <c r="H10">
        <f>G10-F10</f>
        <v/>
      </c>
      <c r="I10">
        <f>IF(F10=0,0,G10/F10*100)</f>
        <v/>
      </c>
    </row>
    <row r="11">
      <c r="A11" t="inlineStr">
        <is>
          <t>NORMAL_DAMAGE %</t>
        </is>
      </c>
      <c r="B11">
        <f>IFERROR(1/(I11-100),"n/a")</f>
        <v/>
      </c>
      <c r="C11" t="inlineStr">
        <is>
          <t>pct</t>
        </is>
      </c>
      <c r="D11">
        <f>Inputs!$B$20</f>
        <v/>
      </c>
      <c r="E11">
        <f>(Inputs!$B$20+1)</f>
        <v/>
      </c>
      <c r="F11">
        <f>Summary!$B$3</f>
        <v/>
      </c>
      <c r="G11">
        <f>B282</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B318</f>
        <v/>
      </c>
      <c r="H12">
        <f>G12-F12</f>
        <v/>
      </c>
      <c r="I12">
        <f>IF(F12=0,0,G12/F12*100)</f>
        <v/>
      </c>
    </row>
    <row r="13">
      <c r="A13" t="inlineStr">
        <is>
          <t>MIN_DAMAGE %</t>
        </is>
      </c>
      <c r="B13">
        <f>IFERROR(1/(I13-100),"n/a")</f>
        <v/>
      </c>
      <c r="C13" t="inlineStr">
        <is>
          <t>pct</t>
        </is>
      </c>
      <c r="D13">
        <f>Inputs!$B$21</f>
        <v/>
      </c>
      <c r="E13">
        <f>(Inputs!$B$21+1)</f>
        <v/>
      </c>
      <c r="F13">
        <f>Summary!$B$3</f>
        <v/>
      </c>
      <c r="G13">
        <f>B354</f>
        <v/>
      </c>
      <c r="H13">
        <f>G13-F13</f>
        <v/>
      </c>
      <c r="I13">
        <f>IF(F13=0,0,G13/F13*100)</f>
        <v/>
      </c>
    </row>
    <row r="14">
      <c r="A14" t="inlineStr">
        <is>
          <t>MAX_DAMAGE %</t>
        </is>
      </c>
      <c r="B14">
        <f>IFERROR(1/(I14-100),"n/a")</f>
        <v/>
      </c>
      <c r="C14" t="inlineStr">
        <is>
          <t>pct</t>
        </is>
      </c>
      <c r="D14">
        <f>Inputs!$B$22</f>
        <v/>
      </c>
      <c r="E14">
        <f>(Inputs!$B$22+1)</f>
        <v/>
      </c>
      <c r="F14">
        <f>Summary!$B$3</f>
        <v/>
      </c>
      <c r="G14">
        <f>B390</f>
        <v/>
      </c>
      <c r="H14">
        <f>G14-F14</f>
        <v/>
      </c>
      <c r="I14">
        <f>IF(F14=0,0,G14/F14*100)</f>
        <v/>
      </c>
    </row>
    <row r="15">
      <c r="A15" t="inlineStr">
        <is>
          <t>CRIT_RATE %</t>
        </is>
      </c>
      <c r="B15">
        <f>IFERROR(1/(I15-100),"n/a")</f>
        <v/>
      </c>
      <c r="C15" t="inlineStr">
        <is>
          <t>pct</t>
        </is>
      </c>
      <c r="D15">
        <f>Inputs!$B$8</f>
        <v/>
      </c>
      <c r="E15">
        <f>(Inputs!$B$8+1)</f>
        <v/>
      </c>
      <c r="F15">
        <f>Summary!$B$3</f>
        <v/>
      </c>
      <c r="G15">
        <f>B426</f>
        <v/>
      </c>
      <c r="H15">
        <f>G15-F15</f>
        <v/>
      </c>
      <c r="I15">
        <f>IF(F15=0,0,G15/F15*100)</f>
        <v/>
      </c>
    </row>
    <row r="16">
      <c r="A16" t="inlineStr">
        <is>
          <t>CRIT_DAMAGE %</t>
        </is>
      </c>
      <c r="B16">
        <f>IFERROR(1/(I16-100),"n/a")</f>
        <v/>
      </c>
      <c r="C16" t="inlineStr">
        <is>
          <t>pct</t>
        </is>
      </c>
      <c r="D16">
        <f>Inputs!$B$9</f>
        <v/>
      </c>
      <c r="E16">
        <f>(Inputs!$B$9+1)</f>
        <v/>
      </c>
      <c r="F16">
        <f>Summary!$B$3</f>
        <v/>
      </c>
      <c r="G16">
        <f>B462</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B498</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B534</f>
        <v/>
      </c>
      <c r="H18">
        <f>G18-F18</f>
        <v/>
      </c>
      <c r="I18">
        <f>IF(F18=0,0,G18/F18*100)</f>
        <v/>
      </c>
    </row>
    <row r="19">
      <c r="A19" t="inlineStr">
        <is>
          <t>BASIC_ATTACK_DAMAGE %</t>
        </is>
      </c>
      <c r="B19">
        <f>IFERROR(1/(I19-100),"n/a")</f>
        <v/>
      </c>
      <c r="C19" t="inlineStr">
        <is>
          <t>pct</t>
        </is>
      </c>
      <c r="D19">
        <f>Inputs!$B$16</f>
        <v/>
      </c>
      <c r="E19">
        <f>(Inputs!$B$16+1)</f>
        <v/>
      </c>
      <c r="F19">
        <f>Summary!$B$3</f>
        <v/>
      </c>
      <c r="G19">
        <f>B570</f>
        <v/>
      </c>
      <c r="H19">
        <f>G19-F19</f>
        <v/>
      </c>
      <c r="I19">
        <f>IF(F19=0,0,G19/F19*100)</f>
        <v/>
      </c>
    </row>
    <row r="20">
      <c r="A20" t="inlineStr">
        <is>
          <t>SKILL_DAMAGE %</t>
        </is>
      </c>
      <c r="B20">
        <f>IFERROR(1/(I20-100),"n/a")</f>
        <v/>
      </c>
      <c r="C20" t="inlineStr">
        <is>
          <t>pct</t>
        </is>
      </c>
      <c r="D20">
        <f>Inputs!$B$17</f>
        <v/>
      </c>
      <c r="E20">
        <f>(Inputs!$B$17+1)</f>
        <v/>
      </c>
      <c r="F20">
        <f>Summary!$B$3</f>
        <v/>
      </c>
      <c r="G20">
        <f>B606</f>
        <v/>
      </c>
      <c r="H20">
        <f>G20-F20</f>
        <v/>
      </c>
      <c r="I20">
        <f>IF(F20=0,0,G20/F20*100)</f>
        <v/>
      </c>
    </row>
    <row r="21">
      <c r="A21" t="inlineStr">
        <is>
          <t>Skill Level Bonus — 1st Job</t>
        </is>
      </c>
      <c r="B21">
        <f>IFERROR(1/(I21-100),"n/a")</f>
        <v/>
      </c>
      <c r="C21" t="inlineStr">
        <is>
          <t>level</t>
        </is>
      </c>
      <c r="D21">
        <f>Inputs!$B$24</f>
        <v/>
      </c>
      <c r="E21">
        <f>(Inputs!$B$24+1)</f>
        <v/>
      </c>
      <c r="F21">
        <f>Summary!$B$3</f>
        <v/>
      </c>
      <c r="G21">
        <f>B642</f>
        <v/>
      </c>
      <c r="H21">
        <f>G21-F21</f>
        <v/>
      </c>
      <c r="I21">
        <f>IF(F21=0,0,G21/F21*100)</f>
        <v/>
      </c>
    </row>
    <row r="22">
      <c r="A22" t="inlineStr">
        <is>
          <t>Skill Level Bonus — 2nd Job</t>
        </is>
      </c>
      <c r="B22">
        <f>IFERROR(1/(I22-100),"n/a")</f>
        <v/>
      </c>
      <c r="C22" t="inlineStr">
        <is>
          <t>level</t>
        </is>
      </c>
      <c r="D22">
        <f>Inputs!$B$25</f>
        <v/>
      </c>
      <c r="E22">
        <f>(Inputs!$B$25+1)</f>
        <v/>
      </c>
      <c r="F22">
        <f>Summary!$B$3</f>
        <v/>
      </c>
      <c r="G22">
        <f>B678</f>
        <v/>
      </c>
      <c r="H22">
        <f>G22-F22</f>
        <v/>
      </c>
      <c r="I22">
        <f>IF(F22=0,0,G22/F22*100)</f>
        <v/>
      </c>
    </row>
    <row r="23">
      <c r="A23" t="inlineStr">
        <is>
          <t>Skill Level Bonus — 3rd Job</t>
        </is>
      </c>
      <c r="B23">
        <f>IFERROR(1/(I23-100),"n/a")</f>
        <v/>
      </c>
      <c r="C23" t="inlineStr">
        <is>
          <t>level</t>
        </is>
      </c>
      <c r="D23">
        <f>Inputs!$B$26</f>
        <v/>
      </c>
      <c r="E23">
        <f>(Inputs!$B$26+1)</f>
        <v/>
      </c>
      <c r="F23">
        <f>Summary!$B$3</f>
        <v/>
      </c>
      <c r="G23">
        <f>B714</f>
        <v/>
      </c>
      <c r="H23">
        <f>G23-F23</f>
        <v/>
      </c>
      <c r="I23">
        <f>IF(F23=0,0,G23/F23*100)</f>
        <v/>
      </c>
    </row>
    <row r="24">
      <c r="A24" t="inlineStr">
        <is>
          <t>Skill Level Bonus — 4th Job</t>
        </is>
      </c>
      <c r="B24">
        <f>IFERROR(1/(I24-100),"n/a")</f>
        <v/>
      </c>
      <c r="C24" t="inlineStr">
        <is>
          <t>level</t>
        </is>
      </c>
      <c r="D24">
        <f>Inputs!$B$27</f>
        <v/>
      </c>
      <c r="E24">
        <f>(Inputs!$B$27+1)</f>
        <v/>
      </c>
      <c r="F24">
        <f>Summary!$B$3</f>
        <v/>
      </c>
      <c r="G24">
        <f>B750</f>
        <v/>
      </c>
      <c r="H24">
        <f>G24-F24</f>
        <v/>
      </c>
      <c r="I24">
        <f>IF(F24=0,0,G24/F24*100)</f>
        <v/>
      </c>
    </row>
    <row r="25">
      <c r="A25" t="inlineStr">
        <is>
          <t>Skill Level Bonus — All Skills</t>
        </is>
      </c>
      <c r="B25">
        <f>IFERROR(1/(I25-100),"n/a")</f>
        <v/>
      </c>
      <c r="C25" t="inlineStr">
        <is>
          <t>level</t>
        </is>
      </c>
      <c r="D25">
        <f>Inputs!$B$28</f>
        <v/>
      </c>
      <c r="E25">
        <f>(Inputs!$B$28+1)</f>
        <v/>
      </c>
      <c r="F25">
        <f>Summary!$B$3</f>
        <v/>
      </c>
      <c r="G25">
        <f>B786</f>
        <v/>
      </c>
      <c r="H25">
        <f>G25-F25</f>
        <v/>
      </c>
      <c r="I25">
        <f>IF(F25=0,0,G25/F25*100)</f>
        <v/>
      </c>
    </row>
    <row r="26">
      <c r="A26" t="inlineStr">
        <is>
          <t>Flat ATTACK</t>
        </is>
      </c>
      <c r="B26">
        <f>IFERROR(1/(I26-100),"n/a")</f>
        <v/>
      </c>
      <c r="C26" t="inlineStr">
        <is>
          <t>flat</t>
        </is>
      </c>
      <c r="D26">
        <f>Inputs!$B$5</f>
        <v/>
      </c>
      <c r="E26">
        <f>(Inputs!$B$5+1)</f>
        <v/>
      </c>
      <c r="F26">
        <f>Summary!$B$3</f>
        <v/>
      </c>
      <c r="G26">
        <f>B822</f>
        <v/>
      </c>
      <c r="H26">
        <f>G26-F26</f>
        <v/>
      </c>
      <c r="I26">
        <f>IF(F26=0,0,G26/F26*100)</f>
        <v/>
      </c>
    </row>
    <row r="27">
      <c r="A27" t="inlineStr">
        <is>
          <t>ATTACK %</t>
        </is>
      </c>
      <c r="B27">
        <f>IFERROR(1/(I27-100),"n/a")</f>
        <v/>
      </c>
      <c r="C27" t="inlineStr">
        <is>
          <t>pct</t>
        </is>
      </c>
      <c r="D27">
        <f>Inputs!$B$6</f>
        <v/>
      </c>
      <c r="E27">
        <f>(Inputs!$B$6+1)</f>
        <v/>
      </c>
      <c r="F27">
        <f>Summary!$B$3</f>
        <v/>
      </c>
      <c r="G27">
        <f>B858</f>
        <v/>
      </c>
      <c r="H27">
        <f>G27-F27</f>
        <v/>
      </c>
      <c r="I27">
        <f>IF(F27=0,0,G27/F27*100)</f>
        <v/>
      </c>
    </row>
    <row r="28">
      <c r="A28" t="inlineStr">
        <is>
          <t>Skill Cooldown Decrease (seconds)</t>
        </is>
      </c>
      <c r="B28">
        <f>IFERROR(1/(I28-100),"n/a")</f>
        <v/>
      </c>
      <c r="C28" t="inlineStr">
        <is>
          <t>flat</t>
        </is>
      </c>
      <c r="D28">
        <f>Inputs!$B$31</f>
        <v/>
      </c>
      <c r="E28">
        <f>(Inputs!$B$31+1)</f>
        <v/>
      </c>
      <c r="F28">
        <f>Summary!$B$3</f>
        <v/>
      </c>
      <c r="G28">
        <f>B894</f>
        <v/>
      </c>
      <c r="H28">
        <f>G28-F28</f>
        <v/>
      </c>
      <c r="I28">
        <f>IF(F28=0,0,G28/F28*100)</f>
        <v/>
      </c>
    </row>
    <row r="29">
      <c r="A29" t="inlineStr">
        <is>
          <t>Basic Attack Target Increase (flat)</t>
        </is>
      </c>
      <c r="B29">
        <f>IFERROR(1/(I29-100),"n/a")</f>
        <v/>
      </c>
      <c r="C29" t="inlineStr">
        <is>
          <t>flat</t>
        </is>
      </c>
      <c r="D29">
        <f>Inputs!$B$32</f>
        <v/>
      </c>
      <c r="E29">
        <f>(Inputs!$B$32+1)</f>
        <v/>
      </c>
      <c r="F29">
        <f>Summary!$B$3</f>
        <v/>
      </c>
      <c r="G29">
        <f>B930</f>
        <v/>
      </c>
      <c r="H29">
        <f>G29-F29</f>
        <v/>
      </c>
      <c r="I29">
        <f>IF(F29=0,0,G29/F29*100)</f>
        <v/>
      </c>
    </row>
    <row r="30">
      <c r="A30" t="inlineStr">
        <is>
          <t>Buff Duration Increase %</t>
        </is>
      </c>
      <c r="B30">
        <f>IFERROR(1/(I30-100),"n/a")</f>
        <v/>
      </c>
      <c r="C30" t="inlineStr">
        <is>
          <t>pct</t>
        </is>
      </c>
      <c r="D30">
        <f>Inputs!$B$33</f>
        <v/>
      </c>
      <c r="E30">
        <f>(Inputs!$B$33+1)</f>
        <v/>
      </c>
      <c r="F30">
        <f>Summary!$B$3</f>
        <v/>
      </c>
      <c r="G30">
        <f>B966</f>
        <v/>
      </c>
      <c r="H30">
        <f>G30-F30</f>
        <v/>
      </c>
      <c r="I30">
        <f>IF(F30=0,0,G30/F30*100)</f>
        <v/>
      </c>
    </row>
    <row r="33">
      <c r="A33" s="5" t="inlineStr">
        <is>
          <t>Stat: Flat STR</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Summary!$B$55*(Inputs!$B$20+Skills!Q2))/100)*(1+Inputs!$B$15/100)*(5000/(6000+Inputs!$B$7*(1-(Inputs!$B$18+0)/100)))*(1+(Inputs!$B$23+((C55=TRUE)*(F55-Calc!F22))+B64)/100)*(1+(IF(Skills!A2="HOOK_BOMBER",Inputs!$B$16+((C54=TRUE)*(F54-Calc!F21)),Inputs!$B$17+0))/100)*((1+(((C46=TRUE)*F46)+((C52=TRUE)*(F52-Calc!F19)))/100)*I35)</f>
        <v/>
      </c>
      <c r="L35">
        <f>K35*(MIN(Inputs!$B$21+((C53=TRUE)*(F53-Calc!F20)),Inputs!$B$22+0)/100+(Inputs!$B$22+0)/100)/2</f>
        <v/>
      </c>
      <c r="M35">
        <f>L35*(1+(Inputs!$B$9+0+B63)/100)</f>
        <v/>
      </c>
      <c r="N35">
        <f>L35*(1-MIN((Inputs!$B$8+((C49=TRUE)*(F49-Calc!F16))+B58),100)/100)+M35*(MIN((Inputs!$B$8+((C49=TRUE)*(F49-Calc!F16))+B58),100)/100)</f>
        <v/>
      </c>
      <c r="O35">
        <f>IF(C35,Skills!G2*N35*B62*IF(Inputs!$B$4="pvp",1,(1-Summary!$B$55)*(1)+Summary!$B$55*(MIN((6+Inputs!$B$32),Inputs!$B$37))),0)</f>
        <v/>
      </c>
      <c r="P35">
        <f>IF(B66=0,0,O35/B66)</f>
        <v/>
      </c>
      <c r="Q35" t="n">
        <v>0</v>
      </c>
      <c r="R35" t="n">
        <v>0</v>
      </c>
      <c r="S35">
        <f>IFERROR(O35/N35,0)</f>
        <v/>
      </c>
      <c r="U35">
        <f>MAX(0,(Inputs!$B$3-100)*3)+Inputs!$B$27+Inputs!$B$28</f>
        <v/>
      </c>
    </row>
    <row r="36">
      <c r="A36">
        <f>Skills!A3</f>
        <v/>
      </c>
      <c r="B36">
        <f>Skills!B3</f>
        <v/>
      </c>
      <c r="C36">
        <f>Inputs!$B$3&gt;=35</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f>Skills!G3*IF(Skills!H3&gt;0,Skills!I3/Skills!H3,1)</f>
        <v/>
      </c>
      <c r="H36">
        <f>1-(1-Skills!J3/100)^Skills!K3</f>
        <v/>
      </c>
      <c r="I36" t="inlineStr">
        <is>
          <t>1</t>
        </is>
      </c>
      <c r="J36">
        <f>(Inputs!$B$5*(1+Inputs!$B$6/100))*(F36/100)</f>
        <v/>
      </c>
      <c r="K36">
        <f>J36*(1+(((Inputs!$B$11+1)*(1+Inputs!$B$12/100))*0.01+Inputs!$B$13*0.0025)/100)*(1+Inputs!$B$14/100)*(1+IF(Inputs!$B$4="pvp",0,(1-Summary!$B$55)*(Inputs!$B$19+0+Skills!P3)+Summary!$B$55*(Inputs!$B$20+Skills!Q3))/100)*(1+Inputs!$B$15/100)*(5000/(6000+Inputs!$B$7*(1-(Inputs!$B$18+0)/100)))*(1+(Inputs!$B$23+((C55=TRUE)*(F55-Calc!F22))+B64)/100)*(1+(IF(Skills!A3="HOOK_BOMBER",Inputs!$B$16+((C54=TRUE)*(F54-Calc!F21)),Inputs!$B$17+0))/100)*((1+(((C46=TRUE)*F46)+((C52=TRUE)*(F52-Calc!F19)))/100)*I36)</f>
        <v/>
      </c>
      <c r="L36">
        <f>K36*(MIN(Inputs!$B$21+((C53=TRUE)*(F53-Calc!F20)),Inputs!$B$22+0)/100+(Inputs!$B$22+0)/100)/2</f>
        <v/>
      </c>
      <c r="M36">
        <f>L36*(1+(Inputs!$B$9+0+B63)/100)</f>
        <v/>
      </c>
      <c r="N36">
        <f>L36*(1-MIN((Inputs!$B$8+((C49=TRUE)*(F49-Calc!F16))+B58),100)/100)+M36*(MIN((Inputs!$B$8+((C49=TRUE)*(F49-Calc!F16))+B58),100)/100)</f>
        <v/>
      </c>
      <c r="O36">
        <f>IF(C36,Skills!G3*H36*N36*B62*IF(Inputs!$B$4="pvp",1,(1-Summary!$B$55)*(1)+Summary!$B$55*(MIN(Skills!R3,Inputs!$B$37))),0)</f>
        <v/>
      </c>
      <c r="P36">
        <f>IF(B66=0,0,O36/B66)</f>
        <v/>
      </c>
      <c r="Q36" t="n">
        <v>0</v>
      </c>
      <c r="R36" t="n">
        <v>0</v>
      </c>
      <c r="S36">
        <f>IFERROR(O36/N36,0)</f>
        <v/>
      </c>
      <c r="U36">
        <f>INDEX(FactorTable!$B$2:$Y$301, MATCH(ROUND(MIN(300,MAX(1,U35)),0), FactorTable!$A$2:$A$301,0), 22)</f>
        <v/>
      </c>
    </row>
    <row r="37">
      <c r="A37">
        <f>Skills!A4</f>
        <v/>
      </c>
      <c r="B37">
        <f>Skills!B4</f>
        <v/>
      </c>
      <c r="C37">
        <f>Inputs!$B$3&gt;=60</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f>Skills!G4*IF(Skills!H4&gt;0,Skills!I4/Skills!H4,1)</f>
        <v/>
      </c>
      <c r="H37">
        <f>1-(1-Skills!J4/100)^Skills!K4</f>
        <v/>
      </c>
      <c r="I37" t="inlineStr">
        <is>
          <t>1</t>
        </is>
      </c>
      <c r="J37">
        <f>(Inputs!$B$5*(1+Inputs!$B$6/100))*(F37/100)</f>
        <v/>
      </c>
      <c r="K37">
        <f>J37*(1+(((Inputs!$B$11+1)*(1+Inputs!$B$12/100))*0.01+Inputs!$B$13*0.0025)/100)*(1+Inputs!$B$14/100)*(1+IF(Inputs!$B$4="pvp",0,(1-Summary!$B$55)*(Inputs!$B$19+0+Skills!P4)+Summary!$B$55*(Inputs!$B$20+Skills!Q4))/100)*(1+Inputs!$B$15/100)*(5000/(6000+Inputs!$B$7*(1-(Inputs!$B$18+0)/100)))*(1+(Inputs!$B$23+((C55=TRUE)*(F55-Calc!F22))+B64)/100)*(1+1.0*IF(C45=TRUE,F45,0)/100)*(1+(IF(Skills!A4="HOOK_BOMBER",Inputs!$B$16+((C54=TRUE)*(F54-Calc!F21)),Inputs!$B$17+0))/100)*((1+(((C46=TRUE)*F46)+((C52=TRUE)*(F52-Calc!F19)))/100)*I37)</f>
        <v/>
      </c>
      <c r="L37">
        <f>K37*(MIN(Inputs!$B$21+((C53=TRUE)*(F53-Calc!F20)),Inputs!$B$22+0)/100+(Inputs!$B$22+0)/100)/2</f>
        <v/>
      </c>
      <c r="M37">
        <f>L37*(1+(Inputs!$B$9+0+B63)/100)</f>
        <v/>
      </c>
      <c r="N37">
        <f>L37*(1-MIN((Inputs!$B$8+((C49=TRUE)*(F49-Calc!F16))+B58),100)/100)+M37*(MIN((Inputs!$B$8+((C49=TRUE)*(F49-Calc!F16))+B58),100)/100)</f>
        <v/>
      </c>
      <c r="O37">
        <f>IF(C37,Skills!G4*H37*N37*B62*IF(Inputs!$B$4="pvp",1,(1-Summary!$B$55)*(1)+Summary!$B$55*(MIN(Skills!R4,Inputs!$B$37))),0)</f>
        <v/>
      </c>
      <c r="P37">
        <f>IF(B66=0,0,O37/B66)</f>
        <v/>
      </c>
      <c r="Q37" t="n">
        <v>0</v>
      </c>
      <c r="R37" t="n">
        <v>0</v>
      </c>
      <c r="S37">
        <f>IFERROR(O37/N37,0)</f>
        <v/>
      </c>
      <c r="U37">
        <f>290*U36/1000</f>
        <v/>
      </c>
    </row>
    <row r="38">
      <c r="A38">
        <f>Skills!A5</f>
        <v/>
      </c>
      <c r="B38">
        <f>Skills!B5</f>
        <v/>
      </c>
      <c r="C38">
        <f>Inputs!$B$3&gt;=60</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t="inlineStr"/>
      <c r="K38" t="inlineStr"/>
      <c r="L38" t="inlineStr"/>
      <c r="M38" t="inlineStr"/>
      <c r="N38" t="inlineStr"/>
      <c r="O38" t="n">
        <v>0</v>
      </c>
      <c r="P38">
        <f>IF(B66=0,0,O38/B66)</f>
        <v/>
      </c>
      <c r="Q38" t="n">
        <v>0</v>
      </c>
      <c r="R38" t="n">
        <v>0</v>
      </c>
      <c r="S38">
        <f>IFERROR(O38/N38,0)</f>
        <v/>
      </c>
    </row>
    <row r="39">
      <c r="A39">
        <f>Skills!A6</f>
        <v/>
      </c>
      <c r="B39">
        <f>Skills!B6</f>
        <v/>
      </c>
      <c r="C39">
        <f>Inputs!$B$3&gt;=63</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Summary!$B$55*(Inputs!$B$20+Skills!Q6))/100)*(1+Inputs!$B$15/100)*(5000/(6000+Inputs!$B$7*(1-(Inputs!$B$18+0)/100)))*(1+(Inputs!$B$23+((C55=TRUE)*(F55-Calc!F22))+B64)/100)*(1+(IF(Skills!A6="HOOK_BOMBER",Inputs!$B$16+((C54=TRUE)*(F54-Calc!F21)),Inputs!$B$17+0))/100)*((1+(((C46=TRUE)*F46)+((C52=TRUE)*(F52-Calc!F19)))/100)*I39)</f>
        <v/>
      </c>
      <c r="L39">
        <f>K39*(MIN(Inputs!$B$21+((C53=TRUE)*(F53-Calc!F20)),Inputs!$B$22+0)/100+(Inputs!$B$22+0)/100)/2</f>
        <v/>
      </c>
      <c r="M39">
        <f>L39*(1+(Inputs!$B$9+0+B63)/100)</f>
        <v/>
      </c>
      <c r="N39">
        <f>L39*(1-MIN((Inputs!$B$8+((C49=TRUE)*(F49-Calc!F16))+B58),100)/100)+M39*(MIN((Inputs!$B$8+((C49=TRUE)*(F49-Calc!F16))+B58),100)/100)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IF(B66=0,0,O39/B66)</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Inputs!$B$3&gt;=100</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f>Skills!G7*IF(Skills!H7&gt;0,Skills!I7/Skills!H7,1)</f>
        <v/>
      </c>
      <c r="H40">
        <f>1-(1-Skills!J7/100)^Skills!K7</f>
        <v/>
      </c>
      <c r="I40" t="inlineStr">
        <is>
          <t>1</t>
        </is>
      </c>
      <c r="J40">
        <f>(Inputs!$B$5*(1+Inputs!$B$6/100))*(F40/100)</f>
        <v/>
      </c>
      <c r="K40">
        <f>J40*(1+(((Inputs!$B$11+1)*(1+Inputs!$B$12/100))*0.01+Inputs!$B$13*0.0025)/100)*(1+Inputs!$B$14/100)*(1+IF(Inputs!$B$4="pvp",0,(1-Summary!$B$55)*(Inputs!$B$19+0+Skills!P7)+Summary!$B$55*(Inputs!$B$20+Skills!Q7))/100)*(1+Inputs!$B$15/100)*(5000/(6000+Inputs!$B$7*(1-(Inputs!$B$18+0)/100)))*(1+(Inputs!$B$23+((C55=TRUE)*(F55-Calc!F22))+B64)/100)*(1+(IF(Skills!A7="HOOK_BOMBER",Inputs!$B$16+((C54=TRUE)*(F54-Calc!F21)),Inputs!$B$17+0))/100)*((1+(((C46=TRUE)*F46)+((C52=TRUE)*(F52-Calc!F19)))/100)*I40)</f>
        <v/>
      </c>
      <c r="L40">
        <f>K40*(MIN(Inputs!$B$21+((C53=TRUE)*(F53-Calc!F20)),Inputs!$B$22+0)/100+(Inputs!$B$22+0)/100)/2</f>
        <v/>
      </c>
      <c r="M40">
        <f>L40*(1+(Inputs!$B$9+0+B63)/100)</f>
        <v/>
      </c>
      <c r="N40">
        <f>L40*(1-MIN((Inputs!$B$8+((C49=TRUE)*(F49-Calc!F16))+B58),100)/100)+M40*(MIN((Inputs!$B$8+((C49=TRUE)*(F49-Calc!F16))+B58),100)/100)</f>
        <v/>
      </c>
      <c r="O40">
        <f>IF(C40,H40*N40*IF(AND(Inputs!$B$4&lt;&gt;"pvp",Inputs!$B$35&gt;0),((Skills!G7*((R40-1)*IF(Skills!H7&gt;0,Skills!I7/Skills!H7,1)+IF(Skills!H7&gt;0,MIN(Skills!I7,MAX(0,Inputs!$B$35-((R40-1)*IF(Inputs!$B$4="pvp",15,MAX(0.1,Skills!D7-IF(Skills!E7=TRUE,Inputs!$B$31,0))))))/Skills!H7,1)))/Inputs!$B$35),G40*Q40)*IF(Inputs!$B$4="pvp",1,(1-Summary!$B$55)*(1)+Summary!$B$55*(MIN(Skills!R7,Inputs!$B$37))),0)</f>
        <v/>
      </c>
      <c r="P40">
        <f>IF(B66=0,0,O40/B66)</f>
        <v/>
      </c>
      <c r="Q40">
        <f>IFERROR(1/IF(Inputs!$B$4="pvp",15,MAX(0.1,Skills!D7-IF(Skills!E7=TRUE,Inputs!$B$31,0))),0)</f>
        <v/>
      </c>
      <c r="R40">
        <f>IF(AND(Inputs!$B$4&lt;&gt;"pvp",Inputs!$B$35&gt;0),(INT(Inputs!$B$35/IF(Inputs!$B$4="pvp",15,MAX(0.1,Skills!D7-IF(Skills!E7=TRUE,Inputs!$B$31,0))))+1),0)</f>
        <v/>
      </c>
      <c r="S40">
        <f>IFERROR(O40/N40,0)</f>
        <v/>
      </c>
    </row>
    <row r="41">
      <c r="A41">
        <f>Skills!A8</f>
        <v/>
      </c>
      <c r="B41">
        <f>Skills!B8</f>
        <v/>
      </c>
      <c r="C41">
        <f>Inputs!$B$3&gt;=110</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f>Skills!G8*IF(Skills!H8&gt;0,Skills!I8/Skills!H8,1)</f>
        <v/>
      </c>
      <c r="H41">
        <f>1-(1-Skills!J8/100)^Skills!K8</f>
        <v/>
      </c>
      <c r="I41" t="inlineStr">
        <is>
          <t>1</t>
        </is>
      </c>
      <c r="J41">
        <f>(Inputs!$B$5*(1+Inputs!$B$6/100))*(F41/100)</f>
        <v/>
      </c>
      <c r="K41">
        <f>J41*(1+(((Inputs!$B$11+1)*(1+Inputs!$B$12/100))*0.01+Inputs!$B$13*0.0025)/100)*(1+Inputs!$B$14/100)*(1+IF(Inputs!$B$4="pvp",0,(1-Summary!$B$55)*(Inputs!$B$19+0+Skills!P8)+Summary!$B$55*(Inputs!$B$20+Skills!Q8))/100)*(1+Inputs!$B$15/100)*(5000/(6000+Inputs!$B$7*(1-(Inputs!$B$18+0)/100)))*(1+(Inputs!$B$23+((C55=TRUE)*(F55-Calc!F22))+B64)/100)*(1+(IF(Skills!A8="HOOK_BOMBER",Inputs!$B$16+((C54=TRUE)*(F54-Calc!F21)),Inputs!$B$17+0))/100)*((1+(((C46=TRUE)*F46)+((C52=TRUE)*(F52-Calc!F19)))/100)*I41)</f>
        <v/>
      </c>
      <c r="L41">
        <f>K41*(MIN(Inputs!$B$21+((C53=TRUE)*(F53-Calc!F20)),Inputs!$B$22+0)/100+(Inputs!$B$22+0)/100)/2</f>
        <v/>
      </c>
      <c r="M41">
        <f>L41*(1+(Inputs!$B$9+0+B63)/100)</f>
        <v/>
      </c>
      <c r="N41">
        <f>L41*(1-MIN((Inputs!$B$8+((C49=TRUE)*(F49-Calc!F16))+B58),100)/100)+M41*(MIN((Inputs!$B$8+((C49=TRUE)*(F49-Calc!F16))+B58),100)/100)</f>
        <v/>
      </c>
      <c r="O41">
        <f>IF(C41,H41*N41*IF(AND(Inputs!$B$4&lt;&gt;"pvp",Inputs!$B$35&gt;0),((Skills!G8*((R41-1)*IF(Skills!H8&gt;0,Skills!I8/Skills!H8,1)+IF(Skills!H8&gt;0,MIN(Skills!I8,MAX(0,Inputs!$B$35-((R41-1)*IF(Inputs!$B$4="pvp",15,MAX(0.1,Skills!D8-IF(Skills!E8=TRUE,Inputs!$B$31,0))))))/Skills!H8,1)))/Inputs!$B$35),G41*Q41)*IF(Inputs!$B$4="pvp",1,(1-Summary!$B$55)*(1)+Summary!$B$55*(MIN(Skills!R8,Inputs!$B$37))),0)</f>
        <v/>
      </c>
      <c r="P41">
        <f>IF(B66=0,0,O41/B66)</f>
        <v/>
      </c>
      <c r="Q41">
        <f>IFERROR(1/IF(Inputs!$B$4="pvp",15,MAX(0.1,Skills!D8-IF(Skills!E8=TRUE,Inputs!$B$31,0))),0)</f>
        <v/>
      </c>
      <c r="R41">
        <f>IF(AND(Inputs!$B$4&lt;&gt;"pvp",Inputs!$B$35&gt;0),(INT(Inputs!$B$35/IF(Inputs!$B$4="pvp",15,MAX(0.1,Skills!D8-IF(Skills!E8=TRUE,Inputs!$B$31,0))))+1),0)</f>
        <v/>
      </c>
      <c r="S41">
        <f>IFERROR(O41/N41,0)</f>
        <v/>
      </c>
    </row>
    <row r="42">
      <c r="A42">
        <f>Skills!A9</f>
        <v/>
      </c>
      <c r="B42">
        <f>Skills!B9</f>
        <v/>
      </c>
      <c r="C42">
        <f>Inputs!$B$3&gt;=110</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Summary!$B$55*(Inputs!$B$20+Skills!Q9))/100)*(1+Inputs!$B$15/100)*(5000/(6000+Inputs!$B$7*(1-(Inputs!$B$18+0)/100)))*(1+(Inputs!$B$23+((C55=TRUE)*(F55-Calc!F22))+B64)/100)*(1+(IF(Skills!A9="HOOK_BOMBER",Inputs!$B$16+((C54=TRUE)*(F54-Calc!F21)),Inputs!$B$17+0))/100)*((1+(((C46=TRUE)*F46)+((C52=TRUE)*(F52-Calc!F19)))/100)*I42)</f>
        <v/>
      </c>
      <c r="L42">
        <f>K42*(MIN(Inputs!$B$21+((C53=TRUE)*(F53-Calc!F20)),Inputs!$B$22+0)/100+(Inputs!$B$22+0)/100)/2</f>
        <v/>
      </c>
      <c r="M42">
        <f>L42*(1+(Inputs!$B$9+0+B63)/100)</f>
        <v/>
      </c>
      <c r="N42">
        <f>L42*(1-MIN((Inputs!$B$8+((C49=TRUE)*(F49-Calc!F16))+B58),100)/100)+M42*(MIN((Inputs!$B$8+((C49=TRUE)*(F49-Calc!F16))+B58),100)/100)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IF(B66=0,0,O42/B66)</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Inputs!$B$3&gt;=103</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f>Skills!G10*IF(Skills!H10&gt;0,Skills!I10/Skills!H10,1)</f>
        <v/>
      </c>
      <c r="H43">
        <f>1-(1-Skills!J10/100)^Skills!K10</f>
        <v/>
      </c>
      <c r="I43" t="inlineStr">
        <is>
          <t>1</t>
        </is>
      </c>
      <c r="J43">
        <f>(Inputs!$B$5*(1+Inputs!$B$6/100))*(F43/100)</f>
        <v/>
      </c>
      <c r="K43">
        <f>J43*(1+(((Inputs!$B$11+1)*(1+Inputs!$B$12/100))*0.01+Inputs!$B$13*0.0025)/100)*(1+Inputs!$B$14/100)*(1+IF(Inputs!$B$4="pvp",0,(1-Summary!$B$55)*(Inputs!$B$19+0+Skills!P10)+Summary!$B$55*(Inputs!$B$20+Skills!Q10))/100)*(1+Inputs!$B$15/100)*(5000/(6000+Inputs!$B$7*(1-(Inputs!$B$18+0)/100)))*(1+(Inputs!$B$23+((C55=TRUE)*(F55-Calc!F22))+B64)/100)*(1+(IF(Skills!A10="HOOK_BOMBER",Inputs!$B$16+((C54=TRUE)*(F54-Calc!F21)),Inputs!$B$17+0))/100)*((1+(((C46=TRUE)*F46)+((C52=TRUE)*(F52-Calc!F19)))/100)*I43)</f>
        <v/>
      </c>
      <c r="L43">
        <f>K43*(MIN(Inputs!$B$21+((C53=TRUE)*(F53-Calc!F20)),Inputs!$B$22+0)/100+(Inputs!$B$22+0)/100)/2</f>
        <v/>
      </c>
      <c r="M43">
        <f>L43*(1+(Inputs!$B$9+0+B63)/100)</f>
        <v/>
      </c>
      <c r="N43">
        <f>L43*(1-MIN((Inputs!$B$8+((C49=TRUE)*(F49-Calc!F16))+B58),100)/100)+M43*(MIN((Inputs!$B$8+((C49=TRUE)*(F49-Calc!F16))+B58),100)/100)</f>
        <v/>
      </c>
      <c r="O43">
        <f>IF(C43,H43*N43*IF(AND(Inputs!$B$4&lt;&gt;"pvp",Inputs!$B$35&gt;0),((Skills!G10*((R43-1)*IF(Skills!H10&gt;0,Skills!I10/Skills!H10,1)+IF(Skills!H10&gt;0,MIN(Skills!I10,MAX(0,Inputs!$B$35-((R43-1)*IF(Inputs!$B$4="pvp",15,MAX(0.1,Skills!D10-IF(Skills!E10=TRUE,Inputs!$B$31,0))))))/Skills!H10,1)))/Inputs!$B$35),G43*Q43)*IF(Inputs!$B$4="pvp",1,(1-Summary!$B$55)*(1)+Summary!$B$55*(MIN(Skills!R10,Inputs!$B$37))),0)</f>
        <v/>
      </c>
      <c r="P43">
        <f>IF(B66=0,0,O43/B66)</f>
        <v/>
      </c>
      <c r="Q43">
        <f>IFERROR(1/IF(Inputs!$B$4="pvp",15,MAX(0.1,Skills!D10-IF(Skills!E10=TRUE,Inputs!$B$31,0))),0)</f>
        <v/>
      </c>
      <c r="R43">
        <f>IF(AND(Inputs!$B$4&lt;&gt;"pvp",Inputs!$B$35&gt;0),(INT(Inputs!$B$35/IF(Inputs!$B$4="pvp",15,MAX(0.1,Skills!D10-IF(Skills!E10=TRUE,Inputs!$B$31,0))))+1),0)</f>
        <v/>
      </c>
      <c r="S43">
        <f>IFERROR(O43/N43,0)</f>
        <v/>
      </c>
    </row>
    <row r="44">
      <c r="A44">
        <f>Skills!A11</f>
        <v/>
      </c>
      <c r="B44">
        <f>Skills!B11</f>
        <v/>
      </c>
      <c r="C44">
        <f>Inputs!$B$3&gt;=113</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f>Skills!G11*IF(Skills!H11&gt;0,Skills!I11/Skills!H11,1)</f>
        <v/>
      </c>
      <c r="H44">
        <f>1-(1-Skills!J11/100)^Skills!K11</f>
        <v/>
      </c>
      <c r="I44" t="inlineStr">
        <is>
          <t>1</t>
        </is>
      </c>
      <c r="J44">
        <f>(Inputs!$B$5*(1+Inputs!$B$6/100))*(F44/100)</f>
        <v/>
      </c>
      <c r="K44">
        <f>J44*(1+(((Inputs!$B$11+1)*(1+Inputs!$B$12/100))*0.01+Inputs!$B$13*0.0025)/100)*(1+Inputs!$B$14/100)*(1+IF(Inputs!$B$4="pvp",0,(1-Summary!$B$55)*(Inputs!$B$19+0+Skills!P11)+Summary!$B$55*(Inputs!$B$20+Skills!Q11))/100)*(1+Inputs!$B$15/100)*(5000/(6000+Inputs!$B$7*(1-(Inputs!$B$18+0)/100)))*(1+(Inputs!$B$23+((C55=TRUE)*(F55-Calc!F22))+B64)/100)*(1+(IF(Skills!A11="HOOK_BOMBER",Inputs!$B$16+((C54=TRUE)*(F54-Calc!F21)),Inputs!$B$17+0))/100)*((1+(((C46=TRUE)*F46)+((C52=TRUE)*(F52-Calc!F19)))/100)*I44)</f>
        <v/>
      </c>
      <c r="L44">
        <f>K44*(MIN(Inputs!$B$21+((C53=TRUE)*(F53-Calc!F20)),Inputs!$B$22+0)/100+(Inputs!$B$22+0)/100)/2</f>
        <v/>
      </c>
      <c r="M44">
        <f>L44*(1+(Inputs!$B$9+0+B63)/100)</f>
        <v/>
      </c>
      <c r="N44">
        <f>L44*(1-MIN((Inputs!$B$8+((C49=TRUE)*(F49-Calc!F16))+B58),100)/100)+M44*(MIN((Inputs!$B$8+((C49=TRUE)*(F49-Calc!F16))+B58),100)/100)</f>
        <v/>
      </c>
      <c r="O44">
        <f>IF(C44,H44*N44*IF(AND(Inputs!$B$4&lt;&gt;"pvp",Inputs!$B$35&gt;0),((Skills!G11*((R44-1)*IF(Skills!H11&gt;0,Skills!I11/Skills!H11,1)+IF(Skills!H11&gt;0,MIN(Skills!I11,MAX(0,Inputs!$B$35-((R44-1)*IF(Inputs!$B$4="pvp",15,MAX(0.1,Skills!D11-IF(Skills!E11=TRUE,Inputs!$B$31,0))))))/Skills!H11,1)))/Inputs!$B$35),G44*Q44)*IF(Inputs!$B$4="pvp",1,(1-Summary!$B$55)*(1)+Summary!$B$55*(MIN(Skills!R11,Inputs!$B$37))),0)</f>
        <v/>
      </c>
      <c r="P44">
        <f>IF(B66=0,0,O44/B66)</f>
        <v/>
      </c>
      <c r="Q44">
        <f>IFERROR(1/IF(Inputs!$B$4="pvp",15,MAX(0.1,Skills!D11-IF(Skills!E11=TRUE,Inputs!$B$31,0))),0)</f>
        <v/>
      </c>
      <c r="R44">
        <f>IF(AND(Inputs!$B$4&lt;&gt;"pvp",Inputs!$B$35&gt;0),(INT(Inputs!$B$35/IF(Inputs!$B$4="pvp",15,MAX(0.1,Skills!D11-IF(Skills!E11=TRUE,Inputs!$B$31,0))))+1),0)</f>
        <v/>
      </c>
      <c r="S44">
        <f>IFERROR(O44/N44,0)</f>
        <v/>
      </c>
    </row>
    <row r="45">
      <c r="A45">
        <f>Skills!A12</f>
        <v/>
      </c>
      <c r="B45">
        <f>Skills!B12</f>
        <v/>
      </c>
      <c r="C45">
        <f>Inputs!$B$3&gt;=100</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t="inlineStr"/>
      <c r="H45" t="inlineStr"/>
      <c r="I45" t="inlineStr">
        <is>
          <t>1</t>
        </is>
      </c>
      <c r="J45" t="inlineStr"/>
      <c r="K45" t="inlineStr"/>
      <c r="L45" t="inlineStr"/>
      <c r="M45" t="inlineStr"/>
      <c r="N45" t="inlineStr"/>
      <c r="O45" t="inlineStr"/>
      <c r="P45" t="inlineStr"/>
      <c r="Q45" t="inlineStr"/>
      <c r="R45" t="inlineStr"/>
      <c r="S45" t="inlineStr"/>
    </row>
    <row r="46">
      <c r="A46">
        <f>Skills!A13</f>
        <v/>
      </c>
      <c r="B46">
        <f>Skills!B13</f>
        <v/>
      </c>
      <c r="C46">
        <f>Inputs!$B$3&gt;=66</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t="inlineStr"/>
      <c r="K46" t="inlineStr"/>
      <c r="L46" t="inlineStr"/>
      <c r="M46" t="inlineStr"/>
      <c r="N46" t="inlineStr"/>
      <c r="O46" t="n">
        <v>0</v>
      </c>
      <c r="P46">
        <f>IF(B66=0,0,O46/B66)</f>
        <v/>
      </c>
      <c r="Q46" t="n">
        <v>0</v>
      </c>
      <c r="R46" t="n">
        <v>0</v>
      </c>
      <c r="S46">
        <f>IFERROR(O46/N46,0)</f>
        <v/>
      </c>
    </row>
    <row r="47">
      <c r="A47">
        <f>Skills!A14</f>
        <v/>
      </c>
      <c r="B47">
        <f>Skills!B14</f>
        <v/>
      </c>
      <c r="C47">
        <f>Inputs!$B$3&gt;=107</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t="inlineStr"/>
      <c r="K47" t="inlineStr"/>
      <c r="L47" t="inlineStr"/>
      <c r="M47" t="inlineStr"/>
      <c r="N47" t="inlineStr"/>
      <c r="O47" t="n">
        <v>0</v>
      </c>
      <c r="P47">
        <f>IF(B66=0,0,O47/B66)</f>
        <v/>
      </c>
      <c r="Q47" t="n">
        <v>0</v>
      </c>
      <c r="R47" t="n">
        <v>0</v>
      </c>
      <c r="S47">
        <f>IFERROR(O47/N47,0)</f>
        <v/>
      </c>
    </row>
    <row r="48">
      <c r="A48">
        <f>Skills!A15</f>
        <v/>
      </c>
      <c r="B48">
        <f>Skills!B15</f>
        <v/>
      </c>
      <c r="C48">
        <f>Inputs!$B$3&gt;=115</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f>Skills!G15*IF(Skills!H15&gt;0,Skills!I15/Skills!H15,1)</f>
        <v/>
      </c>
      <c r="H48">
        <f>1-(1-Skills!J15/100)^Skills!K15</f>
        <v/>
      </c>
      <c r="I48" t="inlineStr">
        <is>
          <t>1</t>
        </is>
      </c>
      <c r="J48" t="inlineStr"/>
      <c r="K48" t="inlineStr"/>
      <c r="L48" t="inlineStr"/>
      <c r="M48" t="inlineStr"/>
      <c r="N48" t="inlineStr"/>
      <c r="O48" t="n">
        <v>0</v>
      </c>
      <c r="P48">
        <f>IF(B66=0,0,O48/B66)</f>
        <v/>
      </c>
      <c r="Q48" t="n">
        <v>0</v>
      </c>
      <c r="R48" t="n">
        <v>0</v>
      </c>
      <c r="S48">
        <f>IFERROR(O48/N48,0)</f>
        <v/>
      </c>
    </row>
    <row r="49">
      <c r="A49">
        <f>Skills!A16</f>
        <v/>
      </c>
      <c r="B49">
        <f>Skills!B16</f>
        <v/>
      </c>
      <c r="C49">
        <f>Inputs!$B$3&gt;=15</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f>Skills!G16*IF(Skills!H16&gt;0,Skills!I16/Skills!H16,1)</f>
        <v/>
      </c>
      <c r="H49">
        <f>1-(1-Skills!J16/100)^Skills!K16</f>
        <v/>
      </c>
      <c r="I49" t="inlineStr">
        <is>
          <t>1</t>
        </is>
      </c>
      <c r="J49" t="inlineStr"/>
      <c r="K49" t="inlineStr"/>
      <c r="L49" t="inlineStr"/>
      <c r="M49" t="inlineStr"/>
      <c r="N49" t="inlineStr"/>
      <c r="O49" t="n">
        <v>0</v>
      </c>
      <c r="P49">
        <f>IF(B66=0,0,O49/B66)</f>
        <v/>
      </c>
      <c r="Q49" t="n">
        <v>0</v>
      </c>
      <c r="R49" t="n">
        <v>0</v>
      </c>
      <c r="S49">
        <f>IFERROR(O49/N49,0)</f>
        <v/>
      </c>
    </row>
    <row r="50">
      <c r="A50">
        <f>Skills!A17</f>
        <v/>
      </c>
      <c r="B50">
        <f>Skills!B17</f>
        <v/>
      </c>
      <c r="C50">
        <f>Inputs!$B$3&gt;=10</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IF(B66=0,0,O50/B66)</f>
        <v/>
      </c>
      <c r="Q50" t="n">
        <v>0</v>
      </c>
      <c r="R50" t="n">
        <v>0</v>
      </c>
      <c r="S50">
        <f>IFERROR(O50/N50,0)</f>
        <v/>
      </c>
    </row>
    <row r="51">
      <c r="A51">
        <f>Skills!A18</f>
        <v/>
      </c>
      <c r="B51">
        <f>Skills!B18</f>
        <v/>
      </c>
      <c r="C51">
        <f>Inputs!$B$3&gt;=33</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IF(B66=0,0,O51/B66)</f>
        <v/>
      </c>
      <c r="Q51" t="n">
        <v>0</v>
      </c>
      <c r="R51" t="n">
        <v>0</v>
      </c>
      <c r="S51">
        <f>IFERROR(O51/N51,0)</f>
        <v/>
      </c>
    </row>
    <row r="52">
      <c r="A52">
        <f>Skills!A19</f>
        <v/>
      </c>
      <c r="B52">
        <f>Skills!B19</f>
        <v/>
      </c>
      <c r="C52">
        <f>Inputs!$B$3&gt;=40</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IF(B66=0,0,O52/B66)</f>
        <v/>
      </c>
      <c r="Q52" t="n">
        <v>0</v>
      </c>
      <c r="R52" t="n">
        <v>0</v>
      </c>
      <c r="S52">
        <f>IFERROR(O52/N52,0)</f>
        <v/>
      </c>
    </row>
    <row r="53">
      <c r="A53">
        <f>Skills!A20</f>
        <v/>
      </c>
      <c r="B53">
        <f>Skills!B20</f>
        <v/>
      </c>
      <c r="C53">
        <f>Inputs!$B$3&gt;=43</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IF(B66=0,0,O53/B66)</f>
        <v/>
      </c>
      <c r="Q53" t="n">
        <v>0</v>
      </c>
      <c r="R53" t="n">
        <v>0</v>
      </c>
      <c r="S53">
        <f>IFERROR(O53/N53,0)</f>
        <v/>
      </c>
    </row>
    <row r="54">
      <c r="A54">
        <f>Skills!A21</f>
        <v/>
      </c>
      <c r="B54">
        <f>Skills!B21</f>
        <v/>
      </c>
      <c r="C54">
        <f>Inputs!$B$3&gt;=38</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IF(B66=0,0,O54/B66)</f>
        <v/>
      </c>
      <c r="Q54" t="n">
        <v>0</v>
      </c>
      <c r="R54" t="n">
        <v>0</v>
      </c>
      <c r="S54">
        <f>IFERROR(O54/N54,0)</f>
        <v/>
      </c>
    </row>
    <row r="55">
      <c r="A55">
        <f>Skills!A22</f>
        <v/>
      </c>
      <c r="B55">
        <f>Skills!B22</f>
        <v/>
      </c>
      <c r="C55">
        <f>Inputs!$B$3&gt;=75</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IF(B66=0,0,O55/B66)</f>
        <v/>
      </c>
      <c r="Q55" t="n">
        <v>0</v>
      </c>
      <c r="R55" t="n">
        <v>0</v>
      </c>
      <c r="S55">
        <f>IFERROR(O55/N55,0)</f>
        <v/>
      </c>
    </row>
    <row r="57">
      <c r="A57" t="inlineStr">
        <is>
          <t>Attack% Bucket Multiplier</t>
        </is>
      </c>
      <c r="B57">
        <f>(1+(((C46=TRUE)*F46)+((C52=TRUE)*(F52-Calc!F19)))/100)</f>
        <v/>
      </c>
    </row>
    <row r="58">
      <c r="A58" t="inlineStr">
        <is>
          <t>Global Crit Rate Bonus %</t>
        </is>
      </c>
      <c r="B58" t="n">
        <v>0</v>
      </c>
    </row>
    <row r="59">
      <c r="A59" t="inlineStr">
        <is>
          <t>Attack Speed Buff Bonus % (unused)</t>
        </is>
      </c>
      <c r="B59" t="n">
        <v>0</v>
      </c>
    </row>
    <row r="60">
      <c r="A60" t="inlineStr">
        <is>
          <t>Actions Per Second</t>
        </is>
      </c>
      <c r="B60">
        <f>1+MIN(150,150*(1-(1-(Inputs!$B$10+((C50=TRUE)*(F50-Calc!F17))+((C51=TRUE)*(F51-Calc!F18)))/150)*(1-B59/150)))/100</f>
        <v/>
      </c>
    </row>
    <row r="61">
      <c r="A61" t="inlineStr">
        <is>
          <t>Skill + Buff Cast Rate</t>
        </is>
      </c>
      <c r="B61">
        <f>IF(AND(Inputs!$B$4&lt;&gt;"pvp",Inputs!$B$35&gt;0),SUMPRODUCT((Skills!E2:E22=TRUE)*(C35:C55=TRUE)*R35:R55*Skills!F2:F22)/Inputs!$B$35,SUMPRODUCT((Skills!E2:E22=TRUE)*(C35:C55=TRUE)*Q35:Q55*Skills!F2:F22))</f>
        <v/>
      </c>
    </row>
    <row r="62">
      <c r="A62" t="inlineStr">
        <is>
          <t>Hook Bomber Casts Per Second</t>
        </is>
      </c>
      <c r="B62">
        <f>MAX(0,B60-B61)</f>
        <v/>
      </c>
    </row>
    <row r="63">
      <c r="A63" t="inlineStr">
        <is>
          <t>Global Critical Damage Bonus % (unused)</t>
        </is>
      </c>
      <c r="B63" t="n">
        <v>0</v>
      </c>
    </row>
    <row r="64">
      <c r="A64" t="inlineStr">
        <is>
          <t>Global Final Damage Bonus % (Serpent Scale + Crossbones + Time Leap + Speed Infusion)</t>
        </is>
      </c>
      <c r="B64">
        <f>((C38=TRUE)*F38*((10+IF(Inputs!$B$3&gt;=94,5,0))/((10+IF(Inputs!$B$3&gt;=94,5,0))+5/(B62*(1+IF(Inputs!$B$3&gt;=104,1,0))))))+((C47=TRUE)*F47)+((C48=TRUE)*F48)+((Inputs!$B$3&gt;=110)*20*(B60-1))</f>
        <v/>
      </c>
    </row>
    <row r="66">
      <c r="A66" s="5" t="inlineStr">
        <is>
          <t>TOTAL DPS</t>
        </is>
      </c>
      <c r="B66" s="5">
        <f>SUM(O35:O55)</f>
        <v/>
      </c>
    </row>
    <row r="69">
      <c r="A69" s="5" t="inlineStr">
        <is>
          <t>Stat: STR %</t>
        </is>
      </c>
    </row>
    <row r="70">
      <c r="A70" s="8" t="inlineStr">
        <is>
          <t>Key</t>
        </is>
      </c>
      <c r="B70" s="8" t="inlineStr">
        <is>
          <t>Name</t>
        </is>
      </c>
      <c r="C70" s="8" t="inlineStr">
        <is>
          <t>Unlocked</t>
        </is>
      </c>
      <c r="D70" s="8" t="inlineStr">
        <is>
          <t>InputLevel</t>
        </is>
      </c>
      <c r="E70" s="8" t="inlineStr">
        <is>
          <t>Factor</t>
        </is>
      </c>
      <c r="F70" s="8" t="inlineStr">
        <is>
          <t>CoefficientPercent</t>
        </is>
      </c>
      <c r="G70" s="8" t="inlineStr">
        <is>
          <t>EffectiveHits</t>
        </is>
      </c>
      <c r="H70" s="8" t="inlineStr">
        <is>
          <t>ProcProbability</t>
        </is>
      </c>
      <c r="I70" s="8" t="inlineStr">
        <is>
          <t>MapleHeroMultiplier</t>
        </is>
      </c>
      <c r="J70" s="8" t="inlineStr">
        <is>
          <t>BaseDamage</t>
        </is>
      </c>
      <c r="K70" s="8" t="inlineStr">
        <is>
          <t>BaseHitDamage</t>
        </is>
      </c>
      <c r="L70" s="8" t="inlineStr">
        <is>
          <t>NonCritAvg</t>
        </is>
      </c>
      <c r="M70" s="8" t="inlineStr">
        <is>
          <t>CritAvg</t>
        </is>
      </c>
      <c r="N70" s="8" t="inlineStr">
        <is>
          <t>ExpectedDamage(perHit)</t>
        </is>
      </c>
      <c r="O70" s="8" t="inlineStr">
        <is>
          <t>DPS</t>
        </is>
      </c>
      <c r="P70" s="8" t="inlineStr">
        <is>
          <t>% of Total</t>
        </is>
      </c>
      <c r="Q70" s="8" t="inlineStr">
        <is>
          <t>InvCooldown</t>
        </is>
      </c>
      <c r="R70" s="8" t="inlineStr">
        <is>
          <t>CastsInFight</t>
        </is>
      </c>
      <c r="S70" s="8" t="inlineStr">
        <is>
          <t>HitRate(perSec)</t>
        </is>
      </c>
      <c r="U70" t="inlineStr">
        <is>
          <t>helpers</t>
        </is>
      </c>
    </row>
    <row r="71">
      <c r="A71">
        <f>Skills!A2</f>
        <v/>
      </c>
      <c r="B71">
        <f>Skills!B2</f>
        <v/>
      </c>
      <c r="C71">
        <f>Inputs!$B$3&gt;=100</f>
        <v/>
      </c>
      <c r="D71" t="inlineStr"/>
      <c r="E71" t="inlineStr"/>
      <c r="F71">
        <f>U73+Skills!O2</f>
        <v/>
      </c>
      <c r="G71">
        <f>Skills!G2*IF(Skills!H2&gt;0,Skills!I2/Skills!H2,1)</f>
        <v/>
      </c>
      <c r="H71">
        <f>1-(1-Skills!J2/100)^Skills!K2</f>
        <v/>
      </c>
      <c r="I71" t="inlineStr">
        <is>
          <t>1</t>
        </is>
      </c>
      <c r="J71">
        <f>(Inputs!$B$5*(1+Inputs!$B$6/100))*(F71/100)</f>
        <v/>
      </c>
      <c r="K71">
        <f>J71*(1+((Inputs!$B$11*(1+(Inputs!$B$12+1)/100))*0.01+Inputs!$B$13*0.0025)/100)*(1+Inputs!$B$14/100)*(1+IF(Inputs!$B$4="pvp",0,(1-Summary!$B$55)*(Inputs!$B$19+0+Skills!P2)+Summary!$B$55*(Inputs!$B$20+Skills!Q2))/100)*(1+Inputs!$B$15/100)*(5000/(6000+Inputs!$B$7*(1-(Inputs!$B$18+0)/100)))*(1+(Inputs!$B$23+((C91=TRUE)*(F91-Calc!F22))+B100)/100)*(1+(IF(Skills!A2="HOOK_BOMBER",Inputs!$B$16+((C90=TRUE)*(F90-Calc!F21)),Inputs!$B$17+0))/100)*((1+(((C82=TRUE)*F82)+((C88=TRUE)*(F88-Calc!F19)))/100)*I71)</f>
        <v/>
      </c>
      <c r="L71">
        <f>K71*(MIN(Inputs!$B$21+((C89=TRUE)*(F89-Calc!F20)),Inputs!$B$22+0)/100+(Inputs!$B$22+0)/100)/2</f>
        <v/>
      </c>
      <c r="M71">
        <f>L71*(1+(Inputs!$B$9+0+B99)/100)</f>
        <v/>
      </c>
      <c r="N71">
        <f>L71*(1-MIN((Inputs!$B$8+((C85=TRUE)*(F85-Calc!F16))+B94),100)/100)+M71*(MIN((Inputs!$B$8+((C85=TRUE)*(F85-Calc!F16))+B94),100)/100)</f>
        <v/>
      </c>
      <c r="O71">
        <f>IF(C71,Skills!G2*N71*B98*IF(Inputs!$B$4="pvp",1,(1-Summary!$B$55)*(1)+Summary!$B$55*(MIN((6+Inputs!$B$32),Inputs!$B$37))),0)</f>
        <v/>
      </c>
      <c r="P71">
        <f>IF(B102=0,0,O71/B102)</f>
        <v/>
      </c>
      <c r="Q71" t="n">
        <v>0</v>
      </c>
      <c r="R71" t="n">
        <v>0</v>
      </c>
      <c r="S71">
        <f>IFERROR(O71/N71,0)</f>
        <v/>
      </c>
      <c r="U71">
        <f>MAX(0,(Inputs!$B$3-100)*3)+Inputs!$B$27+Inputs!$B$28</f>
        <v/>
      </c>
    </row>
    <row r="72">
      <c r="A72">
        <f>Skills!A3</f>
        <v/>
      </c>
      <c r="B72">
        <f>Skills!B3</f>
        <v/>
      </c>
      <c r="C72">
        <f>Inputs!$B$3&gt;=35</f>
        <v/>
      </c>
      <c r="D72">
        <f>IF(Skills!C3=1,60+Inputs!$B$24+Inputs!$B$28,IF(Skills!C3=2,90+Inputs!$B$25+Inputs!$B$28,IF(Skills!C3=3,120+Inputs!$B$26+Inputs!$B$28,MAX(0,(Inputs!$B$3-100)*3)+Inputs!$B$27+Inputs!$B$28)))</f>
        <v/>
      </c>
      <c r="E72">
        <f>INDEX(FactorTable!$B$2:$Y$301, MATCH(ROUND(MIN(300,MAX(1,D72)),0), FactorTable!$A$2:$A$301,0), Skills!M3+1)</f>
        <v/>
      </c>
      <c r="F72">
        <f>IF(Skills!N3=TRUE,(Skills!L3/10)*(E72/1000),Skills!L3/10)+Skills!O3</f>
        <v/>
      </c>
      <c r="G72">
        <f>Skills!G3*IF(Skills!H3&gt;0,Skills!I3/Skills!H3,1)</f>
        <v/>
      </c>
      <c r="H72">
        <f>1-(1-Skills!J3/100)^Skills!K3</f>
        <v/>
      </c>
      <c r="I72" t="inlineStr">
        <is>
          <t>1</t>
        </is>
      </c>
      <c r="J72">
        <f>(Inputs!$B$5*(1+Inputs!$B$6/100))*(F72/100)</f>
        <v/>
      </c>
      <c r="K72">
        <f>J72*(1+((Inputs!$B$11*(1+(Inputs!$B$12+1)/100))*0.01+Inputs!$B$13*0.0025)/100)*(1+Inputs!$B$14/100)*(1+IF(Inputs!$B$4="pvp",0,(1-Summary!$B$55)*(Inputs!$B$19+0+Skills!P3)+Summary!$B$55*(Inputs!$B$20+Skills!Q3))/100)*(1+Inputs!$B$15/100)*(5000/(6000+Inputs!$B$7*(1-(Inputs!$B$18+0)/100)))*(1+(Inputs!$B$23+((C91=TRUE)*(F91-Calc!F22))+B100)/100)*(1+(IF(Skills!A3="HOOK_BOMBER",Inputs!$B$16+((C90=TRUE)*(F90-Calc!F21)),Inputs!$B$17+0))/100)*((1+(((C82=TRUE)*F82)+((C88=TRUE)*(F88-Calc!F19)))/100)*I72)</f>
        <v/>
      </c>
      <c r="L72">
        <f>K72*(MIN(Inputs!$B$21+((C89=TRUE)*(F89-Calc!F20)),Inputs!$B$22+0)/100+(Inputs!$B$22+0)/100)/2</f>
        <v/>
      </c>
      <c r="M72">
        <f>L72*(1+(Inputs!$B$9+0+B99)/100)</f>
        <v/>
      </c>
      <c r="N72">
        <f>L72*(1-MIN((Inputs!$B$8+((C85=TRUE)*(F85-Calc!F16))+B94),100)/100)+M72*(MIN((Inputs!$B$8+((C85=TRUE)*(F85-Calc!F16))+B94),100)/100)</f>
        <v/>
      </c>
      <c r="O72">
        <f>IF(C72,Skills!G3*H72*N72*B98*IF(Inputs!$B$4="pvp",1,(1-Summary!$B$55)*(1)+Summary!$B$55*(MIN(Skills!R3,Inputs!$B$37))),0)</f>
        <v/>
      </c>
      <c r="P72">
        <f>IF(B102=0,0,O72/B102)</f>
        <v/>
      </c>
      <c r="Q72" t="n">
        <v>0</v>
      </c>
      <c r="R72" t="n">
        <v>0</v>
      </c>
      <c r="S72">
        <f>IFERROR(O72/N72,0)</f>
        <v/>
      </c>
      <c r="U72">
        <f>INDEX(FactorTable!$B$2:$Y$301, MATCH(ROUND(MIN(300,MAX(1,U71)),0), FactorTable!$A$2:$A$301,0), 22)</f>
        <v/>
      </c>
    </row>
    <row r="73">
      <c r="A73">
        <f>Skills!A4</f>
        <v/>
      </c>
      <c r="B73">
        <f>Skills!B4</f>
        <v/>
      </c>
      <c r="C73">
        <f>Inputs!$B$3&gt;=60</f>
        <v/>
      </c>
      <c r="D73">
        <f>IF(Skills!C4=1,60+Inputs!$B$24+Inputs!$B$28,IF(Skills!C4=2,90+Inputs!$B$25+Inputs!$B$28,IF(Skills!C4=3,120+Inputs!$B$26+Inputs!$B$28,MAX(0,(Inputs!$B$3-100)*3)+Inputs!$B$27+Inputs!$B$28)))</f>
        <v/>
      </c>
      <c r="E73">
        <f>INDEX(FactorTable!$B$2:$Y$301, MATCH(ROUND(MIN(300,MAX(1,D73)),0), FactorTable!$A$2:$A$301,0), Skills!M4+1)</f>
        <v/>
      </c>
      <c r="F73">
        <f>IF(Skills!N4=TRUE,(Skills!L4/10)*(E73/1000),Skills!L4/10)+Skills!O4</f>
        <v/>
      </c>
      <c r="G73">
        <f>Skills!G4*IF(Skills!H4&gt;0,Skills!I4/Skills!H4,1)</f>
        <v/>
      </c>
      <c r="H73">
        <f>1-(1-Skills!J4/100)^Skills!K4</f>
        <v/>
      </c>
      <c r="I73" t="inlineStr">
        <is>
          <t>1</t>
        </is>
      </c>
      <c r="J73">
        <f>(Inputs!$B$5*(1+Inputs!$B$6/100))*(F73/100)</f>
        <v/>
      </c>
      <c r="K73">
        <f>J73*(1+((Inputs!$B$11*(1+(Inputs!$B$12+1)/100))*0.01+Inputs!$B$13*0.0025)/100)*(1+Inputs!$B$14/100)*(1+IF(Inputs!$B$4="pvp",0,(1-Summary!$B$55)*(Inputs!$B$19+0+Skills!P4)+Summary!$B$55*(Inputs!$B$20+Skills!Q4))/100)*(1+Inputs!$B$15/100)*(5000/(6000+Inputs!$B$7*(1-(Inputs!$B$18+0)/100)))*(1+(Inputs!$B$23+((C91=TRUE)*(F91-Calc!F22))+B100)/100)*(1+1.0*IF(C81=TRUE,F81,0)/100)*(1+(IF(Skills!A4="HOOK_BOMBER",Inputs!$B$16+((C90=TRUE)*(F90-Calc!F21)),Inputs!$B$17+0))/100)*((1+(((C82=TRUE)*F82)+((C88=TRUE)*(F88-Calc!F19)))/100)*I73)</f>
        <v/>
      </c>
      <c r="L73">
        <f>K73*(MIN(Inputs!$B$21+((C89=TRUE)*(F89-Calc!F20)),Inputs!$B$22+0)/100+(Inputs!$B$22+0)/100)/2</f>
        <v/>
      </c>
      <c r="M73">
        <f>L73*(1+(Inputs!$B$9+0+B99)/100)</f>
        <v/>
      </c>
      <c r="N73">
        <f>L73*(1-MIN((Inputs!$B$8+((C85=TRUE)*(F85-Calc!F16))+B94),100)/100)+M73*(MIN((Inputs!$B$8+((C85=TRUE)*(F85-Calc!F16))+B94),100)/100)</f>
        <v/>
      </c>
      <c r="O73">
        <f>IF(C73,Skills!G4*H73*N73*B98*IF(Inputs!$B$4="pvp",1,(1-Summary!$B$55)*(1)+Summary!$B$55*(MIN(Skills!R4,Inputs!$B$37))),0)</f>
        <v/>
      </c>
      <c r="P73">
        <f>IF(B102=0,0,O73/B102)</f>
        <v/>
      </c>
      <c r="Q73" t="n">
        <v>0</v>
      </c>
      <c r="R73" t="n">
        <v>0</v>
      </c>
      <c r="S73">
        <f>IFERROR(O73/N73,0)</f>
        <v/>
      </c>
      <c r="U73">
        <f>290*U72/1000</f>
        <v/>
      </c>
    </row>
    <row r="74">
      <c r="A74">
        <f>Skills!A5</f>
        <v/>
      </c>
      <c r="B74">
        <f>Skills!B5</f>
        <v/>
      </c>
      <c r="C74">
        <f>Inputs!$B$3&gt;=60</f>
        <v/>
      </c>
      <c r="D74">
        <f>IF(Skills!C5=1,60+Inputs!$B$24+Inputs!$B$28,IF(Skills!C5=2,90+Inputs!$B$25+Inputs!$B$28,IF(Skills!C5=3,120+Inputs!$B$26+Inputs!$B$28,MAX(0,(Inputs!$B$3-100)*3)+Inputs!$B$27+Inputs!$B$28)))</f>
        <v/>
      </c>
      <c r="E74">
        <f>INDEX(FactorTable!$B$2:$Y$301, MATCH(ROUND(MIN(300,MAX(1,D74)),0), FactorTable!$A$2:$A$301,0), Skills!M5+1)</f>
        <v/>
      </c>
      <c r="F74">
        <f>IF(Skills!N5=TRUE,(Skills!L5/10)*(E74/1000),Skills!L5/10)+Skills!O5</f>
        <v/>
      </c>
      <c r="G74">
        <f>Skills!G5*IF(Skills!H5&gt;0,Skills!I5/Skills!H5,1)</f>
        <v/>
      </c>
      <c r="H74">
        <f>1-(1-Skills!J5/100)^Skills!K5</f>
        <v/>
      </c>
      <c r="I74" t="inlineStr">
        <is>
          <t>1</t>
        </is>
      </c>
      <c r="J74" t="inlineStr"/>
      <c r="K74" t="inlineStr"/>
      <c r="L74" t="inlineStr"/>
      <c r="M74" t="inlineStr"/>
      <c r="N74" t="inlineStr"/>
      <c r="O74" t="n">
        <v>0</v>
      </c>
      <c r="P74">
        <f>IF(B102=0,0,O74/B102)</f>
        <v/>
      </c>
      <c r="Q74" t="n">
        <v>0</v>
      </c>
      <c r="R74" t="n">
        <v>0</v>
      </c>
      <c r="S74">
        <f>IFERROR(O74/N74,0)</f>
        <v/>
      </c>
    </row>
    <row r="75">
      <c r="A75">
        <f>Skills!A6</f>
        <v/>
      </c>
      <c r="B75">
        <f>Skills!B6</f>
        <v/>
      </c>
      <c r="C75">
        <f>Inputs!$B$3&gt;=63</f>
        <v/>
      </c>
      <c r="D75">
        <f>IF(Skills!C6=1,60+Inputs!$B$24+Inputs!$B$28,IF(Skills!C6=2,90+Inputs!$B$25+Inputs!$B$28,IF(Skills!C6=3,120+Inputs!$B$26+Inputs!$B$28,MAX(0,(Inputs!$B$3-100)*3)+Inputs!$B$27+Inputs!$B$28)))</f>
        <v/>
      </c>
      <c r="E75">
        <f>INDEX(FactorTable!$B$2:$Y$301, MATCH(ROUND(MIN(300,MAX(1,D75)),0), FactorTable!$A$2:$A$301,0), Skills!M6+1)</f>
        <v/>
      </c>
      <c r="F75">
        <f>IF(Skills!N6=TRUE,(Skills!L6/10)*(E75/1000),Skills!L6/10)+Skills!O6</f>
        <v/>
      </c>
      <c r="G75">
        <f>Skills!G6*IF(Skills!H6&gt;0,Skills!I6/Skills!H6,1)</f>
        <v/>
      </c>
      <c r="H75">
        <f>1-(1-Skills!J6/100)^Skills!K6</f>
        <v/>
      </c>
      <c r="I75" t="inlineStr">
        <is>
          <t>1</t>
        </is>
      </c>
      <c r="J75">
        <f>(Inputs!$B$5*(1+Inputs!$B$6/100))*(F75/100)</f>
        <v/>
      </c>
      <c r="K75">
        <f>J75*(1+((Inputs!$B$11*(1+(Inputs!$B$12+1)/100))*0.01+Inputs!$B$13*0.0025)/100)*(1+Inputs!$B$14/100)*(1+IF(Inputs!$B$4="pvp",0,(1-Summary!$B$55)*(Inputs!$B$19+0+Skills!P6)+Summary!$B$55*(Inputs!$B$20+Skills!Q6))/100)*(1+Inputs!$B$15/100)*(5000/(6000+Inputs!$B$7*(1-(Inputs!$B$18+0)/100)))*(1+(Inputs!$B$23+((C91=TRUE)*(F91-Calc!F22))+B100)/100)*(1+(IF(Skills!A6="HOOK_BOMBER",Inputs!$B$16+((C90=TRUE)*(F90-Calc!F21)),Inputs!$B$17+0))/100)*((1+(((C82=TRUE)*F82)+((C88=TRUE)*(F88-Calc!F19)))/100)*I75)</f>
        <v/>
      </c>
      <c r="L75">
        <f>K75*(MIN(Inputs!$B$21+((C89=TRUE)*(F89-Calc!F20)),Inputs!$B$22+0)/100+(Inputs!$B$22+0)/100)/2</f>
        <v/>
      </c>
      <c r="M75">
        <f>L75*(1+(Inputs!$B$9+0+B99)/100)</f>
        <v/>
      </c>
      <c r="N75">
        <f>L75*(1-MIN((Inputs!$B$8+((C85=TRUE)*(F85-Calc!F16))+B94),100)/100)+M75*(MIN((Inputs!$B$8+((C85=TRUE)*(F85-Calc!F16))+B94),100)/100)</f>
        <v/>
      </c>
      <c r="O75">
        <f>IF(C75,H75*N75*IF(AND(Inputs!$B$4&lt;&gt;"pvp",Inputs!$B$35&gt;0),((Skills!G6*((R75-1)*IF(Skills!H6&gt;0,Skills!I6/Skills!H6,1)+IF(Skills!H6&gt;0,MIN(Skills!I6,MAX(0,Inputs!$B$35-((R75-1)*IF(Inputs!$B$4="pvp",15,MAX(0.1,Skills!D6-IF(Skills!E6=TRUE,Inputs!$B$31,0))))))/Skills!H6,1)))/Inputs!$B$35),G75*Q75)*IF(Inputs!$B$4="pvp",1,(1-Summary!$B$55)*(1)+Summary!$B$55*(MIN(Skills!R6,Inputs!$B$37))),0)</f>
        <v/>
      </c>
      <c r="P75">
        <f>IF(B102=0,0,O75/B102)</f>
        <v/>
      </c>
      <c r="Q75">
        <f>IFERROR(1/IF(Inputs!$B$4="pvp",15,MAX(0.1,Skills!D6-IF(Skills!E6=TRUE,Inputs!$B$31,0))),0)</f>
        <v/>
      </c>
      <c r="R75">
        <f>IF(AND(Inputs!$B$4&lt;&gt;"pvp",Inputs!$B$35&gt;0),(INT(Inputs!$B$35/IF(Inputs!$B$4="pvp",15,MAX(0.1,Skills!D6-IF(Skills!E6=TRUE,Inputs!$B$31,0))))+1),0)</f>
        <v/>
      </c>
      <c r="S75">
        <f>IFERROR(O75/N75,0)</f>
        <v/>
      </c>
    </row>
    <row r="76">
      <c r="A76">
        <f>Skills!A7</f>
        <v/>
      </c>
      <c r="B76">
        <f>Skills!B7</f>
        <v/>
      </c>
      <c r="C76">
        <f>Inputs!$B$3&gt;=100</f>
        <v/>
      </c>
      <c r="D76">
        <f>IF(Skills!C7=1,60+Inputs!$B$24+Inputs!$B$28,IF(Skills!C7=2,90+Inputs!$B$25+Inputs!$B$28,IF(Skills!C7=3,120+Inputs!$B$26+Inputs!$B$28,MAX(0,(Inputs!$B$3-100)*3)+Inputs!$B$27+Inputs!$B$28)))</f>
        <v/>
      </c>
      <c r="E76">
        <f>INDEX(FactorTable!$B$2:$Y$301, MATCH(ROUND(MIN(300,MAX(1,D76)),0), FactorTable!$A$2:$A$301,0), Skills!M7+1)</f>
        <v/>
      </c>
      <c r="F76">
        <f>IF(Skills!N7=TRUE,(Skills!L7/10)*(E76/1000),Skills!L7/10)+Skills!O7</f>
        <v/>
      </c>
      <c r="G76">
        <f>Skills!G7*IF(Skills!H7&gt;0,Skills!I7/Skills!H7,1)</f>
        <v/>
      </c>
      <c r="H76">
        <f>1-(1-Skills!J7/100)^Skills!K7</f>
        <v/>
      </c>
      <c r="I76" t="inlineStr">
        <is>
          <t>1</t>
        </is>
      </c>
      <c r="J76">
        <f>(Inputs!$B$5*(1+Inputs!$B$6/100))*(F76/100)</f>
        <v/>
      </c>
      <c r="K76">
        <f>J76*(1+((Inputs!$B$11*(1+(Inputs!$B$12+1)/100))*0.01+Inputs!$B$13*0.0025)/100)*(1+Inputs!$B$14/100)*(1+IF(Inputs!$B$4="pvp",0,(1-Summary!$B$55)*(Inputs!$B$19+0+Skills!P7)+Summary!$B$55*(Inputs!$B$20+Skills!Q7))/100)*(1+Inputs!$B$15/100)*(5000/(6000+Inputs!$B$7*(1-(Inputs!$B$18+0)/100)))*(1+(Inputs!$B$23+((C91=TRUE)*(F91-Calc!F22))+B100)/100)*(1+(IF(Skills!A7="HOOK_BOMBER",Inputs!$B$16+((C90=TRUE)*(F90-Calc!F21)),Inputs!$B$17+0))/100)*((1+(((C82=TRUE)*F82)+((C88=TRUE)*(F88-Calc!F19)))/100)*I76)</f>
        <v/>
      </c>
      <c r="L76">
        <f>K76*(MIN(Inputs!$B$21+((C89=TRUE)*(F89-Calc!F20)),Inputs!$B$22+0)/100+(Inputs!$B$22+0)/100)/2</f>
        <v/>
      </c>
      <c r="M76">
        <f>L76*(1+(Inputs!$B$9+0+B99)/100)</f>
        <v/>
      </c>
      <c r="N76">
        <f>L76*(1-MIN((Inputs!$B$8+((C85=TRUE)*(F85-Calc!F16))+B94),100)/100)+M76*(MIN((Inputs!$B$8+((C85=TRUE)*(F85-Calc!F16))+B94),100)/100)</f>
        <v/>
      </c>
      <c r="O76">
        <f>IF(C76,H76*N76*IF(AND(Inputs!$B$4&lt;&gt;"pvp",Inputs!$B$35&gt;0),((Skills!G7*((R76-1)*IF(Skills!H7&gt;0,Skills!I7/Skills!H7,1)+IF(Skills!H7&gt;0,MIN(Skills!I7,MAX(0,Inputs!$B$35-((R76-1)*IF(Inputs!$B$4="pvp",15,MAX(0.1,Skills!D7-IF(Skills!E7=TRUE,Inputs!$B$31,0))))))/Skills!H7,1)))/Inputs!$B$35),G76*Q76)*IF(Inputs!$B$4="pvp",1,(1-Summary!$B$55)*(1)+Summary!$B$55*(MIN(Skills!R7,Inputs!$B$37))),0)</f>
        <v/>
      </c>
      <c r="P76">
        <f>IF(B102=0,0,O76/B102)</f>
        <v/>
      </c>
      <c r="Q76">
        <f>IFERROR(1/IF(Inputs!$B$4="pvp",15,MAX(0.1,Skills!D7-IF(Skills!E7=TRUE,Inputs!$B$31,0))),0)</f>
        <v/>
      </c>
      <c r="R76">
        <f>IF(AND(Inputs!$B$4&lt;&gt;"pvp",Inputs!$B$35&gt;0),(INT(Inputs!$B$35/IF(Inputs!$B$4="pvp",15,MAX(0.1,Skills!D7-IF(Skills!E7=TRUE,Inputs!$B$31,0))))+1),0)</f>
        <v/>
      </c>
      <c r="S76">
        <f>IFERROR(O76/N76,0)</f>
        <v/>
      </c>
    </row>
    <row r="77">
      <c r="A77">
        <f>Skills!A8</f>
        <v/>
      </c>
      <c r="B77">
        <f>Skills!B8</f>
        <v/>
      </c>
      <c r="C77">
        <f>Inputs!$B$3&gt;=110</f>
        <v/>
      </c>
      <c r="D77">
        <f>IF(Skills!C8=1,60+Inputs!$B$24+Inputs!$B$28,IF(Skills!C8=2,90+Inputs!$B$25+Inputs!$B$28,IF(Skills!C8=3,120+Inputs!$B$26+Inputs!$B$28,MAX(0,(Inputs!$B$3-100)*3)+Inputs!$B$27+Inputs!$B$28)))</f>
        <v/>
      </c>
      <c r="E77">
        <f>INDEX(FactorTable!$B$2:$Y$301, MATCH(ROUND(MIN(300,MAX(1,D77)),0), FactorTable!$A$2:$A$301,0), Skills!M8+1)</f>
        <v/>
      </c>
      <c r="F77">
        <f>IF(Skills!N8=TRUE,(Skills!L8/10)*(E77/1000),Skills!L8/10)+Skills!O8</f>
        <v/>
      </c>
      <c r="G77">
        <f>Skills!G8*IF(Skills!H8&gt;0,Skills!I8/Skills!H8,1)</f>
        <v/>
      </c>
      <c r="H77">
        <f>1-(1-Skills!J8/100)^Skills!K8</f>
        <v/>
      </c>
      <c r="I77" t="inlineStr">
        <is>
          <t>1</t>
        </is>
      </c>
      <c r="J77">
        <f>(Inputs!$B$5*(1+Inputs!$B$6/100))*(F77/100)</f>
        <v/>
      </c>
      <c r="K77">
        <f>J77*(1+((Inputs!$B$11*(1+(Inputs!$B$12+1)/100))*0.01+Inputs!$B$13*0.0025)/100)*(1+Inputs!$B$14/100)*(1+IF(Inputs!$B$4="pvp",0,(1-Summary!$B$55)*(Inputs!$B$19+0+Skills!P8)+Summary!$B$55*(Inputs!$B$20+Skills!Q8))/100)*(1+Inputs!$B$15/100)*(5000/(6000+Inputs!$B$7*(1-(Inputs!$B$18+0)/100)))*(1+(Inputs!$B$23+((C91=TRUE)*(F91-Calc!F22))+B100)/100)*(1+(IF(Skills!A8="HOOK_BOMBER",Inputs!$B$16+((C90=TRUE)*(F90-Calc!F21)),Inputs!$B$17+0))/100)*((1+(((C82=TRUE)*F82)+((C88=TRUE)*(F88-Calc!F19)))/100)*I77)</f>
        <v/>
      </c>
      <c r="L77">
        <f>K77*(MIN(Inputs!$B$21+((C89=TRUE)*(F89-Calc!F20)),Inputs!$B$22+0)/100+(Inputs!$B$22+0)/100)/2</f>
        <v/>
      </c>
      <c r="M77">
        <f>L77*(1+(Inputs!$B$9+0+B99)/100)</f>
        <v/>
      </c>
      <c r="N77">
        <f>L77*(1-MIN((Inputs!$B$8+((C85=TRUE)*(F85-Calc!F16))+B94),100)/100)+M77*(MIN((Inputs!$B$8+((C85=TRUE)*(F85-Calc!F16))+B94),100)/100)</f>
        <v/>
      </c>
      <c r="O77">
        <f>IF(C77,H77*N77*IF(AND(Inputs!$B$4&lt;&gt;"pvp",Inputs!$B$35&gt;0),((Skills!G8*((R77-1)*IF(Skills!H8&gt;0,Skills!I8/Skills!H8,1)+IF(Skills!H8&gt;0,MIN(Skills!I8,MAX(0,Inputs!$B$35-((R77-1)*IF(Inputs!$B$4="pvp",15,MAX(0.1,Skills!D8-IF(Skills!E8=TRUE,Inputs!$B$31,0))))))/Skills!H8,1)))/Inputs!$B$35),G77*Q77)*IF(Inputs!$B$4="pvp",1,(1-Summary!$B$55)*(1)+Summary!$B$55*(MIN(Skills!R8,Inputs!$B$37))),0)</f>
        <v/>
      </c>
      <c r="P77">
        <f>IF(B102=0,0,O77/B102)</f>
        <v/>
      </c>
      <c r="Q77">
        <f>IFERROR(1/IF(Inputs!$B$4="pvp",15,MAX(0.1,Skills!D8-IF(Skills!E8=TRUE,Inputs!$B$31,0))),0)</f>
        <v/>
      </c>
      <c r="R77">
        <f>IF(AND(Inputs!$B$4&lt;&gt;"pvp",Inputs!$B$35&gt;0),(INT(Inputs!$B$35/IF(Inputs!$B$4="pvp",15,MAX(0.1,Skills!D8-IF(Skills!E8=TRUE,Inputs!$B$31,0))))+1),0)</f>
        <v/>
      </c>
      <c r="S77">
        <f>IFERROR(O77/N77,0)</f>
        <v/>
      </c>
    </row>
    <row r="78">
      <c r="A78">
        <f>Skills!A9</f>
        <v/>
      </c>
      <c r="B78">
        <f>Skills!B9</f>
        <v/>
      </c>
      <c r="C78">
        <f>Inputs!$B$3&gt;=110</f>
        <v/>
      </c>
      <c r="D78">
        <f>IF(Skills!C9=1,60+Inputs!$B$24+Inputs!$B$28,IF(Skills!C9=2,90+Inputs!$B$25+Inputs!$B$28,IF(Skills!C9=3,120+Inputs!$B$26+Inputs!$B$28,MAX(0,(Inputs!$B$3-100)*3)+Inputs!$B$27+Inputs!$B$28)))</f>
        <v/>
      </c>
      <c r="E78">
        <f>INDEX(FactorTable!$B$2:$Y$301, MATCH(ROUND(MIN(300,MAX(1,D78)),0), FactorTable!$A$2:$A$301,0), Skills!M9+1)</f>
        <v/>
      </c>
      <c r="F78">
        <f>IF(Skills!N9=TRUE,(Skills!L9/10)*(E78/1000),Skills!L9/10)+Skills!O9</f>
        <v/>
      </c>
      <c r="G78">
        <f>Skills!G9*IF(Skills!H9&gt;0,Skills!I9/Skills!H9,1)</f>
        <v/>
      </c>
      <c r="H78">
        <f>1-(1-Skills!J9/100)^Skills!K9</f>
        <v/>
      </c>
      <c r="I78" t="inlineStr">
        <is>
          <t>1</t>
        </is>
      </c>
      <c r="J78">
        <f>(Inputs!$B$5*(1+Inputs!$B$6/100))*(F78/100)</f>
        <v/>
      </c>
      <c r="K78">
        <f>J78*(1+((Inputs!$B$11*(1+(Inputs!$B$12+1)/100))*0.01+Inputs!$B$13*0.0025)/100)*(1+Inputs!$B$14/100)*(1+IF(Inputs!$B$4="pvp",0,(1-Summary!$B$55)*(Inputs!$B$19+0+Skills!P9)+Summary!$B$55*(Inputs!$B$20+Skills!Q9))/100)*(1+Inputs!$B$15/100)*(5000/(6000+Inputs!$B$7*(1-(Inputs!$B$18+0)/100)))*(1+(Inputs!$B$23+((C91=TRUE)*(F91-Calc!F22))+B100)/100)*(1+(IF(Skills!A9="HOOK_BOMBER",Inputs!$B$16+((C90=TRUE)*(F90-Calc!F21)),Inputs!$B$17+0))/100)*((1+(((C82=TRUE)*F82)+((C88=TRUE)*(F88-Calc!F19)))/100)*I78)</f>
        <v/>
      </c>
      <c r="L78">
        <f>K78*(MIN(Inputs!$B$21+((C89=TRUE)*(F89-Calc!F20)),Inputs!$B$22+0)/100+(Inputs!$B$22+0)/100)/2</f>
        <v/>
      </c>
      <c r="M78">
        <f>L78*(1+(Inputs!$B$9+0+B99)/100)</f>
        <v/>
      </c>
      <c r="N78">
        <f>L78*(1-MIN((Inputs!$B$8+((C85=TRUE)*(F85-Calc!F16))+B94),100)/100)+M78*(MIN((Inputs!$B$8+((C85=TRUE)*(F85-Calc!F16))+B94),100)/100)</f>
        <v/>
      </c>
      <c r="O78">
        <f>IF(C78,H78*N78*IF(AND(Inputs!$B$4&lt;&gt;"pvp",Inputs!$B$35&gt;0),((Skills!G9*((R78-1)*IF(Skills!H9&gt;0,Skills!I9/Skills!H9,1)+IF(Skills!H9&gt;0,MIN(Skills!I9,MAX(0,Inputs!$B$35-((R78-1)*IF(Inputs!$B$4="pvp",15,MAX(0.1,Skills!D9-IF(Skills!E9=TRUE,Inputs!$B$31,0))))))/Skills!H9,1)))/Inputs!$B$35),G78*Q78)*IF(Inputs!$B$4="pvp",1,(1-Summary!$B$55)*(1)+Summary!$B$55*(MIN(Skills!R9,Inputs!$B$37))),0)</f>
        <v/>
      </c>
      <c r="P78">
        <f>IF(B102=0,0,O78/B102)</f>
        <v/>
      </c>
      <c r="Q78">
        <f>IFERROR(1/IF(Inputs!$B$4="pvp",15,MAX(0.1,Skills!D9-IF(Skills!E9=TRUE,Inputs!$B$31,0))),0)</f>
        <v/>
      </c>
      <c r="R78">
        <f>IF(AND(Inputs!$B$4&lt;&gt;"pvp",Inputs!$B$35&gt;0),(INT(Inputs!$B$35/IF(Inputs!$B$4="pvp",15,MAX(0.1,Skills!D9-IF(Skills!E9=TRUE,Inputs!$B$31,0))))+1),0)</f>
        <v/>
      </c>
      <c r="S78">
        <f>IFERROR(O78/N78,0)</f>
        <v/>
      </c>
    </row>
    <row r="79">
      <c r="A79">
        <f>Skills!A10</f>
        <v/>
      </c>
      <c r="B79">
        <f>Skills!B10</f>
        <v/>
      </c>
      <c r="C79">
        <f>Inputs!$B$3&gt;=103</f>
        <v/>
      </c>
      <c r="D79">
        <f>IF(Skills!C10=1,60+Inputs!$B$24+Inputs!$B$28,IF(Skills!C10=2,90+Inputs!$B$25+Inputs!$B$28,IF(Skills!C10=3,120+Inputs!$B$26+Inputs!$B$28,MAX(0,(Inputs!$B$3-100)*3)+Inputs!$B$27+Inputs!$B$28)))</f>
        <v/>
      </c>
      <c r="E79">
        <f>INDEX(FactorTable!$B$2:$Y$301, MATCH(ROUND(MIN(300,MAX(1,D79)),0), FactorTable!$A$2:$A$301,0), Skills!M10+1)</f>
        <v/>
      </c>
      <c r="F79">
        <f>IF(Skills!N10=TRUE,(Skills!L10/10)*(E79/1000),Skills!L10/10)+Skills!O10</f>
        <v/>
      </c>
      <c r="G79">
        <f>Skills!G10*IF(Skills!H10&gt;0,Skills!I10/Skills!H10,1)</f>
        <v/>
      </c>
      <c r="H79">
        <f>1-(1-Skills!J10/100)^Skills!K10</f>
        <v/>
      </c>
      <c r="I79" t="inlineStr">
        <is>
          <t>1</t>
        </is>
      </c>
      <c r="J79">
        <f>(Inputs!$B$5*(1+Inputs!$B$6/100))*(F79/100)</f>
        <v/>
      </c>
      <c r="K79">
        <f>J79*(1+((Inputs!$B$11*(1+(Inputs!$B$12+1)/100))*0.01+Inputs!$B$13*0.0025)/100)*(1+Inputs!$B$14/100)*(1+IF(Inputs!$B$4="pvp",0,(1-Summary!$B$55)*(Inputs!$B$19+0+Skills!P10)+Summary!$B$55*(Inputs!$B$20+Skills!Q10))/100)*(1+Inputs!$B$15/100)*(5000/(6000+Inputs!$B$7*(1-(Inputs!$B$18+0)/100)))*(1+(Inputs!$B$23+((C91=TRUE)*(F91-Calc!F22))+B100)/100)*(1+(IF(Skills!A10="HOOK_BOMBER",Inputs!$B$16+((C90=TRUE)*(F90-Calc!F21)),Inputs!$B$17+0))/100)*((1+(((C82=TRUE)*F82)+((C88=TRUE)*(F88-Calc!F19)))/100)*I79)</f>
        <v/>
      </c>
      <c r="L79">
        <f>K79*(MIN(Inputs!$B$21+((C89=TRUE)*(F89-Calc!F20)),Inputs!$B$22+0)/100+(Inputs!$B$22+0)/100)/2</f>
        <v/>
      </c>
      <c r="M79">
        <f>L79*(1+(Inputs!$B$9+0+B99)/100)</f>
        <v/>
      </c>
      <c r="N79">
        <f>L79*(1-MIN((Inputs!$B$8+((C85=TRUE)*(F85-Calc!F16))+B94),100)/100)+M79*(MIN((Inputs!$B$8+((C85=TRUE)*(F85-Calc!F16))+B94),100)/100)</f>
        <v/>
      </c>
      <c r="O79">
        <f>IF(C79,H79*N79*IF(AND(Inputs!$B$4&lt;&gt;"pvp",Inputs!$B$35&gt;0),((Skills!G10*((R79-1)*IF(Skills!H10&gt;0,Skills!I10/Skills!H10,1)+IF(Skills!H10&gt;0,MIN(Skills!I10,MAX(0,Inputs!$B$35-((R79-1)*IF(Inputs!$B$4="pvp",15,MAX(0.1,Skills!D10-IF(Skills!E10=TRUE,Inputs!$B$31,0))))))/Skills!H10,1)))/Inputs!$B$35),G79*Q79)*IF(Inputs!$B$4="pvp",1,(1-Summary!$B$55)*(1)+Summary!$B$55*(MIN(Skills!R10,Inputs!$B$37))),0)</f>
        <v/>
      </c>
      <c r="P79">
        <f>IF(B102=0,0,O79/B102)</f>
        <v/>
      </c>
      <c r="Q79">
        <f>IFERROR(1/IF(Inputs!$B$4="pvp",15,MAX(0.1,Skills!D10-IF(Skills!E10=TRUE,Inputs!$B$31,0))),0)</f>
        <v/>
      </c>
      <c r="R79">
        <f>IF(AND(Inputs!$B$4&lt;&gt;"pvp",Inputs!$B$35&gt;0),(INT(Inputs!$B$35/IF(Inputs!$B$4="pvp",15,MAX(0.1,Skills!D10-IF(Skills!E10=TRUE,Inputs!$B$31,0))))+1),0)</f>
        <v/>
      </c>
      <c r="S79">
        <f>IFERROR(O79/N79,0)</f>
        <v/>
      </c>
    </row>
    <row r="80">
      <c r="A80">
        <f>Skills!A11</f>
        <v/>
      </c>
      <c r="B80">
        <f>Skills!B11</f>
        <v/>
      </c>
      <c r="C80">
        <f>Inputs!$B$3&gt;=113</f>
        <v/>
      </c>
      <c r="D80">
        <f>IF(Skills!C11=1,60+Inputs!$B$24+Inputs!$B$28,IF(Skills!C11=2,90+Inputs!$B$25+Inputs!$B$28,IF(Skills!C11=3,120+Inputs!$B$26+Inputs!$B$28,MAX(0,(Inputs!$B$3-100)*3)+Inputs!$B$27+Inputs!$B$28)))</f>
        <v/>
      </c>
      <c r="E80">
        <f>INDEX(FactorTable!$B$2:$Y$301, MATCH(ROUND(MIN(300,MAX(1,D80)),0), FactorTable!$A$2:$A$301,0), Skills!M11+1)</f>
        <v/>
      </c>
      <c r="F80">
        <f>IF(Skills!N11=TRUE,(Skills!L11/10)*(E80/1000),Skills!L11/10)+Skills!O11</f>
        <v/>
      </c>
      <c r="G80">
        <f>Skills!G11*IF(Skills!H11&gt;0,Skills!I11/Skills!H11,1)</f>
        <v/>
      </c>
      <c r="H80">
        <f>1-(1-Skills!J11/100)^Skills!K11</f>
        <v/>
      </c>
      <c r="I80" t="inlineStr">
        <is>
          <t>1</t>
        </is>
      </c>
      <c r="J80">
        <f>(Inputs!$B$5*(1+Inputs!$B$6/100))*(F80/100)</f>
        <v/>
      </c>
      <c r="K80">
        <f>J80*(1+((Inputs!$B$11*(1+(Inputs!$B$12+1)/100))*0.01+Inputs!$B$13*0.0025)/100)*(1+Inputs!$B$14/100)*(1+IF(Inputs!$B$4="pvp",0,(1-Summary!$B$55)*(Inputs!$B$19+0+Skills!P11)+Summary!$B$55*(Inputs!$B$20+Skills!Q11))/100)*(1+Inputs!$B$15/100)*(5000/(6000+Inputs!$B$7*(1-(Inputs!$B$18+0)/100)))*(1+(Inputs!$B$23+((C91=TRUE)*(F91-Calc!F22))+B100)/100)*(1+(IF(Skills!A11="HOOK_BOMBER",Inputs!$B$16+((C90=TRUE)*(F90-Calc!F21)),Inputs!$B$17+0))/100)*((1+(((C82=TRUE)*F82)+((C88=TRUE)*(F88-Calc!F19)))/100)*I80)</f>
        <v/>
      </c>
      <c r="L80">
        <f>K80*(MIN(Inputs!$B$21+((C89=TRUE)*(F89-Calc!F20)),Inputs!$B$22+0)/100+(Inputs!$B$22+0)/100)/2</f>
        <v/>
      </c>
      <c r="M80">
        <f>L80*(1+(Inputs!$B$9+0+B99)/100)</f>
        <v/>
      </c>
      <c r="N80">
        <f>L80*(1-MIN((Inputs!$B$8+((C85=TRUE)*(F85-Calc!F16))+B94),100)/100)+M80*(MIN((Inputs!$B$8+((C85=TRUE)*(F85-Calc!F16))+B94),100)/100)</f>
        <v/>
      </c>
      <c r="O80">
        <f>IF(C80,H80*N80*IF(AND(Inputs!$B$4&lt;&gt;"pvp",Inputs!$B$35&gt;0),((Skills!G11*((R80-1)*IF(Skills!H11&gt;0,Skills!I11/Skills!H11,1)+IF(Skills!H11&gt;0,MIN(Skills!I11,MAX(0,Inputs!$B$35-((R80-1)*IF(Inputs!$B$4="pvp",15,MAX(0.1,Skills!D11-IF(Skills!E11=TRUE,Inputs!$B$31,0))))))/Skills!H11,1)))/Inputs!$B$35),G80*Q80)*IF(Inputs!$B$4="pvp",1,(1-Summary!$B$55)*(1)+Summary!$B$55*(MIN(Skills!R11,Inputs!$B$37))),0)</f>
        <v/>
      </c>
      <c r="P80">
        <f>IF(B102=0,0,O80/B102)</f>
        <v/>
      </c>
      <c r="Q80">
        <f>IFERROR(1/IF(Inputs!$B$4="pvp",15,MAX(0.1,Skills!D11-IF(Skills!E11=TRUE,Inputs!$B$31,0))),0)</f>
        <v/>
      </c>
      <c r="R80">
        <f>IF(AND(Inputs!$B$4&lt;&gt;"pvp",Inputs!$B$35&gt;0),(INT(Inputs!$B$35/IF(Inputs!$B$4="pvp",15,MAX(0.1,Skills!D11-IF(Skills!E11=TRUE,Inputs!$B$31,0))))+1),0)</f>
        <v/>
      </c>
      <c r="S80">
        <f>IFERROR(O80/N80,0)</f>
        <v/>
      </c>
    </row>
    <row r="81">
      <c r="A81">
        <f>Skills!A12</f>
        <v/>
      </c>
      <c r="B81">
        <f>Skills!B12</f>
        <v/>
      </c>
      <c r="C81">
        <f>Inputs!$B$3&gt;=100</f>
        <v/>
      </c>
      <c r="D81">
        <f>IF(Skills!C12=1,60+Inputs!$B$24+Inputs!$B$28,IF(Skills!C12=2,90+Inputs!$B$25+Inputs!$B$28,IF(Skills!C12=3,120+Inputs!$B$26+Inputs!$B$28,MAX(0,(Inputs!$B$3-100)*3)+Inputs!$B$27+Inputs!$B$28)))</f>
        <v/>
      </c>
      <c r="E81">
        <f>INDEX(FactorTable!$B$2:$Y$301, MATCH(ROUND(MIN(300,MAX(1,D81)),0), FactorTable!$A$2:$A$301,0), Skills!M12+1)</f>
        <v/>
      </c>
      <c r="F81">
        <f>IF(Skills!N12=TRUE,(Skills!L12/10)*(E81/1000),Skills!L12/10)+Skills!O12</f>
        <v/>
      </c>
      <c r="G81" t="inlineStr"/>
      <c r="H81" t="inlineStr"/>
      <c r="I81" t="inlineStr">
        <is>
          <t>1</t>
        </is>
      </c>
      <c r="J81" t="inlineStr"/>
      <c r="K81" t="inlineStr"/>
      <c r="L81" t="inlineStr"/>
      <c r="M81" t="inlineStr"/>
      <c r="N81" t="inlineStr"/>
      <c r="O81" t="inlineStr"/>
      <c r="P81" t="inlineStr"/>
      <c r="Q81" t="inlineStr"/>
      <c r="R81" t="inlineStr"/>
      <c r="S81" t="inlineStr"/>
    </row>
    <row r="82">
      <c r="A82">
        <f>Skills!A13</f>
        <v/>
      </c>
      <c r="B82">
        <f>Skills!B13</f>
        <v/>
      </c>
      <c r="C82">
        <f>Inputs!$B$3&gt;=66</f>
        <v/>
      </c>
      <c r="D82">
        <f>IF(Skills!C13=1,60+Inputs!$B$24+Inputs!$B$28,IF(Skills!C13=2,90+Inputs!$B$25+Inputs!$B$28,IF(Skills!C13=3,120+Inputs!$B$26+Inputs!$B$28,MAX(0,(Inputs!$B$3-100)*3)+Inputs!$B$27+Inputs!$B$28)))</f>
        <v/>
      </c>
      <c r="E82">
        <f>INDEX(FactorTable!$B$2:$Y$301, MATCH(ROUND(MIN(300,MAX(1,D82)),0), FactorTable!$A$2:$A$301,0), Skills!M13+1)</f>
        <v/>
      </c>
      <c r="F82">
        <f>IF(Skills!N13=TRUE,(Skills!L13/10)*(E82/1000),Skills!L13/10)+Skills!O13</f>
        <v/>
      </c>
      <c r="G82">
        <f>Skills!G13*IF(Skills!H13&gt;0,Skills!I13/Skills!H13,1)</f>
        <v/>
      </c>
      <c r="H82">
        <f>1-(1-Skills!J13/100)^Skills!K13</f>
        <v/>
      </c>
      <c r="I82" t="inlineStr">
        <is>
          <t>1</t>
        </is>
      </c>
      <c r="J82" t="inlineStr"/>
      <c r="K82" t="inlineStr"/>
      <c r="L82" t="inlineStr"/>
      <c r="M82" t="inlineStr"/>
      <c r="N82" t="inlineStr"/>
      <c r="O82" t="n">
        <v>0</v>
      </c>
      <c r="P82">
        <f>IF(B102=0,0,O82/B102)</f>
        <v/>
      </c>
      <c r="Q82" t="n">
        <v>0</v>
      </c>
      <c r="R82" t="n">
        <v>0</v>
      </c>
      <c r="S82">
        <f>IFERROR(O82/N82,0)</f>
        <v/>
      </c>
    </row>
    <row r="83">
      <c r="A83">
        <f>Skills!A14</f>
        <v/>
      </c>
      <c r="B83">
        <f>Skills!B14</f>
        <v/>
      </c>
      <c r="C83">
        <f>Inputs!$B$3&gt;=107</f>
        <v/>
      </c>
      <c r="D83">
        <f>IF(Skills!C14=1,60+Inputs!$B$24+Inputs!$B$28,IF(Skills!C14=2,90+Inputs!$B$25+Inputs!$B$28,IF(Skills!C14=3,120+Inputs!$B$26+Inputs!$B$28,MAX(0,(Inputs!$B$3-100)*3)+Inputs!$B$27+Inputs!$B$28)))</f>
        <v/>
      </c>
      <c r="E83">
        <f>INDEX(FactorTable!$B$2:$Y$301, MATCH(ROUND(MIN(300,MAX(1,D83)),0), FactorTable!$A$2:$A$301,0), Skills!M14+1)</f>
        <v/>
      </c>
      <c r="F83">
        <f>IF(Skills!N14=TRUE,(Skills!L14/10)*(E83/1000),Skills!L14/10)+Skills!O14</f>
        <v/>
      </c>
      <c r="G83">
        <f>Skills!G14*IF(Skills!H14&gt;0,Skills!I14/Skills!H14,1)</f>
        <v/>
      </c>
      <c r="H83">
        <f>1-(1-Skills!J14/100)^Skills!K14</f>
        <v/>
      </c>
      <c r="I83" t="inlineStr">
        <is>
          <t>1</t>
        </is>
      </c>
      <c r="J83" t="inlineStr"/>
      <c r="K83" t="inlineStr"/>
      <c r="L83" t="inlineStr"/>
      <c r="M83" t="inlineStr"/>
      <c r="N83" t="inlineStr"/>
      <c r="O83" t="n">
        <v>0</v>
      </c>
      <c r="P83">
        <f>IF(B102=0,0,O83/B102)</f>
        <v/>
      </c>
      <c r="Q83" t="n">
        <v>0</v>
      </c>
      <c r="R83" t="n">
        <v>0</v>
      </c>
      <c r="S83">
        <f>IFERROR(O83/N83,0)</f>
        <v/>
      </c>
    </row>
    <row r="84">
      <c r="A84">
        <f>Skills!A15</f>
        <v/>
      </c>
      <c r="B84">
        <f>Skills!B15</f>
        <v/>
      </c>
      <c r="C84">
        <f>Inputs!$B$3&gt;=115</f>
        <v/>
      </c>
      <c r="D84">
        <f>IF(Skills!C15=1,60+Inputs!$B$24+Inputs!$B$28,IF(Skills!C15=2,90+Inputs!$B$25+Inputs!$B$28,IF(Skills!C15=3,120+Inputs!$B$26+Inputs!$B$28,MAX(0,(Inputs!$B$3-100)*3)+Inputs!$B$27+Inputs!$B$28)))</f>
        <v/>
      </c>
      <c r="E84">
        <f>INDEX(FactorTable!$B$2:$Y$301, MATCH(ROUND(MIN(300,MAX(1,D84)),0), FactorTable!$A$2:$A$301,0), Skills!M15+1)</f>
        <v/>
      </c>
      <c r="F84">
        <f>IF(Skills!N15=TRUE,(Skills!L15/10)*(E84/1000),Skills!L15/10)+Skills!O15</f>
        <v/>
      </c>
      <c r="G84">
        <f>Skills!G15*IF(Skills!H15&gt;0,Skills!I15/Skills!H15,1)</f>
        <v/>
      </c>
      <c r="H84">
        <f>1-(1-Skills!J15/100)^Skills!K15</f>
        <v/>
      </c>
      <c r="I84" t="inlineStr">
        <is>
          <t>1</t>
        </is>
      </c>
      <c r="J84" t="inlineStr"/>
      <c r="K84" t="inlineStr"/>
      <c r="L84" t="inlineStr"/>
      <c r="M84" t="inlineStr"/>
      <c r="N84" t="inlineStr"/>
      <c r="O84" t="n">
        <v>0</v>
      </c>
      <c r="P84">
        <f>IF(B102=0,0,O84/B102)</f>
        <v/>
      </c>
      <c r="Q84" t="n">
        <v>0</v>
      </c>
      <c r="R84" t="n">
        <v>0</v>
      </c>
      <c r="S84">
        <f>IFERROR(O84/N84,0)</f>
        <v/>
      </c>
    </row>
    <row r="85">
      <c r="A85">
        <f>Skills!A16</f>
        <v/>
      </c>
      <c r="B85">
        <f>Skills!B16</f>
        <v/>
      </c>
      <c r="C85">
        <f>Inputs!$B$3&gt;=15</f>
        <v/>
      </c>
      <c r="D85">
        <f>IF(Skills!C16=1,60+Inputs!$B$24+Inputs!$B$28,IF(Skills!C16=2,90+Inputs!$B$25+Inputs!$B$28,IF(Skills!C16=3,120+Inputs!$B$26+Inputs!$B$28,MAX(0,(Inputs!$B$3-100)*3)+Inputs!$B$27+Inputs!$B$28)))</f>
        <v/>
      </c>
      <c r="E85">
        <f>INDEX(FactorTable!$B$2:$Y$301, MATCH(ROUND(MIN(300,MAX(1,D85)),0), FactorTable!$A$2:$A$301,0), Skills!M16+1)</f>
        <v/>
      </c>
      <c r="F85">
        <f>IF(Skills!N16=TRUE,(Skills!L16/10)*(E85/1000),Skills!L16/10)+Skills!O16</f>
        <v/>
      </c>
      <c r="G85">
        <f>Skills!G16*IF(Skills!H16&gt;0,Skills!I16/Skills!H16,1)</f>
        <v/>
      </c>
      <c r="H85">
        <f>1-(1-Skills!J16/100)^Skills!K16</f>
        <v/>
      </c>
      <c r="I85" t="inlineStr">
        <is>
          <t>1</t>
        </is>
      </c>
      <c r="J85" t="inlineStr"/>
      <c r="K85" t="inlineStr"/>
      <c r="L85" t="inlineStr"/>
      <c r="M85" t="inlineStr"/>
      <c r="N85" t="inlineStr"/>
      <c r="O85" t="n">
        <v>0</v>
      </c>
      <c r="P85">
        <f>IF(B102=0,0,O85/B102)</f>
        <v/>
      </c>
      <c r="Q85" t="n">
        <v>0</v>
      </c>
      <c r="R85" t="n">
        <v>0</v>
      </c>
      <c r="S85">
        <f>IFERROR(O85/N85,0)</f>
        <v/>
      </c>
    </row>
    <row r="86">
      <c r="A86">
        <f>Skills!A17</f>
        <v/>
      </c>
      <c r="B86">
        <f>Skills!B17</f>
        <v/>
      </c>
      <c r="C86">
        <f>Inputs!$B$3&gt;=10</f>
        <v/>
      </c>
      <c r="D86">
        <f>IF(Skills!C17=1,60+Inputs!$B$24+Inputs!$B$28,IF(Skills!C17=2,90+Inputs!$B$25+Inputs!$B$28,IF(Skills!C17=3,120+Inputs!$B$26+Inputs!$B$28,MAX(0,(Inputs!$B$3-100)*3)+Inputs!$B$27+Inputs!$B$28)))</f>
        <v/>
      </c>
      <c r="E86">
        <f>INDEX(FactorTable!$B$2:$Y$301, MATCH(ROUND(MIN(300,MAX(1,D86)),0), FactorTable!$A$2:$A$301,0), Skills!M17+1)</f>
        <v/>
      </c>
      <c r="F86">
        <f>IF(Skills!N17=TRUE,(Skills!L17/10)*(E86/1000),Skills!L17/10)+Skills!O17</f>
        <v/>
      </c>
      <c r="G86">
        <f>Skills!G17*IF(Skills!H17&gt;0,Skills!I17/Skills!H17,1)</f>
        <v/>
      </c>
      <c r="H86">
        <f>1-(1-Skills!J17/100)^Skills!K17</f>
        <v/>
      </c>
      <c r="I86" t="inlineStr">
        <is>
          <t>1</t>
        </is>
      </c>
      <c r="J86" t="inlineStr"/>
      <c r="K86" t="inlineStr"/>
      <c r="L86" t="inlineStr"/>
      <c r="M86" t="inlineStr"/>
      <c r="N86" t="inlineStr"/>
      <c r="O86" t="n">
        <v>0</v>
      </c>
      <c r="P86">
        <f>IF(B102=0,0,O86/B102)</f>
        <v/>
      </c>
      <c r="Q86" t="n">
        <v>0</v>
      </c>
      <c r="R86" t="n">
        <v>0</v>
      </c>
      <c r="S86">
        <f>IFERROR(O86/N86,0)</f>
        <v/>
      </c>
    </row>
    <row r="87">
      <c r="A87">
        <f>Skills!A18</f>
        <v/>
      </c>
      <c r="B87">
        <f>Skills!B18</f>
        <v/>
      </c>
      <c r="C87">
        <f>Inputs!$B$3&gt;=33</f>
        <v/>
      </c>
      <c r="D87">
        <f>IF(Skills!C18=1,60+Inputs!$B$24+Inputs!$B$28,IF(Skills!C18=2,90+Inputs!$B$25+Inputs!$B$28,IF(Skills!C18=3,120+Inputs!$B$26+Inputs!$B$28,MAX(0,(Inputs!$B$3-100)*3)+Inputs!$B$27+Inputs!$B$28)))</f>
        <v/>
      </c>
      <c r="E87">
        <f>INDEX(FactorTable!$B$2:$Y$301, MATCH(ROUND(MIN(300,MAX(1,D87)),0), FactorTable!$A$2:$A$301,0), Skills!M18+1)</f>
        <v/>
      </c>
      <c r="F87">
        <f>IF(Skills!N18=TRUE,(Skills!L18/10)*(E87/1000),Skills!L18/10)+Skills!O18</f>
        <v/>
      </c>
      <c r="G87">
        <f>Skills!G18*IF(Skills!H18&gt;0,Skills!I18/Skills!H18,1)</f>
        <v/>
      </c>
      <c r="H87">
        <f>1-(1-Skills!J18/100)^Skills!K18</f>
        <v/>
      </c>
      <c r="I87" t="inlineStr">
        <is>
          <t>1</t>
        </is>
      </c>
      <c r="J87" t="inlineStr"/>
      <c r="K87" t="inlineStr"/>
      <c r="L87" t="inlineStr"/>
      <c r="M87" t="inlineStr"/>
      <c r="N87" t="inlineStr"/>
      <c r="O87" t="n">
        <v>0</v>
      </c>
      <c r="P87">
        <f>IF(B102=0,0,O87/B102)</f>
        <v/>
      </c>
      <c r="Q87" t="n">
        <v>0</v>
      </c>
      <c r="R87" t="n">
        <v>0</v>
      </c>
      <c r="S87">
        <f>IFERROR(O87/N87,0)</f>
        <v/>
      </c>
    </row>
    <row r="88">
      <c r="A88">
        <f>Skills!A19</f>
        <v/>
      </c>
      <c r="B88">
        <f>Skills!B19</f>
        <v/>
      </c>
      <c r="C88">
        <f>Inputs!$B$3&gt;=40</f>
        <v/>
      </c>
      <c r="D88">
        <f>IF(Skills!C19=1,60+Inputs!$B$24+Inputs!$B$28,IF(Skills!C19=2,90+Inputs!$B$25+Inputs!$B$28,IF(Skills!C19=3,120+Inputs!$B$26+Inputs!$B$28,MAX(0,(Inputs!$B$3-100)*3)+Inputs!$B$27+Inputs!$B$28)))</f>
        <v/>
      </c>
      <c r="E88">
        <f>INDEX(FactorTable!$B$2:$Y$301, MATCH(ROUND(MIN(300,MAX(1,D88)),0), FactorTable!$A$2:$A$301,0), Skills!M19+1)</f>
        <v/>
      </c>
      <c r="F88">
        <f>IF(Skills!N19=TRUE,(Skills!L19/10)*(E88/1000),Skills!L19/10)+Skills!O19</f>
        <v/>
      </c>
      <c r="G88">
        <f>Skills!G19*IF(Skills!H19&gt;0,Skills!I19/Skills!H19,1)</f>
        <v/>
      </c>
      <c r="H88">
        <f>1-(1-Skills!J19/100)^Skills!K19</f>
        <v/>
      </c>
      <c r="I88" t="inlineStr">
        <is>
          <t>1</t>
        </is>
      </c>
      <c r="J88" t="inlineStr"/>
      <c r="K88" t="inlineStr"/>
      <c r="L88" t="inlineStr"/>
      <c r="M88" t="inlineStr"/>
      <c r="N88" t="inlineStr"/>
      <c r="O88" t="n">
        <v>0</v>
      </c>
      <c r="P88">
        <f>IF(B102=0,0,O88/B102)</f>
        <v/>
      </c>
      <c r="Q88" t="n">
        <v>0</v>
      </c>
      <c r="R88" t="n">
        <v>0</v>
      </c>
      <c r="S88">
        <f>IFERROR(O88/N88,0)</f>
        <v/>
      </c>
    </row>
    <row r="89">
      <c r="A89">
        <f>Skills!A20</f>
        <v/>
      </c>
      <c r="B89">
        <f>Skills!B20</f>
        <v/>
      </c>
      <c r="C89">
        <f>Inputs!$B$3&gt;=43</f>
        <v/>
      </c>
      <c r="D89">
        <f>IF(Skills!C20=1,60+Inputs!$B$24+Inputs!$B$28,IF(Skills!C20=2,90+Inputs!$B$25+Inputs!$B$28,IF(Skills!C20=3,120+Inputs!$B$26+Inputs!$B$28,MAX(0,(Inputs!$B$3-100)*3)+Inputs!$B$27+Inputs!$B$28)))</f>
        <v/>
      </c>
      <c r="E89">
        <f>INDEX(FactorTable!$B$2:$Y$301, MATCH(ROUND(MIN(300,MAX(1,D89)),0), FactorTable!$A$2:$A$301,0), Skills!M20+1)</f>
        <v/>
      </c>
      <c r="F89">
        <f>IF(Skills!N20=TRUE,(Skills!L20/10)*(E89/1000),Skills!L20/10)+Skills!O20</f>
        <v/>
      </c>
      <c r="G89">
        <f>Skills!G20*IF(Skills!H20&gt;0,Skills!I20/Skills!H20,1)</f>
        <v/>
      </c>
      <c r="H89">
        <f>1-(1-Skills!J20/100)^Skills!K20</f>
        <v/>
      </c>
      <c r="I89" t="inlineStr">
        <is>
          <t>1</t>
        </is>
      </c>
      <c r="J89" t="inlineStr"/>
      <c r="K89" t="inlineStr"/>
      <c r="L89" t="inlineStr"/>
      <c r="M89" t="inlineStr"/>
      <c r="N89" t="inlineStr"/>
      <c r="O89" t="n">
        <v>0</v>
      </c>
      <c r="P89">
        <f>IF(B102=0,0,O89/B102)</f>
        <v/>
      </c>
      <c r="Q89" t="n">
        <v>0</v>
      </c>
      <c r="R89" t="n">
        <v>0</v>
      </c>
      <c r="S89">
        <f>IFERROR(O89/N89,0)</f>
        <v/>
      </c>
    </row>
    <row r="90">
      <c r="A90">
        <f>Skills!A21</f>
        <v/>
      </c>
      <c r="B90">
        <f>Skills!B21</f>
        <v/>
      </c>
      <c r="C90">
        <f>Inputs!$B$3&gt;=38</f>
        <v/>
      </c>
      <c r="D90">
        <f>IF(Skills!C21=1,60+Inputs!$B$24+Inputs!$B$28,IF(Skills!C21=2,90+Inputs!$B$25+Inputs!$B$28,IF(Skills!C21=3,120+Inputs!$B$26+Inputs!$B$28,MAX(0,(Inputs!$B$3-100)*3)+Inputs!$B$27+Inputs!$B$28)))</f>
        <v/>
      </c>
      <c r="E90">
        <f>INDEX(FactorTable!$B$2:$Y$301, MATCH(ROUND(MIN(300,MAX(1,D90)),0), FactorTable!$A$2:$A$301,0), Skills!M21+1)</f>
        <v/>
      </c>
      <c r="F90">
        <f>IF(Skills!N21=TRUE,(Skills!L21/10)*(E90/1000),Skills!L21/10)+Skills!O21</f>
        <v/>
      </c>
      <c r="G90">
        <f>Skills!G21*IF(Skills!H21&gt;0,Skills!I21/Skills!H21,1)</f>
        <v/>
      </c>
      <c r="H90">
        <f>1-(1-Skills!J21/100)^Skills!K21</f>
        <v/>
      </c>
      <c r="I90" t="inlineStr">
        <is>
          <t>1</t>
        </is>
      </c>
      <c r="J90" t="inlineStr"/>
      <c r="K90" t="inlineStr"/>
      <c r="L90" t="inlineStr"/>
      <c r="M90" t="inlineStr"/>
      <c r="N90" t="inlineStr"/>
      <c r="O90" t="n">
        <v>0</v>
      </c>
      <c r="P90">
        <f>IF(B102=0,0,O90/B102)</f>
        <v/>
      </c>
      <c r="Q90" t="n">
        <v>0</v>
      </c>
      <c r="R90" t="n">
        <v>0</v>
      </c>
      <c r="S90">
        <f>IFERROR(O90/N90,0)</f>
        <v/>
      </c>
    </row>
    <row r="91">
      <c r="A91">
        <f>Skills!A22</f>
        <v/>
      </c>
      <c r="B91">
        <f>Skills!B22</f>
        <v/>
      </c>
      <c r="C91">
        <f>Inputs!$B$3&gt;=75</f>
        <v/>
      </c>
      <c r="D91">
        <f>IF(Skills!C22=1,60+Inputs!$B$24+Inputs!$B$28,IF(Skills!C22=2,90+Inputs!$B$25+Inputs!$B$28,IF(Skills!C22=3,120+Inputs!$B$26+Inputs!$B$28,MAX(0,(Inputs!$B$3-100)*3)+Inputs!$B$27+Inputs!$B$28)))</f>
        <v/>
      </c>
      <c r="E91">
        <f>INDEX(FactorTable!$B$2:$Y$301, MATCH(ROUND(MIN(300,MAX(1,D91)),0), FactorTable!$A$2:$A$301,0), Skills!M22+1)</f>
        <v/>
      </c>
      <c r="F91">
        <f>IF(Skills!N22=TRUE,(Skills!L22/10)*(E91/1000),Skills!L22/10)+Skills!O22</f>
        <v/>
      </c>
      <c r="G91">
        <f>Skills!G22*IF(Skills!H22&gt;0,Skills!I22/Skills!H22,1)</f>
        <v/>
      </c>
      <c r="H91">
        <f>1-(1-Skills!J22/100)^Skills!K22</f>
        <v/>
      </c>
      <c r="I91" t="inlineStr">
        <is>
          <t>1</t>
        </is>
      </c>
      <c r="J91" t="inlineStr"/>
      <c r="K91" t="inlineStr"/>
      <c r="L91" t="inlineStr"/>
      <c r="M91" t="inlineStr"/>
      <c r="N91" t="inlineStr"/>
      <c r="O91" t="n">
        <v>0</v>
      </c>
      <c r="P91">
        <f>IF(B102=0,0,O91/B102)</f>
        <v/>
      </c>
      <c r="Q91" t="n">
        <v>0</v>
      </c>
      <c r="R91" t="n">
        <v>0</v>
      </c>
      <c r="S91">
        <f>IFERROR(O91/N91,0)</f>
        <v/>
      </c>
    </row>
    <row r="93">
      <c r="A93" t="inlineStr">
        <is>
          <t>Attack% Bucket Multiplier</t>
        </is>
      </c>
      <c r="B93">
        <f>(1+(((C82=TRUE)*F82)+((C88=TRUE)*(F88-Calc!F19)))/100)</f>
        <v/>
      </c>
    </row>
    <row r="94">
      <c r="A94" t="inlineStr">
        <is>
          <t>Global Crit Rate Bonus %</t>
        </is>
      </c>
      <c r="B94" t="n">
        <v>0</v>
      </c>
    </row>
    <row r="95">
      <c r="A95" t="inlineStr">
        <is>
          <t>Attack Speed Buff Bonus % (unused)</t>
        </is>
      </c>
      <c r="B95" t="n">
        <v>0</v>
      </c>
    </row>
    <row r="96">
      <c r="A96" t="inlineStr">
        <is>
          <t>Actions Per Second</t>
        </is>
      </c>
      <c r="B96">
        <f>1+MIN(150,150*(1-(1-(Inputs!$B$10+((C86=TRUE)*(F86-Calc!F17))+((C87=TRUE)*(F87-Calc!F18)))/150)*(1-B95/150)))/100</f>
        <v/>
      </c>
    </row>
    <row r="97">
      <c r="A97" t="inlineStr">
        <is>
          <t>Skill + Buff Cast Rate</t>
        </is>
      </c>
      <c r="B97">
        <f>IF(AND(Inputs!$B$4&lt;&gt;"pvp",Inputs!$B$35&gt;0),SUMPRODUCT((Skills!E2:E22=TRUE)*(C71:C91=TRUE)*R71:R91*Skills!F2:F22)/Inputs!$B$35,SUMPRODUCT((Skills!E2:E22=TRUE)*(C71:C91=TRUE)*Q71:Q91*Skills!F2:F22))</f>
        <v/>
      </c>
    </row>
    <row r="98">
      <c r="A98" t="inlineStr">
        <is>
          <t>Hook Bomber Casts Per Second</t>
        </is>
      </c>
      <c r="B98">
        <f>MAX(0,B96-B97)</f>
        <v/>
      </c>
    </row>
    <row r="99">
      <c r="A99" t="inlineStr">
        <is>
          <t>Global Critical Damage Bonus % (unused)</t>
        </is>
      </c>
      <c r="B99" t="n">
        <v>0</v>
      </c>
    </row>
    <row r="100">
      <c r="A100" t="inlineStr">
        <is>
          <t>Global Final Damage Bonus % (Serpent Scale + Crossbones + Time Leap + Speed Infusion)</t>
        </is>
      </c>
      <c r="B100">
        <f>((C74=TRUE)*F74*((10+IF(Inputs!$B$3&gt;=94,5,0))/((10+IF(Inputs!$B$3&gt;=94,5,0))+5/(B98*(1+IF(Inputs!$B$3&gt;=104,1,0))))))+((C83=TRUE)*F83)+((C84=TRUE)*F84)+((Inputs!$B$3&gt;=110)*20*(B96-1))</f>
        <v/>
      </c>
    </row>
    <row r="102">
      <c r="A102" s="5" t="inlineStr">
        <is>
          <t>TOTAL DPS</t>
        </is>
      </c>
      <c r="B102" s="5">
        <f>SUM(O71:O91)</f>
        <v/>
      </c>
    </row>
    <row r="105">
      <c r="A105" s="5" t="inlineStr">
        <is>
          <t>Stat: DEX</t>
        </is>
      </c>
    </row>
    <row r="106">
      <c r="A106" s="8" t="inlineStr">
        <is>
          <t>Key</t>
        </is>
      </c>
      <c r="B106" s="8" t="inlineStr">
        <is>
          <t>Name</t>
        </is>
      </c>
      <c r="C106" s="8" t="inlineStr">
        <is>
          <t>Unlocked</t>
        </is>
      </c>
      <c r="D106" s="8" t="inlineStr">
        <is>
          <t>InputLevel</t>
        </is>
      </c>
      <c r="E106" s="8" t="inlineStr">
        <is>
          <t>Factor</t>
        </is>
      </c>
      <c r="F106" s="8" t="inlineStr">
        <is>
          <t>CoefficientPercent</t>
        </is>
      </c>
      <c r="G106" s="8" t="inlineStr">
        <is>
          <t>EffectiveHits</t>
        </is>
      </c>
      <c r="H106" s="8" t="inlineStr">
        <is>
          <t>ProcProbability</t>
        </is>
      </c>
      <c r="I106" s="8" t="inlineStr">
        <is>
          <t>MapleHeroMultiplier</t>
        </is>
      </c>
      <c r="J106" s="8" t="inlineStr">
        <is>
          <t>BaseDamage</t>
        </is>
      </c>
      <c r="K106" s="8" t="inlineStr">
        <is>
          <t>BaseHitDamage</t>
        </is>
      </c>
      <c r="L106" s="8" t="inlineStr">
        <is>
          <t>NonCritAvg</t>
        </is>
      </c>
      <c r="M106" s="8" t="inlineStr">
        <is>
          <t>CritAvg</t>
        </is>
      </c>
      <c r="N106" s="8" t="inlineStr">
        <is>
          <t>ExpectedDamage(perHit)</t>
        </is>
      </c>
      <c r="O106" s="8" t="inlineStr">
        <is>
          <t>DPS</t>
        </is>
      </c>
      <c r="P106" s="8" t="inlineStr">
        <is>
          <t>% of Total</t>
        </is>
      </c>
      <c r="Q106" s="8" t="inlineStr">
        <is>
          <t>InvCooldown</t>
        </is>
      </c>
      <c r="R106" s="8" t="inlineStr">
        <is>
          <t>CastsInFight</t>
        </is>
      </c>
      <c r="S106" s="8" t="inlineStr">
        <is>
          <t>HitRate(perSec)</t>
        </is>
      </c>
      <c r="U106" t="inlineStr">
        <is>
          <t>helpers</t>
        </is>
      </c>
    </row>
    <row r="107">
      <c r="A107">
        <f>Skills!A2</f>
        <v/>
      </c>
      <c r="B107">
        <f>Skills!B2</f>
        <v/>
      </c>
      <c r="C107">
        <f>Inputs!$B$3&gt;=100</f>
        <v/>
      </c>
      <c r="D107" t="inlineStr"/>
      <c r="E107" t="inlineStr"/>
      <c r="F107">
        <f>U109+Skills!O2</f>
        <v/>
      </c>
      <c r="G107">
        <f>Skills!G2*IF(Skills!H2&gt;0,Skills!I2/Skills!H2,1)</f>
        <v/>
      </c>
      <c r="H107">
        <f>1-(1-Skills!J2/100)^Skills!K2</f>
        <v/>
      </c>
      <c r="I107" t="inlineStr">
        <is>
          <t>1</t>
        </is>
      </c>
      <c r="J107">
        <f>(Inputs!$B$5*(1+Inputs!$B$6/100))*(F107/100)</f>
        <v/>
      </c>
      <c r="K107">
        <f>J107*(1+((Inputs!$B$11*(1+Inputs!$B$12/100))*0.01+(Inputs!$B$13+1)*0.0025)/100)*(1+Inputs!$B$14/100)*(1+IF(Inputs!$B$4="pvp",0,(1-Summary!$B$55)*(Inputs!$B$19+0+Skills!P2)+Summary!$B$55*(Inputs!$B$20+Skills!Q2))/100)*(1+Inputs!$B$15/100)*(5000/(6000+Inputs!$B$7*(1-(Inputs!$B$18+0)/100)))*(1+(Inputs!$B$23+((C127=TRUE)*(F127-Calc!F22))+B136)/100)*(1+(IF(Skills!A2="HOOK_BOMBER",Inputs!$B$16+((C126=TRUE)*(F126-Calc!F21)),Inputs!$B$17+0))/100)*((1+(((C118=TRUE)*F118)+((C124=TRUE)*(F124-Calc!F19)))/100)*I107)</f>
        <v/>
      </c>
      <c r="L107">
        <f>K107*(MIN(Inputs!$B$21+((C125=TRUE)*(F125-Calc!F20)),Inputs!$B$22+0)/100+(Inputs!$B$22+0)/100)/2</f>
        <v/>
      </c>
      <c r="M107">
        <f>L107*(1+(Inputs!$B$9+0+B135)/100)</f>
        <v/>
      </c>
      <c r="N107">
        <f>L107*(1-MIN((Inputs!$B$8+((C121=TRUE)*(F121-Calc!F16))+B130),100)/100)+M107*(MIN((Inputs!$B$8+((C121=TRUE)*(F121-Calc!F16))+B130),100)/100)</f>
        <v/>
      </c>
      <c r="O107">
        <f>IF(C107,Skills!G2*N107*B134*IF(Inputs!$B$4="pvp",1,(1-Summary!$B$55)*(1)+Summary!$B$55*(MIN((6+Inputs!$B$32),Inputs!$B$37))),0)</f>
        <v/>
      </c>
      <c r="P107">
        <f>IF(B138=0,0,O107/B138)</f>
        <v/>
      </c>
      <c r="Q107" t="n">
        <v>0</v>
      </c>
      <c r="R107" t="n">
        <v>0</v>
      </c>
      <c r="S107">
        <f>IFERROR(O107/N107,0)</f>
        <v/>
      </c>
      <c r="U107">
        <f>MAX(0,(Inputs!$B$3-100)*3)+Inputs!$B$27+Inputs!$B$28</f>
        <v/>
      </c>
    </row>
    <row r="108">
      <c r="A108">
        <f>Skills!A3</f>
        <v/>
      </c>
      <c r="B108">
        <f>Skills!B3</f>
        <v/>
      </c>
      <c r="C108">
        <f>Inputs!$B$3&gt;=35</f>
        <v/>
      </c>
      <c r="D108">
        <f>IF(Skills!C3=1,60+Inputs!$B$24+Inputs!$B$28,IF(Skills!C3=2,90+Inputs!$B$25+Inputs!$B$28,IF(Skills!C3=3,120+Inputs!$B$26+Inputs!$B$28,MAX(0,(Inputs!$B$3-100)*3)+Inputs!$B$27+Inputs!$B$28)))</f>
        <v/>
      </c>
      <c r="E108">
        <f>INDEX(FactorTable!$B$2:$Y$301, MATCH(ROUND(MIN(300,MAX(1,D108)),0), FactorTable!$A$2:$A$301,0), Skills!M3+1)</f>
        <v/>
      </c>
      <c r="F108">
        <f>IF(Skills!N3=TRUE,(Skills!L3/10)*(E108/1000),Skills!L3/10)+Skills!O3</f>
        <v/>
      </c>
      <c r="G108">
        <f>Skills!G3*IF(Skills!H3&gt;0,Skills!I3/Skills!H3,1)</f>
        <v/>
      </c>
      <c r="H108">
        <f>1-(1-Skills!J3/100)^Skills!K3</f>
        <v/>
      </c>
      <c r="I108" t="inlineStr">
        <is>
          <t>1</t>
        </is>
      </c>
      <c r="J108">
        <f>(Inputs!$B$5*(1+Inputs!$B$6/100))*(F108/100)</f>
        <v/>
      </c>
      <c r="K108">
        <f>J108*(1+((Inputs!$B$11*(1+Inputs!$B$12/100))*0.01+(Inputs!$B$13+1)*0.0025)/100)*(1+Inputs!$B$14/100)*(1+IF(Inputs!$B$4="pvp",0,(1-Summary!$B$55)*(Inputs!$B$19+0+Skills!P3)+Summary!$B$55*(Inputs!$B$20+Skills!Q3))/100)*(1+Inputs!$B$15/100)*(5000/(6000+Inputs!$B$7*(1-(Inputs!$B$18+0)/100)))*(1+(Inputs!$B$23+((C127=TRUE)*(F127-Calc!F22))+B136)/100)*(1+(IF(Skills!A3="HOOK_BOMBER",Inputs!$B$16+((C126=TRUE)*(F126-Calc!F21)),Inputs!$B$17+0))/100)*((1+(((C118=TRUE)*F118)+((C124=TRUE)*(F124-Calc!F19)))/100)*I108)</f>
        <v/>
      </c>
      <c r="L108">
        <f>K108*(MIN(Inputs!$B$21+((C125=TRUE)*(F125-Calc!F20)),Inputs!$B$22+0)/100+(Inputs!$B$22+0)/100)/2</f>
        <v/>
      </c>
      <c r="M108">
        <f>L108*(1+(Inputs!$B$9+0+B135)/100)</f>
        <v/>
      </c>
      <c r="N108">
        <f>L108*(1-MIN((Inputs!$B$8+((C121=TRUE)*(F121-Calc!F16))+B130),100)/100)+M108*(MIN((Inputs!$B$8+((C121=TRUE)*(F121-Calc!F16))+B130),100)/100)</f>
        <v/>
      </c>
      <c r="O108">
        <f>IF(C108,Skills!G3*H108*N108*B134*IF(Inputs!$B$4="pvp",1,(1-Summary!$B$55)*(1)+Summary!$B$55*(MIN(Skills!R3,Inputs!$B$37))),0)</f>
        <v/>
      </c>
      <c r="P108">
        <f>IF(B138=0,0,O108/B138)</f>
        <v/>
      </c>
      <c r="Q108" t="n">
        <v>0</v>
      </c>
      <c r="R108" t="n">
        <v>0</v>
      </c>
      <c r="S108">
        <f>IFERROR(O108/N108,0)</f>
        <v/>
      </c>
      <c r="U108">
        <f>INDEX(FactorTable!$B$2:$Y$301, MATCH(ROUND(MIN(300,MAX(1,U107)),0), FactorTable!$A$2:$A$301,0), 22)</f>
        <v/>
      </c>
    </row>
    <row r="109">
      <c r="A109">
        <f>Skills!A4</f>
        <v/>
      </c>
      <c r="B109">
        <f>Skills!B4</f>
        <v/>
      </c>
      <c r="C109">
        <f>Inputs!$B$3&gt;=60</f>
        <v/>
      </c>
      <c r="D109">
        <f>IF(Skills!C4=1,60+Inputs!$B$24+Inputs!$B$28,IF(Skills!C4=2,90+Inputs!$B$25+Inputs!$B$28,IF(Skills!C4=3,120+Inputs!$B$26+Inputs!$B$28,MAX(0,(Inputs!$B$3-100)*3)+Inputs!$B$27+Inputs!$B$28)))</f>
        <v/>
      </c>
      <c r="E109">
        <f>INDEX(FactorTable!$B$2:$Y$301, MATCH(ROUND(MIN(300,MAX(1,D109)),0), FactorTable!$A$2:$A$301,0), Skills!M4+1)</f>
        <v/>
      </c>
      <c r="F109">
        <f>IF(Skills!N4=TRUE,(Skills!L4/10)*(E109/1000),Skills!L4/10)+Skills!O4</f>
        <v/>
      </c>
      <c r="G109">
        <f>Skills!G4*IF(Skills!H4&gt;0,Skills!I4/Skills!H4,1)</f>
        <v/>
      </c>
      <c r="H109">
        <f>1-(1-Skills!J4/100)^Skills!K4</f>
        <v/>
      </c>
      <c r="I109" t="inlineStr">
        <is>
          <t>1</t>
        </is>
      </c>
      <c r="J109">
        <f>(Inputs!$B$5*(1+Inputs!$B$6/100))*(F109/100)</f>
        <v/>
      </c>
      <c r="K109">
        <f>J109*(1+((Inputs!$B$11*(1+Inputs!$B$12/100))*0.01+(Inputs!$B$13+1)*0.0025)/100)*(1+Inputs!$B$14/100)*(1+IF(Inputs!$B$4="pvp",0,(1-Summary!$B$55)*(Inputs!$B$19+0+Skills!P4)+Summary!$B$55*(Inputs!$B$20+Skills!Q4))/100)*(1+Inputs!$B$15/100)*(5000/(6000+Inputs!$B$7*(1-(Inputs!$B$18+0)/100)))*(1+(Inputs!$B$23+((C127=TRUE)*(F127-Calc!F22))+B136)/100)*(1+1.0*IF(C117=TRUE,F117,0)/100)*(1+(IF(Skills!A4="HOOK_BOMBER",Inputs!$B$16+((C126=TRUE)*(F126-Calc!F21)),Inputs!$B$17+0))/100)*((1+(((C118=TRUE)*F118)+((C124=TRUE)*(F124-Calc!F19)))/100)*I109)</f>
        <v/>
      </c>
      <c r="L109">
        <f>K109*(MIN(Inputs!$B$21+((C125=TRUE)*(F125-Calc!F20)),Inputs!$B$22+0)/100+(Inputs!$B$22+0)/100)/2</f>
        <v/>
      </c>
      <c r="M109">
        <f>L109*(1+(Inputs!$B$9+0+B135)/100)</f>
        <v/>
      </c>
      <c r="N109">
        <f>L109*(1-MIN((Inputs!$B$8+((C121=TRUE)*(F121-Calc!F16))+B130),100)/100)+M109*(MIN((Inputs!$B$8+((C121=TRUE)*(F121-Calc!F16))+B130),100)/100)</f>
        <v/>
      </c>
      <c r="O109">
        <f>IF(C109,Skills!G4*H109*N109*B134*IF(Inputs!$B$4="pvp",1,(1-Summary!$B$55)*(1)+Summary!$B$55*(MIN(Skills!R4,Inputs!$B$37))),0)</f>
        <v/>
      </c>
      <c r="P109">
        <f>IF(B138=0,0,O109/B138)</f>
        <v/>
      </c>
      <c r="Q109" t="n">
        <v>0</v>
      </c>
      <c r="R109" t="n">
        <v>0</v>
      </c>
      <c r="S109">
        <f>IFERROR(O109/N109,0)</f>
        <v/>
      </c>
      <c r="U109">
        <f>290*U108/1000</f>
        <v/>
      </c>
    </row>
    <row r="110">
      <c r="A110">
        <f>Skills!A5</f>
        <v/>
      </c>
      <c r="B110">
        <f>Skills!B5</f>
        <v/>
      </c>
      <c r="C110">
        <f>Inputs!$B$3&gt;=60</f>
        <v/>
      </c>
      <c r="D110">
        <f>IF(Skills!C5=1,60+Inputs!$B$24+Inputs!$B$28,IF(Skills!C5=2,90+Inputs!$B$25+Inputs!$B$28,IF(Skills!C5=3,120+Inputs!$B$26+Inputs!$B$28,MAX(0,(Inputs!$B$3-100)*3)+Inputs!$B$27+Inputs!$B$28)))</f>
        <v/>
      </c>
      <c r="E110">
        <f>INDEX(FactorTable!$B$2:$Y$301, MATCH(ROUND(MIN(300,MAX(1,D110)),0), FactorTable!$A$2:$A$301,0), Skills!M5+1)</f>
        <v/>
      </c>
      <c r="F110">
        <f>IF(Skills!N5=TRUE,(Skills!L5/10)*(E110/1000),Skills!L5/10)+Skills!O5</f>
        <v/>
      </c>
      <c r="G110">
        <f>Skills!G5*IF(Skills!H5&gt;0,Skills!I5/Skills!H5,1)</f>
        <v/>
      </c>
      <c r="H110">
        <f>1-(1-Skills!J5/100)^Skills!K5</f>
        <v/>
      </c>
      <c r="I110" t="inlineStr">
        <is>
          <t>1</t>
        </is>
      </c>
      <c r="J110" t="inlineStr"/>
      <c r="K110" t="inlineStr"/>
      <c r="L110" t="inlineStr"/>
      <c r="M110" t="inlineStr"/>
      <c r="N110" t="inlineStr"/>
      <c r="O110" t="n">
        <v>0</v>
      </c>
      <c r="P110">
        <f>IF(B138=0,0,O110/B138)</f>
        <v/>
      </c>
      <c r="Q110" t="n">
        <v>0</v>
      </c>
      <c r="R110" t="n">
        <v>0</v>
      </c>
      <c r="S110">
        <f>IFERROR(O110/N110,0)</f>
        <v/>
      </c>
    </row>
    <row r="111">
      <c r="A111">
        <f>Skills!A6</f>
        <v/>
      </c>
      <c r="B111">
        <f>Skills!B6</f>
        <v/>
      </c>
      <c r="C111">
        <f>Inputs!$B$3&gt;=63</f>
        <v/>
      </c>
      <c r="D111">
        <f>IF(Skills!C6=1,60+Inputs!$B$24+Inputs!$B$28,IF(Skills!C6=2,90+Inputs!$B$25+Inputs!$B$28,IF(Skills!C6=3,120+Inputs!$B$26+Inputs!$B$28,MAX(0,(Inputs!$B$3-100)*3)+Inputs!$B$27+Inputs!$B$28)))</f>
        <v/>
      </c>
      <c r="E111">
        <f>INDEX(FactorTable!$B$2:$Y$301, MATCH(ROUND(MIN(300,MAX(1,D111)),0), FactorTable!$A$2:$A$301,0), Skills!M6+1)</f>
        <v/>
      </c>
      <c r="F111">
        <f>IF(Skills!N6=TRUE,(Skills!L6/10)*(E111/1000),Skills!L6/10)+Skills!O6</f>
        <v/>
      </c>
      <c r="G111">
        <f>Skills!G6*IF(Skills!H6&gt;0,Skills!I6/Skills!H6,1)</f>
        <v/>
      </c>
      <c r="H111">
        <f>1-(1-Skills!J6/100)^Skills!K6</f>
        <v/>
      </c>
      <c r="I111" t="inlineStr">
        <is>
          <t>1</t>
        </is>
      </c>
      <c r="J111">
        <f>(Inputs!$B$5*(1+Inputs!$B$6/100))*(F111/100)</f>
        <v/>
      </c>
      <c r="K111">
        <f>J111*(1+((Inputs!$B$11*(1+Inputs!$B$12/100))*0.01+(Inputs!$B$13+1)*0.0025)/100)*(1+Inputs!$B$14/100)*(1+IF(Inputs!$B$4="pvp",0,(1-Summary!$B$55)*(Inputs!$B$19+0+Skills!P6)+Summary!$B$55*(Inputs!$B$20+Skills!Q6))/100)*(1+Inputs!$B$15/100)*(5000/(6000+Inputs!$B$7*(1-(Inputs!$B$18+0)/100)))*(1+(Inputs!$B$23+((C127=TRUE)*(F127-Calc!F22))+B136)/100)*(1+(IF(Skills!A6="HOOK_BOMBER",Inputs!$B$16+((C126=TRUE)*(F126-Calc!F21)),Inputs!$B$17+0))/100)*((1+(((C118=TRUE)*F118)+((C124=TRUE)*(F124-Calc!F19)))/100)*I111)</f>
        <v/>
      </c>
      <c r="L111">
        <f>K111*(MIN(Inputs!$B$21+((C125=TRUE)*(F125-Calc!F20)),Inputs!$B$22+0)/100+(Inputs!$B$22+0)/100)/2</f>
        <v/>
      </c>
      <c r="M111">
        <f>L111*(1+(Inputs!$B$9+0+B135)/100)</f>
        <v/>
      </c>
      <c r="N111">
        <f>L111*(1-MIN((Inputs!$B$8+((C121=TRUE)*(F121-Calc!F16))+B130),100)/100)+M111*(MIN((Inputs!$B$8+((C121=TRUE)*(F121-Calc!F16))+B130),100)/100)</f>
        <v/>
      </c>
      <c r="O111">
        <f>IF(C111,H111*N111*IF(AND(Inputs!$B$4&lt;&gt;"pvp",Inputs!$B$35&gt;0),((Skills!G6*((R111-1)*IF(Skills!H6&gt;0,Skills!I6/Skills!H6,1)+IF(Skills!H6&gt;0,MIN(Skills!I6,MAX(0,Inputs!$B$35-((R111-1)*IF(Inputs!$B$4="pvp",15,MAX(0.1,Skills!D6-IF(Skills!E6=TRUE,Inputs!$B$31,0))))))/Skills!H6,1)))/Inputs!$B$35),G111*Q111)*IF(Inputs!$B$4="pvp",1,(1-Summary!$B$55)*(1)+Summary!$B$55*(MIN(Skills!R6,Inputs!$B$37))),0)</f>
        <v/>
      </c>
      <c r="P111">
        <f>IF(B138=0,0,O111/B138)</f>
        <v/>
      </c>
      <c r="Q111">
        <f>IFERROR(1/IF(Inputs!$B$4="pvp",15,MAX(0.1,Skills!D6-IF(Skills!E6=TRUE,Inputs!$B$31,0))),0)</f>
        <v/>
      </c>
      <c r="R111">
        <f>IF(AND(Inputs!$B$4&lt;&gt;"pvp",Inputs!$B$35&gt;0),(INT(Inputs!$B$35/IF(Inputs!$B$4="pvp",15,MAX(0.1,Skills!D6-IF(Skills!E6=TRUE,Inputs!$B$31,0))))+1),0)</f>
        <v/>
      </c>
      <c r="S111">
        <f>IFERROR(O111/N111,0)</f>
        <v/>
      </c>
    </row>
    <row r="112">
      <c r="A112">
        <f>Skills!A7</f>
        <v/>
      </c>
      <c r="B112">
        <f>Skills!B7</f>
        <v/>
      </c>
      <c r="C112">
        <f>Inputs!$B$3&gt;=100</f>
        <v/>
      </c>
      <c r="D112">
        <f>IF(Skills!C7=1,60+Inputs!$B$24+Inputs!$B$28,IF(Skills!C7=2,90+Inputs!$B$25+Inputs!$B$28,IF(Skills!C7=3,120+Inputs!$B$26+Inputs!$B$28,MAX(0,(Inputs!$B$3-100)*3)+Inputs!$B$27+Inputs!$B$28)))</f>
        <v/>
      </c>
      <c r="E112">
        <f>INDEX(FactorTable!$B$2:$Y$301, MATCH(ROUND(MIN(300,MAX(1,D112)),0), FactorTable!$A$2:$A$301,0), Skills!M7+1)</f>
        <v/>
      </c>
      <c r="F112">
        <f>IF(Skills!N7=TRUE,(Skills!L7/10)*(E112/1000),Skills!L7/10)+Skills!O7</f>
        <v/>
      </c>
      <c r="G112">
        <f>Skills!G7*IF(Skills!H7&gt;0,Skills!I7/Skills!H7,1)</f>
        <v/>
      </c>
      <c r="H112">
        <f>1-(1-Skills!J7/100)^Skills!K7</f>
        <v/>
      </c>
      <c r="I112" t="inlineStr">
        <is>
          <t>1</t>
        </is>
      </c>
      <c r="J112">
        <f>(Inputs!$B$5*(1+Inputs!$B$6/100))*(F112/100)</f>
        <v/>
      </c>
      <c r="K112">
        <f>J112*(1+((Inputs!$B$11*(1+Inputs!$B$12/100))*0.01+(Inputs!$B$13+1)*0.0025)/100)*(1+Inputs!$B$14/100)*(1+IF(Inputs!$B$4="pvp",0,(1-Summary!$B$55)*(Inputs!$B$19+0+Skills!P7)+Summary!$B$55*(Inputs!$B$20+Skills!Q7))/100)*(1+Inputs!$B$15/100)*(5000/(6000+Inputs!$B$7*(1-(Inputs!$B$18+0)/100)))*(1+(Inputs!$B$23+((C127=TRUE)*(F127-Calc!F22))+B136)/100)*(1+(IF(Skills!A7="HOOK_BOMBER",Inputs!$B$16+((C126=TRUE)*(F126-Calc!F21)),Inputs!$B$17+0))/100)*((1+(((C118=TRUE)*F118)+((C124=TRUE)*(F124-Calc!F19)))/100)*I112)</f>
        <v/>
      </c>
      <c r="L112">
        <f>K112*(MIN(Inputs!$B$21+((C125=TRUE)*(F125-Calc!F20)),Inputs!$B$22+0)/100+(Inputs!$B$22+0)/100)/2</f>
        <v/>
      </c>
      <c r="M112">
        <f>L112*(1+(Inputs!$B$9+0+B135)/100)</f>
        <v/>
      </c>
      <c r="N112">
        <f>L112*(1-MIN((Inputs!$B$8+((C121=TRUE)*(F121-Calc!F16))+B130),100)/100)+M112*(MIN((Inputs!$B$8+((C121=TRUE)*(F121-Calc!F16))+B130),100)/100)</f>
        <v/>
      </c>
      <c r="O112">
        <f>IF(C112,H112*N112*IF(AND(Inputs!$B$4&lt;&gt;"pvp",Inputs!$B$35&gt;0),((Skills!G7*((R112-1)*IF(Skills!H7&gt;0,Skills!I7/Skills!H7,1)+IF(Skills!H7&gt;0,MIN(Skills!I7,MAX(0,Inputs!$B$35-((R112-1)*IF(Inputs!$B$4="pvp",15,MAX(0.1,Skills!D7-IF(Skills!E7=TRUE,Inputs!$B$31,0))))))/Skills!H7,1)))/Inputs!$B$35),G112*Q112)*IF(Inputs!$B$4="pvp",1,(1-Summary!$B$55)*(1)+Summary!$B$55*(MIN(Skills!R7,Inputs!$B$37))),0)</f>
        <v/>
      </c>
      <c r="P112">
        <f>IF(B138=0,0,O112/B138)</f>
        <v/>
      </c>
      <c r="Q112">
        <f>IFERROR(1/IF(Inputs!$B$4="pvp",15,MAX(0.1,Skills!D7-IF(Skills!E7=TRUE,Inputs!$B$31,0))),0)</f>
        <v/>
      </c>
      <c r="R112">
        <f>IF(AND(Inputs!$B$4&lt;&gt;"pvp",Inputs!$B$35&gt;0),(INT(Inputs!$B$35/IF(Inputs!$B$4="pvp",15,MAX(0.1,Skills!D7-IF(Skills!E7=TRUE,Inputs!$B$31,0))))+1),0)</f>
        <v/>
      </c>
      <c r="S112">
        <f>IFERROR(O112/N112,0)</f>
        <v/>
      </c>
    </row>
    <row r="113">
      <c r="A113">
        <f>Skills!A8</f>
        <v/>
      </c>
      <c r="B113">
        <f>Skills!B8</f>
        <v/>
      </c>
      <c r="C113">
        <f>Inputs!$B$3&gt;=110</f>
        <v/>
      </c>
      <c r="D113">
        <f>IF(Skills!C8=1,60+Inputs!$B$24+Inputs!$B$28,IF(Skills!C8=2,90+Inputs!$B$25+Inputs!$B$28,IF(Skills!C8=3,120+Inputs!$B$26+Inputs!$B$28,MAX(0,(Inputs!$B$3-100)*3)+Inputs!$B$27+Inputs!$B$28)))</f>
        <v/>
      </c>
      <c r="E113">
        <f>INDEX(FactorTable!$B$2:$Y$301, MATCH(ROUND(MIN(300,MAX(1,D113)),0), FactorTable!$A$2:$A$301,0), Skills!M8+1)</f>
        <v/>
      </c>
      <c r="F113">
        <f>IF(Skills!N8=TRUE,(Skills!L8/10)*(E113/1000),Skills!L8/10)+Skills!O8</f>
        <v/>
      </c>
      <c r="G113">
        <f>Skills!G8*IF(Skills!H8&gt;0,Skills!I8/Skills!H8,1)</f>
        <v/>
      </c>
      <c r="H113">
        <f>1-(1-Skills!J8/100)^Skills!K8</f>
        <v/>
      </c>
      <c r="I113" t="inlineStr">
        <is>
          <t>1</t>
        </is>
      </c>
      <c r="J113">
        <f>(Inputs!$B$5*(1+Inputs!$B$6/100))*(F113/100)</f>
        <v/>
      </c>
      <c r="K113">
        <f>J113*(1+((Inputs!$B$11*(1+Inputs!$B$12/100))*0.01+(Inputs!$B$13+1)*0.0025)/100)*(1+Inputs!$B$14/100)*(1+IF(Inputs!$B$4="pvp",0,(1-Summary!$B$55)*(Inputs!$B$19+0+Skills!P8)+Summary!$B$55*(Inputs!$B$20+Skills!Q8))/100)*(1+Inputs!$B$15/100)*(5000/(6000+Inputs!$B$7*(1-(Inputs!$B$18+0)/100)))*(1+(Inputs!$B$23+((C127=TRUE)*(F127-Calc!F22))+B136)/100)*(1+(IF(Skills!A8="HOOK_BOMBER",Inputs!$B$16+((C126=TRUE)*(F126-Calc!F21)),Inputs!$B$17+0))/100)*((1+(((C118=TRUE)*F118)+((C124=TRUE)*(F124-Calc!F19)))/100)*I113)</f>
        <v/>
      </c>
      <c r="L113">
        <f>K113*(MIN(Inputs!$B$21+((C125=TRUE)*(F125-Calc!F20)),Inputs!$B$22+0)/100+(Inputs!$B$22+0)/100)/2</f>
        <v/>
      </c>
      <c r="M113">
        <f>L113*(1+(Inputs!$B$9+0+B135)/100)</f>
        <v/>
      </c>
      <c r="N113">
        <f>L113*(1-MIN((Inputs!$B$8+((C121=TRUE)*(F121-Calc!F16))+B130),100)/100)+M113*(MIN((Inputs!$B$8+((C121=TRUE)*(F121-Calc!F16))+B130),100)/100)</f>
        <v/>
      </c>
      <c r="O113">
        <f>IF(C113,H113*N113*IF(AND(Inputs!$B$4&lt;&gt;"pvp",Inputs!$B$35&gt;0),((Skills!G8*((R113-1)*IF(Skills!H8&gt;0,Skills!I8/Skills!H8,1)+IF(Skills!H8&gt;0,MIN(Skills!I8,MAX(0,Inputs!$B$35-((R113-1)*IF(Inputs!$B$4="pvp",15,MAX(0.1,Skills!D8-IF(Skills!E8=TRUE,Inputs!$B$31,0))))))/Skills!H8,1)))/Inputs!$B$35),G113*Q113)*IF(Inputs!$B$4="pvp",1,(1-Summary!$B$55)*(1)+Summary!$B$55*(MIN(Skills!R8,Inputs!$B$37))),0)</f>
        <v/>
      </c>
      <c r="P113">
        <f>IF(B138=0,0,O113/B138)</f>
        <v/>
      </c>
      <c r="Q113">
        <f>IFERROR(1/IF(Inputs!$B$4="pvp",15,MAX(0.1,Skills!D8-IF(Skills!E8=TRUE,Inputs!$B$31,0))),0)</f>
        <v/>
      </c>
      <c r="R113">
        <f>IF(AND(Inputs!$B$4&lt;&gt;"pvp",Inputs!$B$35&gt;0),(INT(Inputs!$B$35/IF(Inputs!$B$4="pvp",15,MAX(0.1,Skills!D8-IF(Skills!E8=TRUE,Inputs!$B$31,0))))+1),0)</f>
        <v/>
      </c>
      <c r="S113">
        <f>IFERROR(O113/N113,0)</f>
        <v/>
      </c>
    </row>
    <row r="114">
      <c r="A114">
        <f>Skills!A9</f>
        <v/>
      </c>
      <c r="B114">
        <f>Skills!B9</f>
        <v/>
      </c>
      <c r="C114">
        <f>Inputs!$B$3&gt;=110</f>
        <v/>
      </c>
      <c r="D114">
        <f>IF(Skills!C9=1,60+Inputs!$B$24+Inputs!$B$28,IF(Skills!C9=2,90+Inputs!$B$25+Inputs!$B$28,IF(Skills!C9=3,120+Inputs!$B$26+Inputs!$B$28,MAX(0,(Inputs!$B$3-100)*3)+Inputs!$B$27+Inputs!$B$28)))</f>
        <v/>
      </c>
      <c r="E114">
        <f>INDEX(FactorTable!$B$2:$Y$301, MATCH(ROUND(MIN(300,MAX(1,D114)),0), FactorTable!$A$2:$A$301,0), Skills!M9+1)</f>
        <v/>
      </c>
      <c r="F114">
        <f>IF(Skills!N9=TRUE,(Skills!L9/10)*(E114/1000),Skills!L9/10)+Skills!O9</f>
        <v/>
      </c>
      <c r="G114">
        <f>Skills!G9*IF(Skills!H9&gt;0,Skills!I9/Skills!H9,1)</f>
        <v/>
      </c>
      <c r="H114">
        <f>1-(1-Skills!J9/100)^Skills!K9</f>
        <v/>
      </c>
      <c r="I114" t="inlineStr">
        <is>
          <t>1</t>
        </is>
      </c>
      <c r="J114">
        <f>(Inputs!$B$5*(1+Inputs!$B$6/100))*(F114/100)</f>
        <v/>
      </c>
      <c r="K114">
        <f>J114*(1+((Inputs!$B$11*(1+Inputs!$B$12/100))*0.01+(Inputs!$B$13+1)*0.0025)/100)*(1+Inputs!$B$14/100)*(1+IF(Inputs!$B$4="pvp",0,(1-Summary!$B$55)*(Inputs!$B$19+0+Skills!P9)+Summary!$B$55*(Inputs!$B$20+Skills!Q9))/100)*(1+Inputs!$B$15/100)*(5000/(6000+Inputs!$B$7*(1-(Inputs!$B$18+0)/100)))*(1+(Inputs!$B$23+((C127=TRUE)*(F127-Calc!F22))+B136)/100)*(1+(IF(Skills!A9="HOOK_BOMBER",Inputs!$B$16+((C126=TRUE)*(F126-Calc!F21)),Inputs!$B$17+0))/100)*((1+(((C118=TRUE)*F118)+((C124=TRUE)*(F124-Calc!F19)))/100)*I114)</f>
        <v/>
      </c>
      <c r="L114">
        <f>K114*(MIN(Inputs!$B$21+((C125=TRUE)*(F125-Calc!F20)),Inputs!$B$22+0)/100+(Inputs!$B$22+0)/100)/2</f>
        <v/>
      </c>
      <c r="M114">
        <f>L114*(1+(Inputs!$B$9+0+B135)/100)</f>
        <v/>
      </c>
      <c r="N114">
        <f>L114*(1-MIN((Inputs!$B$8+((C121=TRUE)*(F121-Calc!F16))+B130),100)/100)+M114*(MIN((Inputs!$B$8+((C121=TRUE)*(F121-Calc!F16))+B130),100)/100)</f>
        <v/>
      </c>
      <c r="O114">
        <f>IF(C114,H114*N114*IF(AND(Inputs!$B$4&lt;&gt;"pvp",Inputs!$B$35&gt;0),((Skills!G9*((R114-1)*IF(Skills!H9&gt;0,Skills!I9/Skills!H9,1)+IF(Skills!H9&gt;0,MIN(Skills!I9,MAX(0,Inputs!$B$35-((R114-1)*IF(Inputs!$B$4="pvp",15,MAX(0.1,Skills!D9-IF(Skills!E9=TRUE,Inputs!$B$31,0))))))/Skills!H9,1)))/Inputs!$B$35),G114*Q114)*IF(Inputs!$B$4="pvp",1,(1-Summary!$B$55)*(1)+Summary!$B$55*(MIN(Skills!R9,Inputs!$B$37))),0)</f>
        <v/>
      </c>
      <c r="P114">
        <f>IF(B138=0,0,O114/B138)</f>
        <v/>
      </c>
      <c r="Q114">
        <f>IFERROR(1/IF(Inputs!$B$4="pvp",15,MAX(0.1,Skills!D9-IF(Skills!E9=TRUE,Inputs!$B$31,0))),0)</f>
        <v/>
      </c>
      <c r="R114">
        <f>IF(AND(Inputs!$B$4&lt;&gt;"pvp",Inputs!$B$35&gt;0),(INT(Inputs!$B$35/IF(Inputs!$B$4="pvp",15,MAX(0.1,Skills!D9-IF(Skills!E9=TRUE,Inputs!$B$31,0))))+1),0)</f>
        <v/>
      </c>
      <c r="S114">
        <f>IFERROR(O114/N114,0)</f>
        <v/>
      </c>
    </row>
    <row r="115">
      <c r="A115">
        <f>Skills!A10</f>
        <v/>
      </c>
      <c r="B115">
        <f>Skills!B10</f>
        <v/>
      </c>
      <c r="C115">
        <f>Inputs!$B$3&gt;=103</f>
        <v/>
      </c>
      <c r="D115">
        <f>IF(Skills!C10=1,60+Inputs!$B$24+Inputs!$B$28,IF(Skills!C10=2,90+Inputs!$B$25+Inputs!$B$28,IF(Skills!C10=3,120+Inputs!$B$26+Inputs!$B$28,MAX(0,(Inputs!$B$3-100)*3)+Inputs!$B$27+Inputs!$B$28)))</f>
        <v/>
      </c>
      <c r="E115">
        <f>INDEX(FactorTable!$B$2:$Y$301, MATCH(ROUND(MIN(300,MAX(1,D115)),0), FactorTable!$A$2:$A$301,0), Skills!M10+1)</f>
        <v/>
      </c>
      <c r="F115">
        <f>IF(Skills!N10=TRUE,(Skills!L10/10)*(E115/1000),Skills!L10/10)+Skills!O10</f>
        <v/>
      </c>
      <c r="G115">
        <f>Skills!G10*IF(Skills!H10&gt;0,Skills!I10/Skills!H10,1)</f>
        <v/>
      </c>
      <c r="H115">
        <f>1-(1-Skills!J10/100)^Skills!K10</f>
        <v/>
      </c>
      <c r="I115" t="inlineStr">
        <is>
          <t>1</t>
        </is>
      </c>
      <c r="J115">
        <f>(Inputs!$B$5*(1+Inputs!$B$6/100))*(F115/100)</f>
        <v/>
      </c>
      <c r="K115">
        <f>J115*(1+((Inputs!$B$11*(1+Inputs!$B$12/100))*0.01+(Inputs!$B$13+1)*0.0025)/100)*(1+Inputs!$B$14/100)*(1+IF(Inputs!$B$4="pvp",0,(1-Summary!$B$55)*(Inputs!$B$19+0+Skills!P10)+Summary!$B$55*(Inputs!$B$20+Skills!Q10))/100)*(1+Inputs!$B$15/100)*(5000/(6000+Inputs!$B$7*(1-(Inputs!$B$18+0)/100)))*(1+(Inputs!$B$23+((C127=TRUE)*(F127-Calc!F22))+B136)/100)*(1+(IF(Skills!A10="HOOK_BOMBER",Inputs!$B$16+((C126=TRUE)*(F126-Calc!F21)),Inputs!$B$17+0))/100)*((1+(((C118=TRUE)*F118)+((C124=TRUE)*(F124-Calc!F19)))/100)*I115)</f>
        <v/>
      </c>
      <c r="L115">
        <f>K115*(MIN(Inputs!$B$21+((C125=TRUE)*(F125-Calc!F20)),Inputs!$B$22+0)/100+(Inputs!$B$22+0)/100)/2</f>
        <v/>
      </c>
      <c r="M115">
        <f>L115*(1+(Inputs!$B$9+0+B135)/100)</f>
        <v/>
      </c>
      <c r="N115">
        <f>L115*(1-MIN((Inputs!$B$8+((C121=TRUE)*(F121-Calc!F16))+B130),100)/100)+M115*(MIN((Inputs!$B$8+((C121=TRUE)*(F121-Calc!F16))+B130),100)/100)</f>
        <v/>
      </c>
      <c r="O115">
        <f>IF(C115,H115*N115*IF(AND(Inputs!$B$4&lt;&gt;"pvp",Inputs!$B$35&gt;0),((Skills!G10*((R115-1)*IF(Skills!H10&gt;0,Skills!I10/Skills!H10,1)+IF(Skills!H10&gt;0,MIN(Skills!I10,MAX(0,Inputs!$B$35-((R115-1)*IF(Inputs!$B$4="pvp",15,MAX(0.1,Skills!D10-IF(Skills!E10=TRUE,Inputs!$B$31,0))))))/Skills!H10,1)))/Inputs!$B$35),G115*Q115)*IF(Inputs!$B$4="pvp",1,(1-Summary!$B$55)*(1)+Summary!$B$55*(MIN(Skills!R10,Inputs!$B$37))),0)</f>
        <v/>
      </c>
      <c r="P115">
        <f>IF(B138=0,0,O115/B138)</f>
        <v/>
      </c>
      <c r="Q115">
        <f>IFERROR(1/IF(Inputs!$B$4="pvp",15,MAX(0.1,Skills!D10-IF(Skills!E10=TRUE,Inputs!$B$31,0))),0)</f>
        <v/>
      </c>
      <c r="R115">
        <f>IF(AND(Inputs!$B$4&lt;&gt;"pvp",Inputs!$B$35&gt;0),(INT(Inputs!$B$35/IF(Inputs!$B$4="pvp",15,MAX(0.1,Skills!D10-IF(Skills!E10=TRUE,Inputs!$B$31,0))))+1),0)</f>
        <v/>
      </c>
      <c r="S115">
        <f>IFERROR(O115/N115,0)</f>
        <v/>
      </c>
    </row>
    <row r="116">
      <c r="A116">
        <f>Skills!A11</f>
        <v/>
      </c>
      <c r="B116">
        <f>Skills!B11</f>
        <v/>
      </c>
      <c r="C116">
        <f>Inputs!$B$3&gt;=113</f>
        <v/>
      </c>
      <c r="D116">
        <f>IF(Skills!C11=1,60+Inputs!$B$24+Inputs!$B$28,IF(Skills!C11=2,90+Inputs!$B$25+Inputs!$B$28,IF(Skills!C11=3,120+Inputs!$B$26+Inputs!$B$28,MAX(0,(Inputs!$B$3-100)*3)+Inputs!$B$27+Inputs!$B$28)))</f>
        <v/>
      </c>
      <c r="E116">
        <f>INDEX(FactorTable!$B$2:$Y$301, MATCH(ROUND(MIN(300,MAX(1,D116)),0), FactorTable!$A$2:$A$301,0), Skills!M11+1)</f>
        <v/>
      </c>
      <c r="F116">
        <f>IF(Skills!N11=TRUE,(Skills!L11/10)*(E116/1000),Skills!L11/10)+Skills!O11</f>
        <v/>
      </c>
      <c r="G116">
        <f>Skills!G11*IF(Skills!H11&gt;0,Skills!I11/Skills!H11,1)</f>
        <v/>
      </c>
      <c r="H116">
        <f>1-(1-Skills!J11/100)^Skills!K11</f>
        <v/>
      </c>
      <c r="I116" t="inlineStr">
        <is>
          <t>1</t>
        </is>
      </c>
      <c r="J116">
        <f>(Inputs!$B$5*(1+Inputs!$B$6/100))*(F116/100)</f>
        <v/>
      </c>
      <c r="K116">
        <f>J116*(1+((Inputs!$B$11*(1+Inputs!$B$12/100))*0.01+(Inputs!$B$13+1)*0.0025)/100)*(1+Inputs!$B$14/100)*(1+IF(Inputs!$B$4="pvp",0,(1-Summary!$B$55)*(Inputs!$B$19+0+Skills!P11)+Summary!$B$55*(Inputs!$B$20+Skills!Q11))/100)*(1+Inputs!$B$15/100)*(5000/(6000+Inputs!$B$7*(1-(Inputs!$B$18+0)/100)))*(1+(Inputs!$B$23+((C127=TRUE)*(F127-Calc!F22))+B136)/100)*(1+(IF(Skills!A11="HOOK_BOMBER",Inputs!$B$16+((C126=TRUE)*(F126-Calc!F21)),Inputs!$B$17+0))/100)*((1+(((C118=TRUE)*F118)+((C124=TRUE)*(F124-Calc!F19)))/100)*I116)</f>
        <v/>
      </c>
      <c r="L116">
        <f>K116*(MIN(Inputs!$B$21+((C125=TRUE)*(F125-Calc!F20)),Inputs!$B$22+0)/100+(Inputs!$B$22+0)/100)/2</f>
        <v/>
      </c>
      <c r="M116">
        <f>L116*(1+(Inputs!$B$9+0+B135)/100)</f>
        <v/>
      </c>
      <c r="N116">
        <f>L116*(1-MIN((Inputs!$B$8+((C121=TRUE)*(F121-Calc!F16))+B130),100)/100)+M116*(MIN((Inputs!$B$8+((C121=TRUE)*(F121-Calc!F16))+B130),100)/100)</f>
        <v/>
      </c>
      <c r="O116">
        <f>IF(C116,H116*N116*IF(AND(Inputs!$B$4&lt;&gt;"pvp",Inputs!$B$35&gt;0),((Skills!G11*((R116-1)*IF(Skills!H11&gt;0,Skills!I11/Skills!H11,1)+IF(Skills!H11&gt;0,MIN(Skills!I11,MAX(0,Inputs!$B$35-((R116-1)*IF(Inputs!$B$4="pvp",15,MAX(0.1,Skills!D11-IF(Skills!E11=TRUE,Inputs!$B$31,0))))))/Skills!H11,1)))/Inputs!$B$35),G116*Q116)*IF(Inputs!$B$4="pvp",1,(1-Summary!$B$55)*(1)+Summary!$B$55*(MIN(Skills!R11,Inputs!$B$37))),0)</f>
        <v/>
      </c>
      <c r="P116">
        <f>IF(B138=0,0,O116/B138)</f>
        <v/>
      </c>
      <c r="Q116">
        <f>IFERROR(1/IF(Inputs!$B$4="pvp",15,MAX(0.1,Skills!D11-IF(Skills!E11=TRUE,Inputs!$B$31,0))),0)</f>
        <v/>
      </c>
      <c r="R116">
        <f>IF(AND(Inputs!$B$4&lt;&gt;"pvp",Inputs!$B$35&gt;0),(INT(Inputs!$B$35/IF(Inputs!$B$4="pvp",15,MAX(0.1,Skills!D11-IF(Skills!E11=TRUE,Inputs!$B$31,0))))+1),0)</f>
        <v/>
      </c>
      <c r="S116">
        <f>IFERROR(O116/N116,0)</f>
        <v/>
      </c>
    </row>
    <row r="117">
      <c r="A117">
        <f>Skills!A12</f>
        <v/>
      </c>
      <c r="B117">
        <f>Skills!B12</f>
        <v/>
      </c>
      <c r="C117">
        <f>Inputs!$B$3&gt;=100</f>
        <v/>
      </c>
      <c r="D117">
        <f>IF(Skills!C12=1,60+Inputs!$B$24+Inputs!$B$28,IF(Skills!C12=2,90+Inputs!$B$25+Inputs!$B$28,IF(Skills!C12=3,120+Inputs!$B$26+Inputs!$B$28,MAX(0,(Inputs!$B$3-100)*3)+Inputs!$B$27+Inputs!$B$28)))</f>
        <v/>
      </c>
      <c r="E117">
        <f>INDEX(FactorTable!$B$2:$Y$301, MATCH(ROUND(MIN(300,MAX(1,D117)),0), FactorTable!$A$2:$A$301,0), Skills!M12+1)</f>
        <v/>
      </c>
      <c r="F117">
        <f>IF(Skills!N12=TRUE,(Skills!L12/10)*(E117/1000),Skills!L12/10)+Skills!O12</f>
        <v/>
      </c>
      <c r="G117" t="inlineStr"/>
      <c r="H117" t="inlineStr"/>
      <c r="I117" t="inlineStr">
        <is>
          <t>1</t>
        </is>
      </c>
      <c r="J117" t="inlineStr"/>
      <c r="K117" t="inlineStr"/>
      <c r="L117" t="inlineStr"/>
      <c r="M117" t="inlineStr"/>
      <c r="N117" t="inlineStr"/>
      <c r="O117" t="inlineStr"/>
      <c r="P117" t="inlineStr"/>
      <c r="Q117" t="inlineStr"/>
      <c r="R117" t="inlineStr"/>
      <c r="S117" t="inlineStr"/>
    </row>
    <row r="118">
      <c r="A118">
        <f>Skills!A13</f>
        <v/>
      </c>
      <c r="B118">
        <f>Skills!B13</f>
        <v/>
      </c>
      <c r="C118">
        <f>Inputs!$B$3&gt;=66</f>
        <v/>
      </c>
      <c r="D118">
        <f>IF(Skills!C13=1,60+Inputs!$B$24+Inputs!$B$28,IF(Skills!C13=2,90+Inputs!$B$25+Inputs!$B$28,IF(Skills!C13=3,120+Inputs!$B$26+Inputs!$B$28,MAX(0,(Inputs!$B$3-100)*3)+Inputs!$B$27+Inputs!$B$28)))</f>
        <v/>
      </c>
      <c r="E118">
        <f>INDEX(FactorTable!$B$2:$Y$301, MATCH(ROUND(MIN(300,MAX(1,D118)),0), FactorTable!$A$2:$A$301,0), Skills!M13+1)</f>
        <v/>
      </c>
      <c r="F118">
        <f>IF(Skills!N13=TRUE,(Skills!L13/10)*(E118/1000),Skills!L13/10)+Skills!O13</f>
        <v/>
      </c>
      <c r="G118">
        <f>Skills!G13*IF(Skills!H13&gt;0,Skills!I13/Skills!H13,1)</f>
        <v/>
      </c>
      <c r="H118">
        <f>1-(1-Skills!J13/100)^Skills!K13</f>
        <v/>
      </c>
      <c r="I118" t="inlineStr">
        <is>
          <t>1</t>
        </is>
      </c>
      <c r="J118" t="inlineStr"/>
      <c r="K118" t="inlineStr"/>
      <c r="L118" t="inlineStr"/>
      <c r="M118" t="inlineStr"/>
      <c r="N118" t="inlineStr"/>
      <c r="O118" t="n">
        <v>0</v>
      </c>
      <c r="P118">
        <f>IF(B138=0,0,O118/B138)</f>
        <v/>
      </c>
      <c r="Q118" t="n">
        <v>0</v>
      </c>
      <c r="R118" t="n">
        <v>0</v>
      </c>
      <c r="S118">
        <f>IFERROR(O118/N118,0)</f>
        <v/>
      </c>
    </row>
    <row r="119">
      <c r="A119">
        <f>Skills!A14</f>
        <v/>
      </c>
      <c r="B119">
        <f>Skills!B14</f>
        <v/>
      </c>
      <c r="C119">
        <f>Inputs!$B$3&gt;=107</f>
        <v/>
      </c>
      <c r="D119">
        <f>IF(Skills!C14=1,60+Inputs!$B$24+Inputs!$B$28,IF(Skills!C14=2,90+Inputs!$B$25+Inputs!$B$28,IF(Skills!C14=3,120+Inputs!$B$26+Inputs!$B$28,MAX(0,(Inputs!$B$3-100)*3)+Inputs!$B$27+Inputs!$B$28)))</f>
        <v/>
      </c>
      <c r="E119">
        <f>INDEX(FactorTable!$B$2:$Y$301, MATCH(ROUND(MIN(300,MAX(1,D119)),0), FactorTable!$A$2:$A$301,0), Skills!M14+1)</f>
        <v/>
      </c>
      <c r="F119">
        <f>IF(Skills!N14=TRUE,(Skills!L14/10)*(E119/1000),Skills!L14/10)+Skills!O14</f>
        <v/>
      </c>
      <c r="G119">
        <f>Skills!G14*IF(Skills!H14&gt;0,Skills!I14/Skills!H14,1)</f>
        <v/>
      </c>
      <c r="H119">
        <f>1-(1-Skills!J14/100)^Skills!K14</f>
        <v/>
      </c>
      <c r="I119" t="inlineStr">
        <is>
          <t>1</t>
        </is>
      </c>
      <c r="J119" t="inlineStr"/>
      <c r="K119" t="inlineStr"/>
      <c r="L119" t="inlineStr"/>
      <c r="M119" t="inlineStr"/>
      <c r="N119" t="inlineStr"/>
      <c r="O119" t="n">
        <v>0</v>
      </c>
      <c r="P119">
        <f>IF(B138=0,0,O119/B138)</f>
        <v/>
      </c>
      <c r="Q119" t="n">
        <v>0</v>
      </c>
      <c r="R119" t="n">
        <v>0</v>
      </c>
      <c r="S119">
        <f>IFERROR(O119/N119,0)</f>
        <v/>
      </c>
    </row>
    <row r="120">
      <c r="A120">
        <f>Skills!A15</f>
        <v/>
      </c>
      <c r="B120">
        <f>Skills!B15</f>
        <v/>
      </c>
      <c r="C120">
        <f>Inputs!$B$3&gt;=115</f>
        <v/>
      </c>
      <c r="D120">
        <f>IF(Skills!C15=1,60+Inputs!$B$24+Inputs!$B$28,IF(Skills!C15=2,90+Inputs!$B$25+Inputs!$B$28,IF(Skills!C15=3,120+Inputs!$B$26+Inputs!$B$28,MAX(0,(Inputs!$B$3-100)*3)+Inputs!$B$27+Inputs!$B$28)))</f>
        <v/>
      </c>
      <c r="E120">
        <f>INDEX(FactorTable!$B$2:$Y$301, MATCH(ROUND(MIN(300,MAX(1,D120)),0), FactorTable!$A$2:$A$301,0), Skills!M15+1)</f>
        <v/>
      </c>
      <c r="F120">
        <f>IF(Skills!N15=TRUE,(Skills!L15/10)*(E120/1000),Skills!L15/10)+Skills!O15</f>
        <v/>
      </c>
      <c r="G120">
        <f>Skills!G15*IF(Skills!H15&gt;0,Skills!I15/Skills!H15,1)</f>
        <v/>
      </c>
      <c r="H120">
        <f>1-(1-Skills!J15/100)^Skills!K15</f>
        <v/>
      </c>
      <c r="I120" t="inlineStr">
        <is>
          <t>1</t>
        </is>
      </c>
      <c r="J120" t="inlineStr"/>
      <c r="K120" t="inlineStr"/>
      <c r="L120" t="inlineStr"/>
      <c r="M120" t="inlineStr"/>
      <c r="N120" t="inlineStr"/>
      <c r="O120" t="n">
        <v>0</v>
      </c>
      <c r="P120">
        <f>IF(B138=0,0,O120/B138)</f>
        <v/>
      </c>
      <c r="Q120" t="n">
        <v>0</v>
      </c>
      <c r="R120" t="n">
        <v>0</v>
      </c>
      <c r="S120">
        <f>IFERROR(O120/N120,0)</f>
        <v/>
      </c>
    </row>
    <row r="121">
      <c r="A121">
        <f>Skills!A16</f>
        <v/>
      </c>
      <c r="B121">
        <f>Skills!B16</f>
        <v/>
      </c>
      <c r="C121">
        <f>Inputs!$B$3&gt;=15</f>
        <v/>
      </c>
      <c r="D121">
        <f>IF(Skills!C16=1,60+Inputs!$B$24+Inputs!$B$28,IF(Skills!C16=2,90+Inputs!$B$25+Inputs!$B$28,IF(Skills!C16=3,120+Inputs!$B$26+Inputs!$B$28,MAX(0,(Inputs!$B$3-100)*3)+Inputs!$B$27+Inputs!$B$28)))</f>
        <v/>
      </c>
      <c r="E121">
        <f>INDEX(FactorTable!$B$2:$Y$301, MATCH(ROUND(MIN(300,MAX(1,D121)),0), FactorTable!$A$2:$A$301,0), Skills!M16+1)</f>
        <v/>
      </c>
      <c r="F121">
        <f>IF(Skills!N16=TRUE,(Skills!L16/10)*(E121/1000),Skills!L16/10)+Skills!O16</f>
        <v/>
      </c>
      <c r="G121">
        <f>Skills!G16*IF(Skills!H16&gt;0,Skills!I16/Skills!H16,1)</f>
        <v/>
      </c>
      <c r="H121">
        <f>1-(1-Skills!J16/100)^Skills!K16</f>
        <v/>
      </c>
      <c r="I121" t="inlineStr">
        <is>
          <t>1</t>
        </is>
      </c>
      <c r="J121" t="inlineStr"/>
      <c r="K121" t="inlineStr"/>
      <c r="L121" t="inlineStr"/>
      <c r="M121" t="inlineStr"/>
      <c r="N121" t="inlineStr"/>
      <c r="O121" t="n">
        <v>0</v>
      </c>
      <c r="P121">
        <f>IF(B138=0,0,O121/B138)</f>
        <v/>
      </c>
      <c r="Q121" t="n">
        <v>0</v>
      </c>
      <c r="R121" t="n">
        <v>0</v>
      </c>
      <c r="S121">
        <f>IFERROR(O121/N121,0)</f>
        <v/>
      </c>
    </row>
    <row r="122">
      <c r="A122">
        <f>Skills!A17</f>
        <v/>
      </c>
      <c r="B122">
        <f>Skills!B17</f>
        <v/>
      </c>
      <c r="C122">
        <f>Inputs!$B$3&gt;=10</f>
        <v/>
      </c>
      <c r="D122">
        <f>IF(Skills!C17=1,60+Inputs!$B$24+Inputs!$B$28,IF(Skills!C17=2,90+Inputs!$B$25+Inputs!$B$28,IF(Skills!C17=3,120+Inputs!$B$26+Inputs!$B$28,MAX(0,(Inputs!$B$3-100)*3)+Inputs!$B$27+Inputs!$B$28)))</f>
        <v/>
      </c>
      <c r="E122">
        <f>INDEX(FactorTable!$B$2:$Y$301, MATCH(ROUND(MIN(300,MAX(1,D122)),0), FactorTable!$A$2:$A$301,0), Skills!M17+1)</f>
        <v/>
      </c>
      <c r="F122">
        <f>IF(Skills!N17=TRUE,(Skills!L17/10)*(E122/1000),Skills!L17/10)+Skills!O17</f>
        <v/>
      </c>
      <c r="G122">
        <f>Skills!G17*IF(Skills!H17&gt;0,Skills!I17/Skills!H17,1)</f>
        <v/>
      </c>
      <c r="H122">
        <f>1-(1-Skills!J17/100)^Skills!K17</f>
        <v/>
      </c>
      <c r="I122" t="inlineStr">
        <is>
          <t>1</t>
        </is>
      </c>
      <c r="J122" t="inlineStr"/>
      <c r="K122" t="inlineStr"/>
      <c r="L122" t="inlineStr"/>
      <c r="M122" t="inlineStr"/>
      <c r="N122" t="inlineStr"/>
      <c r="O122" t="n">
        <v>0</v>
      </c>
      <c r="P122">
        <f>IF(B138=0,0,O122/B138)</f>
        <v/>
      </c>
      <c r="Q122" t="n">
        <v>0</v>
      </c>
      <c r="R122" t="n">
        <v>0</v>
      </c>
      <c r="S122">
        <f>IFERROR(O122/N122,0)</f>
        <v/>
      </c>
    </row>
    <row r="123">
      <c r="A123">
        <f>Skills!A18</f>
        <v/>
      </c>
      <c r="B123">
        <f>Skills!B18</f>
        <v/>
      </c>
      <c r="C123">
        <f>Inputs!$B$3&gt;=33</f>
        <v/>
      </c>
      <c r="D123">
        <f>IF(Skills!C18=1,60+Inputs!$B$24+Inputs!$B$28,IF(Skills!C18=2,90+Inputs!$B$25+Inputs!$B$28,IF(Skills!C18=3,120+Inputs!$B$26+Inputs!$B$28,MAX(0,(Inputs!$B$3-100)*3)+Inputs!$B$27+Inputs!$B$28)))</f>
        <v/>
      </c>
      <c r="E123">
        <f>INDEX(FactorTable!$B$2:$Y$301, MATCH(ROUND(MIN(300,MAX(1,D123)),0), FactorTable!$A$2:$A$301,0), Skills!M18+1)</f>
        <v/>
      </c>
      <c r="F123">
        <f>IF(Skills!N18=TRUE,(Skills!L18/10)*(E123/1000),Skills!L18/10)+Skills!O18</f>
        <v/>
      </c>
      <c r="G123">
        <f>Skills!G18*IF(Skills!H18&gt;0,Skills!I18/Skills!H18,1)</f>
        <v/>
      </c>
      <c r="H123">
        <f>1-(1-Skills!J18/100)^Skills!K18</f>
        <v/>
      </c>
      <c r="I123" t="inlineStr">
        <is>
          <t>1</t>
        </is>
      </c>
      <c r="J123" t="inlineStr"/>
      <c r="K123" t="inlineStr"/>
      <c r="L123" t="inlineStr"/>
      <c r="M123" t="inlineStr"/>
      <c r="N123" t="inlineStr"/>
      <c r="O123" t="n">
        <v>0</v>
      </c>
      <c r="P123">
        <f>IF(B138=0,0,O123/B138)</f>
        <v/>
      </c>
      <c r="Q123" t="n">
        <v>0</v>
      </c>
      <c r="R123" t="n">
        <v>0</v>
      </c>
      <c r="S123">
        <f>IFERROR(O123/N123,0)</f>
        <v/>
      </c>
    </row>
    <row r="124">
      <c r="A124">
        <f>Skills!A19</f>
        <v/>
      </c>
      <c r="B124">
        <f>Skills!B19</f>
        <v/>
      </c>
      <c r="C124">
        <f>Inputs!$B$3&gt;=40</f>
        <v/>
      </c>
      <c r="D124">
        <f>IF(Skills!C19=1,60+Inputs!$B$24+Inputs!$B$28,IF(Skills!C19=2,90+Inputs!$B$25+Inputs!$B$28,IF(Skills!C19=3,120+Inputs!$B$26+Inputs!$B$28,MAX(0,(Inputs!$B$3-100)*3)+Inputs!$B$27+Inputs!$B$28)))</f>
        <v/>
      </c>
      <c r="E124">
        <f>INDEX(FactorTable!$B$2:$Y$301, MATCH(ROUND(MIN(300,MAX(1,D124)),0), FactorTable!$A$2:$A$301,0), Skills!M19+1)</f>
        <v/>
      </c>
      <c r="F124">
        <f>IF(Skills!N19=TRUE,(Skills!L19/10)*(E124/1000),Skills!L19/10)+Skills!O19</f>
        <v/>
      </c>
      <c r="G124">
        <f>Skills!G19*IF(Skills!H19&gt;0,Skills!I19/Skills!H19,1)</f>
        <v/>
      </c>
      <c r="H124">
        <f>1-(1-Skills!J19/100)^Skills!K19</f>
        <v/>
      </c>
      <c r="I124" t="inlineStr">
        <is>
          <t>1</t>
        </is>
      </c>
      <c r="J124" t="inlineStr"/>
      <c r="K124" t="inlineStr"/>
      <c r="L124" t="inlineStr"/>
      <c r="M124" t="inlineStr"/>
      <c r="N124" t="inlineStr"/>
      <c r="O124" t="n">
        <v>0</v>
      </c>
      <c r="P124">
        <f>IF(B138=0,0,O124/B138)</f>
        <v/>
      </c>
      <c r="Q124" t="n">
        <v>0</v>
      </c>
      <c r="R124" t="n">
        <v>0</v>
      </c>
      <c r="S124">
        <f>IFERROR(O124/N124,0)</f>
        <v/>
      </c>
    </row>
    <row r="125">
      <c r="A125">
        <f>Skills!A20</f>
        <v/>
      </c>
      <c r="B125">
        <f>Skills!B20</f>
        <v/>
      </c>
      <c r="C125">
        <f>Inputs!$B$3&gt;=43</f>
        <v/>
      </c>
      <c r="D125">
        <f>IF(Skills!C20=1,60+Inputs!$B$24+Inputs!$B$28,IF(Skills!C20=2,90+Inputs!$B$25+Inputs!$B$28,IF(Skills!C20=3,120+Inputs!$B$26+Inputs!$B$28,MAX(0,(Inputs!$B$3-100)*3)+Inputs!$B$27+Inputs!$B$28)))</f>
        <v/>
      </c>
      <c r="E125">
        <f>INDEX(FactorTable!$B$2:$Y$301, MATCH(ROUND(MIN(300,MAX(1,D125)),0), FactorTable!$A$2:$A$301,0), Skills!M20+1)</f>
        <v/>
      </c>
      <c r="F125">
        <f>IF(Skills!N20=TRUE,(Skills!L20/10)*(E125/1000),Skills!L20/10)+Skills!O20</f>
        <v/>
      </c>
      <c r="G125">
        <f>Skills!G20*IF(Skills!H20&gt;0,Skills!I20/Skills!H20,1)</f>
        <v/>
      </c>
      <c r="H125">
        <f>1-(1-Skills!J20/100)^Skills!K20</f>
        <v/>
      </c>
      <c r="I125" t="inlineStr">
        <is>
          <t>1</t>
        </is>
      </c>
      <c r="J125" t="inlineStr"/>
      <c r="K125" t="inlineStr"/>
      <c r="L125" t="inlineStr"/>
      <c r="M125" t="inlineStr"/>
      <c r="N125" t="inlineStr"/>
      <c r="O125" t="n">
        <v>0</v>
      </c>
      <c r="P125">
        <f>IF(B138=0,0,O125/B138)</f>
        <v/>
      </c>
      <c r="Q125" t="n">
        <v>0</v>
      </c>
      <c r="R125" t="n">
        <v>0</v>
      </c>
      <c r="S125">
        <f>IFERROR(O125/N125,0)</f>
        <v/>
      </c>
    </row>
    <row r="126">
      <c r="A126">
        <f>Skills!A21</f>
        <v/>
      </c>
      <c r="B126">
        <f>Skills!B21</f>
        <v/>
      </c>
      <c r="C126">
        <f>Inputs!$B$3&gt;=38</f>
        <v/>
      </c>
      <c r="D126">
        <f>IF(Skills!C21=1,60+Inputs!$B$24+Inputs!$B$28,IF(Skills!C21=2,90+Inputs!$B$25+Inputs!$B$28,IF(Skills!C21=3,120+Inputs!$B$26+Inputs!$B$28,MAX(0,(Inputs!$B$3-100)*3)+Inputs!$B$27+Inputs!$B$28)))</f>
        <v/>
      </c>
      <c r="E126">
        <f>INDEX(FactorTable!$B$2:$Y$301, MATCH(ROUND(MIN(300,MAX(1,D126)),0), FactorTable!$A$2:$A$301,0), Skills!M21+1)</f>
        <v/>
      </c>
      <c r="F126">
        <f>IF(Skills!N21=TRUE,(Skills!L21/10)*(E126/1000),Skills!L21/10)+Skills!O21</f>
        <v/>
      </c>
      <c r="G126">
        <f>Skills!G21*IF(Skills!H21&gt;0,Skills!I21/Skills!H21,1)</f>
        <v/>
      </c>
      <c r="H126">
        <f>1-(1-Skills!J21/100)^Skills!K21</f>
        <v/>
      </c>
      <c r="I126" t="inlineStr">
        <is>
          <t>1</t>
        </is>
      </c>
      <c r="J126" t="inlineStr"/>
      <c r="K126" t="inlineStr"/>
      <c r="L126" t="inlineStr"/>
      <c r="M126" t="inlineStr"/>
      <c r="N126" t="inlineStr"/>
      <c r="O126" t="n">
        <v>0</v>
      </c>
      <c r="P126">
        <f>IF(B138=0,0,O126/B138)</f>
        <v/>
      </c>
      <c r="Q126" t="n">
        <v>0</v>
      </c>
      <c r="R126" t="n">
        <v>0</v>
      </c>
      <c r="S126">
        <f>IFERROR(O126/N126,0)</f>
        <v/>
      </c>
    </row>
    <row r="127">
      <c r="A127">
        <f>Skills!A22</f>
        <v/>
      </c>
      <c r="B127">
        <f>Skills!B22</f>
        <v/>
      </c>
      <c r="C127">
        <f>Inputs!$B$3&gt;=75</f>
        <v/>
      </c>
      <c r="D127">
        <f>IF(Skills!C22=1,60+Inputs!$B$24+Inputs!$B$28,IF(Skills!C22=2,90+Inputs!$B$25+Inputs!$B$28,IF(Skills!C22=3,120+Inputs!$B$26+Inputs!$B$28,MAX(0,(Inputs!$B$3-100)*3)+Inputs!$B$27+Inputs!$B$28)))</f>
        <v/>
      </c>
      <c r="E127">
        <f>INDEX(FactorTable!$B$2:$Y$301, MATCH(ROUND(MIN(300,MAX(1,D127)),0), FactorTable!$A$2:$A$301,0), Skills!M22+1)</f>
        <v/>
      </c>
      <c r="F127">
        <f>IF(Skills!N22=TRUE,(Skills!L22/10)*(E127/1000),Skills!L22/10)+Skills!O22</f>
        <v/>
      </c>
      <c r="G127">
        <f>Skills!G22*IF(Skills!H22&gt;0,Skills!I22/Skills!H22,1)</f>
        <v/>
      </c>
      <c r="H127">
        <f>1-(1-Skills!J22/100)^Skills!K22</f>
        <v/>
      </c>
      <c r="I127" t="inlineStr">
        <is>
          <t>1</t>
        </is>
      </c>
      <c r="J127" t="inlineStr"/>
      <c r="K127" t="inlineStr"/>
      <c r="L127" t="inlineStr"/>
      <c r="M127" t="inlineStr"/>
      <c r="N127" t="inlineStr"/>
      <c r="O127" t="n">
        <v>0</v>
      </c>
      <c r="P127">
        <f>IF(B138=0,0,O127/B138)</f>
        <v/>
      </c>
      <c r="Q127" t="n">
        <v>0</v>
      </c>
      <c r="R127" t="n">
        <v>0</v>
      </c>
      <c r="S127">
        <f>IFERROR(O127/N127,0)</f>
        <v/>
      </c>
    </row>
    <row r="129">
      <c r="A129" t="inlineStr">
        <is>
          <t>Attack% Bucket Multiplier</t>
        </is>
      </c>
      <c r="B129">
        <f>(1+(((C118=TRUE)*F118)+((C124=TRUE)*(F124-Calc!F19)))/100)</f>
        <v/>
      </c>
    </row>
    <row r="130">
      <c r="A130" t="inlineStr">
        <is>
          <t>Global Crit Rate Bonus %</t>
        </is>
      </c>
      <c r="B130" t="n">
        <v>0</v>
      </c>
    </row>
    <row r="131">
      <c r="A131" t="inlineStr">
        <is>
          <t>Attack Speed Buff Bonus % (unused)</t>
        </is>
      </c>
      <c r="B131" t="n">
        <v>0</v>
      </c>
    </row>
    <row r="132">
      <c r="A132" t="inlineStr">
        <is>
          <t>Actions Per Second</t>
        </is>
      </c>
      <c r="B132">
        <f>1+MIN(150,150*(1-(1-(Inputs!$B$10+((C122=TRUE)*(F122-Calc!F17))+((C123=TRUE)*(F123-Calc!F18)))/150)*(1-B131/150)))/100</f>
        <v/>
      </c>
    </row>
    <row r="133">
      <c r="A133" t="inlineStr">
        <is>
          <t>Skill + Buff Cast Rate</t>
        </is>
      </c>
      <c r="B133">
        <f>IF(AND(Inputs!$B$4&lt;&gt;"pvp",Inputs!$B$35&gt;0),SUMPRODUCT((Skills!E2:E22=TRUE)*(C107:C127=TRUE)*R107:R127*Skills!F2:F22)/Inputs!$B$35,SUMPRODUCT((Skills!E2:E22=TRUE)*(C107:C127=TRUE)*Q107:Q127*Skills!F2:F22))</f>
        <v/>
      </c>
    </row>
    <row r="134">
      <c r="A134" t="inlineStr">
        <is>
          <t>Hook Bomber Casts Per Second</t>
        </is>
      </c>
      <c r="B134">
        <f>MAX(0,B132-B133)</f>
        <v/>
      </c>
    </row>
    <row r="135">
      <c r="A135" t="inlineStr">
        <is>
          <t>Global Critical Damage Bonus % (unused)</t>
        </is>
      </c>
      <c r="B135" t="n">
        <v>0</v>
      </c>
    </row>
    <row r="136">
      <c r="A136" t="inlineStr">
        <is>
          <t>Global Final Damage Bonus % (Serpent Scale + Crossbones + Time Leap + Speed Infusion)</t>
        </is>
      </c>
      <c r="B136">
        <f>((C110=TRUE)*F110*((10+IF(Inputs!$B$3&gt;=94,5,0))/((10+IF(Inputs!$B$3&gt;=94,5,0))+5/(B134*(1+IF(Inputs!$B$3&gt;=104,1,0))))))+((C119=TRUE)*F119)+((C120=TRUE)*F120)+((Inputs!$B$3&gt;=110)*20*(B132-1))</f>
        <v/>
      </c>
    </row>
    <row r="138">
      <c r="A138" s="5" t="inlineStr">
        <is>
          <t>TOTAL DPS</t>
        </is>
      </c>
      <c r="B138" s="5">
        <f>SUM(O107:O127)</f>
        <v/>
      </c>
    </row>
    <row r="141">
      <c r="A141" s="5" t="inlineStr">
        <is>
          <t>Stat: DAMAGE %</t>
        </is>
      </c>
    </row>
    <row r="142">
      <c r="A142" s="8" t="inlineStr">
        <is>
          <t>Key</t>
        </is>
      </c>
      <c r="B142" s="8" t="inlineStr">
        <is>
          <t>Name</t>
        </is>
      </c>
      <c r="C142" s="8" t="inlineStr">
        <is>
          <t>Unlocked</t>
        </is>
      </c>
      <c r="D142" s="8" t="inlineStr">
        <is>
          <t>InputLevel</t>
        </is>
      </c>
      <c r="E142" s="8" t="inlineStr">
        <is>
          <t>Factor</t>
        </is>
      </c>
      <c r="F142" s="8" t="inlineStr">
        <is>
          <t>CoefficientPercent</t>
        </is>
      </c>
      <c r="G142" s="8" t="inlineStr">
        <is>
          <t>EffectiveHits</t>
        </is>
      </c>
      <c r="H142" s="8" t="inlineStr">
        <is>
          <t>ProcProbability</t>
        </is>
      </c>
      <c r="I142" s="8" t="inlineStr">
        <is>
          <t>MapleHeroMultiplier</t>
        </is>
      </c>
      <c r="J142" s="8" t="inlineStr">
        <is>
          <t>BaseDamage</t>
        </is>
      </c>
      <c r="K142" s="8" t="inlineStr">
        <is>
          <t>BaseHitDamage</t>
        </is>
      </c>
      <c r="L142" s="8" t="inlineStr">
        <is>
          <t>NonCritAvg</t>
        </is>
      </c>
      <c r="M142" s="8" t="inlineStr">
        <is>
          <t>CritAvg</t>
        </is>
      </c>
      <c r="N142" s="8" t="inlineStr">
        <is>
          <t>ExpectedDamage(perHit)</t>
        </is>
      </c>
      <c r="O142" s="8" t="inlineStr">
        <is>
          <t>DPS</t>
        </is>
      </c>
      <c r="P142" s="8" t="inlineStr">
        <is>
          <t>% of Total</t>
        </is>
      </c>
      <c r="Q142" s="8" t="inlineStr">
        <is>
          <t>InvCooldown</t>
        </is>
      </c>
      <c r="R142" s="8" t="inlineStr">
        <is>
          <t>CastsInFight</t>
        </is>
      </c>
      <c r="S142" s="8" t="inlineStr">
        <is>
          <t>HitRate(perSec)</t>
        </is>
      </c>
      <c r="U142" t="inlineStr">
        <is>
          <t>helpers</t>
        </is>
      </c>
    </row>
    <row r="143">
      <c r="A143">
        <f>Skills!A2</f>
        <v/>
      </c>
      <c r="B143">
        <f>Skills!B2</f>
        <v/>
      </c>
      <c r="C143">
        <f>Inputs!$B$3&gt;=100</f>
        <v/>
      </c>
      <c r="D143" t="inlineStr"/>
      <c r="E143" t="inlineStr"/>
      <c r="F143">
        <f>U145+Skills!O2</f>
        <v/>
      </c>
      <c r="G143">
        <f>Skills!G2*IF(Skills!H2&gt;0,Skills!I2/Skills!H2,1)</f>
        <v/>
      </c>
      <c r="H143">
        <f>1-(1-Skills!J2/100)^Skills!K2</f>
        <v/>
      </c>
      <c r="I143" t="inlineStr">
        <is>
          <t>1</t>
        </is>
      </c>
      <c r="J143">
        <f>(Inputs!$B$5*(1+Inputs!$B$6/100))*(F143/100)</f>
        <v/>
      </c>
      <c r="K143">
        <f>J143*(1+((Inputs!$B$11*(1+Inputs!$B$12/100))*0.01+Inputs!$B$13*0.0025)/100)*(1+(Inputs!$B$14+1)/100)*(1+IF(Inputs!$B$4="pvp",0,(1-Summary!$B$55)*(Inputs!$B$19+0+Skills!P2)+Summary!$B$55*(Inputs!$B$20+Skills!Q2))/100)*(1+Inputs!$B$15/100)*(5000/(6000+Inputs!$B$7*(1-(Inputs!$B$18+0)/100)))*(1+(Inputs!$B$23+((C163=TRUE)*(F163-Calc!F22))+B172)/100)*(1+(IF(Skills!A2="HOOK_BOMBER",Inputs!$B$16+((C162=TRUE)*(F162-Calc!F21)),Inputs!$B$17+0))/100)*((1+(((C154=TRUE)*F154)+((C160=TRUE)*(F160-Calc!F19)))/100)*I143)</f>
        <v/>
      </c>
      <c r="L143">
        <f>K143*(MIN(Inputs!$B$21+((C161=TRUE)*(F161-Calc!F20)),Inputs!$B$22+0)/100+(Inputs!$B$22+0)/100)/2</f>
        <v/>
      </c>
      <c r="M143">
        <f>L143*(1+(Inputs!$B$9+0+B171)/100)</f>
        <v/>
      </c>
      <c r="N143">
        <f>L143*(1-MIN((Inputs!$B$8+((C157=TRUE)*(F157-Calc!F16))+B166),100)/100)+M143*(MIN((Inputs!$B$8+((C157=TRUE)*(F157-Calc!F16))+B166),100)/100)</f>
        <v/>
      </c>
      <c r="O143">
        <f>IF(C143,Skills!G2*N143*B170*IF(Inputs!$B$4="pvp",1,(1-Summary!$B$55)*(1)+Summary!$B$55*(MIN((6+Inputs!$B$32),Inputs!$B$37))),0)</f>
        <v/>
      </c>
      <c r="P143">
        <f>IF(B174=0,0,O143/B174)</f>
        <v/>
      </c>
      <c r="Q143" t="n">
        <v>0</v>
      </c>
      <c r="R143" t="n">
        <v>0</v>
      </c>
      <c r="S143">
        <f>IFERROR(O143/N143,0)</f>
        <v/>
      </c>
      <c r="U143">
        <f>MAX(0,(Inputs!$B$3-100)*3)+Inputs!$B$27+Inputs!$B$28</f>
        <v/>
      </c>
    </row>
    <row r="144">
      <c r="A144">
        <f>Skills!A3</f>
        <v/>
      </c>
      <c r="B144">
        <f>Skills!B3</f>
        <v/>
      </c>
      <c r="C144">
        <f>Inputs!$B$3&gt;=35</f>
        <v/>
      </c>
      <c r="D144">
        <f>IF(Skills!C3=1,60+Inputs!$B$24+Inputs!$B$28,IF(Skills!C3=2,90+Inputs!$B$25+Inputs!$B$28,IF(Skills!C3=3,120+Inputs!$B$26+Inputs!$B$28,MAX(0,(Inputs!$B$3-100)*3)+Inputs!$B$27+Inputs!$B$28)))</f>
        <v/>
      </c>
      <c r="E144">
        <f>INDEX(FactorTable!$B$2:$Y$301, MATCH(ROUND(MIN(300,MAX(1,D144)),0), FactorTable!$A$2:$A$301,0), Skills!M3+1)</f>
        <v/>
      </c>
      <c r="F144">
        <f>IF(Skills!N3=TRUE,(Skills!L3/10)*(E144/1000),Skills!L3/10)+Skills!O3</f>
        <v/>
      </c>
      <c r="G144">
        <f>Skills!G3*IF(Skills!H3&gt;0,Skills!I3/Skills!H3,1)</f>
        <v/>
      </c>
      <c r="H144">
        <f>1-(1-Skills!J3/100)^Skills!K3</f>
        <v/>
      </c>
      <c r="I144" t="inlineStr">
        <is>
          <t>1</t>
        </is>
      </c>
      <c r="J144">
        <f>(Inputs!$B$5*(1+Inputs!$B$6/100))*(F144/100)</f>
        <v/>
      </c>
      <c r="K144">
        <f>J144*(1+((Inputs!$B$11*(1+Inputs!$B$12/100))*0.01+Inputs!$B$13*0.0025)/100)*(1+(Inputs!$B$14+1)/100)*(1+IF(Inputs!$B$4="pvp",0,(1-Summary!$B$55)*(Inputs!$B$19+0+Skills!P3)+Summary!$B$55*(Inputs!$B$20+Skills!Q3))/100)*(1+Inputs!$B$15/100)*(5000/(6000+Inputs!$B$7*(1-(Inputs!$B$18+0)/100)))*(1+(Inputs!$B$23+((C163=TRUE)*(F163-Calc!F22))+B172)/100)*(1+(IF(Skills!A3="HOOK_BOMBER",Inputs!$B$16+((C162=TRUE)*(F162-Calc!F21)),Inputs!$B$17+0))/100)*((1+(((C154=TRUE)*F154)+((C160=TRUE)*(F160-Calc!F19)))/100)*I144)</f>
        <v/>
      </c>
      <c r="L144">
        <f>K144*(MIN(Inputs!$B$21+((C161=TRUE)*(F161-Calc!F20)),Inputs!$B$22+0)/100+(Inputs!$B$22+0)/100)/2</f>
        <v/>
      </c>
      <c r="M144">
        <f>L144*(1+(Inputs!$B$9+0+B171)/100)</f>
        <v/>
      </c>
      <c r="N144">
        <f>L144*(1-MIN((Inputs!$B$8+((C157=TRUE)*(F157-Calc!F16))+B166),100)/100)+M144*(MIN((Inputs!$B$8+((C157=TRUE)*(F157-Calc!F16))+B166),100)/100)</f>
        <v/>
      </c>
      <c r="O144">
        <f>IF(C144,Skills!G3*H144*N144*B170*IF(Inputs!$B$4="pvp",1,(1-Summary!$B$55)*(1)+Summary!$B$55*(MIN(Skills!R3,Inputs!$B$37))),0)</f>
        <v/>
      </c>
      <c r="P144">
        <f>IF(B174=0,0,O144/B174)</f>
        <v/>
      </c>
      <c r="Q144" t="n">
        <v>0</v>
      </c>
      <c r="R144" t="n">
        <v>0</v>
      </c>
      <c r="S144">
        <f>IFERROR(O144/N144,0)</f>
        <v/>
      </c>
      <c r="U144">
        <f>INDEX(FactorTable!$B$2:$Y$301, MATCH(ROUND(MIN(300,MAX(1,U143)),0), FactorTable!$A$2:$A$301,0), 22)</f>
        <v/>
      </c>
    </row>
    <row r="145">
      <c r="A145">
        <f>Skills!A4</f>
        <v/>
      </c>
      <c r="B145">
        <f>Skills!B4</f>
        <v/>
      </c>
      <c r="C145">
        <f>Inputs!$B$3&gt;=60</f>
        <v/>
      </c>
      <c r="D145">
        <f>IF(Skills!C4=1,60+Inputs!$B$24+Inputs!$B$28,IF(Skills!C4=2,90+Inputs!$B$25+Inputs!$B$28,IF(Skills!C4=3,120+Inputs!$B$26+Inputs!$B$28,MAX(0,(Inputs!$B$3-100)*3)+Inputs!$B$27+Inputs!$B$28)))</f>
        <v/>
      </c>
      <c r="E145">
        <f>INDEX(FactorTable!$B$2:$Y$301, MATCH(ROUND(MIN(300,MAX(1,D145)),0), FactorTable!$A$2:$A$301,0), Skills!M4+1)</f>
        <v/>
      </c>
      <c r="F145">
        <f>IF(Skills!N4=TRUE,(Skills!L4/10)*(E145/1000),Skills!L4/10)+Skills!O4</f>
        <v/>
      </c>
      <c r="G145">
        <f>Skills!G4*IF(Skills!H4&gt;0,Skills!I4/Skills!H4,1)</f>
        <v/>
      </c>
      <c r="H145">
        <f>1-(1-Skills!J4/100)^Skills!K4</f>
        <v/>
      </c>
      <c r="I145" t="inlineStr">
        <is>
          <t>1</t>
        </is>
      </c>
      <c r="J145">
        <f>(Inputs!$B$5*(1+Inputs!$B$6/100))*(F145/100)</f>
        <v/>
      </c>
      <c r="K145">
        <f>J145*(1+((Inputs!$B$11*(1+Inputs!$B$12/100))*0.01+Inputs!$B$13*0.0025)/100)*(1+(Inputs!$B$14+1)/100)*(1+IF(Inputs!$B$4="pvp",0,(1-Summary!$B$55)*(Inputs!$B$19+0+Skills!P4)+Summary!$B$55*(Inputs!$B$20+Skills!Q4))/100)*(1+Inputs!$B$15/100)*(5000/(6000+Inputs!$B$7*(1-(Inputs!$B$18+0)/100)))*(1+(Inputs!$B$23+((C163=TRUE)*(F163-Calc!F22))+B172)/100)*(1+1.0*IF(C153=TRUE,F153,0)/100)*(1+(IF(Skills!A4="HOOK_BOMBER",Inputs!$B$16+((C162=TRUE)*(F162-Calc!F21)),Inputs!$B$17+0))/100)*((1+(((C154=TRUE)*F154)+((C160=TRUE)*(F160-Calc!F19)))/100)*I145)</f>
        <v/>
      </c>
      <c r="L145">
        <f>K145*(MIN(Inputs!$B$21+((C161=TRUE)*(F161-Calc!F20)),Inputs!$B$22+0)/100+(Inputs!$B$22+0)/100)/2</f>
        <v/>
      </c>
      <c r="M145">
        <f>L145*(1+(Inputs!$B$9+0+B171)/100)</f>
        <v/>
      </c>
      <c r="N145">
        <f>L145*(1-MIN((Inputs!$B$8+((C157=TRUE)*(F157-Calc!F16))+B166),100)/100)+M145*(MIN((Inputs!$B$8+((C157=TRUE)*(F157-Calc!F16))+B166),100)/100)</f>
        <v/>
      </c>
      <c r="O145">
        <f>IF(C145,Skills!G4*H145*N145*B170*IF(Inputs!$B$4="pvp",1,(1-Summary!$B$55)*(1)+Summary!$B$55*(MIN(Skills!R4,Inputs!$B$37))),0)</f>
        <v/>
      </c>
      <c r="P145">
        <f>IF(B174=0,0,O145/B174)</f>
        <v/>
      </c>
      <c r="Q145" t="n">
        <v>0</v>
      </c>
      <c r="R145" t="n">
        <v>0</v>
      </c>
      <c r="S145">
        <f>IFERROR(O145/N145,0)</f>
        <v/>
      </c>
      <c r="U145">
        <f>290*U144/1000</f>
        <v/>
      </c>
    </row>
    <row r="146">
      <c r="A146">
        <f>Skills!A5</f>
        <v/>
      </c>
      <c r="B146">
        <f>Skills!B5</f>
        <v/>
      </c>
      <c r="C146">
        <f>Inputs!$B$3&gt;=60</f>
        <v/>
      </c>
      <c r="D146">
        <f>IF(Skills!C5=1,60+Inputs!$B$24+Inputs!$B$28,IF(Skills!C5=2,90+Inputs!$B$25+Inputs!$B$28,IF(Skills!C5=3,120+Inputs!$B$26+Inputs!$B$28,MAX(0,(Inputs!$B$3-100)*3)+Inputs!$B$27+Inputs!$B$28)))</f>
        <v/>
      </c>
      <c r="E146">
        <f>INDEX(FactorTable!$B$2:$Y$301, MATCH(ROUND(MIN(300,MAX(1,D146)),0), FactorTable!$A$2:$A$301,0), Skills!M5+1)</f>
        <v/>
      </c>
      <c r="F146">
        <f>IF(Skills!N5=TRUE,(Skills!L5/10)*(E146/1000),Skills!L5/10)+Skills!O5</f>
        <v/>
      </c>
      <c r="G146">
        <f>Skills!G5*IF(Skills!H5&gt;0,Skills!I5/Skills!H5,1)</f>
        <v/>
      </c>
      <c r="H146">
        <f>1-(1-Skills!J5/100)^Skills!K5</f>
        <v/>
      </c>
      <c r="I146" t="inlineStr">
        <is>
          <t>1</t>
        </is>
      </c>
      <c r="J146" t="inlineStr"/>
      <c r="K146" t="inlineStr"/>
      <c r="L146" t="inlineStr"/>
      <c r="M146" t="inlineStr"/>
      <c r="N146" t="inlineStr"/>
      <c r="O146" t="n">
        <v>0</v>
      </c>
      <c r="P146">
        <f>IF(B174=0,0,O146/B174)</f>
        <v/>
      </c>
      <c r="Q146" t="n">
        <v>0</v>
      </c>
      <c r="R146" t="n">
        <v>0</v>
      </c>
      <c r="S146">
        <f>IFERROR(O146/N146,0)</f>
        <v/>
      </c>
    </row>
    <row r="147">
      <c r="A147">
        <f>Skills!A6</f>
        <v/>
      </c>
      <c r="B147">
        <f>Skills!B6</f>
        <v/>
      </c>
      <c r="C147">
        <f>Inputs!$B$3&gt;=63</f>
        <v/>
      </c>
      <c r="D147">
        <f>IF(Skills!C6=1,60+Inputs!$B$24+Inputs!$B$28,IF(Skills!C6=2,90+Inputs!$B$25+Inputs!$B$28,IF(Skills!C6=3,120+Inputs!$B$26+Inputs!$B$28,MAX(0,(Inputs!$B$3-100)*3)+Inputs!$B$27+Inputs!$B$28)))</f>
        <v/>
      </c>
      <c r="E147">
        <f>INDEX(FactorTable!$B$2:$Y$301, MATCH(ROUND(MIN(300,MAX(1,D147)),0), FactorTable!$A$2:$A$301,0), Skills!M6+1)</f>
        <v/>
      </c>
      <c r="F147">
        <f>IF(Skills!N6=TRUE,(Skills!L6/10)*(E147/1000),Skills!L6/10)+Skills!O6</f>
        <v/>
      </c>
      <c r="G147">
        <f>Skills!G6*IF(Skills!H6&gt;0,Skills!I6/Skills!H6,1)</f>
        <v/>
      </c>
      <c r="H147">
        <f>1-(1-Skills!J6/100)^Skills!K6</f>
        <v/>
      </c>
      <c r="I147" t="inlineStr">
        <is>
          <t>1</t>
        </is>
      </c>
      <c r="J147">
        <f>(Inputs!$B$5*(1+Inputs!$B$6/100))*(F147/100)</f>
        <v/>
      </c>
      <c r="K147">
        <f>J147*(1+((Inputs!$B$11*(1+Inputs!$B$12/100))*0.01+Inputs!$B$13*0.0025)/100)*(1+(Inputs!$B$14+1)/100)*(1+IF(Inputs!$B$4="pvp",0,(1-Summary!$B$55)*(Inputs!$B$19+0+Skills!P6)+Summary!$B$55*(Inputs!$B$20+Skills!Q6))/100)*(1+Inputs!$B$15/100)*(5000/(6000+Inputs!$B$7*(1-(Inputs!$B$18+0)/100)))*(1+(Inputs!$B$23+((C163=TRUE)*(F163-Calc!F22))+B172)/100)*(1+(IF(Skills!A6="HOOK_BOMBER",Inputs!$B$16+((C162=TRUE)*(F162-Calc!F21)),Inputs!$B$17+0))/100)*((1+(((C154=TRUE)*F154)+((C160=TRUE)*(F160-Calc!F19)))/100)*I147)</f>
        <v/>
      </c>
      <c r="L147">
        <f>K147*(MIN(Inputs!$B$21+((C161=TRUE)*(F161-Calc!F20)),Inputs!$B$22+0)/100+(Inputs!$B$22+0)/100)/2</f>
        <v/>
      </c>
      <c r="M147">
        <f>L147*(1+(Inputs!$B$9+0+B171)/100)</f>
        <v/>
      </c>
      <c r="N147">
        <f>L147*(1-MIN((Inputs!$B$8+((C157=TRUE)*(F157-Calc!F16))+B166),100)/100)+M147*(MIN((Inputs!$B$8+((C157=TRUE)*(F157-Calc!F16))+B166),100)/100)</f>
        <v/>
      </c>
      <c r="O147">
        <f>IF(C147,H147*N147*IF(AND(Inputs!$B$4&lt;&gt;"pvp",Inputs!$B$35&gt;0),((Skills!G6*((R147-1)*IF(Skills!H6&gt;0,Skills!I6/Skills!H6,1)+IF(Skills!H6&gt;0,MIN(Skills!I6,MAX(0,Inputs!$B$35-((R147-1)*IF(Inputs!$B$4="pvp",15,MAX(0.1,Skills!D6-IF(Skills!E6=TRUE,Inputs!$B$31,0))))))/Skills!H6,1)))/Inputs!$B$35),G147*Q147)*IF(Inputs!$B$4="pvp",1,(1-Summary!$B$55)*(1)+Summary!$B$55*(MIN(Skills!R6,Inputs!$B$37))),0)</f>
        <v/>
      </c>
      <c r="P147">
        <f>IF(B174=0,0,O147/B174)</f>
        <v/>
      </c>
      <c r="Q147">
        <f>IFERROR(1/IF(Inputs!$B$4="pvp",15,MAX(0.1,Skills!D6-IF(Skills!E6=TRUE,Inputs!$B$31,0))),0)</f>
        <v/>
      </c>
      <c r="R147">
        <f>IF(AND(Inputs!$B$4&lt;&gt;"pvp",Inputs!$B$35&gt;0),(INT(Inputs!$B$35/IF(Inputs!$B$4="pvp",15,MAX(0.1,Skills!D6-IF(Skills!E6=TRUE,Inputs!$B$31,0))))+1),0)</f>
        <v/>
      </c>
      <c r="S147">
        <f>IFERROR(O147/N147,0)</f>
        <v/>
      </c>
    </row>
    <row r="148">
      <c r="A148">
        <f>Skills!A7</f>
        <v/>
      </c>
      <c r="B148">
        <f>Skills!B7</f>
        <v/>
      </c>
      <c r="C148">
        <f>Inputs!$B$3&gt;=100</f>
        <v/>
      </c>
      <c r="D148">
        <f>IF(Skills!C7=1,60+Inputs!$B$24+Inputs!$B$28,IF(Skills!C7=2,90+Inputs!$B$25+Inputs!$B$28,IF(Skills!C7=3,120+Inputs!$B$26+Inputs!$B$28,MAX(0,(Inputs!$B$3-100)*3)+Inputs!$B$27+Inputs!$B$28)))</f>
        <v/>
      </c>
      <c r="E148">
        <f>INDEX(FactorTable!$B$2:$Y$301, MATCH(ROUND(MIN(300,MAX(1,D148)),0), FactorTable!$A$2:$A$301,0), Skills!M7+1)</f>
        <v/>
      </c>
      <c r="F148">
        <f>IF(Skills!N7=TRUE,(Skills!L7/10)*(E148/1000),Skills!L7/10)+Skills!O7</f>
        <v/>
      </c>
      <c r="G148">
        <f>Skills!G7*IF(Skills!H7&gt;0,Skills!I7/Skills!H7,1)</f>
        <v/>
      </c>
      <c r="H148">
        <f>1-(1-Skills!J7/100)^Skills!K7</f>
        <v/>
      </c>
      <c r="I148" t="inlineStr">
        <is>
          <t>1</t>
        </is>
      </c>
      <c r="J148">
        <f>(Inputs!$B$5*(1+Inputs!$B$6/100))*(F148/100)</f>
        <v/>
      </c>
      <c r="K148">
        <f>J148*(1+((Inputs!$B$11*(1+Inputs!$B$12/100))*0.01+Inputs!$B$13*0.0025)/100)*(1+(Inputs!$B$14+1)/100)*(1+IF(Inputs!$B$4="pvp",0,(1-Summary!$B$55)*(Inputs!$B$19+0+Skills!P7)+Summary!$B$55*(Inputs!$B$20+Skills!Q7))/100)*(1+Inputs!$B$15/100)*(5000/(6000+Inputs!$B$7*(1-(Inputs!$B$18+0)/100)))*(1+(Inputs!$B$23+((C163=TRUE)*(F163-Calc!F22))+B172)/100)*(1+(IF(Skills!A7="HOOK_BOMBER",Inputs!$B$16+((C162=TRUE)*(F162-Calc!F21)),Inputs!$B$17+0))/100)*((1+(((C154=TRUE)*F154)+((C160=TRUE)*(F160-Calc!F19)))/100)*I148)</f>
        <v/>
      </c>
      <c r="L148">
        <f>K148*(MIN(Inputs!$B$21+((C161=TRUE)*(F161-Calc!F20)),Inputs!$B$22+0)/100+(Inputs!$B$22+0)/100)/2</f>
        <v/>
      </c>
      <c r="M148">
        <f>L148*(1+(Inputs!$B$9+0+B171)/100)</f>
        <v/>
      </c>
      <c r="N148">
        <f>L148*(1-MIN((Inputs!$B$8+((C157=TRUE)*(F157-Calc!F16))+B166),100)/100)+M148*(MIN((Inputs!$B$8+((C157=TRUE)*(F157-Calc!F16))+B166),100)/100)</f>
        <v/>
      </c>
      <c r="O148">
        <f>IF(C148,H148*N148*IF(AND(Inputs!$B$4&lt;&gt;"pvp",Inputs!$B$35&gt;0),((Skills!G7*((R148-1)*IF(Skills!H7&gt;0,Skills!I7/Skills!H7,1)+IF(Skills!H7&gt;0,MIN(Skills!I7,MAX(0,Inputs!$B$35-((R148-1)*IF(Inputs!$B$4="pvp",15,MAX(0.1,Skills!D7-IF(Skills!E7=TRUE,Inputs!$B$31,0))))))/Skills!H7,1)))/Inputs!$B$35),G148*Q148)*IF(Inputs!$B$4="pvp",1,(1-Summary!$B$55)*(1)+Summary!$B$55*(MIN(Skills!R7,Inputs!$B$37))),0)</f>
        <v/>
      </c>
      <c r="P148">
        <f>IF(B174=0,0,O148/B174)</f>
        <v/>
      </c>
      <c r="Q148">
        <f>IFERROR(1/IF(Inputs!$B$4="pvp",15,MAX(0.1,Skills!D7-IF(Skills!E7=TRUE,Inputs!$B$31,0))),0)</f>
        <v/>
      </c>
      <c r="R148">
        <f>IF(AND(Inputs!$B$4&lt;&gt;"pvp",Inputs!$B$35&gt;0),(INT(Inputs!$B$35/IF(Inputs!$B$4="pvp",15,MAX(0.1,Skills!D7-IF(Skills!E7=TRUE,Inputs!$B$31,0))))+1),0)</f>
        <v/>
      </c>
      <c r="S148">
        <f>IFERROR(O148/N148,0)</f>
        <v/>
      </c>
    </row>
    <row r="149">
      <c r="A149">
        <f>Skills!A8</f>
        <v/>
      </c>
      <c r="B149">
        <f>Skills!B8</f>
        <v/>
      </c>
      <c r="C149">
        <f>Inputs!$B$3&gt;=110</f>
        <v/>
      </c>
      <c r="D149">
        <f>IF(Skills!C8=1,60+Inputs!$B$24+Inputs!$B$28,IF(Skills!C8=2,90+Inputs!$B$25+Inputs!$B$28,IF(Skills!C8=3,120+Inputs!$B$26+Inputs!$B$28,MAX(0,(Inputs!$B$3-100)*3)+Inputs!$B$27+Inputs!$B$28)))</f>
        <v/>
      </c>
      <c r="E149">
        <f>INDEX(FactorTable!$B$2:$Y$301, MATCH(ROUND(MIN(300,MAX(1,D149)),0), FactorTable!$A$2:$A$301,0), Skills!M8+1)</f>
        <v/>
      </c>
      <c r="F149">
        <f>IF(Skills!N8=TRUE,(Skills!L8/10)*(E149/1000),Skills!L8/10)+Skills!O8</f>
        <v/>
      </c>
      <c r="G149">
        <f>Skills!G8*IF(Skills!H8&gt;0,Skills!I8/Skills!H8,1)</f>
        <v/>
      </c>
      <c r="H149">
        <f>1-(1-Skills!J8/100)^Skills!K8</f>
        <v/>
      </c>
      <c r="I149" t="inlineStr">
        <is>
          <t>1</t>
        </is>
      </c>
      <c r="J149">
        <f>(Inputs!$B$5*(1+Inputs!$B$6/100))*(F149/100)</f>
        <v/>
      </c>
      <c r="K149">
        <f>J149*(1+((Inputs!$B$11*(1+Inputs!$B$12/100))*0.01+Inputs!$B$13*0.0025)/100)*(1+(Inputs!$B$14+1)/100)*(1+IF(Inputs!$B$4="pvp",0,(1-Summary!$B$55)*(Inputs!$B$19+0+Skills!P8)+Summary!$B$55*(Inputs!$B$20+Skills!Q8))/100)*(1+Inputs!$B$15/100)*(5000/(6000+Inputs!$B$7*(1-(Inputs!$B$18+0)/100)))*(1+(Inputs!$B$23+((C163=TRUE)*(F163-Calc!F22))+B172)/100)*(1+(IF(Skills!A8="HOOK_BOMBER",Inputs!$B$16+((C162=TRUE)*(F162-Calc!F21)),Inputs!$B$17+0))/100)*((1+(((C154=TRUE)*F154)+((C160=TRUE)*(F160-Calc!F19)))/100)*I149)</f>
        <v/>
      </c>
      <c r="L149">
        <f>K149*(MIN(Inputs!$B$21+((C161=TRUE)*(F161-Calc!F20)),Inputs!$B$22+0)/100+(Inputs!$B$22+0)/100)/2</f>
        <v/>
      </c>
      <c r="M149">
        <f>L149*(1+(Inputs!$B$9+0+B171)/100)</f>
        <v/>
      </c>
      <c r="N149">
        <f>L149*(1-MIN((Inputs!$B$8+((C157=TRUE)*(F157-Calc!F16))+B166),100)/100)+M149*(MIN((Inputs!$B$8+((C157=TRUE)*(F157-Calc!F16))+B166),100)/100)</f>
        <v/>
      </c>
      <c r="O149">
        <f>IF(C149,H149*N149*IF(AND(Inputs!$B$4&lt;&gt;"pvp",Inputs!$B$35&gt;0),((Skills!G8*((R149-1)*IF(Skills!H8&gt;0,Skills!I8/Skills!H8,1)+IF(Skills!H8&gt;0,MIN(Skills!I8,MAX(0,Inputs!$B$35-((R149-1)*IF(Inputs!$B$4="pvp",15,MAX(0.1,Skills!D8-IF(Skills!E8=TRUE,Inputs!$B$31,0))))))/Skills!H8,1)))/Inputs!$B$35),G149*Q149)*IF(Inputs!$B$4="pvp",1,(1-Summary!$B$55)*(1)+Summary!$B$55*(MIN(Skills!R8,Inputs!$B$37))),0)</f>
        <v/>
      </c>
      <c r="P149">
        <f>IF(B174=0,0,O149/B174)</f>
        <v/>
      </c>
      <c r="Q149">
        <f>IFERROR(1/IF(Inputs!$B$4="pvp",15,MAX(0.1,Skills!D8-IF(Skills!E8=TRUE,Inputs!$B$31,0))),0)</f>
        <v/>
      </c>
      <c r="R149">
        <f>IF(AND(Inputs!$B$4&lt;&gt;"pvp",Inputs!$B$35&gt;0),(INT(Inputs!$B$35/IF(Inputs!$B$4="pvp",15,MAX(0.1,Skills!D8-IF(Skills!E8=TRUE,Inputs!$B$31,0))))+1),0)</f>
        <v/>
      </c>
      <c r="S149">
        <f>IFERROR(O149/N149,0)</f>
        <v/>
      </c>
    </row>
    <row r="150">
      <c r="A150">
        <f>Skills!A9</f>
        <v/>
      </c>
      <c r="B150">
        <f>Skills!B9</f>
        <v/>
      </c>
      <c r="C150">
        <f>Inputs!$B$3&gt;=110</f>
        <v/>
      </c>
      <c r="D150">
        <f>IF(Skills!C9=1,60+Inputs!$B$24+Inputs!$B$28,IF(Skills!C9=2,90+Inputs!$B$25+Inputs!$B$28,IF(Skills!C9=3,120+Inputs!$B$26+Inputs!$B$28,MAX(0,(Inputs!$B$3-100)*3)+Inputs!$B$27+Inputs!$B$28)))</f>
        <v/>
      </c>
      <c r="E150">
        <f>INDEX(FactorTable!$B$2:$Y$301, MATCH(ROUND(MIN(300,MAX(1,D150)),0), FactorTable!$A$2:$A$301,0), Skills!M9+1)</f>
        <v/>
      </c>
      <c r="F150">
        <f>IF(Skills!N9=TRUE,(Skills!L9/10)*(E150/1000),Skills!L9/10)+Skills!O9</f>
        <v/>
      </c>
      <c r="G150">
        <f>Skills!G9*IF(Skills!H9&gt;0,Skills!I9/Skills!H9,1)</f>
        <v/>
      </c>
      <c r="H150">
        <f>1-(1-Skills!J9/100)^Skills!K9</f>
        <v/>
      </c>
      <c r="I150" t="inlineStr">
        <is>
          <t>1</t>
        </is>
      </c>
      <c r="J150">
        <f>(Inputs!$B$5*(1+Inputs!$B$6/100))*(F150/100)</f>
        <v/>
      </c>
      <c r="K150">
        <f>J150*(1+((Inputs!$B$11*(1+Inputs!$B$12/100))*0.01+Inputs!$B$13*0.0025)/100)*(1+(Inputs!$B$14+1)/100)*(1+IF(Inputs!$B$4="pvp",0,(1-Summary!$B$55)*(Inputs!$B$19+0+Skills!P9)+Summary!$B$55*(Inputs!$B$20+Skills!Q9))/100)*(1+Inputs!$B$15/100)*(5000/(6000+Inputs!$B$7*(1-(Inputs!$B$18+0)/100)))*(1+(Inputs!$B$23+((C163=TRUE)*(F163-Calc!F22))+B172)/100)*(1+(IF(Skills!A9="HOOK_BOMBER",Inputs!$B$16+((C162=TRUE)*(F162-Calc!F21)),Inputs!$B$17+0))/100)*((1+(((C154=TRUE)*F154)+((C160=TRUE)*(F160-Calc!F19)))/100)*I150)</f>
        <v/>
      </c>
      <c r="L150">
        <f>K150*(MIN(Inputs!$B$21+((C161=TRUE)*(F161-Calc!F20)),Inputs!$B$22+0)/100+(Inputs!$B$22+0)/100)/2</f>
        <v/>
      </c>
      <c r="M150">
        <f>L150*(1+(Inputs!$B$9+0+B171)/100)</f>
        <v/>
      </c>
      <c r="N150">
        <f>L150*(1-MIN((Inputs!$B$8+((C157=TRUE)*(F157-Calc!F16))+B166),100)/100)+M150*(MIN((Inputs!$B$8+((C157=TRUE)*(F157-Calc!F16))+B166),100)/100)</f>
        <v/>
      </c>
      <c r="O150">
        <f>IF(C150,H150*N150*IF(AND(Inputs!$B$4&lt;&gt;"pvp",Inputs!$B$35&gt;0),((Skills!G9*((R150-1)*IF(Skills!H9&gt;0,Skills!I9/Skills!H9,1)+IF(Skills!H9&gt;0,MIN(Skills!I9,MAX(0,Inputs!$B$35-((R150-1)*IF(Inputs!$B$4="pvp",15,MAX(0.1,Skills!D9-IF(Skills!E9=TRUE,Inputs!$B$31,0))))))/Skills!H9,1)))/Inputs!$B$35),G150*Q150)*IF(Inputs!$B$4="pvp",1,(1-Summary!$B$55)*(1)+Summary!$B$55*(MIN(Skills!R9,Inputs!$B$37))),0)</f>
        <v/>
      </c>
      <c r="P150">
        <f>IF(B174=0,0,O150/B174)</f>
        <v/>
      </c>
      <c r="Q150">
        <f>IFERROR(1/IF(Inputs!$B$4="pvp",15,MAX(0.1,Skills!D9-IF(Skills!E9=TRUE,Inputs!$B$31,0))),0)</f>
        <v/>
      </c>
      <c r="R150">
        <f>IF(AND(Inputs!$B$4&lt;&gt;"pvp",Inputs!$B$35&gt;0),(INT(Inputs!$B$35/IF(Inputs!$B$4="pvp",15,MAX(0.1,Skills!D9-IF(Skills!E9=TRUE,Inputs!$B$31,0))))+1),0)</f>
        <v/>
      </c>
      <c r="S150">
        <f>IFERROR(O150/N150,0)</f>
        <v/>
      </c>
    </row>
    <row r="151">
      <c r="A151">
        <f>Skills!A10</f>
        <v/>
      </c>
      <c r="B151">
        <f>Skills!B10</f>
        <v/>
      </c>
      <c r="C151">
        <f>Inputs!$B$3&gt;=103</f>
        <v/>
      </c>
      <c r="D151">
        <f>IF(Skills!C10=1,60+Inputs!$B$24+Inputs!$B$28,IF(Skills!C10=2,90+Inputs!$B$25+Inputs!$B$28,IF(Skills!C10=3,120+Inputs!$B$26+Inputs!$B$28,MAX(0,(Inputs!$B$3-100)*3)+Inputs!$B$27+Inputs!$B$28)))</f>
        <v/>
      </c>
      <c r="E151">
        <f>INDEX(FactorTable!$B$2:$Y$301, MATCH(ROUND(MIN(300,MAX(1,D151)),0), FactorTable!$A$2:$A$301,0), Skills!M10+1)</f>
        <v/>
      </c>
      <c r="F151">
        <f>IF(Skills!N10=TRUE,(Skills!L10/10)*(E151/1000),Skills!L10/10)+Skills!O10</f>
        <v/>
      </c>
      <c r="G151">
        <f>Skills!G10*IF(Skills!H10&gt;0,Skills!I10/Skills!H10,1)</f>
        <v/>
      </c>
      <c r="H151">
        <f>1-(1-Skills!J10/100)^Skills!K10</f>
        <v/>
      </c>
      <c r="I151" t="inlineStr">
        <is>
          <t>1</t>
        </is>
      </c>
      <c r="J151">
        <f>(Inputs!$B$5*(1+Inputs!$B$6/100))*(F151/100)</f>
        <v/>
      </c>
      <c r="K151">
        <f>J151*(1+((Inputs!$B$11*(1+Inputs!$B$12/100))*0.01+Inputs!$B$13*0.0025)/100)*(1+(Inputs!$B$14+1)/100)*(1+IF(Inputs!$B$4="pvp",0,(1-Summary!$B$55)*(Inputs!$B$19+0+Skills!P10)+Summary!$B$55*(Inputs!$B$20+Skills!Q10))/100)*(1+Inputs!$B$15/100)*(5000/(6000+Inputs!$B$7*(1-(Inputs!$B$18+0)/100)))*(1+(Inputs!$B$23+((C163=TRUE)*(F163-Calc!F22))+B172)/100)*(1+(IF(Skills!A10="HOOK_BOMBER",Inputs!$B$16+((C162=TRUE)*(F162-Calc!F21)),Inputs!$B$17+0))/100)*((1+(((C154=TRUE)*F154)+((C160=TRUE)*(F160-Calc!F19)))/100)*I151)</f>
        <v/>
      </c>
      <c r="L151">
        <f>K151*(MIN(Inputs!$B$21+((C161=TRUE)*(F161-Calc!F20)),Inputs!$B$22+0)/100+(Inputs!$B$22+0)/100)/2</f>
        <v/>
      </c>
      <c r="M151">
        <f>L151*(1+(Inputs!$B$9+0+B171)/100)</f>
        <v/>
      </c>
      <c r="N151">
        <f>L151*(1-MIN((Inputs!$B$8+((C157=TRUE)*(F157-Calc!F16))+B166),100)/100)+M151*(MIN((Inputs!$B$8+((C157=TRUE)*(F157-Calc!F16))+B166),100)/100)</f>
        <v/>
      </c>
      <c r="O151">
        <f>IF(C151,H151*N151*IF(AND(Inputs!$B$4&lt;&gt;"pvp",Inputs!$B$35&gt;0),((Skills!G10*((R151-1)*IF(Skills!H10&gt;0,Skills!I10/Skills!H10,1)+IF(Skills!H10&gt;0,MIN(Skills!I10,MAX(0,Inputs!$B$35-((R151-1)*IF(Inputs!$B$4="pvp",15,MAX(0.1,Skills!D10-IF(Skills!E10=TRUE,Inputs!$B$31,0))))))/Skills!H10,1)))/Inputs!$B$35),G151*Q151)*IF(Inputs!$B$4="pvp",1,(1-Summary!$B$55)*(1)+Summary!$B$55*(MIN(Skills!R10,Inputs!$B$37))),0)</f>
        <v/>
      </c>
      <c r="P151">
        <f>IF(B174=0,0,O151/B174)</f>
        <v/>
      </c>
      <c r="Q151">
        <f>IFERROR(1/IF(Inputs!$B$4="pvp",15,MAX(0.1,Skills!D10-IF(Skills!E10=TRUE,Inputs!$B$31,0))),0)</f>
        <v/>
      </c>
      <c r="R151">
        <f>IF(AND(Inputs!$B$4&lt;&gt;"pvp",Inputs!$B$35&gt;0),(INT(Inputs!$B$35/IF(Inputs!$B$4="pvp",15,MAX(0.1,Skills!D10-IF(Skills!E10=TRUE,Inputs!$B$31,0))))+1),0)</f>
        <v/>
      </c>
      <c r="S151">
        <f>IFERROR(O151/N151,0)</f>
        <v/>
      </c>
    </row>
    <row r="152">
      <c r="A152">
        <f>Skills!A11</f>
        <v/>
      </c>
      <c r="B152">
        <f>Skills!B11</f>
        <v/>
      </c>
      <c r="C152">
        <f>Inputs!$B$3&gt;=113</f>
        <v/>
      </c>
      <c r="D152">
        <f>IF(Skills!C11=1,60+Inputs!$B$24+Inputs!$B$28,IF(Skills!C11=2,90+Inputs!$B$25+Inputs!$B$28,IF(Skills!C11=3,120+Inputs!$B$26+Inputs!$B$28,MAX(0,(Inputs!$B$3-100)*3)+Inputs!$B$27+Inputs!$B$28)))</f>
        <v/>
      </c>
      <c r="E152">
        <f>INDEX(FactorTable!$B$2:$Y$301, MATCH(ROUND(MIN(300,MAX(1,D152)),0), FactorTable!$A$2:$A$301,0), Skills!M11+1)</f>
        <v/>
      </c>
      <c r="F152">
        <f>IF(Skills!N11=TRUE,(Skills!L11/10)*(E152/1000),Skills!L11/10)+Skills!O11</f>
        <v/>
      </c>
      <c r="G152">
        <f>Skills!G11*IF(Skills!H11&gt;0,Skills!I11/Skills!H11,1)</f>
        <v/>
      </c>
      <c r="H152">
        <f>1-(1-Skills!J11/100)^Skills!K11</f>
        <v/>
      </c>
      <c r="I152" t="inlineStr">
        <is>
          <t>1</t>
        </is>
      </c>
      <c r="J152">
        <f>(Inputs!$B$5*(1+Inputs!$B$6/100))*(F152/100)</f>
        <v/>
      </c>
      <c r="K152">
        <f>J152*(1+((Inputs!$B$11*(1+Inputs!$B$12/100))*0.01+Inputs!$B$13*0.0025)/100)*(1+(Inputs!$B$14+1)/100)*(1+IF(Inputs!$B$4="pvp",0,(1-Summary!$B$55)*(Inputs!$B$19+0+Skills!P11)+Summary!$B$55*(Inputs!$B$20+Skills!Q11))/100)*(1+Inputs!$B$15/100)*(5000/(6000+Inputs!$B$7*(1-(Inputs!$B$18+0)/100)))*(1+(Inputs!$B$23+((C163=TRUE)*(F163-Calc!F22))+B172)/100)*(1+(IF(Skills!A11="HOOK_BOMBER",Inputs!$B$16+((C162=TRUE)*(F162-Calc!F21)),Inputs!$B$17+0))/100)*((1+(((C154=TRUE)*F154)+((C160=TRUE)*(F160-Calc!F19)))/100)*I152)</f>
        <v/>
      </c>
      <c r="L152">
        <f>K152*(MIN(Inputs!$B$21+((C161=TRUE)*(F161-Calc!F20)),Inputs!$B$22+0)/100+(Inputs!$B$22+0)/100)/2</f>
        <v/>
      </c>
      <c r="M152">
        <f>L152*(1+(Inputs!$B$9+0+B171)/100)</f>
        <v/>
      </c>
      <c r="N152">
        <f>L152*(1-MIN((Inputs!$B$8+((C157=TRUE)*(F157-Calc!F16))+B166),100)/100)+M152*(MIN((Inputs!$B$8+((C157=TRUE)*(F157-Calc!F16))+B166),100)/100)</f>
        <v/>
      </c>
      <c r="O152">
        <f>IF(C152,H152*N152*IF(AND(Inputs!$B$4&lt;&gt;"pvp",Inputs!$B$35&gt;0),((Skills!G11*((R152-1)*IF(Skills!H11&gt;0,Skills!I11/Skills!H11,1)+IF(Skills!H11&gt;0,MIN(Skills!I11,MAX(0,Inputs!$B$35-((R152-1)*IF(Inputs!$B$4="pvp",15,MAX(0.1,Skills!D11-IF(Skills!E11=TRUE,Inputs!$B$31,0))))))/Skills!H11,1)))/Inputs!$B$35),G152*Q152)*IF(Inputs!$B$4="pvp",1,(1-Summary!$B$55)*(1)+Summary!$B$55*(MIN(Skills!R11,Inputs!$B$37))),0)</f>
        <v/>
      </c>
      <c r="P152">
        <f>IF(B174=0,0,O152/B174)</f>
        <v/>
      </c>
      <c r="Q152">
        <f>IFERROR(1/IF(Inputs!$B$4="pvp",15,MAX(0.1,Skills!D11-IF(Skills!E11=TRUE,Inputs!$B$31,0))),0)</f>
        <v/>
      </c>
      <c r="R152">
        <f>IF(AND(Inputs!$B$4&lt;&gt;"pvp",Inputs!$B$35&gt;0),(INT(Inputs!$B$35/IF(Inputs!$B$4="pvp",15,MAX(0.1,Skills!D11-IF(Skills!E11=TRUE,Inputs!$B$31,0))))+1),0)</f>
        <v/>
      </c>
      <c r="S152">
        <f>IFERROR(O152/N152,0)</f>
        <v/>
      </c>
    </row>
    <row r="153">
      <c r="A153">
        <f>Skills!A12</f>
        <v/>
      </c>
      <c r="B153">
        <f>Skills!B12</f>
        <v/>
      </c>
      <c r="C153">
        <f>Inputs!$B$3&gt;=100</f>
        <v/>
      </c>
      <c r="D153">
        <f>IF(Skills!C12=1,60+Inputs!$B$24+Inputs!$B$28,IF(Skills!C12=2,90+Inputs!$B$25+Inputs!$B$28,IF(Skills!C12=3,120+Inputs!$B$26+Inputs!$B$28,MAX(0,(Inputs!$B$3-100)*3)+Inputs!$B$27+Inputs!$B$28)))</f>
        <v/>
      </c>
      <c r="E153">
        <f>INDEX(FactorTable!$B$2:$Y$301, MATCH(ROUND(MIN(300,MAX(1,D153)),0), FactorTable!$A$2:$A$301,0), Skills!M12+1)</f>
        <v/>
      </c>
      <c r="F153">
        <f>IF(Skills!N12=TRUE,(Skills!L12/10)*(E153/1000),Skills!L12/10)+Skills!O12</f>
        <v/>
      </c>
      <c r="G153" t="inlineStr"/>
      <c r="H153" t="inlineStr"/>
      <c r="I153" t="inlineStr">
        <is>
          <t>1</t>
        </is>
      </c>
      <c r="J153" t="inlineStr"/>
      <c r="K153" t="inlineStr"/>
      <c r="L153" t="inlineStr"/>
      <c r="M153" t="inlineStr"/>
      <c r="N153" t="inlineStr"/>
      <c r="O153" t="inlineStr"/>
      <c r="P153" t="inlineStr"/>
      <c r="Q153" t="inlineStr"/>
      <c r="R153" t="inlineStr"/>
      <c r="S153" t="inlineStr"/>
    </row>
    <row r="154">
      <c r="A154">
        <f>Skills!A13</f>
        <v/>
      </c>
      <c r="B154">
        <f>Skills!B13</f>
        <v/>
      </c>
      <c r="C154">
        <f>Inputs!$B$3&gt;=66</f>
        <v/>
      </c>
      <c r="D154">
        <f>IF(Skills!C13=1,60+Inputs!$B$24+Inputs!$B$28,IF(Skills!C13=2,90+Inputs!$B$25+Inputs!$B$28,IF(Skills!C13=3,120+Inputs!$B$26+Inputs!$B$28,MAX(0,(Inputs!$B$3-100)*3)+Inputs!$B$27+Inputs!$B$28)))</f>
        <v/>
      </c>
      <c r="E154">
        <f>INDEX(FactorTable!$B$2:$Y$301, MATCH(ROUND(MIN(300,MAX(1,D154)),0), FactorTable!$A$2:$A$301,0), Skills!M13+1)</f>
        <v/>
      </c>
      <c r="F154">
        <f>IF(Skills!N13=TRUE,(Skills!L13/10)*(E154/1000),Skills!L13/10)+Skills!O13</f>
        <v/>
      </c>
      <c r="G154">
        <f>Skills!G13*IF(Skills!H13&gt;0,Skills!I13/Skills!H13,1)</f>
        <v/>
      </c>
      <c r="H154">
        <f>1-(1-Skills!J13/100)^Skills!K13</f>
        <v/>
      </c>
      <c r="I154" t="inlineStr">
        <is>
          <t>1</t>
        </is>
      </c>
      <c r="J154" t="inlineStr"/>
      <c r="K154" t="inlineStr"/>
      <c r="L154" t="inlineStr"/>
      <c r="M154" t="inlineStr"/>
      <c r="N154" t="inlineStr"/>
      <c r="O154" t="n">
        <v>0</v>
      </c>
      <c r="P154">
        <f>IF(B174=0,0,O154/B174)</f>
        <v/>
      </c>
      <c r="Q154" t="n">
        <v>0</v>
      </c>
      <c r="R154" t="n">
        <v>0</v>
      </c>
      <c r="S154">
        <f>IFERROR(O154/N154,0)</f>
        <v/>
      </c>
    </row>
    <row r="155">
      <c r="A155">
        <f>Skills!A14</f>
        <v/>
      </c>
      <c r="B155">
        <f>Skills!B14</f>
        <v/>
      </c>
      <c r="C155">
        <f>Inputs!$B$3&gt;=107</f>
        <v/>
      </c>
      <c r="D155">
        <f>IF(Skills!C14=1,60+Inputs!$B$24+Inputs!$B$28,IF(Skills!C14=2,90+Inputs!$B$25+Inputs!$B$28,IF(Skills!C14=3,120+Inputs!$B$26+Inputs!$B$28,MAX(0,(Inputs!$B$3-100)*3)+Inputs!$B$27+Inputs!$B$28)))</f>
        <v/>
      </c>
      <c r="E155">
        <f>INDEX(FactorTable!$B$2:$Y$301, MATCH(ROUND(MIN(300,MAX(1,D155)),0), FactorTable!$A$2:$A$301,0), Skills!M14+1)</f>
        <v/>
      </c>
      <c r="F155">
        <f>IF(Skills!N14=TRUE,(Skills!L14/10)*(E155/1000),Skills!L14/10)+Skills!O14</f>
        <v/>
      </c>
      <c r="G155">
        <f>Skills!G14*IF(Skills!H14&gt;0,Skills!I14/Skills!H14,1)</f>
        <v/>
      </c>
      <c r="H155">
        <f>1-(1-Skills!J14/100)^Skills!K14</f>
        <v/>
      </c>
      <c r="I155" t="inlineStr">
        <is>
          <t>1</t>
        </is>
      </c>
      <c r="J155" t="inlineStr"/>
      <c r="K155" t="inlineStr"/>
      <c r="L155" t="inlineStr"/>
      <c r="M155" t="inlineStr"/>
      <c r="N155" t="inlineStr"/>
      <c r="O155" t="n">
        <v>0</v>
      </c>
      <c r="P155">
        <f>IF(B174=0,0,O155/B174)</f>
        <v/>
      </c>
      <c r="Q155" t="n">
        <v>0</v>
      </c>
      <c r="R155" t="n">
        <v>0</v>
      </c>
      <c r="S155">
        <f>IFERROR(O155/N155,0)</f>
        <v/>
      </c>
    </row>
    <row r="156">
      <c r="A156">
        <f>Skills!A15</f>
        <v/>
      </c>
      <c r="B156">
        <f>Skills!B15</f>
        <v/>
      </c>
      <c r="C156">
        <f>Inputs!$B$3&gt;=115</f>
        <v/>
      </c>
      <c r="D156">
        <f>IF(Skills!C15=1,60+Inputs!$B$24+Inputs!$B$28,IF(Skills!C15=2,90+Inputs!$B$25+Inputs!$B$28,IF(Skills!C15=3,120+Inputs!$B$26+Inputs!$B$28,MAX(0,(Inputs!$B$3-100)*3)+Inputs!$B$27+Inputs!$B$28)))</f>
        <v/>
      </c>
      <c r="E156">
        <f>INDEX(FactorTable!$B$2:$Y$301, MATCH(ROUND(MIN(300,MAX(1,D156)),0), FactorTable!$A$2:$A$301,0), Skills!M15+1)</f>
        <v/>
      </c>
      <c r="F156">
        <f>IF(Skills!N15=TRUE,(Skills!L15/10)*(E156/1000),Skills!L15/10)+Skills!O15</f>
        <v/>
      </c>
      <c r="G156">
        <f>Skills!G15*IF(Skills!H15&gt;0,Skills!I15/Skills!H15,1)</f>
        <v/>
      </c>
      <c r="H156">
        <f>1-(1-Skills!J15/100)^Skills!K15</f>
        <v/>
      </c>
      <c r="I156" t="inlineStr">
        <is>
          <t>1</t>
        </is>
      </c>
      <c r="J156" t="inlineStr"/>
      <c r="K156" t="inlineStr"/>
      <c r="L156" t="inlineStr"/>
      <c r="M156" t="inlineStr"/>
      <c r="N156" t="inlineStr"/>
      <c r="O156" t="n">
        <v>0</v>
      </c>
      <c r="P156">
        <f>IF(B174=0,0,O156/B174)</f>
        <v/>
      </c>
      <c r="Q156" t="n">
        <v>0</v>
      </c>
      <c r="R156" t="n">
        <v>0</v>
      </c>
      <c r="S156">
        <f>IFERROR(O156/N156,0)</f>
        <v/>
      </c>
    </row>
    <row r="157">
      <c r="A157">
        <f>Skills!A16</f>
        <v/>
      </c>
      <c r="B157">
        <f>Skills!B16</f>
        <v/>
      </c>
      <c r="C157">
        <f>Inputs!$B$3&gt;=15</f>
        <v/>
      </c>
      <c r="D157">
        <f>IF(Skills!C16=1,60+Inputs!$B$24+Inputs!$B$28,IF(Skills!C16=2,90+Inputs!$B$25+Inputs!$B$28,IF(Skills!C16=3,120+Inputs!$B$26+Inputs!$B$28,MAX(0,(Inputs!$B$3-100)*3)+Inputs!$B$27+Inputs!$B$28)))</f>
        <v/>
      </c>
      <c r="E157">
        <f>INDEX(FactorTable!$B$2:$Y$301, MATCH(ROUND(MIN(300,MAX(1,D157)),0), FactorTable!$A$2:$A$301,0), Skills!M16+1)</f>
        <v/>
      </c>
      <c r="F157">
        <f>IF(Skills!N16=TRUE,(Skills!L16/10)*(E157/1000),Skills!L16/10)+Skills!O16</f>
        <v/>
      </c>
      <c r="G157">
        <f>Skills!G16*IF(Skills!H16&gt;0,Skills!I16/Skills!H16,1)</f>
        <v/>
      </c>
      <c r="H157">
        <f>1-(1-Skills!J16/100)^Skills!K16</f>
        <v/>
      </c>
      <c r="I157" t="inlineStr">
        <is>
          <t>1</t>
        </is>
      </c>
      <c r="J157" t="inlineStr"/>
      <c r="K157" t="inlineStr"/>
      <c r="L157" t="inlineStr"/>
      <c r="M157" t="inlineStr"/>
      <c r="N157" t="inlineStr"/>
      <c r="O157" t="n">
        <v>0</v>
      </c>
      <c r="P157">
        <f>IF(B174=0,0,O157/B174)</f>
        <v/>
      </c>
      <c r="Q157" t="n">
        <v>0</v>
      </c>
      <c r="R157" t="n">
        <v>0</v>
      </c>
      <c r="S157">
        <f>IFERROR(O157/N157,0)</f>
        <v/>
      </c>
    </row>
    <row r="158">
      <c r="A158">
        <f>Skills!A17</f>
        <v/>
      </c>
      <c r="B158">
        <f>Skills!B17</f>
        <v/>
      </c>
      <c r="C158">
        <f>Inputs!$B$3&gt;=10</f>
        <v/>
      </c>
      <c r="D158">
        <f>IF(Skills!C17=1,60+Inputs!$B$24+Inputs!$B$28,IF(Skills!C17=2,90+Inputs!$B$25+Inputs!$B$28,IF(Skills!C17=3,120+Inputs!$B$26+Inputs!$B$28,MAX(0,(Inputs!$B$3-100)*3)+Inputs!$B$27+Inputs!$B$28)))</f>
        <v/>
      </c>
      <c r="E158">
        <f>INDEX(FactorTable!$B$2:$Y$301, MATCH(ROUND(MIN(300,MAX(1,D158)),0), FactorTable!$A$2:$A$301,0), Skills!M17+1)</f>
        <v/>
      </c>
      <c r="F158">
        <f>IF(Skills!N17=TRUE,(Skills!L17/10)*(E158/1000),Skills!L17/10)+Skills!O17</f>
        <v/>
      </c>
      <c r="G158">
        <f>Skills!G17*IF(Skills!H17&gt;0,Skills!I17/Skills!H17,1)</f>
        <v/>
      </c>
      <c r="H158">
        <f>1-(1-Skills!J17/100)^Skills!K17</f>
        <v/>
      </c>
      <c r="I158" t="inlineStr">
        <is>
          <t>1</t>
        </is>
      </c>
      <c r="J158" t="inlineStr"/>
      <c r="K158" t="inlineStr"/>
      <c r="L158" t="inlineStr"/>
      <c r="M158" t="inlineStr"/>
      <c r="N158" t="inlineStr"/>
      <c r="O158" t="n">
        <v>0</v>
      </c>
      <c r="P158">
        <f>IF(B174=0,0,O158/B174)</f>
        <v/>
      </c>
      <c r="Q158" t="n">
        <v>0</v>
      </c>
      <c r="R158" t="n">
        <v>0</v>
      </c>
      <c r="S158">
        <f>IFERROR(O158/N158,0)</f>
        <v/>
      </c>
    </row>
    <row r="159">
      <c r="A159">
        <f>Skills!A18</f>
        <v/>
      </c>
      <c r="B159">
        <f>Skills!B18</f>
        <v/>
      </c>
      <c r="C159">
        <f>Inputs!$B$3&gt;=33</f>
        <v/>
      </c>
      <c r="D159">
        <f>IF(Skills!C18=1,60+Inputs!$B$24+Inputs!$B$28,IF(Skills!C18=2,90+Inputs!$B$25+Inputs!$B$28,IF(Skills!C18=3,120+Inputs!$B$26+Inputs!$B$28,MAX(0,(Inputs!$B$3-100)*3)+Inputs!$B$27+Inputs!$B$28)))</f>
        <v/>
      </c>
      <c r="E159">
        <f>INDEX(FactorTable!$B$2:$Y$301, MATCH(ROUND(MIN(300,MAX(1,D159)),0), FactorTable!$A$2:$A$301,0), Skills!M18+1)</f>
        <v/>
      </c>
      <c r="F159">
        <f>IF(Skills!N18=TRUE,(Skills!L18/10)*(E159/1000),Skills!L18/10)+Skills!O18</f>
        <v/>
      </c>
      <c r="G159">
        <f>Skills!G18*IF(Skills!H18&gt;0,Skills!I18/Skills!H18,1)</f>
        <v/>
      </c>
      <c r="H159">
        <f>1-(1-Skills!J18/100)^Skills!K18</f>
        <v/>
      </c>
      <c r="I159" t="inlineStr">
        <is>
          <t>1</t>
        </is>
      </c>
      <c r="J159" t="inlineStr"/>
      <c r="K159" t="inlineStr"/>
      <c r="L159" t="inlineStr"/>
      <c r="M159" t="inlineStr"/>
      <c r="N159" t="inlineStr"/>
      <c r="O159" t="n">
        <v>0</v>
      </c>
      <c r="P159">
        <f>IF(B174=0,0,O159/B174)</f>
        <v/>
      </c>
      <c r="Q159" t="n">
        <v>0</v>
      </c>
      <c r="R159" t="n">
        <v>0</v>
      </c>
      <c r="S159">
        <f>IFERROR(O159/N159,0)</f>
        <v/>
      </c>
    </row>
    <row r="160">
      <c r="A160">
        <f>Skills!A19</f>
        <v/>
      </c>
      <c r="B160">
        <f>Skills!B19</f>
        <v/>
      </c>
      <c r="C160">
        <f>Inputs!$B$3&gt;=40</f>
        <v/>
      </c>
      <c r="D160">
        <f>IF(Skills!C19=1,60+Inputs!$B$24+Inputs!$B$28,IF(Skills!C19=2,90+Inputs!$B$25+Inputs!$B$28,IF(Skills!C19=3,120+Inputs!$B$26+Inputs!$B$28,MAX(0,(Inputs!$B$3-100)*3)+Inputs!$B$27+Inputs!$B$28)))</f>
        <v/>
      </c>
      <c r="E160">
        <f>INDEX(FactorTable!$B$2:$Y$301, MATCH(ROUND(MIN(300,MAX(1,D160)),0), FactorTable!$A$2:$A$301,0), Skills!M19+1)</f>
        <v/>
      </c>
      <c r="F160">
        <f>IF(Skills!N19=TRUE,(Skills!L19/10)*(E160/1000),Skills!L19/10)+Skills!O19</f>
        <v/>
      </c>
      <c r="G160">
        <f>Skills!G19*IF(Skills!H19&gt;0,Skills!I19/Skills!H19,1)</f>
        <v/>
      </c>
      <c r="H160">
        <f>1-(1-Skills!J19/100)^Skills!K19</f>
        <v/>
      </c>
      <c r="I160" t="inlineStr">
        <is>
          <t>1</t>
        </is>
      </c>
      <c r="J160" t="inlineStr"/>
      <c r="K160" t="inlineStr"/>
      <c r="L160" t="inlineStr"/>
      <c r="M160" t="inlineStr"/>
      <c r="N160" t="inlineStr"/>
      <c r="O160" t="n">
        <v>0</v>
      </c>
      <c r="P160">
        <f>IF(B174=0,0,O160/B174)</f>
        <v/>
      </c>
      <c r="Q160" t="n">
        <v>0</v>
      </c>
      <c r="R160" t="n">
        <v>0</v>
      </c>
      <c r="S160">
        <f>IFERROR(O160/N160,0)</f>
        <v/>
      </c>
    </row>
    <row r="161">
      <c r="A161">
        <f>Skills!A20</f>
        <v/>
      </c>
      <c r="B161">
        <f>Skills!B20</f>
        <v/>
      </c>
      <c r="C161">
        <f>Inputs!$B$3&gt;=43</f>
        <v/>
      </c>
      <c r="D161">
        <f>IF(Skills!C20=1,60+Inputs!$B$24+Inputs!$B$28,IF(Skills!C20=2,90+Inputs!$B$25+Inputs!$B$28,IF(Skills!C20=3,120+Inputs!$B$26+Inputs!$B$28,MAX(0,(Inputs!$B$3-100)*3)+Inputs!$B$27+Inputs!$B$28)))</f>
        <v/>
      </c>
      <c r="E161">
        <f>INDEX(FactorTable!$B$2:$Y$301, MATCH(ROUND(MIN(300,MAX(1,D161)),0), FactorTable!$A$2:$A$301,0), Skills!M20+1)</f>
        <v/>
      </c>
      <c r="F161">
        <f>IF(Skills!N20=TRUE,(Skills!L20/10)*(E161/1000),Skills!L20/10)+Skills!O20</f>
        <v/>
      </c>
      <c r="G161">
        <f>Skills!G20*IF(Skills!H20&gt;0,Skills!I20/Skills!H20,1)</f>
        <v/>
      </c>
      <c r="H161">
        <f>1-(1-Skills!J20/100)^Skills!K20</f>
        <v/>
      </c>
      <c r="I161" t="inlineStr">
        <is>
          <t>1</t>
        </is>
      </c>
      <c r="J161" t="inlineStr"/>
      <c r="K161" t="inlineStr"/>
      <c r="L161" t="inlineStr"/>
      <c r="M161" t="inlineStr"/>
      <c r="N161" t="inlineStr"/>
      <c r="O161" t="n">
        <v>0</v>
      </c>
      <c r="P161">
        <f>IF(B174=0,0,O161/B174)</f>
        <v/>
      </c>
      <c r="Q161" t="n">
        <v>0</v>
      </c>
      <c r="R161" t="n">
        <v>0</v>
      </c>
      <c r="S161">
        <f>IFERROR(O161/N161,0)</f>
        <v/>
      </c>
    </row>
    <row r="162">
      <c r="A162">
        <f>Skills!A21</f>
        <v/>
      </c>
      <c r="B162">
        <f>Skills!B21</f>
        <v/>
      </c>
      <c r="C162">
        <f>Inputs!$B$3&gt;=38</f>
        <v/>
      </c>
      <c r="D162">
        <f>IF(Skills!C21=1,60+Inputs!$B$24+Inputs!$B$28,IF(Skills!C21=2,90+Inputs!$B$25+Inputs!$B$28,IF(Skills!C21=3,120+Inputs!$B$26+Inputs!$B$28,MAX(0,(Inputs!$B$3-100)*3)+Inputs!$B$27+Inputs!$B$28)))</f>
        <v/>
      </c>
      <c r="E162">
        <f>INDEX(FactorTable!$B$2:$Y$301, MATCH(ROUND(MIN(300,MAX(1,D162)),0), FactorTable!$A$2:$A$301,0), Skills!M21+1)</f>
        <v/>
      </c>
      <c r="F162">
        <f>IF(Skills!N21=TRUE,(Skills!L21/10)*(E162/1000),Skills!L21/10)+Skills!O21</f>
        <v/>
      </c>
      <c r="G162">
        <f>Skills!G21*IF(Skills!H21&gt;0,Skills!I21/Skills!H21,1)</f>
        <v/>
      </c>
      <c r="H162">
        <f>1-(1-Skills!J21/100)^Skills!K21</f>
        <v/>
      </c>
      <c r="I162" t="inlineStr">
        <is>
          <t>1</t>
        </is>
      </c>
      <c r="J162" t="inlineStr"/>
      <c r="K162" t="inlineStr"/>
      <c r="L162" t="inlineStr"/>
      <c r="M162" t="inlineStr"/>
      <c r="N162" t="inlineStr"/>
      <c r="O162" t="n">
        <v>0</v>
      </c>
      <c r="P162">
        <f>IF(B174=0,0,O162/B174)</f>
        <v/>
      </c>
      <c r="Q162" t="n">
        <v>0</v>
      </c>
      <c r="R162" t="n">
        <v>0</v>
      </c>
      <c r="S162">
        <f>IFERROR(O162/N162,0)</f>
        <v/>
      </c>
    </row>
    <row r="163">
      <c r="A163">
        <f>Skills!A22</f>
        <v/>
      </c>
      <c r="B163">
        <f>Skills!B22</f>
        <v/>
      </c>
      <c r="C163">
        <f>Inputs!$B$3&gt;=75</f>
        <v/>
      </c>
      <c r="D163">
        <f>IF(Skills!C22=1,60+Inputs!$B$24+Inputs!$B$28,IF(Skills!C22=2,90+Inputs!$B$25+Inputs!$B$28,IF(Skills!C22=3,120+Inputs!$B$26+Inputs!$B$28,MAX(0,(Inputs!$B$3-100)*3)+Inputs!$B$27+Inputs!$B$28)))</f>
        <v/>
      </c>
      <c r="E163">
        <f>INDEX(FactorTable!$B$2:$Y$301, MATCH(ROUND(MIN(300,MAX(1,D163)),0), FactorTable!$A$2:$A$301,0), Skills!M22+1)</f>
        <v/>
      </c>
      <c r="F163">
        <f>IF(Skills!N22=TRUE,(Skills!L22/10)*(E163/1000),Skills!L22/10)+Skills!O22</f>
        <v/>
      </c>
      <c r="G163">
        <f>Skills!G22*IF(Skills!H22&gt;0,Skills!I22/Skills!H22,1)</f>
        <v/>
      </c>
      <c r="H163">
        <f>1-(1-Skills!J22/100)^Skills!K22</f>
        <v/>
      </c>
      <c r="I163" t="inlineStr">
        <is>
          <t>1</t>
        </is>
      </c>
      <c r="J163" t="inlineStr"/>
      <c r="K163" t="inlineStr"/>
      <c r="L163" t="inlineStr"/>
      <c r="M163" t="inlineStr"/>
      <c r="N163" t="inlineStr"/>
      <c r="O163" t="n">
        <v>0</v>
      </c>
      <c r="P163">
        <f>IF(B174=0,0,O163/B174)</f>
        <v/>
      </c>
      <c r="Q163" t="n">
        <v>0</v>
      </c>
      <c r="R163" t="n">
        <v>0</v>
      </c>
      <c r="S163">
        <f>IFERROR(O163/N163,0)</f>
        <v/>
      </c>
    </row>
    <row r="165">
      <c r="A165" t="inlineStr">
        <is>
          <t>Attack% Bucket Multiplier</t>
        </is>
      </c>
      <c r="B165">
        <f>(1+(((C154=TRUE)*F154)+((C160=TRUE)*(F160-Calc!F19)))/100)</f>
        <v/>
      </c>
    </row>
    <row r="166">
      <c r="A166" t="inlineStr">
        <is>
          <t>Global Crit Rate Bonus %</t>
        </is>
      </c>
      <c r="B166" t="n">
        <v>0</v>
      </c>
    </row>
    <row r="167">
      <c r="A167" t="inlineStr">
        <is>
          <t>Attack Speed Buff Bonus % (unused)</t>
        </is>
      </c>
      <c r="B167" t="n">
        <v>0</v>
      </c>
    </row>
    <row r="168">
      <c r="A168" t="inlineStr">
        <is>
          <t>Actions Per Second</t>
        </is>
      </c>
      <c r="B168">
        <f>1+MIN(150,150*(1-(1-(Inputs!$B$10+((C158=TRUE)*(F158-Calc!F17))+((C159=TRUE)*(F159-Calc!F18)))/150)*(1-B167/150)))/100</f>
        <v/>
      </c>
    </row>
    <row r="169">
      <c r="A169" t="inlineStr">
        <is>
          <t>Skill + Buff Cast Rate</t>
        </is>
      </c>
      <c r="B169">
        <f>IF(AND(Inputs!$B$4&lt;&gt;"pvp",Inputs!$B$35&gt;0),SUMPRODUCT((Skills!E2:E22=TRUE)*(C143:C163=TRUE)*R143:R163*Skills!F2:F22)/Inputs!$B$35,SUMPRODUCT((Skills!E2:E22=TRUE)*(C143:C163=TRUE)*Q143:Q163*Skills!F2:F22))</f>
        <v/>
      </c>
    </row>
    <row r="170">
      <c r="A170" t="inlineStr">
        <is>
          <t>Hook Bomber Casts Per Second</t>
        </is>
      </c>
      <c r="B170">
        <f>MAX(0,B168-B169)</f>
        <v/>
      </c>
    </row>
    <row r="171">
      <c r="A171" t="inlineStr">
        <is>
          <t>Global Critical Damage Bonus % (unused)</t>
        </is>
      </c>
      <c r="B171" t="n">
        <v>0</v>
      </c>
    </row>
    <row r="172">
      <c r="A172" t="inlineStr">
        <is>
          <t>Global Final Damage Bonus % (Serpent Scale + Crossbones + Time Leap + Speed Infusion)</t>
        </is>
      </c>
      <c r="B172">
        <f>((C146=TRUE)*F146*((10+IF(Inputs!$B$3&gt;=94,5,0))/((10+IF(Inputs!$B$3&gt;=94,5,0))+5/(B170*(1+IF(Inputs!$B$3&gt;=104,1,0))))))+((C155=TRUE)*F155)+((C156=TRUE)*F156)+((Inputs!$B$3&gt;=110)*20*(B168-1))</f>
        <v/>
      </c>
    </row>
    <row r="174">
      <c r="A174" s="5" t="inlineStr">
        <is>
          <t>TOTAL DPS</t>
        </is>
      </c>
      <c r="B174" s="5">
        <f>SUM(O143:O163)</f>
        <v/>
      </c>
    </row>
    <row r="177">
      <c r="A177" s="5" t="inlineStr">
        <is>
          <t>Stat: DAMAGE_AMP %</t>
        </is>
      </c>
    </row>
    <row r="178">
      <c r="A178" s="8" t="inlineStr">
        <is>
          <t>Key</t>
        </is>
      </c>
      <c r="B178" s="8" t="inlineStr">
        <is>
          <t>Name</t>
        </is>
      </c>
      <c r="C178" s="8" t="inlineStr">
        <is>
          <t>Unlocked</t>
        </is>
      </c>
      <c r="D178" s="8" t="inlineStr">
        <is>
          <t>InputLevel</t>
        </is>
      </c>
      <c r="E178" s="8" t="inlineStr">
        <is>
          <t>Factor</t>
        </is>
      </c>
      <c r="F178" s="8" t="inlineStr">
        <is>
          <t>CoefficientPercent</t>
        </is>
      </c>
      <c r="G178" s="8" t="inlineStr">
        <is>
          <t>EffectiveHits</t>
        </is>
      </c>
      <c r="H178" s="8" t="inlineStr">
        <is>
          <t>ProcProbability</t>
        </is>
      </c>
      <c r="I178" s="8" t="inlineStr">
        <is>
          <t>MapleHeroMultiplier</t>
        </is>
      </c>
      <c r="J178" s="8" t="inlineStr">
        <is>
          <t>BaseDamage</t>
        </is>
      </c>
      <c r="K178" s="8" t="inlineStr">
        <is>
          <t>BaseHitDamage</t>
        </is>
      </c>
      <c r="L178" s="8" t="inlineStr">
        <is>
          <t>NonCritAvg</t>
        </is>
      </c>
      <c r="M178" s="8" t="inlineStr">
        <is>
          <t>CritAvg</t>
        </is>
      </c>
      <c r="N178" s="8" t="inlineStr">
        <is>
          <t>ExpectedDamage(perHit)</t>
        </is>
      </c>
      <c r="O178" s="8" t="inlineStr">
        <is>
          <t>DPS</t>
        </is>
      </c>
      <c r="P178" s="8" t="inlineStr">
        <is>
          <t>% of Total</t>
        </is>
      </c>
      <c r="Q178" s="8" t="inlineStr">
        <is>
          <t>InvCooldown</t>
        </is>
      </c>
      <c r="R178" s="8" t="inlineStr">
        <is>
          <t>CastsInFight</t>
        </is>
      </c>
      <c r="S178" s="8" t="inlineStr">
        <is>
          <t>HitRate(perSec)</t>
        </is>
      </c>
      <c r="U178" t="inlineStr">
        <is>
          <t>helpers</t>
        </is>
      </c>
    </row>
    <row r="179">
      <c r="A179">
        <f>Skills!A2</f>
        <v/>
      </c>
      <c r="B179">
        <f>Skills!B2</f>
        <v/>
      </c>
      <c r="C179">
        <f>Inputs!$B$3&gt;=100</f>
        <v/>
      </c>
      <c r="D179" t="inlineStr"/>
      <c r="E179" t="inlineStr"/>
      <c r="F179">
        <f>U181+Skills!O2</f>
        <v/>
      </c>
      <c r="G179">
        <f>Skills!G2*IF(Skills!H2&gt;0,Skills!I2/Skills!H2,1)</f>
        <v/>
      </c>
      <c r="H179">
        <f>1-(1-Skills!J2/100)^Skills!K2</f>
        <v/>
      </c>
      <c r="I179" t="inlineStr">
        <is>
          <t>1</t>
        </is>
      </c>
      <c r="J179">
        <f>(Inputs!$B$5*(1+Inputs!$B$6/100))*(F179/100)</f>
        <v/>
      </c>
      <c r="K179">
        <f>J179*(1+((Inputs!$B$11*(1+Inputs!$B$12/100))*0.01+Inputs!$B$13*0.0025)/100)*(1+Inputs!$B$14/100)*(1+IF(Inputs!$B$4="pvp",0,(1-Summary!$B$55)*(Inputs!$B$19+0+Skills!P2)+Summary!$B$55*(Inputs!$B$20+Skills!Q2))/100)*(1+(Inputs!$B$15+1)/100)*(5000/(6000+Inputs!$B$7*(1-(Inputs!$B$18+0)/100)))*(1+(Inputs!$B$23+((C199=TRUE)*(F199-Calc!F22))+B208)/100)*(1+(IF(Skills!A2="HOOK_BOMBER",Inputs!$B$16+((C198=TRUE)*(F198-Calc!F21)),Inputs!$B$17+0))/100)*((1+(((C190=TRUE)*F190)+((C196=TRUE)*(F196-Calc!F19)))/100)*I179)</f>
        <v/>
      </c>
      <c r="L179">
        <f>K179*(MIN(Inputs!$B$21+((C197=TRUE)*(F197-Calc!F20)),Inputs!$B$22+0)/100+(Inputs!$B$22+0)/100)/2</f>
        <v/>
      </c>
      <c r="M179">
        <f>L179*(1+(Inputs!$B$9+0+B207)/100)</f>
        <v/>
      </c>
      <c r="N179">
        <f>L179*(1-MIN((Inputs!$B$8+((C193=TRUE)*(F193-Calc!F16))+B202),100)/100)+M179*(MIN((Inputs!$B$8+((C193=TRUE)*(F193-Calc!F16))+B202),100)/100)</f>
        <v/>
      </c>
      <c r="O179">
        <f>IF(C179,Skills!G2*N179*B206*IF(Inputs!$B$4="pvp",1,(1-Summary!$B$55)*(1)+Summary!$B$55*(MIN((6+Inputs!$B$32),Inputs!$B$37))),0)</f>
        <v/>
      </c>
      <c r="P179">
        <f>IF(B210=0,0,O179/B210)</f>
        <v/>
      </c>
      <c r="Q179" t="n">
        <v>0</v>
      </c>
      <c r="R179" t="n">
        <v>0</v>
      </c>
      <c r="S179">
        <f>IFERROR(O179/N179,0)</f>
        <v/>
      </c>
      <c r="U179">
        <f>MAX(0,(Inputs!$B$3-100)*3)+Inputs!$B$27+Inputs!$B$28</f>
        <v/>
      </c>
    </row>
    <row r="180">
      <c r="A180">
        <f>Skills!A3</f>
        <v/>
      </c>
      <c r="B180">
        <f>Skills!B3</f>
        <v/>
      </c>
      <c r="C180">
        <f>Inputs!$B$3&gt;=35</f>
        <v/>
      </c>
      <c r="D180">
        <f>IF(Skills!C3=1,60+Inputs!$B$24+Inputs!$B$28,IF(Skills!C3=2,90+Inputs!$B$25+Inputs!$B$28,IF(Skills!C3=3,120+Inputs!$B$26+Inputs!$B$28,MAX(0,(Inputs!$B$3-100)*3)+Inputs!$B$27+Inputs!$B$28)))</f>
        <v/>
      </c>
      <c r="E180">
        <f>INDEX(FactorTable!$B$2:$Y$301, MATCH(ROUND(MIN(300,MAX(1,D180)),0), FactorTable!$A$2:$A$301,0), Skills!M3+1)</f>
        <v/>
      </c>
      <c r="F180">
        <f>IF(Skills!N3=TRUE,(Skills!L3/10)*(E180/1000),Skills!L3/10)+Skills!O3</f>
        <v/>
      </c>
      <c r="G180">
        <f>Skills!G3*IF(Skills!H3&gt;0,Skills!I3/Skills!H3,1)</f>
        <v/>
      </c>
      <c r="H180">
        <f>1-(1-Skills!J3/100)^Skills!K3</f>
        <v/>
      </c>
      <c r="I180" t="inlineStr">
        <is>
          <t>1</t>
        </is>
      </c>
      <c r="J180">
        <f>(Inputs!$B$5*(1+Inputs!$B$6/100))*(F180/100)</f>
        <v/>
      </c>
      <c r="K180">
        <f>J180*(1+((Inputs!$B$11*(1+Inputs!$B$12/100))*0.01+Inputs!$B$13*0.0025)/100)*(1+Inputs!$B$14/100)*(1+IF(Inputs!$B$4="pvp",0,(1-Summary!$B$55)*(Inputs!$B$19+0+Skills!P3)+Summary!$B$55*(Inputs!$B$20+Skills!Q3))/100)*(1+(Inputs!$B$15+1)/100)*(5000/(6000+Inputs!$B$7*(1-(Inputs!$B$18+0)/100)))*(1+(Inputs!$B$23+((C199=TRUE)*(F199-Calc!F22))+B208)/100)*(1+(IF(Skills!A3="HOOK_BOMBER",Inputs!$B$16+((C198=TRUE)*(F198-Calc!F21)),Inputs!$B$17+0))/100)*((1+(((C190=TRUE)*F190)+((C196=TRUE)*(F196-Calc!F19)))/100)*I180)</f>
        <v/>
      </c>
      <c r="L180">
        <f>K180*(MIN(Inputs!$B$21+((C197=TRUE)*(F197-Calc!F20)),Inputs!$B$22+0)/100+(Inputs!$B$22+0)/100)/2</f>
        <v/>
      </c>
      <c r="M180">
        <f>L180*(1+(Inputs!$B$9+0+B207)/100)</f>
        <v/>
      </c>
      <c r="N180">
        <f>L180*(1-MIN((Inputs!$B$8+((C193=TRUE)*(F193-Calc!F16))+B202),100)/100)+M180*(MIN((Inputs!$B$8+((C193=TRUE)*(F193-Calc!F16))+B202),100)/100)</f>
        <v/>
      </c>
      <c r="O180">
        <f>IF(C180,Skills!G3*H180*N180*B206*IF(Inputs!$B$4="pvp",1,(1-Summary!$B$55)*(1)+Summary!$B$55*(MIN(Skills!R3,Inputs!$B$37))),0)</f>
        <v/>
      </c>
      <c r="P180">
        <f>IF(B210=0,0,O180/B210)</f>
        <v/>
      </c>
      <c r="Q180" t="n">
        <v>0</v>
      </c>
      <c r="R180" t="n">
        <v>0</v>
      </c>
      <c r="S180">
        <f>IFERROR(O180/N180,0)</f>
        <v/>
      </c>
      <c r="U180">
        <f>INDEX(FactorTable!$B$2:$Y$301, MATCH(ROUND(MIN(300,MAX(1,U179)),0), FactorTable!$A$2:$A$301,0), 22)</f>
        <v/>
      </c>
    </row>
    <row r="181">
      <c r="A181">
        <f>Skills!A4</f>
        <v/>
      </c>
      <c r="B181">
        <f>Skills!B4</f>
        <v/>
      </c>
      <c r="C181">
        <f>Inputs!$B$3&gt;=60</f>
        <v/>
      </c>
      <c r="D181">
        <f>IF(Skills!C4=1,60+Inputs!$B$24+Inputs!$B$28,IF(Skills!C4=2,90+Inputs!$B$25+Inputs!$B$28,IF(Skills!C4=3,120+Inputs!$B$26+Inputs!$B$28,MAX(0,(Inputs!$B$3-100)*3)+Inputs!$B$27+Inputs!$B$28)))</f>
        <v/>
      </c>
      <c r="E181">
        <f>INDEX(FactorTable!$B$2:$Y$301, MATCH(ROUND(MIN(300,MAX(1,D181)),0), FactorTable!$A$2:$A$301,0), Skills!M4+1)</f>
        <v/>
      </c>
      <c r="F181">
        <f>IF(Skills!N4=TRUE,(Skills!L4/10)*(E181/1000),Skills!L4/10)+Skills!O4</f>
        <v/>
      </c>
      <c r="G181">
        <f>Skills!G4*IF(Skills!H4&gt;0,Skills!I4/Skills!H4,1)</f>
        <v/>
      </c>
      <c r="H181">
        <f>1-(1-Skills!J4/100)^Skills!K4</f>
        <v/>
      </c>
      <c r="I181" t="inlineStr">
        <is>
          <t>1</t>
        </is>
      </c>
      <c r="J181">
        <f>(Inputs!$B$5*(1+Inputs!$B$6/100))*(F181/100)</f>
        <v/>
      </c>
      <c r="K181">
        <f>J181*(1+((Inputs!$B$11*(1+Inputs!$B$12/100))*0.01+Inputs!$B$13*0.0025)/100)*(1+Inputs!$B$14/100)*(1+IF(Inputs!$B$4="pvp",0,(1-Summary!$B$55)*(Inputs!$B$19+0+Skills!P4)+Summary!$B$55*(Inputs!$B$20+Skills!Q4))/100)*(1+(Inputs!$B$15+1)/100)*(5000/(6000+Inputs!$B$7*(1-(Inputs!$B$18+0)/100)))*(1+(Inputs!$B$23+((C199=TRUE)*(F199-Calc!F22))+B208)/100)*(1+1.0*IF(C189=TRUE,F189,0)/100)*(1+(IF(Skills!A4="HOOK_BOMBER",Inputs!$B$16+((C198=TRUE)*(F198-Calc!F21)),Inputs!$B$17+0))/100)*((1+(((C190=TRUE)*F190)+((C196=TRUE)*(F196-Calc!F19)))/100)*I181)</f>
        <v/>
      </c>
      <c r="L181">
        <f>K181*(MIN(Inputs!$B$21+((C197=TRUE)*(F197-Calc!F20)),Inputs!$B$22+0)/100+(Inputs!$B$22+0)/100)/2</f>
        <v/>
      </c>
      <c r="M181">
        <f>L181*(1+(Inputs!$B$9+0+B207)/100)</f>
        <v/>
      </c>
      <c r="N181">
        <f>L181*(1-MIN((Inputs!$B$8+((C193=TRUE)*(F193-Calc!F16))+B202),100)/100)+M181*(MIN((Inputs!$B$8+((C193=TRUE)*(F193-Calc!F16))+B202),100)/100)</f>
        <v/>
      </c>
      <c r="O181">
        <f>IF(C181,Skills!G4*H181*N181*B206*IF(Inputs!$B$4="pvp",1,(1-Summary!$B$55)*(1)+Summary!$B$55*(MIN(Skills!R4,Inputs!$B$37))),0)</f>
        <v/>
      </c>
      <c r="P181">
        <f>IF(B210=0,0,O181/B210)</f>
        <v/>
      </c>
      <c r="Q181" t="n">
        <v>0</v>
      </c>
      <c r="R181" t="n">
        <v>0</v>
      </c>
      <c r="S181">
        <f>IFERROR(O181/N181,0)</f>
        <v/>
      </c>
      <c r="U181">
        <f>290*U180/1000</f>
        <v/>
      </c>
    </row>
    <row r="182">
      <c r="A182">
        <f>Skills!A5</f>
        <v/>
      </c>
      <c r="B182">
        <f>Skills!B5</f>
        <v/>
      </c>
      <c r="C182">
        <f>Inputs!$B$3&gt;=60</f>
        <v/>
      </c>
      <c r="D182">
        <f>IF(Skills!C5=1,60+Inputs!$B$24+Inputs!$B$28,IF(Skills!C5=2,90+Inputs!$B$25+Inputs!$B$28,IF(Skills!C5=3,120+Inputs!$B$26+Inputs!$B$28,MAX(0,(Inputs!$B$3-100)*3)+Inputs!$B$27+Inputs!$B$28)))</f>
        <v/>
      </c>
      <c r="E182">
        <f>INDEX(FactorTable!$B$2:$Y$301, MATCH(ROUND(MIN(300,MAX(1,D182)),0), FactorTable!$A$2:$A$301,0), Skills!M5+1)</f>
        <v/>
      </c>
      <c r="F182">
        <f>IF(Skills!N5=TRUE,(Skills!L5/10)*(E182/1000),Skills!L5/10)+Skills!O5</f>
        <v/>
      </c>
      <c r="G182">
        <f>Skills!G5*IF(Skills!H5&gt;0,Skills!I5/Skills!H5,1)</f>
        <v/>
      </c>
      <c r="H182">
        <f>1-(1-Skills!J5/100)^Skills!K5</f>
        <v/>
      </c>
      <c r="I182" t="inlineStr">
        <is>
          <t>1</t>
        </is>
      </c>
      <c r="J182" t="inlineStr"/>
      <c r="K182" t="inlineStr"/>
      <c r="L182" t="inlineStr"/>
      <c r="M182" t="inlineStr"/>
      <c r="N182" t="inlineStr"/>
      <c r="O182" t="n">
        <v>0</v>
      </c>
      <c r="P182">
        <f>IF(B210=0,0,O182/B210)</f>
        <v/>
      </c>
      <c r="Q182" t="n">
        <v>0</v>
      </c>
      <c r="R182" t="n">
        <v>0</v>
      </c>
      <c r="S182">
        <f>IFERROR(O182/N182,0)</f>
        <v/>
      </c>
    </row>
    <row r="183">
      <c r="A183">
        <f>Skills!A6</f>
        <v/>
      </c>
      <c r="B183">
        <f>Skills!B6</f>
        <v/>
      </c>
      <c r="C183">
        <f>Inputs!$B$3&gt;=63</f>
        <v/>
      </c>
      <c r="D183">
        <f>IF(Skills!C6=1,60+Inputs!$B$24+Inputs!$B$28,IF(Skills!C6=2,90+Inputs!$B$25+Inputs!$B$28,IF(Skills!C6=3,120+Inputs!$B$26+Inputs!$B$28,MAX(0,(Inputs!$B$3-100)*3)+Inputs!$B$27+Inputs!$B$28)))</f>
        <v/>
      </c>
      <c r="E183">
        <f>INDEX(FactorTable!$B$2:$Y$301, MATCH(ROUND(MIN(300,MAX(1,D183)),0), FactorTable!$A$2:$A$301,0), Skills!M6+1)</f>
        <v/>
      </c>
      <c r="F183">
        <f>IF(Skills!N6=TRUE,(Skills!L6/10)*(E183/1000),Skills!L6/10)+Skills!O6</f>
        <v/>
      </c>
      <c r="G183">
        <f>Skills!G6*IF(Skills!H6&gt;0,Skills!I6/Skills!H6,1)</f>
        <v/>
      </c>
      <c r="H183">
        <f>1-(1-Skills!J6/100)^Skills!K6</f>
        <v/>
      </c>
      <c r="I183" t="inlineStr">
        <is>
          <t>1</t>
        </is>
      </c>
      <c r="J183">
        <f>(Inputs!$B$5*(1+Inputs!$B$6/100))*(F183/100)</f>
        <v/>
      </c>
      <c r="K183">
        <f>J183*(1+((Inputs!$B$11*(1+Inputs!$B$12/100))*0.01+Inputs!$B$13*0.0025)/100)*(1+Inputs!$B$14/100)*(1+IF(Inputs!$B$4="pvp",0,(1-Summary!$B$55)*(Inputs!$B$19+0+Skills!P6)+Summary!$B$55*(Inputs!$B$20+Skills!Q6))/100)*(1+(Inputs!$B$15+1)/100)*(5000/(6000+Inputs!$B$7*(1-(Inputs!$B$18+0)/100)))*(1+(Inputs!$B$23+((C199=TRUE)*(F199-Calc!F22))+B208)/100)*(1+(IF(Skills!A6="HOOK_BOMBER",Inputs!$B$16+((C198=TRUE)*(F198-Calc!F21)),Inputs!$B$17+0))/100)*((1+(((C190=TRUE)*F190)+((C196=TRUE)*(F196-Calc!F19)))/100)*I183)</f>
        <v/>
      </c>
      <c r="L183">
        <f>K183*(MIN(Inputs!$B$21+((C197=TRUE)*(F197-Calc!F20)),Inputs!$B$22+0)/100+(Inputs!$B$22+0)/100)/2</f>
        <v/>
      </c>
      <c r="M183">
        <f>L183*(1+(Inputs!$B$9+0+B207)/100)</f>
        <v/>
      </c>
      <c r="N183">
        <f>L183*(1-MIN((Inputs!$B$8+((C193=TRUE)*(F193-Calc!F16))+B202),100)/100)+M183*(MIN((Inputs!$B$8+((C193=TRUE)*(F193-Calc!F16))+B202),100)/100)</f>
        <v/>
      </c>
      <c r="O183">
        <f>IF(C183,H183*N183*IF(AND(Inputs!$B$4&lt;&gt;"pvp",Inputs!$B$35&gt;0),((Skills!G6*((R183-1)*IF(Skills!H6&gt;0,Skills!I6/Skills!H6,1)+IF(Skills!H6&gt;0,MIN(Skills!I6,MAX(0,Inputs!$B$35-((R183-1)*IF(Inputs!$B$4="pvp",15,MAX(0.1,Skills!D6-IF(Skills!E6=TRUE,Inputs!$B$31,0))))))/Skills!H6,1)))/Inputs!$B$35),G183*Q183)*IF(Inputs!$B$4="pvp",1,(1-Summary!$B$55)*(1)+Summary!$B$55*(MIN(Skills!R6,Inputs!$B$37))),0)</f>
        <v/>
      </c>
      <c r="P183">
        <f>IF(B210=0,0,O183/B210)</f>
        <v/>
      </c>
      <c r="Q183">
        <f>IFERROR(1/IF(Inputs!$B$4="pvp",15,MAX(0.1,Skills!D6-IF(Skills!E6=TRUE,Inputs!$B$31,0))),0)</f>
        <v/>
      </c>
      <c r="R183">
        <f>IF(AND(Inputs!$B$4&lt;&gt;"pvp",Inputs!$B$35&gt;0),(INT(Inputs!$B$35/IF(Inputs!$B$4="pvp",15,MAX(0.1,Skills!D6-IF(Skills!E6=TRUE,Inputs!$B$31,0))))+1),0)</f>
        <v/>
      </c>
      <c r="S183">
        <f>IFERROR(O183/N183,0)</f>
        <v/>
      </c>
    </row>
    <row r="184">
      <c r="A184">
        <f>Skills!A7</f>
        <v/>
      </c>
      <c r="B184">
        <f>Skills!B7</f>
        <v/>
      </c>
      <c r="C184">
        <f>Inputs!$B$3&gt;=100</f>
        <v/>
      </c>
      <c r="D184">
        <f>IF(Skills!C7=1,60+Inputs!$B$24+Inputs!$B$28,IF(Skills!C7=2,90+Inputs!$B$25+Inputs!$B$28,IF(Skills!C7=3,120+Inputs!$B$26+Inputs!$B$28,MAX(0,(Inputs!$B$3-100)*3)+Inputs!$B$27+Inputs!$B$28)))</f>
        <v/>
      </c>
      <c r="E184">
        <f>INDEX(FactorTable!$B$2:$Y$301, MATCH(ROUND(MIN(300,MAX(1,D184)),0), FactorTable!$A$2:$A$301,0), Skills!M7+1)</f>
        <v/>
      </c>
      <c r="F184">
        <f>IF(Skills!N7=TRUE,(Skills!L7/10)*(E184/1000),Skills!L7/10)+Skills!O7</f>
        <v/>
      </c>
      <c r="G184">
        <f>Skills!G7*IF(Skills!H7&gt;0,Skills!I7/Skills!H7,1)</f>
        <v/>
      </c>
      <c r="H184">
        <f>1-(1-Skills!J7/100)^Skills!K7</f>
        <v/>
      </c>
      <c r="I184" t="inlineStr">
        <is>
          <t>1</t>
        </is>
      </c>
      <c r="J184">
        <f>(Inputs!$B$5*(1+Inputs!$B$6/100))*(F184/100)</f>
        <v/>
      </c>
      <c r="K184">
        <f>J184*(1+((Inputs!$B$11*(1+Inputs!$B$12/100))*0.01+Inputs!$B$13*0.0025)/100)*(1+Inputs!$B$14/100)*(1+IF(Inputs!$B$4="pvp",0,(1-Summary!$B$55)*(Inputs!$B$19+0+Skills!P7)+Summary!$B$55*(Inputs!$B$20+Skills!Q7))/100)*(1+(Inputs!$B$15+1)/100)*(5000/(6000+Inputs!$B$7*(1-(Inputs!$B$18+0)/100)))*(1+(Inputs!$B$23+((C199=TRUE)*(F199-Calc!F22))+B208)/100)*(1+(IF(Skills!A7="HOOK_BOMBER",Inputs!$B$16+((C198=TRUE)*(F198-Calc!F21)),Inputs!$B$17+0))/100)*((1+(((C190=TRUE)*F190)+((C196=TRUE)*(F196-Calc!F19)))/100)*I184)</f>
        <v/>
      </c>
      <c r="L184">
        <f>K184*(MIN(Inputs!$B$21+((C197=TRUE)*(F197-Calc!F20)),Inputs!$B$22+0)/100+(Inputs!$B$22+0)/100)/2</f>
        <v/>
      </c>
      <c r="M184">
        <f>L184*(1+(Inputs!$B$9+0+B207)/100)</f>
        <v/>
      </c>
      <c r="N184">
        <f>L184*(1-MIN((Inputs!$B$8+((C193=TRUE)*(F193-Calc!F16))+B202),100)/100)+M184*(MIN((Inputs!$B$8+((C193=TRUE)*(F193-Calc!F16))+B202),100)/100)</f>
        <v/>
      </c>
      <c r="O184">
        <f>IF(C184,H184*N184*IF(AND(Inputs!$B$4&lt;&gt;"pvp",Inputs!$B$35&gt;0),((Skills!G7*((R184-1)*IF(Skills!H7&gt;0,Skills!I7/Skills!H7,1)+IF(Skills!H7&gt;0,MIN(Skills!I7,MAX(0,Inputs!$B$35-((R184-1)*IF(Inputs!$B$4="pvp",15,MAX(0.1,Skills!D7-IF(Skills!E7=TRUE,Inputs!$B$31,0))))))/Skills!H7,1)))/Inputs!$B$35),G184*Q184)*IF(Inputs!$B$4="pvp",1,(1-Summary!$B$55)*(1)+Summary!$B$55*(MIN(Skills!R7,Inputs!$B$37))),0)</f>
        <v/>
      </c>
      <c r="P184">
        <f>IF(B210=0,0,O184/B210)</f>
        <v/>
      </c>
      <c r="Q184">
        <f>IFERROR(1/IF(Inputs!$B$4="pvp",15,MAX(0.1,Skills!D7-IF(Skills!E7=TRUE,Inputs!$B$31,0))),0)</f>
        <v/>
      </c>
      <c r="R184">
        <f>IF(AND(Inputs!$B$4&lt;&gt;"pvp",Inputs!$B$35&gt;0),(INT(Inputs!$B$35/IF(Inputs!$B$4="pvp",15,MAX(0.1,Skills!D7-IF(Skills!E7=TRUE,Inputs!$B$31,0))))+1),0)</f>
        <v/>
      </c>
      <c r="S184">
        <f>IFERROR(O184/N184,0)</f>
        <v/>
      </c>
    </row>
    <row r="185">
      <c r="A185">
        <f>Skills!A8</f>
        <v/>
      </c>
      <c r="B185">
        <f>Skills!B8</f>
        <v/>
      </c>
      <c r="C185">
        <f>Inputs!$B$3&gt;=110</f>
        <v/>
      </c>
      <c r="D185">
        <f>IF(Skills!C8=1,60+Inputs!$B$24+Inputs!$B$28,IF(Skills!C8=2,90+Inputs!$B$25+Inputs!$B$28,IF(Skills!C8=3,120+Inputs!$B$26+Inputs!$B$28,MAX(0,(Inputs!$B$3-100)*3)+Inputs!$B$27+Inputs!$B$28)))</f>
        <v/>
      </c>
      <c r="E185">
        <f>INDEX(FactorTable!$B$2:$Y$301, MATCH(ROUND(MIN(300,MAX(1,D185)),0), FactorTable!$A$2:$A$301,0), Skills!M8+1)</f>
        <v/>
      </c>
      <c r="F185">
        <f>IF(Skills!N8=TRUE,(Skills!L8/10)*(E185/1000),Skills!L8/10)+Skills!O8</f>
        <v/>
      </c>
      <c r="G185">
        <f>Skills!G8*IF(Skills!H8&gt;0,Skills!I8/Skills!H8,1)</f>
        <v/>
      </c>
      <c r="H185">
        <f>1-(1-Skills!J8/100)^Skills!K8</f>
        <v/>
      </c>
      <c r="I185" t="inlineStr">
        <is>
          <t>1</t>
        </is>
      </c>
      <c r="J185">
        <f>(Inputs!$B$5*(1+Inputs!$B$6/100))*(F185/100)</f>
        <v/>
      </c>
      <c r="K185">
        <f>J185*(1+((Inputs!$B$11*(1+Inputs!$B$12/100))*0.01+Inputs!$B$13*0.0025)/100)*(1+Inputs!$B$14/100)*(1+IF(Inputs!$B$4="pvp",0,(1-Summary!$B$55)*(Inputs!$B$19+0+Skills!P8)+Summary!$B$55*(Inputs!$B$20+Skills!Q8))/100)*(1+(Inputs!$B$15+1)/100)*(5000/(6000+Inputs!$B$7*(1-(Inputs!$B$18+0)/100)))*(1+(Inputs!$B$23+((C199=TRUE)*(F199-Calc!F22))+B208)/100)*(1+(IF(Skills!A8="HOOK_BOMBER",Inputs!$B$16+((C198=TRUE)*(F198-Calc!F21)),Inputs!$B$17+0))/100)*((1+(((C190=TRUE)*F190)+((C196=TRUE)*(F196-Calc!F19)))/100)*I185)</f>
        <v/>
      </c>
      <c r="L185">
        <f>K185*(MIN(Inputs!$B$21+((C197=TRUE)*(F197-Calc!F20)),Inputs!$B$22+0)/100+(Inputs!$B$22+0)/100)/2</f>
        <v/>
      </c>
      <c r="M185">
        <f>L185*(1+(Inputs!$B$9+0+B207)/100)</f>
        <v/>
      </c>
      <c r="N185">
        <f>L185*(1-MIN((Inputs!$B$8+((C193=TRUE)*(F193-Calc!F16))+B202),100)/100)+M185*(MIN((Inputs!$B$8+((C193=TRUE)*(F193-Calc!F16))+B202),100)/100)</f>
        <v/>
      </c>
      <c r="O185">
        <f>IF(C185,H185*N185*IF(AND(Inputs!$B$4&lt;&gt;"pvp",Inputs!$B$35&gt;0),((Skills!G8*((R185-1)*IF(Skills!H8&gt;0,Skills!I8/Skills!H8,1)+IF(Skills!H8&gt;0,MIN(Skills!I8,MAX(0,Inputs!$B$35-((R185-1)*IF(Inputs!$B$4="pvp",15,MAX(0.1,Skills!D8-IF(Skills!E8=TRUE,Inputs!$B$31,0))))))/Skills!H8,1)))/Inputs!$B$35),G185*Q185)*IF(Inputs!$B$4="pvp",1,(1-Summary!$B$55)*(1)+Summary!$B$55*(MIN(Skills!R8,Inputs!$B$37))),0)</f>
        <v/>
      </c>
      <c r="P185">
        <f>IF(B210=0,0,O185/B210)</f>
        <v/>
      </c>
      <c r="Q185">
        <f>IFERROR(1/IF(Inputs!$B$4="pvp",15,MAX(0.1,Skills!D8-IF(Skills!E8=TRUE,Inputs!$B$31,0))),0)</f>
        <v/>
      </c>
      <c r="R185">
        <f>IF(AND(Inputs!$B$4&lt;&gt;"pvp",Inputs!$B$35&gt;0),(INT(Inputs!$B$35/IF(Inputs!$B$4="pvp",15,MAX(0.1,Skills!D8-IF(Skills!E8=TRUE,Inputs!$B$31,0))))+1),0)</f>
        <v/>
      </c>
      <c r="S185">
        <f>IFERROR(O185/N185,0)</f>
        <v/>
      </c>
    </row>
    <row r="186">
      <c r="A186">
        <f>Skills!A9</f>
        <v/>
      </c>
      <c r="B186">
        <f>Skills!B9</f>
        <v/>
      </c>
      <c r="C186">
        <f>Inputs!$B$3&gt;=110</f>
        <v/>
      </c>
      <c r="D186">
        <f>IF(Skills!C9=1,60+Inputs!$B$24+Inputs!$B$28,IF(Skills!C9=2,90+Inputs!$B$25+Inputs!$B$28,IF(Skills!C9=3,120+Inputs!$B$26+Inputs!$B$28,MAX(0,(Inputs!$B$3-100)*3)+Inputs!$B$27+Inputs!$B$28)))</f>
        <v/>
      </c>
      <c r="E186">
        <f>INDEX(FactorTable!$B$2:$Y$301, MATCH(ROUND(MIN(300,MAX(1,D186)),0), FactorTable!$A$2:$A$301,0), Skills!M9+1)</f>
        <v/>
      </c>
      <c r="F186">
        <f>IF(Skills!N9=TRUE,(Skills!L9/10)*(E186/1000),Skills!L9/10)+Skills!O9</f>
        <v/>
      </c>
      <c r="G186">
        <f>Skills!G9*IF(Skills!H9&gt;0,Skills!I9/Skills!H9,1)</f>
        <v/>
      </c>
      <c r="H186">
        <f>1-(1-Skills!J9/100)^Skills!K9</f>
        <v/>
      </c>
      <c r="I186" t="inlineStr">
        <is>
          <t>1</t>
        </is>
      </c>
      <c r="J186">
        <f>(Inputs!$B$5*(1+Inputs!$B$6/100))*(F186/100)</f>
        <v/>
      </c>
      <c r="K186">
        <f>J186*(1+((Inputs!$B$11*(1+Inputs!$B$12/100))*0.01+Inputs!$B$13*0.0025)/100)*(1+Inputs!$B$14/100)*(1+IF(Inputs!$B$4="pvp",0,(1-Summary!$B$55)*(Inputs!$B$19+0+Skills!P9)+Summary!$B$55*(Inputs!$B$20+Skills!Q9))/100)*(1+(Inputs!$B$15+1)/100)*(5000/(6000+Inputs!$B$7*(1-(Inputs!$B$18+0)/100)))*(1+(Inputs!$B$23+((C199=TRUE)*(F199-Calc!F22))+B208)/100)*(1+(IF(Skills!A9="HOOK_BOMBER",Inputs!$B$16+((C198=TRUE)*(F198-Calc!F21)),Inputs!$B$17+0))/100)*((1+(((C190=TRUE)*F190)+((C196=TRUE)*(F196-Calc!F19)))/100)*I186)</f>
        <v/>
      </c>
      <c r="L186">
        <f>K186*(MIN(Inputs!$B$21+((C197=TRUE)*(F197-Calc!F20)),Inputs!$B$22+0)/100+(Inputs!$B$22+0)/100)/2</f>
        <v/>
      </c>
      <c r="M186">
        <f>L186*(1+(Inputs!$B$9+0+B207)/100)</f>
        <v/>
      </c>
      <c r="N186">
        <f>L186*(1-MIN((Inputs!$B$8+((C193=TRUE)*(F193-Calc!F16))+B202),100)/100)+M186*(MIN((Inputs!$B$8+((C193=TRUE)*(F193-Calc!F16))+B202),100)/100)</f>
        <v/>
      </c>
      <c r="O186">
        <f>IF(C186,H186*N186*IF(AND(Inputs!$B$4&lt;&gt;"pvp",Inputs!$B$35&gt;0),((Skills!G9*((R186-1)*IF(Skills!H9&gt;0,Skills!I9/Skills!H9,1)+IF(Skills!H9&gt;0,MIN(Skills!I9,MAX(0,Inputs!$B$35-((R186-1)*IF(Inputs!$B$4="pvp",15,MAX(0.1,Skills!D9-IF(Skills!E9=TRUE,Inputs!$B$31,0))))))/Skills!H9,1)))/Inputs!$B$35),G186*Q186)*IF(Inputs!$B$4="pvp",1,(1-Summary!$B$55)*(1)+Summary!$B$55*(MIN(Skills!R9,Inputs!$B$37))),0)</f>
        <v/>
      </c>
      <c r="P186">
        <f>IF(B210=0,0,O186/B210)</f>
        <v/>
      </c>
      <c r="Q186">
        <f>IFERROR(1/IF(Inputs!$B$4="pvp",15,MAX(0.1,Skills!D9-IF(Skills!E9=TRUE,Inputs!$B$31,0))),0)</f>
        <v/>
      </c>
      <c r="R186">
        <f>IF(AND(Inputs!$B$4&lt;&gt;"pvp",Inputs!$B$35&gt;0),(INT(Inputs!$B$35/IF(Inputs!$B$4="pvp",15,MAX(0.1,Skills!D9-IF(Skills!E9=TRUE,Inputs!$B$31,0))))+1),0)</f>
        <v/>
      </c>
      <c r="S186">
        <f>IFERROR(O186/N186,0)</f>
        <v/>
      </c>
    </row>
    <row r="187">
      <c r="A187">
        <f>Skills!A10</f>
        <v/>
      </c>
      <c r="B187">
        <f>Skills!B10</f>
        <v/>
      </c>
      <c r="C187">
        <f>Inputs!$B$3&gt;=103</f>
        <v/>
      </c>
      <c r="D187">
        <f>IF(Skills!C10=1,60+Inputs!$B$24+Inputs!$B$28,IF(Skills!C10=2,90+Inputs!$B$25+Inputs!$B$28,IF(Skills!C10=3,120+Inputs!$B$26+Inputs!$B$28,MAX(0,(Inputs!$B$3-100)*3)+Inputs!$B$27+Inputs!$B$28)))</f>
        <v/>
      </c>
      <c r="E187">
        <f>INDEX(FactorTable!$B$2:$Y$301, MATCH(ROUND(MIN(300,MAX(1,D187)),0), FactorTable!$A$2:$A$301,0), Skills!M10+1)</f>
        <v/>
      </c>
      <c r="F187">
        <f>IF(Skills!N10=TRUE,(Skills!L10/10)*(E187/1000),Skills!L10/10)+Skills!O10</f>
        <v/>
      </c>
      <c r="G187">
        <f>Skills!G10*IF(Skills!H10&gt;0,Skills!I10/Skills!H10,1)</f>
        <v/>
      </c>
      <c r="H187">
        <f>1-(1-Skills!J10/100)^Skills!K10</f>
        <v/>
      </c>
      <c r="I187" t="inlineStr">
        <is>
          <t>1</t>
        </is>
      </c>
      <c r="J187">
        <f>(Inputs!$B$5*(1+Inputs!$B$6/100))*(F187/100)</f>
        <v/>
      </c>
      <c r="K187">
        <f>J187*(1+((Inputs!$B$11*(1+Inputs!$B$12/100))*0.01+Inputs!$B$13*0.0025)/100)*(1+Inputs!$B$14/100)*(1+IF(Inputs!$B$4="pvp",0,(1-Summary!$B$55)*(Inputs!$B$19+0+Skills!P10)+Summary!$B$55*(Inputs!$B$20+Skills!Q10))/100)*(1+(Inputs!$B$15+1)/100)*(5000/(6000+Inputs!$B$7*(1-(Inputs!$B$18+0)/100)))*(1+(Inputs!$B$23+((C199=TRUE)*(F199-Calc!F22))+B208)/100)*(1+(IF(Skills!A10="HOOK_BOMBER",Inputs!$B$16+((C198=TRUE)*(F198-Calc!F21)),Inputs!$B$17+0))/100)*((1+(((C190=TRUE)*F190)+((C196=TRUE)*(F196-Calc!F19)))/100)*I187)</f>
        <v/>
      </c>
      <c r="L187">
        <f>K187*(MIN(Inputs!$B$21+((C197=TRUE)*(F197-Calc!F20)),Inputs!$B$22+0)/100+(Inputs!$B$22+0)/100)/2</f>
        <v/>
      </c>
      <c r="M187">
        <f>L187*(1+(Inputs!$B$9+0+B207)/100)</f>
        <v/>
      </c>
      <c r="N187">
        <f>L187*(1-MIN((Inputs!$B$8+((C193=TRUE)*(F193-Calc!F16))+B202),100)/100)+M187*(MIN((Inputs!$B$8+((C193=TRUE)*(F193-Calc!F16))+B202),100)/100)</f>
        <v/>
      </c>
      <c r="O187">
        <f>IF(C187,H187*N187*IF(AND(Inputs!$B$4&lt;&gt;"pvp",Inputs!$B$35&gt;0),((Skills!G10*((R187-1)*IF(Skills!H10&gt;0,Skills!I10/Skills!H10,1)+IF(Skills!H10&gt;0,MIN(Skills!I10,MAX(0,Inputs!$B$35-((R187-1)*IF(Inputs!$B$4="pvp",15,MAX(0.1,Skills!D10-IF(Skills!E10=TRUE,Inputs!$B$31,0))))))/Skills!H10,1)))/Inputs!$B$35),G187*Q187)*IF(Inputs!$B$4="pvp",1,(1-Summary!$B$55)*(1)+Summary!$B$55*(MIN(Skills!R10,Inputs!$B$37))),0)</f>
        <v/>
      </c>
      <c r="P187">
        <f>IF(B210=0,0,O187/B210)</f>
        <v/>
      </c>
      <c r="Q187">
        <f>IFERROR(1/IF(Inputs!$B$4="pvp",15,MAX(0.1,Skills!D10-IF(Skills!E10=TRUE,Inputs!$B$31,0))),0)</f>
        <v/>
      </c>
      <c r="R187">
        <f>IF(AND(Inputs!$B$4&lt;&gt;"pvp",Inputs!$B$35&gt;0),(INT(Inputs!$B$35/IF(Inputs!$B$4="pvp",15,MAX(0.1,Skills!D10-IF(Skills!E10=TRUE,Inputs!$B$31,0))))+1),0)</f>
        <v/>
      </c>
      <c r="S187">
        <f>IFERROR(O187/N187,0)</f>
        <v/>
      </c>
    </row>
    <row r="188">
      <c r="A188">
        <f>Skills!A11</f>
        <v/>
      </c>
      <c r="B188">
        <f>Skills!B11</f>
        <v/>
      </c>
      <c r="C188">
        <f>Inputs!$B$3&gt;=113</f>
        <v/>
      </c>
      <c r="D188">
        <f>IF(Skills!C11=1,60+Inputs!$B$24+Inputs!$B$28,IF(Skills!C11=2,90+Inputs!$B$25+Inputs!$B$28,IF(Skills!C11=3,120+Inputs!$B$26+Inputs!$B$28,MAX(0,(Inputs!$B$3-100)*3)+Inputs!$B$27+Inputs!$B$28)))</f>
        <v/>
      </c>
      <c r="E188">
        <f>INDEX(FactorTable!$B$2:$Y$301, MATCH(ROUND(MIN(300,MAX(1,D188)),0), FactorTable!$A$2:$A$301,0), Skills!M11+1)</f>
        <v/>
      </c>
      <c r="F188">
        <f>IF(Skills!N11=TRUE,(Skills!L11/10)*(E188/1000),Skills!L11/10)+Skills!O11</f>
        <v/>
      </c>
      <c r="G188">
        <f>Skills!G11*IF(Skills!H11&gt;0,Skills!I11/Skills!H11,1)</f>
        <v/>
      </c>
      <c r="H188">
        <f>1-(1-Skills!J11/100)^Skills!K11</f>
        <v/>
      </c>
      <c r="I188" t="inlineStr">
        <is>
          <t>1</t>
        </is>
      </c>
      <c r="J188">
        <f>(Inputs!$B$5*(1+Inputs!$B$6/100))*(F188/100)</f>
        <v/>
      </c>
      <c r="K188">
        <f>J188*(1+((Inputs!$B$11*(1+Inputs!$B$12/100))*0.01+Inputs!$B$13*0.0025)/100)*(1+Inputs!$B$14/100)*(1+IF(Inputs!$B$4="pvp",0,(1-Summary!$B$55)*(Inputs!$B$19+0+Skills!P11)+Summary!$B$55*(Inputs!$B$20+Skills!Q11))/100)*(1+(Inputs!$B$15+1)/100)*(5000/(6000+Inputs!$B$7*(1-(Inputs!$B$18+0)/100)))*(1+(Inputs!$B$23+((C199=TRUE)*(F199-Calc!F22))+B208)/100)*(1+(IF(Skills!A11="HOOK_BOMBER",Inputs!$B$16+((C198=TRUE)*(F198-Calc!F21)),Inputs!$B$17+0))/100)*((1+(((C190=TRUE)*F190)+((C196=TRUE)*(F196-Calc!F19)))/100)*I188)</f>
        <v/>
      </c>
      <c r="L188">
        <f>K188*(MIN(Inputs!$B$21+((C197=TRUE)*(F197-Calc!F20)),Inputs!$B$22+0)/100+(Inputs!$B$22+0)/100)/2</f>
        <v/>
      </c>
      <c r="M188">
        <f>L188*(1+(Inputs!$B$9+0+B207)/100)</f>
        <v/>
      </c>
      <c r="N188">
        <f>L188*(1-MIN((Inputs!$B$8+((C193=TRUE)*(F193-Calc!F16))+B202),100)/100)+M188*(MIN((Inputs!$B$8+((C193=TRUE)*(F193-Calc!F16))+B202),100)/100)</f>
        <v/>
      </c>
      <c r="O188">
        <f>IF(C188,H188*N188*IF(AND(Inputs!$B$4&lt;&gt;"pvp",Inputs!$B$35&gt;0),((Skills!G11*((R188-1)*IF(Skills!H11&gt;0,Skills!I11/Skills!H11,1)+IF(Skills!H11&gt;0,MIN(Skills!I11,MAX(0,Inputs!$B$35-((R188-1)*IF(Inputs!$B$4="pvp",15,MAX(0.1,Skills!D11-IF(Skills!E11=TRUE,Inputs!$B$31,0))))))/Skills!H11,1)))/Inputs!$B$35),G188*Q188)*IF(Inputs!$B$4="pvp",1,(1-Summary!$B$55)*(1)+Summary!$B$55*(MIN(Skills!R11,Inputs!$B$37))),0)</f>
        <v/>
      </c>
      <c r="P188">
        <f>IF(B210=0,0,O188/B210)</f>
        <v/>
      </c>
      <c r="Q188">
        <f>IFERROR(1/IF(Inputs!$B$4="pvp",15,MAX(0.1,Skills!D11-IF(Skills!E11=TRUE,Inputs!$B$31,0))),0)</f>
        <v/>
      </c>
      <c r="R188">
        <f>IF(AND(Inputs!$B$4&lt;&gt;"pvp",Inputs!$B$35&gt;0),(INT(Inputs!$B$35/IF(Inputs!$B$4="pvp",15,MAX(0.1,Skills!D11-IF(Skills!E11=TRUE,Inputs!$B$31,0))))+1),0)</f>
        <v/>
      </c>
      <c r="S188">
        <f>IFERROR(O188/N188,0)</f>
        <v/>
      </c>
    </row>
    <row r="189">
      <c r="A189">
        <f>Skills!A12</f>
        <v/>
      </c>
      <c r="B189">
        <f>Skills!B12</f>
        <v/>
      </c>
      <c r="C189">
        <f>Inputs!$B$3&gt;=100</f>
        <v/>
      </c>
      <c r="D189">
        <f>IF(Skills!C12=1,60+Inputs!$B$24+Inputs!$B$28,IF(Skills!C12=2,90+Inputs!$B$25+Inputs!$B$28,IF(Skills!C12=3,120+Inputs!$B$26+Inputs!$B$28,MAX(0,(Inputs!$B$3-100)*3)+Inputs!$B$27+Inputs!$B$28)))</f>
        <v/>
      </c>
      <c r="E189">
        <f>INDEX(FactorTable!$B$2:$Y$301, MATCH(ROUND(MIN(300,MAX(1,D189)),0), FactorTable!$A$2:$A$301,0), Skills!M12+1)</f>
        <v/>
      </c>
      <c r="F189">
        <f>IF(Skills!N12=TRUE,(Skills!L12/10)*(E189/1000),Skills!L12/10)+Skills!O12</f>
        <v/>
      </c>
      <c r="G189" t="inlineStr"/>
      <c r="H189" t="inlineStr"/>
      <c r="I189" t="inlineStr">
        <is>
          <t>1</t>
        </is>
      </c>
      <c r="J189" t="inlineStr"/>
      <c r="K189" t="inlineStr"/>
      <c r="L189" t="inlineStr"/>
      <c r="M189" t="inlineStr"/>
      <c r="N189" t="inlineStr"/>
      <c r="O189" t="inlineStr"/>
      <c r="P189" t="inlineStr"/>
      <c r="Q189" t="inlineStr"/>
      <c r="R189" t="inlineStr"/>
      <c r="S189" t="inlineStr"/>
    </row>
    <row r="190">
      <c r="A190">
        <f>Skills!A13</f>
        <v/>
      </c>
      <c r="B190">
        <f>Skills!B13</f>
        <v/>
      </c>
      <c r="C190">
        <f>Inputs!$B$3&gt;=66</f>
        <v/>
      </c>
      <c r="D190">
        <f>IF(Skills!C13=1,60+Inputs!$B$24+Inputs!$B$28,IF(Skills!C13=2,90+Inputs!$B$25+Inputs!$B$28,IF(Skills!C13=3,120+Inputs!$B$26+Inputs!$B$28,MAX(0,(Inputs!$B$3-100)*3)+Inputs!$B$27+Inputs!$B$28)))</f>
        <v/>
      </c>
      <c r="E190">
        <f>INDEX(FactorTable!$B$2:$Y$301, MATCH(ROUND(MIN(300,MAX(1,D190)),0), FactorTable!$A$2:$A$301,0), Skills!M13+1)</f>
        <v/>
      </c>
      <c r="F190">
        <f>IF(Skills!N13=TRUE,(Skills!L13/10)*(E190/1000),Skills!L13/10)+Skills!O13</f>
        <v/>
      </c>
      <c r="G190">
        <f>Skills!G13*IF(Skills!H13&gt;0,Skills!I13/Skills!H13,1)</f>
        <v/>
      </c>
      <c r="H190">
        <f>1-(1-Skills!J13/100)^Skills!K13</f>
        <v/>
      </c>
      <c r="I190" t="inlineStr">
        <is>
          <t>1</t>
        </is>
      </c>
      <c r="J190" t="inlineStr"/>
      <c r="K190" t="inlineStr"/>
      <c r="L190" t="inlineStr"/>
      <c r="M190" t="inlineStr"/>
      <c r="N190" t="inlineStr"/>
      <c r="O190" t="n">
        <v>0</v>
      </c>
      <c r="P190">
        <f>IF(B210=0,0,O190/B210)</f>
        <v/>
      </c>
      <c r="Q190" t="n">
        <v>0</v>
      </c>
      <c r="R190" t="n">
        <v>0</v>
      </c>
      <c r="S190">
        <f>IFERROR(O190/N190,0)</f>
        <v/>
      </c>
    </row>
    <row r="191">
      <c r="A191">
        <f>Skills!A14</f>
        <v/>
      </c>
      <c r="B191">
        <f>Skills!B14</f>
        <v/>
      </c>
      <c r="C191">
        <f>Inputs!$B$3&gt;=107</f>
        <v/>
      </c>
      <c r="D191">
        <f>IF(Skills!C14=1,60+Inputs!$B$24+Inputs!$B$28,IF(Skills!C14=2,90+Inputs!$B$25+Inputs!$B$28,IF(Skills!C14=3,120+Inputs!$B$26+Inputs!$B$28,MAX(0,(Inputs!$B$3-100)*3)+Inputs!$B$27+Inputs!$B$28)))</f>
        <v/>
      </c>
      <c r="E191">
        <f>INDEX(FactorTable!$B$2:$Y$301, MATCH(ROUND(MIN(300,MAX(1,D191)),0), FactorTable!$A$2:$A$301,0), Skills!M14+1)</f>
        <v/>
      </c>
      <c r="F191">
        <f>IF(Skills!N14=TRUE,(Skills!L14/10)*(E191/1000),Skills!L14/10)+Skills!O14</f>
        <v/>
      </c>
      <c r="G191">
        <f>Skills!G14*IF(Skills!H14&gt;0,Skills!I14/Skills!H14,1)</f>
        <v/>
      </c>
      <c r="H191">
        <f>1-(1-Skills!J14/100)^Skills!K14</f>
        <v/>
      </c>
      <c r="I191" t="inlineStr">
        <is>
          <t>1</t>
        </is>
      </c>
      <c r="J191" t="inlineStr"/>
      <c r="K191" t="inlineStr"/>
      <c r="L191" t="inlineStr"/>
      <c r="M191" t="inlineStr"/>
      <c r="N191" t="inlineStr"/>
      <c r="O191" t="n">
        <v>0</v>
      </c>
      <c r="P191">
        <f>IF(B210=0,0,O191/B210)</f>
        <v/>
      </c>
      <c r="Q191" t="n">
        <v>0</v>
      </c>
      <c r="R191" t="n">
        <v>0</v>
      </c>
      <c r="S191">
        <f>IFERROR(O191/N191,0)</f>
        <v/>
      </c>
    </row>
    <row r="192">
      <c r="A192">
        <f>Skills!A15</f>
        <v/>
      </c>
      <c r="B192">
        <f>Skills!B15</f>
        <v/>
      </c>
      <c r="C192">
        <f>Inputs!$B$3&gt;=115</f>
        <v/>
      </c>
      <c r="D192">
        <f>IF(Skills!C15=1,60+Inputs!$B$24+Inputs!$B$28,IF(Skills!C15=2,90+Inputs!$B$25+Inputs!$B$28,IF(Skills!C15=3,120+Inputs!$B$26+Inputs!$B$28,MAX(0,(Inputs!$B$3-100)*3)+Inputs!$B$27+Inputs!$B$28)))</f>
        <v/>
      </c>
      <c r="E192">
        <f>INDEX(FactorTable!$B$2:$Y$301, MATCH(ROUND(MIN(300,MAX(1,D192)),0), FactorTable!$A$2:$A$301,0), Skills!M15+1)</f>
        <v/>
      </c>
      <c r="F192">
        <f>IF(Skills!N15=TRUE,(Skills!L15/10)*(E192/1000),Skills!L15/10)+Skills!O15</f>
        <v/>
      </c>
      <c r="G192">
        <f>Skills!G15*IF(Skills!H15&gt;0,Skills!I15/Skills!H15,1)</f>
        <v/>
      </c>
      <c r="H192">
        <f>1-(1-Skills!J15/100)^Skills!K15</f>
        <v/>
      </c>
      <c r="I192" t="inlineStr">
        <is>
          <t>1</t>
        </is>
      </c>
      <c r="J192" t="inlineStr"/>
      <c r="K192" t="inlineStr"/>
      <c r="L192" t="inlineStr"/>
      <c r="M192" t="inlineStr"/>
      <c r="N192" t="inlineStr"/>
      <c r="O192" t="n">
        <v>0</v>
      </c>
      <c r="P192">
        <f>IF(B210=0,0,O192/B210)</f>
        <v/>
      </c>
      <c r="Q192" t="n">
        <v>0</v>
      </c>
      <c r="R192" t="n">
        <v>0</v>
      </c>
      <c r="S192">
        <f>IFERROR(O192/N192,0)</f>
        <v/>
      </c>
    </row>
    <row r="193">
      <c r="A193">
        <f>Skills!A16</f>
        <v/>
      </c>
      <c r="B193">
        <f>Skills!B16</f>
        <v/>
      </c>
      <c r="C193">
        <f>Inputs!$B$3&gt;=15</f>
        <v/>
      </c>
      <c r="D193">
        <f>IF(Skills!C16=1,60+Inputs!$B$24+Inputs!$B$28,IF(Skills!C16=2,90+Inputs!$B$25+Inputs!$B$28,IF(Skills!C16=3,120+Inputs!$B$26+Inputs!$B$28,MAX(0,(Inputs!$B$3-100)*3)+Inputs!$B$27+Inputs!$B$28)))</f>
        <v/>
      </c>
      <c r="E193">
        <f>INDEX(FactorTable!$B$2:$Y$301, MATCH(ROUND(MIN(300,MAX(1,D193)),0), FactorTable!$A$2:$A$301,0), Skills!M16+1)</f>
        <v/>
      </c>
      <c r="F193">
        <f>IF(Skills!N16=TRUE,(Skills!L16/10)*(E193/1000),Skills!L16/10)+Skills!O16</f>
        <v/>
      </c>
      <c r="G193">
        <f>Skills!G16*IF(Skills!H16&gt;0,Skills!I16/Skills!H16,1)</f>
        <v/>
      </c>
      <c r="H193">
        <f>1-(1-Skills!J16/100)^Skills!K16</f>
        <v/>
      </c>
      <c r="I193" t="inlineStr">
        <is>
          <t>1</t>
        </is>
      </c>
      <c r="J193" t="inlineStr"/>
      <c r="K193" t="inlineStr"/>
      <c r="L193" t="inlineStr"/>
      <c r="M193" t="inlineStr"/>
      <c r="N193" t="inlineStr"/>
      <c r="O193" t="n">
        <v>0</v>
      </c>
      <c r="P193">
        <f>IF(B210=0,0,O193/B210)</f>
        <v/>
      </c>
      <c r="Q193" t="n">
        <v>0</v>
      </c>
      <c r="R193" t="n">
        <v>0</v>
      </c>
      <c r="S193">
        <f>IFERROR(O193/N193,0)</f>
        <v/>
      </c>
    </row>
    <row r="194">
      <c r="A194">
        <f>Skills!A17</f>
        <v/>
      </c>
      <c r="B194">
        <f>Skills!B17</f>
        <v/>
      </c>
      <c r="C194">
        <f>Inputs!$B$3&gt;=10</f>
        <v/>
      </c>
      <c r="D194">
        <f>IF(Skills!C17=1,60+Inputs!$B$24+Inputs!$B$28,IF(Skills!C17=2,90+Inputs!$B$25+Inputs!$B$28,IF(Skills!C17=3,120+Inputs!$B$26+Inputs!$B$28,MAX(0,(Inputs!$B$3-100)*3)+Inputs!$B$27+Inputs!$B$28)))</f>
        <v/>
      </c>
      <c r="E194">
        <f>INDEX(FactorTable!$B$2:$Y$301, MATCH(ROUND(MIN(300,MAX(1,D194)),0), FactorTable!$A$2:$A$301,0), Skills!M17+1)</f>
        <v/>
      </c>
      <c r="F194">
        <f>IF(Skills!N17=TRUE,(Skills!L17/10)*(E194/1000),Skills!L17/10)+Skills!O17</f>
        <v/>
      </c>
      <c r="G194">
        <f>Skills!G17*IF(Skills!H17&gt;0,Skills!I17/Skills!H17,1)</f>
        <v/>
      </c>
      <c r="H194">
        <f>1-(1-Skills!J17/100)^Skills!K17</f>
        <v/>
      </c>
      <c r="I194" t="inlineStr">
        <is>
          <t>1</t>
        </is>
      </c>
      <c r="J194" t="inlineStr"/>
      <c r="K194" t="inlineStr"/>
      <c r="L194" t="inlineStr"/>
      <c r="M194" t="inlineStr"/>
      <c r="N194" t="inlineStr"/>
      <c r="O194" t="n">
        <v>0</v>
      </c>
      <c r="P194">
        <f>IF(B210=0,0,O194/B210)</f>
        <v/>
      </c>
      <c r="Q194" t="n">
        <v>0</v>
      </c>
      <c r="R194" t="n">
        <v>0</v>
      </c>
      <c r="S194">
        <f>IFERROR(O194/N194,0)</f>
        <v/>
      </c>
    </row>
    <row r="195">
      <c r="A195">
        <f>Skills!A18</f>
        <v/>
      </c>
      <c r="B195">
        <f>Skills!B18</f>
        <v/>
      </c>
      <c r="C195">
        <f>Inputs!$B$3&gt;=33</f>
        <v/>
      </c>
      <c r="D195">
        <f>IF(Skills!C18=1,60+Inputs!$B$24+Inputs!$B$28,IF(Skills!C18=2,90+Inputs!$B$25+Inputs!$B$28,IF(Skills!C18=3,120+Inputs!$B$26+Inputs!$B$28,MAX(0,(Inputs!$B$3-100)*3)+Inputs!$B$27+Inputs!$B$28)))</f>
        <v/>
      </c>
      <c r="E195">
        <f>INDEX(FactorTable!$B$2:$Y$301, MATCH(ROUND(MIN(300,MAX(1,D195)),0), FactorTable!$A$2:$A$301,0), Skills!M18+1)</f>
        <v/>
      </c>
      <c r="F195">
        <f>IF(Skills!N18=TRUE,(Skills!L18/10)*(E195/1000),Skills!L18/10)+Skills!O18</f>
        <v/>
      </c>
      <c r="G195">
        <f>Skills!G18*IF(Skills!H18&gt;0,Skills!I18/Skills!H18,1)</f>
        <v/>
      </c>
      <c r="H195">
        <f>1-(1-Skills!J18/100)^Skills!K18</f>
        <v/>
      </c>
      <c r="I195" t="inlineStr">
        <is>
          <t>1</t>
        </is>
      </c>
      <c r="J195" t="inlineStr"/>
      <c r="K195" t="inlineStr"/>
      <c r="L195" t="inlineStr"/>
      <c r="M195" t="inlineStr"/>
      <c r="N195" t="inlineStr"/>
      <c r="O195" t="n">
        <v>0</v>
      </c>
      <c r="P195">
        <f>IF(B210=0,0,O195/B210)</f>
        <v/>
      </c>
      <c r="Q195" t="n">
        <v>0</v>
      </c>
      <c r="R195" t="n">
        <v>0</v>
      </c>
      <c r="S195">
        <f>IFERROR(O195/N195,0)</f>
        <v/>
      </c>
    </row>
    <row r="196">
      <c r="A196">
        <f>Skills!A19</f>
        <v/>
      </c>
      <c r="B196">
        <f>Skills!B19</f>
        <v/>
      </c>
      <c r="C196">
        <f>Inputs!$B$3&gt;=40</f>
        <v/>
      </c>
      <c r="D196">
        <f>IF(Skills!C19=1,60+Inputs!$B$24+Inputs!$B$28,IF(Skills!C19=2,90+Inputs!$B$25+Inputs!$B$28,IF(Skills!C19=3,120+Inputs!$B$26+Inputs!$B$28,MAX(0,(Inputs!$B$3-100)*3)+Inputs!$B$27+Inputs!$B$28)))</f>
        <v/>
      </c>
      <c r="E196">
        <f>INDEX(FactorTable!$B$2:$Y$301, MATCH(ROUND(MIN(300,MAX(1,D196)),0), FactorTable!$A$2:$A$301,0), Skills!M19+1)</f>
        <v/>
      </c>
      <c r="F196">
        <f>IF(Skills!N19=TRUE,(Skills!L19/10)*(E196/1000),Skills!L19/10)+Skills!O19</f>
        <v/>
      </c>
      <c r="G196">
        <f>Skills!G19*IF(Skills!H19&gt;0,Skills!I19/Skills!H19,1)</f>
        <v/>
      </c>
      <c r="H196">
        <f>1-(1-Skills!J19/100)^Skills!K19</f>
        <v/>
      </c>
      <c r="I196" t="inlineStr">
        <is>
          <t>1</t>
        </is>
      </c>
      <c r="J196" t="inlineStr"/>
      <c r="K196" t="inlineStr"/>
      <c r="L196" t="inlineStr"/>
      <c r="M196" t="inlineStr"/>
      <c r="N196" t="inlineStr"/>
      <c r="O196" t="n">
        <v>0</v>
      </c>
      <c r="P196">
        <f>IF(B210=0,0,O196/B210)</f>
        <v/>
      </c>
      <c r="Q196" t="n">
        <v>0</v>
      </c>
      <c r="R196" t="n">
        <v>0</v>
      </c>
      <c r="S196">
        <f>IFERROR(O196/N196,0)</f>
        <v/>
      </c>
    </row>
    <row r="197">
      <c r="A197">
        <f>Skills!A20</f>
        <v/>
      </c>
      <c r="B197">
        <f>Skills!B20</f>
        <v/>
      </c>
      <c r="C197">
        <f>Inputs!$B$3&gt;=43</f>
        <v/>
      </c>
      <c r="D197">
        <f>IF(Skills!C20=1,60+Inputs!$B$24+Inputs!$B$28,IF(Skills!C20=2,90+Inputs!$B$25+Inputs!$B$28,IF(Skills!C20=3,120+Inputs!$B$26+Inputs!$B$28,MAX(0,(Inputs!$B$3-100)*3)+Inputs!$B$27+Inputs!$B$28)))</f>
        <v/>
      </c>
      <c r="E197">
        <f>INDEX(FactorTable!$B$2:$Y$301, MATCH(ROUND(MIN(300,MAX(1,D197)),0), FactorTable!$A$2:$A$301,0), Skills!M20+1)</f>
        <v/>
      </c>
      <c r="F197">
        <f>IF(Skills!N20=TRUE,(Skills!L20/10)*(E197/1000),Skills!L20/10)+Skills!O20</f>
        <v/>
      </c>
      <c r="G197">
        <f>Skills!G20*IF(Skills!H20&gt;0,Skills!I20/Skills!H20,1)</f>
        <v/>
      </c>
      <c r="H197">
        <f>1-(1-Skills!J20/100)^Skills!K20</f>
        <v/>
      </c>
      <c r="I197" t="inlineStr">
        <is>
          <t>1</t>
        </is>
      </c>
      <c r="J197" t="inlineStr"/>
      <c r="K197" t="inlineStr"/>
      <c r="L197" t="inlineStr"/>
      <c r="M197" t="inlineStr"/>
      <c r="N197" t="inlineStr"/>
      <c r="O197" t="n">
        <v>0</v>
      </c>
      <c r="P197">
        <f>IF(B210=0,0,O197/B210)</f>
        <v/>
      </c>
      <c r="Q197" t="n">
        <v>0</v>
      </c>
      <c r="R197" t="n">
        <v>0</v>
      </c>
      <c r="S197">
        <f>IFERROR(O197/N197,0)</f>
        <v/>
      </c>
    </row>
    <row r="198">
      <c r="A198">
        <f>Skills!A21</f>
        <v/>
      </c>
      <c r="B198">
        <f>Skills!B21</f>
        <v/>
      </c>
      <c r="C198">
        <f>Inputs!$B$3&gt;=38</f>
        <v/>
      </c>
      <c r="D198">
        <f>IF(Skills!C21=1,60+Inputs!$B$24+Inputs!$B$28,IF(Skills!C21=2,90+Inputs!$B$25+Inputs!$B$28,IF(Skills!C21=3,120+Inputs!$B$26+Inputs!$B$28,MAX(0,(Inputs!$B$3-100)*3)+Inputs!$B$27+Inputs!$B$28)))</f>
        <v/>
      </c>
      <c r="E198">
        <f>INDEX(FactorTable!$B$2:$Y$301, MATCH(ROUND(MIN(300,MAX(1,D198)),0), FactorTable!$A$2:$A$301,0), Skills!M21+1)</f>
        <v/>
      </c>
      <c r="F198">
        <f>IF(Skills!N21=TRUE,(Skills!L21/10)*(E198/1000),Skills!L21/10)+Skills!O21</f>
        <v/>
      </c>
      <c r="G198">
        <f>Skills!G21*IF(Skills!H21&gt;0,Skills!I21/Skills!H21,1)</f>
        <v/>
      </c>
      <c r="H198">
        <f>1-(1-Skills!J21/100)^Skills!K21</f>
        <v/>
      </c>
      <c r="I198" t="inlineStr">
        <is>
          <t>1</t>
        </is>
      </c>
      <c r="J198" t="inlineStr"/>
      <c r="K198" t="inlineStr"/>
      <c r="L198" t="inlineStr"/>
      <c r="M198" t="inlineStr"/>
      <c r="N198" t="inlineStr"/>
      <c r="O198" t="n">
        <v>0</v>
      </c>
      <c r="P198">
        <f>IF(B210=0,0,O198/B210)</f>
        <v/>
      </c>
      <c r="Q198" t="n">
        <v>0</v>
      </c>
      <c r="R198" t="n">
        <v>0</v>
      </c>
      <c r="S198">
        <f>IFERROR(O198/N198,0)</f>
        <v/>
      </c>
    </row>
    <row r="199">
      <c r="A199">
        <f>Skills!A22</f>
        <v/>
      </c>
      <c r="B199">
        <f>Skills!B22</f>
        <v/>
      </c>
      <c r="C199">
        <f>Inputs!$B$3&gt;=75</f>
        <v/>
      </c>
      <c r="D199">
        <f>IF(Skills!C22=1,60+Inputs!$B$24+Inputs!$B$28,IF(Skills!C22=2,90+Inputs!$B$25+Inputs!$B$28,IF(Skills!C22=3,120+Inputs!$B$26+Inputs!$B$28,MAX(0,(Inputs!$B$3-100)*3)+Inputs!$B$27+Inputs!$B$28)))</f>
        <v/>
      </c>
      <c r="E199">
        <f>INDEX(FactorTable!$B$2:$Y$301, MATCH(ROUND(MIN(300,MAX(1,D199)),0), FactorTable!$A$2:$A$301,0), Skills!M22+1)</f>
        <v/>
      </c>
      <c r="F199">
        <f>IF(Skills!N22=TRUE,(Skills!L22/10)*(E199/1000),Skills!L22/10)+Skills!O22</f>
        <v/>
      </c>
      <c r="G199">
        <f>Skills!G22*IF(Skills!H22&gt;0,Skills!I22/Skills!H22,1)</f>
        <v/>
      </c>
      <c r="H199">
        <f>1-(1-Skills!J22/100)^Skills!K22</f>
        <v/>
      </c>
      <c r="I199" t="inlineStr">
        <is>
          <t>1</t>
        </is>
      </c>
      <c r="J199" t="inlineStr"/>
      <c r="K199" t="inlineStr"/>
      <c r="L199" t="inlineStr"/>
      <c r="M199" t="inlineStr"/>
      <c r="N199" t="inlineStr"/>
      <c r="O199" t="n">
        <v>0</v>
      </c>
      <c r="P199">
        <f>IF(B210=0,0,O199/B210)</f>
        <v/>
      </c>
      <c r="Q199" t="n">
        <v>0</v>
      </c>
      <c r="R199" t="n">
        <v>0</v>
      </c>
      <c r="S199">
        <f>IFERROR(O199/N199,0)</f>
        <v/>
      </c>
    </row>
    <row r="201">
      <c r="A201" t="inlineStr">
        <is>
          <t>Attack% Bucket Multiplier</t>
        </is>
      </c>
      <c r="B201">
        <f>(1+(((C190=TRUE)*F190)+((C196=TRUE)*(F196-Calc!F19)))/100)</f>
        <v/>
      </c>
    </row>
    <row r="202">
      <c r="A202" t="inlineStr">
        <is>
          <t>Global Crit Rate Bonus %</t>
        </is>
      </c>
      <c r="B202" t="n">
        <v>0</v>
      </c>
    </row>
    <row r="203">
      <c r="A203" t="inlineStr">
        <is>
          <t>Attack Speed Buff Bonus % (unused)</t>
        </is>
      </c>
      <c r="B203" t="n">
        <v>0</v>
      </c>
    </row>
    <row r="204">
      <c r="A204" t="inlineStr">
        <is>
          <t>Actions Per Second</t>
        </is>
      </c>
      <c r="B204">
        <f>1+MIN(150,150*(1-(1-(Inputs!$B$10+((C194=TRUE)*(F194-Calc!F17))+((C195=TRUE)*(F195-Calc!F18)))/150)*(1-B203/150)))/100</f>
        <v/>
      </c>
    </row>
    <row r="205">
      <c r="A205" t="inlineStr">
        <is>
          <t>Skill + Buff Cast Rate</t>
        </is>
      </c>
      <c r="B205">
        <f>IF(AND(Inputs!$B$4&lt;&gt;"pvp",Inputs!$B$35&gt;0),SUMPRODUCT((Skills!E2:E22=TRUE)*(C179:C199=TRUE)*R179:R199*Skills!F2:F22)/Inputs!$B$35,SUMPRODUCT((Skills!E2:E22=TRUE)*(C179:C199=TRUE)*Q179:Q199*Skills!F2:F22))</f>
        <v/>
      </c>
    </row>
    <row r="206">
      <c r="A206" t="inlineStr">
        <is>
          <t>Hook Bomber Casts Per Second</t>
        </is>
      </c>
      <c r="B206">
        <f>MAX(0,B204-B205)</f>
        <v/>
      </c>
    </row>
    <row r="207">
      <c r="A207" t="inlineStr">
        <is>
          <t>Global Critical Damage Bonus % (unused)</t>
        </is>
      </c>
      <c r="B207" t="n">
        <v>0</v>
      </c>
    </row>
    <row r="208">
      <c r="A208" t="inlineStr">
        <is>
          <t>Global Final Damage Bonus % (Serpent Scale + Crossbones + Time Leap + Speed Infusion)</t>
        </is>
      </c>
      <c r="B208">
        <f>((C182=TRUE)*F182*((10+IF(Inputs!$B$3&gt;=94,5,0))/((10+IF(Inputs!$B$3&gt;=94,5,0))+5/(B206*(1+IF(Inputs!$B$3&gt;=104,1,0))))))+((C191=TRUE)*F191)+((C192=TRUE)*F192)+((Inputs!$B$3&gt;=110)*20*(B204-1))</f>
        <v/>
      </c>
    </row>
    <row r="210">
      <c r="A210" s="5" t="inlineStr">
        <is>
          <t>TOTAL DPS</t>
        </is>
      </c>
      <c r="B210" s="5">
        <f>SUM(O179:O199)</f>
        <v/>
      </c>
    </row>
    <row r="213">
      <c r="A213" s="5" t="inlineStr">
        <is>
          <t>Stat: BOSS_DAMAGE %</t>
        </is>
      </c>
    </row>
    <row r="214">
      <c r="A214" s="8" t="inlineStr">
        <is>
          <t>Key</t>
        </is>
      </c>
      <c r="B214" s="8" t="inlineStr">
        <is>
          <t>Name</t>
        </is>
      </c>
      <c r="C214" s="8" t="inlineStr">
        <is>
          <t>Unlocked</t>
        </is>
      </c>
      <c r="D214" s="8" t="inlineStr">
        <is>
          <t>InputLevel</t>
        </is>
      </c>
      <c r="E214" s="8" t="inlineStr">
        <is>
          <t>Factor</t>
        </is>
      </c>
      <c r="F214" s="8" t="inlineStr">
        <is>
          <t>CoefficientPercent</t>
        </is>
      </c>
      <c r="G214" s="8" t="inlineStr">
        <is>
          <t>EffectiveHits</t>
        </is>
      </c>
      <c r="H214" s="8" t="inlineStr">
        <is>
          <t>ProcProbability</t>
        </is>
      </c>
      <c r="I214" s="8" t="inlineStr">
        <is>
          <t>MapleHeroMultiplier</t>
        </is>
      </c>
      <c r="J214" s="8" t="inlineStr">
        <is>
          <t>BaseDamage</t>
        </is>
      </c>
      <c r="K214" s="8" t="inlineStr">
        <is>
          <t>BaseHitDamage</t>
        </is>
      </c>
      <c r="L214" s="8" t="inlineStr">
        <is>
          <t>NonCritAvg</t>
        </is>
      </c>
      <c r="M214" s="8" t="inlineStr">
        <is>
          <t>CritAvg</t>
        </is>
      </c>
      <c r="N214" s="8" t="inlineStr">
        <is>
          <t>ExpectedDamage(perHit)</t>
        </is>
      </c>
      <c r="O214" s="8" t="inlineStr">
        <is>
          <t>DPS</t>
        </is>
      </c>
      <c r="P214" s="8" t="inlineStr">
        <is>
          <t>% of Total</t>
        </is>
      </c>
      <c r="Q214" s="8" t="inlineStr">
        <is>
          <t>InvCooldown</t>
        </is>
      </c>
      <c r="R214" s="8" t="inlineStr">
        <is>
          <t>CastsInFight</t>
        </is>
      </c>
      <c r="S214" s="8" t="inlineStr">
        <is>
          <t>HitRate(perSec)</t>
        </is>
      </c>
      <c r="U214" t="inlineStr">
        <is>
          <t>helpers</t>
        </is>
      </c>
    </row>
    <row r="215">
      <c r="A215">
        <f>Skills!A2</f>
        <v/>
      </c>
      <c r="B215">
        <f>Skills!B2</f>
        <v/>
      </c>
      <c r="C215">
        <f>Inputs!$B$3&gt;=100</f>
        <v/>
      </c>
      <c r="D215" t="inlineStr"/>
      <c r="E215" t="inlineStr"/>
      <c r="F215">
        <f>U217+Skills!O2</f>
        <v/>
      </c>
      <c r="G215">
        <f>Skills!G2*IF(Skills!H2&gt;0,Skills!I2/Skills!H2,1)</f>
        <v/>
      </c>
      <c r="H215">
        <f>1-(1-Skills!J2/100)^Skills!K2</f>
        <v/>
      </c>
      <c r="I215" t="inlineStr">
        <is>
          <t>1</t>
        </is>
      </c>
      <c r="J215">
        <f>(Inputs!$B$5*(1+Inputs!$B$6/100))*(F215/100)</f>
        <v/>
      </c>
      <c r="K215">
        <f>J215*(1+((Inputs!$B$11*(1+Inputs!$B$12/100))*0.01+Inputs!$B$13*0.0025)/100)*(1+Inputs!$B$14/100)*(1+IF(Inputs!$B$4="pvp",0,(1-Summary!$B$55)*((Inputs!$B$19+1)+0+Skills!P2)+Summary!$B$55*(Inputs!$B$20+Skills!Q2))/100)*(1+Inputs!$B$15/100)*(5000/(6000+Inputs!$B$7*(1-(Inputs!$B$18+0)/100)))*(1+(Inputs!$B$23+((C235=TRUE)*(F235-Calc!F22))+B244)/100)*(1+(IF(Skills!A2="HOOK_BOMBER",Inputs!$B$16+((C234=TRUE)*(F234-Calc!F21)),Inputs!$B$17+0))/100)*((1+(((C226=TRUE)*F226)+((C232=TRUE)*(F232-Calc!F19)))/100)*I215)</f>
        <v/>
      </c>
      <c r="L215">
        <f>K215*(MIN(Inputs!$B$21+((C233=TRUE)*(F233-Calc!F20)),Inputs!$B$22+0)/100+(Inputs!$B$22+0)/100)/2</f>
        <v/>
      </c>
      <c r="M215">
        <f>L215*(1+(Inputs!$B$9+0+B243)/100)</f>
        <v/>
      </c>
      <c r="N215">
        <f>L215*(1-MIN((Inputs!$B$8+((C229=TRUE)*(F229-Calc!F16))+B238),100)/100)+M215*(MIN((Inputs!$B$8+((C229=TRUE)*(F229-Calc!F16))+B238),100)/100)</f>
        <v/>
      </c>
      <c r="O215">
        <f>IF(C215,Skills!G2*N215*B242*IF(Inputs!$B$4="pvp",1,(1-Summary!$B$55)*(1)+Summary!$B$55*(MIN((6+Inputs!$B$32),Inputs!$B$37))),0)</f>
        <v/>
      </c>
      <c r="P215">
        <f>IF(B246=0,0,O215/B246)</f>
        <v/>
      </c>
      <c r="Q215" t="n">
        <v>0</v>
      </c>
      <c r="R215" t="n">
        <v>0</v>
      </c>
      <c r="S215">
        <f>IFERROR(O215/N215,0)</f>
        <v/>
      </c>
      <c r="U215">
        <f>MAX(0,(Inputs!$B$3-100)*3)+Inputs!$B$27+Inputs!$B$28</f>
        <v/>
      </c>
    </row>
    <row r="216">
      <c r="A216">
        <f>Skills!A3</f>
        <v/>
      </c>
      <c r="B216">
        <f>Skills!B3</f>
        <v/>
      </c>
      <c r="C216">
        <f>Inputs!$B$3&gt;=35</f>
        <v/>
      </c>
      <c r="D216">
        <f>IF(Skills!C3=1,60+Inputs!$B$24+Inputs!$B$28,IF(Skills!C3=2,90+Inputs!$B$25+Inputs!$B$28,IF(Skills!C3=3,120+Inputs!$B$26+Inputs!$B$28,MAX(0,(Inputs!$B$3-100)*3)+Inputs!$B$27+Inputs!$B$28)))</f>
        <v/>
      </c>
      <c r="E216">
        <f>INDEX(FactorTable!$B$2:$Y$301, MATCH(ROUND(MIN(300,MAX(1,D216)),0), FactorTable!$A$2:$A$301,0), Skills!M3+1)</f>
        <v/>
      </c>
      <c r="F216">
        <f>IF(Skills!N3=TRUE,(Skills!L3/10)*(E216/1000),Skills!L3/10)+Skills!O3</f>
        <v/>
      </c>
      <c r="G216">
        <f>Skills!G3*IF(Skills!H3&gt;0,Skills!I3/Skills!H3,1)</f>
        <v/>
      </c>
      <c r="H216">
        <f>1-(1-Skills!J3/100)^Skills!K3</f>
        <v/>
      </c>
      <c r="I216" t="inlineStr">
        <is>
          <t>1</t>
        </is>
      </c>
      <c r="J216">
        <f>(Inputs!$B$5*(1+Inputs!$B$6/100))*(F216/100)</f>
        <v/>
      </c>
      <c r="K216">
        <f>J216*(1+((Inputs!$B$11*(1+Inputs!$B$12/100))*0.01+Inputs!$B$13*0.0025)/100)*(1+Inputs!$B$14/100)*(1+IF(Inputs!$B$4="pvp",0,(1-Summary!$B$55)*((Inputs!$B$19+1)+0+Skills!P3)+Summary!$B$55*(Inputs!$B$20+Skills!Q3))/100)*(1+Inputs!$B$15/100)*(5000/(6000+Inputs!$B$7*(1-(Inputs!$B$18+0)/100)))*(1+(Inputs!$B$23+((C235=TRUE)*(F235-Calc!F22))+B244)/100)*(1+(IF(Skills!A3="HOOK_BOMBER",Inputs!$B$16+((C234=TRUE)*(F234-Calc!F21)),Inputs!$B$17+0))/100)*((1+(((C226=TRUE)*F226)+((C232=TRUE)*(F232-Calc!F19)))/100)*I216)</f>
        <v/>
      </c>
      <c r="L216">
        <f>K216*(MIN(Inputs!$B$21+((C233=TRUE)*(F233-Calc!F20)),Inputs!$B$22+0)/100+(Inputs!$B$22+0)/100)/2</f>
        <v/>
      </c>
      <c r="M216">
        <f>L216*(1+(Inputs!$B$9+0+B243)/100)</f>
        <v/>
      </c>
      <c r="N216">
        <f>L216*(1-MIN((Inputs!$B$8+((C229=TRUE)*(F229-Calc!F16))+B238),100)/100)+M216*(MIN((Inputs!$B$8+((C229=TRUE)*(F229-Calc!F16))+B238),100)/100)</f>
        <v/>
      </c>
      <c r="O216">
        <f>IF(C216,Skills!G3*H216*N216*B242*IF(Inputs!$B$4="pvp",1,(1-Summary!$B$55)*(1)+Summary!$B$55*(MIN(Skills!R3,Inputs!$B$37))),0)</f>
        <v/>
      </c>
      <c r="P216">
        <f>IF(B246=0,0,O216/B246)</f>
        <v/>
      </c>
      <c r="Q216" t="n">
        <v>0</v>
      </c>
      <c r="R216" t="n">
        <v>0</v>
      </c>
      <c r="S216">
        <f>IFERROR(O216/N216,0)</f>
        <v/>
      </c>
      <c r="U216">
        <f>INDEX(FactorTable!$B$2:$Y$301, MATCH(ROUND(MIN(300,MAX(1,U215)),0), FactorTable!$A$2:$A$301,0), 22)</f>
        <v/>
      </c>
    </row>
    <row r="217">
      <c r="A217">
        <f>Skills!A4</f>
        <v/>
      </c>
      <c r="B217">
        <f>Skills!B4</f>
        <v/>
      </c>
      <c r="C217">
        <f>Inputs!$B$3&gt;=60</f>
        <v/>
      </c>
      <c r="D217">
        <f>IF(Skills!C4=1,60+Inputs!$B$24+Inputs!$B$28,IF(Skills!C4=2,90+Inputs!$B$25+Inputs!$B$28,IF(Skills!C4=3,120+Inputs!$B$26+Inputs!$B$28,MAX(0,(Inputs!$B$3-100)*3)+Inputs!$B$27+Inputs!$B$28)))</f>
        <v/>
      </c>
      <c r="E217">
        <f>INDEX(FactorTable!$B$2:$Y$301, MATCH(ROUND(MIN(300,MAX(1,D217)),0), FactorTable!$A$2:$A$301,0), Skills!M4+1)</f>
        <v/>
      </c>
      <c r="F217">
        <f>IF(Skills!N4=TRUE,(Skills!L4/10)*(E217/1000),Skills!L4/10)+Skills!O4</f>
        <v/>
      </c>
      <c r="G217">
        <f>Skills!G4*IF(Skills!H4&gt;0,Skills!I4/Skills!H4,1)</f>
        <v/>
      </c>
      <c r="H217">
        <f>1-(1-Skills!J4/100)^Skills!K4</f>
        <v/>
      </c>
      <c r="I217" t="inlineStr">
        <is>
          <t>1</t>
        </is>
      </c>
      <c r="J217">
        <f>(Inputs!$B$5*(1+Inputs!$B$6/100))*(F217/100)</f>
        <v/>
      </c>
      <c r="K217">
        <f>J217*(1+((Inputs!$B$11*(1+Inputs!$B$12/100))*0.01+Inputs!$B$13*0.0025)/100)*(1+Inputs!$B$14/100)*(1+IF(Inputs!$B$4="pvp",0,(1-Summary!$B$55)*((Inputs!$B$19+1)+0+Skills!P4)+Summary!$B$55*(Inputs!$B$20+Skills!Q4))/100)*(1+Inputs!$B$15/100)*(5000/(6000+Inputs!$B$7*(1-(Inputs!$B$18+0)/100)))*(1+(Inputs!$B$23+((C235=TRUE)*(F235-Calc!F22))+B244)/100)*(1+1.0*IF(C225=TRUE,F225,0)/100)*(1+(IF(Skills!A4="HOOK_BOMBER",Inputs!$B$16+((C234=TRUE)*(F234-Calc!F21)),Inputs!$B$17+0))/100)*((1+(((C226=TRUE)*F226)+((C232=TRUE)*(F232-Calc!F19)))/100)*I217)</f>
        <v/>
      </c>
      <c r="L217">
        <f>K217*(MIN(Inputs!$B$21+((C233=TRUE)*(F233-Calc!F20)),Inputs!$B$22+0)/100+(Inputs!$B$22+0)/100)/2</f>
        <v/>
      </c>
      <c r="M217">
        <f>L217*(1+(Inputs!$B$9+0+B243)/100)</f>
        <v/>
      </c>
      <c r="N217">
        <f>L217*(1-MIN((Inputs!$B$8+((C229=TRUE)*(F229-Calc!F16))+B238),100)/100)+M217*(MIN((Inputs!$B$8+((C229=TRUE)*(F229-Calc!F16))+B238),100)/100)</f>
        <v/>
      </c>
      <c r="O217">
        <f>IF(C217,Skills!G4*H217*N217*B242*IF(Inputs!$B$4="pvp",1,(1-Summary!$B$55)*(1)+Summary!$B$55*(MIN(Skills!R4,Inputs!$B$37))),0)</f>
        <v/>
      </c>
      <c r="P217">
        <f>IF(B246=0,0,O217/B246)</f>
        <v/>
      </c>
      <c r="Q217" t="n">
        <v>0</v>
      </c>
      <c r="R217" t="n">
        <v>0</v>
      </c>
      <c r="S217">
        <f>IFERROR(O217/N217,0)</f>
        <v/>
      </c>
      <c r="U217">
        <f>290*U216/1000</f>
        <v/>
      </c>
    </row>
    <row r="218">
      <c r="A218">
        <f>Skills!A5</f>
        <v/>
      </c>
      <c r="B218">
        <f>Skills!B5</f>
        <v/>
      </c>
      <c r="C218">
        <f>Inputs!$B$3&gt;=60</f>
        <v/>
      </c>
      <c r="D218">
        <f>IF(Skills!C5=1,60+Inputs!$B$24+Inputs!$B$28,IF(Skills!C5=2,90+Inputs!$B$25+Inputs!$B$28,IF(Skills!C5=3,120+Inputs!$B$26+Inputs!$B$28,MAX(0,(Inputs!$B$3-100)*3)+Inputs!$B$27+Inputs!$B$28)))</f>
        <v/>
      </c>
      <c r="E218">
        <f>INDEX(FactorTable!$B$2:$Y$301, MATCH(ROUND(MIN(300,MAX(1,D218)),0), FactorTable!$A$2:$A$301,0), Skills!M5+1)</f>
        <v/>
      </c>
      <c r="F218">
        <f>IF(Skills!N5=TRUE,(Skills!L5/10)*(E218/1000),Skills!L5/10)+Skills!O5</f>
        <v/>
      </c>
      <c r="G218">
        <f>Skills!G5*IF(Skills!H5&gt;0,Skills!I5/Skills!H5,1)</f>
        <v/>
      </c>
      <c r="H218">
        <f>1-(1-Skills!J5/100)^Skills!K5</f>
        <v/>
      </c>
      <c r="I218" t="inlineStr">
        <is>
          <t>1</t>
        </is>
      </c>
      <c r="J218" t="inlineStr"/>
      <c r="K218" t="inlineStr"/>
      <c r="L218" t="inlineStr"/>
      <c r="M218" t="inlineStr"/>
      <c r="N218" t="inlineStr"/>
      <c r="O218" t="n">
        <v>0</v>
      </c>
      <c r="P218">
        <f>IF(B246=0,0,O218/B246)</f>
        <v/>
      </c>
      <c r="Q218" t="n">
        <v>0</v>
      </c>
      <c r="R218" t="n">
        <v>0</v>
      </c>
      <c r="S218">
        <f>IFERROR(O218/N218,0)</f>
        <v/>
      </c>
    </row>
    <row r="219">
      <c r="A219">
        <f>Skills!A6</f>
        <v/>
      </c>
      <c r="B219">
        <f>Skills!B6</f>
        <v/>
      </c>
      <c r="C219">
        <f>Inputs!$B$3&gt;=63</f>
        <v/>
      </c>
      <c r="D219">
        <f>IF(Skills!C6=1,60+Inputs!$B$24+Inputs!$B$28,IF(Skills!C6=2,90+Inputs!$B$25+Inputs!$B$28,IF(Skills!C6=3,120+Inputs!$B$26+Inputs!$B$28,MAX(0,(Inputs!$B$3-100)*3)+Inputs!$B$27+Inputs!$B$28)))</f>
        <v/>
      </c>
      <c r="E219">
        <f>INDEX(FactorTable!$B$2:$Y$301, MATCH(ROUND(MIN(300,MAX(1,D219)),0), FactorTable!$A$2:$A$301,0), Skills!M6+1)</f>
        <v/>
      </c>
      <c r="F219">
        <f>IF(Skills!N6=TRUE,(Skills!L6/10)*(E219/1000),Skills!L6/10)+Skills!O6</f>
        <v/>
      </c>
      <c r="G219">
        <f>Skills!G6*IF(Skills!H6&gt;0,Skills!I6/Skills!H6,1)</f>
        <v/>
      </c>
      <c r="H219">
        <f>1-(1-Skills!J6/100)^Skills!K6</f>
        <v/>
      </c>
      <c r="I219" t="inlineStr">
        <is>
          <t>1</t>
        </is>
      </c>
      <c r="J219">
        <f>(Inputs!$B$5*(1+Inputs!$B$6/100))*(F219/100)</f>
        <v/>
      </c>
      <c r="K219">
        <f>J219*(1+((Inputs!$B$11*(1+Inputs!$B$12/100))*0.01+Inputs!$B$13*0.0025)/100)*(1+Inputs!$B$14/100)*(1+IF(Inputs!$B$4="pvp",0,(1-Summary!$B$55)*((Inputs!$B$19+1)+0+Skills!P6)+Summary!$B$55*(Inputs!$B$20+Skills!Q6))/100)*(1+Inputs!$B$15/100)*(5000/(6000+Inputs!$B$7*(1-(Inputs!$B$18+0)/100)))*(1+(Inputs!$B$23+((C235=TRUE)*(F235-Calc!F22))+B244)/100)*(1+(IF(Skills!A6="HOOK_BOMBER",Inputs!$B$16+((C234=TRUE)*(F234-Calc!F21)),Inputs!$B$17+0))/100)*((1+(((C226=TRUE)*F226)+((C232=TRUE)*(F232-Calc!F19)))/100)*I219)</f>
        <v/>
      </c>
      <c r="L219">
        <f>K219*(MIN(Inputs!$B$21+((C233=TRUE)*(F233-Calc!F20)),Inputs!$B$22+0)/100+(Inputs!$B$22+0)/100)/2</f>
        <v/>
      </c>
      <c r="M219">
        <f>L219*(1+(Inputs!$B$9+0+B243)/100)</f>
        <v/>
      </c>
      <c r="N219">
        <f>L219*(1-MIN((Inputs!$B$8+((C229=TRUE)*(F229-Calc!F16))+B238),100)/100)+M219*(MIN((Inputs!$B$8+((C229=TRUE)*(F229-Calc!F16))+B238),100)/100)</f>
        <v/>
      </c>
      <c r="O219">
        <f>IF(C219,H219*N219*IF(AND(Inputs!$B$4&lt;&gt;"pvp",Inputs!$B$35&gt;0),((Skills!G6*((R219-1)*IF(Skills!H6&gt;0,Skills!I6/Skills!H6,1)+IF(Skills!H6&gt;0,MIN(Skills!I6,MAX(0,Inputs!$B$35-((R219-1)*IF(Inputs!$B$4="pvp",15,MAX(0.1,Skills!D6-IF(Skills!E6=TRUE,Inputs!$B$31,0))))))/Skills!H6,1)))/Inputs!$B$35),G219*Q219)*IF(Inputs!$B$4="pvp",1,(1-Summary!$B$55)*(1)+Summary!$B$55*(MIN(Skills!R6,Inputs!$B$37))),0)</f>
        <v/>
      </c>
      <c r="P219">
        <f>IF(B246=0,0,O219/B246)</f>
        <v/>
      </c>
      <c r="Q219">
        <f>IFERROR(1/IF(Inputs!$B$4="pvp",15,MAX(0.1,Skills!D6-IF(Skills!E6=TRUE,Inputs!$B$31,0))),0)</f>
        <v/>
      </c>
      <c r="R219">
        <f>IF(AND(Inputs!$B$4&lt;&gt;"pvp",Inputs!$B$35&gt;0),(INT(Inputs!$B$35/IF(Inputs!$B$4="pvp",15,MAX(0.1,Skills!D6-IF(Skills!E6=TRUE,Inputs!$B$31,0))))+1),0)</f>
        <v/>
      </c>
      <c r="S219">
        <f>IFERROR(O219/N219,0)</f>
        <v/>
      </c>
    </row>
    <row r="220">
      <c r="A220">
        <f>Skills!A7</f>
        <v/>
      </c>
      <c r="B220">
        <f>Skills!B7</f>
        <v/>
      </c>
      <c r="C220">
        <f>Inputs!$B$3&gt;=100</f>
        <v/>
      </c>
      <c r="D220">
        <f>IF(Skills!C7=1,60+Inputs!$B$24+Inputs!$B$28,IF(Skills!C7=2,90+Inputs!$B$25+Inputs!$B$28,IF(Skills!C7=3,120+Inputs!$B$26+Inputs!$B$28,MAX(0,(Inputs!$B$3-100)*3)+Inputs!$B$27+Inputs!$B$28)))</f>
        <v/>
      </c>
      <c r="E220">
        <f>INDEX(FactorTable!$B$2:$Y$301, MATCH(ROUND(MIN(300,MAX(1,D220)),0), FactorTable!$A$2:$A$301,0), Skills!M7+1)</f>
        <v/>
      </c>
      <c r="F220">
        <f>IF(Skills!N7=TRUE,(Skills!L7/10)*(E220/1000),Skills!L7/10)+Skills!O7</f>
        <v/>
      </c>
      <c r="G220">
        <f>Skills!G7*IF(Skills!H7&gt;0,Skills!I7/Skills!H7,1)</f>
        <v/>
      </c>
      <c r="H220">
        <f>1-(1-Skills!J7/100)^Skills!K7</f>
        <v/>
      </c>
      <c r="I220" t="inlineStr">
        <is>
          <t>1</t>
        </is>
      </c>
      <c r="J220">
        <f>(Inputs!$B$5*(1+Inputs!$B$6/100))*(F220/100)</f>
        <v/>
      </c>
      <c r="K220">
        <f>J220*(1+((Inputs!$B$11*(1+Inputs!$B$12/100))*0.01+Inputs!$B$13*0.0025)/100)*(1+Inputs!$B$14/100)*(1+IF(Inputs!$B$4="pvp",0,(1-Summary!$B$55)*((Inputs!$B$19+1)+0+Skills!P7)+Summary!$B$55*(Inputs!$B$20+Skills!Q7))/100)*(1+Inputs!$B$15/100)*(5000/(6000+Inputs!$B$7*(1-(Inputs!$B$18+0)/100)))*(1+(Inputs!$B$23+((C235=TRUE)*(F235-Calc!F22))+B244)/100)*(1+(IF(Skills!A7="HOOK_BOMBER",Inputs!$B$16+((C234=TRUE)*(F234-Calc!F21)),Inputs!$B$17+0))/100)*((1+(((C226=TRUE)*F226)+((C232=TRUE)*(F232-Calc!F19)))/100)*I220)</f>
        <v/>
      </c>
      <c r="L220">
        <f>K220*(MIN(Inputs!$B$21+((C233=TRUE)*(F233-Calc!F20)),Inputs!$B$22+0)/100+(Inputs!$B$22+0)/100)/2</f>
        <v/>
      </c>
      <c r="M220">
        <f>L220*(1+(Inputs!$B$9+0+B243)/100)</f>
        <v/>
      </c>
      <c r="N220">
        <f>L220*(1-MIN((Inputs!$B$8+((C229=TRUE)*(F229-Calc!F16))+B238),100)/100)+M220*(MIN((Inputs!$B$8+((C229=TRUE)*(F229-Calc!F16))+B238),100)/100)</f>
        <v/>
      </c>
      <c r="O220">
        <f>IF(C220,H220*N220*IF(AND(Inputs!$B$4&lt;&gt;"pvp",Inputs!$B$35&gt;0),((Skills!G7*((R220-1)*IF(Skills!H7&gt;0,Skills!I7/Skills!H7,1)+IF(Skills!H7&gt;0,MIN(Skills!I7,MAX(0,Inputs!$B$35-((R220-1)*IF(Inputs!$B$4="pvp",15,MAX(0.1,Skills!D7-IF(Skills!E7=TRUE,Inputs!$B$31,0))))))/Skills!H7,1)))/Inputs!$B$35),G220*Q220)*IF(Inputs!$B$4="pvp",1,(1-Summary!$B$55)*(1)+Summary!$B$55*(MIN(Skills!R7,Inputs!$B$37))),0)</f>
        <v/>
      </c>
      <c r="P220">
        <f>IF(B246=0,0,O220/B246)</f>
        <v/>
      </c>
      <c r="Q220">
        <f>IFERROR(1/IF(Inputs!$B$4="pvp",15,MAX(0.1,Skills!D7-IF(Skills!E7=TRUE,Inputs!$B$31,0))),0)</f>
        <v/>
      </c>
      <c r="R220">
        <f>IF(AND(Inputs!$B$4&lt;&gt;"pvp",Inputs!$B$35&gt;0),(INT(Inputs!$B$35/IF(Inputs!$B$4="pvp",15,MAX(0.1,Skills!D7-IF(Skills!E7=TRUE,Inputs!$B$31,0))))+1),0)</f>
        <v/>
      </c>
      <c r="S220">
        <f>IFERROR(O220/N220,0)</f>
        <v/>
      </c>
    </row>
    <row r="221">
      <c r="A221">
        <f>Skills!A8</f>
        <v/>
      </c>
      <c r="B221">
        <f>Skills!B8</f>
        <v/>
      </c>
      <c r="C221">
        <f>Inputs!$B$3&gt;=110</f>
        <v/>
      </c>
      <c r="D221">
        <f>IF(Skills!C8=1,60+Inputs!$B$24+Inputs!$B$28,IF(Skills!C8=2,90+Inputs!$B$25+Inputs!$B$28,IF(Skills!C8=3,120+Inputs!$B$26+Inputs!$B$28,MAX(0,(Inputs!$B$3-100)*3)+Inputs!$B$27+Inputs!$B$28)))</f>
        <v/>
      </c>
      <c r="E221">
        <f>INDEX(FactorTable!$B$2:$Y$301, MATCH(ROUND(MIN(300,MAX(1,D221)),0), FactorTable!$A$2:$A$301,0), Skills!M8+1)</f>
        <v/>
      </c>
      <c r="F221">
        <f>IF(Skills!N8=TRUE,(Skills!L8/10)*(E221/1000),Skills!L8/10)+Skills!O8</f>
        <v/>
      </c>
      <c r="G221">
        <f>Skills!G8*IF(Skills!H8&gt;0,Skills!I8/Skills!H8,1)</f>
        <v/>
      </c>
      <c r="H221">
        <f>1-(1-Skills!J8/100)^Skills!K8</f>
        <v/>
      </c>
      <c r="I221" t="inlineStr">
        <is>
          <t>1</t>
        </is>
      </c>
      <c r="J221">
        <f>(Inputs!$B$5*(1+Inputs!$B$6/100))*(F221/100)</f>
        <v/>
      </c>
      <c r="K221">
        <f>J221*(1+((Inputs!$B$11*(1+Inputs!$B$12/100))*0.01+Inputs!$B$13*0.0025)/100)*(1+Inputs!$B$14/100)*(1+IF(Inputs!$B$4="pvp",0,(1-Summary!$B$55)*((Inputs!$B$19+1)+0+Skills!P8)+Summary!$B$55*(Inputs!$B$20+Skills!Q8))/100)*(1+Inputs!$B$15/100)*(5000/(6000+Inputs!$B$7*(1-(Inputs!$B$18+0)/100)))*(1+(Inputs!$B$23+((C235=TRUE)*(F235-Calc!F22))+B244)/100)*(1+(IF(Skills!A8="HOOK_BOMBER",Inputs!$B$16+((C234=TRUE)*(F234-Calc!F21)),Inputs!$B$17+0))/100)*((1+(((C226=TRUE)*F226)+((C232=TRUE)*(F232-Calc!F19)))/100)*I221)</f>
        <v/>
      </c>
      <c r="L221">
        <f>K221*(MIN(Inputs!$B$21+((C233=TRUE)*(F233-Calc!F20)),Inputs!$B$22+0)/100+(Inputs!$B$22+0)/100)/2</f>
        <v/>
      </c>
      <c r="M221">
        <f>L221*(1+(Inputs!$B$9+0+B243)/100)</f>
        <v/>
      </c>
      <c r="N221">
        <f>L221*(1-MIN((Inputs!$B$8+((C229=TRUE)*(F229-Calc!F16))+B238),100)/100)+M221*(MIN((Inputs!$B$8+((C229=TRUE)*(F229-Calc!F16))+B238),100)/100)</f>
        <v/>
      </c>
      <c r="O221">
        <f>IF(C221,H221*N221*IF(AND(Inputs!$B$4&lt;&gt;"pvp",Inputs!$B$35&gt;0),((Skills!G8*((R221-1)*IF(Skills!H8&gt;0,Skills!I8/Skills!H8,1)+IF(Skills!H8&gt;0,MIN(Skills!I8,MAX(0,Inputs!$B$35-((R221-1)*IF(Inputs!$B$4="pvp",15,MAX(0.1,Skills!D8-IF(Skills!E8=TRUE,Inputs!$B$31,0))))))/Skills!H8,1)))/Inputs!$B$35),G221*Q221)*IF(Inputs!$B$4="pvp",1,(1-Summary!$B$55)*(1)+Summary!$B$55*(MIN(Skills!R8,Inputs!$B$37))),0)</f>
        <v/>
      </c>
      <c r="P221">
        <f>IF(B246=0,0,O221/B246)</f>
        <v/>
      </c>
      <c r="Q221">
        <f>IFERROR(1/IF(Inputs!$B$4="pvp",15,MAX(0.1,Skills!D8-IF(Skills!E8=TRUE,Inputs!$B$31,0))),0)</f>
        <v/>
      </c>
      <c r="R221">
        <f>IF(AND(Inputs!$B$4&lt;&gt;"pvp",Inputs!$B$35&gt;0),(INT(Inputs!$B$35/IF(Inputs!$B$4="pvp",15,MAX(0.1,Skills!D8-IF(Skills!E8=TRUE,Inputs!$B$31,0))))+1),0)</f>
        <v/>
      </c>
      <c r="S221">
        <f>IFERROR(O221/N221,0)</f>
        <v/>
      </c>
    </row>
    <row r="222">
      <c r="A222">
        <f>Skills!A9</f>
        <v/>
      </c>
      <c r="B222">
        <f>Skills!B9</f>
        <v/>
      </c>
      <c r="C222">
        <f>Inputs!$B$3&gt;=110</f>
        <v/>
      </c>
      <c r="D222">
        <f>IF(Skills!C9=1,60+Inputs!$B$24+Inputs!$B$28,IF(Skills!C9=2,90+Inputs!$B$25+Inputs!$B$28,IF(Skills!C9=3,120+Inputs!$B$26+Inputs!$B$28,MAX(0,(Inputs!$B$3-100)*3)+Inputs!$B$27+Inputs!$B$28)))</f>
        <v/>
      </c>
      <c r="E222">
        <f>INDEX(FactorTable!$B$2:$Y$301, MATCH(ROUND(MIN(300,MAX(1,D222)),0), FactorTable!$A$2:$A$301,0), Skills!M9+1)</f>
        <v/>
      </c>
      <c r="F222">
        <f>IF(Skills!N9=TRUE,(Skills!L9/10)*(E222/1000),Skills!L9/10)+Skills!O9</f>
        <v/>
      </c>
      <c r="G222">
        <f>Skills!G9*IF(Skills!H9&gt;0,Skills!I9/Skills!H9,1)</f>
        <v/>
      </c>
      <c r="H222">
        <f>1-(1-Skills!J9/100)^Skills!K9</f>
        <v/>
      </c>
      <c r="I222" t="inlineStr">
        <is>
          <t>1</t>
        </is>
      </c>
      <c r="J222">
        <f>(Inputs!$B$5*(1+Inputs!$B$6/100))*(F222/100)</f>
        <v/>
      </c>
      <c r="K222">
        <f>J222*(1+((Inputs!$B$11*(1+Inputs!$B$12/100))*0.01+Inputs!$B$13*0.0025)/100)*(1+Inputs!$B$14/100)*(1+IF(Inputs!$B$4="pvp",0,(1-Summary!$B$55)*((Inputs!$B$19+1)+0+Skills!P9)+Summary!$B$55*(Inputs!$B$20+Skills!Q9))/100)*(1+Inputs!$B$15/100)*(5000/(6000+Inputs!$B$7*(1-(Inputs!$B$18+0)/100)))*(1+(Inputs!$B$23+((C235=TRUE)*(F235-Calc!F22))+B244)/100)*(1+(IF(Skills!A9="HOOK_BOMBER",Inputs!$B$16+((C234=TRUE)*(F234-Calc!F21)),Inputs!$B$17+0))/100)*((1+(((C226=TRUE)*F226)+((C232=TRUE)*(F232-Calc!F19)))/100)*I222)</f>
        <v/>
      </c>
      <c r="L222">
        <f>K222*(MIN(Inputs!$B$21+((C233=TRUE)*(F233-Calc!F20)),Inputs!$B$22+0)/100+(Inputs!$B$22+0)/100)/2</f>
        <v/>
      </c>
      <c r="M222">
        <f>L222*(1+(Inputs!$B$9+0+B243)/100)</f>
        <v/>
      </c>
      <c r="N222">
        <f>L222*(1-MIN((Inputs!$B$8+((C229=TRUE)*(F229-Calc!F16))+B238),100)/100)+M222*(MIN((Inputs!$B$8+((C229=TRUE)*(F229-Calc!F16))+B238),100)/100)</f>
        <v/>
      </c>
      <c r="O222">
        <f>IF(C222,H222*N222*IF(AND(Inputs!$B$4&lt;&gt;"pvp",Inputs!$B$35&gt;0),((Skills!G9*((R222-1)*IF(Skills!H9&gt;0,Skills!I9/Skills!H9,1)+IF(Skills!H9&gt;0,MIN(Skills!I9,MAX(0,Inputs!$B$35-((R222-1)*IF(Inputs!$B$4="pvp",15,MAX(0.1,Skills!D9-IF(Skills!E9=TRUE,Inputs!$B$31,0))))))/Skills!H9,1)))/Inputs!$B$35),G222*Q222)*IF(Inputs!$B$4="pvp",1,(1-Summary!$B$55)*(1)+Summary!$B$55*(MIN(Skills!R9,Inputs!$B$37))),0)</f>
        <v/>
      </c>
      <c r="P222">
        <f>IF(B246=0,0,O222/B246)</f>
        <v/>
      </c>
      <c r="Q222">
        <f>IFERROR(1/IF(Inputs!$B$4="pvp",15,MAX(0.1,Skills!D9-IF(Skills!E9=TRUE,Inputs!$B$31,0))),0)</f>
        <v/>
      </c>
      <c r="R222">
        <f>IF(AND(Inputs!$B$4&lt;&gt;"pvp",Inputs!$B$35&gt;0),(INT(Inputs!$B$35/IF(Inputs!$B$4="pvp",15,MAX(0.1,Skills!D9-IF(Skills!E9=TRUE,Inputs!$B$31,0))))+1),0)</f>
        <v/>
      </c>
      <c r="S222">
        <f>IFERROR(O222/N222,0)</f>
        <v/>
      </c>
    </row>
    <row r="223">
      <c r="A223">
        <f>Skills!A10</f>
        <v/>
      </c>
      <c r="B223">
        <f>Skills!B10</f>
        <v/>
      </c>
      <c r="C223">
        <f>Inputs!$B$3&gt;=103</f>
        <v/>
      </c>
      <c r="D223">
        <f>IF(Skills!C10=1,60+Inputs!$B$24+Inputs!$B$28,IF(Skills!C10=2,90+Inputs!$B$25+Inputs!$B$28,IF(Skills!C10=3,120+Inputs!$B$26+Inputs!$B$28,MAX(0,(Inputs!$B$3-100)*3)+Inputs!$B$27+Inputs!$B$28)))</f>
        <v/>
      </c>
      <c r="E223">
        <f>INDEX(FactorTable!$B$2:$Y$301, MATCH(ROUND(MIN(300,MAX(1,D223)),0), FactorTable!$A$2:$A$301,0), Skills!M10+1)</f>
        <v/>
      </c>
      <c r="F223">
        <f>IF(Skills!N10=TRUE,(Skills!L10/10)*(E223/1000),Skills!L10/10)+Skills!O10</f>
        <v/>
      </c>
      <c r="G223">
        <f>Skills!G10*IF(Skills!H10&gt;0,Skills!I10/Skills!H10,1)</f>
        <v/>
      </c>
      <c r="H223">
        <f>1-(1-Skills!J10/100)^Skills!K10</f>
        <v/>
      </c>
      <c r="I223" t="inlineStr">
        <is>
          <t>1</t>
        </is>
      </c>
      <c r="J223">
        <f>(Inputs!$B$5*(1+Inputs!$B$6/100))*(F223/100)</f>
        <v/>
      </c>
      <c r="K223">
        <f>J223*(1+((Inputs!$B$11*(1+Inputs!$B$12/100))*0.01+Inputs!$B$13*0.0025)/100)*(1+Inputs!$B$14/100)*(1+IF(Inputs!$B$4="pvp",0,(1-Summary!$B$55)*((Inputs!$B$19+1)+0+Skills!P10)+Summary!$B$55*(Inputs!$B$20+Skills!Q10))/100)*(1+Inputs!$B$15/100)*(5000/(6000+Inputs!$B$7*(1-(Inputs!$B$18+0)/100)))*(1+(Inputs!$B$23+((C235=TRUE)*(F235-Calc!F22))+B244)/100)*(1+(IF(Skills!A10="HOOK_BOMBER",Inputs!$B$16+((C234=TRUE)*(F234-Calc!F21)),Inputs!$B$17+0))/100)*((1+(((C226=TRUE)*F226)+((C232=TRUE)*(F232-Calc!F19)))/100)*I223)</f>
        <v/>
      </c>
      <c r="L223">
        <f>K223*(MIN(Inputs!$B$21+((C233=TRUE)*(F233-Calc!F20)),Inputs!$B$22+0)/100+(Inputs!$B$22+0)/100)/2</f>
        <v/>
      </c>
      <c r="M223">
        <f>L223*(1+(Inputs!$B$9+0+B243)/100)</f>
        <v/>
      </c>
      <c r="N223">
        <f>L223*(1-MIN((Inputs!$B$8+((C229=TRUE)*(F229-Calc!F16))+B238),100)/100)+M223*(MIN((Inputs!$B$8+((C229=TRUE)*(F229-Calc!F16))+B238),100)/100)</f>
        <v/>
      </c>
      <c r="O223">
        <f>IF(C223,H223*N223*IF(AND(Inputs!$B$4&lt;&gt;"pvp",Inputs!$B$35&gt;0),((Skills!G10*((R223-1)*IF(Skills!H10&gt;0,Skills!I10/Skills!H10,1)+IF(Skills!H10&gt;0,MIN(Skills!I10,MAX(0,Inputs!$B$35-((R223-1)*IF(Inputs!$B$4="pvp",15,MAX(0.1,Skills!D10-IF(Skills!E10=TRUE,Inputs!$B$31,0))))))/Skills!H10,1)))/Inputs!$B$35),G223*Q223)*IF(Inputs!$B$4="pvp",1,(1-Summary!$B$55)*(1)+Summary!$B$55*(MIN(Skills!R10,Inputs!$B$37))),0)</f>
        <v/>
      </c>
      <c r="P223">
        <f>IF(B246=0,0,O223/B246)</f>
        <v/>
      </c>
      <c r="Q223">
        <f>IFERROR(1/IF(Inputs!$B$4="pvp",15,MAX(0.1,Skills!D10-IF(Skills!E10=TRUE,Inputs!$B$31,0))),0)</f>
        <v/>
      </c>
      <c r="R223">
        <f>IF(AND(Inputs!$B$4&lt;&gt;"pvp",Inputs!$B$35&gt;0),(INT(Inputs!$B$35/IF(Inputs!$B$4="pvp",15,MAX(0.1,Skills!D10-IF(Skills!E10=TRUE,Inputs!$B$31,0))))+1),0)</f>
        <v/>
      </c>
      <c r="S223">
        <f>IFERROR(O223/N223,0)</f>
        <v/>
      </c>
    </row>
    <row r="224">
      <c r="A224">
        <f>Skills!A11</f>
        <v/>
      </c>
      <c r="B224">
        <f>Skills!B11</f>
        <v/>
      </c>
      <c r="C224">
        <f>Inputs!$B$3&gt;=113</f>
        <v/>
      </c>
      <c r="D224">
        <f>IF(Skills!C11=1,60+Inputs!$B$24+Inputs!$B$28,IF(Skills!C11=2,90+Inputs!$B$25+Inputs!$B$28,IF(Skills!C11=3,120+Inputs!$B$26+Inputs!$B$28,MAX(0,(Inputs!$B$3-100)*3)+Inputs!$B$27+Inputs!$B$28)))</f>
        <v/>
      </c>
      <c r="E224">
        <f>INDEX(FactorTable!$B$2:$Y$301, MATCH(ROUND(MIN(300,MAX(1,D224)),0), FactorTable!$A$2:$A$301,0), Skills!M11+1)</f>
        <v/>
      </c>
      <c r="F224">
        <f>IF(Skills!N11=TRUE,(Skills!L11/10)*(E224/1000),Skills!L11/10)+Skills!O11</f>
        <v/>
      </c>
      <c r="G224">
        <f>Skills!G11*IF(Skills!H11&gt;0,Skills!I11/Skills!H11,1)</f>
        <v/>
      </c>
      <c r="H224">
        <f>1-(1-Skills!J11/100)^Skills!K11</f>
        <v/>
      </c>
      <c r="I224" t="inlineStr">
        <is>
          <t>1</t>
        </is>
      </c>
      <c r="J224">
        <f>(Inputs!$B$5*(1+Inputs!$B$6/100))*(F224/100)</f>
        <v/>
      </c>
      <c r="K224">
        <f>J224*(1+((Inputs!$B$11*(1+Inputs!$B$12/100))*0.01+Inputs!$B$13*0.0025)/100)*(1+Inputs!$B$14/100)*(1+IF(Inputs!$B$4="pvp",0,(1-Summary!$B$55)*((Inputs!$B$19+1)+0+Skills!P11)+Summary!$B$55*(Inputs!$B$20+Skills!Q11))/100)*(1+Inputs!$B$15/100)*(5000/(6000+Inputs!$B$7*(1-(Inputs!$B$18+0)/100)))*(1+(Inputs!$B$23+((C235=TRUE)*(F235-Calc!F22))+B244)/100)*(1+(IF(Skills!A11="HOOK_BOMBER",Inputs!$B$16+((C234=TRUE)*(F234-Calc!F21)),Inputs!$B$17+0))/100)*((1+(((C226=TRUE)*F226)+((C232=TRUE)*(F232-Calc!F19)))/100)*I224)</f>
        <v/>
      </c>
      <c r="L224">
        <f>K224*(MIN(Inputs!$B$21+((C233=TRUE)*(F233-Calc!F20)),Inputs!$B$22+0)/100+(Inputs!$B$22+0)/100)/2</f>
        <v/>
      </c>
      <c r="M224">
        <f>L224*(1+(Inputs!$B$9+0+B243)/100)</f>
        <v/>
      </c>
      <c r="N224">
        <f>L224*(1-MIN((Inputs!$B$8+((C229=TRUE)*(F229-Calc!F16))+B238),100)/100)+M224*(MIN((Inputs!$B$8+((C229=TRUE)*(F229-Calc!F16))+B238),100)/100)</f>
        <v/>
      </c>
      <c r="O224">
        <f>IF(C224,H224*N224*IF(AND(Inputs!$B$4&lt;&gt;"pvp",Inputs!$B$35&gt;0),((Skills!G11*((R224-1)*IF(Skills!H11&gt;0,Skills!I11/Skills!H11,1)+IF(Skills!H11&gt;0,MIN(Skills!I11,MAX(0,Inputs!$B$35-((R224-1)*IF(Inputs!$B$4="pvp",15,MAX(0.1,Skills!D11-IF(Skills!E11=TRUE,Inputs!$B$31,0))))))/Skills!H11,1)))/Inputs!$B$35),G224*Q224)*IF(Inputs!$B$4="pvp",1,(1-Summary!$B$55)*(1)+Summary!$B$55*(MIN(Skills!R11,Inputs!$B$37))),0)</f>
        <v/>
      </c>
      <c r="P224">
        <f>IF(B246=0,0,O224/B246)</f>
        <v/>
      </c>
      <c r="Q224">
        <f>IFERROR(1/IF(Inputs!$B$4="pvp",15,MAX(0.1,Skills!D11-IF(Skills!E11=TRUE,Inputs!$B$31,0))),0)</f>
        <v/>
      </c>
      <c r="R224">
        <f>IF(AND(Inputs!$B$4&lt;&gt;"pvp",Inputs!$B$35&gt;0),(INT(Inputs!$B$35/IF(Inputs!$B$4="pvp",15,MAX(0.1,Skills!D11-IF(Skills!E11=TRUE,Inputs!$B$31,0))))+1),0)</f>
        <v/>
      </c>
      <c r="S224">
        <f>IFERROR(O224/N224,0)</f>
        <v/>
      </c>
    </row>
    <row r="225">
      <c r="A225">
        <f>Skills!A12</f>
        <v/>
      </c>
      <c r="B225">
        <f>Skills!B12</f>
        <v/>
      </c>
      <c r="C225">
        <f>Inputs!$B$3&gt;=100</f>
        <v/>
      </c>
      <c r="D225">
        <f>IF(Skills!C12=1,60+Inputs!$B$24+Inputs!$B$28,IF(Skills!C12=2,90+Inputs!$B$25+Inputs!$B$28,IF(Skills!C12=3,120+Inputs!$B$26+Inputs!$B$28,MAX(0,(Inputs!$B$3-100)*3)+Inputs!$B$27+Inputs!$B$28)))</f>
        <v/>
      </c>
      <c r="E225">
        <f>INDEX(FactorTable!$B$2:$Y$301, MATCH(ROUND(MIN(300,MAX(1,D225)),0), FactorTable!$A$2:$A$301,0), Skills!M12+1)</f>
        <v/>
      </c>
      <c r="F225">
        <f>IF(Skills!N12=TRUE,(Skills!L12/10)*(E225/1000),Skills!L12/10)+Skills!O12</f>
        <v/>
      </c>
      <c r="G225" t="inlineStr"/>
      <c r="H225" t="inlineStr"/>
      <c r="I225" t="inlineStr">
        <is>
          <t>1</t>
        </is>
      </c>
      <c r="J225" t="inlineStr"/>
      <c r="K225" t="inlineStr"/>
      <c r="L225" t="inlineStr"/>
      <c r="M225" t="inlineStr"/>
      <c r="N225" t="inlineStr"/>
      <c r="O225" t="inlineStr"/>
      <c r="P225" t="inlineStr"/>
      <c r="Q225" t="inlineStr"/>
      <c r="R225" t="inlineStr"/>
      <c r="S225" t="inlineStr"/>
    </row>
    <row r="226">
      <c r="A226">
        <f>Skills!A13</f>
        <v/>
      </c>
      <c r="B226">
        <f>Skills!B13</f>
        <v/>
      </c>
      <c r="C226">
        <f>Inputs!$B$3&gt;=66</f>
        <v/>
      </c>
      <c r="D226">
        <f>IF(Skills!C13=1,60+Inputs!$B$24+Inputs!$B$28,IF(Skills!C13=2,90+Inputs!$B$25+Inputs!$B$28,IF(Skills!C13=3,120+Inputs!$B$26+Inputs!$B$28,MAX(0,(Inputs!$B$3-100)*3)+Inputs!$B$27+Inputs!$B$28)))</f>
        <v/>
      </c>
      <c r="E226">
        <f>INDEX(FactorTable!$B$2:$Y$301, MATCH(ROUND(MIN(300,MAX(1,D226)),0), FactorTable!$A$2:$A$301,0), Skills!M13+1)</f>
        <v/>
      </c>
      <c r="F226">
        <f>IF(Skills!N13=TRUE,(Skills!L13/10)*(E226/1000),Skills!L13/10)+Skills!O13</f>
        <v/>
      </c>
      <c r="G226">
        <f>Skills!G13*IF(Skills!H13&gt;0,Skills!I13/Skills!H13,1)</f>
        <v/>
      </c>
      <c r="H226">
        <f>1-(1-Skills!J13/100)^Skills!K13</f>
        <v/>
      </c>
      <c r="I226" t="inlineStr">
        <is>
          <t>1</t>
        </is>
      </c>
      <c r="J226" t="inlineStr"/>
      <c r="K226" t="inlineStr"/>
      <c r="L226" t="inlineStr"/>
      <c r="M226" t="inlineStr"/>
      <c r="N226" t="inlineStr"/>
      <c r="O226" t="n">
        <v>0</v>
      </c>
      <c r="P226">
        <f>IF(B246=0,0,O226/B246)</f>
        <v/>
      </c>
      <c r="Q226" t="n">
        <v>0</v>
      </c>
      <c r="R226" t="n">
        <v>0</v>
      </c>
      <c r="S226">
        <f>IFERROR(O226/N226,0)</f>
        <v/>
      </c>
    </row>
    <row r="227">
      <c r="A227">
        <f>Skills!A14</f>
        <v/>
      </c>
      <c r="B227">
        <f>Skills!B14</f>
        <v/>
      </c>
      <c r="C227">
        <f>Inputs!$B$3&gt;=107</f>
        <v/>
      </c>
      <c r="D227">
        <f>IF(Skills!C14=1,60+Inputs!$B$24+Inputs!$B$28,IF(Skills!C14=2,90+Inputs!$B$25+Inputs!$B$28,IF(Skills!C14=3,120+Inputs!$B$26+Inputs!$B$28,MAX(0,(Inputs!$B$3-100)*3)+Inputs!$B$27+Inputs!$B$28)))</f>
        <v/>
      </c>
      <c r="E227">
        <f>INDEX(FactorTable!$B$2:$Y$301, MATCH(ROUND(MIN(300,MAX(1,D227)),0), FactorTable!$A$2:$A$301,0), Skills!M14+1)</f>
        <v/>
      </c>
      <c r="F227">
        <f>IF(Skills!N14=TRUE,(Skills!L14/10)*(E227/1000),Skills!L14/10)+Skills!O14</f>
        <v/>
      </c>
      <c r="G227">
        <f>Skills!G14*IF(Skills!H14&gt;0,Skills!I14/Skills!H14,1)</f>
        <v/>
      </c>
      <c r="H227">
        <f>1-(1-Skills!J14/100)^Skills!K14</f>
        <v/>
      </c>
      <c r="I227" t="inlineStr">
        <is>
          <t>1</t>
        </is>
      </c>
      <c r="J227" t="inlineStr"/>
      <c r="K227" t="inlineStr"/>
      <c r="L227" t="inlineStr"/>
      <c r="M227" t="inlineStr"/>
      <c r="N227" t="inlineStr"/>
      <c r="O227" t="n">
        <v>0</v>
      </c>
      <c r="P227">
        <f>IF(B246=0,0,O227/B246)</f>
        <v/>
      </c>
      <c r="Q227" t="n">
        <v>0</v>
      </c>
      <c r="R227" t="n">
        <v>0</v>
      </c>
      <c r="S227">
        <f>IFERROR(O227/N227,0)</f>
        <v/>
      </c>
    </row>
    <row r="228">
      <c r="A228">
        <f>Skills!A15</f>
        <v/>
      </c>
      <c r="B228">
        <f>Skills!B15</f>
        <v/>
      </c>
      <c r="C228">
        <f>Inputs!$B$3&gt;=115</f>
        <v/>
      </c>
      <c r="D228">
        <f>IF(Skills!C15=1,60+Inputs!$B$24+Inputs!$B$28,IF(Skills!C15=2,90+Inputs!$B$25+Inputs!$B$28,IF(Skills!C15=3,120+Inputs!$B$26+Inputs!$B$28,MAX(0,(Inputs!$B$3-100)*3)+Inputs!$B$27+Inputs!$B$28)))</f>
        <v/>
      </c>
      <c r="E228">
        <f>INDEX(FactorTable!$B$2:$Y$301, MATCH(ROUND(MIN(300,MAX(1,D228)),0), FactorTable!$A$2:$A$301,0), Skills!M15+1)</f>
        <v/>
      </c>
      <c r="F228">
        <f>IF(Skills!N15=TRUE,(Skills!L15/10)*(E228/1000),Skills!L15/10)+Skills!O15</f>
        <v/>
      </c>
      <c r="G228">
        <f>Skills!G15*IF(Skills!H15&gt;0,Skills!I15/Skills!H15,1)</f>
        <v/>
      </c>
      <c r="H228">
        <f>1-(1-Skills!J15/100)^Skills!K15</f>
        <v/>
      </c>
      <c r="I228" t="inlineStr">
        <is>
          <t>1</t>
        </is>
      </c>
      <c r="J228" t="inlineStr"/>
      <c r="K228" t="inlineStr"/>
      <c r="L228" t="inlineStr"/>
      <c r="M228" t="inlineStr"/>
      <c r="N228" t="inlineStr"/>
      <c r="O228" t="n">
        <v>0</v>
      </c>
      <c r="P228">
        <f>IF(B246=0,0,O228/B246)</f>
        <v/>
      </c>
      <c r="Q228" t="n">
        <v>0</v>
      </c>
      <c r="R228" t="n">
        <v>0</v>
      </c>
      <c r="S228">
        <f>IFERROR(O228/N228,0)</f>
        <v/>
      </c>
    </row>
    <row r="229">
      <c r="A229">
        <f>Skills!A16</f>
        <v/>
      </c>
      <c r="B229">
        <f>Skills!B16</f>
        <v/>
      </c>
      <c r="C229">
        <f>Inputs!$B$3&gt;=15</f>
        <v/>
      </c>
      <c r="D229">
        <f>IF(Skills!C16=1,60+Inputs!$B$24+Inputs!$B$28,IF(Skills!C16=2,90+Inputs!$B$25+Inputs!$B$28,IF(Skills!C16=3,120+Inputs!$B$26+Inputs!$B$28,MAX(0,(Inputs!$B$3-100)*3)+Inputs!$B$27+Inputs!$B$28)))</f>
        <v/>
      </c>
      <c r="E229">
        <f>INDEX(FactorTable!$B$2:$Y$301, MATCH(ROUND(MIN(300,MAX(1,D229)),0), FactorTable!$A$2:$A$301,0), Skills!M16+1)</f>
        <v/>
      </c>
      <c r="F229">
        <f>IF(Skills!N16=TRUE,(Skills!L16/10)*(E229/1000),Skills!L16/10)+Skills!O16</f>
        <v/>
      </c>
      <c r="G229">
        <f>Skills!G16*IF(Skills!H16&gt;0,Skills!I16/Skills!H16,1)</f>
        <v/>
      </c>
      <c r="H229">
        <f>1-(1-Skills!J16/100)^Skills!K16</f>
        <v/>
      </c>
      <c r="I229" t="inlineStr">
        <is>
          <t>1</t>
        </is>
      </c>
      <c r="J229" t="inlineStr"/>
      <c r="K229" t="inlineStr"/>
      <c r="L229" t="inlineStr"/>
      <c r="M229" t="inlineStr"/>
      <c r="N229" t="inlineStr"/>
      <c r="O229" t="n">
        <v>0</v>
      </c>
      <c r="P229">
        <f>IF(B246=0,0,O229/B246)</f>
        <v/>
      </c>
      <c r="Q229" t="n">
        <v>0</v>
      </c>
      <c r="R229" t="n">
        <v>0</v>
      </c>
      <c r="S229">
        <f>IFERROR(O229/N229,0)</f>
        <v/>
      </c>
    </row>
    <row r="230">
      <c r="A230">
        <f>Skills!A17</f>
        <v/>
      </c>
      <c r="B230">
        <f>Skills!B17</f>
        <v/>
      </c>
      <c r="C230">
        <f>Inputs!$B$3&gt;=10</f>
        <v/>
      </c>
      <c r="D230">
        <f>IF(Skills!C17=1,60+Inputs!$B$24+Inputs!$B$28,IF(Skills!C17=2,90+Inputs!$B$25+Inputs!$B$28,IF(Skills!C17=3,120+Inputs!$B$26+Inputs!$B$28,MAX(0,(Inputs!$B$3-100)*3)+Inputs!$B$27+Inputs!$B$28)))</f>
        <v/>
      </c>
      <c r="E230">
        <f>INDEX(FactorTable!$B$2:$Y$301, MATCH(ROUND(MIN(300,MAX(1,D230)),0), FactorTable!$A$2:$A$301,0), Skills!M17+1)</f>
        <v/>
      </c>
      <c r="F230">
        <f>IF(Skills!N17=TRUE,(Skills!L17/10)*(E230/1000),Skills!L17/10)+Skills!O17</f>
        <v/>
      </c>
      <c r="G230">
        <f>Skills!G17*IF(Skills!H17&gt;0,Skills!I17/Skills!H17,1)</f>
        <v/>
      </c>
      <c r="H230">
        <f>1-(1-Skills!J17/100)^Skills!K17</f>
        <v/>
      </c>
      <c r="I230" t="inlineStr">
        <is>
          <t>1</t>
        </is>
      </c>
      <c r="J230" t="inlineStr"/>
      <c r="K230" t="inlineStr"/>
      <c r="L230" t="inlineStr"/>
      <c r="M230" t="inlineStr"/>
      <c r="N230" t="inlineStr"/>
      <c r="O230" t="n">
        <v>0</v>
      </c>
      <c r="P230">
        <f>IF(B246=0,0,O230/B246)</f>
        <v/>
      </c>
      <c r="Q230" t="n">
        <v>0</v>
      </c>
      <c r="R230" t="n">
        <v>0</v>
      </c>
      <c r="S230">
        <f>IFERROR(O230/N230,0)</f>
        <v/>
      </c>
    </row>
    <row r="231">
      <c r="A231">
        <f>Skills!A18</f>
        <v/>
      </c>
      <c r="B231">
        <f>Skills!B18</f>
        <v/>
      </c>
      <c r="C231">
        <f>Inputs!$B$3&gt;=33</f>
        <v/>
      </c>
      <c r="D231">
        <f>IF(Skills!C18=1,60+Inputs!$B$24+Inputs!$B$28,IF(Skills!C18=2,90+Inputs!$B$25+Inputs!$B$28,IF(Skills!C18=3,120+Inputs!$B$26+Inputs!$B$28,MAX(0,(Inputs!$B$3-100)*3)+Inputs!$B$27+Inputs!$B$28)))</f>
        <v/>
      </c>
      <c r="E231">
        <f>INDEX(FactorTable!$B$2:$Y$301, MATCH(ROUND(MIN(300,MAX(1,D231)),0), FactorTable!$A$2:$A$301,0), Skills!M18+1)</f>
        <v/>
      </c>
      <c r="F231">
        <f>IF(Skills!N18=TRUE,(Skills!L18/10)*(E231/1000),Skills!L18/10)+Skills!O18</f>
        <v/>
      </c>
      <c r="G231">
        <f>Skills!G18*IF(Skills!H18&gt;0,Skills!I18/Skills!H18,1)</f>
        <v/>
      </c>
      <c r="H231">
        <f>1-(1-Skills!J18/100)^Skills!K18</f>
        <v/>
      </c>
      <c r="I231" t="inlineStr">
        <is>
          <t>1</t>
        </is>
      </c>
      <c r="J231" t="inlineStr"/>
      <c r="K231" t="inlineStr"/>
      <c r="L231" t="inlineStr"/>
      <c r="M231" t="inlineStr"/>
      <c r="N231" t="inlineStr"/>
      <c r="O231" t="n">
        <v>0</v>
      </c>
      <c r="P231">
        <f>IF(B246=0,0,O231/B246)</f>
        <v/>
      </c>
      <c r="Q231" t="n">
        <v>0</v>
      </c>
      <c r="R231" t="n">
        <v>0</v>
      </c>
      <c r="S231">
        <f>IFERROR(O231/N231,0)</f>
        <v/>
      </c>
    </row>
    <row r="232">
      <c r="A232">
        <f>Skills!A19</f>
        <v/>
      </c>
      <c r="B232">
        <f>Skills!B19</f>
        <v/>
      </c>
      <c r="C232">
        <f>Inputs!$B$3&gt;=40</f>
        <v/>
      </c>
      <c r="D232">
        <f>IF(Skills!C19=1,60+Inputs!$B$24+Inputs!$B$28,IF(Skills!C19=2,90+Inputs!$B$25+Inputs!$B$28,IF(Skills!C19=3,120+Inputs!$B$26+Inputs!$B$28,MAX(0,(Inputs!$B$3-100)*3)+Inputs!$B$27+Inputs!$B$28)))</f>
        <v/>
      </c>
      <c r="E232">
        <f>INDEX(FactorTable!$B$2:$Y$301, MATCH(ROUND(MIN(300,MAX(1,D232)),0), FactorTable!$A$2:$A$301,0), Skills!M19+1)</f>
        <v/>
      </c>
      <c r="F232">
        <f>IF(Skills!N19=TRUE,(Skills!L19/10)*(E232/1000),Skills!L19/10)+Skills!O19</f>
        <v/>
      </c>
      <c r="G232">
        <f>Skills!G19*IF(Skills!H19&gt;0,Skills!I19/Skills!H19,1)</f>
        <v/>
      </c>
      <c r="H232">
        <f>1-(1-Skills!J19/100)^Skills!K19</f>
        <v/>
      </c>
      <c r="I232" t="inlineStr">
        <is>
          <t>1</t>
        </is>
      </c>
      <c r="J232" t="inlineStr"/>
      <c r="K232" t="inlineStr"/>
      <c r="L232" t="inlineStr"/>
      <c r="M232" t="inlineStr"/>
      <c r="N232" t="inlineStr"/>
      <c r="O232" t="n">
        <v>0</v>
      </c>
      <c r="P232">
        <f>IF(B246=0,0,O232/B246)</f>
        <v/>
      </c>
      <c r="Q232" t="n">
        <v>0</v>
      </c>
      <c r="R232" t="n">
        <v>0</v>
      </c>
      <c r="S232">
        <f>IFERROR(O232/N232,0)</f>
        <v/>
      </c>
    </row>
    <row r="233">
      <c r="A233">
        <f>Skills!A20</f>
        <v/>
      </c>
      <c r="B233">
        <f>Skills!B20</f>
        <v/>
      </c>
      <c r="C233">
        <f>Inputs!$B$3&gt;=43</f>
        <v/>
      </c>
      <c r="D233">
        <f>IF(Skills!C20=1,60+Inputs!$B$24+Inputs!$B$28,IF(Skills!C20=2,90+Inputs!$B$25+Inputs!$B$28,IF(Skills!C20=3,120+Inputs!$B$26+Inputs!$B$28,MAX(0,(Inputs!$B$3-100)*3)+Inputs!$B$27+Inputs!$B$28)))</f>
        <v/>
      </c>
      <c r="E233">
        <f>INDEX(FactorTable!$B$2:$Y$301, MATCH(ROUND(MIN(300,MAX(1,D233)),0), FactorTable!$A$2:$A$301,0), Skills!M20+1)</f>
        <v/>
      </c>
      <c r="F233">
        <f>IF(Skills!N20=TRUE,(Skills!L20/10)*(E233/1000),Skills!L20/10)+Skills!O20</f>
        <v/>
      </c>
      <c r="G233">
        <f>Skills!G20*IF(Skills!H20&gt;0,Skills!I20/Skills!H20,1)</f>
        <v/>
      </c>
      <c r="H233">
        <f>1-(1-Skills!J20/100)^Skills!K20</f>
        <v/>
      </c>
      <c r="I233" t="inlineStr">
        <is>
          <t>1</t>
        </is>
      </c>
      <c r="J233" t="inlineStr"/>
      <c r="K233" t="inlineStr"/>
      <c r="L233" t="inlineStr"/>
      <c r="M233" t="inlineStr"/>
      <c r="N233" t="inlineStr"/>
      <c r="O233" t="n">
        <v>0</v>
      </c>
      <c r="P233">
        <f>IF(B246=0,0,O233/B246)</f>
        <v/>
      </c>
      <c r="Q233" t="n">
        <v>0</v>
      </c>
      <c r="R233" t="n">
        <v>0</v>
      </c>
      <c r="S233">
        <f>IFERROR(O233/N233,0)</f>
        <v/>
      </c>
    </row>
    <row r="234">
      <c r="A234">
        <f>Skills!A21</f>
        <v/>
      </c>
      <c r="B234">
        <f>Skills!B21</f>
        <v/>
      </c>
      <c r="C234">
        <f>Inputs!$B$3&gt;=38</f>
        <v/>
      </c>
      <c r="D234">
        <f>IF(Skills!C21=1,60+Inputs!$B$24+Inputs!$B$28,IF(Skills!C21=2,90+Inputs!$B$25+Inputs!$B$28,IF(Skills!C21=3,120+Inputs!$B$26+Inputs!$B$28,MAX(0,(Inputs!$B$3-100)*3)+Inputs!$B$27+Inputs!$B$28)))</f>
        <v/>
      </c>
      <c r="E234">
        <f>INDEX(FactorTable!$B$2:$Y$301, MATCH(ROUND(MIN(300,MAX(1,D234)),0), FactorTable!$A$2:$A$301,0), Skills!M21+1)</f>
        <v/>
      </c>
      <c r="F234">
        <f>IF(Skills!N21=TRUE,(Skills!L21/10)*(E234/1000),Skills!L21/10)+Skills!O21</f>
        <v/>
      </c>
      <c r="G234">
        <f>Skills!G21*IF(Skills!H21&gt;0,Skills!I21/Skills!H21,1)</f>
        <v/>
      </c>
      <c r="H234">
        <f>1-(1-Skills!J21/100)^Skills!K21</f>
        <v/>
      </c>
      <c r="I234" t="inlineStr">
        <is>
          <t>1</t>
        </is>
      </c>
      <c r="J234" t="inlineStr"/>
      <c r="K234" t="inlineStr"/>
      <c r="L234" t="inlineStr"/>
      <c r="M234" t="inlineStr"/>
      <c r="N234" t="inlineStr"/>
      <c r="O234" t="n">
        <v>0</v>
      </c>
      <c r="P234">
        <f>IF(B246=0,0,O234/B246)</f>
        <v/>
      </c>
      <c r="Q234" t="n">
        <v>0</v>
      </c>
      <c r="R234" t="n">
        <v>0</v>
      </c>
      <c r="S234">
        <f>IFERROR(O234/N234,0)</f>
        <v/>
      </c>
    </row>
    <row r="235">
      <c r="A235">
        <f>Skills!A22</f>
        <v/>
      </c>
      <c r="B235">
        <f>Skills!B22</f>
        <v/>
      </c>
      <c r="C235">
        <f>Inputs!$B$3&gt;=75</f>
        <v/>
      </c>
      <c r="D235">
        <f>IF(Skills!C22=1,60+Inputs!$B$24+Inputs!$B$28,IF(Skills!C22=2,90+Inputs!$B$25+Inputs!$B$28,IF(Skills!C22=3,120+Inputs!$B$26+Inputs!$B$28,MAX(0,(Inputs!$B$3-100)*3)+Inputs!$B$27+Inputs!$B$28)))</f>
        <v/>
      </c>
      <c r="E235">
        <f>INDEX(FactorTable!$B$2:$Y$301, MATCH(ROUND(MIN(300,MAX(1,D235)),0), FactorTable!$A$2:$A$301,0), Skills!M22+1)</f>
        <v/>
      </c>
      <c r="F235">
        <f>IF(Skills!N22=TRUE,(Skills!L22/10)*(E235/1000),Skills!L22/10)+Skills!O22</f>
        <v/>
      </c>
      <c r="G235">
        <f>Skills!G22*IF(Skills!H22&gt;0,Skills!I22/Skills!H22,1)</f>
        <v/>
      </c>
      <c r="H235">
        <f>1-(1-Skills!J22/100)^Skills!K22</f>
        <v/>
      </c>
      <c r="I235" t="inlineStr">
        <is>
          <t>1</t>
        </is>
      </c>
      <c r="J235" t="inlineStr"/>
      <c r="K235" t="inlineStr"/>
      <c r="L235" t="inlineStr"/>
      <c r="M235" t="inlineStr"/>
      <c r="N235" t="inlineStr"/>
      <c r="O235" t="n">
        <v>0</v>
      </c>
      <c r="P235">
        <f>IF(B246=0,0,O235/B246)</f>
        <v/>
      </c>
      <c r="Q235" t="n">
        <v>0</v>
      </c>
      <c r="R235" t="n">
        <v>0</v>
      </c>
      <c r="S235">
        <f>IFERROR(O235/N235,0)</f>
        <v/>
      </c>
    </row>
    <row r="237">
      <c r="A237" t="inlineStr">
        <is>
          <t>Attack% Bucket Multiplier</t>
        </is>
      </c>
      <c r="B237">
        <f>(1+(((C226=TRUE)*F226)+((C232=TRUE)*(F232-Calc!F19)))/100)</f>
        <v/>
      </c>
    </row>
    <row r="238">
      <c r="A238" t="inlineStr">
        <is>
          <t>Global Crit Rate Bonus %</t>
        </is>
      </c>
      <c r="B238" t="n">
        <v>0</v>
      </c>
    </row>
    <row r="239">
      <c r="A239" t="inlineStr">
        <is>
          <t>Attack Speed Buff Bonus % (unused)</t>
        </is>
      </c>
      <c r="B239" t="n">
        <v>0</v>
      </c>
    </row>
    <row r="240">
      <c r="A240" t="inlineStr">
        <is>
          <t>Actions Per Second</t>
        </is>
      </c>
      <c r="B240">
        <f>1+MIN(150,150*(1-(1-(Inputs!$B$10+((C230=TRUE)*(F230-Calc!F17))+((C231=TRUE)*(F231-Calc!F18)))/150)*(1-B239/150)))/100</f>
        <v/>
      </c>
    </row>
    <row r="241">
      <c r="A241" t="inlineStr">
        <is>
          <t>Skill + Buff Cast Rate</t>
        </is>
      </c>
      <c r="B241">
        <f>IF(AND(Inputs!$B$4&lt;&gt;"pvp",Inputs!$B$35&gt;0),SUMPRODUCT((Skills!E2:E22=TRUE)*(C215:C235=TRUE)*R215:R235*Skills!F2:F22)/Inputs!$B$35,SUMPRODUCT((Skills!E2:E22=TRUE)*(C215:C235=TRUE)*Q215:Q235*Skills!F2:F22))</f>
        <v/>
      </c>
    </row>
    <row r="242">
      <c r="A242" t="inlineStr">
        <is>
          <t>Hook Bomber Casts Per Second</t>
        </is>
      </c>
      <c r="B242">
        <f>MAX(0,B240-B241)</f>
        <v/>
      </c>
    </row>
    <row r="243">
      <c r="A243" t="inlineStr">
        <is>
          <t>Global Critical Damage Bonus % (unused)</t>
        </is>
      </c>
      <c r="B243" t="n">
        <v>0</v>
      </c>
    </row>
    <row r="244">
      <c r="A244" t="inlineStr">
        <is>
          <t>Global Final Damage Bonus % (Serpent Scale + Crossbones + Time Leap + Speed Infusion)</t>
        </is>
      </c>
      <c r="B244">
        <f>((C218=TRUE)*F218*((10+IF(Inputs!$B$3&gt;=94,5,0))/((10+IF(Inputs!$B$3&gt;=94,5,0))+5/(B242*(1+IF(Inputs!$B$3&gt;=104,1,0))))))+((C227=TRUE)*F227)+((C228=TRUE)*F228)+((Inputs!$B$3&gt;=110)*20*(B240-1))</f>
        <v/>
      </c>
    </row>
    <row r="246">
      <c r="A246" s="5" t="inlineStr">
        <is>
          <t>TOTAL DPS</t>
        </is>
      </c>
      <c r="B246" s="5">
        <f>SUM(O215:O235)</f>
        <v/>
      </c>
    </row>
    <row r="249">
      <c r="A249" s="5" t="inlineStr">
        <is>
          <t>Stat: NORMAL_DAMAGE %</t>
        </is>
      </c>
    </row>
    <row r="250">
      <c r="A250" s="8" t="inlineStr">
        <is>
          <t>Key</t>
        </is>
      </c>
      <c r="B250" s="8" t="inlineStr">
        <is>
          <t>Name</t>
        </is>
      </c>
      <c r="C250" s="8" t="inlineStr">
        <is>
          <t>Unlocked</t>
        </is>
      </c>
      <c r="D250" s="8" t="inlineStr">
        <is>
          <t>InputLevel</t>
        </is>
      </c>
      <c r="E250" s="8" t="inlineStr">
        <is>
          <t>Factor</t>
        </is>
      </c>
      <c r="F250" s="8" t="inlineStr">
        <is>
          <t>CoefficientPercent</t>
        </is>
      </c>
      <c r="G250" s="8" t="inlineStr">
        <is>
          <t>EffectiveHits</t>
        </is>
      </c>
      <c r="H250" s="8" t="inlineStr">
        <is>
          <t>ProcProbability</t>
        </is>
      </c>
      <c r="I250" s="8" t="inlineStr">
        <is>
          <t>MapleHeroMultiplier</t>
        </is>
      </c>
      <c r="J250" s="8" t="inlineStr">
        <is>
          <t>BaseDamage</t>
        </is>
      </c>
      <c r="K250" s="8" t="inlineStr">
        <is>
          <t>BaseHitDamage</t>
        </is>
      </c>
      <c r="L250" s="8" t="inlineStr">
        <is>
          <t>NonCritAvg</t>
        </is>
      </c>
      <c r="M250" s="8" t="inlineStr">
        <is>
          <t>CritAvg</t>
        </is>
      </c>
      <c r="N250" s="8" t="inlineStr">
        <is>
          <t>ExpectedDamage(perHit)</t>
        </is>
      </c>
      <c r="O250" s="8" t="inlineStr">
        <is>
          <t>DPS</t>
        </is>
      </c>
      <c r="P250" s="8" t="inlineStr">
        <is>
          <t>% of Total</t>
        </is>
      </c>
      <c r="Q250" s="8" t="inlineStr">
        <is>
          <t>InvCooldown</t>
        </is>
      </c>
      <c r="R250" s="8" t="inlineStr">
        <is>
          <t>CastsInFight</t>
        </is>
      </c>
      <c r="S250" s="8" t="inlineStr">
        <is>
          <t>HitRate(perSec)</t>
        </is>
      </c>
      <c r="U250" t="inlineStr">
        <is>
          <t>helpers</t>
        </is>
      </c>
    </row>
    <row r="251">
      <c r="A251">
        <f>Skills!A2</f>
        <v/>
      </c>
      <c r="B251">
        <f>Skills!B2</f>
        <v/>
      </c>
      <c r="C251">
        <f>Inputs!$B$3&gt;=100</f>
        <v/>
      </c>
      <c r="D251" t="inlineStr"/>
      <c r="E251" t="inlineStr"/>
      <c r="F251">
        <f>U253+Skills!O2</f>
        <v/>
      </c>
      <c r="G251">
        <f>Skills!G2*IF(Skills!H2&gt;0,Skills!I2/Skills!H2,1)</f>
        <v/>
      </c>
      <c r="H251">
        <f>1-(1-Skills!J2/100)^Skills!K2</f>
        <v/>
      </c>
      <c r="I251" t="inlineStr">
        <is>
          <t>1</t>
        </is>
      </c>
      <c r="J251">
        <f>(Inputs!$B$5*(1+Inputs!$B$6/100))*(F251/100)</f>
        <v/>
      </c>
      <c r="K251">
        <f>J251*(1+((Inputs!$B$11*(1+Inputs!$B$12/100))*0.01+Inputs!$B$13*0.0025)/100)*(1+Inputs!$B$14/100)*(1+IF(Inputs!$B$4="pvp",0,(1-Summary!$B$55)*(Inputs!$B$19+0+Skills!P2)+Summary!$B$55*((Inputs!$B$20+1)+Skills!Q2))/100)*(1+Inputs!$B$15/100)*(5000/(6000+Inputs!$B$7*(1-(Inputs!$B$18+0)/100)))*(1+(Inputs!$B$23+((C271=TRUE)*(F271-Calc!F22))+B280)/100)*(1+(IF(Skills!A2="HOOK_BOMBER",Inputs!$B$16+((C270=TRUE)*(F270-Calc!F21)),Inputs!$B$17+0))/100)*((1+(((C262=TRUE)*F262)+((C268=TRUE)*(F268-Calc!F19)))/100)*I251)</f>
        <v/>
      </c>
      <c r="L251">
        <f>K251*(MIN(Inputs!$B$21+((C269=TRUE)*(F269-Calc!F20)),Inputs!$B$22+0)/100+(Inputs!$B$22+0)/100)/2</f>
        <v/>
      </c>
      <c r="M251">
        <f>L251*(1+(Inputs!$B$9+0+B279)/100)</f>
        <v/>
      </c>
      <c r="N251">
        <f>L251*(1-MIN((Inputs!$B$8+((C265=TRUE)*(F265-Calc!F16))+B274),100)/100)+M251*(MIN((Inputs!$B$8+((C265=TRUE)*(F265-Calc!F16))+B274),100)/100)</f>
        <v/>
      </c>
      <c r="O251">
        <f>IF(C251,Skills!G2*N251*B278*IF(Inputs!$B$4="pvp",1,(1-Summary!$B$55)*(1)+Summary!$B$55*(MIN((6+Inputs!$B$32),Inputs!$B$37))),0)</f>
        <v/>
      </c>
      <c r="P251">
        <f>IF(B282=0,0,O251/B282)</f>
        <v/>
      </c>
      <c r="Q251" t="n">
        <v>0</v>
      </c>
      <c r="R251" t="n">
        <v>0</v>
      </c>
      <c r="S251">
        <f>IFERROR(O251/N251,0)</f>
        <v/>
      </c>
      <c r="U251">
        <f>MAX(0,(Inputs!$B$3-100)*3)+Inputs!$B$27+Inputs!$B$28</f>
        <v/>
      </c>
    </row>
    <row r="252">
      <c r="A252">
        <f>Skills!A3</f>
        <v/>
      </c>
      <c r="B252">
        <f>Skills!B3</f>
        <v/>
      </c>
      <c r="C252">
        <f>Inputs!$B$3&gt;=35</f>
        <v/>
      </c>
      <c r="D252">
        <f>IF(Skills!C3=1,60+Inputs!$B$24+Inputs!$B$28,IF(Skills!C3=2,90+Inputs!$B$25+Inputs!$B$28,IF(Skills!C3=3,120+Inputs!$B$26+Inputs!$B$28,MAX(0,(Inputs!$B$3-100)*3)+Inputs!$B$27+Inputs!$B$28)))</f>
        <v/>
      </c>
      <c r="E252">
        <f>INDEX(FactorTable!$B$2:$Y$301, MATCH(ROUND(MIN(300,MAX(1,D252)),0), FactorTable!$A$2:$A$301,0), Skills!M3+1)</f>
        <v/>
      </c>
      <c r="F252">
        <f>IF(Skills!N3=TRUE,(Skills!L3/10)*(E252/1000),Skills!L3/10)+Skills!O3</f>
        <v/>
      </c>
      <c r="G252">
        <f>Skills!G3*IF(Skills!H3&gt;0,Skills!I3/Skills!H3,1)</f>
        <v/>
      </c>
      <c r="H252">
        <f>1-(1-Skills!J3/100)^Skills!K3</f>
        <v/>
      </c>
      <c r="I252" t="inlineStr">
        <is>
          <t>1</t>
        </is>
      </c>
      <c r="J252">
        <f>(Inputs!$B$5*(1+Inputs!$B$6/100))*(F252/100)</f>
        <v/>
      </c>
      <c r="K252">
        <f>J252*(1+((Inputs!$B$11*(1+Inputs!$B$12/100))*0.01+Inputs!$B$13*0.0025)/100)*(1+Inputs!$B$14/100)*(1+IF(Inputs!$B$4="pvp",0,(1-Summary!$B$55)*(Inputs!$B$19+0+Skills!P3)+Summary!$B$55*((Inputs!$B$20+1)+Skills!Q3))/100)*(1+Inputs!$B$15/100)*(5000/(6000+Inputs!$B$7*(1-(Inputs!$B$18+0)/100)))*(1+(Inputs!$B$23+((C271=TRUE)*(F271-Calc!F22))+B280)/100)*(1+(IF(Skills!A3="HOOK_BOMBER",Inputs!$B$16+((C270=TRUE)*(F270-Calc!F21)),Inputs!$B$17+0))/100)*((1+(((C262=TRUE)*F262)+((C268=TRUE)*(F268-Calc!F19)))/100)*I252)</f>
        <v/>
      </c>
      <c r="L252">
        <f>K252*(MIN(Inputs!$B$21+((C269=TRUE)*(F269-Calc!F20)),Inputs!$B$22+0)/100+(Inputs!$B$22+0)/100)/2</f>
        <v/>
      </c>
      <c r="M252">
        <f>L252*(1+(Inputs!$B$9+0+B279)/100)</f>
        <v/>
      </c>
      <c r="N252">
        <f>L252*(1-MIN((Inputs!$B$8+((C265=TRUE)*(F265-Calc!F16))+B274),100)/100)+M252*(MIN((Inputs!$B$8+((C265=TRUE)*(F265-Calc!F16))+B274),100)/100)</f>
        <v/>
      </c>
      <c r="O252">
        <f>IF(C252,Skills!G3*H252*N252*B278*IF(Inputs!$B$4="pvp",1,(1-Summary!$B$55)*(1)+Summary!$B$55*(MIN(Skills!R3,Inputs!$B$37))),0)</f>
        <v/>
      </c>
      <c r="P252">
        <f>IF(B282=0,0,O252/B282)</f>
        <v/>
      </c>
      <c r="Q252" t="n">
        <v>0</v>
      </c>
      <c r="R252" t="n">
        <v>0</v>
      </c>
      <c r="S252">
        <f>IFERROR(O252/N252,0)</f>
        <v/>
      </c>
      <c r="U252">
        <f>INDEX(FactorTable!$B$2:$Y$301, MATCH(ROUND(MIN(300,MAX(1,U251)),0), FactorTable!$A$2:$A$301,0), 22)</f>
        <v/>
      </c>
    </row>
    <row r="253">
      <c r="A253">
        <f>Skills!A4</f>
        <v/>
      </c>
      <c r="B253">
        <f>Skills!B4</f>
        <v/>
      </c>
      <c r="C253">
        <f>Inputs!$B$3&gt;=60</f>
        <v/>
      </c>
      <c r="D253">
        <f>IF(Skills!C4=1,60+Inputs!$B$24+Inputs!$B$28,IF(Skills!C4=2,90+Inputs!$B$25+Inputs!$B$28,IF(Skills!C4=3,120+Inputs!$B$26+Inputs!$B$28,MAX(0,(Inputs!$B$3-100)*3)+Inputs!$B$27+Inputs!$B$28)))</f>
        <v/>
      </c>
      <c r="E253">
        <f>INDEX(FactorTable!$B$2:$Y$301, MATCH(ROUND(MIN(300,MAX(1,D253)),0), FactorTable!$A$2:$A$301,0), Skills!M4+1)</f>
        <v/>
      </c>
      <c r="F253">
        <f>IF(Skills!N4=TRUE,(Skills!L4/10)*(E253/1000),Skills!L4/10)+Skills!O4</f>
        <v/>
      </c>
      <c r="G253">
        <f>Skills!G4*IF(Skills!H4&gt;0,Skills!I4/Skills!H4,1)</f>
        <v/>
      </c>
      <c r="H253">
        <f>1-(1-Skills!J4/100)^Skills!K4</f>
        <v/>
      </c>
      <c r="I253" t="inlineStr">
        <is>
          <t>1</t>
        </is>
      </c>
      <c r="J253">
        <f>(Inputs!$B$5*(1+Inputs!$B$6/100))*(F253/100)</f>
        <v/>
      </c>
      <c r="K253">
        <f>J253*(1+((Inputs!$B$11*(1+Inputs!$B$12/100))*0.01+Inputs!$B$13*0.0025)/100)*(1+Inputs!$B$14/100)*(1+IF(Inputs!$B$4="pvp",0,(1-Summary!$B$55)*(Inputs!$B$19+0+Skills!P4)+Summary!$B$55*((Inputs!$B$20+1)+Skills!Q4))/100)*(1+Inputs!$B$15/100)*(5000/(6000+Inputs!$B$7*(1-(Inputs!$B$18+0)/100)))*(1+(Inputs!$B$23+((C271=TRUE)*(F271-Calc!F22))+B280)/100)*(1+1.0*IF(C261=TRUE,F261,0)/100)*(1+(IF(Skills!A4="HOOK_BOMBER",Inputs!$B$16+((C270=TRUE)*(F270-Calc!F21)),Inputs!$B$17+0))/100)*((1+(((C262=TRUE)*F262)+((C268=TRUE)*(F268-Calc!F19)))/100)*I253)</f>
        <v/>
      </c>
      <c r="L253">
        <f>K253*(MIN(Inputs!$B$21+((C269=TRUE)*(F269-Calc!F20)),Inputs!$B$22+0)/100+(Inputs!$B$22+0)/100)/2</f>
        <v/>
      </c>
      <c r="M253">
        <f>L253*(1+(Inputs!$B$9+0+B279)/100)</f>
        <v/>
      </c>
      <c r="N253">
        <f>L253*(1-MIN((Inputs!$B$8+((C265=TRUE)*(F265-Calc!F16))+B274),100)/100)+M253*(MIN((Inputs!$B$8+((C265=TRUE)*(F265-Calc!F16))+B274),100)/100)</f>
        <v/>
      </c>
      <c r="O253">
        <f>IF(C253,Skills!G4*H253*N253*B278*IF(Inputs!$B$4="pvp",1,(1-Summary!$B$55)*(1)+Summary!$B$55*(MIN(Skills!R4,Inputs!$B$37))),0)</f>
        <v/>
      </c>
      <c r="P253">
        <f>IF(B282=0,0,O253/B282)</f>
        <v/>
      </c>
      <c r="Q253" t="n">
        <v>0</v>
      </c>
      <c r="R253" t="n">
        <v>0</v>
      </c>
      <c r="S253">
        <f>IFERROR(O253/N253,0)</f>
        <v/>
      </c>
      <c r="U253">
        <f>290*U252/1000</f>
        <v/>
      </c>
    </row>
    <row r="254">
      <c r="A254">
        <f>Skills!A5</f>
        <v/>
      </c>
      <c r="B254">
        <f>Skills!B5</f>
        <v/>
      </c>
      <c r="C254">
        <f>Inputs!$B$3&gt;=60</f>
        <v/>
      </c>
      <c r="D254">
        <f>IF(Skills!C5=1,60+Inputs!$B$24+Inputs!$B$28,IF(Skills!C5=2,90+Inputs!$B$25+Inputs!$B$28,IF(Skills!C5=3,120+Inputs!$B$26+Inputs!$B$28,MAX(0,(Inputs!$B$3-100)*3)+Inputs!$B$27+Inputs!$B$28)))</f>
        <v/>
      </c>
      <c r="E254">
        <f>INDEX(FactorTable!$B$2:$Y$301, MATCH(ROUND(MIN(300,MAX(1,D254)),0), FactorTable!$A$2:$A$301,0), Skills!M5+1)</f>
        <v/>
      </c>
      <c r="F254">
        <f>IF(Skills!N5=TRUE,(Skills!L5/10)*(E254/1000),Skills!L5/10)+Skills!O5</f>
        <v/>
      </c>
      <c r="G254">
        <f>Skills!G5*IF(Skills!H5&gt;0,Skills!I5/Skills!H5,1)</f>
        <v/>
      </c>
      <c r="H254">
        <f>1-(1-Skills!J5/100)^Skills!K5</f>
        <v/>
      </c>
      <c r="I254" t="inlineStr">
        <is>
          <t>1</t>
        </is>
      </c>
      <c r="J254" t="inlineStr"/>
      <c r="K254" t="inlineStr"/>
      <c r="L254" t="inlineStr"/>
      <c r="M254" t="inlineStr"/>
      <c r="N254" t="inlineStr"/>
      <c r="O254" t="n">
        <v>0</v>
      </c>
      <c r="P254">
        <f>IF(B282=0,0,O254/B282)</f>
        <v/>
      </c>
      <c r="Q254" t="n">
        <v>0</v>
      </c>
      <c r="R254" t="n">
        <v>0</v>
      </c>
      <c r="S254">
        <f>IFERROR(O254/N254,0)</f>
        <v/>
      </c>
    </row>
    <row r="255">
      <c r="A255">
        <f>Skills!A6</f>
        <v/>
      </c>
      <c r="B255">
        <f>Skills!B6</f>
        <v/>
      </c>
      <c r="C255">
        <f>Inputs!$B$3&gt;=63</f>
        <v/>
      </c>
      <c r="D255">
        <f>IF(Skills!C6=1,60+Inputs!$B$24+Inputs!$B$28,IF(Skills!C6=2,90+Inputs!$B$25+Inputs!$B$28,IF(Skills!C6=3,120+Inputs!$B$26+Inputs!$B$28,MAX(0,(Inputs!$B$3-100)*3)+Inputs!$B$27+Inputs!$B$28)))</f>
        <v/>
      </c>
      <c r="E255">
        <f>INDEX(FactorTable!$B$2:$Y$301, MATCH(ROUND(MIN(300,MAX(1,D255)),0), FactorTable!$A$2:$A$301,0), Skills!M6+1)</f>
        <v/>
      </c>
      <c r="F255">
        <f>IF(Skills!N6=TRUE,(Skills!L6/10)*(E255/1000),Skills!L6/10)+Skills!O6</f>
        <v/>
      </c>
      <c r="G255">
        <f>Skills!G6*IF(Skills!H6&gt;0,Skills!I6/Skills!H6,1)</f>
        <v/>
      </c>
      <c r="H255">
        <f>1-(1-Skills!J6/100)^Skills!K6</f>
        <v/>
      </c>
      <c r="I255" t="inlineStr">
        <is>
          <t>1</t>
        </is>
      </c>
      <c r="J255">
        <f>(Inputs!$B$5*(1+Inputs!$B$6/100))*(F255/100)</f>
        <v/>
      </c>
      <c r="K255">
        <f>J255*(1+((Inputs!$B$11*(1+Inputs!$B$12/100))*0.01+Inputs!$B$13*0.0025)/100)*(1+Inputs!$B$14/100)*(1+IF(Inputs!$B$4="pvp",0,(1-Summary!$B$55)*(Inputs!$B$19+0+Skills!P6)+Summary!$B$55*((Inputs!$B$20+1)+Skills!Q6))/100)*(1+Inputs!$B$15/100)*(5000/(6000+Inputs!$B$7*(1-(Inputs!$B$18+0)/100)))*(1+(Inputs!$B$23+((C271=TRUE)*(F271-Calc!F22))+B280)/100)*(1+(IF(Skills!A6="HOOK_BOMBER",Inputs!$B$16+((C270=TRUE)*(F270-Calc!F21)),Inputs!$B$17+0))/100)*((1+(((C262=TRUE)*F262)+((C268=TRUE)*(F268-Calc!F19)))/100)*I255)</f>
        <v/>
      </c>
      <c r="L255">
        <f>K255*(MIN(Inputs!$B$21+((C269=TRUE)*(F269-Calc!F20)),Inputs!$B$22+0)/100+(Inputs!$B$22+0)/100)/2</f>
        <v/>
      </c>
      <c r="M255">
        <f>L255*(1+(Inputs!$B$9+0+B279)/100)</f>
        <v/>
      </c>
      <c r="N255">
        <f>L255*(1-MIN((Inputs!$B$8+((C265=TRUE)*(F265-Calc!F16))+B274),100)/100)+M255*(MIN((Inputs!$B$8+((C265=TRUE)*(F265-Calc!F16))+B274),100)/100)</f>
        <v/>
      </c>
      <c r="O255">
        <f>IF(C255,H255*N255*IF(AND(Inputs!$B$4&lt;&gt;"pvp",Inputs!$B$35&gt;0),((Skills!G6*((R255-1)*IF(Skills!H6&gt;0,Skills!I6/Skills!H6,1)+IF(Skills!H6&gt;0,MIN(Skills!I6,MAX(0,Inputs!$B$35-((R255-1)*IF(Inputs!$B$4="pvp",15,MAX(0.1,Skills!D6-IF(Skills!E6=TRUE,Inputs!$B$31,0))))))/Skills!H6,1)))/Inputs!$B$35),G255*Q255)*IF(Inputs!$B$4="pvp",1,(1-Summary!$B$55)*(1)+Summary!$B$55*(MIN(Skills!R6,Inputs!$B$37))),0)</f>
        <v/>
      </c>
      <c r="P255">
        <f>IF(B282=0,0,O255/B282)</f>
        <v/>
      </c>
      <c r="Q255">
        <f>IFERROR(1/IF(Inputs!$B$4="pvp",15,MAX(0.1,Skills!D6-IF(Skills!E6=TRUE,Inputs!$B$31,0))),0)</f>
        <v/>
      </c>
      <c r="R255">
        <f>IF(AND(Inputs!$B$4&lt;&gt;"pvp",Inputs!$B$35&gt;0),(INT(Inputs!$B$35/IF(Inputs!$B$4="pvp",15,MAX(0.1,Skills!D6-IF(Skills!E6=TRUE,Inputs!$B$31,0))))+1),0)</f>
        <v/>
      </c>
      <c r="S255">
        <f>IFERROR(O255/N255,0)</f>
        <v/>
      </c>
    </row>
    <row r="256">
      <c r="A256">
        <f>Skills!A7</f>
        <v/>
      </c>
      <c r="B256">
        <f>Skills!B7</f>
        <v/>
      </c>
      <c r="C256">
        <f>Inputs!$B$3&gt;=100</f>
        <v/>
      </c>
      <c r="D256">
        <f>IF(Skills!C7=1,60+Inputs!$B$24+Inputs!$B$28,IF(Skills!C7=2,90+Inputs!$B$25+Inputs!$B$28,IF(Skills!C7=3,120+Inputs!$B$26+Inputs!$B$28,MAX(0,(Inputs!$B$3-100)*3)+Inputs!$B$27+Inputs!$B$28)))</f>
        <v/>
      </c>
      <c r="E256">
        <f>INDEX(FactorTable!$B$2:$Y$301, MATCH(ROUND(MIN(300,MAX(1,D256)),0), FactorTable!$A$2:$A$301,0), Skills!M7+1)</f>
        <v/>
      </c>
      <c r="F256">
        <f>IF(Skills!N7=TRUE,(Skills!L7/10)*(E256/1000),Skills!L7/10)+Skills!O7</f>
        <v/>
      </c>
      <c r="G256">
        <f>Skills!G7*IF(Skills!H7&gt;0,Skills!I7/Skills!H7,1)</f>
        <v/>
      </c>
      <c r="H256">
        <f>1-(1-Skills!J7/100)^Skills!K7</f>
        <v/>
      </c>
      <c r="I256" t="inlineStr">
        <is>
          <t>1</t>
        </is>
      </c>
      <c r="J256">
        <f>(Inputs!$B$5*(1+Inputs!$B$6/100))*(F256/100)</f>
        <v/>
      </c>
      <c r="K256">
        <f>J256*(1+((Inputs!$B$11*(1+Inputs!$B$12/100))*0.01+Inputs!$B$13*0.0025)/100)*(1+Inputs!$B$14/100)*(1+IF(Inputs!$B$4="pvp",0,(1-Summary!$B$55)*(Inputs!$B$19+0+Skills!P7)+Summary!$B$55*((Inputs!$B$20+1)+Skills!Q7))/100)*(1+Inputs!$B$15/100)*(5000/(6000+Inputs!$B$7*(1-(Inputs!$B$18+0)/100)))*(1+(Inputs!$B$23+((C271=TRUE)*(F271-Calc!F22))+B280)/100)*(1+(IF(Skills!A7="HOOK_BOMBER",Inputs!$B$16+((C270=TRUE)*(F270-Calc!F21)),Inputs!$B$17+0))/100)*((1+(((C262=TRUE)*F262)+((C268=TRUE)*(F268-Calc!F19)))/100)*I256)</f>
        <v/>
      </c>
      <c r="L256">
        <f>K256*(MIN(Inputs!$B$21+((C269=TRUE)*(F269-Calc!F20)),Inputs!$B$22+0)/100+(Inputs!$B$22+0)/100)/2</f>
        <v/>
      </c>
      <c r="M256">
        <f>L256*(1+(Inputs!$B$9+0+B279)/100)</f>
        <v/>
      </c>
      <c r="N256">
        <f>L256*(1-MIN((Inputs!$B$8+((C265=TRUE)*(F265-Calc!F16))+B274),100)/100)+M256*(MIN((Inputs!$B$8+((C265=TRUE)*(F265-Calc!F16))+B274),100)/100)</f>
        <v/>
      </c>
      <c r="O256">
        <f>IF(C256,H256*N256*IF(AND(Inputs!$B$4&lt;&gt;"pvp",Inputs!$B$35&gt;0),((Skills!G7*((R256-1)*IF(Skills!H7&gt;0,Skills!I7/Skills!H7,1)+IF(Skills!H7&gt;0,MIN(Skills!I7,MAX(0,Inputs!$B$35-((R256-1)*IF(Inputs!$B$4="pvp",15,MAX(0.1,Skills!D7-IF(Skills!E7=TRUE,Inputs!$B$31,0))))))/Skills!H7,1)))/Inputs!$B$35),G256*Q256)*IF(Inputs!$B$4="pvp",1,(1-Summary!$B$55)*(1)+Summary!$B$55*(MIN(Skills!R7,Inputs!$B$37))),0)</f>
        <v/>
      </c>
      <c r="P256">
        <f>IF(B282=0,0,O256/B282)</f>
        <v/>
      </c>
      <c r="Q256">
        <f>IFERROR(1/IF(Inputs!$B$4="pvp",15,MAX(0.1,Skills!D7-IF(Skills!E7=TRUE,Inputs!$B$31,0))),0)</f>
        <v/>
      </c>
      <c r="R256">
        <f>IF(AND(Inputs!$B$4&lt;&gt;"pvp",Inputs!$B$35&gt;0),(INT(Inputs!$B$35/IF(Inputs!$B$4="pvp",15,MAX(0.1,Skills!D7-IF(Skills!E7=TRUE,Inputs!$B$31,0))))+1),0)</f>
        <v/>
      </c>
      <c r="S256">
        <f>IFERROR(O256/N256,0)</f>
        <v/>
      </c>
    </row>
    <row r="257">
      <c r="A257">
        <f>Skills!A8</f>
        <v/>
      </c>
      <c r="B257">
        <f>Skills!B8</f>
        <v/>
      </c>
      <c r="C257">
        <f>Inputs!$B$3&gt;=110</f>
        <v/>
      </c>
      <c r="D257">
        <f>IF(Skills!C8=1,60+Inputs!$B$24+Inputs!$B$28,IF(Skills!C8=2,90+Inputs!$B$25+Inputs!$B$28,IF(Skills!C8=3,120+Inputs!$B$26+Inputs!$B$28,MAX(0,(Inputs!$B$3-100)*3)+Inputs!$B$27+Inputs!$B$28)))</f>
        <v/>
      </c>
      <c r="E257">
        <f>INDEX(FactorTable!$B$2:$Y$301, MATCH(ROUND(MIN(300,MAX(1,D257)),0), FactorTable!$A$2:$A$301,0), Skills!M8+1)</f>
        <v/>
      </c>
      <c r="F257">
        <f>IF(Skills!N8=TRUE,(Skills!L8/10)*(E257/1000),Skills!L8/10)+Skills!O8</f>
        <v/>
      </c>
      <c r="G257">
        <f>Skills!G8*IF(Skills!H8&gt;0,Skills!I8/Skills!H8,1)</f>
        <v/>
      </c>
      <c r="H257">
        <f>1-(1-Skills!J8/100)^Skills!K8</f>
        <v/>
      </c>
      <c r="I257" t="inlineStr">
        <is>
          <t>1</t>
        </is>
      </c>
      <c r="J257">
        <f>(Inputs!$B$5*(1+Inputs!$B$6/100))*(F257/100)</f>
        <v/>
      </c>
      <c r="K257">
        <f>J257*(1+((Inputs!$B$11*(1+Inputs!$B$12/100))*0.01+Inputs!$B$13*0.0025)/100)*(1+Inputs!$B$14/100)*(1+IF(Inputs!$B$4="pvp",0,(1-Summary!$B$55)*(Inputs!$B$19+0+Skills!P8)+Summary!$B$55*((Inputs!$B$20+1)+Skills!Q8))/100)*(1+Inputs!$B$15/100)*(5000/(6000+Inputs!$B$7*(1-(Inputs!$B$18+0)/100)))*(1+(Inputs!$B$23+((C271=TRUE)*(F271-Calc!F22))+B280)/100)*(1+(IF(Skills!A8="HOOK_BOMBER",Inputs!$B$16+((C270=TRUE)*(F270-Calc!F21)),Inputs!$B$17+0))/100)*((1+(((C262=TRUE)*F262)+((C268=TRUE)*(F268-Calc!F19)))/100)*I257)</f>
        <v/>
      </c>
      <c r="L257">
        <f>K257*(MIN(Inputs!$B$21+((C269=TRUE)*(F269-Calc!F20)),Inputs!$B$22+0)/100+(Inputs!$B$22+0)/100)/2</f>
        <v/>
      </c>
      <c r="M257">
        <f>L257*(1+(Inputs!$B$9+0+B279)/100)</f>
        <v/>
      </c>
      <c r="N257">
        <f>L257*(1-MIN((Inputs!$B$8+((C265=TRUE)*(F265-Calc!F16))+B274),100)/100)+M257*(MIN((Inputs!$B$8+((C265=TRUE)*(F265-Calc!F16))+B274),100)/100)</f>
        <v/>
      </c>
      <c r="O257">
        <f>IF(C257,H257*N257*IF(AND(Inputs!$B$4&lt;&gt;"pvp",Inputs!$B$35&gt;0),((Skills!G8*((R257-1)*IF(Skills!H8&gt;0,Skills!I8/Skills!H8,1)+IF(Skills!H8&gt;0,MIN(Skills!I8,MAX(0,Inputs!$B$35-((R257-1)*IF(Inputs!$B$4="pvp",15,MAX(0.1,Skills!D8-IF(Skills!E8=TRUE,Inputs!$B$31,0))))))/Skills!H8,1)))/Inputs!$B$35),G257*Q257)*IF(Inputs!$B$4="pvp",1,(1-Summary!$B$55)*(1)+Summary!$B$55*(MIN(Skills!R8,Inputs!$B$37))),0)</f>
        <v/>
      </c>
      <c r="P257">
        <f>IF(B282=0,0,O257/B282)</f>
        <v/>
      </c>
      <c r="Q257">
        <f>IFERROR(1/IF(Inputs!$B$4="pvp",15,MAX(0.1,Skills!D8-IF(Skills!E8=TRUE,Inputs!$B$31,0))),0)</f>
        <v/>
      </c>
      <c r="R257">
        <f>IF(AND(Inputs!$B$4&lt;&gt;"pvp",Inputs!$B$35&gt;0),(INT(Inputs!$B$35/IF(Inputs!$B$4="pvp",15,MAX(0.1,Skills!D8-IF(Skills!E8=TRUE,Inputs!$B$31,0))))+1),0)</f>
        <v/>
      </c>
      <c r="S257">
        <f>IFERROR(O257/N257,0)</f>
        <v/>
      </c>
    </row>
    <row r="258">
      <c r="A258">
        <f>Skills!A9</f>
        <v/>
      </c>
      <c r="B258">
        <f>Skills!B9</f>
        <v/>
      </c>
      <c r="C258">
        <f>Inputs!$B$3&gt;=110</f>
        <v/>
      </c>
      <c r="D258">
        <f>IF(Skills!C9=1,60+Inputs!$B$24+Inputs!$B$28,IF(Skills!C9=2,90+Inputs!$B$25+Inputs!$B$28,IF(Skills!C9=3,120+Inputs!$B$26+Inputs!$B$28,MAX(0,(Inputs!$B$3-100)*3)+Inputs!$B$27+Inputs!$B$28)))</f>
        <v/>
      </c>
      <c r="E258">
        <f>INDEX(FactorTable!$B$2:$Y$301, MATCH(ROUND(MIN(300,MAX(1,D258)),0), FactorTable!$A$2:$A$301,0), Skills!M9+1)</f>
        <v/>
      </c>
      <c r="F258">
        <f>IF(Skills!N9=TRUE,(Skills!L9/10)*(E258/1000),Skills!L9/10)+Skills!O9</f>
        <v/>
      </c>
      <c r="G258">
        <f>Skills!G9*IF(Skills!H9&gt;0,Skills!I9/Skills!H9,1)</f>
        <v/>
      </c>
      <c r="H258">
        <f>1-(1-Skills!J9/100)^Skills!K9</f>
        <v/>
      </c>
      <c r="I258" t="inlineStr">
        <is>
          <t>1</t>
        </is>
      </c>
      <c r="J258">
        <f>(Inputs!$B$5*(1+Inputs!$B$6/100))*(F258/100)</f>
        <v/>
      </c>
      <c r="K258">
        <f>J258*(1+((Inputs!$B$11*(1+Inputs!$B$12/100))*0.01+Inputs!$B$13*0.0025)/100)*(1+Inputs!$B$14/100)*(1+IF(Inputs!$B$4="pvp",0,(1-Summary!$B$55)*(Inputs!$B$19+0+Skills!P9)+Summary!$B$55*((Inputs!$B$20+1)+Skills!Q9))/100)*(1+Inputs!$B$15/100)*(5000/(6000+Inputs!$B$7*(1-(Inputs!$B$18+0)/100)))*(1+(Inputs!$B$23+((C271=TRUE)*(F271-Calc!F22))+B280)/100)*(1+(IF(Skills!A9="HOOK_BOMBER",Inputs!$B$16+((C270=TRUE)*(F270-Calc!F21)),Inputs!$B$17+0))/100)*((1+(((C262=TRUE)*F262)+((C268=TRUE)*(F268-Calc!F19)))/100)*I258)</f>
        <v/>
      </c>
      <c r="L258">
        <f>K258*(MIN(Inputs!$B$21+((C269=TRUE)*(F269-Calc!F20)),Inputs!$B$22+0)/100+(Inputs!$B$22+0)/100)/2</f>
        <v/>
      </c>
      <c r="M258">
        <f>L258*(1+(Inputs!$B$9+0+B279)/100)</f>
        <v/>
      </c>
      <c r="N258">
        <f>L258*(1-MIN((Inputs!$B$8+((C265=TRUE)*(F265-Calc!F16))+B274),100)/100)+M258*(MIN((Inputs!$B$8+((C265=TRUE)*(F265-Calc!F16))+B274),100)/100)</f>
        <v/>
      </c>
      <c r="O258">
        <f>IF(C258,H258*N258*IF(AND(Inputs!$B$4&lt;&gt;"pvp",Inputs!$B$35&gt;0),((Skills!G9*((R258-1)*IF(Skills!H9&gt;0,Skills!I9/Skills!H9,1)+IF(Skills!H9&gt;0,MIN(Skills!I9,MAX(0,Inputs!$B$35-((R258-1)*IF(Inputs!$B$4="pvp",15,MAX(0.1,Skills!D9-IF(Skills!E9=TRUE,Inputs!$B$31,0))))))/Skills!H9,1)))/Inputs!$B$35),G258*Q258)*IF(Inputs!$B$4="pvp",1,(1-Summary!$B$55)*(1)+Summary!$B$55*(MIN(Skills!R9,Inputs!$B$37))),0)</f>
        <v/>
      </c>
      <c r="P258">
        <f>IF(B282=0,0,O258/B282)</f>
        <v/>
      </c>
      <c r="Q258">
        <f>IFERROR(1/IF(Inputs!$B$4="pvp",15,MAX(0.1,Skills!D9-IF(Skills!E9=TRUE,Inputs!$B$31,0))),0)</f>
        <v/>
      </c>
      <c r="R258">
        <f>IF(AND(Inputs!$B$4&lt;&gt;"pvp",Inputs!$B$35&gt;0),(INT(Inputs!$B$35/IF(Inputs!$B$4="pvp",15,MAX(0.1,Skills!D9-IF(Skills!E9=TRUE,Inputs!$B$31,0))))+1),0)</f>
        <v/>
      </c>
      <c r="S258">
        <f>IFERROR(O258/N258,0)</f>
        <v/>
      </c>
    </row>
    <row r="259">
      <c r="A259">
        <f>Skills!A10</f>
        <v/>
      </c>
      <c r="B259">
        <f>Skills!B10</f>
        <v/>
      </c>
      <c r="C259">
        <f>Inputs!$B$3&gt;=103</f>
        <v/>
      </c>
      <c r="D259">
        <f>IF(Skills!C10=1,60+Inputs!$B$24+Inputs!$B$28,IF(Skills!C10=2,90+Inputs!$B$25+Inputs!$B$28,IF(Skills!C10=3,120+Inputs!$B$26+Inputs!$B$28,MAX(0,(Inputs!$B$3-100)*3)+Inputs!$B$27+Inputs!$B$28)))</f>
        <v/>
      </c>
      <c r="E259">
        <f>INDEX(FactorTable!$B$2:$Y$301, MATCH(ROUND(MIN(300,MAX(1,D259)),0), FactorTable!$A$2:$A$301,0), Skills!M10+1)</f>
        <v/>
      </c>
      <c r="F259">
        <f>IF(Skills!N10=TRUE,(Skills!L10/10)*(E259/1000),Skills!L10/10)+Skills!O10</f>
        <v/>
      </c>
      <c r="G259">
        <f>Skills!G10*IF(Skills!H10&gt;0,Skills!I10/Skills!H10,1)</f>
        <v/>
      </c>
      <c r="H259">
        <f>1-(1-Skills!J10/100)^Skills!K10</f>
        <v/>
      </c>
      <c r="I259" t="inlineStr">
        <is>
          <t>1</t>
        </is>
      </c>
      <c r="J259">
        <f>(Inputs!$B$5*(1+Inputs!$B$6/100))*(F259/100)</f>
        <v/>
      </c>
      <c r="K259">
        <f>J259*(1+((Inputs!$B$11*(1+Inputs!$B$12/100))*0.01+Inputs!$B$13*0.0025)/100)*(1+Inputs!$B$14/100)*(1+IF(Inputs!$B$4="pvp",0,(1-Summary!$B$55)*(Inputs!$B$19+0+Skills!P10)+Summary!$B$55*((Inputs!$B$20+1)+Skills!Q10))/100)*(1+Inputs!$B$15/100)*(5000/(6000+Inputs!$B$7*(1-(Inputs!$B$18+0)/100)))*(1+(Inputs!$B$23+((C271=TRUE)*(F271-Calc!F22))+B280)/100)*(1+(IF(Skills!A10="HOOK_BOMBER",Inputs!$B$16+((C270=TRUE)*(F270-Calc!F21)),Inputs!$B$17+0))/100)*((1+(((C262=TRUE)*F262)+((C268=TRUE)*(F268-Calc!F19)))/100)*I259)</f>
        <v/>
      </c>
      <c r="L259">
        <f>K259*(MIN(Inputs!$B$21+((C269=TRUE)*(F269-Calc!F20)),Inputs!$B$22+0)/100+(Inputs!$B$22+0)/100)/2</f>
        <v/>
      </c>
      <c r="M259">
        <f>L259*(1+(Inputs!$B$9+0+B279)/100)</f>
        <v/>
      </c>
      <c r="N259">
        <f>L259*(1-MIN((Inputs!$B$8+((C265=TRUE)*(F265-Calc!F16))+B274),100)/100)+M259*(MIN((Inputs!$B$8+((C265=TRUE)*(F265-Calc!F16))+B274),100)/100)</f>
        <v/>
      </c>
      <c r="O259">
        <f>IF(C259,H259*N259*IF(AND(Inputs!$B$4&lt;&gt;"pvp",Inputs!$B$35&gt;0),((Skills!G10*((R259-1)*IF(Skills!H10&gt;0,Skills!I10/Skills!H10,1)+IF(Skills!H10&gt;0,MIN(Skills!I10,MAX(0,Inputs!$B$35-((R259-1)*IF(Inputs!$B$4="pvp",15,MAX(0.1,Skills!D10-IF(Skills!E10=TRUE,Inputs!$B$31,0))))))/Skills!H10,1)))/Inputs!$B$35),G259*Q259)*IF(Inputs!$B$4="pvp",1,(1-Summary!$B$55)*(1)+Summary!$B$55*(MIN(Skills!R10,Inputs!$B$37))),0)</f>
        <v/>
      </c>
      <c r="P259">
        <f>IF(B282=0,0,O259/B282)</f>
        <v/>
      </c>
      <c r="Q259">
        <f>IFERROR(1/IF(Inputs!$B$4="pvp",15,MAX(0.1,Skills!D10-IF(Skills!E10=TRUE,Inputs!$B$31,0))),0)</f>
        <v/>
      </c>
      <c r="R259">
        <f>IF(AND(Inputs!$B$4&lt;&gt;"pvp",Inputs!$B$35&gt;0),(INT(Inputs!$B$35/IF(Inputs!$B$4="pvp",15,MAX(0.1,Skills!D10-IF(Skills!E10=TRUE,Inputs!$B$31,0))))+1),0)</f>
        <v/>
      </c>
      <c r="S259">
        <f>IFERROR(O259/N259,0)</f>
        <v/>
      </c>
    </row>
    <row r="260">
      <c r="A260">
        <f>Skills!A11</f>
        <v/>
      </c>
      <c r="B260">
        <f>Skills!B11</f>
        <v/>
      </c>
      <c r="C260">
        <f>Inputs!$B$3&gt;=113</f>
        <v/>
      </c>
      <c r="D260">
        <f>IF(Skills!C11=1,60+Inputs!$B$24+Inputs!$B$28,IF(Skills!C11=2,90+Inputs!$B$25+Inputs!$B$28,IF(Skills!C11=3,120+Inputs!$B$26+Inputs!$B$28,MAX(0,(Inputs!$B$3-100)*3)+Inputs!$B$27+Inputs!$B$28)))</f>
        <v/>
      </c>
      <c r="E260">
        <f>INDEX(FactorTable!$B$2:$Y$301, MATCH(ROUND(MIN(300,MAX(1,D260)),0), FactorTable!$A$2:$A$301,0), Skills!M11+1)</f>
        <v/>
      </c>
      <c r="F260">
        <f>IF(Skills!N11=TRUE,(Skills!L11/10)*(E260/1000),Skills!L11/10)+Skills!O11</f>
        <v/>
      </c>
      <c r="G260">
        <f>Skills!G11*IF(Skills!H11&gt;0,Skills!I11/Skills!H11,1)</f>
        <v/>
      </c>
      <c r="H260">
        <f>1-(1-Skills!J11/100)^Skills!K11</f>
        <v/>
      </c>
      <c r="I260" t="inlineStr">
        <is>
          <t>1</t>
        </is>
      </c>
      <c r="J260">
        <f>(Inputs!$B$5*(1+Inputs!$B$6/100))*(F260/100)</f>
        <v/>
      </c>
      <c r="K260">
        <f>J260*(1+((Inputs!$B$11*(1+Inputs!$B$12/100))*0.01+Inputs!$B$13*0.0025)/100)*(1+Inputs!$B$14/100)*(1+IF(Inputs!$B$4="pvp",0,(1-Summary!$B$55)*(Inputs!$B$19+0+Skills!P11)+Summary!$B$55*((Inputs!$B$20+1)+Skills!Q11))/100)*(1+Inputs!$B$15/100)*(5000/(6000+Inputs!$B$7*(1-(Inputs!$B$18+0)/100)))*(1+(Inputs!$B$23+((C271=TRUE)*(F271-Calc!F22))+B280)/100)*(1+(IF(Skills!A11="HOOK_BOMBER",Inputs!$B$16+((C270=TRUE)*(F270-Calc!F21)),Inputs!$B$17+0))/100)*((1+(((C262=TRUE)*F262)+((C268=TRUE)*(F268-Calc!F19)))/100)*I260)</f>
        <v/>
      </c>
      <c r="L260">
        <f>K260*(MIN(Inputs!$B$21+((C269=TRUE)*(F269-Calc!F20)),Inputs!$B$22+0)/100+(Inputs!$B$22+0)/100)/2</f>
        <v/>
      </c>
      <c r="M260">
        <f>L260*(1+(Inputs!$B$9+0+B279)/100)</f>
        <v/>
      </c>
      <c r="N260">
        <f>L260*(1-MIN((Inputs!$B$8+((C265=TRUE)*(F265-Calc!F16))+B274),100)/100)+M260*(MIN((Inputs!$B$8+((C265=TRUE)*(F265-Calc!F16))+B274),100)/100)</f>
        <v/>
      </c>
      <c r="O260">
        <f>IF(C260,H260*N260*IF(AND(Inputs!$B$4&lt;&gt;"pvp",Inputs!$B$35&gt;0),((Skills!G11*((R260-1)*IF(Skills!H11&gt;0,Skills!I11/Skills!H11,1)+IF(Skills!H11&gt;0,MIN(Skills!I11,MAX(0,Inputs!$B$35-((R260-1)*IF(Inputs!$B$4="pvp",15,MAX(0.1,Skills!D11-IF(Skills!E11=TRUE,Inputs!$B$31,0))))))/Skills!H11,1)))/Inputs!$B$35),G260*Q260)*IF(Inputs!$B$4="pvp",1,(1-Summary!$B$55)*(1)+Summary!$B$55*(MIN(Skills!R11,Inputs!$B$37))),0)</f>
        <v/>
      </c>
      <c r="P260">
        <f>IF(B282=0,0,O260/B282)</f>
        <v/>
      </c>
      <c r="Q260">
        <f>IFERROR(1/IF(Inputs!$B$4="pvp",15,MAX(0.1,Skills!D11-IF(Skills!E11=TRUE,Inputs!$B$31,0))),0)</f>
        <v/>
      </c>
      <c r="R260">
        <f>IF(AND(Inputs!$B$4&lt;&gt;"pvp",Inputs!$B$35&gt;0),(INT(Inputs!$B$35/IF(Inputs!$B$4="pvp",15,MAX(0.1,Skills!D11-IF(Skills!E11=TRUE,Inputs!$B$31,0))))+1),0)</f>
        <v/>
      </c>
      <c r="S260">
        <f>IFERROR(O260/N260,0)</f>
        <v/>
      </c>
    </row>
    <row r="261">
      <c r="A261">
        <f>Skills!A12</f>
        <v/>
      </c>
      <c r="B261">
        <f>Skills!B12</f>
        <v/>
      </c>
      <c r="C261">
        <f>Inputs!$B$3&gt;=100</f>
        <v/>
      </c>
      <c r="D261">
        <f>IF(Skills!C12=1,60+Inputs!$B$24+Inputs!$B$28,IF(Skills!C12=2,90+Inputs!$B$25+Inputs!$B$28,IF(Skills!C12=3,120+Inputs!$B$26+Inputs!$B$28,MAX(0,(Inputs!$B$3-100)*3)+Inputs!$B$27+Inputs!$B$28)))</f>
        <v/>
      </c>
      <c r="E261">
        <f>INDEX(FactorTable!$B$2:$Y$301, MATCH(ROUND(MIN(300,MAX(1,D261)),0), FactorTable!$A$2:$A$301,0), Skills!M12+1)</f>
        <v/>
      </c>
      <c r="F261">
        <f>IF(Skills!N12=TRUE,(Skills!L12/10)*(E261/1000),Skills!L12/10)+Skills!O12</f>
        <v/>
      </c>
      <c r="G261" t="inlineStr"/>
      <c r="H261" t="inlineStr"/>
      <c r="I261" t="inlineStr">
        <is>
          <t>1</t>
        </is>
      </c>
      <c r="J261" t="inlineStr"/>
      <c r="K261" t="inlineStr"/>
      <c r="L261" t="inlineStr"/>
      <c r="M261" t="inlineStr"/>
      <c r="N261" t="inlineStr"/>
      <c r="O261" t="inlineStr"/>
      <c r="P261" t="inlineStr"/>
      <c r="Q261" t="inlineStr"/>
      <c r="R261" t="inlineStr"/>
      <c r="S261" t="inlineStr"/>
    </row>
    <row r="262">
      <c r="A262">
        <f>Skills!A13</f>
        <v/>
      </c>
      <c r="B262">
        <f>Skills!B13</f>
        <v/>
      </c>
      <c r="C262">
        <f>Inputs!$B$3&gt;=66</f>
        <v/>
      </c>
      <c r="D262">
        <f>IF(Skills!C13=1,60+Inputs!$B$24+Inputs!$B$28,IF(Skills!C13=2,90+Inputs!$B$25+Inputs!$B$28,IF(Skills!C13=3,120+Inputs!$B$26+Inputs!$B$28,MAX(0,(Inputs!$B$3-100)*3)+Inputs!$B$27+Inputs!$B$28)))</f>
        <v/>
      </c>
      <c r="E262">
        <f>INDEX(FactorTable!$B$2:$Y$301, MATCH(ROUND(MIN(300,MAX(1,D262)),0), FactorTable!$A$2:$A$301,0), Skills!M13+1)</f>
        <v/>
      </c>
      <c r="F262">
        <f>IF(Skills!N13=TRUE,(Skills!L13/10)*(E262/1000),Skills!L13/10)+Skills!O13</f>
        <v/>
      </c>
      <c r="G262">
        <f>Skills!G13*IF(Skills!H13&gt;0,Skills!I13/Skills!H13,1)</f>
        <v/>
      </c>
      <c r="H262">
        <f>1-(1-Skills!J13/100)^Skills!K13</f>
        <v/>
      </c>
      <c r="I262" t="inlineStr">
        <is>
          <t>1</t>
        </is>
      </c>
      <c r="J262" t="inlineStr"/>
      <c r="K262" t="inlineStr"/>
      <c r="L262" t="inlineStr"/>
      <c r="M262" t="inlineStr"/>
      <c r="N262" t="inlineStr"/>
      <c r="O262" t="n">
        <v>0</v>
      </c>
      <c r="P262">
        <f>IF(B282=0,0,O262/B282)</f>
        <v/>
      </c>
      <c r="Q262" t="n">
        <v>0</v>
      </c>
      <c r="R262" t="n">
        <v>0</v>
      </c>
      <c r="S262">
        <f>IFERROR(O262/N262,0)</f>
        <v/>
      </c>
    </row>
    <row r="263">
      <c r="A263">
        <f>Skills!A14</f>
        <v/>
      </c>
      <c r="B263">
        <f>Skills!B14</f>
        <v/>
      </c>
      <c r="C263">
        <f>Inputs!$B$3&gt;=107</f>
        <v/>
      </c>
      <c r="D263">
        <f>IF(Skills!C14=1,60+Inputs!$B$24+Inputs!$B$28,IF(Skills!C14=2,90+Inputs!$B$25+Inputs!$B$28,IF(Skills!C14=3,120+Inputs!$B$26+Inputs!$B$28,MAX(0,(Inputs!$B$3-100)*3)+Inputs!$B$27+Inputs!$B$28)))</f>
        <v/>
      </c>
      <c r="E263">
        <f>INDEX(FactorTable!$B$2:$Y$301, MATCH(ROUND(MIN(300,MAX(1,D263)),0), FactorTable!$A$2:$A$301,0), Skills!M14+1)</f>
        <v/>
      </c>
      <c r="F263">
        <f>IF(Skills!N14=TRUE,(Skills!L14/10)*(E263/1000),Skills!L14/10)+Skills!O14</f>
        <v/>
      </c>
      <c r="G263">
        <f>Skills!G14*IF(Skills!H14&gt;0,Skills!I14/Skills!H14,1)</f>
        <v/>
      </c>
      <c r="H263">
        <f>1-(1-Skills!J14/100)^Skills!K14</f>
        <v/>
      </c>
      <c r="I263" t="inlineStr">
        <is>
          <t>1</t>
        </is>
      </c>
      <c r="J263" t="inlineStr"/>
      <c r="K263" t="inlineStr"/>
      <c r="L263" t="inlineStr"/>
      <c r="M263" t="inlineStr"/>
      <c r="N263" t="inlineStr"/>
      <c r="O263" t="n">
        <v>0</v>
      </c>
      <c r="P263">
        <f>IF(B282=0,0,O263/B282)</f>
        <v/>
      </c>
      <c r="Q263" t="n">
        <v>0</v>
      </c>
      <c r="R263" t="n">
        <v>0</v>
      </c>
      <c r="S263">
        <f>IFERROR(O263/N263,0)</f>
        <v/>
      </c>
    </row>
    <row r="264">
      <c r="A264">
        <f>Skills!A15</f>
        <v/>
      </c>
      <c r="B264">
        <f>Skills!B15</f>
        <v/>
      </c>
      <c r="C264">
        <f>Inputs!$B$3&gt;=115</f>
        <v/>
      </c>
      <c r="D264">
        <f>IF(Skills!C15=1,60+Inputs!$B$24+Inputs!$B$28,IF(Skills!C15=2,90+Inputs!$B$25+Inputs!$B$28,IF(Skills!C15=3,120+Inputs!$B$26+Inputs!$B$28,MAX(0,(Inputs!$B$3-100)*3)+Inputs!$B$27+Inputs!$B$28)))</f>
        <v/>
      </c>
      <c r="E264">
        <f>INDEX(FactorTable!$B$2:$Y$301, MATCH(ROUND(MIN(300,MAX(1,D264)),0), FactorTable!$A$2:$A$301,0), Skills!M15+1)</f>
        <v/>
      </c>
      <c r="F264">
        <f>IF(Skills!N15=TRUE,(Skills!L15/10)*(E264/1000),Skills!L15/10)+Skills!O15</f>
        <v/>
      </c>
      <c r="G264">
        <f>Skills!G15*IF(Skills!H15&gt;0,Skills!I15/Skills!H15,1)</f>
        <v/>
      </c>
      <c r="H264">
        <f>1-(1-Skills!J15/100)^Skills!K15</f>
        <v/>
      </c>
      <c r="I264" t="inlineStr">
        <is>
          <t>1</t>
        </is>
      </c>
      <c r="J264" t="inlineStr"/>
      <c r="K264" t="inlineStr"/>
      <c r="L264" t="inlineStr"/>
      <c r="M264" t="inlineStr"/>
      <c r="N264" t="inlineStr"/>
      <c r="O264" t="n">
        <v>0</v>
      </c>
      <c r="P264">
        <f>IF(B282=0,0,O264/B282)</f>
        <v/>
      </c>
      <c r="Q264" t="n">
        <v>0</v>
      </c>
      <c r="R264" t="n">
        <v>0</v>
      </c>
      <c r="S264">
        <f>IFERROR(O264/N264,0)</f>
        <v/>
      </c>
    </row>
    <row r="265">
      <c r="A265">
        <f>Skills!A16</f>
        <v/>
      </c>
      <c r="B265">
        <f>Skills!B16</f>
        <v/>
      </c>
      <c r="C265">
        <f>Inputs!$B$3&gt;=15</f>
        <v/>
      </c>
      <c r="D265">
        <f>IF(Skills!C16=1,60+Inputs!$B$24+Inputs!$B$28,IF(Skills!C16=2,90+Inputs!$B$25+Inputs!$B$28,IF(Skills!C16=3,120+Inputs!$B$26+Inputs!$B$28,MAX(0,(Inputs!$B$3-100)*3)+Inputs!$B$27+Inputs!$B$28)))</f>
        <v/>
      </c>
      <c r="E265">
        <f>INDEX(FactorTable!$B$2:$Y$301, MATCH(ROUND(MIN(300,MAX(1,D265)),0), FactorTable!$A$2:$A$301,0), Skills!M16+1)</f>
        <v/>
      </c>
      <c r="F265">
        <f>IF(Skills!N16=TRUE,(Skills!L16/10)*(E265/1000),Skills!L16/10)+Skills!O16</f>
        <v/>
      </c>
      <c r="G265">
        <f>Skills!G16*IF(Skills!H16&gt;0,Skills!I16/Skills!H16,1)</f>
        <v/>
      </c>
      <c r="H265">
        <f>1-(1-Skills!J16/100)^Skills!K16</f>
        <v/>
      </c>
      <c r="I265" t="inlineStr">
        <is>
          <t>1</t>
        </is>
      </c>
      <c r="J265" t="inlineStr"/>
      <c r="K265" t="inlineStr"/>
      <c r="L265" t="inlineStr"/>
      <c r="M265" t="inlineStr"/>
      <c r="N265" t="inlineStr"/>
      <c r="O265" t="n">
        <v>0</v>
      </c>
      <c r="P265">
        <f>IF(B282=0,0,O265/B282)</f>
        <v/>
      </c>
      <c r="Q265" t="n">
        <v>0</v>
      </c>
      <c r="R265" t="n">
        <v>0</v>
      </c>
      <c r="S265">
        <f>IFERROR(O265/N265,0)</f>
        <v/>
      </c>
    </row>
    <row r="266">
      <c r="A266">
        <f>Skills!A17</f>
        <v/>
      </c>
      <c r="B266">
        <f>Skills!B17</f>
        <v/>
      </c>
      <c r="C266">
        <f>Inputs!$B$3&gt;=10</f>
        <v/>
      </c>
      <c r="D266">
        <f>IF(Skills!C17=1,60+Inputs!$B$24+Inputs!$B$28,IF(Skills!C17=2,90+Inputs!$B$25+Inputs!$B$28,IF(Skills!C17=3,120+Inputs!$B$26+Inputs!$B$28,MAX(0,(Inputs!$B$3-100)*3)+Inputs!$B$27+Inputs!$B$28)))</f>
        <v/>
      </c>
      <c r="E266">
        <f>INDEX(FactorTable!$B$2:$Y$301, MATCH(ROUND(MIN(300,MAX(1,D266)),0), FactorTable!$A$2:$A$301,0), Skills!M17+1)</f>
        <v/>
      </c>
      <c r="F266">
        <f>IF(Skills!N17=TRUE,(Skills!L17/10)*(E266/1000),Skills!L17/10)+Skills!O17</f>
        <v/>
      </c>
      <c r="G266">
        <f>Skills!G17*IF(Skills!H17&gt;0,Skills!I17/Skills!H17,1)</f>
        <v/>
      </c>
      <c r="H266">
        <f>1-(1-Skills!J17/100)^Skills!K17</f>
        <v/>
      </c>
      <c r="I266" t="inlineStr">
        <is>
          <t>1</t>
        </is>
      </c>
      <c r="J266" t="inlineStr"/>
      <c r="K266" t="inlineStr"/>
      <c r="L266" t="inlineStr"/>
      <c r="M266" t="inlineStr"/>
      <c r="N266" t="inlineStr"/>
      <c r="O266" t="n">
        <v>0</v>
      </c>
      <c r="P266">
        <f>IF(B282=0,0,O266/B282)</f>
        <v/>
      </c>
      <c r="Q266" t="n">
        <v>0</v>
      </c>
      <c r="R266" t="n">
        <v>0</v>
      </c>
      <c r="S266">
        <f>IFERROR(O266/N266,0)</f>
        <v/>
      </c>
    </row>
    <row r="267">
      <c r="A267">
        <f>Skills!A18</f>
        <v/>
      </c>
      <c r="B267">
        <f>Skills!B18</f>
        <v/>
      </c>
      <c r="C267">
        <f>Inputs!$B$3&gt;=33</f>
        <v/>
      </c>
      <c r="D267">
        <f>IF(Skills!C18=1,60+Inputs!$B$24+Inputs!$B$28,IF(Skills!C18=2,90+Inputs!$B$25+Inputs!$B$28,IF(Skills!C18=3,120+Inputs!$B$26+Inputs!$B$28,MAX(0,(Inputs!$B$3-100)*3)+Inputs!$B$27+Inputs!$B$28)))</f>
        <v/>
      </c>
      <c r="E267">
        <f>INDEX(FactorTable!$B$2:$Y$301, MATCH(ROUND(MIN(300,MAX(1,D267)),0), FactorTable!$A$2:$A$301,0), Skills!M18+1)</f>
        <v/>
      </c>
      <c r="F267">
        <f>IF(Skills!N18=TRUE,(Skills!L18/10)*(E267/1000),Skills!L18/10)+Skills!O18</f>
        <v/>
      </c>
      <c r="G267">
        <f>Skills!G18*IF(Skills!H18&gt;0,Skills!I18/Skills!H18,1)</f>
        <v/>
      </c>
      <c r="H267">
        <f>1-(1-Skills!J18/100)^Skills!K18</f>
        <v/>
      </c>
      <c r="I267" t="inlineStr">
        <is>
          <t>1</t>
        </is>
      </c>
      <c r="J267" t="inlineStr"/>
      <c r="K267" t="inlineStr"/>
      <c r="L267" t="inlineStr"/>
      <c r="M267" t="inlineStr"/>
      <c r="N267" t="inlineStr"/>
      <c r="O267" t="n">
        <v>0</v>
      </c>
      <c r="P267">
        <f>IF(B282=0,0,O267/B282)</f>
        <v/>
      </c>
      <c r="Q267" t="n">
        <v>0</v>
      </c>
      <c r="R267" t="n">
        <v>0</v>
      </c>
      <c r="S267">
        <f>IFERROR(O267/N267,0)</f>
        <v/>
      </c>
    </row>
    <row r="268">
      <c r="A268">
        <f>Skills!A19</f>
        <v/>
      </c>
      <c r="B268">
        <f>Skills!B19</f>
        <v/>
      </c>
      <c r="C268">
        <f>Inputs!$B$3&gt;=40</f>
        <v/>
      </c>
      <c r="D268">
        <f>IF(Skills!C19=1,60+Inputs!$B$24+Inputs!$B$28,IF(Skills!C19=2,90+Inputs!$B$25+Inputs!$B$28,IF(Skills!C19=3,120+Inputs!$B$26+Inputs!$B$28,MAX(0,(Inputs!$B$3-100)*3)+Inputs!$B$27+Inputs!$B$28)))</f>
        <v/>
      </c>
      <c r="E268">
        <f>INDEX(FactorTable!$B$2:$Y$301, MATCH(ROUND(MIN(300,MAX(1,D268)),0), FactorTable!$A$2:$A$301,0), Skills!M19+1)</f>
        <v/>
      </c>
      <c r="F268">
        <f>IF(Skills!N19=TRUE,(Skills!L19/10)*(E268/1000),Skills!L19/10)+Skills!O19</f>
        <v/>
      </c>
      <c r="G268">
        <f>Skills!G19*IF(Skills!H19&gt;0,Skills!I19/Skills!H19,1)</f>
        <v/>
      </c>
      <c r="H268">
        <f>1-(1-Skills!J19/100)^Skills!K19</f>
        <v/>
      </c>
      <c r="I268" t="inlineStr">
        <is>
          <t>1</t>
        </is>
      </c>
      <c r="J268" t="inlineStr"/>
      <c r="K268" t="inlineStr"/>
      <c r="L268" t="inlineStr"/>
      <c r="M268" t="inlineStr"/>
      <c r="N268" t="inlineStr"/>
      <c r="O268" t="n">
        <v>0</v>
      </c>
      <c r="P268">
        <f>IF(B282=0,0,O268/B282)</f>
        <v/>
      </c>
      <c r="Q268" t="n">
        <v>0</v>
      </c>
      <c r="R268" t="n">
        <v>0</v>
      </c>
      <c r="S268">
        <f>IFERROR(O268/N268,0)</f>
        <v/>
      </c>
    </row>
    <row r="269">
      <c r="A269">
        <f>Skills!A20</f>
        <v/>
      </c>
      <c r="B269">
        <f>Skills!B20</f>
        <v/>
      </c>
      <c r="C269">
        <f>Inputs!$B$3&gt;=43</f>
        <v/>
      </c>
      <c r="D269">
        <f>IF(Skills!C20=1,60+Inputs!$B$24+Inputs!$B$28,IF(Skills!C20=2,90+Inputs!$B$25+Inputs!$B$28,IF(Skills!C20=3,120+Inputs!$B$26+Inputs!$B$28,MAX(0,(Inputs!$B$3-100)*3)+Inputs!$B$27+Inputs!$B$28)))</f>
        <v/>
      </c>
      <c r="E269">
        <f>INDEX(FactorTable!$B$2:$Y$301, MATCH(ROUND(MIN(300,MAX(1,D269)),0), FactorTable!$A$2:$A$301,0), Skills!M20+1)</f>
        <v/>
      </c>
      <c r="F269">
        <f>IF(Skills!N20=TRUE,(Skills!L20/10)*(E269/1000),Skills!L20/10)+Skills!O20</f>
        <v/>
      </c>
      <c r="G269">
        <f>Skills!G20*IF(Skills!H20&gt;0,Skills!I20/Skills!H20,1)</f>
        <v/>
      </c>
      <c r="H269">
        <f>1-(1-Skills!J20/100)^Skills!K20</f>
        <v/>
      </c>
      <c r="I269" t="inlineStr">
        <is>
          <t>1</t>
        </is>
      </c>
      <c r="J269" t="inlineStr"/>
      <c r="K269" t="inlineStr"/>
      <c r="L269" t="inlineStr"/>
      <c r="M269" t="inlineStr"/>
      <c r="N269" t="inlineStr"/>
      <c r="O269" t="n">
        <v>0</v>
      </c>
      <c r="P269">
        <f>IF(B282=0,0,O269/B282)</f>
        <v/>
      </c>
      <c r="Q269" t="n">
        <v>0</v>
      </c>
      <c r="R269" t="n">
        <v>0</v>
      </c>
      <c r="S269">
        <f>IFERROR(O269/N269,0)</f>
        <v/>
      </c>
    </row>
    <row r="270">
      <c r="A270">
        <f>Skills!A21</f>
        <v/>
      </c>
      <c r="B270">
        <f>Skills!B21</f>
        <v/>
      </c>
      <c r="C270">
        <f>Inputs!$B$3&gt;=38</f>
        <v/>
      </c>
      <c r="D270">
        <f>IF(Skills!C21=1,60+Inputs!$B$24+Inputs!$B$28,IF(Skills!C21=2,90+Inputs!$B$25+Inputs!$B$28,IF(Skills!C21=3,120+Inputs!$B$26+Inputs!$B$28,MAX(0,(Inputs!$B$3-100)*3)+Inputs!$B$27+Inputs!$B$28)))</f>
        <v/>
      </c>
      <c r="E270">
        <f>INDEX(FactorTable!$B$2:$Y$301, MATCH(ROUND(MIN(300,MAX(1,D270)),0), FactorTable!$A$2:$A$301,0), Skills!M21+1)</f>
        <v/>
      </c>
      <c r="F270">
        <f>IF(Skills!N21=TRUE,(Skills!L21/10)*(E270/1000),Skills!L21/10)+Skills!O21</f>
        <v/>
      </c>
      <c r="G270">
        <f>Skills!G21*IF(Skills!H21&gt;0,Skills!I21/Skills!H21,1)</f>
        <v/>
      </c>
      <c r="H270">
        <f>1-(1-Skills!J21/100)^Skills!K21</f>
        <v/>
      </c>
      <c r="I270" t="inlineStr">
        <is>
          <t>1</t>
        </is>
      </c>
      <c r="J270" t="inlineStr"/>
      <c r="K270" t="inlineStr"/>
      <c r="L270" t="inlineStr"/>
      <c r="M270" t="inlineStr"/>
      <c r="N270" t="inlineStr"/>
      <c r="O270" t="n">
        <v>0</v>
      </c>
      <c r="P270">
        <f>IF(B282=0,0,O270/B282)</f>
        <v/>
      </c>
      <c r="Q270" t="n">
        <v>0</v>
      </c>
      <c r="R270" t="n">
        <v>0</v>
      </c>
      <c r="S270">
        <f>IFERROR(O270/N270,0)</f>
        <v/>
      </c>
    </row>
    <row r="271">
      <c r="A271">
        <f>Skills!A22</f>
        <v/>
      </c>
      <c r="B271">
        <f>Skills!B22</f>
        <v/>
      </c>
      <c r="C271">
        <f>Inputs!$B$3&gt;=75</f>
        <v/>
      </c>
      <c r="D271">
        <f>IF(Skills!C22=1,60+Inputs!$B$24+Inputs!$B$28,IF(Skills!C22=2,90+Inputs!$B$25+Inputs!$B$28,IF(Skills!C22=3,120+Inputs!$B$26+Inputs!$B$28,MAX(0,(Inputs!$B$3-100)*3)+Inputs!$B$27+Inputs!$B$28)))</f>
        <v/>
      </c>
      <c r="E271">
        <f>INDEX(FactorTable!$B$2:$Y$301, MATCH(ROUND(MIN(300,MAX(1,D271)),0), FactorTable!$A$2:$A$301,0), Skills!M22+1)</f>
        <v/>
      </c>
      <c r="F271">
        <f>IF(Skills!N22=TRUE,(Skills!L22/10)*(E271/1000),Skills!L22/10)+Skills!O22</f>
        <v/>
      </c>
      <c r="G271">
        <f>Skills!G22*IF(Skills!H22&gt;0,Skills!I22/Skills!H22,1)</f>
        <v/>
      </c>
      <c r="H271">
        <f>1-(1-Skills!J22/100)^Skills!K22</f>
        <v/>
      </c>
      <c r="I271" t="inlineStr">
        <is>
          <t>1</t>
        </is>
      </c>
      <c r="J271" t="inlineStr"/>
      <c r="K271" t="inlineStr"/>
      <c r="L271" t="inlineStr"/>
      <c r="M271" t="inlineStr"/>
      <c r="N271" t="inlineStr"/>
      <c r="O271" t="n">
        <v>0</v>
      </c>
      <c r="P271">
        <f>IF(B282=0,0,O271/B282)</f>
        <v/>
      </c>
      <c r="Q271" t="n">
        <v>0</v>
      </c>
      <c r="R271" t="n">
        <v>0</v>
      </c>
      <c r="S271">
        <f>IFERROR(O271/N271,0)</f>
        <v/>
      </c>
    </row>
    <row r="273">
      <c r="A273" t="inlineStr">
        <is>
          <t>Attack% Bucket Multiplier</t>
        </is>
      </c>
      <c r="B273">
        <f>(1+(((C262=TRUE)*F262)+((C268=TRUE)*(F268-Calc!F19)))/100)</f>
        <v/>
      </c>
    </row>
    <row r="274">
      <c r="A274" t="inlineStr">
        <is>
          <t>Global Crit Rate Bonus %</t>
        </is>
      </c>
      <c r="B274" t="n">
        <v>0</v>
      </c>
    </row>
    <row r="275">
      <c r="A275" t="inlineStr">
        <is>
          <t>Attack Speed Buff Bonus % (unused)</t>
        </is>
      </c>
      <c r="B275" t="n">
        <v>0</v>
      </c>
    </row>
    <row r="276">
      <c r="A276" t="inlineStr">
        <is>
          <t>Actions Per Second</t>
        </is>
      </c>
      <c r="B276">
        <f>1+MIN(150,150*(1-(1-(Inputs!$B$10+((C266=TRUE)*(F266-Calc!F17))+((C267=TRUE)*(F267-Calc!F18)))/150)*(1-B275/150)))/100</f>
        <v/>
      </c>
    </row>
    <row r="277">
      <c r="A277" t="inlineStr">
        <is>
          <t>Skill + Buff Cast Rate</t>
        </is>
      </c>
      <c r="B277">
        <f>IF(AND(Inputs!$B$4&lt;&gt;"pvp",Inputs!$B$35&gt;0),SUMPRODUCT((Skills!E2:E22=TRUE)*(C251:C271=TRUE)*R251:R271*Skills!F2:F22)/Inputs!$B$35,SUMPRODUCT((Skills!E2:E22=TRUE)*(C251:C271=TRUE)*Q251:Q271*Skills!F2:F22))</f>
        <v/>
      </c>
    </row>
    <row r="278">
      <c r="A278" t="inlineStr">
        <is>
          <t>Hook Bomber Casts Per Second</t>
        </is>
      </c>
      <c r="B278">
        <f>MAX(0,B276-B277)</f>
        <v/>
      </c>
    </row>
    <row r="279">
      <c r="A279" t="inlineStr">
        <is>
          <t>Global Critical Damage Bonus % (unused)</t>
        </is>
      </c>
      <c r="B279" t="n">
        <v>0</v>
      </c>
    </row>
    <row r="280">
      <c r="A280" t="inlineStr">
        <is>
          <t>Global Final Damage Bonus % (Serpent Scale + Crossbones + Time Leap + Speed Infusion)</t>
        </is>
      </c>
      <c r="B280">
        <f>((C254=TRUE)*F254*((10+IF(Inputs!$B$3&gt;=94,5,0))/((10+IF(Inputs!$B$3&gt;=94,5,0))+5/(B278*(1+IF(Inputs!$B$3&gt;=104,1,0))))))+((C263=TRUE)*F263)+((C264=TRUE)*F264)+((Inputs!$B$3&gt;=110)*20*(B276-1))</f>
        <v/>
      </c>
    </row>
    <row r="282">
      <c r="A282" s="5" t="inlineStr">
        <is>
          <t>TOTAL DPS</t>
        </is>
      </c>
      <c r="B282" s="5">
        <f>SUM(O251:O271)</f>
        <v/>
      </c>
    </row>
    <row r="285">
      <c r="A285" s="5" t="inlineStr">
        <is>
          <t>Stat: FINAL_DAMAGE % (multiplicative source)</t>
        </is>
      </c>
    </row>
    <row r="286">
      <c r="A286" s="8" t="inlineStr">
        <is>
          <t>Key</t>
        </is>
      </c>
      <c r="B286" s="8" t="inlineStr">
        <is>
          <t>Name</t>
        </is>
      </c>
      <c r="C286" s="8" t="inlineStr">
        <is>
          <t>Unlocked</t>
        </is>
      </c>
      <c r="D286" s="8" t="inlineStr">
        <is>
          <t>InputLevel</t>
        </is>
      </c>
      <c r="E286" s="8" t="inlineStr">
        <is>
          <t>Factor</t>
        </is>
      </c>
      <c r="F286" s="8" t="inlineStr">
        <is>
          <t>CoefficientPercent</t>
        </is>
      </c>
      <c r="G286" s="8" t="inlineStr">
        <is>
          <t>EffectiveHits</t>
        </is>
      </c>
      <c r="H286" s="8" t="inlineStr">
        <is>
          <t>ProcProbability</t>
        </is>
      </c>
      <c r="I286" s="8" t="inlineStr">
        <is>
          <t>MapleHeroMultiplier</t>
        </is>
      </c>
      <c r="J286" s="8" t="inlineStr">
        <is>
          <t>BaseDamage</t>
        </is>
      </c>
      <c r="K286" s="8" t="inlineStr">
        <is>
          <t>BaseHitDamage</t>
        </is>
      </c>
      <c r="L286" s="8" t="inlineStr">
        <is>
          <t>NonCritAvg</t>
        </is>
      </c>
      <c r="M286" s="8" t="inlineStr">
        <is>
          <t>CritAvg</t>
        </is>
      </c>
      <c r="N286" s="8" t="inlineStr">
        <is>
          <t>ExpectedDamage(perHit)</t>
        </is>
      </c>
      <c r="O286" s="8" t="inlineStr">
        <is>
          <t>DPS</t>
        </is>
      </c>
      <c r="P286" s="8" t="inlineStr">
        <is>
          <t>% of Total</t>
        </is>
      </c>
      <c r="Q286" s="8" t="inlineStr">
        <is>
          <t>InvCooldown</t>
        </is>
      </c>
      <c r="R286" s="8" t="inlineStr">
        <is>
          <t>CastsInFight</t>
        </is>
      </c>
      <c r="S286" s="8" t="inlineStr">
        <is>
          <t>HitRate(perSec)</t>
        </is>
      </c>
      <c r="U286" t="inlineStr">
        <is>
          <t>helpers</t>
        </is>
      </c>
    </row>
    <row r="287">
      <c r="A287">
        <f>Skills!A2</f>
        <v/>
      </c>
      <c r="B287">
        <f>Skills!B2</f>
        <v/>
      </c>
      <c r="C287">
        <f>Inputs!$B$3&gt;=100</f>
        <v/>
      </c>
      <c r="D287" t="inlineStr"/>
      <c r="E287" t="inlineStr"/>
      <c r="F287">
        <f>U289+Skills!O2</f>
        <v/>
      </c>
      <c r="G287">
        <f>Skills!G2*IF(Skills!H2&gt;0,Skills!I2/Skills!H2,1)</f>
        <v/>
      </c>
      <c r="H287">
        <f>1-(1-Skills!J2/100)^Skills!K2</f>
        <v/>
      </c>
      <c r="I287" t="inlineStr">
        <is>
          <t>1</t>
        </is>
      </c>
      <c r="J287">
        <f>(Inputs!$B$5*(1+Inputs!$B$6/100))*(F287/100)</f>
        <v/>
      </c>
      <c r="K287">
        <f>J287*(1+((Inputs!$B$11*(1+Inputs!$B$12/100))*0.01+Inputs!$B$13*0.0025)/100)*(1+Inputs!$B$14/100)*(1+IF(Inputs!$B$4="pvp",0,(1-Summary!$B$55)*(Inputs!$B$19+0+Skills!P2)+Summary!$B$55*(Inputs!$B$20+Skills!Q2))/100)*(1+Inputs!$B$15/100)*(5000/(6000+Inputs!$B$7*(1-(Inputs!$B$18+0)/100)))*(1+(((((1+Inputs!$B$23/100)*(1.01))-1)*100)+((C307=TRUE)*(F307-Calc!F22))+B316)/100)*(1+(IF(Skills!A2="HOOK_BOMBER",Inputs!$B$16+((C306=TRUE)*(F306-Calc!F21)),Inputs!$B$17+0))/100)*((1+(((C298=TRUE)*F298)+((C304=TRUE)*(F304-Calc!F19)))/100)*I287)</f>
        <v/>
      </c>
      <c r="L287">
        <f>K287*(MIN(Inputs!$B$21+((C305=TRUE)*(F305-Calc!F20)),Inputs!$B$22+0)/100+(Inputs!$B$22+0)/100)/2</f>
        <v/>
      </c>
      <c r="M287">
        <f>L287*(1+(Inputs!$B$9+0+B315)/100)</f>
        <v/>
      </c>
      <c r="N287">
        <f>L287*(1-MIN((Inputs!$B$8+((C301=TRUE)*(F301-Calc!F16))+B310),100)/100)+M287*(MIN((Inputs!$B$8+((C301=TRUE)*(F301-Calc!F16))+B310),100)/100)</f>
        <v/>
      </c>
      <c r="O287">
        <f>IF(C287,Skills!G2*N287*B314*IF(Inputs!$B$4="pvp",1,(1-Summary!$B$55)*(1)+Summary!$B$55*(MIN((6+Inputs!$B$32),Inputs!$B$37))),0)</f>
        <v/>
      </c>
      <c r="P287">
        <f>IF(B318=0,0,O287/B318)</f>
        <v/>
      </c>
      <c r="Q287" t="n">
        <v>0</v>
      </c>
      <c r="R287" t="n">
        <v>0</v>
      </c>
      <c r="S287">
        <f>IFERROR(O287/N287,0)</f>
        <v/>
      </c>
      <c r="U287">
        <f>MAX(0,(Inputs!$B$3-100)*3)+Inputs!$B$27+Inputs!$B$28</f>
        <v/>
      </c>
    </row>
    <row r="288">
      <c r="A288">
        <f>Skills!A3</f>
        <v/>
      </c>
      <c r="B288">
        <f>Skills!B3</f>
        <v/>
      </c>
      <c r="C288">
        <f>Inputs!$B$3&gt;=35</f>
        <v/>
      </c>
      <c r="D288">
        <f>IF(Skills!C3=1,60+Inputs!$B$24+Inputs!$B$28,IF(Skills!C3=2,90+Inputs!$B$25+Inputs!$B$28,IF(Skills!C3=3,120+Inputs!$B$26+Inputs!$B$28,MAX(0,(Inputs!$B$3-100)*3)+Inputs!$B$27+Inputs!$B$28)))</f>
        <v/>
      </c>
      <c r="E288">
        <f>INDEX(FactorTable!$B$2:$Y$301, MATCH(ROUND(MIN(300,MAX(1,D288)),0), FactorTable!$A$2:$A$301,0), Skills!M3+1)</f>
        <v/>
      </c>
      <c r="F288">
        <f>IF(Skills!N3=TRUE,(Skills!L3/10)*(E288/1000),Skills!L3/10)+Skills!O3</f>
        <v/>
      </c>
      <c r="G288">
        <f>Skills!G3*IF(Skills!H3&gt;0,Skills!I3/Skills!H3,1)</f>
        <v/>
      </c>
      <c r="H288">
        <f>1-(1-Skills!J3/100)^Skills!K3</f>
        <v/>
      </c>
      <c r="I288" t="inlineStr">
        <is>
          <t>1</t>
        </is>
      </c>
      <c r="J288">
        <f>(Inputs!$B$5*(1+Inputs!$B$6/100))*(F288/100)</f>
        <v/>
      </c>
      <c r="K288">
        <f>J288*(1+((Inputs!$B$11*(1+Inputs!$B$12/100))*0.01+Inputs!$B$13*0.0025)/100)*(1+Inputs!$B$14/100)*(1+IF(Inputs!$B$4="pvp",0,(1-Summary!$B$55)*(Inputs!$B$19+0+Skills!P3)+Summary!$B$55*(Inputs!$B$20+Skills!Q3))/100)*(1+Inputs!$B$15/100)*(5000/(6000+Inputs!$B$7*(1-(Inputs!$B$18+0)/100)))*(1+(((((1+Inputs!$B$23/100)*(1.01))-1)*100)+((C307=TRUE)*(F307-Calc!F22))+B316)/100)*(1+(IF(Skills!A3="HOOK_BOMBER",Inputs!$B$16+((C306=TRUE)*(F306-Calc!F21)),Inputs!$B$17+0))/100)*((1+(((C298=TRUE)*F298)+((C304=TRUE)*(F304-Calc!F19)))/100)*I288)</f>
        <v/>
      </c>
      <c r="L288">
        <f>K288*(MIN(Inputs!$B$21+((C305=TRUE)*(F305-Calc!F20)),Inputs!$B$22+0)/100+(Inputs!$B$22+0)/100)/2</f>
        <v/>
      </c>
      <c r="M288">
        <f>L288*(1+(Inputs!$B$9+0+B315)/100)</f>
        <v/>
      </c>
      <c r="N288">
        <f>L288*(1-MIN((Inputs!$B$8+((C301=TRUE)*(F301-Calc!F16))+B310),100)/100)+M288*(MIN((Inputs!$B$8+((C301=TRUE)*(F301-Calc!F16))+B310),100)/100)</f>
        <v/>
      </c>
      <c r="O288">
        <f>IF(C288,Skills!G3*H288*N288*B314*IF(Inputs!$B$4="pvp",1,(1-Summary!$B$55)*(1)+Summary!$B$55*(MIN(Skills!R3,Inputs!$B$37))),0)</f>
        <v/>
      </c>
      <c r="P288">
        <f>IF(B318=0,0,O288/B318)</f>
        <v/>
      </c>
      <c r="Q288" t="n">
        <v>0</v>
      </c>
      <c r="R288" t="n">
        <v>0</v>
      </c>
      <c r="S288">
        <f>IFERROR(O288/N288,0)</f>
        <v/>
      </c>
      <c r="U288">
        <f>INDEX(FactorTable!$B$2:$Y$301, MATCH(ROUND(MIN(300,MAX(1,U287)),0), FactorTable!$A$2:$A$301,0), 22)</f>
        <v/>
      </c>
    </row>
    <row r="289">
      <c r="A289">
        <f>Skills!A4</f>
        <v/>
      </c>
      <c r="B289">
        <f>Skills!B4</f>
        <v/>
      </c>
      <c r="C289">
        <f>Inputs!$B$3&gt;=60</f>
        <v/>
      </c>
      <c r="D289">
        <f>IF(Skills!C4=1,60+Inputs!$B$24+Inputs!$B$28,IF(Skills!C4=2,90+Inputs!$B$25+Inputs!$B$28,IF(Skills!C4=3,120+Inputs!$B$26+Inputs!$B$28,MAX(0,(Inputs!$B$3-100)*3)+Inputs!$B$27+Inputs!$B$28)))</f>
        <v/>
      </c>
      <c r="E289">
        <f>INDEX(FactorTable!$B$2:$Y$301, MATCH(ROUND(MIN(300,MAX(1,D289)),0), FactorTable!$A$2:$A$301,0), Skills!M4+1)</f>
        <v/>
      </c>
      <c r="F289">
        <f>IF(Skills!N4=TRUE,(Skills!L4/10)*(E289/1000),Skills!L4/10)+Skills!O4</f>
        <v/>
      </c>
      <c r="G289">
        <f>Skills!G4*IF(Skills!H4&gt;0,Skills!I4/Skills!H4,1)</f>
        <v/>
      </c>
      <c r="H289">
        <f>1-(1-Skills!J4/100)^Skills!K4</f>
        <v/>
      </c>
      <c r="I289" t="inlineStr">
        <is>
          <t>1</t>
        </is>
      </c>
      <c r="J289">
        <f>(Inputs!$B$5*(1+Inputs!$B$6/100))*(F289/100)</f>
        <v/>
      </c>
      <c r="K289">
        <f>J289*(1+((Inputs!$B$11*(1+Inputs!$B$12/100))*0.01+Inputs!$B$13*0.0025)/100)*(1+Inputs!$B$14/100)*(1+IF(Inputs!$B$4="pvp",0,(1-Summary!$B$55)*(Inputs!$B$19+0+Skills!P4)+Summary!$B$55*(Inputs!$B$20+Skills!Q4))/100)*(1+Inputs!$B$15/100)*(5000/(6000+Inputs!$B$7*(1-(Inputs!$B$18+0)/100)))*(1+(((((1+Inputs!$B$23/100)*(1.01))-1)*100)+((C307=TRUE)*(F307-Calc!F22))+B316)/100)*(1+1.0*IF(C297=TRUE,F297,0)/100)*(1+(IF(Skills!A4="HOOK_BOMBER",Inputs!$B$16+((C306=TRUE)*(F306-Calc!F21)),Inputs!$B$17+0))/100)*((1+(((C298=TRUE)*F298)+((C304=TRUE)*(F304-Calc!F19)))/100)*I289)</f>
        <v/>
      </c>
      <c r="L289">
        <f>K289*(MIN(Inputs!$B$21+((C305=TRUE)*(F305-Calc!F20)),Inputs!$B$22+0)/100+(Inputs!$B$22+0)/100)/2</f>
        <v/>
      </c>
      <c r="M289">
        <f>L289*(1+(Inputs!$B$9+0+B315)/100)</f>
        <v/>
      </c>
      <c r="N289">
        <f>L289*(1-MIN((Inputs!$B$8+((C301=TRUE)*(F301-Calc!F16))+B310),100)/100)+M289*(MIN((Inputs!$B$8+((C301=TRUE)*(F301-Calc!F16))+B310),100)/100)</f>
        <v/>
      </c>
      <c r="O289">
        <f>IF(C289,Skills!G4*H289*N289*B314*IF(Inputs!$B$4="pvp",1,(1-Summary!$B$55)*(1)+Summary!$B$55*(MIN(Skills!R4,Inputs!$B$37))),0)</f>
        <v/>
      </c>
      <c r="P289">
        <f>IF(B318=0,0,O289/B318)</f>
        <v/>
      </c>
      <c r="Q289" t="n">
        <v>0</v>
      </c>
      <c r="R289" t="n">
        <v>0</v>
      </c>
      <c r="S289">
        <f>IFERROR(O289/N289,0)</f>
        <v/>
      </c>
      <c r="U289">
        <f>290*U288/1000</f>
        <v/>
      </c>
    </row>
    <row r="290">
      <c r="A290">
        <f>Skills!A5</f>
        <v/>
      </c>
      <c r="B290">
        <f>Skills!B5</f>
        <v/>
      </c>
      <c r="C290">
        <f>Inputs!$B$3&gt;=60</f>
        <v/>
      </c>
      <c r="D290">
        <f>IF(Skills!C5=1,60+Inputs!$B$24+Inputs!$B$28,IF(Skills!C5=2,90+Inputs!$B$25+Inputs!$B$28,IF(Skills!C5=3,120+Inputs!$B$26+Inputs!$B$28,MAX(0,(Inputs!$B$3-100)*3)+Inputs!$B$27+Inputs!$B$28)))</f>
        <v/>
      </c>
      <c r="E290">
        <f>INDEX(FactorTable!$B$2:$Y$301, MATCH(ROUND(MIN(300,MAX(1,D290)),0), FactorTable!$A$2:$A$301,0), Skills!M5+1)</f>
        <v/>
      </c>
      <c r="F290">
        <f>IF(Skills!N5=TRUE,(Skills!L5/10)*(E290/1000),Skills!L5/10)+Skills!O5</f>
        <v/>
      </c>
      <c r="G290">
        <f>Skills!G5*IF(Skills!H5&gt;0,Skills!I5/Skills!H5,1)</f>
        <v/>
      </c>
      <c r="H290">
        <f>1-(1-Skills!J5/100)^Skills!K5</f>
        <v/>
      </c>
      <c r="I290" t="inlineStr">
        <is>
          <t>1</t>
        </is>
      </c>
      <c r="J290" t="inlineStr"/>
      <c r="K290" t="inlineStr"/>
      <c r="L290" t="inlineStr"/>
      <c r="M290" t="inlineStr"/>
      <c r="N290" t="inlineStr"/>
      <c r="O290" t="n">
        <v>0</v>
      </c>
      <c r="P290">
        <f>IF(B318=0,0,O290/B318)</f>
        <v/>
      </c>
      <c r="Q290" t="n">
        <v>0</v>
      </c>
      <c r="R290" t="n">
        <v>0</v>
      </c>
      <c r="S290">
        <f>IFERROR(O290/N290,0)</f>
        <v/>
      </c>
    </row>
    <row r="291">
      <c r="A291">
        <f>Skills!A6</f>
        <v/>
      </c>
      <c r="B291">
        <f>Skills!B6</f>
        <v/>
      </c>
      <c r="C291">
        <f>Inputs!$B$3&gt;=63</f>
        <v/>
      </c>
      <c r="D291">
        <f>IF(Skills!C6=1,60+Inputs!$B$24+Inputs!$B$28,IF(Skills!C6=2,90+Inputs!$B$25+Inputs!$B$28,IF(Skills!C6=3,120+Inputs!$B$26+Inputs!$B$28,MAX(0,(Inputs!$B$3-100)*3)+Inputs!$B$27+Inputs!$B$28)))</f>
        <v/>
      </c>
      <c r="E291">
        <f>INDEX(FactorTable!$B$2:$Y$301, MATCH(ROUND(MIN(300,MAX(1,D291)),0), FactorTable!$A$2:$A$301,0), Skills!M6+1)</f>
        <v/>
      </c>
      <c r="F291">
        <f>IF(Skills!N6=TRUE,(Skills!L6/10)*(E291/1000),Skills!L6/10)+Skills!O6</f>
        <v/>
      </c>
      <c r="G291">
        <f>Skills!G6*IF(Skills!H6&gt;0,Skills!I6/Skills!H6,1)</f>
        <v/>
      </c>
      <c r="H291">
        <f>1-(1-Skills!J6/100)^Skills!K6</f>
        <v/>
      </c>
      <c r="I291" t="inlineStr">
        <is>
          <t>1</t>
        </is>
      </c>
      <c r="J291">
        <f>(Inputs!$B$5*(1+Inputs!$B$6/100))*(F291/100)</f>
        <v/>
      </c>
      <c r="K291">
        <f>J291*(1+((Inputs!$B$11*(1+Inputs!$B$12/100))*0.01+Inputs!$B$13*0.0025)/100)*(1+Inputs!$B$14/100)*(1+IF(Inputs!$B$4="pvp",0,(1-Summary!$B$55)*(Inputs!$B$19+0+Skills!P6)+Summary!$B$55*(Inputs!$B$20+Skills!Q6))/100)*(1+Inputs!$B$15/100)*(5000/(6000+Inputs!$B$7*(1-(Inputs!$B$18+0)/100)))*(1+(((((1+Inputs!$B$23/100)*(1.01))-1)*100)+((C307=TRUE)*(F307-Calc!F22))+B316)/100)*(1+(IF(Skills!A6="HOOK_BOMBER",Inputs!$B$16+((C306=TRUE)*(F306-Calc!F21)),Inputs!$B$17+0))/100)*((1+(((C298=TRUE)*F298)+((C304=TRUE)*(F304-Calc!F19)))/100)*I291)</f>
        <v/>
      </c>
      <c r="L291">
        <f>K291*(MIN(Inputs!$B$21+((C305=TRUE)*(F305-Calc!F20)),Inputs!$B$22+0)/100+(Inputs!$B$22+0)/100)/2</f>
        <v/>
      </c>
      <c r="M291">
        <f>L291*(1+(Inputs!$B$9+0+B315)/100)</f>
        <v/>
      </c>
      <c r="N291">
        <f>L291*(1-MIN((Inputs!$B$8+((C301=TRUE)*(F301-Calc!F16))+B310),100)/100)+M291*(MIN((Inputs!$B$8+((C301=TRUE)*(F301-Calc!F16))+B310),100)/100)</f>
        <v/>
      </c>
      <c r="O291">
        <f>IF(C291,H291*N291*IF(AND(Inputs!$B$4&lt;&gt;"pvp",Inputs!$B$35&gt;0),((Skills!G6*((R291-1)*IF(Skills!H6&gt;0,Skills!I6/Skills!H6,1)+IF(Skills!H6&gt;0,MIN(Skills!I6,MAX(0,Inputs!$B$35-((R291-1)*IF(Inputs!$B$4="pvp",15,MAX(0.1,Skills!D6-IF(Skills!E6=TRUE,Inputs!$B$31,0))))))/Skills!H6,1)))/Inputs!$B$35),G291*Q291)*IF(Inputs!$B$4="pvp",1,(1-Summary!$B$55)*(1)+Summary!$B$55*(MIN(Skills!R6,Inputs!$B$37))),0)</f>
        <v/>
      </c>
      <c r="P291">
        <f>IF(B318=0,0,O291/B318)</f>
        <v/>
      </c>
      <c r="Q291">
        <f>IFERROR(1/IF(Inputs!$B$4="pvp",15,MAX(0.1,Skills!D6-IF(Skills!E6=TRUE,Inputs!$B$31,0))),0)</f>
        <v/>
      </c>
      <c r="R291">
        <f>IF(AND(Inputs!$B$4&lt;&gt;"pvp",Inputs!$B$35&gt;0),(INT(Inputs!$B$35/IF(Inputs!$B$4="pvp",15,MAX(0.1,Skills!D6-IF(Skills!E6=TRUE,Inputs!$B$31,0))))+1),0)</f>
        <v/>
      </c>
      <c r="S291">
        <f>IFERROR(O291/N291,0)</f>
        <v/>
      </c>
    </row>
    <row r="292">
      <c r="A292">
        <f>Skills!A7</f>
        <v/>
      </c>
      <c r="B292">
        <f>Skills!B7</f>
        <v/>
      </c>
      <c r="C292">
        <f>Inputs!$B$3&gt;=100</f>
        <v/>
      </c>
      <c r="D292">
        <f>IF(Skills!C7=1,60+Inputs!$B$24+Inputs!$B$28,IF(Skills!C7=2,90+Inputs!$B$25+Inputs!$B$28,IF(Skills!C7=3,120+Inputs!$B$26+Inputs!$B$28,MAX(0,(Inputs!$B$3-100)*3)+Inputs!$B$27+Inputs!$B$28)))</f>
        <v/>
      </c>
      <c r="E292">
        <f>INDEX(FactorTable!$B$2:$Y$301, MATCH(ROUND(MIN(300,MAX(1,D292)),0), FactorTable!$A$2:$A$301,0), Skills!M7+1)</f>
        <v/>
      </c>
      <c r="F292">
        <f>IF(Skills!N7=TRUE,(Skills!L7/10)*(E292/1000),Skills!L7/10)+Skills!O7</f>
        <v/>
      </c>
      <c r="G292">
        <f>Skills!G7*IF(Skills!H7&gt;0,Skills!I7/Skills!H7,1)</f>
        <v/>
      </c>
      <c r="H292">
        <f>1-(1-Skills!J7/100)^Skills!K7</f>
        <v/>
      </c>
      <c r="I292" t="inlineStr">
        <is>
          <t>1</t>
        </is>
      </c>
      <c r="J292">
        <f>(Inputs!$B$5*(1+Inputs!$B$6/100))*(F292/100)</f>
        <v/>
      </c>
      <c r="K292">
        <f>J292*(1+((Inputs!$B$11*(1+Inputs!$B$12/100))*0.01+Inputs!$B$13*0.0025)/100)*(1+Inputs!$B$14/100)*(1+IF(Inputs!$B$4="pvp",0,(1-Summary!$B$55)*(Inputs!$B$19+0+Skills!P7)+Summary!$B$55*(Inputs!$B$20+Skills!Q7))/100)*(1+Inputs!$B$15/100)*(5000/(6000+Inputs!$B$7*(1-(Inputs!$B$18+0)/100)))*(1+(((((1+Inputs!$B$23/100)*(1.01))-1)*100)+((C307=TRUE)*(F307-Calc!F22))+B316)/100)*(1+(IF(Skills!A7="HOOK_BOMBER",Inputs!$B$16+((C306=TRUE)*(F306-Calc!F21)),Inputs!$B$17+0))/100)*((1+(((C298=TRUE)*F298)+((C304=TRUE)*(F304-Calc!F19)))/100)*I292)</f>
        <v/>
      </c>
      <c r="L292">
        <f>K292*(MIN(Inputs!$B$21+((C305=TRUE)*(F305-Calc!F20)),Inputs!$B$22+0)/100+(Inputs!$B$22+0)/100)/2</f>
        <v/>
      </c>
      <c r="M292">
        <f>L292*(1+(Inputs!$B$9+0+B315)/100)</f>
        <v/>
      </c>
      <c r="N292">
        <f>L292*(1-MIN((Inputs!$B$8+((C301=TRUE)*(F301-Calc!F16))+B310),100)/100)+M292*(MIN((Inputs!$B$8+((C301=TRUE)*(F301-Calc!F16))+B310),100)/100)</f>
        <v/>
      </c>
      <c r="O292">
        <f>IF(C292,H292*N292*IF(AND(Inputs!$B$4&lt;&gt;"pvp",Inputs!$B$35&gt;0),((Skills!G7*((R292-1)*IF(Skills!H7&gt;0,Skills!I7/Skills!H7,1)+IF(Skills!H7&gt;0,MIN(Skills!I7,MAX(0,Inputs!$B$35-((R292-1)*IF(Inputs!$B$4="pvp",15,MAX(0.1,Skills!D7-IF(Skills!E7=TRUE,Inputs!$B$31,0))))))/Skills!H7,1)))/Inputs!$B$35),G292*Q292)*IF(Inputs!$B$4="pvp",1,(1-Summary!$B$55)*(1)+Summary!$B$55*(MIN(Skills!R7,Inputs!$B$37))),0)</f>
        <v/>
      </c>
      <c r="P292">
        <f>IF(B318=0,0,O292/B318)</f>
        <v/>
      </c>
      <c r="Q292">
        <f>IFERROR(1/IF(Inputs!$B$4="pvp",15,MAX(0.1,Skills!D7-IF(Skills!E7=TRUE,Inputs!$B$31,0))),0)</f>
        <v/>
      </c>
      <c r="R292">
        <f>IF(AND(Inputs!$B$4&lt;&gt;"pvp",Inputs!$B$35&gt;0),(INT(Inputs!$B$35/IF(Inputs!$B$4="pvp",15,MAX(0.1,Skills!D7-IF(Skills!E7=TRUE,Inputs!$B$31,0))))+1),0)</f>
        <v/>
      </c>
      <c r="S292">
        <f>IFERROR(O292/N292,0)</f>
        <v/>
      </c>
    </row>
    <row r="293">
      <c r="A293">
        <f>Skills!A8</f>
        <v/>
      </c>
      <c r="B293">
        <f>Skills!B8</f>
        <v/>
      </c>
      <c r="C293">
        <f>Inputs!$B$3&gt;=110</f>
        <v/>
      </c>
      <c r="D293">
        <f>IF(Skills!C8=1,60+Inputs!$B$24+Inputs!$B$28,IF(Skills!C8=2,90+Inputs!$B$25+Inputs!$B$28,IF(Skills!C8=3,120+Inputs!$B$26+Inputs!$B$28,MAX(0,(Inputs!$B$3-100)*3)+Inputs!$B$27+Inputs!$B$28)))</f>
        <v/>
      </c>
      <c r="E293">
        <f>INDEX(FactorTable!$B$2:$Y$301, MATCH(ROUND(MIN(300,MAX(1,D293)),0), FactorTable!$A$2:$A$301,0), Skills!M8+1)</f>
        <v/>
      </c>
      <c r="F293">
        <f>IF(Skills!N8=TRUE,(Skills!L8/10)*(E293/1000),Skills!L8/10)+Skills!O8</f>
        <v/>
      </c>
      <c r="G293">
        <f>Skills!G8*IF(Skills!H8&gt;0,Skills!I8/Skills!H8,1)</f>
        <v/>
      </c>
      <c r="H293">
        <f>1-(1-Skills!J8/100)^Skills!K8</f>
        <v/>
      </c>
      <c r="I293" t="inlineStr">
        <is>
          <t>1</t>
        </is>
      </c>
      <c r="J293">
        <f>(Inputs!$B$5*(1+Inputs!$B$6/100))*(F293/100)</f>
        <v/>
      </c>
      <c r="K293">
        <f>J293*(1+((Inputs!$B$11*(1+Inputs!$B$12/100))*0.01+Inputs!$B$13*0.0025)/100)*(1+Inputs!$B$14/100)*(1+IF(Inputs!$B$4="pvp",0,(1-Summary!$B$55)*(Inputs!$B$19+0+Skills!P8)+Summary!$B$55*(Inputs!$B$20+Skills!Q8))/100)*(1+Inputs!$B$15/100)*(5000/(6000+Inputs!$B$7*(1-(Inputs!$B$18+0)/100)))*(1+(((((1+Inputs!$B$23/100)*(1.01))-1)*100)+((C307=TRUE)*(F307-Calc!F22))+B316)/100)*(1+(IF(Skills!A8="HOOK_BOMBER",Inputs!$B$16+((C306=TRUE)*(F306-Calc!F21)),Inputs!$B$17+0))/100)*((1+(((C298=TRUE)*F298)+((C304=TRUE)*(F304-Calc!F19)))/100)*I293)</f>
        <v/>
      </c>
      <c r="L293">
        <f>K293*(MIN(Inputs!$B$21+((C305=TRUE)*(F305-Calc!F20)),Inputs!$B$22+0)/100+(Inputs!$B$22+0)/100)/2</f>
        <v/>
      </c>
      <c r="M293">
        <f>L293*(1+(Inputs!$B$9+0+B315)/100)</f>
        <v/>
      </c>
      <c r="N293">
        <f>L293*(1-MIN((Inputs!$B$8+((C301=TRUE)*(F301-Calc!F16))+B310),100)/100)+M293*(MIN((Inputs!$B$8+((C301=TRUE)*(F301-Calc!F16))+B310),100)/100)</f>
        <v/>
      </c>
      <c r="O293">
        <f>IF(C293,H293*N293*IF(AND(Inputs!$B$4&lt;&gt;"pvp",Inputs!$B$35&gt;0),((Skills!G8*((R293-1)*IF(Skills!H8&gt;0,Skills!I8/Skills!H8,1)+IF(Skills!H8&gt;0,MIN(Skills!I8,MAX(0,Inputs!$B$35-((R293-1)*IF(Inputs!$B$4="pvp",15,MAX(0.1,Skills!D8-IF(Skills!E8=TRUE,Inputs!$B$31,0))))))/Skills!H8,1)))/Inputs!$B$35),G293*Q293)*IF(Inputs!$B$4="pvp",1,(1-Summary!$B$55)*(1)+Summary!$B$55*(MIN(Skills!R8,Inputs!$B$37))),0)</f>
        <v/>
      </c>
      <c r="P293">
        <f>IF(B318=0,0,O293/B318)</f>
        <v/>
      </c>
      <c r="Q293">
        <f>IFERROR(1/IF(Inputs!$B$4="pvp",15,MAX(0.1,Skills!D8-IF(Skills!E8=TRUE,Inputs!$B$31,0))),0)</f>
        <v/>
      </c>
      <c r="R293">
        <f>IF(AND(Inputs!$B$4&lt;&gt;"pvp",Inputs!$B$35&gt;0),(INT(Inputs!$B$35/IF(Inputs!$B$4="pvp",15,MAX(0.1,Skills!D8-IF(Skills!E8=TRUE,Inputs!$B$31,0))))+1),0)</f>
        <v/>
      </c>
      <c r="S293">
        <f>IFERROR(O293/N293,0)</f>
        <v/>
      </c>
    </row>
    <row r="294">
      <c r="A294">
        <f>Skills!A9</f>
        <v/>
      </c>
      <c r="B294">
        <f>Skills!B9</f>
        <v/>
      </c>
      <c r="C294">
        <f>Inputs!$B$3&gt;=110</f>
        <v/>
      </c>
      <c r="D294">
        <f>IF(Skills!C9=1,60+Inputs!$B$24+Inputs!$B$28,IF(Skills!C9=2,90+Inputs!$B$25+Inputs!$B$28,IF(Skills!C9=3,120+Inputs!$B$26+Inputs!$B$28,MAX(0,(Inputs!$B$3-100)*3)+Inputs!$B$27+Inputs!$B$28)))</f>
        <v/>
      </c>
      <c r="E294">
        <f>INDEX(FactorTable!$B$2:$Y$301, MATCH(ROUND(MIN(300,MAX(1,D294)),0), FactorTable!$A$2:$A$301,0), Skills!M9+1)</f>
        <v/>
      </c>
      <c r="F294">
        <f>IF(Skills!N9=TRUE,(Skills!L9/10)*(E294/1000),Skills!L9/10)+Skills!O9</f>
        <v/>
      </c>
      <c r="G294">
        <f>Skills!G9*IF(Skills!H9&gt;0,Skills!I9/Skills!H9,1)</f>
        <v/>
      </c>
      <c r="H294">
        <f>1-(1-Skills!J9/100)^Skills!K9</f>
        <v/>
      </c>
      <c r="I294" t="inlineStr">
        <is>
          <t>1</t>
        </is>
      </c>
      <c r="J294">
        <f>(Inputs!$B$5*(1+Inputs!$B$6/100))*(F294/100)</f>
        <v/>
      </c>
      <c r="K294">
        <f>J294*(1+((Inputs!$B$11*(1+Inputs!$B$12/100))*0.01+Inputs!$B$13*0.0025)/100)*(1+Inputs!$B$14/100)*(1+IF(Inputs!$B$4="pvp",0,(1-Summary!$B$55)*(Inputs!$B$19+0+Skills!P9)+Summary!$B$55*(Inputs!$B$20+Skills!Q9))/100)*(1+Inputs!$B$15/100)*(5000/(6000+Inputs!$B$7*(1-(Inputs!$B$18+0)/100)))*(1+(((((1+Inputs!$B$23/100)*(1.01))-1)*100)+((C307=TRUE)*(F307-Calc!F22))+B316)/100)*(1+(IF(Skills!A9="HOOK_BOMBER",Inputs!$B$16+((C306=TRUE)*(F306-Calc!F21)),Inputs!$B$17+0))/100)*((1+(((C298=TRUE)*F298)+((C304=TRUE)*(F304-Calc!F19)))/100)*I294)</f>
        <v/>
      </c>
      <c r="L294">
        <f>K294*(MIN(Inputs!$B$21+((C305=TRUE)*(F305-Calc!F20)),Inputs!$B$22+0)/100+(Inputs!$B$22+0)/100)/2</f>
        <v/>
      </c>
      <c r="M294">
        <f>L294*(1+(Inputs!$B$9+0+B315)/100)</f>
        <v/>
      </c>
      <c r="N294">
        <f>L294*(1-MIN((Inputs!$B$8+((C301=TRUE)*(F301-Calc!F16))+B310),100)/100)+M294*(MIN((Inputs!$B$8+((C301=TRUE)*(F301-Calc!F16))+B310),100)/100)</f>
        <v/>
      </c>
      <c r="O294">
        <f>IF(C294,H294*N294*IF(AND(Inputs!$B$4&lt;&gt;"pvp",Inputs!$B$35&gt;0),((Skills!G9*((R294-1)*IF(Skills!H9&gt;0,Skills!I9/Skills!H9,1)+IF(Skills!H9&gt;0,MIN(Skills!I9,MAX(0,Inputs!$B$35-((R294-1)*IF(Inputs!$B$4="pvp",15,MAX(0.1,Skills!D9-IF(Skills!E9=TRUE,Inputs!$B$31,0))))))/Skills!H9,1)))/Inputs!$B$35),G294*Q294)*IF(Inputs!$B$4="pvp",1,(1-Summary!$B$55)*(1)+Summary!$B$55*(MIN(Skills!R9,Inputs!$B$37))),0)</f>
        <v/>
      </c>
      <c r="P294">
        <f>IF(B318=0,0,O294/B318)</f>
        <v/>
      </c>
      <c r="Q294">
        <f>IFERROR(1/IF(Inputs!$B$4="pvp",15,MAX(0.1,Skills!D9-IF(Skills!E9=TRUE,Inputs!$B$31,0))),0)</f>
        <v/>
      </c>
      <c r="R294">
        <f>IF(AND(Inputs!$B$4&lt;&gt;"pvp",Inputs!$B$35&gt;0),(INT(Inputs!$B$35/IF(Inputs!$B$4="pvp",15,MAX(0.1,Skills!D9-IF(Skills!E9=TRUE,Inputs!$B$31,0))))+1),0)</f>
        <v/>
      </c>
      <c r="S294">
        <f>IFERROR(O294/N294,0)</f>
        <v/>
      </c>
    </row>
    <row r="295">
      <c r="A295">
        <f>Skills!A10</f>
        <v/>
      </c>
      <c r="B295">
        <f>Skills!B10</f>
        <v/>
      </c>
      <c r="C295">
        <f>Inputs!$B$3&gt;=103</f>
        <v/>
      </c>
      <c r="D295">
        <f>IF(Skills!C10=1,60+Inputs!$B$24+Inputs!$B$28,IF(Skills!C10=2,90+Inputs!$B$25+Inputs!$B$28,IF(Skills!C10=3,120+Inputs!$B$26+Inputs!$B$28,MAX(0,(Inputs!$B$3-100)*3)+Inputs!$B$27+Inputs!$B$28)))</f>
        <v/>
      </c>
      <c r="E295">
        <f>INDEX(FactorTable!$B$2:$Y$301, MATCH(ROUND(MIN(300,MAX(1,D295)),0), FactorTable!$A$2:$A$301,0), Skills!M10+1)</f>
        <v/>
      </c>
      <c r="F295">
        <f>IF(Skills!N10=TRUE,(Skills!L10/10)*(E295/1000),Skills!L10/10)+Skills!O10</f>
        <v/>
      </c>
      <c r="G295">
        <f>Skills!G10*IF(Skills!H10&gt;0,Skills!I10/Skills!H10,1)</f>
        <v/>
      </c>
      <c r="H295">
        <f>1-(1-Skills!J10/100)^Skills!K10</f>
        <v/>
      </c>
      <c r="I295" t="inlineStr">
        <is>
          <t>1</t>
        </is>
      </c>
      <c r="J295">
        <f>(Inputs!$B$5*(1+Inputs!$B$6/100))*(F295/100)</f>
        <v/>
      </c>
      <c r="K295">
        <f>J295*(1+((Inputs!$B$11*(1+Inputs!$B$12/100))*0.01+Inputs!$B$13*0.0025)/100)*(1+Inputs!$B$14/100)*(1+IF(Inputs!$B$4="pvp",0,(1-Summary!$B$55)*(Inputs!$B$19+0+Skills!P10)+Summary!$B$55*(Inputs!$B$20+Skills!Q10))/100)*(1+Inputs!$B$15/100)*(5000/(6000+Inputs!$B$7*(1-(Inputs!$B$18+0)/100)))*(1+(((((1+Inputs!$B$23/100)*(1.01))-1)*100)+((C307=TRUE)*(F307-Calc!F22))+B316)/100)*(1+(IF(Skills!A10="HOOK_BOMBER",Inputs!$B$16+((C306=TRUE)*(F306-Calc!F21)),Inputs!$B$17+0))/100)*((1+(((C298=TRUE)*F298)+((C304=TRUE)*(F304-Calc!F19)))/100)*I295)</f>
        <v/>
      </c>
      <c r="L295">
        <f>K295*(MIN(Inputs!$B$21+((C305=TRUE)*(F305-Calc!F20)),Inputs!$B$22+0)/100+(Inputs!$B$22+0)/100)/2</f>
        <v/>
      </c>
      <c r="M295">
        <f>L295*(1+(Inputs!$B$9+0+B315)/100)</f>
        <v/>
      </c>
      <c r="N295">
        <f>L295*(1-MIN((Inputs!$B$8+((C301=TRUE)*(F301-Calc!F16))+B310),100)/100)+M295*(MIN((Inputs!$B$8+((C301=TRUE)*(F301-Calc!F16))+B310),100)/100)</f>
        <v/>
      </c>
      <c r="O295">
        <f>IF(C295,H295*N295*IF(AND(Inputs!$B$4&lt;&gt;"pvp",Inputs!$B$35&gt;0),((Skills!G10*((R295-1)*IF(Skills!H10&gt;0,Skills!I10/Skills!H10,1)+IF(Skills!H10&gt;0,MIN(Skills!I10,MAX(0,Inputs!$B$35-((R295-1)*IF(Inputs!$B$4="pvp",15,MAX(0.1,Skills!D10-IF(Skills!E10=TRUE,Inputs!$B$31,0))))))/Skills!H10,1)))/Inputs!$B$35),G295*Q295)*IF(Inputs!$B$4="pvp",1,(1-Summary!$B$55)*(1)+Summary!$B$55*(MIN(Skills!R10,Inputs!$B$37))),0)</f>
        <v/>
      </c>
      <c r="P295">
        <f>IF(B318=0,0,O295/B318)</f>
        <v/>
      </c>
      <c r="Q295">
        <f>IFERROR(1/IF(Inputs!$B$4="pvp",15,MAX(0.1,Skills!D10-IF(Skills!E10=TRUE,Inputs!$B$31,0))),0)</f>
        <v/>
      </c>
      <c r="R295">
        <f>IF(AND(Inputs!$B$4&lt;&gt;"pvp",Inputs!$B$35&gt;0),(INT(Inputs!$B$35/IF(Inputs!$B$4="pvp",15,MAX(0.1,Skills!D10-IF(Skills!E10=TRUE,Inputs!$B$31,0))))+1),0)</f>
        <v/>
      </c>
      <c r="S295">
        <f>IFERROR(O295/N295,0)</f>
        <v/>
      </c>
    </row>
    <row r="296">
      <c r="A296">
        <f>Skills!A11</f>
        <v/>
      </c>
      <c r="B296">
        <f>Skills!B11</f>
        <v/>
      </c>
      <c r="C296">
        <f>Inputs!$B$3&gt;=113</f>
        <v/>
      </c>
      <c r="D296">
        <f>IF(Skills!C11=1,60+Inputs!$B$24+Inputs!$B$28,IF(Skills!C11=2,90+Inputs!$B$25+Inputs!$B$28,IF(Skills!C11=3,120+Inputs!$B$26+Inputs!$B$28,MAX(0,(Inputs!$B$3-100)*3)+Inputs!$B$27+Inputs!$B$28)))</f>
        <v/>
      </c>
      <c r="E296">
        <f>INDEX(FactorTable!$B$2:$Y$301, MATCH(ROUND(MIN(300,MAX(1,D296)),0), FactorTable!$A$2:$A$301,0), Skills!M11+1)</f>
        <v/>
      </c>
      <c r="F296">
        <f>IF(Skills!N11=TRUE,(Skills!L11/10)*(E296/1000),Skills!L11/10)+Skills!O11</f>
        <v/>
      </c>
      <c r="G296">
        <f>Skills!G11*IF(Skills!H11&gt;0,Skills!I11/Skills!H11,1)</f>
        <v/>
      </c>
      <c r="H296">
        <f>1-(1-Skills!J11/100)^Skills!K11</f>
        <v/>
      </c>
      <c r="I296" t="inlineStr">
        <is>
          <t>1</t>
        </is>
      </c>
      <c r="J296">
        <f>(Inputs!$B$5*(1+Inputs!$B$6/100))*(F296/100)</f>
        <v/>
      </c>
      <c r="K296">
        <f>J296*(1+((Inputs!$B$11*(1+Inputs!$B$12/100))*0.01+Inputs!$B$13*0.0025)/100)*(1+Inputs!$B$14/100)*(1+IF(Inputs!$B$4="pvp",0,(1-Summary!$B$55)*(Inputs!$B$19+0+Skills!P11)+Summary!$B$55*(Inputs!$B$20+Skills!Q11))/100)*(1+Inputs!$B$15/100)*(5000/(6000+Inputs!$B$7*(1-(Inputs!$B$18+0)/100)))*(1+(((((1+Inputs!$B$23/100)*(1.01))-1)*100)+((C307=TRUE)*(F307-Calc!F22))+B316)/100)*(1+(IF(Skills!A11="HOOK_BOMBER",Inputs!$B$16+((C306=TRUE)*(F306-Calc!F21)),Inputs!$B$17+0))/100)*((1+(((C298=TRUE)*F298)+((C304=TRUE)*(F304-Calc!F19)))/100)*I296)</f>
        <v/>
      </c>
      <c r="L296">
        <f>K296*(MIN(Inputs!$B$21+((C305=TRUE)*(F305-Calc!F20)),Inputs!$B$22+0)/100+(Inputs!$B$22+0)/100)/2</f>
        <v/>
      </c>
      <c r="M296">
        <f>L296*(1+(Inputs!$B$9+0+B315)/100)</f>
        <v/>
      </c>
      <c r="N296">
        <f>L296*(1-MIN((Inputs!$B$8+((C301=TRUE)*(F301-Calc!F16))+B310),100)/100)+M296*(MIN((Inputs!$B$8+((C301=TRUE)*(F301-Calc!F16))+B310),100)/100)</f>
        <v/>
      </c>
      <c r="O296">
        <f>IF(C296,H296*N296*IF(AND(Inputs!$B$4&lt;&gt;"pvp",Inputs!$B$35&gt;0),((Skills!G11*((R296-1)*IF(Skills!H11&gt;0,Skills!I11/Skills!H11,1)+IF(Skills!H11&gt;0,MIN(Skills!I11,MAX(0,Inputs!$B$35-((R296-1)*IF(Inputs!$B$4="pvp",15,MAX(0.1,Skills!D11-IF(Skills!E11=TRUE,Inputs!$B$31,0))))))/Skills!H11,1)))/Inputs!$B$35),G296*Q296)*IF(Inputs!$B$4="pvp",1,(1-Summary!$B$55)*(1)+Summary!$B$55*(MIN(Skills!R11,Inputs!$B$37))),0)</f>
        <v/>
      </c>
      <c r="P296">
        <f>IF(B318=0,0,O296/B318)</f>
        <v/>
      </c>
      <c r="Q296">
        <f>IFERROR(1/IF(Inputs!$B$4="pvp",15,MAX(0.1,Skills!D11-IF(Skills!E11=TRUE,Inputs!$B$31,0))),0)</f>
        <v/>
      </c>
      <c r="R296">
        <f>IF(AND(Inputs!$B$4&lt;&gt;"pvp",Inputs!$B$35&gt;0),(INT(Inputs!$B$35/IF(Inputs!$B$4="pvp",15,MAX(0.1,Skills!D11-IF(Skills!E11=TRUE,Inputs!$B$31,0))))+1),0)</f>
        <v/>
      </c>
      <c r="S296">
        <f>IFERROR(O296/N296,0)</f>
        <v/>
      </c>
    </row>
    <row r="297">
      <c r="A297">
        <f>Skills!A12</f>
        <v/>
      </c>
      <c r="B297">
        <f>Skills!B12</f>
        <v/>
      </c>
      <c r="C297">
        <f>Inputs!$B$3&gt;=100</f>
        <v/>
      </c>
      <c r="D297">
        <f>IF(Skills!C12=1,60+Inputs!$B$24+Inputs!$B$28,IF(Skills!C12=2,90+Inputs!$B$25+Inputs!$B$28,IF(Skills!C12=3,120+Inputs!$B$26+Inputs!$B$28,MAX(0,(Inputs!$B$3-100)*3)+Inputs!$B$27+Inputs!$B$28)))</f>
        <v/>
      </c>
      <c r="E297">
        <f>INDEX(FactorTable!$B$2:$Y$301, MATCH(ROUND(MIN(300,MAX(1,D297)),0), FactorTable!$A$2:$A$301,0), Skills!M12+1)</f>
        <v/>
      </c>
      <c r="F297">
        <f>IF(Skills!N12=TRUE,(Skills!L12/10)*(E297/1000),Skills!L12/10)+Skills!O12</f>
        <v/>
      </c>
      <c r="G297" t="inlineStr"/>
      <c r="H297" t="inlineStr"/>
      <c r="I297" t="inlineStr">
        <is>
          <t>1</t>
        </is>
      </c>
      <c r="J297" t="inlineStr"/>
      <c r="K297" t="inlineStr"/>
      <c r="L297" t="inlineStr"/>
      <c r="M297" t="inlineStr"/>
      <c r="N297" t="inlineStr"/>
      <c r="O297" t="inlineStr"/>
      <c r="P297" t="inlineStr"/>
      <c r="Q297" t="inlineStr"/>
      <c r="R297" t="inlineStr"/>
      <c r="S297" t="inlineStr"/>
    </row>
    <row r="298">
      <c r="A298">
        <f>Skills!A13</f>
        <v/>
      </c>
      <c r="B298">
        <f>Skills!B13</f>
        <v/>
      </c>
      <c r="C298">
        <f>Inputs!$B$3&gt;=66</f>
        <v/>
      </c>
      <c r="D298">
        <f>IF(Skills!C13=1,60+Inputs!$B$24+Inputs!$B$28,IF(Skills!C13=2,90+Inputs!$B$25+Inputs!$B$28,IF(Skills!C13=3,120+Inputs!$B$26+Inputs!$B$28,MAX(0,(Inputs!$B$3-100)*3)+Inputs!$B$27+Inputs!$B$28)))</f>
        <v/>
      </c>
      <c r="E298">
        <f>INDEX(FactorTable!$B$2:$Y$301, MATCH(ROUND(MIN(300,MAX(1,D298)),0), FactorTable!$A$2:$A$301,0), Skills!M13+1)</f>
        <v/>
      </c>
      <c r="F298">
        <f>IF(Skills!N13=TRUE,(Skills!L13/10)*(E298/1000),Skills!L13/10)+Skills!O13</f>
        <v/>
      </c>
      <c r="G298">
        <f>Skills!G13*IF(Skills!H13&gt;0,Skills!I13/Skills!H13,1)</f>
        <v/>
      </c>
      <c r="H298">
        <f>1-(1-Skills!J13/100)^Skills!K13</f>
        <v/>
      </c>
      <c r="I298" t="inlineStr">
        <is>
          <t>1</t>
        </is>
      </c>
      <c r="J298" t="inlineStr"/>
      <c r="K298" t="inlineStr"/>
      <c r="L298" t="inlineStr"/>
      <c r="M298" t="inlineStr"/>
      <c r="N298" t="inlineStr"/>
      <c r="O298" t="n">
        <v>0</v>
      </c>
      <c r="P298">
        <f>IF(B318=0,0,O298/B318)</f>
        <v/>
      </c>
      <c r="Q298" t="n">
        <v>0</v>
      </c>
      <c r="R298" t="n">
        <v>0</v>
      </c>
      <c r="S298">
        <f>IFERROR(O298/N298,0)</f>
        <v/>
      </c>
    </row>
    <row r="299">
      <c r="A299">
        <f>Skills!A14</f>
        <v/>
      </c>
      <c r="B299">
        <f>Skills!B14</f>
        <v/>
      </c>
      <c r="C299">
        <f>Inputs!$B$3&gt;=107</f>
        <v/>
      </c>
      <c r="D299">
        <f>IF(Skills!C14=1,60+Inputs!$B$24+Inputs!$B$28,IF(Skills!C14=2,90+Inputs!$B$25+Inputs!$B$28,IF(Skills!C14=3,120+Inputs!$B$26+Inputs!$B$28,MAX(0,(Inputs!$B$3-100)*3)+Inputs!$B$27+Inputs!$B$28)))</f>
        <v/>
      </c>
      <c r="E299">
        <f>INDEX(FactorTable!$B$2:$Y$301, MATCH(ROUND(MIN(300,MAX(1,D299)),0), FactorTable!$A$2:$A$301,0), Skills!M14+1)</f>
        <v/>
      </c>
      <c r="F299">
        <f>IF(Skills!N14=TRUE,(Skills!L14/10)*(E299/1000),Skills!L14/10)+Skills!O14</f>
        <v/>
      </c>
      <c r="G299">
        <f>Skills!G14*IF(Skills!H14&gt;0,Skills!I14/Skills!H14,1)</f>
        <v/>
      </c>
      <c r="H299">
        <f>1-(1-Skills!J14/100)^Skills!K14</f>
        <v/>
      </c>
      <c r="I299" t="inlineStr">
        <is>
          <t>1</t>
        </is>
      </c>
      <c r="J299" t="inlineStr"/>
      <c r="K299" t="inlineStr"/>
      <c r="L299" t="inlineStr"/>
      <c r="M299" t="inlineStr"/>
      <c r="N299" t="inlineStr"/>
      <c r="O299" t="n">
        <v>0</v>
      </c>
      <c r="P299">
        <f>IF(B318=0,0,O299/B318)</f>
        <v/>
      </c>
      <c r="Q299" t="n">
        <v>0</v>
      </c>
      <c r="R299" t="n">
        <v>0</v>
      </c>
      <c r="S299">
        <f>IFERROR(O299/N299,0)</f>
        <v/>
      </c>
    </row>
    <row r="300">
      <c r="A300">
        <f>Skills!A15</f>
        <v/>
      </c>
      <c r="B300">
        <f>Skills!B15</f>
        <v/>
      </c>
      <c r="C300">
        <f>Inputs!$B$3&gt;=115</f>
        <v/>
      </c>
      <c r="D300">
        <f>IF(Skills!C15=1,60+Inputs!$B$24+Inputs!$B$28,IF(Skills!C15=2,90+Inputs!$B$25+Inputs!$B$28,IF(Skills!C15=3,120+Inputs!$B$26+Inputs!$B$28,MAX(0,(Inputs!$B$3-100)*3)+Inputs!$B$27+Inputs!$B$28)))</f>
        <v/>
      </c>
      <c r="E300">
        <f>INDEX(FactorTable!$B$2:$Y$301, MATCH(ROUND(MIN(300,MAX(1,D300)),0), FactorTable!$A$2:$A$301,0), Skills!M15+1)</f>
        <v/>
      </c>
      <c r="F300">
        <f>IF(Skills!N15=TRUE,(Skills!L15/10)*(E300/1000),Skills!L15/10)+Skills!O15</f>
        <v/>
      </c>
      <c r="G300">
        <f>Skills!G15*IF(Skills!H15&gt;0,Skills!I15/Skills!H15,1)</f>
        <v/>
      </c>
      <c r="H300">
        <f>1-(1-Skills!J15/100)^Skills!K15</f>
        <v/>
      </c>
      <c r="I300" t="inlineStr">
        <is>
          <t>1</t>
        </is>
      </c>
      <c r="J300" t="inlineStr"/>
      <c r="K300" t="inlineStr"/>
      <c r="L300" t="inlineStr"/>
      <c r="M300" t="inlineStr"/>
      <c r="N300" t="inlineStr"/>
      <c r="O300" t="n">
        <v>0</v>
      </c>
      <c r="P300">
        <f>IF(B318=0,0,O300/B318)</f>
        <v/>
      </c>
      <c r="Q300" t="n">
        <v>0</v>
      </c>
      <c r="R300" t="n">
        <v>0</v>
      </c>
      <c r="S300">
        <f>IFERROR(O300/N300,0)</f>
        <v/>
      </c>
    </row>
    <row r="301">
      <c r="A301">
        <f>Skills!A16</f>
        <v/>
      </c>
      <c r="B301">
        <f>Skills!B16</f>
        <v/>
      </c>
      <c r="C301">
        <f>Inputs!$B$3&gt;=15</f>
        <v/>
      </c>
      <c r="D301">
        <f>IF(Skills!C16=1,60+Inputs!$B$24+Inputs!$B$28,IF(Skills!C16=2,90+Inputs!$B$25+Inputs!$B$28,IF(Skills!C16=3,120+Inputs!$B$26+Inputs!$B$28,MAX(0,(Inputs!$B$3-100)*3)+Inputs!$B$27+Inputs!$B$28)))</f>
        <v/>
      </c>
      <c r="E301">
        <f>INDEX(FactorTable!$B$2:$Y$301, MATCH(ROUND(MIN(300,MAX(1,D301)),0), FactorTable!$A$2:$A$301,0), Skills!M16+1)</f>
        <v/>
      </c>
      <c r="F301">
        <f>IF(Skills!N16=TRUE,(Skills!L16/10)*(E301/1000),Skills!L16/10)+Skills!O16</f>
        <v/>
      </c>
      <c r="G301">
        <f>Skills!G16*IF(Skills!H16&gt;0,Skills!I16/Skills!H16,1)</f>
        <v/>
      </c>
      <c r="H301">
        <f>1-(1-Skills!J16/100)^Skills!K16</f>
        <v/>
      </c>
      <c r="I301" t="inlineStr">
        <is>
          <t>1</t>
        </is>
      </c>
      <c r="J301" t="inlineStr"/>
      <c r="K301" t="inlineStr"/>
      <c r="L301" t="inlineStr"/>
      <c r="M301" t="inlineStr"/>
      <c r="N301" t="inlineStr"/>
      <c r="O301" t="n">
        <v>0</v>
      </c>
      <c r="P301">
        <f>IF(B318=0,0,O301/B318)</f>
        <v/>
      </c>
      <c r="Q301" t="n">
        <v>0</v>
      </c>
      <c r="R301" t="n">
        <v>0</v>
      </c>
      <c r="S301">
        <f>IFERROR(O301/N301,0)</f>
        <v/>
      </c>
    </row>
    <row r="302">
      <c r="A302">
        <f>Skills!A17</f>
        <v/>
      </c>
      <c r="B302">
        <f>Skills!B17</f>
        <v/>
      </c>
      <c r="C302">
        <f>Inputs!$B$3&gt;=10</f>
        <v/>
      </c>
      <c r="D302">
        <f>IF(Skills!C17=1,60+Inputs!$B$24+Inputs!$B$28,IF(Skills!C17=2,90+Inputs!$B$25+Inputs!$B$28,IF(Skills!C17=3,120+Inputs!$B$26+Inputs!$B$28,MAX(0,(Inputs!$B$3-100)*3)+Inputs!$B$27+Inputs!$B$28)))</f>
        <v/>
      </c>
      <c r="E302">
        <f>INDEX(FactorTable!$B$2:$Y$301, MATCH(ROUND(MIN(300,MAX(1,D302)),0), FactorTable!$A$2:$A$301,0), Skills!M17+1)</f>
        <v/>
      </c>
      <c r="F302">
        <f>IF(Skills!N17=TRUE,(Skills!L17/10)*(E302/1000),Skills!L17/10)+Skills!O17</f>
        <v/>
      </c>
      <c r="G302">
        <f>Skills!G17*IF(Skills!H17&gt;0,Skills!I17/Skills!H17,1)</f>
        <v/>
      </c>
      <c r="H302">
        <f>1-(1-Skills!J17/100)^Skills!K17</f>
        <v/>
      </c>
      <c r="I302" t="inlineStr">
        <is>
          <t>1</t>
        </is>
      </c>
      <c r="J302" t="inlineStr"/>
      <c r="K302" t="inlineStr"/>
      <c r="L302" t="inlineStr"/>
      <c r="M302" t="inlineStr"/>
      <c r="N302" t="inlineStr"/>
      <c r="O302" t="n">
        <v>0</v>
      </c>
      <c r="P302">
        <f>IF(B318=0,0,O302/B318)</f>
        <v/>
      </c>
      <c r="Q302" t="n">
        <v>0</v>
      </c>
      <c r="R302" t="n">
        <v>0</v>
      </c>
      <c r="S302">
        <f>IFERROR(O302/N302,0)</f>
        <v/>
      </c>
    </row>
    <row r="303">
      <c r="A303">
        <f>Skills!A18</f>
        <v/>
      </c>
      <c r="B303">
        <f>Skills!B18</f>
        <v/>
      </c>
      <c r="C303">
        <f>Inputs!$B$3&gt;=33</f>
        <v/>
      </c>
      <c r="D303">
        <f>IF(Skills!C18=1,60+Inputs!$B$24+Inputs!$B$28,IF(Skills!C18=2,90+Inputs!$B$25+Inputs!$B$28,IF(Skills!C18=3,120+Inputs!$B$26+Inputs!$B$28,MAX(0,(Inputs!$B$3-100)*3)+Inputs!$B$27+Inputs!$B$28)))</f>
        <v/>
      </c>
      <c r="E303">
        <f>INDEX(FactorTable!$B$2:$Y$301, MATCH(ROUND(MIN(300,MAX(1,D303)),0), FactorTable!$A$2:$A$301,0), Skills!M18+1)</f>
        <v/>
      </c>
      <c r="F303">
        <f>IF(Skills!N18=TRUE,(Skills!L18/10)*(E303/1000),Skills!L18/10)+Skills!O18</f>
        <v/>
      </c>
      <c r="G303">
        <f>Skills!G18*IF(Skills!H18&gt;0,Skills!I18/Skills!H18,1)</f>
        <v/>
      </c>
      <c r="H303">
        <f>1-(1-Skills!J18/100)^Skills!K18</f>
        <v/>
      </c>
      <c r="I303" t="inlineStr">
        <is>
          <t>1</t>
        </is>
      </c>
      <c r="J303" t="inlineStr"/>
      <c r="K303" t="inlineStr"/>
      <c r="L303" t="inlineStr"/>
      <c r="M303" t="inlineStr"/>
      <c r="N303" t="inlineStr"/>
      <c r="O303" t="n">
        <v>0</v>
      </c>
      <c r="P303">
        <f>IF(B318=0,0,O303/B318)</f>
        <v/>
      </c>
      <c r="Q303" t="n">
        <v>0</v>
      </c>
      <c r="R303" t="n">
        <v>0</v>
      </c>
      <c r="S303">
        <f>IFERROR(O303/N303,0)</f>
        <v/>
      </c>
    </row>
    <row r="304">
      <c r="A304">
        <f>Skills!A19</f>
        <v/>
      </c>
      <c r="B304">
        <f>Skills!B19</f>
        <v/>
      </c>
      <c r="C304">
        <f>Inputs!$B$3&gt;=40</f>
        <v/>
      </c>
      <c r="D304">
        <f>IF(Skills!C19=1,60+Inputs!$B$24+Inputs!$B$28,IF(Skills!C19=2,90+Inputs!$B$25+Inputs!$B$28,IF(Skills!C19=3,120+Inputs!$B$26+Inputs!$B$28,MAX(0,(Inputs!$B$3-100)*3)+Inputs!$B$27+Inputs!$B$28)))</f>
        <v/>
      </c>
      <c r="E304">
        <f>INDEX(FactorTable!$B$2:$Y$301, MATCH(ROUND(MIN(300,MAX(1,D304)),0), FactorTable!$A$2:$A$301,0), Skills!M19+1)</f>
        <v/>
      </c>
      <c r="F304">
        <f>IF(Skills!N19=TRUE,(Skills!L19/10)*(E304/1000),Skills!L19/10)+Skills!O19</f>
        <v/>
      </c>
      <c r="G304">
        <f>Skills!G19*IF(Skills!H19&gt;0,Skills!I19/Skills!H19,1)</f>
        <v/>
      </c>
      <c r="H304">
        <f>1-(1-Skills!J19/100)^Skills!K19</f>
        <v/>
      </c>
      <c r="I304" t="inlineStr">
        <is>
          <t>1</t>
        </is>
      </c>
      <c r="J304" t="inlineStr"/>
      <c r="K304" t="inlineStr"/>
      <c r="L304" t="inlineStr"/>
      <c r="M304" t="inlineStr"/>
      <c r="N304" t="inlineStr"/>
      <c r="O304" t="n">
        <v>0</v>
      </c>
      <c r="P304">
        <f>IF(B318=0,0,O304/B318)</f>
        <v/>
      </c>
      <c r="Q304" t="n">
        <v>0</v>
      </c>
      <c r="R304" t="n">
        <v>0</v>
      </c>
      <c r="S304">
        <f>IFERROR(O304/N304,0)</f>
        <v/>
      </c>
    </row>
    <row r="305">
      <c r="A305">
        <f>Skills!A20</f>
        <v/>
      </c>
      <c r="B305">
        <f>Skills!B20</f>
        <v/>
      </c>
      <c r="C305">
        <f>Inputs!$B$3&gt;=43</f>
        <v/>
      </c>
      <c r="D305">
        <f>IF(Skills!C20=1,60+Inputs!$B$24+Inputs!$B$28,IF(Skills!C20=2,90+Inputs!$B$25+Inputs!$B$28,IF(Skills!C20=3,120+Inputs!$B$26+Inputs!$B$28,MAX(0,(Inputs!$B$3-100)*3)+Inputs!$B$27+Inputs!$B$28)))</f>
        <v/>
      </c>
      <c r="E305">
        <f>INDEX(FactorTable!$B$2:$Y$301, MATCH(ROUND(MIN(300,MAX(1,D305)),0), FactorTable!$A$2:$A$301,0), Skills!M20+1)</f>
        <v/>
      </c>
      <c r="F305">
        <f>IF(Skills!N20=TRUE,(Skills!L20/10)*(E305/1000),Skills!L20/10)+Skills!O20</f>
        <v/>
      </c>
      <c r="G305">
        <f>Skills!G20*IF(Skills!H20&gt;0,Skills!I20/Skills!H20,1)</f>
        <v/>
      </c>
      <c r="H305">
        <f>1-(1-Skills!J20/100)^Skills!K20</f>
        <v/>
      </c>
      <c r="I305" t="inlineStr">
        <is>
          <t>1</t>
        </is>
      </c>
      <c r="J305" t="inlineStr"/>
      <c r="K305" t="inlineStr"/>
      <c r="L305" t="inlineStr"/>
      <c r="M305" t="inlineStr"/>
      <c r="N305" t="inlineStr"/>
      <c r="O305" t="n">
        <v>0</v>
      </c>
      <c r="P305">
        <f>IF(B318=0,0,O305/B318)</f>
        <v/>
      </c>
      <c r="Q305" t="n">
        <v>0</v>
      </c>
      <c r="R305" t="n">
        <v>0</v>
      </c>
      <c r="S305">
        <f>IFERROR(O305/N305,0)</f>
        <v/>
      </c>
    </row>
    <row r="306">
      <c r="A306">
        <f>Skills!A21</f>
        <v/>
      </c>
      <c r="B306">
        <f>Skills!B21</f>
        <v/>
      </c>
      <c r="C306">
        <f>Inputs!$B$3&gt;=38</f>
        <v/>
      </c>
      <c r="D306">
        <f>IF(Skills!C21=1,60+Inputs!$B$24+Inputs!$B$28,IF(Skills!C21=2,90+Inputs!$B$25+Inputs!$B$28,IF(Skills!C21=3,120+Inputs!$B$26+Inputs!$B$28,MAX(0,(Inputs!$B$3-100)*3)+Inputs!$B$27+Inputs!$B$28)))</f>
        <v/>
      </c>
      <c r="E306">
        <f>INDEX(FactorTable!$B$2:$Y$301, MATCH(ROUND(MIN(300,MAX(1,D306)),0), FactorTable!$A$2:$A$301,0), Skills!M21+1)</f>
        <v/>
      </c>
      <c r="F306">
        <f>IF(Skills!N21=TRUE,(Skills!L21/10)*(E306/1000),Skills!L21/10)+Skills!O21</f>
        <v/>
      </c>
      <c r="G306">
        <f>Skills!G21*IF(Skills!H21&gt;0,Skills!I21/Skills!H21,1)</f>
        <v/>
      </c>
      <c r="H306">
        <f>1-(1-Skills!J21/100)^Skills!K21</f>
        <v/>
      </c>
      <c r="I306" t="inlineStr">
        <is>
          <t>1</t>
        </is>
      </c>
      <c r="J306" t="inlineStr"/>
      <c r="K306" t="inlineStr"/>
      <c r="L306" t="inlineStr"/>
      <c r="M306" t="inlineStr"/>
      <c r="N306" t="inlineStr"/>
      <c r="O306" t="n">
        <v>0</v>
      </c>
      <c r="P306">
        <f>IF(B318=0,0,O306/B318)</f>
        <v/>
      </c>
      <c r="Q306" t="n">
        <v>0</v>
      </c>
      <c r="R306" t="n">
        <v>0</v>
      </c>
      <c r="S306">
        <f>IFERROR(O306/N306,0)</f>
        <v/>
      </c>
    </row>
    <row r="307">
      <c r="A307">
        <f>Skills!A22</f>
        <v/>
      </c>
      <c r="B307">
        <f>Skills!B22</f>
        <v/>
      </c>
      <c r="C307">
        <f>Inputs!$B$3&gt;=75</f>
        <v/>
      </c>
      <c r="D307">
        <f>IF(Skills!C22=1,60+Inputs!$B$24+Inputs!$B$28,IF(Skills!C22=2,90+Inputs!$B$25+Inputs!$B$28,IF(Skills!C22=3,120+Inputs!$B$26+Inputs!$B$28,MAX(0,(Inputs!$B$3-100)*3)+Inputs!$B$27+Inputs!$B$28)))</f>
        <v/>
      </c>
      <c r="E307">
        <f>INDEX(FactorTable!$B$2:$Y$301, MATCH(ROUND(MIN(300,MAX(1,D307)),0), FactorTable!$A$2:$A$301,0), Skills!M22+1)</f>
        <v/>
      </c>
      <c r="F307">
        <f>IF(Skills!N22=TRUE,(Skills!L22/10)*(E307/1000),Skills!L22/10)+Skills!O22</f>
        <v/>
      </c>
      <c r="G307">
        <f>Skills!G22*IF(Skills!H22&gt;0,Skills!I22/Skills!H22,1)</f>
        <v/>
      </c>
      <c r="H307">
        <f>1-(1-Skills!J22/100)^Skills!K22</f>
        <v/>
      </c>
      <c r="I307" t="inlineStr">
        <is>
          <t>1</t>
        </is>
      </c>
      <c r="J307" t="inlineStr"/>
      <c r="K307" t="inlineStr"/>
      <c r="L307" t="inlineStr"/>
      <c r="M307" t="inlineStr"/>
      <c r="N307" t="inlineStr"/>
      <c r="O307" t="n">
        <v>0</v>
      </c>
      <c r="P307">
        <f>IF(B318=0,0,O307/B318)</f>
        <v/>
      </c>
      <c r="Q307" t="n">
        <v>0</v>
      </c>
      <c r="R307" t="n">
        <v>0</v>
      </c>
      <c r="S307">
        <f>IFERROR(O307/N307,0)</f>
        <v/>
      </c>
    </row>
    <row r="309">
      <c r="A309" t="inlineStr">
        <is>
          <t>Attack% Bucket Multiplier</t>
        </is>
      </c>
      <c r="B309">
        <f>(1+(((C298=TRUE)*F298)+((C304=TRUE)*(F304-Calc!F19)))/100)</f>
        <v/>
      </c>
    </row>
    <row r="310">
      <c r="A310" t="inlineStr">
        <is>
          <t>Global Crit Rate Bonus %</t>
        </is>
      </c>
      <c r="B310" t="n">
        <v>0</v>
      </c>
    </row>
    <row r="311">
      <c r="A311" t="inlineStr">
        <is>
          <t>Attack Speed Buff Bonus % (unused)</t>
        </is>
      </c>
      <c r="B311" t="n">
        <v>0</v>
      </c>
    </row>
    <row r="312">
      <c r="A312" t="inlineStr">
        <is>
          <t>Actions Per Second</t>
        </is>
      </c>
      <c r="B312">
        <f>1+MIN(150,150*(1-(1-(Inputs!$B$10+((C302=TRUE)*(F302-Calc!F17))+((C303=TRUE)*(F303-Calc!F18)))/150)*(1-B311/150)))/100</f>
        <v/>
      </c>
    </row>
    <row r="313">
      <c r="A313" t="inlineStr">
        <is>
          <t>Skill + Buff Cast Rate</t>
        </is>
      </c>
      <c r="B313">
        <f>IF(AND(Inputs!$B$4&lt;&gt;"pvp",Inputs!$B$35&gt;0),SUMPRODUCT((Skills!E2:E22=TRUE)*(C287:C307=TRUE)*R287:R307*Skills!F2:F22)/Inputs!$B$35,SUMPRODUCT((Skills!E2:E22=TRUE)*(C287:C307=TRUE)*Q287:Q307*Skills!F2:F22))</f>
        <v/>
      </c>
    </row>
    <row r="314">
      <c r="A314" t="inlineStr">
        <is>
          <t>Hook Bomber Casts Per Second</t>
        </is>
      </c>
      <c r="B314">
        <f>MAX(0,B312-B313)</f>
        <v/>
      </c>
    </row>
    <row r="315">
      <c r="A315" t="inlineStr">
        <is>
          <t>Global Critical Damage Bonus % (unused)</t>
        </is>
      </c>
      <c r="B315" t="n">
        <v>0</v>
      </c>
    </row>
    <row r="316">
      <c r="A316" t="inlineStr">
        <is>
          <t>Global Final Damage Bonus % (Serpent Scale + Crossbones + Time Leap + Speed Infusion)</t>
        </is>
      </c>
      <c r="B316">
        <f>((C290=TRUE)*F290*((10+IF(Inputs!$B$3&gt;=94,5,0))/((10+IF(Inputs!$B$3&gt;=94,5,0))+5/(B314*(1+IF(Inputs!$B$3&gt;=104,1,0))))))+((C299=TRUE)*F299)+((C300=TRUE)*F300)+((Inputs!$B$3&gt;=110)*20*(B312-1))</f>
        <v/>
      </c>
    </row>
    <row r="318">
      <c r="A318" s="5" t="inlineStr">
        <is>
          <t>TOTAL DPS</t>
        </is>
      </c>
      <c r="B318" s="5">
        <f>SUM(O287:O307)</f>
        <v/>
      </c>
    </row>
    <row r="321">
      <c r="A321" s="5" t="inlineStr">
        <is>
          <t>Stat: MIN_DAMAGE %</t>
        </is>
      </c>
    </row>
    <row r="322">
      <c r="A322" s="8" t="inlineStr">
        <is>
          <t>Key</t>
        </is>
      </c>
      <c r="B322" s="8" t="inlineStr">
        <is>
          <t>Name</t>
        </is>
      </c>
      <c r="C322" s="8" t="inlineStr">
        <is>
          <t>Unlocked</t>
        </is>
      </c>
      <c r="D322" s="8" t="inlineStr">
        <is>
          <t>InputLevel</t>
        </is>
      </c>
      <c r="E322" s="8" t="inlineStr">
        <is>
          <t>Factor</t>
        </is>
      </c>
      <c r="F322" s="8" t="inlineStr">
        <is>
          <t>CoefficientPercent</t>
        </is>
      </c>
      <c r="G322" s="8" t="inlineStr">
        <is>
          <t>EffectiveHits</t>
        </is>
      </c>
      <c r="H322" s="8" t="inlineStr">
        <is>
          <t>ProcProbability</t>
        </is>
      </c>
      <c r="I322" s="8" t="inlineStr">
        <is>
          <t>MapleHeroMultiplier</t>
        </is>
      </c>
      <c r="J322" s="8" t="inlineStr">
        <is>
          <t>BaseDamage</t>
        </is>
      </c>
      <c r="K322" s="8" t="inlineStr">
        <is>
          <t>BaseHitDamage</t>
        </is>
      </c>
      <c r="L322" s="8" t="inlineStr">
        <is>
          <t>NonCritAvg</t>
        </is>
      </c>
      <c r="M322" s="8" t="inlineStr">
        <is>
          <t>CritAvg</t>
        </is>
      </c>
      <c r="N322" s="8" t="inlineStr">
        <is>
          <t>ExpectedDamage(perHit)</t>
        </is>
      </c>
      <c r="O322" s="8" t="inlineStr">
        <is>
          <t>DPS</t>
        </is>
      </c>
      <c r="P322" s="8" t="inlineStr">
        <is>
          <t>% of Total</t>
        </is>
      </c>
      <c r="Q322" s="8" t="inlineStr">
        <is>
          <t>InvCooldown</t>
        </is>
      </c>
      <c r="R322" s="8" t="inlineStr">
        <is>
          <t>CastsInFight</t>
        </is>
      </c>
      <c r="S322" s="8" t="inlineStr">
        <is>
          <t>HitRate(perSec)</t>
        </is>
      </c>
      <c r="U322" t="inlineStr">
        <is>
          <t>helpers</t>
        </is>
      </c>
    </row>
    <row r="323">
      <c r="A323">
        <f>Skills!A2</f>
        <v/>
      </c>
      <c r="B323">
        <f>Skills!B2</f>
        <v/>
      </c>
      <c r="C323">
        <f>Inputs!$B$3&gt;=100</f>
        <v/>
      </c>
      <c r="D323" t="inlineStr"/>
      <c r="E323" t="inlineStr"/>
      <c r="F323">
        <f>U325+Skills!O2</f>
        <v/>
      </c>
      <c r="G323">
        <f>Skills!G2*IF(Skills!H2&gt;0,Skills!I2/Skills!H2,1)</f>
        <v/>
      </c>
      <c r="H323">
        <f>1-(1-Skills!J2/100)^Skills!K2</f>
        <v/>
      </c>
      <c r="I323" t="inlineStr">
        <is>
          <t>1</t>
        </is>
      </c>
      <c r="J323">
        <f>(Inputs!$B$5*(1+Inputs!$B$6/100))*(F323/100)</f>
        <v/>
      </c>
      <c r="K323">
        <f>J323*(1+((Inputs!$B$11*(1+Inputs!$B$12/100))*0.01+Inputs!$B$13*0.0025)/100)*(1+Inputs!$B$14/100)*(1+IF(Inputs!$B$4="pvp",0,(1-Summary!$B$55)*(Inputs!$B$19+0+Skills!P2)+Summary!$B$55*(Inputs!$B$20+Skills!Q2))/100)*(1+Inputs!$B$15/100)*(5000/(6000+Inputs!$B$7*(1-(Inputs!$B$18+0)/100)))*(1+(Inputs!$B$23+((C343=TRUE)*(F343-Calc!F22))+B352)/100)*(1+(IF(Skills!A2="HOOK_BOMBER",Inputs!$B$16+((C342=TRUE)*(F342-Calc!F21)),Inputs!$B$17+0))/100)*((1+(((C334=TRUE)*F334)+((C340=TRUE)*(F340-Calc!F19)))/100)*I323)</f>
        <v/>
      </c>
      <c r="L323">
        <f>K323*(MIN((Inputs!$B$21+1)+((C341=TRUE)*(F341-Calc!F20)),Inputs!$B$22+0)/100+(Inputs!$B$22+0)/100)/2</f>
        <v/>
      </c>
      <c r="M323">
        <f>L323*(1+(Inputs!$B$9+0+B351)/100)</f>
        <v/>
      </c>
      <c r="N323">
        <f>L323*(1-MIN((Inputs!$B$8+((C337=TRUE)*(F337-Calc!F16))+B346),100)/100)+M323*(MIN((Inputs!$B$8+((C337=TRUE)*(F337-Calc!F16))+B346),100)/100)</f>
        <v/>
      </c>
      <c r="O323">
        <f>IF(C323,Skills!G2*N323*B350*IF(Inputs!$B$4="pvp",1,(1-Summary!$B$55)*(1)+Summary!$B$55*(MIN((6+Inputs!$B$32),Inputs!$B$37))),0)</f>
        <v/>
      </c>
      <c r="P323">
        <f>IF(B354=0,0,O323/B354)</f>
        <v/>
      </c>
      <c r="Q323" t="n">
        <v>0</v>
      </c>
      <c r="R323" t="n">
        <v>0</v>
      </c>
      <c r="S323">
        <f>IFERROR(O323/N323,0)</f>
        <v/>
      </c>
      <c r="U323">
        <f>MAX(0,(Inputs!$B$3-100)*3)+Inputs!$B$27+Inputs!$B$28</f>
        <v/>
      </c>
    </row>
    <row r="324">
      <c r="A324">
        <f>Skills!A3</f>
        <v/>
      </c>
      <c r="B324">
        <f>Skills!B3</f>
        <v/>
      </c>
      <c r="C324">
        <f>Inputs!$B$3&gt;=35</f>
        <v/>
      </c>
      <c r="D324">
        <f>IF(Skills!C3=1,60+Inputs!$B$24+Inputs!$B$28,IF(Skills!C3=2,90+Inputs!$B$25+Inputs!$B$28,IF(Skills!C3=3,120+Inputs!$B$26+Inputs!$B$28,MAX(0,(Inputs!$B$3-100)*3)+Inputs!$B$27+Inputs!$B$28)))</f>
        <v/>
      </c>
      <c r="E324">
        <f>INDEX(FactorTable!$B$2:$Y$301, MATCH(ROUND(MIN(300,MAX(1,D324)),0), FactorTable!$A$2:$A$301,0), Skills!M3+1)</f>
        <v/>
      </c>
      <c r="F324">
        <f>IF(Skills!N3=TRUE,(Skills!L3/10)*(E324/1000),Skills!L3/10)+Skills!O3</f>
        <v/>
      </c>
      <c r="G324">
        <f>Skills!G3*IF(Skills!H3&gt;0,Skills!I3/Skills!H3,1)</f>
        <v/>
      </c>
      <c r="H324">
        <f>1-(1-Skills!J3/100)^Skills!K3</f>
        <v/>
      </c>
      <c r="I324" t="inlineStr">
        <is>
          <t>1</t>
        </is>
      </c>
      <c r="J324">
        <f>(Inputs!$B$5*(1+Inputs!$B$6/100))*(F324/100)</f>
        <v/>
      </c>
      <c r="K324">
        <f>J324*(1+((Inputs!$B$11*(1+Inputs!$B$12/100))*0.01+Inputs!$B$13*0.0025)/100)*(1+Inputs!$B$14/100)*(1+IF(Inputs!$B$4="pvp",0,(1-Summary!$B$55)*(Inputs!$B$19+0+Skills!P3)+Summary!$B$55*(Inputs!$B$20+Skills!Q3))/100)*(1+Inputs!$B$15/100)*(5000/(6000+Inputs!$B$7*(1-(Inputs!$B$18+0)/100)))*(1+(Inputs!$B$23+((C343=TRUE)*(F343-Calc!F22))+B352)/100)*(1+(IF(Skills!A3="HOOK_BOMBER",Inputs!$B$16+((C342=TRUE)*(F342-Calc!F21)),Inputs!$B$17+0))/100)*((1+(((C334=TRUE)*F334)+((C340=TRUE)*(F340-Calc!F19)))/100)*I324)</f>
        <v/>
      </c>
      <c r="L324">
        <f>K324*(MIN((Inputs!$B$21+1)+((C341=TRUE)*(F341-Calc!F20)),Inputs!$B$22+0)/100+(Inputs!$B$22+0)/100)/2</f>
        <v/>
      </c>
      <c r="M324">
        <f>L324*(1+(Inputs!$B$9+0+B351)/100)</f>
        <v/>
      </c>
      <c r="N324">
        <f>L324*(1-MIN((Inputs!$B$8+((C337=TRUE)*(F337-Calc!F16))+B346),100)/100)+M324*(MIN((Inputs!$B$8+((C337=TRUE)*(F337-Calc!F16))+B346),100)/100)</f>
        <v/>
      </c>
      <c r="O324">
        <f>IF(C324,Skills!G3*H324*N324*B350*IF(Inputs!$B$4="pvp",1,(1-Summary!$B$55)*(1)+Summary!$B$55*(MIN(Skills!R3,Inputs!$B$37))),0)</f>
        <v/>
      </c>
      <c r="P324">
        <f>IF(B354=0,0,O324/B354)</f>
        <v/>
      </c>
      <c r="Q324" t="n">
        <v>0</v>
      </c>
      <c r="R324" t="n">
        <v>0</v>
      </c>
      <c r="S324">
        <f>IFERROR(O324/N324,0)</f>
        <v/>
      </c>
      <c r="U324">
        <f>INDEX(FactorTable!$B$2:$Y$301, MATCH(ROUND(MIN(300,MAX(1,U323)),0), FactorTable!$A$2:$A$301,0), 22)</f>
        <v/>
      </c>
    </row>
    <row r="325">
      <c r="A325">
        <f>Skills!A4</f>
        <v/>
      </c>
      <c r="B325">
        <f>Skills!B4</f>
        <v/>
      </c>
      <c r="C325">
        <f>Inputs!$B$3&gt;=60</f>
        <v/>
      </c>
      <c r="D325">
        <f>IF(Skills!C4=1,60+Inputs!$B$24+Inputs!$B$28,IF(Skills!C4=2,90+Inputs!$B$25+Inputs!$B$28,IF(Skills!C4=3,120+Inputs!$B$26+Inputs!$B$28,MAX(0,(Inputs!$B$3-100)*3)+Inputs!$B$27+Inputs!$B$28)))</f>
        <v/>
      </c>
      <c r="E325">
        <f>INDEX(FactorTable!$B$2:$Y$301, MATCH(ROUND(MIN(300,MAX(1,D325)),0), FactorTable!$A$2:$A$301,0), Skills!M4+1)</f>
        <v/>
      </c>
      <c r="F325">
        <f>IF(Skills!N4=TRUE,(Skills!L4/10)*(E325/1000),Skills!L4/10)+Skills!O4</f>
        <v/>
      </c>
      <c r="G325">
        <f>Skills!G4*IF(Skills!H4&gt;0,Skills!I4/Skills!H4,1)</f>
        <v/>
      </c>
      <c r="H325">
        <f>1-(1-Skills!J4/100)^Skills!K4</f>
        <v/>
      </c>
      <c r="I325" t="inlineStr">
        <is>
          <t>1</t>
        </is>
      </c>
      <c r="J325">
        <f>(Inputs!$B$5*(1+Inputs!$B$6/100))*(F325/100)</f>
        <v/>
      </c>
      <c r="K325">
        <f>J325*(1+((Inputs!$B$11*(1+Inputs!$B$12/100))*0.01+Inputs!$B$13*0.0025)/100)*(1+Inputs!$B$14/100)*(1+IF(Inputs!$B$4="pvp",0,(1-Summary!$B$55)*(Inputs!$B$19+0+Skills!P4)+Summary!$B$55*(Inputs!$B$20+Skills!Q4))/100)*(1+Inputs!$B$15/100)*(5000/(6000+Inputs!$B$7*(1-(Inputs!$B$18+0)/100)))*(1+(Inputs!$B$23+((C343=TRUE)*(F343-Calc!F22))+B352)/100)*(1+1.0*IF(C333=TRUE,F333,0)/100)*(1+(IF(Skills!A4="HOOK_BOMBER",Inputs!$B$16+((C342=TRUE)*(F342-Calc!F21)),Inputs!$B$17+0))/100)*((1+(((C334=TRUE)*F334)+((C340=TRUE)*(F340-Calc!F19)))/100)*I325)</f>
        <v/>
      </c>
      <c r="L325">
        <f>K325*(MIN((Inputs!$B$21+1)+((C341=TRUE)*(F341-Calc!F20)),Inputs!$B$22+0)/100+(Inputs!$B$22+0)/100)/2</f>
        <v/>
      </c>
      <c r="M325">
        <f>L325*(1+(Inputs!$B$9+0+B351)/100)</f>
        <v/>
      </c>
      <c r="N325">
        <f>L325*(1-MIN((Inputs!$B$8+((C337=TRUE)*(F337-Calc!F16))+B346),100)/100)+M325*(MIN((Inputs!$B$8+((C337=TRUE)*(F337-Calc!F16))+B346),100)/100)</f>
        <v/>
      </c>
      <c r="O325">
        <f>IF(C325,Skills!G4*H325*N325*B350*IF(Inputs!$B$4="pvp",1,(1-Summary!$B$55)*(1)+Summary!$B$55*(MIN(Skills!R4,Inputs!$B$37))),0)</f>
        <v/>
      </c>
      <c r="P325">
        <f>IF(B354=0,0,O325/B354)</f>
        <v/>
      </c>
      <c r="Q325" t="n">
        <v>0</v>
      </c>
      <c r="R325" t="n">
        <v>0</v>
      </c>
      <c r="S325">
        <f>IFERROR(O325/N325,0)</f>
        <v/>
      </c>
      <c r="U325">
        <f>290*U324/1000</f>
        <v/>
      </c>
    </row>
    <row r="326">
      <c r="A326">
        <f>Skills!A5</f>
        <v/>
      </c>
      <c r="B326">
        <f>Skills!B5</f>
        <v/>
      </c>
      <c r="C326">
        <f>Inputs!$B$3&gt;=60</f>
        <v/>
      </c>
      <c r="D326">
        <f>IF(Skills!C5=1,60+Inputs!$B$24+Inputs!$B$28,IF(Skills!C5=2,90+Inputs!$B$25+Inputs!$B$28,IF(Skills!C5=3,120+Inputs!$B$26+Inputs!$B$28,MAX(0,(Inputs!$B$3-100)*3)+Inputs!$B$27+Inputs!$B$28)))</f>
        <v/>
      </c>
      <c r="E326">
        <f>INDEX(FactorTable!$B$2:$Y$301, MATCH(ROUND(MIN(300,MAX(1,D326)),0), FactorTable!$A$2:$A$301,0), Skills!M5+1)</f>
        <v/>
      </c>
      <c r="F326">
        <f>IF(Skills!N5=TRUE,(Skills!L5/10)*(E326/1000),Skills!L5/10)+Skills!O5</f>
        <v/>
      </c>
      <c r="G326">
        <f>Skills!G5*IF(Skills!H5&gt;0,Skills!I5/Skills!H5,1)</f>
        <v/>
      </c>
      <c r="H326">
        <f>1-(1-Skills!J5/100)^Skills!K5</f>
        <v/>
      </c>
      <c r="I326" t="inlineStr">
        <is>
          <t>1</t>
        </is>
      </c>
      <c r="J326" t="inlineStr"/>
      <c r="K326" t="inlineStr"/>
      <c r="L326" t="inlineStr"/>
      <c r="M326" t="inlineStr"/>
      <c r="N326" t="inlineStr"/>
      <c r="O326" t="n">
        <v>0</v>
      </c>
      <c r="P326">
        <f>IF(B354=0,0,O326/B354)</f>
        <v/>
      </c>
      <c r="Q326" t="n">
        <v>0</v>
      </c>
      <c r="R326" t="n">
        <v>0</v>
      </c>
      <c r="S326">
        <f>IFERROR(O326/N326,0)</f>
        <v/>
      </c>
    </row>
    <row r="327">
      <c r="A327">
        <f>Skills!A6</f>
        <v/>
      </c>
      <c r="B327">
        <f>Skills!B6</f>
        <v/>
      </c>
      <c r="C327">
        <f>Inputs!$B$3&gt;=63</f>
        <v/>
      </c>
      <c r="D327">
        <f>IF(Skills!C6=1,60+Inputs!$B$24+Inputs!$B$28,IF(Skills!C6=2,90+Inputs!$B$25+Inputs!$B$28,IF(Skills!C6=3,120+Inputs!$B$26+Inputs!$B$28,MAX(0,(Inputs!$B$3-100)*3)+Inputs!$B$27+Inputs!$B$28)))</f>
        <v/>
      </c>
      <c r="E327">
        <f>INDEX(FactorTable!$B$2:$Y$301, MATCH(ROUND(MIN(300,MAX(1,D327)),0), FactorTable!$A$2:$A$301,0), Skills!M6+1)</f>
        <v/>
      </c>
      <c r="F327">
        <f>IF(Skills!N6=TRUE,(Skills!L6/10)*(E327/1000),Skills!L6/10)+Skills!O6</f>
        <v/>
      </c>
      <c r="G327">
        <f>Skills!G6*IF(Skills!H6&gt;0,Skills!I6/Skills!H6,1)</f>
        <v/>
      </c>
      <c r="H327">
        <f>1-(1-Skills!J6/100)^Skills!K6</f>
        <v/>
      </c>
      <c r="I327" t="inlineStr">
        <is>
          <t>1</t>
        </is>
      </c>
      <c r="J327">
        <f>(Inputs!$B$5*(1+Inputs!$B$6/100))*(F327/100)</f>
        <v/>
      </c>
      <c r="K327">
        <f>J327*(1+((Inputs!$B$11*(1+Inputs!$B$12/100))*0.01+Inputs!$B$13*0.0025)/100)*(1+Inputs!$B$14/100)*(1+IF(Inputs!$B$4="pvp",0,(1-Summary!$B$55)*(Inputs!$B$19+0+Skills!P6)+Summary!$B$55*(Inputs!$B$20+Skills!Q6))/100)*(1+Inputs!$B$15/100)*(5000/(6000+Inputs!$B$7*(1-(Inputs!$B$18+0)/100)))*(1+(Inputs!$B$23+((C343=TRUE)*(F343-Calc!F22))+B352)/100)*(1+(IF(Skills!A6="HOOK_BOMBER",Inputs!$B$16+((C342=TRUE)*(F342-Calc!F21)),Inputs!$B$17+0))/100)*((1+(((C334=TRUE)*F334)+((C340=TRUE)*(F340-Calc!F19)))/100)*I327)</f>
        <v/>
      </c>
      <c r="L327">
        <f>K327*(MIN((Inputs!$B$21+1)+((C341=TRUE)*(F341-Calc!F20)),Inputs!$B$22+0)/100+(Inputs!$B$22+0)/100)/2</f>
        <v/>
      </c>
      <c r="M327">
        <f>L327*(1+(Inputs!$B$9+0+B351)/100)</f>
        <v/>
      </c>
      <c r="N327">
        <f>L327*(1-MIN((Inputs!$B$8+((C337=TRUE)*(F337-Calc!F16))+B346),100)/100)+M327*(MIN((Inputs!$B$8+((C337=TRUE)*(F337-Calc!F16))+B346),100)/100)</f>
        <v/>
      </c>
      <c r="O327">
        <f>IF(C327,H327*N327*IF(AND(Inputs!$B$4&lt;&gt;"pvp",Inputs!$B$35&gt;0),((Skills!G6*((R327-1)*IF(Skills!H6&gt;0,Skills!I6/Skills!H6,1)+IF(Skills!H6&gt;0,MIN(Skills!I6,MAX(0,Inputs!$B$35-((R327-1)*IF(Inputs!$B$4="pvp",15,MAX(0.1,Skills!D6-IF(Skills!E6=TRUE,Inputs!$B$31,0))))))/Skills!H6,1)))/Inputs!$B$35),G327*Q327)*IF(Inputs!$B$4="pvp",1,(1-Summary!$B$55)*(1)+Summary!$B$55*(MIN(Skills!R6,Inputs!$B$37))),0)</f>
        <v/>
      </c>
      <c r="P327">
        <f>IF(B354=0,0,O327/B354)</f>
        <v/>
      </c>
      <c r="Q327">
        <f>IFERROR(1/IF(Inputs!$B$4="pvp",15,MAX(0.1,Skills!D6-IF(Skills!E6=TRUE,Inputs!$B$31,0))),0)</f>
        <v/>
      </c>
      <c r="R327">
        <f>IF(AND(Inputs!$B$4&lt;&gt;"pvp",Inputs!$B$35&gt;0),(INT(Inputs!$B$35/IF(Inputs!$B$4="pvp",15,MAX(0.1,Skills!D6-IF(Skills!E6=TRUE,Inputs!$B$31,0))))+1),0)</f>
        <v/>
      </c>
      <c r="S327">
        <f>IFERROR(O327/N327,0)</f>
        <v/>
      </c>
    </row>
    <row r="328">
      <c r="A328">
        <f>Skills!A7</f>
        <v/>
      </c>
      <c r="B328">
        <f>Skills!B7</f>
        <v/>
      </c>
      <c r="C328">
        <f>Inputs!$B$3&gt;=100</f>
        <v/>
      </c>
      <c r="D328">
        <f>IF(Skills!C7=1,60+Inputs!$B$24+Inputs!$B$28,IF(Skills!C7=2,90+Inputs!$B$25+Inputs!$B$28,IF(Skills!C7=3,120+Inputs!$B$26+Inputs!$B$28,MAX(0,(Inputs!$B$3-100)*3)+Inputs!$B$27+Inputs!$B$28)))</f>
        <v/>
      </c>
      <c r="E328">
        <f>INDEX(FactorTable!$B$2:$Y$301, MATCH(ROUND(MIN(300,MAX(1,D328)),0), FactorTable!$A$2:$A$301,0), Skills!M7+1)</f>
        <v/>
      </c>
      <c r="F328">
        <f>IF(Skills!N7=TRUE,(Skills!L7/10)*(E328/1000),Skills!L7/10)+Skills!O7</f>
        <v/>
      </c>
      <c r="G328">
        <f>Skills!G7*IF(Skills!H7&gt;0,Skills!I7/Skills!H7,1)</f>
        <v/>
      </c>
      <c r="H328">
        <f>1-(1-Skills!J7/100)^Skills!K7</f>
        <v/>
      </c>
      <c r="I328" t="inlineStr">
        <is>
          <t>1</t>
        </is>
      </c>
      <c r="J328">
        <f>(Inputs!$B$5*(1+Inputs!$B$6/100))*(F328/100)</f>
        <v/>
      </c>
      <c r="K328">
        <f>J328*(1+((Inputs!$B$11*(1+Inputs!$B$12/100))*0.01+Inputs!$B$13*0.0025)/100)*(1+Inputs!$B$14/100)*(1+IF(Inputs!$B$4="pvp",0,(1-Summary!$B$55)*(Inputs!$B$19+0+Skills!P7)+Summary!$B$55*(Inputs!$B$20+Skills!Q7))/100)*(1+Inputs!$B$15/100)*(5000/(6000+Inputs!$B$7*(1-(Inputs!$B$18+0)/100)))*(1+(Inputs!$B$23+((C343=TRUE)*(F343-Calc!F22))+B352)/100)*(1+(IF(Skills!A7="HOOK_BOMBER",Inputs!$B$16+((C342=TRUE)*(F342-Calc!F21)),Inputs!$B$17+0))/100)*((1+(((C334=TRUE)*F334)+((C340=TRUE)*(F340-Calc!F19)))/100)*I328)</f>
        <v/>
      </c>
      <c r="L328">
        <f>K328*(MIN((Inputs!$B$21+1)+((C341=TRUE)*(F341-Calc!F20)),Inputs!$B$22+0)/100+(Inputs!$B$22+0)/100)/2</f>
        <v/>
      </c>
      <c r="M328">
        <f>L328*(1+(Inputs!$B$9+0+B351)/100)</f>
        <v/>
      </c>
      <c r="N328">
        <f>L328*(1-MIN((Inputs!$B$8+((C337=TRUE)*(F337-Calc!F16))+B346),100)/100)+M328*(MIN((Inputs!$B$8+((C337=TRUE)*(F337-Calc!F16))+B346),100)/100)</f>
        <v/>
      </c>
      <c r="O328">
        <f>IF(C328,H328*N328*IF(AND(Inputs!$B$4&lt;&gt;"pvp",Inputs!$B$35&gt;0),((Skills!G7*((R328-1)*IF(Skills!H7&gt;0,Skills!I7/Skills!H7,1)+IF(Skills!H7&gt;0,MIN(Skills!I7,MAX(0,Inputs!$B$35-((R328-1)*IF(Inputs!$B$4="pvp",15,MAX(0.1,Skills!D7-IF(Skills!E7=TRUE,Inputs!$B$31,0))))))/Skills!H7,1)))/Inputs!$B$35),G328*Q328)*IF(Inputs!$B$4="pvp",1,(1-Summary!$B$55)*(1)+Summary!$B$55*(MIN(Skills!R7,Inputs!$B$37))),0)</f>
        <v/>
      </c>
      <c r="P328">
        <f>IF(B354=0,0,O328/B354)</f>
        <v/>
      </c>
      <c r="Q328">
        <f>IFERROR(1/IF(Inputs!$B$4="pvp",15,MAX(0.1,Skills!D7-IF(Skills!E7=TRUE,Inputs!$B$31,0))),0)</f>
        <v/>
      </c>
      <c r="R328">
        <f>IF(AND(Inputs!$B$4&lt;&gt;"pvp",Inputs!$B$35&gt;0),(INT(Inputs!$B$35/IF(Inputs!$B$4="pvp",15,MAX(0.1,Skills!D7-IF(Skills!E7=TRUE,Inputs!$B$31,0))))+1),0)</f>
        <v/>
      </c>
      <c r="S328">
        <f>IFERROR(O328/N328,0)</f>
        <v/>
      </c>
    </row>
    <row r="329">
      <c r="A329">
        <f>Skills!A8</f>
        <v/>
      </c>
      <c r="B329">
        <f>Skills!B8</f>
        <v/>
      </c>
      <c r="C329">
        <f>Inputs!$B$3&gt;=110</f>
        <v/>
      </c>
      <c r="D329">
        <f>IF(Skills!C8=1,60+Inputs!$B$24+Inputs!$B$28,IF(Skills!C8=2,90+Inputs!$B$25+Inputs!$B$28,IF(Skills!C8=3,120+Inputs!$B$26+Inputs!$B$28,MAX(0,(Inputs!$B$3-100)*3)+Inputs!$B$27+Inputs!$B$28)))</f>
        <v/>
      </c>
      <c r="E329">
        <f>INDEX(FactorTable!$B$2:$Y$301, MATCH(ROUND(MIN(300,MAX(1,D329)),0), FactorTable!$A$2:$A$301,0), Skills!M8+1)</f>
        <v/>
      </c>
      <c r="F329">
        <f>IF(Skills!N8=TRUE,(Skills!L8/10)*(E329/1000),Skills!L8/10)+Skills!O8</f>
        <v/>
      </c>
      <c r="G329">
        <f>Skills!G8*IF(Skills!H8&gt;0,Skills!I8/Skills!H8,1)</f>
        <v/>
      </c>
      <c r="H329">
        <f>1-(1-Skills!J8/100)^Skills!K8</f>
        <v/>
      </c>
      <c r="I329" t="inlineStr">
        <is>
          <t>1</t>
        </is>
      </c>
      <c r="J329">
        <f>(Inputs!$B$5*(1+Inputs!$B$6/100))*(F329/100)</f>
        <v/>
      </c>
      <c r="K329">
        <f>J329*(1+((Inputs!$B$11*(1+Inputs!$B$12/100))*0.01+Inputs!$B$13*0.0025)/100)*(1+Inputs!$B$14/100)*(1+IF(Inputs!$B$4="pvp",0,(1-Summary!$B$55)*(Inputs!$B$19+0+Skills!P8)+Summary!$B$55*(Inputs!$B$20+Skills!Q8))/100)*(1+Inputs!$B$15/100)*(5000/(6000+Inputs!$B$7*(1-(Inputs!$B$18+0)/100)))*(1+(Inputs!$B$23+((C343=TRUE)*(F343-Calc!F22))+B352)/100)*(1+(IF(Skills!A8="HOOK_BOMBER",Inputs!$B$16+((C342=TRUE)*(F342-Calc!F21)),Inputs!$B$17+0))/100)*((1+(((C334=TRUE)*F334)+((C340=TRUE)*(F340-Calc!F19)))/100)*I329)</f>
        <v/>
      </c>
      <c r="L329">
        <f>K329*(MIN((Inputs!$B$21+1)+((C341=TRUE)*(F341-Calc!F20)),Inputs!$B$22+0)/100+(Inputs!$B$22+0)/100)/2</f>
        <v/>
      </c>
      <c r="M329">
        <f>L329*(1+(Inputs!$B$9+0+B351)/100)</f>
        <v/>
      </c>
      <c r="N329">
        <f>L329*(1-MIN((Inputs!$B$8+((C337=TRUE)*(F337-Calc!F16))+B346),100)/100)+M329*(MIN((Inputs!$B$8+((C337=TRUE)*(F337-Calc!F16))+B346),100)/100)</f>
        <v/>
      </c>
      <c r="O329">
        <f>IF(C329,H329*N329*IF(AND(Inputs!$B$4&lt;&gt;"pvp",Inputs!$B$35&gt;0),((Skills!G8*((R329-1)*IF(Skills!H8&gt;0,Skills!I8/Skills!H8,1)+IF(Skills!H8&gt;0,MIN(Skills!I8,MAX(0,Inputs!$B$35-((R329-1)*IF(Inputs!$B$4="pvp",15,MAX(0.1,Skills!D8-IF(Skills!E8=TRUE,Inputs!$B$31,0))))))/Skills!H8,1)))/Inputs!$B$35),G329*Q329)*IF(Inputs!$B$4="pvp",1,(1-Summary!$B$55)*(1)+Summary!$B$55*(MIN(Skills!R8,Inputs!$B$37))),0)</f>
        <v/>
      </c>
      <c r="P329">
        <f>IF(B354=0,0,O329/B354)</f>
        <v/>
      </c>
      <c r="Q329">
        <f>IFERROR(1/IF(Inputs!$B$4="pvp",15,MAX(0.1,Skills!D8-IF(Skills!E8=TRUE,Inputs!$B$31,0))),0)</f>
        <v/>
      </c>
      <c r="R329">
        <f>IF(AND(Inputs!$B$4&lt;&gt;"pvp",Inputs!$B$35&gt;0),(INT(Inputs!$B$35/IF(Inputs!$B$4="pvp",15,MAX(0.1,Skills!D8-IF(Skills!E8=TRUE,Inputs!$B$31,0))))+1),0)</f>
        <v/>
      </c>
      <c r="S329">
        <f>IFERROR(O329/N329,0)</f>
        <v/>
      </c>
    </row>
    <row r="330">
      <c r="A330">
        <f>Skills!A9</f>
        <v/>
      </c>
      <c r="B330">
        <f>Skills!B9</f>
        <v/>
      </c>
      <c r="C330">
        <f>Inputs!$B$3&gt;=110</f>
        <v/>
      </c>
      <c r="D330">
        <f>IF(Skills!C9=1,60+Inputs!$B$24+Inputs!$B$28,IF(Skills!C9=2,90+Inputs!$B$25+Inputs!$B$28,IF(Skills!C9=3,120+Inputs!$B$26+Inputs!$B$28,MAX(0,(Inputs!$B$3-100)*3)+Inputs!$B$27+Inputs!$B$28)))</f>
        <v/>
      </c>
      <c r="E330">
        <f>INDEX(FactorTable!$B$2:$Y$301, MATCH(ROUND(MIN(300,MAX(1,D330)),0), FactorTable!$A$2:$A$301,0), Skills!M9+1)</f>
        <v/>
      </c>
      <c r="F330">
        <f>IF(Skills!N9=TRUE,(Skills!L9/10)*(E330/1000),Skills!L9/10)+Skills!O9</f>
        <v/>
      </c>
      <c r="G330">
        <f>Skills!G9*IF(Skills!H9&gt;0,Skills!I9/Skills!H9,1)</f>
        <v/>
      </c>
      <c r="H330">
        <f>1-(1-Skills!J9/100)^Skills!K9</f>
        <v/>
      </c>
      <c r="I330" t="inlineStr">
        <is>
          <t>1</t>
        </is>
      </c>
      <c r="J330">
        <f>(Inputs!$B$5*(1+Inputs!$B$6/100))*(F330/100)</f>
        <v/>
      </c>
      <c r="K330">
        <f>J330*(1+((Inputs!$B$11*(1+Inputs!$B$12/100))*0.01+Inputs!$B$13*0.0025)/100)*(1+Inputs!$B$14/100)*(1+IF(Inputs!$B$4="pvp",0,(1-Summary!$B$55)*(Inputs!$B$19+0+Skills!P9)+Summary!$B$55*(Inputs!$B$20+Skills!Q9))/100)*(1+Inputs!$B$15/100)*(5000/(6000+Inputs!$B$7*(1-(Inputs!$B$18+0)/100)))*(1+(Inputs!$B$23+((C343=TRUE)*(F343-Calc!F22))+B352)/100)*(1+(IF(Skills!A9="HOOK_BOMBER",Inputs!$B$16+((C342=TRUE)*(F342-Calc!F21)),Inputs!$B$17+0))/100)*((1+(((C334=TRUE)*F334)+((C340=TRUE)*(F340-Calc!F19)))/100)*I330)</f>
        <v/>
      </c>
      <c r="L330">
        <f>K330*(MIN((Inputs!$B$21+1)+((C341=TRUE)*(F341-Calc!F20)),Inputs!$B$22+0)/100+(Inputs!$B$22+0)/100)/2</f>
        <v/>
      </c>
      <c r="M330">
        <f>L330*(1+(Inputs!$B$9+0+B351)/100)</f>
        <v/>
      </c>
      <c r="N330">
        <f>L330*(1-MIN((Inputs!$B$8+((C337=TRUE)*(F337-Calc!F16))+B346),100)/100)+M330*(MIN((Inputs!$B$8+((C337=TRUE)*(F337-Calc!F16))+B346),100)/100)</f>
        <v/>
      </c>
      <c r="O330">
        <f>IF(C330,H330*N330*IF(AND(Inputs!$B$4&lt;&gt;"pvp",Inputs!$B$35&gt;0),((Skills!G9*((R330-1)*IF(Skills!H9&gt;0,Skills!I9/Skills!H9,1)+IF(Skills!H9&gt;0,MIN(Skills!I9,MAX(0,Inputs!$B$35-((R330-1)*IF(Inputs!$B$4="pvp",15,MAX(0.1,Skills!D9-IF(Skills!E9=TRUE,Inputs!$B$31,0))))))/Skills!H9,1)))/Inputs!$B$35),G330*Q330)*IF(Inputs!$B$4="pvp",1,(1-Summary!$B$55)*(1)+Summary!$B$55*(MIN(Skills!R9,Inputs!$B$37))),0)</f>
        <v/>
      </c>
      <c r="P330">
        <f>IF(B354=0,0,O330/B354)</f>
        <v/>
      </c>
      <c r="Q330">
        <f>IFERROR(1/IF(Inputs!$B$4="pvp",15,MAX(0.1,Skills!D9-IF(Skills!E9=TRUE,Inputs!$B$31,0))),0)</f>
        <v/>
      </c>
      <c r="R330">
        <f>IF(AND(Inputs!$B$4&lt;&gt;"pvp",Inputs!$B$35&gt;0),(INT(Inputs!$B$35/IF(Inputs!$B$4="pvp",15,MAX(0.1,Skills!D9-IF(Skills!E9=TRUE,Inputs!$B$31,0))))+1),0)</f>
        <v/>
      </c>
      <c r="S330">
        <f>IFERROR(O330/N330,0)</f>
        <v/>
      </c>
    </row>
    <row r="331">
      <c r="A331">
        <f>Skills!A10</f>
        <v/>
      </c>
      <c r="B331">
        <f>Skills!B10</f>
        <v/>
      </c>
      <c r="C331">
        <f>Inputs!$B$3&gt;=103</f>
        <v/>
      </c>
      <c r="D331">
        <f>IF(Skills!C10=1,60+Inputs!$B$24+Inputs!$B$28,IF(Skills!C10=2,90+Inputs!$B$25+Inputs!$B$28,IF(Skills!C10=3,120+Inputs!$B$26+Inputs!$B$28,MAX(0,(Inputs!$B$3-100)*3)+Inputs!$B$27+Inputs!$B$28)))</f>
        <v/>
      </c>
      <c r="E331">
        <f>INDEX(FactorTable!$B$2:$Y$301, MATCH(ROUND(MIN(300,MAX(1,D331)),0), FactorTable!$A$2:$A$301,0), Skills!M10+1)</f>
        <v/>
      </c>
      <c r="F331">
        <f>IF(Skills!N10=TRUE,(Skills!L10/10)*(E331/1000),Skills!L10/10)+Skills!O10</f>
        <v/>
      </c>
      <c r="G331">
        <f>Skills!G10*IF(Skills!H10&gt;0,Skills!I10/Skills!H10,1)</f>
        <v/>
      </c>
      <c r="H331">
        <f>1-(1-Skills!J10/100)^Skills!K10</f>
        <v/>
      </c>
      <c r="I331" t="inlineStr">
        <is>
          <t>1</t>
        </is>
      </c>
      <c r="J331">
        <f>(Inputs!$B$5*(1+Inputs!$B$6/100))*(F331/100)</f>
        <v/>
      </c>
      <c r="K331">
        <f>J331*(1+((Inputs!$B$11*(1+Inputs!$B$12/100))*0.01+Inputs!$B$13*0.0025)/100)*(1+Inputs!$B$14/100)*(1+IF(Inputs!$B$4="pvp",0,(1-Summary!$B$55)*(Inputs!$B$19+0+Skills!P10)+Summary!$B$55*(Inputs!$B$20+Skills!Q10))/100)*(1+Inputs!$B$15/100)*(5000/(6000+Inputs!$B$7*(1-(Inputs!$B$18+0)/100)))*(1+(Inputs!$B$23+((C343=TRUE)*(F343-Calc!F22))+B352)/100)*(1+(IF(Skills!A10="HOOK_BOMBER",Inputs!$B$16+((C342=TRUE)*(F342-Calc!F21)),Inputs!$B$17+0))/100)*((1+(((C334=TRUE)*F334)+((C340=TRUE)*(F340-Calc!F19)))/100)*I331)</f>
        <v/>
      </c>
      <c r="L331">
        <f>K331*(MIN((Inputs!$B$21+1)+((C341=TRUE)*(F341-Calc!F20)),Inputs!$B$22+0)/100+(Inputs!$B$22+0)/100)/2</f>
        <v/>
      </c>
      <c r="M331">
        <f>L331*(1+(Inputs!$B$9+0+B351)/100)</f>
        <v/>
      </c>
      <c r="N331">
        <f>L331*(1-MIN((Inputs!$B$8+((C337=TRUE)*(F337-Calc!F16))+B346),100)/100)+M331*(MIN((Inputs!$B$8+((C337=TRUE)*(F337-Calc!F16))+B346),100)/100)</f>
        <v/>
      </c>
      <c r="O331">
        <f>IF(C331,H331*N331*IF(AND(Inputs!$B$4&lt;&gt;"pvp",Inputs!$B$35&gt;0),((Skills!G10*((R331-1)*IF(Skills!H10&gt;0,Skills!I10/Skills!H10,1)+IF(Skills!H10&gt;0,MIN(Skills!I10,MAX(0,Inputs!$B$35-((R331-1)*IF(Inputs!$B$4="pvp",15,MAX(0.1,Skills!D10-IF(Skills!E10=TRUE,Inputs!$B$31,0))))))/Skills!H10,1)))/Inputs!$B$35),G331*Q331)*IF(Inputs!$B$4="pvp",1,(1-Summary!$B$55)*(1)+Summary!$B$55*(MIN(Skills!R10,Inputs!$B$37))),0)</f>
        <v/>
      </c>
      <c r="P331">
        <f>IF(B354=0,0,O331/B354)</f>
        <v/>
      </c>
      <c r="Q331">
        <f>IFERROR(1/IF(Inputs!$B$4="pvp",15,MAX(0.1,Skills!D10-IF(Skills!E10=TRUE,Inputs!$B$31,0))),0)</f>
        <v/>
      </c>
      <c r="R331">
        <f>IF(AND(Inputs!$B$4&lt;&gt;"pvp",Inputs!$B$35&gt;0),(INT(Inputs!$B$35/IF(Inputs!$B$4="pvp",15,MAX(0.1,Skills!D10-IF(Skills!E10=TRUE,Inputs!$B$31,0))))+1),0)</f>
        <v/>
      </c>
      <c r="S331">
        <f>IFERROR(O331/N331,0)</f>
        <v/>
      </c>
    </row>
    <row r="332">
      <c r="A332">
        <f>Skills!A11</f>
        <v/>
      </c>
      <c r="B332">
        <f>Skills!B11</f>
        <v/>
      </c>
      <c r="C332">
        <f>Inputs!$B$3&gt;=113</f>
        <v/>
      </c>
      <c r="D332">
        <f>IF(Skills!C11=1,60+Inputs!$B$24+Inputs!$B$28,IF(Skills!C11=2,90+Inputs!$B$25+Inputs!$B$28,IF(Skills!C11=3,120+Inputs!$B$26+Inputs!$B$28,MAX(0,(Inputs!$B$3-100)*3)+Inputs!$B$27+Inputs!$B$28)))</f>
        <v/>
      </c>
      <c r="E332">
        <f>INDEX(FactorTable!$B$2:$Y$301, MATCH(ROUND(MIN(300,MAX(1,D332)),0), FactorTable!$A$2:$A$301,0), Skills!M11+1)</f>
        <v/>
      </c>
      <c r="F332">
        <f>IF(Skills!N11=TRUE,(Skills!L11/10)*(E332/1000),Skills!L11/10)+Skills!O11</f>
        <v/>
      </c>
      <c r="G332">
        <f>Skills!G11*IF(Skills!H11&gt;0,Skills!I11/Skills!H11,1)</f>
        <v/>
      </c>
      <c r="H332">
        <f>1-(1-Skills!J11/100)^Skills!K11</f>
        <v/>
      </c>
      <c r="I332" t="inlineStr">
        <is>
          <t>1</t>
        </is>
      </c>
      <c r="J332">
        <f>(Inputs!$B$5*(1+Inputs!$B$6/100))*(F332/100)</f>
        <v/>
      </c>
      <c r="K332">
        <f>J332*(1+((Inputs!$B$11*(1+Inputs!$B$12/100))*0.01+Inputs!$B$13*0.0025)/100)*(1+Inputs!$B$14/100)*(1+IF(Inputs!$B$4="pvp",0,(1-Summary!$B$55)*(Inputs!$B$19+0+Skills!P11)+Summary!$B$55*(Inputs!$B$20+Skills!Q11))/100)*(1+Inputs!$B$15/100)*(5000/(6000+Inputs!$B$7*(1-(Inputs!$B$18+0)/100)))*(1+(Inputs!$B$23+((C343=TRUE)*(F343-Calc!F22))+B352)/100)*(1+(IF(Skills!A11="HOOK_BOMBER",Inputs!$B$16+((C342=TRUE)*(F342-Calc!F21)),Inputs!$B$17+0))/100)*((1+(((C334=TRUE)*F334)+((C340=TRUE)*(F340-Calc!F19)))/100)*I332)</f>
        <v/>
      </c>
      <c r="L332">
        <f>K332*(MIN((Inputs!$B$21+1)+((C341=TRUE)*(F341-Calc!F20)),Inputs!$B$22+0)/100+(Inputs!$B$22+0)/100)/2</f>
        <v/>
      </c>
      <c r="M332">
        <f>L332*(1+(Inputs!$B$9+0+B351)/100)</f>
        <v/>
      </c>
      <c r="N332">
        <f>L332*(1-MIN((Inputs!$B$8+((C337=TRUE)*(F337-Calc!F16))+B346),100)/100)+M332*(MIN((Inputs!$B$8+((C337=TRUE)*(F337-Calc!F16))+B346),100)/100)</f>
        <v/>
      </c>
      <c r="O332">
        <f>IF(C332,H332*N332*IF(AND(Inputs!$B$4&lt;&gt;"pvp",Inputs!$B$35&gt;0),((Skills!G11*((R332-1)*IF(Skills!H11&gt;0,Skills!I11/Skills!H11,1)+IF(Skills!H11&gt;0,MIN(Skills!I11,MAX(0,Inputs!$B$35-((R332-1)*IF(Inputs!$B$4="pvp",15,MAX(0.1,Skills!D11-IF(Skills!E11=TRUE,Inputs!$B$31,0))))))/Skills!H11,1)))/Inputs!$B$35),G332*Q332)*IF(Inputs!$B$4="pvp",1,(1-Summary!$B$55)*(1)+Summary!$B$55*(MIN(Skills!R11,Inputs!$B$37))),0)</f>
        <v/>
      </c>
      <c r="P332">
        <f>IF(B354=0,0,O332/B354)</f>
        <v/>
      </c>
      <c r="Q332">
        <f>IFERROR(1/IF(Inputs!$B$4="pvp",15,MAX(0.1,Skills!D11-IF(Skills!E11=TRUE,Inputs!$B$31,0))),0)</f>
        <v/>
      </c>
      <c r="R332">
        <f>IF(AND(Inputs!$B$4&lt;&gt;"pvp",Inputs!$B$35&gt;0),(INT(Inputs!$B$35/IF(Inputs!$B$4="pvp",15,MAX(0.1,Skills!D11-IF(Skills!E11=TRUE,Inputs!$B$31,0))))+1),0)</f>
        <v/>
      </c>
      <c r="S332">
        <f>IFERROR(O332/N332,0)</f>
        <v/>
      </c>
    </row>
    <row r="333">
      <c r="A333">
        <f>Skills!A12</f>
        <v/>
      </c>
      <c r="B333">
        <f>Skills!B12</f>
        <v/>
      </c>
      <c r="C333">
        <f>Inputs!$B$3&gt;=100</f>
        <v/>
      </c>
      <c r="D333">
        <f>IF(Skills!C12=1,60+Inputs!$B$24+Inputs!$B$28,IF(Skills!C12=2,90+Inputs!$B$25+Inputs!$B$28,IF(Skills!C12=3,120+Inputs!$B$26+Inputs!$B$28,MAX(0,(Inputs!$B$3-100)*3)+Inputs!$B$27+Inputs!$B$28)))</f>
        <v/>
      </c>
      <c r="E333">
        <f>INDEX(FactorTable!$B$2:$Y$301, MATCH(ROUND(MIN(300,MAX(1,D333)),0), FactorTable!$A$2:$A$301,0), Skills!M12+1)</f>
        <v/>
      </c>
      <c r="F333">
        <f>IF(Skills!N12=TRUE,(Skills!L12/10)*(E333/1000),Skills!L12/10)+Skills!O12</f>
        <v/>
      </c>
      <c r="G333" t="inlineStr"/>
      <c r="H333" t="inlineStr"/>
      <c r="I333" t="inlineStr">
        <is>
          <t>1</t>
        </is>
      </c>
      <c r="J333" t="inlineStr"/>
      <c r="K333" t="inlineStr"/>
      <c r="L333" t="inlineStr"/>
      <c r="M333" t="inlineStr"/>
      <c r="N333" t="inlineStr"/>
      <c r="O333" t="inlineStr"/>
      <c r="P333" t="inlineStr"/>
      <c r="Q333" t="inlineStr"/>
      <c r="R333" t="inlineStr"/>
      <c r="S333" t="inlineStr"/>
    </row>
    <row r="334">
      <c r="A334">
        <f>Skills!A13</f>
        <v/>
      </c>
      <c r="B334">
        <f>Skills!B13</f>
        <v/>
      </c>
      <c r="C334">
        <f>Inputs!$B$3&gt;=66</f>
        <v/>
      </c>
      <c r="D334">
        <f>IF(Skills!C13=1,60+Inputs!$B$24+Inputs!$B$28,IF(Skills!C13=2,90+Inputs!$B$25+Inputs!$B$28,IF(Skills!C13=3,120+Inputs!$B$26+Inputs!$B$28,MAX(0,(Inputs!$B$3-100)*3)+Inputs!$B$27+Inputs!$B$28)))</f>
        <v/>
      </c>
      <c r="E334">
        <f>INDEX(FactorTable!$B$2:$Y$301, MATCH(ROUND(MIN(300,MAX(1,D334)),0), FactorTable!$A$2:$A$301,0), Skills!M13+1)</f>
        <v/>
      </c>
      <c r="F334">
        <f>IF(Skills!N13=TRUE,(Skills!L13/10)*(E334/1000),Skills!L13/10)+Skills!O13</f>
        <v/>
      </c>
      <c r="G334">
        <f>Skills!G13*IF(Skills!H13&gt;0,Skills!I13/Skills!H13,1)</f>
        <v/>
      </c>
      <c r="H334">
        <f>1-(1-Skills!J13/100)^Skills!K13</f>
        <v/>
      </c>
      <c r="I334" t="inlineStr">
        <is>
          <t>1</t>
        </is>
      </c>
      <c r="J334" t="inlineStr"/>
      <c r="K334" t="inlineStr"/>
      <c r="L334" t="inlineStr"/>
      <c r="M334" t="inlineStr"/>
      <c r="N334" t="inlineStr"/>
      <c r="O334" t="n">
        <v>0</v>
      </c>
      <c r="P334">
        <f>IF(B354=0,0,O334/B354)</f>
        <v/>
      </c>
      <c r="Q334" t="n">
        <v>0</v>
      </c>
      <c r="R334" t="n">
        <v>0</v>
      </c>
      <c r="S334">
        <f>IFERROR(O334/N334,0)</f>
        <v/>
      </c>
    </row>
    <row r="335">
      <c r="A335">
        <f>Skills!A14</f>
        <v/>
      </c>
      <c r="B335">
        <f>Skills!B14</f>
        <v/>
      </c>
      <c r="C335">
        <f>Inputs!$B$3&gt;=107</f>
        <v/>
      </c>
      <c r="D335">
        <f>IF(Skills!C14=1,60+Inputs!$B$24+Inputs!$B$28,IF(Skills!C14=2,90+Inputs!$B$25+Inputs!$B$28,IF(Skills!C14=3,120+Inputs!$B$26+Inputs!$B$28,MAX(0,(Inputs!$B$3-100)*3)+Inputs!$B$27+Inputs!$B$28)))</f>
        <v/>
      </c>
      <c r="E335">
        <f>INDEX(FactorTable!$B$2:$Y$301, MATCH(ROUND(MIN(300,MAX(1,D335)),0), FactorTable!$A$2:$A$301,0), Skills!M14+1)</f>
        <v/>
      </c>
      <c r="F335">
        <f>IF(Skills!N14=TRUE,(Skills!L14/10)*(E335/1000),Skills!L14/10)+Skills!O14</f>
        <v/>
      </c>
      <c r="G335">
        <f>Skills!G14*IF(Skills!H14&gt;0,Skills!I14/Skills!H14,1)</f>
        <v/>
      </c>
      <c r="H335">
        <f>1-(1-Skills!J14/100)^Skills!K14</f>
        <v/>
      </c>
      <c r="I335" t="inlineStr">
        <is>
          <t>1</t>
        </is>
      </c>
      <c r="J335" t="inlineStr"/>
      <c r="K335" t="inlineStr"/>
      <c r="L335" t="inlineStr"/>
      <c r="M335" t="inlineStr"/>
      <c r="N335" t="inlineStr"/>
      <c r="O335" t="n">
        <v>0</v>
      </c>
      <c r="P335">
        <f>IF(B354=0,0,O335/B354)</f>
        <v/>
      </c>
      <c r="Q335" t="n">
        <v>0</v>
      </c>
      <c r="R335" t="n">
        <v>0</v>
      </c>
      <c r="S335">
        <f>IFERROR(O335/N335,0)</f>
        <v/>
      </c>
    </row>
    <row r="336">
      <c r="A336">
        <f>Skills!A15</f>
        <v/>
      </c>
      <c r="B336">
        <f>Skills!B15</f>
        <v/>
      </c>
      <c r="C336">
        <f>Inputs!$B$3&gt;=115</f>
        <v/>
      </c>
      <c r="D336">
        <f>IF(Skills!C15=1,60+Inputs!$B$24+Inputs!$B$28,IF(Skills!C15=2,90+Inputs!$B$25+Inputs!$B$28,IF(Skills!C15=3,120+Inputs!$B$26+Inputs!$B$28,MAX(0,(Inputs!$B$3-100)*3)+Inputs!$B$27+Inputs!$B$28)))</f>
        <v/>
      </c>
      <c r="E336">
        <f>INDEX(FactorTable!$B$2:$Y$301, MATCH(ROUND(MIN(300,MAX(1,D336)),0), FactorTable!$A$2:$A$301,0), Skills!M15+1)</f>
        <v/>
      </c>
      <c r="F336">
        <f>IF(Skills!N15=TRUE,(Skills!L15/10)*(E336/1000),Skills!L15/10)+Skills!O15</f>
        <v/>
      </c>
      <c r="G336">
        <f>Skills!G15*IF(Skills!H15&gt;0,Skills!I15/Skills!H15,1)</f>
        <v/>
      </c>
      <c r="H336">
        <f>1-(1-Skills!J15/100)^Skills!K15</f>
        <v/>
      </c>
      <c r="I336" t="inlineStr">
        <is>
          <t>1</t>
        </is>
      </c>
      <c r="J336" t="inlineStr"/>
      <c r="K336" t="inlineStr"/>
      <c r="L336" t="inlineStr"/>
      <c r="M336" t="inlineStr"/>
      <c r="N336" t="inlineStr"/>
      <c r="O336" t="n">
        <v>0</v>
      </c>
      <c r="P336">
        <f>IF(B354=0,0,O336/B354)</f>
        <v/>
      </c>
      <c r="Q336" t="n">
        <v>0</v>
      </c>
      <c r="R336" t="n">
        <v>0</v>
      </c>
      <c r="S336">
        <f>IFERROR(O336/N336,0)</f>
        <v/>
      </c>
    </row>
    <row r="337">
      <c r="A337">
        <f>Skills!A16</f>
        <v/>
      </c>
      <c r="B337">
        <f>Skills!B16</f>
        <v/>
      </c>
      <c r="C337">
        <f>Inputs!$B$3&gt;=15</f>
        <v/>
      </c>
      <c r="D337">
        <f>IF(Skills!C16=1,60+Inputs!$B$24+Inputs!$B$28,IF(Skills!C16=2,90+Inputs!$B$25+Inputs!$B$28,IF(Skills!C16=3,120+Inputs!$B$26+Inputs!$B$28,MAX(0,(Inputs!$B$3-100)*3)+Inputs!$B$27+Inputs!$B$28)))</f>
        <v/>
      </c>
      <c r="E337">
        <f>INDEX(FactorTable!$B$2:$Y$301, MATCH(ROUND(MIN(300,MAX(1,D337)),0), FactorTable!$A$2:$A$301,0), Skills!M16+1)</f>
        <v/>
      </c>
      <c r="F337">
        <f>IF(Skills!N16=TRUE,(Skills!L16/10)*(E337/1000),Skills!L16/10)+Skills!O16</f>
        <v/>
      </c>
      <c r="G337">
        <f>Skills!G16*IF(Skills!H16&gt;0,Skills!I16/Skills!H16,1)</f>
        <v/>
      </c>
      <c r="H337">
        <f>1-(1-Skills!J16/100)^Skills!K16</f>
        <v/>
      </c>
      <c r="I337" t="inlineStr">
        <is>
          <t>1</t>
        </is>
      </c>
      <c r="J337" t="inlineStr"/>
      <c r="K337" t="inlineStr"/>
      <c r="L337" t="inlineStr"/>
      <c r="M337" t="inlineStr"/>
      <c r="N337" t="inlineStr"/>
      <c r="O337" t="n">
        <v>0</v>
      </c>
      <c r="P337">
        <f>IF(B354=0,0,O337/B354)</f>
        <v/>
      </c>
      <c r="Q337" t="n">
        <v>0</v>
      </c>
      <c r="R337" t="n">
        <v>0</v>
      </c>
      <c r="S337">
        <f>IFERROR(O337/N337,0)</f>
        <v/>
      </c>
    </row>
    <row r="338">
      <c r="A338">
        <f>Skills!A17</f>
        <v/>
      </c>
      <c r="B338">
        <f>Skills!B17</f>
        <v/>
      </c>
      <c r="C338">
        <f>Inputs!$B$3&gt;=10</f>
        <v/>
      </c>
      <c r="D338">
        <f>IF(Skills!C17=1,60+Inputs!$B$24+Inputs!$B$28,IF(Skills!C17=2,90+Inputs!$B$25+Inputs!$B$28,IF(Skills!C17=3,120+Inputs!$B$26+Inputs!$B$28,MAX(0,(Inputs!$B$3-100)*3)+Inputs!$B$27+Inputs!$B$28)))</f>
        <v/>
      </c>
      <c r="E338">
        <f>INDEX(FactorTable!$B$2:$Y$301, MATCH(ROUND(MIN(300,MAX(1,D338)),0), FactorTable!$A$2:$A$301,0), Skills!M17+1)</f>
        <v/>
      </c>
      <c r="F338">
        <f>IF(Skills!N17=TRUE,(Skills!L17/10)*(E338/1000),Skills!L17/10)+Skills!O17</f>
        <v/>
      </c>
      <c r="G338">
        <f>Skills!G17*IF(Skills!H17&gt;0,Skills!I17/Skills!H17,1)</f>
        <v/>
      </c>
      <c r="H338">
        <f>1-(1-Skills!J17/100)^Skills!K17</f>
        <v/>
      </c>
      <c r="I338" t="inlineStr">
        <is>
          <t>1</t>
        </is>
      </c>
      <c r="J338" t="inlineStr"/>
      <c r="K338" t="inlineStr"/>
      <c r="L338" t="inlineStr"/>
      <c r="M338" t="inlineStr"/>
      <c r="N338" t="inlineStr"/>
      <c r="O338" t="n">
        <v>0</v>
      </c>
      <c r="P338">
        <f>IF(B354=0,0,O338/B354)</f>
        <v/>
      </c>
      <c r="Q338" t="n">
        <v>0</v>
      </c>
      <c r="R338" t="n">
        <v>0</v>
      </c>
      <c r="S338">
        <f>IFERROR(O338/N338,0)</f>
        <v/>
      </c>
    </row>
    <row r="339">
      <c r="A339">
        <f>Skills!A18</f>
        <v/>
      </c>
      <c r="B339">
        <f>Skills!B18</f>
        <v/>
      </c>
      <c r="C339">
        <f>Inputs!$B$3&gt;=33</f>
        <v/>
      </c>
      <c r="D339">
        <f>IF(Skills!C18=1,60+Inputs!$B$24+Inputs!$B$28,IF(Skills!C18=2,90+Inputs!$B$25+Inputs!$B$28,IF(Skills!C18=3,120+Inputs!$B$26+Inputs!$B$28,MAX(0,(Inputs!$B$3-100)*3)+Inputs!$B$27+Inputs!$B$28)))</f>
        <v/>
      </c>
      <c r="E339">
        <f>INDEX(FactorTable!$B$2:$Y$301, MATCH(ROUND(MIN(300,MAX(1,D339)),0), FactorTable!$A$2:$A$301,0), Skills!M18+1)</f>
        <v/>
      </c>
      <c r="F339">
        <f>IF(Skills!N18=TRUE,(Skills!L18/10)*(E339/1000),Skills!L18/10)+Skills!O18</f>
        <v/>
      </c>
      <c r="G339">
        <f>Skills!G18*IF(Skills!H18&gt;0,Skills!I18/Skills!H18,1)</f>
        <v/>
      </c>
      <c r="H339">
        <f>1-(1-Skills!J18/100)^Skills!K18</f>
        <v/>
      </c>
      <c r="I339" t="inlineStr">
        <is>
          <t>1</t>
        </is>
      </c>
      <c r="J339" t="inlineStr"/>
      <c r="K339" t="inlineStr"/>
      <c r="L339" t="inlineStr"/>
      <c r="M339" t="inlineStr"/>
      <c r="N339" t="inlineStr"/>
      <c r="O339" t="n">
        <v>0</v>
      </c>
      <c r="P339">
        <f>IF(B354=0,0,O339/B354)</f>
        <v/>
      </c>
      <c r="Q339" t="n">
        <v>0</v>
      </c>
      <c r="R339" t="n">
        <v>0</v>
      </c>
      <c r="S339">
        <f>IFERROR(O339/N339,0)</f>
        <v/>
      </c>
    </row>
    <row r="340">
      <c r="A340">
        <f>Skills!A19</f>
        <v/>
      </c>
      <c r="B340">
        <f>Skills!B19</f>
        <v/>
      </c>
      <c r="C340">
        <f>Inputs!$B$3&gt;=40</f>
        <v/>
      </c>
      <c r="D340">
        <f>IF(Skills!C19=1,60+Inputs!$B$24+Inputs!$B$28,IF(Skills!C19=2,90+Inputs!$B$25+Inputs!$B$28,IF(Skills!C19=3,120+Inputs!$B$26+Inputs!$B$28,MAX(0,(Inputs!$B$3-100)*3)+Inputs!$B$27+Inputs!$B$28)))</f>
        <v/>
      </c>
      <c r="E340">
        <f>INDEX(FactorTable!$B$2:$Y$301, MATCH(ROUND(MIN(300,MAX(1,D340)),0), FactorTable!$A$2:$A$301,0), Skills!M19+1)</f>
        <v/>
      </c>
      <c r="F340">
        <f>IF(Skills!N19=TRUE,(Skills!L19/10)*(E340/1000),Skills!L19/10)+Skills!O19</f>
        <v/>
      </c>
      <c r="G340">
        <f>Skills!G19*IF(Skills!H19&gt;0,Skills!I19/Skills!H19,1)</f>
        <v/>
      </c>
      <c r="H340">
        <f>1-(1-Skills!J19/100)^Skills!K19</f>
        <v/>
      </c>
      <c r="I340" t="inlineStr">
        <is>
          <t>1</t>
        </is>
      </c>
      <c r="J340" t="inlineStr"/>
      <c r="K340" t="inlineStr"/>
      <c r="L340" t="inlineStr"/>
      <c r="M340" t="inlineStr"/>
      <c r="N340" t="inlineStr"/>
      <c r="O340" t="n">
        <v>0</v>
      </c>
      <c r="P340">
        <f>IF(B354=0,0,O340/B354)</f>
        <v/>
      </c>
      <c r="Q340" t="n">
        <v>0</v>
      </c>
      <c r="R340" t="n">
        <v>0</v>
      </c>
      <c r="S340">
        <f>IFERROR(O340/N340,0)</f>
        <v/>
      </c>
    </row>
    <row r="341">
      <c r="A341">
        <f>Skills!A20</f>
        <v/>
      </c>
      <c r="B341">
        <f>Skills!B20</f>
        <v/>
      </c>
      <c r="C341">
        <f>Inputs!$B$3&gt;=43</f>
        <v/>
      </c>
      <c r="D341">
        <f>IF(Skills!C20=1,60+Inputs!$B$24+Inputs!$B$28,IF(Skills!C20=2,90+Inputs!$B$25+Inputs!$B$28,IF(Skills!C20=3,120+Inputs!$B$26+Inputs!$B$28,MAX(0,(Inputs!$B$3-100)*3)+Inputs!$B$27+Inputs!$B$28)))</f>
        <v/>
      </c>
      <c r="E341">
        <f>INDEX(FactorTable!$B$2:$Y$301, MATCH(ROUND(MIN(300,MAX(1,D341)),0), FactorTable!$A$2:$A$301,0), Skills!M20+1)</f>
        <v/>
      </c>
      <c r="F341">
        <f>IF(Skills!N20=TRUE,(Skills!L20/10)*(E341/1000),Skills!L20/10)+Skills!O20</f>
        <v/>
      </c>
      <c r="G341">
        <f>Skills!G20*IF(Skills!H20&gt;0,Skills!I20/Skills!H20,1)</f>
        <v/>
      </c>
      <c r="H341">
        <f>1-(1-Skills!J20/100)^Skills!K20</f>
        <v/>
      </c>
      <c r="I341" t="inlineStr">
        <is>
          <t>1</t>
        </is>
      </c>
      <c r="J341" t="inlineStr"/>
      <c r="K341" t="inlineStr"/>
      <c r="L341" t="inlineStr"/>
      <c r="M341" t="inlineStr"/>
      <c r="N341" t="inlineStr"/>
      <c r="O341" t="n">
        <v>0</v>
      </c>
      <c r="P341">
        <f>IF(B354=0,0,O341/B354)</f>
        <v/>
      </c>
      <c r="Q341" t="n">
        <v>0</v>
      </c>
      <c r="R341" t="n">
        <v>0</v>
      </c>
      <c r="S341">
        <f>IFERROR(O341/N341,0)</f>
        <v/>
      </c>
    </row>
    <row r="342">
      <c r="A342">
        <f>Skills!A21</f>
        <v/>
      </c>
      <c r="B342">
        <f>Skills!B21</f>
        <v/>
      </c>
      <c r="C342">
        <f>Inputs!$B$3&gt;=38</f>
        <v/>
      </c>
      <c r="D342">
        <f>IF(Skills!C21=1,60+Inputs!$B$24+Inputs!$B$28,IF(Skills!C21=2,90+Inputs!$B$25+Inputs!$B$28,IF(Skills!C21=3,120+Inputs!$B$26+Inputs!$B$28,MAX(0,(Inputs!$B$3-100)*3)+Inputs!$B$27+Inputs!$B$28)))</f>
        <v/>
      </c>
      <c r="E342">
        <f>INDEX(FactorTable!$B$2:$Y$301, MATCH(ROUND(MIN(300,MAX(1,D342)),0), FactorTable!$A$2:$A$301,0), Skills!M21+1)</f>
        <v/>
      </c>
      <c r="F342">
        <f>IF(Skills!N21=TRUE,(Skills!L21/10)*(E342/1000),Skills!L21/10)+Skills!O21</f>
        <v/>
      </c>
      <c r="G342">
        <f>Skills!G21*IF(Skills!H21&gt;0,Skills!I21/Skills!H21,1)</f>
        <v/>
      </c>
      <c r="H342">
        <f>1-(1-Skills!J21/100)^Skills!K21</f>
        <v/>
      </c>
      <c r="I342" t="inlineStr">
        <is>
          <t>1</t>
        </is>
      </c>
      <c r="J342" t="inlineStr"/>
      <c r="K342" t="inlineStr"/>
      <c r="L342" t="inlineStr"/>
      <c r="M342" t="inlineStr"/>
      <c r="N342" t="inlineStr"/>
      <c r="O342" t="n">
        <v>0</v>
      </c>
      <c r="P342">
        <f>IF(B354=0,0,O342/B354)</f>
        <v/>
      </c>
      <c r="Q342" t="n">
        <v>0</v>
      </c>
      <c r="R342" t="n">
        <v>0</v>
      </c>
      <c r="S342">
        <f>IFERROR(O342/N342,0)</f>
        <v/>
      </c>
    </row>
    <row r="343">
      <c r="A343">
        <f>Skills!A22</f>
        <v/>
      </c>
      <c r="B343">
        <f>Skills!B22</f>
        <v/>
      </c>
      <c r="C343">
        <f>Inputs!$B$3&gt;=75</f>
        <v/>
      </c>
      <c r="D343">
        <f>IF(Skills!C22=1,60+Inputs!$B$24+Inputs!$B$28,IF(Skills!C22=2,90+Inputs!$B$25+Inputs!$B$28,IF(Skills!C22=3,120+Inputs!$B$26+Inputs!$B$28,MAX(0,(Inputs!$B$3-100)*3)+Inputs!$B$27+Inputs!$B$28)))</f>
        <v/>
      </c>
      <c r="E343">
        <f>INDEX(FactorTable!$B$2:$Y$301, MATCH(ROUND(MIN(300,MAX(1,D343)),0), FactorTable!$A$2:$A$301,0), Skills!M22+1)</f>
        <v/>
      </c>
      <c r="F343">
        <f>IF(Skills!N22=TRUE,(Skills!L22/10)*(E343/1000),Skills!L22/10)+Skills!O22</f>
        <v/>
      </c>
      <c r="G343">
        <f>Skills!G22*IF(Skills!H22&gt;0,Skills!I22/Skills!H22,1)</f>
        <v/>
      </c>
      <c r="H343">
        <f>1-(1-Skills!J22/100)^Skills!K22</f>
        <v/>
      </c>
      <c r="I343" t="inlineStr">
        <is>
          <t>1</t>
        </is>
      </c>
      <c r="J343" t="inlineStr"/>
      <c r="K343" t="inlineStr"/>
      <c r="L343" t="inlineStr"/>
      <c r="M343" t="inlineStr"/>
      <c r="N343" t="inlineStr"/>
      <c r="O343" t="n">
        <v>0</v>
      </c>
      <c r="P343">
        <f>IF(B354=0,0,O343/B354)</f>
        <v/>
      </c>
      <c r="Q343" t="n">
        <v>0</v>
      </c>
      <c r="R343" t="n">
        <v>0</v>
      </c>
      <c r="S343">
        <f>IFERROR(O343/N343,0)</f>
        <v/>
      </c>
    </row>
    <row r="345">
      <c r="A345" t="inlineStr">
        <is>
          <t>Attack% Bucket Multiplier</t>
        </is>
      </c>
      <c r="B345">
        <f>(1+(((C334=TRUE)*F334)+((C340=TRUE)*(F340-Calc!F19)))/100)</f>
        <v/>
      </c>
    </row>
    <row r="346">
      <c r="A346" t="inlineStr">
        <is>
          <t>Global Crit Rate Bonus %</t>
        </is>
      </c>
      <c r="B346" t="n">
        <v>0</v>
      </c>
    </row>
    <row r="347">
      <c r="A347" t="inlineStr">
        <is>
          <t>Attack Speed Buff Bonus % (unused)</t>
        </is>
      </c>
      <c r="B347" t="n">
        <v>0</v>
      </c>
    </row>
    <row r="348">
      <c r="A348" t="inlineStr">
        <is>
          <t>Actions Per Second</t>
        </is>
      </c>
      <c r="B348">
        <f>1+MIN(150,150*(1-(1-(Inputs!$B$10+((C338=TRUE)*(F338-Calc!F17))+((C339=TRUE)*(F339-Calc!F18)))/150)*(1-B347/150)))/100</f>
        <v/>
      </c>
    </row>
    <row r="349">
      <c r="A349" t="inlineStr">
        <is>
          <t>Skill + Buff Cast Rate</t>
        </is>
      </c>
      <c r="B349">
        <f>IF(AND(Inputs!$B$4&lt;&gt;"pvp",Inputs!$B$35&gt;0),SUMPRODUCT((Skills!E2:E22=TRUE)*(C323:C343=TRUE)*R323:R343*Skills!F2:F22)/Inputs!$B$35,SUMPRODUCT((Skills!E2:E22=TRUE)*(C323:C343=TRUE)*Q323:Q343*Skills!F2:F22))</f>
        <v/>
      </c>
    </row>
    <row r="350">
      <c r="A350" t="inlineStr">
        <is>
          <t>Hook Bomber Casts Per Second</t>
        </is>
      </c>
      <c r="B350">
        <f>MAX(0,B348-B349)</f>
        <v/>
      </c>
    </row>
    <row r="351">
      <c r="A351" t="inlineStr">
        <is>
          <t>Global Critical Damage Bonus % (unused)</t>
        </is>
      </c>
      <c r="B351" t="n">
        <v>0</v>
      </c>
    </row>
    <row r="352">
      <c r="A352" t="inlineStr">
        <is>
          <t>Global Final Damage Bonus % (Serpent Scale + Crossbones + Time Leap + Speed Infusion)</t>
        </is>
      </c>
      <c r="B352">
        <f>((C326=TRUE)*F326*((10+IF(Inputs!$B$3&gt;=94,5,0))/((10+IF(Inputs!$B$3&gt;=94,5,0))+5/(B350*(1+IF(Inputs!$B$3&gt;=104,1,0))))))+((C335=TRUE)*F335)+((C336=TRUE)*F336)+((Inputs!$B$3&gt;=110)*20*(B348-1))</f>
        <v/>
      </c>
    </row>
    <row r="354">
      <c r="A354" s="5" t="inlineStr">
        <is>
          <t>TOTAL DPS</t>
        </is>
      </c>
      <c r="B354" s="5">
        <f>SUM(O323:O343)</f>
        <v/>
      </c>
    </row>
    <row r="357">
      <c r="A357" s="5" t="inlineStr">
        <is>
          <t>Stat: MAX_DAMAGE %</t>
        </is>
      </c>
    </row>
    <row r="358">
      <c r="A358" s="8" t="inlineStr">
        <is>
          <t>Key</t>
        </is>
      </c>
      <c r="B358" s="8" t="inlineStr">
        <is>
          <t>Name</t>
        </is>
      </c>
      <c r="C358" s="8" t="inlineStr">
        <is>
          <t>Unlocked</t>
        </is>
      </c>
      <c r="D358" s="8" t="inlineStr">
        <is>
          <t>InputLevel</t>
        </is>
      </c>
      <c r="E358" s="8" t="inlineStr">
        <is>
          <t>Factor</t>
        </is>
      </c>
      <c r="F358" s="8" t="inlineStr">
        <is>
          <t>CoefficientPercent</t>
        </is>
      </c>
      <c r="G358" s="8" t="inlineStr">
        <is>
          <t>EffectiveHits</t>
        </is>
      </c>
      <c r="H358" s="8" t="inlineStr">
        <is>
          <t>ProcProbability</t>
        </is>
      </c>
      <c r="I358" s="8" t="inlineStr">
        <is>
          <t>MapleHeroMultiplier</t>
        </is>
      </c>
      <c r="J358" s="8" t="inlineStr">
        <is>
          <t>BaseDamage</t>
        </is>
      </c>
      <c r="K358" s="8" t="inlineStr">
        <is>
          <t>BaseHitDamage</t>
        </is>
      </c>
      <c r="L358" s="8" t="inlineStr">
        <is>
          <t>NonCritAvg</t>
        </is>
      </c>
      <c r="M358" s="8" t="inlineStr">
        <is>
          <t>CritAvg</t>
        </is>
      </c>
      <c r="N358" s="8" t="inlineStr">
        <is>
          <t>ExpectedDamage(perHit)</t>
        </is>
      </c>
      <c r="O358" s="8" t="inlineStr">
        <is>
          <t>DPS</t>
        </is>
      </c>
      <c r="P358" s="8" t="inlineStr">
        <is>
          <t>% of Total</t>
        </is>
      </c>
      <c r="Q358" s="8" t="inlineStr">
        <is>
          <t>InvCooldown</t>
        </is>
      </c>
      <c r="R358" s="8" t="inlineStr">
        <is>
          <t>CastsInFight</t>
        </is>
      </c>
      <c r="S358" s="8" t="inlineStr">
        <is>
          <t>HitRate(perSec)</t>
        </is>
      </c>
      <c r="U358" t="inlineStr">
        <is>
          <t>helpers</t>
        </is>
      </c>
    </row>
    <row r="359">
      <c r="A359">
        <f>Skills!A2</f>
        <v/>
      </c>
      <c r="B359">
        <f>Skills!B2</f>
        <v/>
      </c>
      <c r="C359">
        <f>Inputs!$B$3&gt;=100</f>
        <v/>
      </c>
      <c r="D359" t="inlineStr"/>
      <c r="E359" t="inlineStr"/>
      <c r="F359">
        <f>U361+Skills!O2</f>
        <v/>
      </c>
      <c r="G359">
        <f>Skills!G2*IF(Skills!H2&gt;0,Skills!I2/Skills!H2,1)</f>
        <v/>
      </c>
      <c r="H359">
        <f>1-(1-Skills!J2/100)^Skills!K2</f>
        <v/>
      </c>
      <c r="I359" t="inlineStr">
        <is>
          <t>1</t>
        </is>
      </c>
      <c r="J359">
        <f>(Inputs!$B$5*(1+Inputs!$B$6/100))*(F359/100)</f>
        <v/>
      </c>
      <c r="K359">
        <f>J359*(1+((Inputs!$B$11*(1+Inputs!$B$12/100))*0.01+Inputs!$B$13*0.0025)/100)*(1+Inputs!$B$14/100)*(1+IF(Inputs!$B$4="pvp",0,(1-Summary!$B$55)*(Inputs!$B$19+0+Skills!P2)+Summary!$B$55*(Inputs!$B$20+Skills!Q2))/100)*(1+Inputs!$B$15/100)*(5000/(6000+Inputs!$B$7*(1-(Inputs!$B$18+0)/100)))*(1+(Inputs!$B$23+((C379=TRUE)*(F379-Calc!F22))+B388)/100)*(1+(IF(Skills!A2="HOOK_BOMBER",Inputs!$B$16+((C378=TRUE)*(F378-Calc!F21)),Inputs!$B$17+0))/100)*((1+(((C370=TRUE)*F370)+((C376=TRUE)*(F376-Calc!F19)))/100)*I359)</f>
        <v/>
      </c>
      <c r="L359">
        <f>K359*(MIN(Inputs!$B$21+((C377=TRUE)*(F377-Calc!F20)),(Inputs!$B$22+1)+0)/100+((Inputs!$B$22+1)+0)/100)/2</f>
        <v/>
      </c>
      <c r="M359">
        <f>L359*(1+(Inputs!$B$9+0+B387)/100)</f>
        <v/>
      </c>
      <c r="N359">
        <f>L359*(1-MIN((Inputs!$B$8+((C373=TRUE)*(F373-Calc!F16))+B382),100)/100)+M359*(MIN((Inputs!$B$8+((C373=TRUE)*(F373-Calc!F16))+B382),100)/100)</f>
        <v/>
      </c>
      <c r="O359">
        <f>IF(C359,Skills!G2*N359*B386*IF(Inputs!$B$4="pvp",1,(1-Summary!$B$55)*(1)+Summary!$B$55*(MIN((6+Inputs!$B$32),Inputs!$B$37))),0)</f>
        <v/>
      </c>
      <c r="P359">
        <f>IF(B390=0,0,O359/B390)</f>
        <v/>
      </c>
      <c r="Q359" t="n">
        <v>0</v>
      </c>
      <c r="R359" t="n">
        <v>0</v>
      </c>
      <c r="S359">
        <f>IFERROR(O359/N359,0)</f>
        <v/>
      </c>
      <c r="U359">
        <f>MAX(0,(Inputs!$B$3-100)*3)+Inputs!$B$27+Inputs!$B$28</f>
        <v/>
      </c>
    </row>
    <row r="360">
      <c r="A360">
        <f>Skills!A3</f>
        <v/>
      </c>
      <c r="B360">
        <f>Skills!B3</f>
        <v/>
      </c>
      <c r="C360">
        <f>Inputs!$B$3&gt;=35</f>
        <v/>
      </c>
      <c r="D360">
        <f>IF(Skills!C3=1,60+Inputs!$B$24+Inputs!$B$28,IF(Skills!C3=2,90+Inputs!$B$25+Inputs!$B$28,IF(Skills!C3=3,120+Inputs!$B$26+Inputs!$B$28,MAX(0,(Inputs!$B$3-100)*3)+Inputs!$B$27+Inputs!$B$28)))</f>
        <v/>
      </c>
      <c r="E360">
        <f>INDEX(FactorTable!$B$2:$Y$301, MATCH(ROUND(MIN(300,MAX(1,D360)),0), FactorTable!$A$2:$A$301,0), Skills!M3+1)</f>
        <v/>
      </c>
      <c r="F360">
        <f>IF(Skills!N3=TRUE,(Skills!L3/10)*(E360/1000),Skills!L3/10)+Skills!O3</f>
        <v/>
      </c>
      <c r="G360">
        <f>Skills!G3*IF(Skills!H3&gt;0,Skills!I3/Skills!H3,1)</f>
        <v/>
      </c>
      <c r="H360">
        <f>1-(1-Skills!J3/100)^Skills!K3</f>
        <v/>
      </c>
      <c r="I360" t="inlineStr">
        <is>
          <t>1</t>
        </is>
      </c>
      <c r="J360">
        <f>(Inputs!$B$5*(1+Inputs!$B$6/100))*(F360/100)</f>
        <v/>
      </c>
      <c r="K360">
        <f>J360*(1+((Inputs!$B$11*(1+Inputs!$B$12/100))*0.01+Inputs!$B$13*0.0025)/100)*(1+Inputs!$B$14/100)*(1+IF(Inputs!$B$4="pvp",0,(1-Summary!$B$55)*(Inputs!$B$19+0+Skills!P3)+Summary!$B$55*(Inputs!$B$20+Skills!Q3))/100)*(1+Inputs!$B$15/100)*(5000/(6000+Inputs!$B$7*(1-(Inputs!$B$18+0)/100)))*(1+(Inputs!$B$23+((C379=TRUE)*(F379-Calc!F22))+B388)/100)*(1+(IF(Skills!A3="HOOK_BOMBER",Inputs!$B$16+((C378=TRUE)*(F378-Calc!F21)),Inputs!$B$17+0))/100)*((1+(((C370=TRUE)*F370)+((C376=TRUE)*(F376-Calc!F19)))/100)*I360)</f>
        <v/>
      </c>
      <c r="L360">
        <f>K360*(MIN(Inputs!$B$21+((C377=TRUE)*(F377-Calc!F20)),(Inputs!$B$22+1)+0)/100+((Inputs!$B$22+1)+0)/100)/2</f>
        <v/>
      </c>
      <c r="M360">
        <f>L360*(1+(Inputs!$B$9+0+B387)/100)</f>
        <v/>
      </c>
      <c r="N360">
        <f>L360*(1-MIN((Inputs!$B$8+((C373=TRUE)*(F373-Calc!F16))+B382),100)/100)+M360*(MIN((Inputs!$B$8+((C373=TRUE)*(F373-Calc!F16))+B382),100)/100)</f>
        <v/>
      </c>
      <c r="O360">
        <f>IF(C360,Skills!G3*H360*N360*B386*IF(Inputs!$B$4="pvp",1,(1-Summary!$B$55)*(1)+Summary!$B$55*(MIN(Skills!R3,Inputs!$B$37))),0)</f>
        <v/>
      </c>
      <c r="P360">
        <f>IF(B390=0,0,O360/B390)</f>
        <v/>
      </c>
      <c r="Q360" t="n">
        <v>0</v>
      </c>
      <c r="R360" t="n">
        <v>0</v>
      </c>
      <c r="S360">
        <f>IFERROR(O360/N360,0)</f>
        <v/>
      </c>
      <c r="U360">
        <f>INDEX(FactorTable!$B$2:$Y$301, MATCH(ROUND(MIN(300,MAX(1,U359)),0), FactorTable!$A$2:$A$301,0), 22)</f>
        <v/>
      </c>
    </row>
    <row r="361">
      <c r="A361">
        <f>Skills!A4</f>
        <v/>
      </c>
      <c r="B361">
        <f>Skills!B4</f>
        <v/>
      </c>
      <c r="C361">
        <f>Inputs!$B$3&gt;=60</f>
        <v/>
      </c>
      <c r="D361">
        <f>IF(Skills!C4=1,60+Inputs!$B$24+Inputs!$B$28,IF(Skills!C4=2,90+Inputs!$B$25+Inputs!$B$28,IF(Skills!C4=3,120+Inputs!$B$26+Inputs!$B$28,MAX(0,(Inputs!$B$3-100)*3)+Inputs!$B$27+Inputs!$B$28)))</f>
        <v/>
      </c>
      <c r="E361">
        <f>INDEX(FactorTable!$B$2:$Y$301, MATCH(ROUND(MIN(300,MAX(1,D361)),0), FactorTable!$A$2:$A$301,0), Skills!M4+1)</f>
        <v/>
      </c>
      <c r="F361">
        <f>IF(Skills!N4=TRUE,(Skills!L4/10)*(E361/1000),Skills!L4/10)+Skills!O4</f>
        <v/>
      </c>
      <c r="G361">
        <f>Skills!G4*IF(Skills!H4&gt;0,Skills!I4/Skills!H4,1)</f>
        <v/>
      </c>
      <c r="H361">
        <f>1-(1-Skills!J4/100)^Skills!K4</f>
        <v/>
      </c>
      <c r="I361" t="inlineStr">
        <is>
          <t>1</t>
        </is>
      </c>
      <c r="J361">
        <f>(Inputs!$B$5*(1+Inputs!$B$6/100))*(F361/100)</f>
        <v/>
      </c>
      <c r="K361">
        <f>J361*(1+((Inputs!$B$11*(1+Inputs!$B$12/100))*0.01+Inputs!$B$13*0.0025)/100)*(1+Inputs!$B$14/100)*(1+IF(Inputs!$B$4="pvp",0,(1-Summary!$B$55)*(Inputs!$B$19+0+Skills!P4)+Summary!$B$55*(Inputs!$B$20+Skills!Q4))/100)*(1+Inputs!$B$15/100)*(5000/(6000+Inputs!$B$7*(1-(Inputs!$B$18+0)/100)))*(1+(Inputs!$B$23+((C379=TRUE)*(F379-Calc!F22))+B388)/100)*(1+1.0*IF(C369=TRUE,F369,0)/100)*(1+(IF(Skills!A4="HOOK_BOMBER",Inputs!$B$16+((C378=TRUE)*(F378-Calc!F21)),Inputs!$B$17+0))/100)*((1+(((C370=TRUE)*F370)+((C376=TRUE)*(F376-Calc!F19)))/100)*I361)</f>
        <v/>
      </c>
      <c r="L361">
        <f>K361*(MIN(Inputs!$B$21+((C377=TRUE)*(F377-Calc!F20)),(Inputs!$B$22+1)+0)/100+((Inputs!$B$22+1)+0)/100)/2</f>
        <v/>
      </c>
      <c r="M361">
        <f>L361*(1+(Inputs!$B$9+0+B387)/100)</f>
        <v/>
      </c>
      <c r="N361">
        <f>L361*(1-MIN((Inputs!$B$8+((C373=TRUE)*(F373-Calc!F16))+B382),100)/100)+M361*(MIN((Inputs!$B$8+((C373=TRUE)*(F373-Calc!F16))+B382),100)/100)</f>
        <v/>
      </c>
      <c r="O361">
        <f>IF(C361,Skills!G4*H361*N361*B386*IF(Inputs!$B$4="pvp",1,(1-Summary!$B$55)*(1)+Summary!$B$55*(MIN(Skills!R4,Inputs!$B$37))),0)</f>
        <v/>
      </c>
      <c r="P361">
        <f>IF(B390=0,0,O361/B390)</f>
        <v/>
      </c>
      <c r="Q361" t="n">
        <v>0</v>
      </c>
      <c r="R361" t="n">
        <v>0</v>
      </c>
      <c r="S361">
        <f>IFERROR(O361/N361,0)</f>
        <v/>
      </c>
      <c r="U361">
        <f>290*U360/1000</f>
        <v/>
      </c>
    </row>
    <row r="362">
      <c r="A362">
        <f>Skills!A5</f>
        <v/>
      </c>
      <c r="B362">
        <f>Skills!B5</f>
        <v/>
      </c>
      <c r="C362">
        <f>Inputs!$B$3&gt;=60</f>
        <v/>
      </c>
      <c r="D362">
        <f>IF(Skills!C5=1,60+Inputs!$B$24+Inputs!$B$28,IF(Skills!C5=2,90+Inputs!$B$25+Inputs!$B$28,IF(Skills!C5=3,120+Inputs!$B$26+Inputs!$B$28,MAX(0,(Inputs!$B$3-100)*3)+Inputs!$B$27+Inputs!$B$28)))</f>
        <v/>
      </c>
      <c r="E362">
        <f>INDEX(FactorTable!$B$2:$Y$301, MATCH(ROUND(MIN(300,MAX(1,D362)),0), FactorTable!$A$2:$A$301,0), Skills!M5+1)</f>
        <v/>
      </c>
      <c r="F362">
        <f>IF(Skills!N5=TRUE,(Skills!L5/10)*(E362/1000),Skills!L5/10)+Skills!O5</f>
        <v/>
      </c>
      <c r="G362">
        <f>Skills!G5*IF(Skills!H5&gt;0,Skills!I5/Skills!H5,1)</f>
        <v/>
      </c>
      <c r="H362">
        <f>1-(1-Skills!J5/100)^Skills!K5</f>
        <v/>
      </c>
      <c r="I362" t="inlineStr">
        <is>
          <t>1</t>
        </is>
      </c>
      <c r="J362" t="inlineStr"/>
      <c r="K362" t="inlineStr"/>
      <c r="L362" t="inlineStr"/>
      <c r="M362" t="inlineStr"/>
      <c r="N362" t="inlineStr"/>
      <c r="O362" t="n">
        <v>0</v>
      </c>
      <c r="P362">
        <f>IF(B390=0,0,O362/B390)</f>
        <v/>
      </c>
      <c r="Q362" t="n">
        <v>0</v>
      </c>
      <c r="R362" t="n">
        <v>0</v>
      </c>
      <c r="S362">
        <f>IFERROR(O362/N362,0)</f>
        <v/>
      </c>
    </row>
    <row r="363">
      <c r="A363">
        <f>Skills!A6</f>
        <v/>
      </c>
      <c r="B363">
        <f>Skills!B6</f>
        <v/>
      </c>
      <c r="C363">
        <f>Inputs!$B$3&gt;=63</f>
        <v/>
      </c>
      <c r="D363">
        <f>IF(Skills!C6=1,60+Inputs!$B$24+Inputs!$B$28,IF(Skills!C6=2,90+Inputs!$B$25+Inputs!$B$28,IF(Skills!C6=3,120+Inputs!$B$26+Inputs!$B$28,MAX(0,(Inputs!$B$3-100)*3)+Inputs!$B$27+Inputs!$B$28)))</f>
        <v/>
      </c>
      <c r="E363">
        <f>INDEX(FactorTable!$B$2:$Y$301, MATCH(ROUND(MIN(300,MAX(1,D363)),0), FactorTable!$A$2:$A$301,0), Skills!M6+1)</f>
        <v/>
      </c>
      <c r="F363">
        <f>IF(Skills!N6=TRUE,(Skills!L6/10)*(E363/1000),Skills!L6/10)+Skills!O6</f>
        <v/>
      </c>
      <c r="G363">
        <f>Skills!G6*IF(Skills!H6&gt;0,Skills!I6/Skills!H6,1)</f>
        <v/>
      </c>
      <c r="H363">
        <f>1-(1-Skills!J6/100)^Skills!K6</f>
        <v/>
      </c>
      <c r="I363" t="inlineStr">
        <is>
          <t>1</t>
        </is>
      </c>
      <c r="J363">
        <f>(Inputs!$B$5*(1+Inputs!$B$6/100))*(F363/100)</f>
        <v/>
      </c>
      <c r="K363">
        <f>J363*(1+((Inputs!$B$11*(1+Inputs!$B$12/100))*0.01+Inputs!$B$13*0.0025)/100)*(1+Inputs!$B$14/100)*(1+IF(Inputs!$B$4="pvp",0,(1-Summary!$B$55)*(Inputs!$B$19+0+Skills!P6)+Summary!$B$55*(Inputs!$B$20+Skills!Q6))/100)*(1+Inputs!$B$15/100)*(5000/(6000+Inputs!$B$7*(1-(Inputs!$B$18+0)/100)))*(1+(Inputs!$B$23+((C379=TRUE)*(F379-Calc!F22))+B388)/100)*(1+(IF(Skills!A6="HOOK_BOMBER",Inputs!$B$16+((C378=TRUE)*(F378-Calc!F21)),Inputs!$B$17+0))/100)*((1+(((C370=TRUE)*F370)+((C376=TRUE)*(F376-Calc!F19)))/100)*I363)</f>
        <v/>
      </c>
      <c r="L363">
        <f>K363*(MIN(Inputs!$B$21+((C377=TRUE)*(F377-Calc!F20)),(Inputs!$B$22+1)+0)/100+((Inputs!$B$22+1)+0)/100)/2</f>
        <v/>
      </c>
      <c r="M363">
        <f>L363*(1+(Inputs!$B$9+0+B387)/100)</f>
        <v/>
      </c>
      <c r="N363">
        <f>L363*(1-MIN((Inputs!$B$8+((C373=TRUE)*(F373-Calc!F16))+B382),100)/100)+M363*(MIN((Inputs!$B$8+((C373=TRUE)*(F373-Calc!F16))+B382),100)/100)</f>
        <v/>
      </c>
      <c r="O363">
        <f>IF(C363,H363*N363*IF(AND(Inputs!$B$4&lt;&gt;"pvp",Inputs!$B$35&gt;0),((Skills!G6*((R363-1)*IF(Skills!H6&gt;0,Skills!I6/Skills!H6,1)+IF(Skills!H6&gt;0,MIN(Skills!I6,MAX(0,Inputs!$B$35-((R363-1)*IF(Inputs!$B$4="pvp",15,MAX(0.1,Skills!D6-IF(Skills!E6=TRUE,Inputs!$B$31,0))))))/Skills!H6,1)))/Inputs!$B$35),G363*Q363)*IF(Inputs!$B$4="pvp",1,(1-Summary!$B$55)*(1)+Summary!$B$55*(MIN(Skills!R6,Inputs!$B$37))),0)</f>
        <v/>
      </c>
      <c r="P363">
        <f>IF(B390=0,0,O363/B390)</f>
        <v/>
      </c>
      <c r="Q363">
        <f>IFERROR(1/IF(Inputs!$B$4="pvp",15,MAX(0.1,Skills!D6-IF(Skills!E6=TRUE,Inputs!$B$31,0))),0)</f>
        <v/>
      </c>
      <c r="R363">
        <f>IF(AND(Inputs!$B$4&lt;&gt;"pvp",Inputs!$B$35&gt;0),(INT(Inputs!$B$35/IF(Inputs!$B$4="pvp",15,MAX(0.1,Skills!D6-IF(Skills!E6=TRUE,Inputs!$B$31,0))))+1),0)</f>
        <v/>
      </c>
      <c r="S363">
        <f>IFERROR(O363/N363,0)</f>
        <v/>
      </c>
    </row>
    <row r="364">
      <c r="A364">
        <f>Skills!A7</f>
        <v/>
      </c>
      <c r="B364">
        <f>Skills!B7</f>
        <v/>
      </c>
      <c r="C364">
        <f>Inputs!$B$3&gt;=100</f>
        <v/>
      </c>
      <c r="D364">
        <f>IF(Skills!C7=1,60+Inputs!$B$24+Inputs!$B$28,IF(Skills!C7=2,90+Inputs!$B$25+Inputs!$B$28,IF(Skills!C7=3,120+Inputs!$B$26+Inputs!$B$28,MAX(0,(Inputs!$B$3-100)*3)+Inputs!$B$27+Inputs!$B$28)))</f>
        <v/>
      </c>
      <c r="E364">
        <f>INDEX(FactorTable!$B$2:$Y$301, MATCH(ROUND(MIN(300,MAX(1,D364)),0), FactorTable!$A$2:$A$301,0), Skills!M7+1)</f>
        <v/>
      </c>
      <c r="F364">
        <f>IF(Skills!N7=TRUE,(Skills!L7/10)*(E364/1000),Skills!L7/10)+Skills!O7</f>
        <v/>
      </c>
      <c r="G364">
        <f>Skills!G7*IF(Skills!H7&gt;0,Skills!I7/Skills!H7,1)</f>
        <v/>
      </c>
      <c r="H364">
        <f>1-(1-Skills!J7/100)^Skills!K7</f>
        <v/>
      </c>
      <c r="I364" t="inlineStr">
        <is>
          <t>1</t>
        </is>
      </c>
      <c r="J364">
        <f>(Inputs!$B$5*(1+Inputs!$B$6/100))*(F364/100)</f>
        <v/>
      </c>
      <c r="K364">
        <f>J364*(1+((Inputs!$B$11*(1+Inputs!$B$12/100))*0.01+Inputs!$B$13*0.0025)/100)*(1+Inputs!$B$14/100)*(1+IF(Inputs!$B$4="pvp",0,(1-Summary!$B$55)*(Inputs!$B$19+0+Skills!P7)+Summary!$B$55*(Inputs!$B$20+Skills!Q7))/100)*(1+Inputs!$B$15/100)*(5000/(6000+Inputs!$B$7*(1-(Inputs!$B$18+0)/100)))*(1+(Inputs!$B$23+((C379=TRUE)*(F379-Calc!F22))+B388)/100)*(1+(IF(Skills!A7="HOOK_BOMBER",Inputs!$B$16+((C378=TRUE)*(F378-Calc!F21)),Inputs!$B$17+0))/100)*((1+(((C370=TRUE)*F370)+((C376=TRUE)*(F376-Calc!F19)))/100)*I364)</f>
        <v/>
      </c>
      <c r="L364">
        <f>K364*(MIN(Inputs!$B$21+((C377=TRUE)*(F377-Calc!F20)),(Inputs!$B$22+1)+0)/100+((Inputs!$B$22+1)+0)/100)/2</f>
        <v/>
      </c>
      <c r="M364">
        <f>L364*(1+(Inputs!$B$9+0+B387)/100)</f>
        <v/>
      </c>
      <c r="N364">
        <f>L364*(1-MIN((Inputs!$B$8+((C373=TRUE)*(F373-Calc!F16))+B382),100)/100)+M364*(MIN((Inputs!$B$8+((C373=TRUE)*(F373-Calc!F16))+B382),100)/100)</f>
        <v/>
      </c>
      <c r="O364">
        <f>IF(C364,H364*N364*IF(AND(Inputs!$B$4&lt;&gt;"pvp",Inputs!$B$35&gt;0),((Skills!G7*((R364-1)*IF(Skills!H7&gt;0,Skills!I7/Skills!H7,1)+IF(Skills!H7&gt;0,MIN(Skills!I7,MAX(0,Inputs!$B$35-((R364-1)*IF(Inputs!$B$4="pvp",15,MAX(0.1,Skills!D7-IF(Skills!E7=TRUE,Inputs!$B$31,0))))))/Skills!H7,1)))/Inputs!$B$35),G364*Q364)*IF(Inputs!$B$4="pvp",1,(1-Summary!$B$55)*(1)+Summary!$B$55*(MIN(Skills!R7,Inputs!$B$37))),0)</f>
        <v/>
      </c>
      <c r="P364">
        <f>IF(B390=0,0,O364/B390)</f>
        <v/>
      </c>
      <c r="Q364">
        <f>IFERROR(1/IF(Inputs!$B$4="pvp",15,MAX(0.1,Skills!D7-IF(Skills!E7=TRUE,Inputs!$B$31,0))),0)</f>
        <v/>
      </c>
      <c r="R364">
        <f>IF(AND(Inputs!$B$4&lt;&gt;"pvp",Inputs!$B$35&gt;0),(INT(Inputs!$B$35/IF(Inputs!$B$4="pvp",15,MAX(0.1,Skills!D7-IF(Skills!E7=TRUE,Inputs!$B$31,0))))+1),0)</f>
        <v/>
      </c>
      <c r="S364">
        <f>IFERROR(O364/N364,0)</f>
        <v/>
      </c>
    </row>
    <row r="365">
      <c r="A365">
        <f>Skills!A8</f>
        <v/>
      </c>
      <c r="B365">
        <f>Skills!B8</f>
        <v/>
      </c>
      <c r="C365">
        <f>Inputs!$B$3&gt;=110</f>
        <v/>
      </c>
      <c r="D365">
        <f>IF(Skills!C8=1,60+Inputs!$B$24+Inputs!$B$28,IF(Skills!C8=2,90+Inputs!$B$25+Inputs!$B$28,IF(Skills!C8=3,120+Inputs!$B$26+Inputs!$B$28,MAX(0,(Inputs!$B$3-100)*3)+Inputs!$B$27+Inputs!$B$28)))</f>
        <v/>
      </c>
      <c r="E365">
        <f>INDEX(FactorTable!$B$2:$Y$301, MATCH(ROUND(MIN(300,MAX(1,D365)),0), FactorTable!$A$2:$A$301,0), Skills!M8+1)</f>
        <v/>
      </c>
      <c r="F365">
        <f>IF(Skills!N8=TRUE,(Skills!L8/10)*(E365/1000),Skills!L8/10)+Skills!O8</f>
        <v/>
      </c>
      <c r="G365">
        <f>Skills!G8*IF(Skills!H8&gt;0,Skills!I8/Skills!H8,1)</f>
        <v/>
      </c>
      <c r="H365">
        <f>1-(1-Skills!J8/100)^Skills!K8</f>
        <v/>
      </c>
      <c r="I365" t="inlineStr">
        <is>
          <t>1</t>
        </is>
      </c>
      <c r="J365">
        <f>(Inputs!$B$5*(1+Inputs!$B$6/100))*(F365/100)</f>
        <v/>
      </c>
      <c r="K365">
        <f>J365*(1+((Inputs!$B$11*(1+Inputs!$B$12/100))*0.01+Inputs!$B$13*0.0025)/100)*(1+Inputs!$B$14/100)*(1+IF(Inputs!$B$4="pvp",0,(1-Summary!$B$55)*(Inputs!$B$19+0+Skills!P8)+Summary!$B$55*(Inputs!$B$20+Skills!Q8))/100)*(1+Inputs!$B$15/100)*(5000/(6000+Inputs!$B$7*(1-(Inputs!$B$18+0)/100)))*(1+(Inputs!$B$23+((C379=TRUE)*(F379-Calc!F22))+B388)/100)*(1+(IF(Skills!A8="HOOK_BOMBER",Inputs!$B$16+((C378=TRUE)*(F378-Calc!F21)),Inputs!$B$17+0))/100)*((1+(((C370=TRUE)*F370)+((C376=TRUE)*(F376-Calc!F19)))/100)*I365)</f>
        <v/>
      </c>
      <c r="L365">
        <f>K365*(MIN(Inputs!$B$21+((C377=TRUE)*(F377-Calc!F20)),(Inputs!$B$22+1)+0)/100+((Inputs!$B$22+1)+0)/100)/2</f>
        <v/>
      </c>
      <c r="M365">
        <f>L365*(1+(Inputs!$B$9+0+B387)/100)</f>
        <v/>
      </c>
      <c r="N365">
        <f>L365*(1-MIN((Inputs!$B$8+((C373=TRUE)*(F373-Calc!F16))+B382),100)/100)+M365*(MIN((Inputs!$B$8+((C373=TRUE)*(F373-Calc!F16))+B382),100)/100)</f>
        <v/>
      </c>
      <c r="O365">
        <f>IF(C365,H365*N365*IF(AND(Inputs!$B$4&lt;&gt;"pvp",Inputs!$B$35&gt;0),((Skills!G8*((R365-1)*IF(Skills!H8&gt;0,Skills!I8/Skills!H8,1)+IF(Skills!H8&gt;0,MIN(Skills!I8,MAX(0,Inputs!$B$35-((R365-1)*IF(Inputs!$B$4="pvp",15,MAX(0.1,Skills!D8-IF(Skills!E8=TRUE,Inputs!$B$31,0))))))/Skills!H8,1)))/Inputs!$B$35),G365*Q365)*IF(Inputs!$B$4="pvp",1,(1-Summary!$B$55)*(1)+Summary!$B$55*(MIN(Skills!R8,Inputs!$B$37))),0)</f>
        <v/>
      </c>
      <c r="P365">
        <f>IF(B390=0,0,O365/B390)</f>
        <v/>
      </c>
      <c r="Q365">
        <f>IFERROR(1/IF(Inputs!$B$4="pvp",15,MAX(0.1,Skills!D8-IF(Skills!E8=TRUE,Inputs!$B$31,0))),0)</f>
        <v/>
      </c>
      <c r="R365">
        <f>IF(AND(Inputs!$B$4&lt;&gt;"pvp",Inputs!$B$35&gt;0),(INT(Inputs!$B$35/IF(Inputs!$B$4="pvp",15,MAX(0.1,Skills!D8-IF(Skills!E8=TRUE,Inputs!$B$31,0))))+1),0)</f>
        <v/>
      </c>
      <c r="S365">
        <f>IFERROR(O365/N365,0)</f>
        <v/>
      </c>
    </row>
    <row r="366">
      <c r="A366">
        <f>Skills!A9</f>
        <v/>
      </c>
      <c r="B366">
        <f>Skills!B9</f>
        <v/>
      </c>
      <c r="C366">
        <f>Inputs!$B$3&gt;=110</f>
        <v/>
      </c>
      <c r="D366">
        <f>IF(Skills!C9=1,60+Inputs!$B$24+Inputs!$B$28,IF(Skills!C9=2,90+Inputs!$B$25+Inputs!$B$28,IF(Skills!C9=3,120+Inputs!$B$26+Inputs!$B$28,MAX(0,(Inputs!$B$3-100)*3)+Inputs!$B$27+Inputs!$B$28)))</f>
        <v/>
      </c>
      <c r="E366">
        <f>INDEX(FactorTable!$B$2:$Y$301, MATCH(ROUND(MIN(300,MAX(1,D366)),0), FactorTable!$A$2:$A$301,0), Skills!M9+1)</f>
        <v/>
      </c>
      <c r="F366">
        <f>IF(Skills!N9=TRUE,(Skills!L9/10)*(E366/1000),Skills!L9/10)+Skills!O9</f>
        <v/>
      </c>
      <c r="G366">
        <f>Skills!G9*IF(Skills!H9&gt;0,Skills!I9/Skills!H9,1)</f>
        <v/>
      </c>
      <c r="H366">
        <f>1-(1-Skills!J9/100)^Skills!K9</f>
        <v/>
      </c>
      <c r="I366" t="inlineStr">
        <is>
          <t>1</t>
        </is>
      </c>
      <c r="J366">
        <f>(Inputs!$B$5*(1+Inputs!$B$6/100))*(F366/100)</f>
        <v/>
      </c>
      <c r="K366">
        <f>J366*(1+((Inputs!$B$11*(1+Inputs!$B$12/100))*0.01+Inputs!$B$13*0.0025)/100)*(1+Inputs!$B$14/100)*(1+IF(Inputs!$B$4="pvp",0,(1-Summary!$B$55)*(Inputs!$B$19+0+Skills!P9)+Summary!$B$55*(Inputs!$B$20+Skills!Q9))/100)*(1+Inputs!$B$15/100)*(5000/(6000+Inputs!$B$7*(1-(Inputs!$B$18+0)/100)))*(1+(Inputs!$B$23+((C379=TRUE)*(F379-Calc!F22))+B388)/100)*(1+(IF(Skills!A9="HOOK_BOMBER",Inputs!$B$16+((C378=TRUE)*(F378-Calc!F21)),Inputs!$B$17+0))/100)*((1+(((C370=TRUE)*F370)+((C376=TRUE)*(F376-Calc!F19)))/100)*I366)</f>
        <v/>
      </c>
      <c r="L366">
        <f>K366*(MIN(Inputs!$B$21+((C377=TRUE)*(F377-Calc!F20)),(Inputs!$B$22+1)+0)/100+((Inputs!$B$22+1)+0)/100)/2</f>
        <v/>
      </c>
      <c r="M366">
        <f>L366*(1+(Inputs!$B$9+0+B387)/100)</f>
        <v/>
      </c>
      <c r="N366">
        <f>L366*(1-MIN((Inputs!$B$8+((C373=TRUE)*(F373-Calc!F16))+B382),100)/100)+M366*(MIN((Inputs!$B$8+((C373=TRUE)*(F373-Calc!F16))+B382),100)/100)</f>
        <v/>
      </c>
      <c r="O366">
        <f>IF(C366,H366*N366*IF(AND(Inputs!$B$4&lt;&gt;"pvp",Inputs!$B$35&gt;0),((Skills!G9*((R366-1)*IF(Skills!H9&gt;0,Skills!I9/Skills!H9,1)+IF(Skills!H9&gt;0,MIN(Skills!I9,MAX(0,Inputs!$B$35-((R366-1)*IF(Inputs!$B$4="pvp",15,MAX(0.1,Skills!D9-IF(Skills!E9=TRUE,Inputs!$B$31,0))))))/Skills!H9,1)))/Inputs!$B$35),G366*Q366)*IF(Inputs!$B$4="pvp",1,(1-Summary!$B$55)*(1)+Summary!$B$55*(MIN(Skills!R9,Inputs!$B$37))),0)</f>
        <v/>
      </c>
      <c r="P366">
        <f>IF(B390=0,0,O366/B390)</f>
        <v/>
      </c>
      <c r="Q366">
        <f>IFERROR(1/IF(Inputs!$B$4="pvp",15,MAX(0.1,Skills!D9-IF(Skills!E9=TRUE,Inputs!$B$31,0))),0)</f>
        <v/>
      </c>
      <c r="R366">
        <f>IF(AND(Inputs!$B$4&lt;&gt;"pvp",Inputs!$B$35&gt;0),(INT(Inputs!$B$35/IF(Inputs!$B$4="pvp",15,MAX(0.1,Skills!D9-IF(Skills!E9=TRUE,Inputs!$B$31,0))))+1),0)</f>
        <v/>
      </c>
      <c r="S366">
        <f>IFERROR(O366/N366,0)</f>
        <v/>
      </c>
    </row>
    <row r="367">
      <c r="A367">
        <f>Skills!A10</f>
        <v/>
      </c>
      <c r="B367">
        <f>Skills!B10</f>
        <v/>
      </c>
      <c r="C367">
        <f>Inputs!$B$3&gt;=103</f>
        <v/>
      </c>
      <c r="D367">
        <f>IF(Skills!C10=1,60+Inputs!$B$24+Inputs!$B$28,IF(Skills!C10=2,90+Inputs!$B$25+Inputs!$B$28,IF(Skills!C10=3,120+Inputs!$B$26+Inputs!$B$28,MAX(0,(Inputs!$B$3-100)*3)+Inputs!$B$27+Inputs!$B$28)))</f>
        <v/>
      </c>
      <c r="E367">
        <f>INDEX(FactorTable!$B$2:$Y$301, MATCH(ROUND(MIN(300,MAX(1,D367)),0), FactorTable!$A$2:$A$301,0), Skills!M10+1)</f>
        <v/>
      </c>
      <c r="F367">
        <f>IF(Skills!N10=TRUE,(Skills!L10/10)*(E367/1000),Skills!L10/10)+Skills!O10</f>
        <v/>
      </c>
      <c r="G367">
        <f>Skills!G10*IF(Skills!H10&gt;0,Skills!I10/Skills!H10,1)</f>
        <v/>
      </c>
      <c r="H367">
        <f>1-(1-Skills!J10/100)^Skills!K10</f>
        <v/>
      </c>
      <c r="I367" t="inlineStr">
        <is>
          <t>1</t>
        </is>
      </c>
      <c r="J367">
        <f>(Inputs!$B$5*(1+Inputs!$B$6/100))*(F367/100)</f>
        <v/>
      </c>
      <c r="K367">
        <f>J367*(1+((Inputs!$B$11*(1+Inputs!$B$12/100))*0.01+Inputs!$B$13*0.0025)/100)*(1+Inputs!$B$14/100)*(1+IF(Inputs!$B$4="pvp",0,(1-Summary!$B$55)*(Inputs!$B$19+0+Skills!P10)+Summary!$B$55*(Inputs!$B$20+Skills!Q10))/100)*(1+Inputs!$B$15/100)*(5000/(6000+Inputs!$B$7*(1-(Inputs!$B$18+0)/100)))*(1+(Inputs!$B$23+((C379=TRUE)*(F379-Calc!F22))+B388)/100)*(1+(IF(Skills!A10="HOOK_BOMBER",Inputs!$B$16+((C378=TRUE)*(F378-Calc!F21)),Inputs!$B$17+0))/100)*((1+(((C370=TRUE)*F370)+((C376=TRUE)*(F376-Calc!F19)))/100)*I367)</f>
        <v/>
      </c>
      <c r="L367">
        <f>K367*(MIN(Inputs!$B$21+((C377=TRUE)*(F377-Calc!F20)),(Inputs!$B$22+1)+0)/100+((Inputs!$B$22+1)+0)/100)/2</f>
        <v/>
      </c>
      <c r="M367">
        <f>L367*(1+(Inputs!$B$9+0+B387)/100)</f>
        <v/>
      </c>
      <c r="N367">
        <f>L367*(1-MIN((Inputs!$B$8+((C373=TRUE)*(F373-Calc!F16))+B382),100)/100)+M367*(MIN((Inputs!$B$8+((C373=TRUE)*(F373-Calc!F16))+B382),100)/100)</f>
        <v/>
      </c>
      <c r="O367">
        <f>IF(C367,H367*N367*IF(AND(Inputs!$B$4&lt;&gt;"pvp",Inputs!$B$35&gt;0),((Skills!G10*((R367-1)*IF(Skills!H10&gt;0,Skills!I10/Skills!H10,1)+IF(Skills!H10&gt;0,MIN(Skills!I10,MAX(0,Inputs!$B$35-((R367-1)*IF(Inputs!$B$4="pvp",15,MAX(0.1,Skills!D10-IF(Skills!E10=TRUE,Inputs!$B$31,0))))))/Skills!H10,1)))/Inputs!$B$35),G367*Q367)*IF(Inputs!$B$4="pvp",1,(1-Summary!$B$55)*(1)+Summary!$B$55*(MIN(Skills!R10,Inputs!$B$37))),0)</f>
        <v/>
      </c>
      <c r="P367">
        <f>IF(B390=0,0,O367/B390)</f>
        <v/>
      </c>
      <c r="Q367">
        <f>IFERROR(1/IF(Inputs!$B$4="pvp",15,MAX(0.1,Skills!D10-IF(Skills!E10=TRUE,Inputs!$B$31,0))),0)</f>
        <v/>
      </c>
      <c r="R367">
        <f>IF(AND(Inputs!$B$4&lt;&gt;"pvp",Inputs!$B$35&gt;0),(INT(Inputs!$B$35/IF(Inputs!$B$4="pvp",15,MAX(0.1,Skills!D10-IF(Skills!E10=TRUE,Inputs!$B$31,0))))+1),0)</f>
        <v/>
      </c>
      <c r="S367">
        <f>IFERROR(O367/N367,0)</f>
        <v/>
      </c>
    </row>
    <row r="368">
      <c r="A368">
        <f>Skills!A11</f>
        <v/>
      </c>
      <c r="B368">
        <f>Skills!B11</f>
        <v/>
      </c>
      <c r="C368">
        <f>Inputs!$B$3&gt;=113</f>
        <v/>
      </c>
      <c r="D368">
        <f>IF(Skills!C11=1,60+Inputs!$B$24+Inputs!$B$28,IF(Skills!C11=2,90+Inputs!$B$25+Inputs!$B$28,IF(Skills!C11=3,120+Inputs!$B$26+Inputs!$B$28,MAX(0,(Inputs!$B$3-100)*3)+Inputs!$B$27+Inputs!$B$28)))</f>
        <v/>
      </c>
      <c r="E368">
        <f>INDEX(FactorTable!$B$2:$Y$301, MATCH(ROUND(MIN(300,MAX(1,D368)),0), FactorTable!$A$2:$A$301,0), Skills!M11+1)</f>
        <v/>
      </c>
      <c r="F368">
        <f>IF(Skills!N11=TRUE,(Skills!L11/10)*(E368/1000),Skills!L11/10)+Skills!O11</f>
        <v/>
      </c>
      <c r="G368">
        <f>Skills!G11*IF(Skills!H11&gt;0,Skills!I11/Skills!H11,1)</f>
        <v/>
      </c>
      <c r="H368">
        <f>1-(1-Skills!J11/100)^Skills!K11</f>
        <v/>
      </c>
      <c r="I368" t="inlineStr">
        <is>
          <t>1</t>
        </is>
      </c>
      <c r="J368">
        <f>(Inputs!$B$5*(1+Inputs!$B$6/100))*(F368/100)</f>
        <v/>
      </c>
      <c r="K368">
        <f>J368*(1+((Inputs!$B$11*(1+Inputs!$B$12/100))*0.01+Inputs!$B$13*0.0025)/100)*(1+Inputs!$B$14/100)*(1+IF(Inputs!$B$4="pvp",0,(1-Summary!$B$55)*(Inputs!$B$19+0+Skills!P11)+Summary!$B$55*(Inputs!$B$20+Skills!Q11))/100)*(1+Inputs!$B$15/100)*(5000/(6000+Inputs!$B$7*(1-(Inputs!$B$18+0)/100)))*(1+(Inputs!$B$23+((C379=TRUE)*(F379-Calc!F22))+B388)/100)*(1+(IF(Skills!A11="HOOK_BOMBER",Inputs!$B$16+((C378=TRUE)*(F378-Calc!F21)),Inputs!$B$17+0))/100)*((1+(((C370=TRUE)*F370)+((C376=TRUE)*(F376-Calc!F19)))/100)*I368)</f>
        <v/>
      </c>
      <c r="L368">
        <f>K368*(MIN(Inputs!$B$21+((C377=TRUE)*(F377-Calc!F20)),(Inputs!$B$22+1)+0)/100+((Inputs!$B$22+1)+0)/100)/2</f>
        <v/>
      </c>
      <c r="M368">
        <f>L368*(1+(Inputs!$B$9+0+B387)/100)</f>
        <v/>
      </c>
      <c r="N368">
        <f>L368*(1-MIN((Inputs!$B$8+((C373=TRUE)*(F373-Calc!F16))+B382),100)/100)+M368*(MIN((Inputs!$B$8+((C373=TRUE)*(F373-Calc!F16))+B382),100)/100)</f>
        <v/>
      </c>
      <c r="O368">
        <f>IF(C368,H368*N368*IF(AND(Inputs!$B$4&lt;&gt;"pvp",Inputs!$B$35&gt;0),((Skills!G11*((R368-1)*IF(Skills!H11&gt;0,Skills!I11/Skills!H11,1)+IF(Skills!H11&gt;0,MIN(Skills!I11,MAX(0,Inputs!$B$35-((R368-1)*IF(Inputs!$B$4="pvp",15,MAX(0.1,Skills!D11-IF(Skills!E11=TRUE,Inputs!$B$31,0))))))/Skills!H11,1)))/Inputs!$B$35),G368*Q368)*IF(Inputs!$B$4="pvp",1,(1-Summary!$B$55)*(1)+Summary!$B$55*(MIN(Skills!R11,Inputs!$B$37))),0)</f>
        <v/>
      </c>
      <c r="P368">
        <f>IF(B390=0,0,O368/B390)</f>
        <v/>
      </c>
      <c r="Q368">
        <f>IFERROR(1/IF(Inputs!$B$4="pvp",15,MAX(0.1,Skills!D11-IF(Skills!E11=TRUE,Inputs!$B$31,0))),0)</f>
        <v/>
      </c>
      <c r="R368">
        <f>IF(AND(Inputs!$B$4&lt;&gt;"pvp",Inputs!$B$35&gt;0),(INT(Inputs!$B$35/IF(Inputs!$B$4="pvp",15,MAX(0.1,Skills!D11-IF(Skills!E11=TRUE,Inputs!$B$31,0))))+1),0)</f>
        <v/>
      </c>
      <c r="S368">
        <f>IFERROR(O368/N368,0)</f>
        <v/>
      </c>
    </row>
    <row r="369">
      <c r="A369">
        <f>Skills!A12</f>
        <v/>
      </c>
      <c r="B369">
        <f>Skills!B12</f>
        <v/>
      </c>
      <c r="C369">
        <f>Inputs!$B$3&gt;=100</f>
        <v/>
      </c>
      <c r="D369">
        <f>IF(Skills!C12=1,60+Inputs!$B$24+Inputs!$B$28,IF(Skills!C12=2,90+Inputs!$B$25+Inputs!$B$28,IF(Skills!C12=3,120+Inputs!$B$26+Inputs!$B$28,MAX(0,(Inputs!$B$3-100)*3)+Inputs!$B$27+Inputs!$B$28)))</f>
        <v/>
      </c>
      <c r="E369">
        <f>INDEX(FactorTable!$B$2:$Y$301, MATCH(ROUND(MIN(300,MAX(1,D369)),0), FactorTable!$A$2:$A$301,0), Skills!M12+1)</f>
        <v/>
      </c>
      <c r="F369">
        <f>IF(Skills!N12=TRUE,(Skills!L12/10)*(E369/1000),Skills!L12/10)+Skills!O12</f>
        <v/>
      </c>
      <c r="G369" t="inlineStr"/>
      <c r="H369" t="inlineStr"/>
      <c r="I369" t="inlineStr">
        <is>
          <t>1</t>
        </is>
      </c>
      <c r="J369" t="inlineStr"/>
      <c r="K369" t="inlineStr"/>
      <c r="L369" t="inlineStr"/>
      <c r="M369" t="inlineStr"/>
      <c r="N369" t="inlineStr"/>
      <c r="O369" t="inlineStr"/>
      <c r="P369" t="inlineStr"/>
      <c r="Q369" t="inlineStr"/>
      <c r="R369" t="inlineStr"/>
      <c r="S369" t="inlineStr"/>
    </row>
    <row r="370">
      <c r="A370">
        <f>Skills!A13</f>
        <v/>
      </c>
      <c r="B370">
        <f>Skills!B13</f>
        <v/>
      </c>
      <c r="C370">
        <f>Inputs!$B$3&gt;=66</f>
        <v/>
      </c>
      <c r="D370">
        <f>IF(Skills!C13=1,60+Inputs!$B$24+Inputs!$B$28,IF(Skills!C13=2,90+Inputs!$B$25+Inputs!$B$28,IF(Skills!C13=3,120+Inputs!$B$26+Inputs!$B$28,MAX(0,(Inputs!$B$3-100)*3)+Inputs!$B$27+Inputs!$B$28)))</f>
        <v/>
      </c>
      <c r="E370">
        <f>INDEX(FactorTable!$B$2:$Y$301, MATCH(ROUND(MIN(300,MAX(1,D370)),0), FactorTable!$A$2:$A$301,0), Skills!M13+1)</f>
        <v/>
      </c>
      <c r="F370">
        <f>IF(Skills!N13=TRUE,(Skills!L13/10)*(E370/1000),Skills!L13/10)+Skills!O13</f>
        <v/>
      </c>
      <c r="G370">
        <f>Skills!G13*IF(Skills!H13&gt;0,Skills!I13/Skills!H13,1)</f>
        <v/>
      </c>
      <c r="H370">
        <f>1-(1-Skills!J13/100)^Skills!K13</f>
        <v/>
      </c>
      <c r="I370" t="inlineStr">
        <is>
          <t>1</t>
        </is>
      </c>
      <c r="J370" t="inlineStr"/>
      <c r="K370" t="inlineStr"/>
      <c r="L370" t="inlineStr"/>
      <c r="M370" t="inlineStr"/>
      <c r="N370" t="inlineStr"/>
      <c r="O370" t="n">
        <v>0</v>
      </c>
      <c r="P370">
        <f>IF(B390=0,0,O370/B390)</f>
        <v/>
      </c>
      <c r="Q370" t="n">
        <v>0</v>
      </c>
      <c r="R370" t="n">
        <v>0</v>
      </c>
      <c r="S370">
        <f>IFERROR(O370/N370,0)</f>
        <v/>
      </c>
    </row>
    <row r="371">
      <c r="A371">
        <f>Skills!A14</f>
        <v/>
      </c>
      <c r="B371">
        <f>Skills!B14</f>
        <v/>
      </c>
      <c r="C371">
        <f>Inputs!$B$3&gt;=107</f>
        <v/>
      </c>
      <c r="D371">
        <f>IF(Skills!C14=1,60+Inputs!$B$24+Inputs!$B$28,IF(Skills!C14=2,90+Inputs!$B$25+Inputs!$B$28,IF(Skills!C14=3,120+Inputs!$B$26+Inputs!$B$28,MAX(0,(Inputs!$B$3-100)*3)+Inputs!$B$27+Inputs!$B$28)))</f>
        <v/>
      </c>
      <c r="E371">
        <f>INDEX(FactorTable!$B$2:$Y$301, MATCH(ROUND(MIN(300,MAX(1,D371)),0), FactorTable!$A$2:$A$301,0), Skills!M14+1)</f>
        <v/>
      </c>
      <c r="F371">
        <f>IF(Skills!N14=TRUE,(Skills!L14/10)*(E371/1000),Skills!L14/10)+Skills!O14</f>
        <v/>
      </c>
      <c r="G371">
        <f>Skills!G14*IF(Skills!H14&gt;0,Skills!I14/Skills!H14,1)</f>
        <v/>
      </c>
      <c r="H371">
        <f>1-(1-Skills!J14/100)^Skills!K14</f>
        <v/>
      </c>
      <c r="I371" t="inlineStr">
        <is>
          <t>1</t>
        </is>
      </c>
      <c r="J371" t="inlineStr"/>
      <c r="K371" t="inlineStr"/>
      <c r="L371" t="inlineStr"/>
      <c r="M371" t="inlineStr"/>
      <c r="N371" t="inlineStr"/>
      <c r="O371" t="n">
        <v>0</v>
      </c>
      <c r="P371">
        <f>IF(B390=0,0,O371/B390)</f>
        <v/>
      </c>
      <c r="Q371" t="n">
        <v>0</v>
      </c>
      <c r="R371" t="n">
        <v>0</v>
      </c>
      <c r="S371">
        <f>IFERROR(O371/N371,0)</f>
        <v/>
      </c>
    </row>
    <row r="372">
      <c r="A372">
        <f>Skills!A15</f>
        <v/>
      </c>
      <c r="B372">
        <f>Skills!B15</f>
        <v/>
      </c>
      <c r="C372">
        <f>Inputs!$B$3&gt;=115</f>
        <v/>
      </c>
      <c r="D372">
        <f>IF(Skills!C15=1,60+Inputs!$B$24+Inputs!$B$28,IF(Skills!C15=2,90+Inputs!$B$25+Inputs!$B$28,IF(Skills!C15=3,120+Inputs!$B$26+Inputs!$B$28,MAX(0,(Inputs!$B$3-100)*3)+Inputs!$B$27+Inputs!$B$28)))</f>
        <v/>
      </c>
      <c r="E372">
        <f>INDEX(FactorTable!$B$2:$Y$301, MATCH(ROUND(MIN(300,MAX(1,D372)),0), FactorTable!$A$2:$A$301,0), Skills!M15+1)</f>
        <v/>
      </c>
      <c r="F372">
        <f>IF(Skills!N15=TRUE,(Skills!L15/10)*(E372/1000),Skills!L15/10)+Skills!O15</f>
        <v/>
      </c>
      <c r="G372">
        <f>Skills!G15*IF(Skills!H15&gt;0,Skills!I15/Skills!H15,1)</f>
        <v/>
      </c>
      <c r="H372">
        <f>1-(1-Skills!J15/100)^Skills!K15</f>
        <v/>
      </c>
      <c r="I372" t="inlineStr">
        <is>
          <t>1</t>
        </is>
      </c>
      <c r="J372" t="inlineStr"/>
      <c r="K372" t="inlineStr"/>
      <c r="L372" t="inlineStr"/>
      <c r="M372" t="inlineStr"/>
      <c r="N372" t="inlineStr"/>
      <c r="O372" t="n">
        <v>0</v>
      </c>
      <c r="P372">
        <f>IF(B390=0,0,O372/B390)</f>
        <v/>
      </c>
      <c r="Q372" t="n">
        <v>0</v>
      </c>
      <c r="R372" t="n">
        <v>0</v>
      </c>
      <c r="S372">
        <f>IFERROR(O372/N372,0)</f>
        <v/>
      </c>
    </row>
    <row r="373">
      <c r="A373">
        <f>Skills!A16</f>
        <v/>
      </c>
      <c r="B373">
        <f>Skills!B16</f>
        <v/>
      </c>
      <c r="C373">
        <f>Inputs!$B$3&gt;=15</f>
        <v/>
      </c>
      <c r="D373">
        <f>IF(Skills!C16=1,60+Inputs!$B$24+Inputs!$B$28,IF(Skills!C16=2,90+Inputs!$B$25+Inputs!$B$28,IF(Skills!C16=3,120+Inputs!$B$26+Inputs!$B$28,MAX(0,(Inputs!$B$3-100)*3)+Inputs!$B$27+Inputs!$B$28)))</f>
        <v/>
      </c>
      <c r="E373">
        <f>INDEX(FactorTable!$B$2:$Y$301, MATCH(ROUND(MIN(300,MAX(1,D373)),0), FactorTable!$A$2:$A$301,0), Skills!M16+1)</f>
        <v/>
      </c>
      <c r="F373">
        <f>IF(Skills!N16=TRUE,(Skills!L16/10)*(E373/1000),Skills!L16/10)+Skills!O16</f>
        <v/>
      </c>
      <c r="G373">
        <f>Skills!G16*IF(Skills!H16&gt;0,Skills!I16/Skills!H16,1)</f>
        <v/>
      </c>
      <c r="H373">
        <f>1-(1-Skills!J16/100)^Skills!K16</f>
        <v/>
      </c>
      <c r="I373" t="inlineStr">
        <is>
          <t>1</t>
        </is>
      </c>
      <c r="J373" t="inlineStr"/>
      <c r="K373" t="inlineStr"/>
      <c r="L373" t="inlineStr"/>
      <c r="M373" t="inlineStr"/>
      <c r="N373" t="inlineStr"/>
      <c r="O373" t="n">
        <v>0</v>
      </c>
      <c r="P373">
        <f>IF(B390=0,0,O373/B390)</f>
        <v/>
      </c>
      <c r="Q373" t="n">
        <v>0</v>
      </c>
      <c r="R373" t="n">
        <v>0</v>
      </c>
      <c r="S373">
        <f>IFERROR(O373/N373,0)</f>
        <v/>
      </c>
    </row>
    <row r="374">
      <c r="A374">
        <f>Skills!A17</f>
        <v/>
      </c>
      <c r="B374">
        <f>Skills!B17</f>
        <v/>
      </c>
      <c r="C374">
        <f>Inputs!$B$3&gt;=10</f>
        <v/>
      </c>
      <c r="D374">
        <f>IF(Skills!C17=1,60+Inputs!$B$24+Inputs!$B$28,IF(Skills!C17=2,90+Inputs!$B$25+Inputs!$B$28,IF(Skills!C17=3,120+Inputs!$B$26+Inputs!$B$28,MAX(0,(Inputs!$B$3-100)*3)+Inputs!$B$27+Inputs!$B$28)))</f>
        <v/>
      </c>
      <c r="E374">
        <f>INDEX(FactorTable!$B$2:$Y$301, MATCH(ROUND(MIN(300,MAX(1,D374)),0), FactorTable!$A$2:$A$301,0), Skills!M17+1)</f>
        <v/>
      </c>
      <c r="F374">
        <f>IF(Skills!N17=TRUE,(Skills!L17/10)*(E374/1000),Skills!L17/10)+Skills!O17</f>
        <v/>
      </c>
      <c r="G374">
        <f>Skills!G17*IF(Skills!H17&gt;0,Skills!I17/Skills!H17,1)</f>
        <v/>
      </c>
      <c r="H374">
        <f>1-(1-Skills!J17/100)^Skills!K17</f>
        <v/>
      </c>
      <c r="I374" t="inlineStr">
        <is>
          <t>1</t>
        </is>
      </c>
      <c r="J374" t="inlineStr"/>
      <c r="K374" t="inlineStr"/>
      <c r="L374" t="inlineStr"/>
      <c r="M374" t="inlineStr"/>
      <c r="N374" t="inlineStr"/>
      <c r="O374" t="n">
        <v>0</v>
      </c>
      <c r="P374">
        <f>IF(B390=0,0,O374/B390)</f>
        <v/>
      </c>
      <c r="Q374" t="n">
        <v>0</v>
      </c>
      <c r="R374" t="n">
        <v>0</v>
      </c>
      <c r="S374">
        <f>IFERROR(O374/N374,0)</f>
        <v/>
      </c>
    </row>
    <row r="375">
      <c r="A375">
        <f>Skills!A18</f>
        <v/>
      </c>
      <c r="B375">
        <f>Skills!B18</f>
        <v/>
      </c>
      <c r="C375">
        <f>Inputs!$B$3&gt;=33</f>
        <v/>
      </c>
      <c r="D375">
        <f>IF(Skills!C18=1,60+Inputs!$B$24+Inputs!$B$28,IF(Skills!C18=2,90+Inputs!$B$25+Inputs!$B$28,IF(Skills!C18=3,120+Inputs!$B$26+Inputs!$B$28,MAX(0,(Inputs!$B$3-100)*3)+Inputs!$B$27+Inputs!$B$28)))</f>
        <v/>
      </c>
      <c r="E375">
        <f>INDEX(FactorTable!$B$2:$Y$301, MATCH(ROUND(MIN(300,MAX(1,D375)),0), FactorTable!$A$2:$A$301,0), Skills!M18+1)</f>
        <v/>
      </c>
      <c r="F375">
        <f>IF(Skills!N18=TRUE,(Skills!L18/10)*(E375/1000),Skills!L18/10)+Skills!O18</f>
        <v/>
      </c>
      <c r="G375">
        <f>Skills!G18*IF(Skills!H18&gt;0,Skills!I18/Skills!H18,1)</f>
        <v/>
      </c>
      <c r="H375">
        <f>1-(1-Skills!J18/100)^Skills!K18</f>
        <v/>
      </c>
      <c r="I375" t="inlineStr">
        <is>
          <t>1</t>
        </is>
      </c>
      <c r="J375" t="inlineStr"/>
      <c r="K375" t="inlineStr"/>
      <c r="L375" t="inlineStr"/>
      <c r="M375" t="inlineStr"/>
      <c r="N375" t="inlineStr"/>
      <c r="O375" t="n">
        <v>0</v>
      </c>
      <c r="P375">
        <f>IF(B390=0,0,O375/B390)</f>
        <v/>
      </c>
      <c r="Q375" t="n">
        <v>0</v>
      </c>
      <c r="R375" t="n">
        <v>0</v>
      </c>
      <c r="S375">
        <f>IFERROR(O375/N375,0)</f>
        <v/>
      </c>
    </row>
    <row r="376">
      <c r="A376">
        <f>Skills!A19</f>
        <v/>
      </c>
      <c r="B376">
        <f>Skills!B19</f>
        <v/>
      </c>
      <c r="C376">
        <f>Inputs!$B$3&gt;=40</f>
        <v/>
      </c>
      <c r="D376">
        <f>IF(Skills!C19=1,60+Inputs!$B$24+Inputs!$B$28,IF(Skills!C19=2,90+Inputs!$B$25+Inputs!$B$28,IF(Skills!C19=3,120+Inputs!$B$26+Inputs!$B$28,MAX(0,(Inputs!$B$3-100)*3)+Inputs!$B$27+Inputs!$B$28)))</f>
        <v/>
      </c>
      <c r="E376">
        <f>INDEX(FactorTable!$B$2:$Y$301, MATCH(ROUND(MIN(300,MAX(1,D376)),0), FactorTable!$A$2:$A$301,0), Skills!M19+1)</f>
        <v/>
      </c>
      <c r="F376">
        <f>IF(Skills!N19=TRUE,(Skills!L19/10)*(E376/1000),Skills!L19/10)+Skills!O19</f>
        <v/>
      </c>
      <c r="G376">
        <f>Skills!G19*IF(Skills!H19&gt;0,Skills!I19/Skills!H19,1)</f>
        <v/>
      </c>
      <c r="H376">
        <f>1-(1-Skills!J19/100)^Skills!K19</f>
        <v/>
      </c>
      <c r="I376" t="inlineStr">
        <is>
          <t>1</t>
        </is>
      </c>
      <c r="J376" t="inlineStr"/>
      <c r="K376" t="inlineStr"/>
      <c r="L376" t="inlineStr"/>
      <c r="M376" t="inlineStr"/>
      <c r="N376" t="inlineStr"/>
      <c r="O376" t="n">
        <v>0</v>
      </c>
      <c r="P376">
        <f>IF(B390=0,0,O376/B390)</f>
        <v/>
      </c>
      <c r="Q376" t="n">
        <v>0</v>
      </c>
      <c r="R376" t="n">
        <v>0</v>
      </c>
      <c r="S376">
        <f>IFERROR(O376/N376,0)</f>
        <v/>
      </c>
    </row>
    <row r="377">
      <c r="A377">
        <f>Skills!A20</f>
        <v/>
      </c>
      <c r="B377">
        <f>Skills!B20</f>
        <v/>
      </c>
      <c r="C377">
        <f>Inputs!$B$3&gt;=43</f>
        <v/>
      </c>
      <c r="D377">
        <f>IF(Skills!C20=1,60+Inputs!$B$24+Inputs!$B$28,IF(Skills!C20=2,90+Inputs!$B$25+Inputs!$B$28,IF(Skills!C20=3,120+Inputs!$B$26+Inputs!$B$28,MAX(0,(Inputs!$B$3-100)*3)+Inputs!$B$27+Inputs!$B$28)))</f>
        <v/>
      </c>
      <c r="E377">
        <f>INDEX(FactorTable!$B$2:$Y$301, MATCH(ROUND(MIN(300,MAX(1,D377)),0), FactorTable!$A$2:$A$301,0), Skills!M20+1)</f>
        <v/>
      </c>
      <c r="F377">
        <f>IF(Skills!N20=TRUE,(Skills!L20/10)*(E377/1000),Skills!L20/10)+Skills!O20</f>
        <v/>
      </c>
      <c r="G377">
        <f>Skills!G20*IF(Skills!H20&gt;0,Skills!I20/Skills!H20,1)</f>
        <v/>
      </c>
      <c r="H377">
        <f>1-(1-Skills!J20/100)^Skills!K20</f>
        <v/>
      </c>
      <c r="I377" t="inlineStr">
        <is>
          <t>1</t>
        </is>
      </c>
      <c r="J377" t="inlineStr"/>
      <c r="K377" t="inlineStr"/>
      <c r="L377" t="inlineStr"/>
      <c r="M377" t="inlineStr"/>
      <c r="N377" t="inlineStr"/>
      <c r="O377" t="n">
        <v>0</v>
      </c>
      <c r="P377">
        <f>IF(B390=0,0,O377/B390)</f>
        <v/>
      </c>
      <c r="Q377" t="n">
        <v>0</v>
      </c>
      <c r="R377" t="n">
        <v>0</v>
      </c>
      <c r="S377">
        <f>IFERROR(O377/N377,0)</f>
        <v/>
      </c>
    </row>
    <row r="378">
      <c r="A378">
        <f>Skills!A21</f>
        <v/>
      </c>
      <c r="B378">
        <f>Skills!B21</f>
        <v/>
      </c>
      <c r="C378">
        <f>Inputs!$B$3&gt;=38</f>
        <v/>
      </c>
      <c r="D378">
        <f>IF(Skills!C21=1,60+Inputs!$B$24+Inputs!$B$28,IF(Skills!C21=2,90+Inputs!$B$25+Inputs!$B$28,IF(Skills!C21=3,120+Inputs!$B$26+Inputs!$B$28,MAX(0,(Inputs!$B$3-100)*3)+Inputs!$B$27+Inputs!$B$28)))</f>
        <v/>
      </c>
      <c r="E378">
        <f>INDEX(FactorTable!$B$2:$Y$301, MATCH(ROUND(MIN(300,MAX(1,D378)),0), FactorTable!$A$2:$A$301,0), Skills!M21+1)</f>
        <v/>
      </c>
      <c r="F378">
        <f>IF(Skills!N21=TRUE,(Skills!L21/10)*(E378/1000),Skills!L21/10)+Skills!O21</f>
        <v/>
      </c>
      <c r="G378">
        <f>Skills!G21*IF(Skills!H21&gt;0,Skills!I21/Skills!H21,1)</f>
        <v/>
      </c>
      <c r="H378">
        <f>1-(1-Skills!J21/100)^Skills!K21</f>
        <v/>
      </c>
      <c r="I378" t="inlineStr">
        <is>
          <t>1</t>
        </is>
      </c>
      <c r="J378" t="inlineStr"/>
      <c r="K378" t="inlineStr"/>
      <c r="L378" t="inlineStr"/>
      <c r="M378" t="inlineStr"/>
      <c r="N378" t="inlineStr"/>
      <c r="O378" t="n">
        <v>0</v>
      </c>
      <c r="P378">
        <f>IF(B390=0,0,O378/B390)</f>
        <v/>
      </c>
      <c r="Q378" t="n">
        <v>0</v>
      </c>
      <c r="R378" t="n">
        <v>0</v>
      </c>
      <c r="S378">
        <f>IFERROR(O378/N378,0)</f>
        <v/>
      </c>
    </row>
    <row r="379">
      <c r="A379">
        <f>Skills!A22</f>
        <v/>
      </c>
      <c r="B379">
        <f>Skills!B22</f>
        <v/>
      </c>
      <c r="C379">
        <f>Inputs!$B$3&gt;=75</f>
        <v/>
      </c>
      <c r="D379">
        <f>IF(Skills!C22=1,60+Inputs!$B$24+Inputs!$B$28,IF(Skills!C22=2,90+Inputs!$B$25+Inputs!$B$28,IF(Skills!C22=3,120+Inputs!$B$26+Inputs!$B$28,MAX(0,(Inputs!$B$3-100)*3)+Inputs!$B$27+Inputs!$B$28)))</f>
        <v/>
      </c>
      <c r="E379">
        <f>INDEX(FactorTable!$B$2:$Y$301, MATCH(ROUND(MIN(300,MAX(1,D379)),0), FactorTable!$A$2:$A$301,0), Skills!M22+1)</f>
        <v/>
      </c>
      <c r="F379">
        <f>IF(Skills!N22=TRUE,(Skills!L22/10)*(E379/1000),Skills!L22/10)+Skills!O22</f>
        <v/>
      </c>
      <c r="G379">
        <f>Skills!G22*IF(Skills!H22&gt;0,Skills!I22/Skills!H22,1)</f>
        <v/>
      </c>
      <c r="H379">
        <f>1-(1-Skills!J22/100)^Skills!K22</f>
        <v/>
      </c>
      <c r="I379" t="inlineStr">
        <is>
          <t>1</t>
        </is>
      </c>
      <c r="J379" t="inlineStr"/>
      <c r="K379" t="inlineStr"/>
      <c r="L379" t="inlineStr"/>
      <c r="M379" t="inlineStr"/>
      <c r="N379" t="inlineStr"/>
      <c r="O379" t="n">
        <v>0</v>
      </c>
      <c r="P379">
        <f>IF(B390=0,0,O379/B390)</f>
        <v/>
      </c>
      <c r="Q379" t="n">
        <v>0</v>
      </c>
      <c r="R379" t="n">
        <v>0</v>
      </c>
      <c r="S379">
        <f>IFERROR(O379/N379,0)</f>
        <v/>
      </c>
    </row>
    <row r="381">
      <c r="A381" t="inlineStr">
        <is>
          <t>Attack% Bucket Multiplier</t>
        </is>
      </c>
      <c r="B381">
        <f>(1+(((C370=TRUE)*F370)+((C376=TRUE)*(F376-Calc!F19)))/100)</f>
        <v/>
      </c>
    </row>
    <row r="382">
      <c r="A382" t="inlineStr">
        <is>
          <t>Global Crit Rate Bonus %</t>
        </is>
      </c>
      <c r="B382" t="n">
        <v>0</v>
      </c>
    </row>
    <row r="383">
      <c r="A383" t="inlineStr">
        <is>
          <t>Attack Speed Buff Bonus % (unused)</t>
        </is>
      </c>
      <c r="B383" t="n">
        <v>0</v>
      </c>
    </row>
    <row r="384">
      <c r="A384" t="inlineStr">
        <is>
          <t>Actions Per Second</t>
        </is>
      </c>
      <c r="B384">
        <f>1+MIN(150,150*(1-(1-(Inputs!$B$10+((C374=TRUE)*(F374-Calc!F17))+((C375=TRUE)*(F375-Calc!F18)))/150)*(1-B383/150)))/100</f>
        <v/>
      </c>
    </row>
    <row r="385">
      <c r="A385" t="inlineStr">
        <is>
          <t>Skill + Buff Cast Rate</t>
        </is>
      </c>
      <c r="B385">
        <f>IF(AND(Inputs!$B$4&lt;&gt;"pvp",Inputs!$B$35&gt;0),SUMPRODUCT((Skills!E2:E22=TRUE)*(C359:C379=TRUE)*R359:R379*Skills!F2:F22)/Inputs!$B$35,SUMPRODUCT((Skills!E2:E22=TRUE)*(C359:C379=TRUE)*Q359:Q379*Skills!F2:F22))</f>
        <v/>
      </c>
    </row>
    <row r="386">
      <c r="A386" t="inlineStr">
        <is>
          <t>Hook Bomber Casts Per Second</t>
        </is>
      </c>
      <c r="B386">
        <f>MAX(0,B384-B385)</f>
        <v/>
      </c>
    </row>
    <row r="387">
      <c r="A387" t="inlineStr">
        <is>
          <t>Global Critical Damage Bonus % (unused)</t>
        </is>
      </c>
      <c r="B387" t="n">
        <v>0</v>
      </c>
    </row>
    <row r="388">
      <c r="A388" t="inlineStr">
        <is>
          <t>Global Final Damage Bonus % (Serpent Scale + Crossbones + Time Leap + Speed Infusion)</t>
        </is>
      </c>
      <c r="B388">
        <f>((C362=TRUE)*F362*((10+IF(Inputs!$B$3&gt;=94,5,0))/((10+IF(Inputs!$B$3&gt;=94,5,0))+5/(B386*(1+IF(Inputs!$B$3&gt;=104,1,0))))))+((C371=TRUE)*F371)+((C372=TRUE)*F372)+((Inputs!$B$3&gt;=110)*20*(B384-1))</f>
        <v/>
      </c>
    </row>
    <row r="390">
      <c r="A390" s="5" t="inlineStr">
        <is>
          <t>TOTAL DPS</t>
        </is>
      </c>
      <c r="B390" s="5">
        <f>SUM(O359:O379)</f>
        <v/>
      </c>
    </row>
    <row r="393">
      <c r="A393" s="5" t="inlineStr">
        <is>
          <t>Stat: CRIT_RATE %</t>
        </is>
      </c>
    </row>
    <row r="394">
      <c r="A394" s="8" t="inlineStr">
        <is>
          <t>Key</t>
        </is>
      </c>
      <c r="B394" s="8" t="inlineStr">
        <is>
          <t>Name</t>
        </is>
      </c>
      <c r="C394" s="8" t="inlineStr">
        <is>
          <t>Unlocked</t>
        </is>
      </c>
      <c r="D394" s="8" t="inlineStr">
        <is>
          <t>InputLevel</t>
        </is>
      </c>
      <c r="E394" s="8" t="inlineStr">
        <is>
          <t>Factor</t>
        </is>
      </c>
      <c r="F394" s="8" t="inlineStr">
        <is>
          <t>CoefficientPercent</t>
        </is>
      </c>
      <c r="G394" s="8" t="inlineStr">
        <is>
          <t>EffectiveHits</t>
        </is>
      </c>
      <c r="H394" s="8" t="inlineStr">
        <is>
          <t>ProcProbability</t>
        </is>
      </c>
      <c r="I394" s="8" t="inlineStr">
        <is>
          <t>MapleHeroMultiplier</t>
        </is>
      </c>
      <c r="J394" s="8" t="inlineStr">
        <is>
          <t>BaseDamage</t>
        </is>
      </c>
      <c r="K394" s="8" t="inlineStr">
        <is>
          <t>BaseHitDamage</t>
        </is>
      </c>
      <c r="L394" s="8" t="inlineStr">
        <is>
          <t>NonCritAvg</t>
        </is>
      </c>
      <c r="M394" s="8" t="inlineStr">
        <is>
          <t>CritAvg</t>
        </is>
      </c>
      <c r="N394" s="8" t="inlineStr">
        <is>
          <t>ExpectedDamage(perHit)</t>
        </is>
      </c>
      <c r="O394" s="8" t="inlineStr">
        <is>
          <t>DPS</t>
        </is>
      </c>
      <c r="P394" s="8" t="inlineStr">
        <is>
          <t>% of Total</t>
        </is>
      </c>
      <c r="Q394" s="8" t="inlineStr">
        <is>
          <t>InvCooldown</t>
        </is>
      </c>
      <c r="R394" s="8" t="inlineStr">
        <is>
          <t>CastsInFight</t>
        </is>
      </c>
      <c r="S394" s="8" t="inlineStr">
        <is>
          <t>HitRate(perSec)</t>
        </is>
      </c>
      <c r="U394" t="inlineStr">
        <is>
          <t>helpers</t>
        </is>
      </c>
    </row>
    <row r="395">
      <c r="A395">
        <f>Skills!A2</f>
        <v/>
      </c>
      <c r="B395">
        <f>Skills!B2</f>
        <v/>
      </c>
      <c r="C395">
        <f>Inputs!$B$3&gt;=100</f>
        <v/>
      </c>
      <c r="D395" t="inlineStr"/>
      <c r="E395" t="inlineStr"/>
      <c r="F395">
        <f>U397+Skills!O2</f>
        <v/>
      </c>
      <c r="G395">
        <f>Skills!G2*IF(Skills!H2&gt;0,Skills!I2/Skills!H2,1)</f>
        <v/>
      </c>
      <c r="H395">
        <f>1-(1-Skills!J2/100)^Skills!K2</f>
        <v/>
      </c>
      <c r="I395" t="inlineStr">
        <is>
          <t>1</t>
        </is>
      </c>
      <c r="J395">
        <f>(Inputs!$B$5*(1+Inputs!$B$6/100))*(F395/100)</f>
        <v/>
      </c>
      <c r="K395">
        <f>J395*(1+((Inputs!$B$11*(1+Inputs!$B$12/100))*0.01+Inputs!$B$13*0.0025)/100)*(1+Inputs!$B$14/100)*(1+IF(Inputs!$B$4="pvp",0,(1-Summary!$B$55)*(Inputs!$B$19+0+Skills!P2)+Summary!$B$55*(Inputs!$B$20+Skills!Q2))/100)*(1+Inputs!$B$15/100)*(5000/(6000+Inputs!$B$7*(1-(Inputs!$B$18+0)/100)))*(1+(Inputs!$B$23+((C415=TRUE)*(F415-Calc!F22))+B424)/100)*(1+(IF(Skills!A2="HOOK_BOMBER",Inputs!$B$16+((C414=TRUE)*(F414-Calc!F21)),Inputs!$B$17+0))/100)*((1+(((C406=TRUE)*F406)+((C412=TRUE)*(F412-Calc!F19)))/100)*I395)</f>
        <v/>
      </c>
      <c r="L395">
        <f>K395*(MIN(Inputs!$B$21+((C413=TRUE)*(F413-Calc!F20)),Inputs!$B$22+0)/100+(Inputs!$B$22+0)/100)/2</f>
        <v/>
      </c>
      <c r="M395">
        <f>L395*(1+(Inputs!$B$9+0+B423)/100)</f>
        <v/>
      </c>
      <c r="N395">
        <f>L395*(1-MIN(((Inputs!$B$8+1)+((C409=TRUE)*(F409-Calc!F16))+B418),100)/100)+M395*(MIN(((Inputs!$B$8+1)+((C409=TRUE)*(F409-Calc!F16))+B418),100)/100)</f>
        <v/>
      </c>
      <c r="O395">
        <f>IF(C395,Skills!G2*N395*B422*IF(Inputs!$B$4="pvp",1,(1-Summary!$B$55)*(1)+Summary!$B$55*(MIN((6+Inputs!$B$32),Inputs!$B$37))),0)</f>
        <v/>
      </c>
      <c r="P395">
        <f>IF(B426=0,0,O395/B426)</f>
        <v/>
      </c>
      <c r="Q395" t="n">
        <v>0</v>
      </c>
      <c r="R395" t="n">
        <v>0</v>
      </c>
      <c r="S395">
        <f>IFERROR(O395/N395,0)</f>
        <v/>
      </c>
      <c r="U395">
        <f>MAX(0,(Inputs!$B$3-100)*3)+Inputs!$B$27+Inputs!$B$28</f>
        <v/>
      </c>
    </row>
    <row r="396">
      <c r="A396">
        <f>Skills!A3</f>
        <v/>
      </c>
      <c r="B396">
        <f>Skills!B3</f>
        <v/>
      </c>
      <c r="C396">
        <f>Inputs!$B$3&gt;=35</f>
        <v/>
      </c>
      <c r="D396">
        <f>IF(Skills!C3=1,60+Inputs!$B$24+Inputs!$B$28,IF(Skills!C3=2,90+Inputs!$B$25+Inputs!$B$28,IF(Skills!C3=3,120+Inputs!$B$26+Inputs!$B$28,MAX(0,(Inputs!$B$3-100)*3)+Inputs!$B$27+Inputs!$B$28)))</f>
        <v/>
      </c>
      <c r="E396">
        <f>INDEX(FactorTable!$B$2:$Y$301, MATCH(ROUND(MIN(300,MAX(1,D396)),0), FactorTable!$A$2:$A$301,0), Skills!M3+1)</f>
        <v/>
      </c>
      <c r="F396">
        <f>IF(Skills!N3=TRUE,(Skills!L3/10)*(E396/1000),Skills!L3/10)+Skills!O3</f>
        <v/>
      </c>
      <c r="G396">
        <f>Skills!G3*IF(Skills!H3&gt;0,Skills!I3/Skills!H3,1)</f>
        <v/>
      </c>
      <c r="H396">
        <f>1-(1-Skills!J3/100)^Skills!K3</f>
        <v/>
      </c>
      <c r="I396" t="inlineStr">
        <is>
          <t>1</t>
        </is>
      </c>
      <c r="J396">
        <f>(Inputs!$B$5*(1+Inputs!$B$6/100))*(F396/100)</f>
        <v/>
      </c>
      <c r="K396">
        <f>J396*(1+((Inputs!$B$11*(1+Inputs!$B$12/100))*0.01+Inputs!$B$13*0.0025)/100)*(1+Inputs!$B$14/100)*(1+IF(Inputs!$B$4="pvp",0,(1-Summary!$B$55)*(Inputs!$B$19+0+Skills!P3)+Summary!$B$55*(Inputs!$B$20+Skills!Q3))/100)*(1+Inputs!$B$15/100)*(5000/(6000+Inputs!$B$7*(1-(Inputs!$B$18+0)/100)))*(1+(Inputs!$B$23+((C415=TRUE)*(F415-Calc!F22))+B424)/100)*(1+(IF(Skills!A3="HOOK_BOMBER",Inputs!$B$16+((C414=TRUE)*(F414-Calc!F21)),Inputs!$B$17+0))/100)*((1+(((C406=TRUE)*F406)+((C412=TRUE)*(F412-Calc!F19)))/100)*I396)</f>
        <v/>
      </c>
      <c r="L396">
        <f>K396*(MIN(Inputs!$B$21+((C413=TRUE)*(F413-Calc!F20)),Inputs!$B$22+0)/100+(Inputs!$B$22+0)/100)/2</f>
        <v/>
      </c>
      <c r="M396">
        <f>L396*(1+(Inputs!$B$9+0+B423)/100)</f>
        <v/>
      </c>
      <c r="N396">
        <f>L396*(1-MIN(((Inputs!$B$8+1)+((C409=TRUE)*(F409-Calc!F16))+B418),100)/100)+M396*(MIN(((Inputs!$B$8+1)+((C409=TRUE)*(F409-Calc!F16))+B418),100)/100)</f>
        <v/>
      </c>
      <c r="O396">
        <f>IF(C396,Skills!G3*H396*N396*B422*IF(Inputs!$B$4="pvp",1,(1-Summary!$B$55)*(1)+Summary!$B$55*(MIN(Skills!R3,Inputs!$B$37))),0)</f>
        <v/>
      </c>
      <c r="P396">
        <f>IF(B426=0,0,O396/B426)</f>
        <v/>
      </c>
      <c r="Q396" t="n">
        <v>0</v>
      </c>
      <c r="R396" t="n">
        <v>0</v>
      </c>
      <c r="S396">
        <f>IFERROR(O396/N396,0)</f>
        <v/>
      </c>
      <c r="U396">
        <f>INDEX(FactorTable!$B$2:$Y$301, MATCH(ROUND(MIN(300,MAX(1,U395)),0), FactorTable!$A$2:$A$301,0), 22)</f>
        <v/>
      </c>
    </row>
    <row r="397">
      <c r="A397">
        <f>Skills!A4</f>
        <v/>
      </c>
      <c r="B397">
        <f>Skills!B4</f>
        <v/>
      </c>
      <c r="C397">
        <f>Inputs!$B$3&gt;=60</f>
        <v/>
      </c>
      <c r="D397">
        <f>IF(Skills!C4=1,60+Inputs!$B$24+Inputs!$B$28,IF(Skills!C4=2,90+Inputs!$B$25+Inputs!$B$28,IF(Skills!C4=3,120+Inputs!$B$26+Inputs!$B$28,MAX(0,(Inputs!$B$3-100)*3)+Inputs!$B$27+Inputs!$B$28)))</f>
        <v/>
      </c>
      <c r="E397">
        <f>INDEX(FactorTable!$B$2:$Y$301, MATCH(ROUND(MIN(300,MAX(1,D397)),0), FactorTable!$A$2:$A$301,0), Skills!M4+1)</f>
        <v/>
      </c>
      <c r="F397">
        <f>IF(Skills!N4=TRUE,(Skills!L4/10)*(E397/1000),Skills!L4/10)+Skills!O4</f>
        <v/>
      </c>
      <c r="G397">
        <f>Skills!G4*IF(Skills!H4&gt;0,Skills!I4/Skills!H4,1)</f>
        <v/>
      </c>
      <c r="H397">
        <f>1-(1-Skills!J4/100)^Skills!K4</f>
        <v/>
      </c>
      <c r="I397" t="inlineStr">
        <is>
          <t>1</t>
        </is>
      </c>
      <c r="J397">
        <f>(Inputs!$B$5*(1+Inputs!$B$6/100))*(F397/100)</f>
        <v/>
      </c>
      <c r="K397">
        <f>J397*(1+((Inputs!$B$11*(1+Inputs!$B$12/100))*0.01+Inputs!$B$13*0.0025)/100)*(1+Inputs!$B$14/100)*(1+IF(Inputs!$B$4="pvp",0,(1-Summary!$B$55)*(Inputs!$B$19+0+Skills!P4)+Summary!$B$55*(Inputs!$B$20+Skills!Q4))/100)*(1+Inputs!$B$15/100)*(5000/(6000+Inputs!$B$7*(1-(Inputs!$B$18+0)/100)))*(1+(Inputs!$B$23+((C415=TRUE)*(F415-Calc!F22))+B424)/100)*(1+1.0*IF(C405=TRUE,F405,0)/100)*(1+(IF(Skills!A4="HOOK_BOMBER",Inputs!$B$16+((C414=TRUE)*(F414-Calc!F21)),Inputs!$B$17+0))/100)*((1+(((C406=TRUE)*F406)+((C412=TRUE)*(F412-Calc!F19)))/100)*I397)</f>
        <v/>
      </c>
      <c r="L397">
        <f>K397*(MIN(Inputs!$B$21+((C413=TRUE)*(F413-Calc!F20)),Inputs!$B$22+0)/100+(Inputs!$B$22+0)/100)/2</f>
        <v/>
      </c>
      <c r="M397">
        <f>L397*(1+(Inputs!$B$9+0+B423)/100)</f>
        <v/>
      </c>
      <c r="N397">
        <f>L397*(1-MIN(((Inputs!$B$8+1)+((C409=TRUE)*(F409-Calc!F16))+B418),100)/100)+M397*(MIN(((Inputs!$B$8+1)+((C409=TRUE)*(F409-Calc!F16))+B418),100)/100)</f>
        <v/>
      </c>
      <c r="O397">
        <f>IF(C397,Skills!G4*H397*N397*B422*IF(Inputs!$B$4="pvp",1,(1-Summary!$B$55)*(1)+Summary!$B$55*(MIN(Skills!R4,Inputs!$B$37))),0)</f>
        <v/>
      </c>
      <c r="P397">
        <f>IF(B426=0,0,O397/B426)</f>
        <v/>
      </c>
      <c r="Q397" t="n">
        <v>0</v>
      </c>
      <c r="R397" t="n">
        <v>0</v>
      </c>
      <c r="S397">
        <f>IFERROR(O397/N397,0)</f>
        <v/>
      </c>
      <c r="U397">
        <f>290*U396/1000</f>
        <v/>
      </c>
    </row>
    <row r="398">
      <c r="A398">
        <f>Skills!A5</f>
        <v/>
      </c>
      <c r="B398">
        <f>Skills!B5</f>
        <v/>
      </c>
      <c r="C398">
        <f>Inputs!$B$3&gt;=60</f>
        <v/>
      </c>
      <c r="D398">
        <f>IF(Skills!C5=1,60+Inputs!$B$24+Inputs!$B$28,IF(Skills!C5=2,90+Inputs!$B$25+Inputs!$B$28,IF(Skills!C5=3,120+Inputs!$B$26+Inputs!$B$28,MAX(0,(Inputs!$B$3-100)*3)+Inputs!$B$27+Inputs!$B$28)))</f>
        <v/>
      </c>
      <c r="E398">
        <f>INDEX(FactorTable!$B$2:$Y$301, MATCH(ROUND(MIN(300,MAX(1,D398)),0), FactorTable!$A$2:$A$301,0), Skills!M5+1)</f>
        <v/>
      </c>
      <c r="F398">
        <f>IF(Skills!N5=TRUE,(Skills!L5/10)*(E398/1000),Skills!L5/10)+Skills!O5</f>
        <v/>
      </c>
      <c r="G398">
        <f>Skills!G5*IF(Skills!H5&gt;0,Skills!I5/Skills!H5,1)</f>
        <v/>
      </c>
      <c r="H398">
        <f>1-(1-Skills!J5/100)^Skills!K5</f>
        <v/>
      </c>
      <c r="I398" t="inlineStr">
        <is>
          <t>1</t>
        </is>
      </c>
      <c r="J398" t="inlineStr"/>
      <c r="K398" t="inlineStr"/>
      <c r="L398" t="inlineStr"/>
      <c r="M398" t="inlineStr"/>
      <c r="N398" t="inlineStr"/>
      <c r="O398" t="n">
        <v>0</v>
      </c>
      <c r="P398">
        <f>IF(B426=0,0,O398/B426)</f>
        <v/>
      </c>
      <c r="Q398" t="n">
        <v>0</v>
      </c>
      <c r="R398" t="n">
        <v>0</v>
      </c>
      <c r="S398">
        <f>IFERROR(O398/N398,0)</f>
        <v/>
      </c>
    </row>
    <row r="399">
      <c r="A399">
        <f>Skills!A6</f>
        <v/>
      </c>
      <c r="B399">
        <f>Skills!B6</f>
        <v/>
      </c>
      <c r="C399">
        <f>Inputs!$B$3&gt;=63</f>
        <v/>
      </c>
      <c r="D399">
        <f>IF(Skills!C6=1,60+Inputs!$B$24+Inputs!$B$28,IF(Skills!C6=2,90+Inputs!$B$25+Inputs!$B$28,IF(Skills!C6=3,120+Inputs!$B$26+Inputs!$B$28,MAX(0,(Inputs!$B$3-100)*3)+Inputs!$B$27+Inputs!$B$28)))</f>
        <v/>
      </c>
      <c r="E399">
        <f>INDEX(FactorTable!$B$2:$Y$301, MATCH(ROUND(MIN(300,MAX(1,D399)),0), FactorTable!$A$2:$A$301,0), Skills!M6+1)</f>
        <v/>
      </c>
      <c r="F399">
        <f>IF(Skills!N6=TRUE,(Skills!L6/10)*(E399/1000),Skills!L6/10)+Skills!O6</f>
        <v/>
      </c>
      <c r="G399">
        <f>Skills!G6*IF(Skills!H6&gt;0,Skills!I6/Skills!H6,1)</f>
        <v/>
      </c>
      <c r="H399">
        <f>1-(1-Skills!J6/100)^Skills!K6</f>
        <v/>
      </c>
      <c r="I399" t="inlineStr">
        <is>
          <t>1</t>
        </is>
      </c>
      <c r="J399">
        <f>(Inputs!$B$5*(1+Inputs!$B$6/100))*(F399/100)</f>
        <v/>
      </c>
      <c r="K399">
        <f>J399*(1+((Inputs!$B$11*(1+Inputs!$B$12/100))*0.01+Inputs!$B$13*0.0025)/100)*(1+Inputs!$B$14/100)*(1+IF(Inputs!$B$4="pvp",0,(1-Summary!$B$55)*(Inputs!$B$19+0+Skills!P6)+Summary!$B$55*(Inputs!$B$20+Skills!Q6))/100)*(1+Inputs!$B$15/100)*(5000/(6000+Inputs!$B$7*(1-(Inputs!$B$18+0)/100)))*(1+(Inputs!$B$23+((C415=TRUE)*(F415-Calc!F22))+B424)/100)*(1+(IF(Skills!A6="HOOK_BOMBER",Inputs!$B$16+((C414=TRUE)*(F414-Calc!F21)),Inputs!$B$17+0))/100)*((1+(((C406=TRUE)*F406)+((C412=TRUE)*(F412-Calc!F19)))/100)*I399)</f>
        <v/>
      </c>
      <c r="L399">
        <f>K399*(MIN(Inputs!$B$21+((C413=TRUE)*(F413-Calc!F20)),Inputs!$B$22+0)/100+(Inputs!$B$22+0)/100)/2</f>
        <v/>
      </c>
      <c r="M399">
        <f>L399*(1+(Inputs!$B$9+0+B423)/100)</f>
        <v/>
      </c>
      <c r="N399">
        <f>L399*(1-MIN(((Inputs!$B$8+1)+((C409=TRUE)*(F409-Calc!F16))+B418),100)/100)+M399*(MIN(((Inputs!$B$8+1)+((C409=TRUE)*(F409-Calc!F16))+B418),100)/100)</f>
        <v/>
      </c>
      <c r="O399">
        <f>IF(C399,H399*N399*IF(AND(Inputs!$B$4&lt;&gt;"pvp",Inputs!$B$35&gt;0),((Skills!G6*((R399-1)*IF(Skills!H6&gt;0,Skills!I6/Skills!H6,1)+IF(Skills!H6&gt;0,MIN(Skills!I6,MAX(0,Inputs!$B$35-((R399-1)*IF(Inputs!$B$4="pvp",15,MAX(0.1,Skills!D6-IF(Skills!E6=TRUE,Inputs!$B$31,0))))))/Skills!H6,1)))/Inputs!$B$35),G399*Q399)*IF(Inputs!$B$4="pvp",1,(1-Summary!$B$55)*(1)+Summary!$B$55*(MIN(Skills!R6,Inputs!$B$37))),0)</f>
        <v/>
      </c>
      <c r="P399">
        <f>IF(B426=0,0,O399/B426)</f>
        <v/>
      </c>
      <c r="Q399">
        <f>IFERROR(1/IF(Inputs!$B$4="pvp",15,MAX(0.1,Skills!D6-IF(Skills!E6=TRUE,Inputs!$B$31,0))),0)</f>
        <v/>
      </c>
      <c r="R399">
        <f>IF(AND(Inputs!$B$4&lt;&gt;"pvp",Inputs!$B$35&gt;0),(INT(Inputs!$B$35/IF(Inputs!$B$4="pvp",15,MAX(0.1,Skills!D6-IF(Skills!E6=TRUE,Inputs!$B$31,0))))+1),0)</f>
        <v/>
      </c>
      <c r="S399">
        <f>IFERROR(O399/N399,0)</f>
        <v/>
      </c>
    </row>
    <row r="400">
      <c r="A400">
        <f>Skills!A7</f>
        <v/>
      </c>
      <c r="B400">
        <f>Skills!B7</f>
        <v/>
      </c>
      <c r="C400">
        <f>Inputs!$B$3&gt;=100</f>
        <v/>
      </c>
      <c r="D400">
        <f>IF(Skills!C7=1,60+Inputs!$B$24+Inputs!$B$28,IF(Skills!C7=2,90+Inputs!$B$25+Inputs!$B$28,IF(Skills!C7=3,120+Inputs!$B$26+Inputs!$B$28,MAX(0,(Inputs!$B$3-100)*3)+Inputs!$B$27+Inputs!$B$28)))</f>
        <v/>
      </c>
      <c r="E400">
        <f>INDEX(FactorTable!$B$2:$Y$301, MATCH(ROUND(MIN(300,MAX(1,D400)),0), FactorTable!$A$2:$A$301,0), Skills!M7+1)</f>
        <v/>
      </c>
      <c r="F400">
        <f>IF(Skills!N7=TRUE,(Skills!L7/10)*(E400/1000),Skills!L7/10)+Skills!O7</f>
        <v/>
      </c>
      <c r="G400">
        <f>Skills!G7*IF(Skills!H7&gt;0,Skills!I7/Skills!H7,1)</f>
        <v/>
      </c>
      <c r="H400">
        <f>1-(1-Skills!J7/100)^Skills!K7</f>
        <v/>
      </c>
      <c r="I400" t="inlineStr">
        <is>
          <t>1</t>
        </is>
      </c>
      <c r="J400">
        <f>(Inputs!$B$5*(1+Inputs!$B$6/100))*(F400/100)</f>
        <v/>
      </c>
      <c r="K400">
        <f>J400*(1+((Inputs!$B$11*(1+Inputs!$B$12/100))*0.01+Inputs!$B$13*0.0025)/100)*(1+Inputs!$B$14/100)*(1+IF(Inputs!$B$4="pvp",0,(1-Summary!$B$55)*(Inputs!$B$19+0+Skills!P7)+Summary!$B$55*(Inputs!$B$20+Skills!Q7))/100)*(1+Inputs!$B$15/100)*(5000/(6000+Inputs!$B$7*(1-(Inputs!$B$18+0)/100)))*(1+(Inputs!$B$23+((C415=TRUE)*(F415-Calc!F22))+B424)/100)*(1+(IF(Skills!A7="HOOK_BOMBER",Inputs!$B$16+((C414=TRUE)*(F414-Calc!F21)),Inputs!$B$17+0))/100)*((1+(((C406=TRUE)*F406)+((C412=TRUE)*(F412-Calc!F19)))/100)*I400)</f>
        <v/>
      </c>
      <c r="L400">
        <f>K400*(MIN(Inputs!$B$21+((C413=TRUE)*(F413-Calc!F20)),Inputs!$B$22+0)/100+(Inputs!$B$22+0)/100)/2</f>
        <v/>
      </c>
      <c r="M400">
        <f>L400*(1+(Inputs!$B$9+0+B423)/100)</f>
        <v/>
      </c>
      <c r="N400">
        <f>L400*(1-MIN(((Inputs!$B$8+1)+((C409=TRUE)*(F409-Calc!F16))+B418),100)/100)+M400*(MIN(((Inputs!$B$8+1)+((C409=TRUE)*(F409-Calc!F16))+B418),100)/100)</f>
        <v/>
      </c>
      <c r="O400">
        <f>IF(C400,H400*N400*IF(AND(Inputs!$B$4&lt;&gt;"pvp",Inputs!$B$35&gt;0),((Skills!G7*((R400-1)*IF(Skills!H7&gt;0,Skills!I7/Skills!H7,1)+IF(Skills!H7&gt;0,MIN(Skills!I7,MAX(0,Inputs!$B$35-((R400-1)*IF(Inputs!$B$4="pvp",15,MAX(0.1,Skills!D7-IF(Skills!E7=TRUE,Inputs!$B$31,0))))))/Skills!H7,1)))/Inputs!$B$35),G400*Q400)*IF(Inputs!$B$4="pvp",1,(1-Summary!$B$55)*(1)+Summary!$B$55*(MIN(Skills!R7,Inputs!$B$37))),0)</f>
        <v/>
      </c>
      <c r="P400">
        <f>IF(B426=0,0,O400/B426)</f>
        <v/>
      </c>
      <c r="Q400">
        <f>IFERROR(1/IF(Inputs!$B$4="pvp",15,MAX(0.1,Skills!D7-IF(Skills!E7=TRUE,Inputs!$B$31,0))),0)</f>
        <v/>
      </c>
      <c r="R400">
        <f>IF(AND(Inputs!$B$4&lt;&gt;"pvp",Inputs!$B$35&gt;0),(INT(Inputs!$B$35/IF(Inputs!$B$4="pvp",15,MAX(0.1,Skills!D7-IF(Skills!E7=TRUE,Inputs!$B$31,0))))+1),0)</f>
        <v/>
      </c>
      <c r="S400">
        <f>IFERROR(O400/N400,0)</f>
        <v/>
      </c>
    </row>
    <row r="401">
      <c r="A401">
        <f>Skills!A8</f>
        <v/>
      </c>
      <c r="B401">
        <f>Skills!B8</f>
        <v/>
      </c>
      <c r="C401">
        <f>Inputs!$B$3&gt;=110</f>
        <v/>
      </c>
      <c r="D401">
        <f>IF(Skills!C8=1,60+Inputs!$B$24+Inputs!$B$28,IF(Skills!C8=2,90+Inputs!$B$25+Inputs!$B$28,IF(Skills!C8=3,120+Inputs!$B$26+Inputs!$B$28,MAX(0,(Inputs!$B$3-100)*3)+Inputs!$B$27+Inputs!$B$28)))</f>
        <v/>
      </c>
      <c r="E401">
        <f>INDEX(FactorTable!$B$2:$Y$301, MATCH(ROUND(MIN(300,MAX(1,D401)),0), FactorTable!$A$2:$A$301,0), Skills!M8+1)</f>
        <v/>
      </c>
      <c r="F401">
        <f>IF(Skills!N8=TRUE,(Skills!L8/10)*(E401/1000),Skills!L8/10)+Skills!O8</f>
        <v/>
      </c>
      <c r="G401">
        <f>Skills!G8*IF(Skills!H8&gt;0,Skills!I8/Skills!H8,1)</f>
        <v/>
      </c>
      <c r="H401">
        <f>1-(1-Skills!J8/100)^Skills!K8</f>
        <v/>
      </c>
      <c r="I401" t="inlineStr">
        <is>
          <t>1</t>
        </is>
      </c>
      <c r="J401">
        <f>(Inputs!$B$5*(1+Inputs!$B$6/100))*(F401/100)</f>
        <v/>
      </c>
      <c r="K401">
        <f>J401*(1+((Inputs!$B$11*(1+Inputs!$B$12/100))*0.01+Inputs!$B$13*0.0025)/100)*(1+Inputs!$B$14/100)*(1+IF(Inputs!$B$4="pvp",0,(1-Summary!$B$55)*(Inputs!$B$19+0+Skills!P8)+Summary!$B$55*(Inputs!$B$20+Skills!Q8))/100)*(1+Inputs!$B$15/100)*(5000/(6000+Inputs!$B$7*(1-(Inputs!$B$18+0)/100)))*(1+(Inputs!$B$23+((C415=TRUE)*(F415-Calc!F22))+B424)/100)*(1+(IF(Skills!A8="HOOK_BOMBER",Inputs!$B$16+((C414=TRUE)*(F414-Calc!F21)),Inputs!$B$17+0))/100)*((1+(((C406=TRUE)*F406)+((C412=TRUE)*(F412-Calc!F19)))/100)*I401)</f>
        <v/>
      </c>
      <c r="L401">
        <f>K401*(MIN(Inputs!$B$21+((C413=TRUE)*(F413-Calc!F20)),Inputs!$B$22+0)/100+(Inputs!$B$22+0)/100)/2</f>
        <v/>
      </c>
      <c r="M401">
        <f>L401*(1+(Inputs!$B$9+0+B423)/100)</f>
        <v/>
      </c>
      <c r="N401">
        <f>L401*(1-MIN(((Inputs!$B$8+1)+((C409=TRUE)*(F409-Calc!F16))+B418),100)/100)+M401*(MIN(((Inputs!$B$8+1)+((C409=TRUE)*(F409-Calc!F16))+B418),100)/100)</f>
        <v/>
      </c>
      <c r="O401">
        <f>IF(C401,H401*N401*IF(AND(Inputs!$B$4&lt;&gt;"pvp",Inputs!$B$35&gt;0),((Skills!G8*((R401-1)*IF(Skills!H8&gt;0,Skills!I8/Skills!H8,1)+IF(Skills!H8&gt;0,MIN(Skills!I8,MAX(0,Inputs!$B$35-((R401-1)*IF(Inputs!$B$4="pvp",15,MAX(0.1,Skills!D8-IF(Skills!E8=TRUE,Inputs!$B$31,0))))))/Skills!H8,1)))/Inputs!$B$35),G401*Q401)*IF(Inputs!$B$4="pvp",1,(1-Summary!$B$55)*(1)+Summary!$B$55*(MIN(Skills!R8,Inputs!$B$37))),0)</f>
        <v/>
      </c>
      <c r="P401">
        <f>IF(B426=0,0,O401/B426)</f>
        <v/>
      </c>
      <c r="Q401">
        <f>IFERROR(1/IF(Inputs!$B$4="pvp",15,MAX(0.1,Skills!D8-IF(Skills!E8=TRUE,Inputs!$B$31,0))),0)</f>
        <v/>
      </c>
      <c r="R401">
        <f>IF(AND(Inputs!$B$4&lt;&gt;"pvp",Inputs!$B$35&gt;0),(INT(Inputs!$B$35/IF(Inputs!$B$4="pvp",15,MAX(0.1,Skills!D8-IF(Skills!E8=TRUE,Inputs!$B$31,0))))+1),0)</f>
        <v/>
      </c>
      <c r="S401">
        <f>IFERROR(O401/N401,0)</f>
        <v/>
      </c>
    </row>
    <row r="402">
      <c r="A402">
        <f>Skills!A9</f>
        <v/>
      </c>
      <c r="B402">
        <f>Skills!B9</f>
        <v/>
      </c>
      <c r="C402">
        <f>Inputs!$B$3&gt;=110</f>
        <v/>
      </c>
      <c r="D402">
        <f>IF(Skills!C9=1,60+Inputs!$B$24+Inputs!$B$28,IF(Skills!C9=2,90+Inputs!$B$25+Inputs!$B$28,IF(Skills!C9=3,120+Inputs!$B$26+Inputs!$B$28,MAX(0,(Inputs!$B$3-100)*3)+Inputs!$B$27+Inputs!$B$28)))</f>
        <v/>
      </c>
      <c r="E402">
        <f>INDEX(FactorTable!$B$2:$Y$301, MATCH(ROUND(MIN(300,MAX(1,D402)),0), FactorTable!$A$2:$A$301,0), Skills!M9+1)</f>
        <v/>
      </c>
      <c r="F402">
        <f>IF(Skills!N9=TRUE,(Skills!L9/10)*(E402/1000),Skills!L9/10)+Skills!O9</f>
        <v/>
      </c>
      <c r="G402">
        <f>Skills!G9*IF(Skills!H9&gt;0,Skills!I9/Skills!H9,1)</f>
        <v/>
      </c>
      <c r="H402">
        <f>1-(1-Skills!J9/100)^Skills!K9</f>
        <v/>
      </c>
      <c r="I402" t="inlineStr">
        <is>
          <t>1</t>
        </is>
      </c>
      <c r="J402">
        <f>(Inputs!$B$5*(1+Inputs!$B$6/100))*(F402/100)</f>
        <v/>
      </c>
      <c r="K402">
        <f>J402*(1+((Inputs!$B$11*(1+Inputs!$B$12/100))*0.01+Inputs!$B$13*0.0025)/100)*(1+Inputs!$B$14/100)*(1+IF(Inputs!$B$4="pvp",0,(1-Summary!$B$55)*(Inputs!$B$19+0+Skills!P9)+Summary!$B$55*(Inputs!$B$20+Skills!Q9))/100)*(1+Inputs!$B$15/100)*(5000/(6000+Inputs!$B$7*(1-(Inputs!$B$18+0)/100)))*(1+(Inputs!$B$23+((C415=TRUE)*(F415-Calc!F22))+B424)/100)*(1+(IF(Skills!A9="HOOK_BOMBER",Inputs!$B$16+((C414=TRUE)*(F414-Calc!F21)),Inputs!$B$17+0))/100)*((1+(((C406=TRUE)*F406)+((C412=TRUE)*(F412-Calc!F19)))/100)*I402)</f>
        <v/>
      </c>
      <c r="L402">
        <f>K402*(MIN(Inputs!$B$21+((C413=TRUE)*(F413-Calc!F20)),Inputs!$B$22+0)/100+(Inputs!$B$22+0)/100)/2</f>
        <v/>
      </c>
      <c r="M402">
        <f>L402*(1+(Inputs!$B$9+0+B423)/100)</f>
        <v/>
      </c>
      <c r="N402">
        <f>L402*(1-MIN(((Inputs!$B$8+1)+((C409=TRUE)*(F409-Calc!F16))+B418),100)/100)+M402*(MIN(((Inputs!$B$8+1)+((C409=TRUE)*(F409-Calc!F16))+B418),100)/100)</f>
        <v/>
      </c>
      <c r="O402">
        <f>IF(C402,H402*N402*IF(AND(Inputs!$B$4&lt;&gt;"pvp",Inputs!$B$35&gt;0),((Skills!G9*((R402-1)*IF(Skills!H9&gt;0,Skills!I9/Skills!H9,1)+IF(Skills!H9&gt;0,MIN(Skills!I9,MAX(0,Inputs!$B$35-((R402-1)*IF(Inputs!$B$4="pvp",15,MAX(0.1,Skills!D9-IF(Skills!E9=TRUE,Inputs!$B$31,0))))))/Skills!H9,1)))/Inputs!$B$35),G402*Q402)*IF(Inputs!$B$4="pvp",1,(1-Summary!$B$55)*(1)+Summary!$B$55*(MIN(Skills!R9,Inputs!$B$37))),0)</f>
        <v/>
      </c>
      <c r="P402">
        <f>IF(B426=0,0,O402/B426)</f>
        <v/>
      </c>
      <c r="Q402">
        <f>IFERROR(1/IF(Inputs!$B$4="pvp",15,MAX(0.1,Skills!D9-IF(Skills!E9=TRUE,Inputs!$B$31,0))),0)</f>
        <v/>
      </c>
      <c r="R402">
        <f>IF(AND(Inputs!$B$4&lt;&gt;"pvp",Inputs!$B$35&gt;0),(INT(Inputs!$B$35/IF(Inputs!$B$4="pvp",15,MAX(0.1,Skills!D9-IF(Skills!E9=TRUE,Inputs!$B$31,0))))+1),0)</f>
        <v/>
      </c>
      <c r="S402">
        <f>IFERROR(O402/N402,0)</f>
        <v/>
      </c>
    </row>
    <row r="403">
      <c r="A403">
        <f>Skills!A10</f>
        <v/>
      </c>
      <c r="B403">
        <f>Skills!B10</f>
        <v/>
      </c>
      <c r="C403">
        <f>Inputs!$B$3&gt;=103</f>
        <v/>
      </c>
      <c r="D403">
        <f>IF(Skills!C10=1,60+Inputs!$B$24+Inputs!$B$28,IF(Skills!C10=2,90+Inputs!$B$25+Inputs!$B$28,IF(Skills!C10=3,120+Inputs!$B$26+Inputs!$B$28,MAX(0,(Inputs!$B$3-100)*3)+Inputs!$B$27+Inputs!$B$28)))</f>
        <v/>
      </c>
      <c r="E403">
        <f>INDEX(FactorTable!$B$2:$Y$301, MATCH(ROUND(MIN(300,MAX(1,D403)),0), FactorTable!$A$2:$A$301,0), Skills!M10+1)</f>
        <v/>
      </c>
      <c r="F403">
        <f>IF(Skills!N10=TRUE,(Skills!L10/10)*(E403/1000),Skills!L10/10)+Skills!O10</f>
        <v/>
      </c>
      <c r="G403">
        <f>Skills!G10*IF(Skills!H10&gt;0,Skills!I10/Skills!H10,1)</f>
        <v/>
      </c>
      <c r="H403">
        <f>1-(1-Skills!J10/100)^Skills!K10</f>
        <v/>
      </c>
      <c r="I403" t="inlineStr">
        <is>
          <t>1</t>
        </is>
      </c>
      <c r="J403">
        <f>(Inputs!$B$5*(1+Inputs!$B$6/100))*(F403/100)</f>
        <v/>
      </c>
      <c r="K403">
        <f>J403*(1+((Inputs!$B$11*(1+Inputs!$B$12/100))*0.01+Inputs!$B$13*0.0025)/100)*(1+Inputs!$B$14/100)*(1+IF(Inputs!$B$4="pvp",0,(1-Summary!$B$55)*(Inputs!$B$19+0+Skills!P10)+Summary!$B$55*(Inputs!$B$20+Skills!Q10))/100)*(1+Inputs!$B$15/100)*(5000/(6000+Inputs!$B$7*(1-(Inputs!$B$18+0)/100)))*(1+(Inputs!$B$23+((C415=TRUE)*(F415-Calc!F22))+B424)/100)*(1+(IF(Skills!A10="HOOK_BOMBER",Inputs!$B$16+((C414=TRUE)*(F414-Calc!F21)),Inputs!$B$17+0))/100)*((1+(((C406=TRUE)*F406)+((C412=TRUE)*(F412-Calc!F19)))/100)*I403)</f>
        <v/>
      </c>
      <c r="L403">
        <f>K403*(MIN(Inputs!$B$21+((C413=TRUE)*(F413-Calc!F20)),Inputs!$B$22+0)/100+(Inputs!$B$22+0)/100)/2</f>
        <v/>
      </c>
      <c r="M403">
        <f>L403*(1+(Inputs!$B$9+0+B423)/100)</f>
        <v/>
      </c>
      <c r="N403">
        <f>L403*(1-MIN(((Inputs!$B$8+1)+((C409=TRUE)*(F409-Calc!F16))+B418),100)/100)+M403*(MIN(((Inputs!$B$8+1)+((C409=TRUE)*(F409-Calc!F16))+B418),100)/100)</f>
        <v/>
      </c>
      <c r="O403">
        <f>IF(C403,H403*N403*IF(AND(Inputs!$B$4&lt;&gt;"pvp",Inputs!$B$35&gt;0),((Skills!G10*((R403-1)*IF(Skills!H10&gt;0,Skills!I10/Skills!H10,1)+IF(Skills!H10&gt;0,MIN(Skills!I10,MAX(0,Inputs!$B$35-((R403-1)*IF(Inputs!$B$4="pvp",15,MAX(0.1,Skills!D10-IF(Skills!E10=TRUE,Inputs!$B$31,0))))))/Skills!H10,1)))/Inputs!$B$35),G403*Q403)*IF(Inputs!$B$4="pvp",1,(1-Summary!$B$55)*(1)+Summary!$B$55*(MIN(Skills!R10,Inputs!$B$37))),0)</f>
        <v/>
      </c>
      <c r="P403">
        <f>IF(B426=0,0,O403/B426)</f>
        <v/>
      </c>
      <c r="Q403">
        <f>IFERROR(1/IF(Inputs!$B$4="pvp",15,MAX(0.1,Skills!D10-IF(Skills!E10=TRUE,Inputs!$B$31,0))),0)</f>
        <v/>
      </c>
      <c r="R403">
        <f>IF(AND(Inputs!$B$4&lt;&gt;"pvp",Inputs!$B$35&gt;0),(INT(Inputs!$B$35/IF(Inputs!$B$4="pvp",15,MAX(0.1,Skills!D10-IF(Skills!E10=TRUE,Inputs!$B$31,0))))+1),0)</f>
        <v/>
      </c>
      <c r="S403">
        <f>IFERROR(O403/N403,0)</f>
        <v/>
      </c>
    </row>
    <row r="404">
      <c r="A404">
        <f>Skills!A11</f>
        <v/>
      </c>
      <c r="B404">
        <f>Skills!B11</f>
        <v/>
      </c>
      <c r="C404">
        <f>Inputs!$B$3&gt;=113</f>
        <v/>
      </c>
      <c r="D404">
        <f>IF(Skills!C11=1,60+Inputs!$B$24+Inputs!$B$28,IF(Skills!C11=2,90+Inputs!$B$25+Inputs!$B$28,IF(Skills!C11=3,120+Inputs!$B$26+Inputs!$B$28,MAX(0,(Inputs!$B$3-100)*3)+Inputs!$B$27+Inputs!$B$28)))</f>
        <v/>
      </c>
      <c r="E404">
        <f>INDEX(FactorTable!$B$2:$Y$301, MATCH(ROUND(MIN(300,MAX(1,D404)),0), FactorTable!$A$2:$A$301,0), Skills!M11+1)</f>
        <v/>
      </c>
      <c r="F404">
        <f>IF(Skills!N11=TRUE,(Skills!L11/10)*(E404/1000),Skills!L11/10)+Skills!O11</f>
        <v/>
      </c>
      <c r="G404">
        <f>Skills!G11*IF(Skills!H11&gt;0,Skills!I11/Skills!H11,1)</f>
        <v/>
      </c>
      <c r="H404">
        <f>1-(1-Skills!J11/100)^Skills!K11</f>
        <v/>
      </c>
      <c r="I404" t="inlineStr">
        <is>
          <t>1</t>
        </is>
      </c>
      <c r="J404">
        <f>(Inputs!$B$5*(1+Inputs!$B$6/100))*(F404/100)</f>
        <v/>
      </c>
      <c r="K404">
        <f>J404*(1+((Inputs!$B$11*(1+Inputs!$B$12/100))*0.01+Inputs!$B$13*0.0025)/100)*(1+Inputs!$B$14/100)*(1+IF(Inputs!$B$4="pvp",0,(1-Summary!$B$55)*(Inputs!$B$19+0+Skills!P11)+Summary!$B$55*(Inputs!$B$20+Skills!Q11))/100)*(1+Inputs!$B$15/100)*(5000/(6000+Inputs!$B$7*(1-(Inputs!$B$18+0)/100)))*(1+(Inputs!$B$23+((C415=TRUE)*(F415-Calc!F22))+B424)/100)*(1+(IF(Skills!A11="HOOK_BOMBER",Inputs!$B$16+((C414=TRUE)*(F414-Calc!F21)),Inputs!$B$17+0))/100)*((1+(((C406=TRUE)*F406)+((C412=TRUE)*(F412-Calc!F19)))/100)*I404)</f>
        <v/>
      </c>
      <c r="L404">
        <f>K404*(MIN(Inputs!$B$21+((C413=TRUE)*(F413-Calc!F20)),Inputs!$B$22+0)/100+(Inputs!$B$22+0)/100)/2</f>
        <v/>
      </c>
      <c r="M404">
        <f>L404*(1+(Inputs!$B$9+0+B423)/100)</f>
        <v/>
      </c>
      <c r="N404">
        <f>L404*(1-MIN(((Inputs!$B$8+1)+((C409=TRUE)*(F409-Calc!F16))+B418),100)/100)+M404*(MIN(((Inputs!$B$8+1)+((C409=TRUE)*(F409-Calc!F16))+B418),100)/100)</f>
        <v/>
      </c>
      <c r="O404">
        <f>IF(C404,H404*N404*IF(AND(Inputs!$B$4&lt;&gt;"pvp",Inputs!$B$35&gt;0),((Skills!G11*((R404-1)*IF(Skills!H11&gt;0,Skills!I11/Skills!H11,1)+IF(Skills!H11&gt;0,MIN(Skills!I11,MAX(0,Inputs!$B$35-((R404-1)*IF(Inputs!$B$4="pvp",15,MAX(0.1,Skills!D11-IF(Skills!E11=TRUE,Inputs!$B$31,0))))))/Skills!H11,1)))/Inputs!$B$35),G404*Q404)*IF(Inputs!$B$4="pvp",1,(1-Summary!$B$55)*(1)+Summary!$B$55*(MIN(Skills!R11,Inputs!$B$37))),0)</f>
        <v/>
      </c>
      <c r="P404">
        <f>IF(B426=0,0,O404/B426)</f>
        <v/>
      </c>
      <c r="Q404">
        <f>IFERROR(1/IF(Inputs!$B$4="pvp",15,MAX(0.1,Skills!D11-IF(Skills!E11=TRUE,Inputs!$B$31,0))),0)</f>
        <v/>
      </c>
      <c r="R404">
        <f>IF(AND(Inputs!$B$4&lt;&gt;"pvp",Inputs!$B$35&gt;0),(INT(Inputs!$B$35/IF(Inputs!$B$4="pvp",15,MAX(0.1,Skills!D11-IF(Skills!E11=TRUE,Inputs!$B$31,0))))+1),0)</f>
        <v/>
      </c>
      <c r="S404">
        <f>IFERROR(O404/N404,0)</f>
        <v/>
      </c>
    </row>
    <row r="405">
      <c r="A405">
        <f>Skills!A12</f>
        <v/>
      </c>
      <c r="B405">
        <f>Skills!B12</f>
        <v/>
      </c>
      <c r="C405">
        <f>Inputs!$B$3&gt;=100</f>
        <v/>
      </c>
      <c r="D405">
        <f>IF(Skills!C12=1,60+Inputs!$B$24+Inputs!$B$28,IF(Skills!C12=2,90+Inputs!$B$25+Inputs!$B$28,IF(Skills!C12=3,120+Inputs!$B$26+Inputs!$B$28,MAX(0,(Inputs!$B$3-100)*3)+Inputs!$B$27+Inputs!$B$28)))</f>
        <v/>
      </c>
      <c r="E405">
        <f>INDEX(FactorTable!$B$2:$Y$301, MATCH(ROUND(MIN(300,MAX(1,D405)),0), FactorTable!$A$2:$A$301,0), Skills!M12+1)</f>
        <v/>
      </c>
      <c r="F405">
        <f>IF(Skills!N12=TRUE,(Skills!L12/10)*(E405/1000),Skills!L12/10)+Skills!O12</f>
        <v/>
      </c>
      <c r="G405" t="inlineStr"/>
      <c r="H405" t="inlineStr"/>
      <c r="I405" t="inlineStr">
        <is>
          <t>1</t>
        </is>
      </c>
      <c r="J405" t="inlineStr"/>
      <c r="K405" t="inlineStr"/>
      <c r="L405" t="inlineStr"/>
      <c r="M405" t="inlineStr"/>
      <c r="N405" t="inlineStr"/>
      <c r="O405" t="inlineStr"/>
      <c r="P405" t="inlineStr"/>
      <c r="Q405" t="inlineStr"/>
      <c r="R405" t="inlineStr"/>
      <c r="S405" t="inlineStr"/>
    </row>
    <row r="406">
      <c r="A406">
        <f>Skills!A13</f>
        <v/>
      </c>
      <c r="B406">
        <f>Skills!B13</f>
        <v/>
      </c>
      <c r="C406">
        <f>Inputs!$B$3&gt;=66</f>
        <v/>
      </c>
      <c r="D406">
        <f>IF(Skills!C13=1,60+Inputs!$B$24+Inputs!$B$28,IF(Skills!C13=2,90+Inputs!$B$25+Inputs!$B$28,IF(Skills!C13=3,120+Inputs!$B$26+Inputs!$B$28,MAX(0,(Inputs!$B$3-100)*3)+Inputs!$B$27+Inputs!$B$28)))</f>
        <v/>
      </c>
      <c r="E406">
        <f>INDEX(FactorTable!$B$2:$Y$301, MATCH(ROUND(MIN(300,MAX(1,D406)),0), FactorTable!$A$2:$A$301,0), Skills!M13+1)</f>
        <v/>
      </c>
      <c r="F406">
        <f>IF(Skills!N13=TRUE,(Skills!L13/10)*(E406/1000),Skills!L13/10)+Skills!O13</f>
        <v/>
      </c>
      <c r="G406">
        <f>Skills!G13*IF(Skills!H13&gt;0,Skills!I13/Skills!H13,1)</f>
        <v/>
      </c>
      <c r="H406">
        <f>1-(1-Skills!J13/100)^Skills!K13</f>
        <v/>
      </c>
      <c r="I406" t="inlineStr">
        <is>
          <t>1</t>
        </is>
      </c>
      <c r="J406" t="inlineStr"/>
      <c r="K406" t="inlineStr"/>
      <c r="L406" t="inlineStr"/>
      <c r="M406" t="inlineStr"/>
      <c r="N406" t="inlineStr"/>
      <c r="O406" t="n">
        <v>0</v>
      </c>
      <c r="P406">
        <f>IF(B426=0,0,O406/B426)</f>
        <v/>
      </c>
      <c r="Q406" t="n">
        <v>0</v>
      </c>
      <c r="R406" t="n">
        <v>0</v>
      </c>
      <c r="S406">
        <f>IFERROR(O406/N406,0)</f>
        <v/>
      </c>
    </row>
    <row r="407">
      <c r="A407">
        <f>Skills!A14</f>
        <v/>
      </c>
      <c r="B407">
        <f>Skills!B14</f>
        <v/>
      </c>
      <c r="C407">
        <f>Inputs!$B$3&gt;=107</f>
        <v/>
      </c>
      <c r="D407">
        <f>IF(Skills!C14=1,60+Inputs!$B$24+Inputs!$B$28,IF(Skills!C14=2,90+Inputs!$B$25+Inputs!$B$28,IF(Skills!C14=3,120+Inputs!$B$26+Inputs!$B$28,MAX(0,(Inputs!$B$3-100)*3)+Inputs!$B$27+Inputs!$B$28)))</f>
        <v/>
      </c>
      <c r="E407">
        <f>INDEX(FactorTable!$B$2:$Y$301, MATCH(ROUND(MIN(300,MAX(1,D407)),0), FactorTable!$A$2:$A$301,0), Skills!M14+1)</f>
        <v/>
      </c>
      <c r="F407">
        <f>IF(Skills!N14=TRUE,(Skills!L14/10)*(E407/1000),Skills!L14/10)+Skills!O14</f>
        <v/>
      </c>
      <c r="G407">
        <f>Skills!G14*IF(Skills!H14&gt;0,Skills!I14/Skills!H14,1)</f>
        <v/>
      </c>
      <c r="H407">
        <f>1-(1-Skills!J14/100)^Skills!K14</f>
        <v/>
      </c>
      <c r="I407" t="inlineStr">
        <is>
          <t>1</t>
        </is>
      </c>
      <c r="J407" t="inlineStr"/>
      <c r="K407" t="inlineStr"/>
      <c r="L407" t="inlineStr"/>
      <c r="M407" t="inlineStr"/>
      <c r="N407" t="inlineStr"/>
      <c r="O407" t="n">
        <v>0</v>
      </c>
      <c r="P407">
        <f>IF(B426=0,0,O407/B426)</f>
        <v/>
      </c>
      <c r="Q407" t="n">
        <v>0</v>
      </c>
      <c r="R407" t="n">
        <v>0</v>
      </c>
      <c r="S407">
        <f>IFERROR(O407/N407,0)</f>
        <v/>
      </c>
    </row>
    <row r="408">
      <c r="A408">
        <f>Skills!A15</f>
        <v/>
      </c>
      <c r="B408">
        <f>Skills!B15</f>
        <v/>
      </c>
      <c r="C408">
        <f>Inputs!$B$3&gt;=115</f>
        <v/>
      </c>
      <c r="D408">
        <f>IF(Skills!C15=1,60+Inputs!$B$24+Inputs!$B$28,IF(Skills!C15=2,90+Inputs!$B$25+Inputs!$B$28,IF(Skills!C15=3,120+Inputs!$B$26+Inputs!$B$28,MAX(0,(Inputs!$B$3-100)*3)+Inputs!$B$27+Inputs!$B$28)))</f>
        <v/>
      </c>
      <c r="E408">
        <f>INDEX(FactorTable!$B$2:$Y$301, MATCH(ROUND(MIN(300,MAX(1,D408)),0), FactorTable!$A$2:$A$301,0), Skills!M15+1)</f>
        <v/>
      </c>
      <c r="F408">
        <f>IF(Skills!N15=TRUE,(Skills!L15/10)*(E408/1000),Skills!L15/10)+Skills!O15</f>
        <v/>
      </c>
      <c r="G408">
        <f>Skills!G15*IF(Skills!H15&gt;0,Skills!I15/Skills!H15,1)</f>
        <v/>
      </c>
      <c r="H408">
        <f>1-(1-Skills!J15/100)^Skills!K15</f>
        <v/>
      </c>
      <c r="I408" t="inlineStr">
        <is>
          <t>1</t>
        </is>
      </c>
      <c r="J408" t="inlineStr"/>
      <c r="K408" t="inlineStr"/>
      <c r="L408" t="inlineStr"/>
      <c r="M408" t="inlineStr"/>
      <c r="N408" t="inlineStr"/>
      <c r="O408" t="n">
        <v>0</v>
      </c>
      <c r="P408">
        <f>IF(B426=0,0,O408/B426)</f>
        <v/>
      </c>
      <c r="Q408" t="n">
        <v>0</v>
      </c>
      <c r="R408" t="n">
        <v>0</v>
      </c>
      <c r="S408">
        <f>IFERROR(O408/N408,0)</f>
        <v/>
      </c>
    </row>
    <row r="409">
      <c r="A409">
        <f>Skills!A16</f>
        <v/>
      </c>
      <c r="B409">
        <f>Skills!B16</f>
        <v/>
      </c>
      <c r="C409">
        <f>Inputs!$B$3&gt;=15</f>
        <v/>
      </c>
      <c r="D409">
        <f>IF(Skills!C16=1,60+Inputs!$B$24+Inputs!$B$28,IF(Skills!C16=2,90+Inputs!$B$25+Inputs!$B$28,IF(Skills!C16=3,120+Inputs!$B$26+Inputs!$B$28,MAX(0,(Inputs!$B$3-100)*3)+Inputs!$B$27+Inputs!$B$28)))</f>
        <v/>
      </c>
      <c r="E409">
        <f>INDEX(FactorTable!$B$2:$Y$301, MATCH(ROUND(MIN(300,MAX(1,D409)),0), FactorTable!$A$2:$A$301,0), Skills!M16+1)</f>
        <v/>
      </c>
      <c r="F409">
        <f>IF(Skills!N16=TRUE,(Skills!L16/10)*(E409/1000),Skills!L16/10)+Skills!O16</f>
        <v/>
      </c>
      <c r="G409">
        <f>Skills!G16*IF(Skills!H16&gt;0,Skills!I16/Skills!H16,1)</f>
        <v/>
      </c>
      <c r="H409">
        <f>1-(1-Skills!J16/100)^Skills!K16</f>
        <v/>
      </c>
      <c r="I409" t="inlineStr">
        <is>
          <t>1</t>
        </is>
      </c>
      <c r="J409" t="inlineStr"/>
      <c r="K409" t="inlineStr"/>
      <c r="L409" t="inlineStr"/>
      <c r="M409" t="inlineStr"/>
      <c r="N409" t="inlineStr"/>
      <c r="O409" t="n">
        <v>0</v>
      </c>
      <c r="P409">
        <f>IF(B426=0,0,O409/B426)</f>
        <v/>
      </c>
      <c r="Q409" t="n">
        <v>0</v>
      </c>
      <c r="R409" t="n">
        <v>0</v>
      </c>
      <c r="S409">
        <f>IFERROR(O409/N409,0)</f>
        <v/>
      </c>
    </row>
    <row r="410">
      <c r="A410">
        <f>Skills!A17</f>
        <v/>
      </c>
      <c r="B410">
        <f>Skills!B17</f>
        <v/>
      </c>
      <c r="C410">
        <f>Inputs!$B$3&gt;=10</f>
        <v/>
      </c>
      <c r="D410">
        <f>IF(Skills!C17=1,60+Inputs!$B$24+Inputs!$B$28,IF(Skills!C17=2,90+Inputs!$B$25+Inputs!$B$28,IF(Skills!C17=3,120+Inputs!$B$26+Inputs!$B$28,MAX(0,(Inputs!$B$3-100)*3)+Inputs!$B$27+Inputs!$B$28)))</f>
        <v/>
      </c>
      <c r="E410">
        <f>INDEX(FactorTable!$B$2:$Y$301, MATCH(ROUND(MIN(300,MAX(1,D410)),0), FactorTable!$A$2:$A$301,0), Skills!M17+1)</f>
        <v/>
      </c>
      <c r="F410">
        <f>IF(Skills!N17=TRUE,(Skills!L17/10)*(E410/1000),Skills!L17/10)+Skills!O17</f>
        <v/>
      </c>
      <c r="G410">
        <f>Skills!G17*IF(Skills!H17&gt;0,Skills!I17/Skills!H17,1)</f>
        <v/>
      </c>
      <c r="H410">
        <f>1-(1-Skills!J17/100)^Skills!K17</f>
        <v/>
      </c>
      <c r="I410" t="inlineStr">
        <is>
          <t>1</t>
        </is>
      </c>
      <c r="J410" t="inlineStr"/>
      <c r="K410" t="inlineStr"/>
      <c r="L410" t="inlineStr"/>
      <c r="M410" t="inlineStr"/>
      <c r="N410" t="inlineStr"/>
      <c r="O410" t="n">
        <v>0</v>
      </c>
      <c r="P410">
        <f>IF(B426=0,0,O410/B426)</f>
        <v/>
      </c>
      <c r="Q410" t="n">
        <v>0</v>
      </c>
      <c r="R410" t="n">
        <v>0</v>
      </c>
      <c r="S410">
        <f>IFERROR(O410/N410,0)</f>
        <v/>
      </c>
    </row>
    <row r="411">
      <c r="A411">
        <f>Skills!A18</f>
        <v/>
      </c>
      <c r="B411">
        <f>Skills!B18</f>
        <v/>
      </c>
      <c r="C411">
        <f>Inputs!$B$3&gt;=33</f>
        <v/>
      </c>
      <c r="D411">
        <f>IF(Skills!C18=1,60+Inputs!$B$24+Inputs!$B$28,IF(Skills!C18=2,90+Inputs!$B$25+Inputs!$B$28,IF(Skills!C18=3,120+Inputs!$B$26+Inputs!$B$28,MAX(0,(Inputs!$B$3-100)*3)+Inputs!$B$27+Inputs!$B$28)))</f>
        <v/>
      </c>
      <c r="E411">
        <f>INDEX(FactorTable!$B$2:$Y$301, MATCH(ROUND(MIN(300,MAX(1,D411)),0), FactorTable!$A$2:$A$301,0), Skills!M18+1)</f>
        <v/>
      </c>
      <c r="F411">
        <f>IF(Skills!N18=TRUE,(Skills!L18/10)*(E411/1000),Skills!L18/10)+Skills!O18</f>
        <v/>
      </c>
      <c r="G411">
        <f>Skills!G18*IF(Skills!H18&gt;0,Skills!I18/Skills!H18,1)</f>
        <v/>
      </c>
      <c r="H411">
        <f>1-(1-Skills!J18/100)^Skills!K18</f>
        <v/>
      </c>
      <c r="I411" t="inlineStr">
        <is>
          <t>1</t>
        </is>
      </c>
      <c r="J411" t="inlineStr"/>
      <c r="K411" t="inlineStr"/>
      <c r="L411" t="inlineStr"/>
      <c r="M411" t="inlineStr"/>
      <c r="N411" t="inlineStr"/>
      <c r="O411" t="n">
        <v>0</v>
      </c>
      <c r="P411">
        <f>IF(B426=0,0,O411/B426)</f>
        <v/>
      </c>
      <c r="Q411" t="n">
        <v>0</v>
      </c>
      <c r="R411" t="n">
        <v>0</v>
      </c>
      <c r="S411">
        <f>IFERROR(O411/N411,0)</f>
        <v/>
      </c>
    </row>
    <row r="412">
      <c r="A412">
        <f>Skills!A19</f>
        <v/>
      </c>
      <c r="B412">
        <f>Skills!B19</f>
        <v/>
      </c>
      <c r="C412">
        <f>Inputs!$B$3&gt;=40</f>
        <v/>
      </c>
      <c r="D412">
        <f>IF(Skills!C19=1,60+Inputs!$B$24+Inputs!$B$28,IF(Skills!C19=2,90+Inputs!$B$25+Inputs!$B$28,IF(Skills!C19=3,120+Inputs!$B$26+Inputs!$B$28,MAX(0,(Inputs!$B$3-100)*3)+Inputs!$B$27+Inputs!$B$28)))</f>
        <v/>
      </c>
      <c r="E412">
        <f>INDEX(FactorTable!$B$2:$Y$301, MATCH(ROUND(MIN(300,MAX(1,D412)),0), FactorTable!$A$2:$A$301,0), Skills!M19+1)</f>
        <v/>
      </c>
      <c r="F412">
        <f>IF(Skills!N19=TRUE,(Skills!L19/10)*(E412/1000),Skills!L19/10)+Skills!O19</f>
        <v/>
      </c>
      <c r="G412">
        <f>Skills!G19*IF(Skills!H19&gt;0,Skills!I19/Skills!H19,1)</f>
        <v/>
      </c>
      <c r="H412">
        <f>1-(1-Skills!J19/100)^Skills!K19</f>
        <v/>
      </c>
      <c r="I412" t="inlineStr">
        <is>
          <t>1</t>
        </is>
      </c>
      <c r="J412" t="inlineStr"/>
      <c r="K412" t="inlineStr"/>
      <c r="L412" t="inlineStr"/>
      <c r="M412" t="inlineStr"/>
      <c r="N412" t="inlineStr"/>
      <c r="O412" t="n">
        <v>0</v>
      </c>
      <c r="P412">
        <f>IF(B426=0,0,O412/B426)</f>
        <v/>
      </c>
      <c r="Q412" t="n">
        <v>0</v>
      </c>
      <c r="R412" t="n">
        <v>0</v>
      </c>
      <c r="S412">
        <f>IFERROR(O412/N412,0)</f>
        <v/>
      </c>
    </row>
    <row r="413">
      <c r="A413">
        <f>Skills!A20</f>
        <v/>
      </c>
      <c r="B413">
        <f>Skills!B20</f>
        <v/>
      </c>
      <c r="C413">
        <f>Inputs!$B$3&gt;=43</f>
        <v/>
      </c>
      <c r="D413">
        <f>IF(Skills!C20=1,60+Inputs!$B$24+Inputs!$B$28,IF(Skills!C20=2,90+Inputs!$B$25+Inputs!$B$28,IF(Skills!C20=3,120+Inputs!$B$26+Inputs!$B$28,MAX(0,(Inputs!$B$3-100)*3)+Inputs!$B$27+Inputs!$B$28)))</f>
        <v/>
      </c>
      <c r="E413">
        <f>INDEX(FactorTable!$B$2:$Y$301, MATCH(ROUND(MIN(300,MAX(1,D413)),0), FactorTable!$A$2:$A$301,0), Skills!M20+1)</f>
        <v/>
      </c>
      <c r="F413">
        <f>IF(Skills!N20=TRUE,(Skills!L20/10)*(E413/1000),Skills!L20/10)+Skills!O20</f>
        <v/>
      </c>
      <c r="G413">
        <f>Skills!G20*IF(Skills!H20&gt;0,Skills!I20/Skills!H20,1)</f>
        <v/>
      </c>
      <c r="H413">
        <f>1-(1-Skills!J20/100)^Skills!K20</f>
        <v/>
      </c>
      <c r="I413" t="inlineStr">
        <is>
          <t>1</t>
        </is>
      </c>
      <c r="J413" t="inlineStr"/>
      <c r="K413" t="inlineStr"/>
      <c r="L413" t="inlineStr"/>
      <c r="M413" t="inlineStr"/>
      <c r="N413" t="inlineStr"/>
      <c r="O413" t="n">
        <v>0</v>
      </c>
      <c r="P413">
        <f>IF(B426=0,0,O413/B426)</f>
        <v/>
      </c>
      <c r="Q413" t="n">
        <v>0</v>
      </c>
      <c r="R413" t="n">
        <v>0</v>
      </c>
      <c r="S413">
        <f>IFERROR(O413/N413,0)</f>
        <v/>
      </c>
    </row>
    <row r="414">
      <c r="A414">
        <f>Skills!A21</f>
        <v/>
      </c>
      <c r="B414">
        <f>Skills!B21</f>
        <v/>
      </c>
      <c r="C414">
        <f>Inputs!$B$3&gt;=38</f>
        <v/>
      </c>
      <c r="D414">
        <f>IF(Skills!C21=1,60+Inputs!$B$24+Inputs!$B$28,IF(Skills!C21=2,90+Inputs!$B$25+Inputs!$B$28,IF(Skills!C21=3,120+Inputs!$B$26+Inputs!$B$28,MAX(0,(Inputs!$B$3-100)*3)+Inputs!$B$27+Inputs!$B$28)))</f>
        <v/>
      </c>
      <c r="E414">
        <f>INDEX(FactorTable!$B$2:$Y$301, MATCH(ROUND(MIN(300,MAX(1,D414)),0), FactorTable!$A$2:$A$301,0), Skills!M21+1)</f>
        <v/>
      </c>
      <c r="F414">
        <f>IF(Skills!N21=TRUE,(Skills!L21/10)*(E414/1000),Skills!L21/10)+Skills!O21</f>
        <v/>
      </c>
      <c r="G414">
        <f>Skills!G21*IF(Skills!H21&gt;0,Skills!I21/Skills!H21,1)</f>
        <v/>
      </c>
      <c r="H414">
        <f>1-(1-Skills!J21/100)^Skills!K21</f>
        <v/>
      </c>
      <c r="I414" t="inlineStr">
        <is>
          <t>1</t>
        </is>
      </c>
      <c r="J414" t="inlineStr"/>
      <c r="K414" t="inlineStr"/>
      <c r="L414" t="inlineStr"/>
      <c r="M414" t="inlineStr"/>
      <c r="N414" t="inlineStr"/>
      <c r="O414" t="n">
        <v>0</v>
      </c>
      <c r="P414">
        <f>IF(B426=0,0,O414/B426)</f>
        <v/>
      </c>
      <c r="Q414" t="n">
        <v>0</v>
      </c>
      <c r="R414" t="n">
        <v>0</v>
      </c>
      <c r="S414">
        <f>IFERROR(O414/N414,0)</f>
        <v/>
      </c>
    </row>
    <row r="415">
      <c r="A415">
        <f>Skills!A22</f>
        <v/>
      </c>
      <c r="B415">
        <f>Skills!B22</f>
        <v/>
      </c>
      <c r="C415">
        <f>Inputs!$B$3&gt;=75</f>
        <v/>
      </c>
      <c r="D415">
        <f>IF(Skills!C22=1,60+Inputs!$B$24+Inputs!$B$28,IF(Skills!C22=2,90+Inputs!$B$25+Inputs!$B$28,IF(Skills!C22=3,120+Inputs!$B$26+Inputs!$B$28,MAX(0,(Inputs!$B$3-100)*3)+Inputs!$B$27+Inputs!$B$28)))</f>
        <v/>
      </c>
      <c r="E415">
        <f>INDEX(FactorTable!$B$2:$Y$301, MATCH(ROUND(MIN(300,MAX(1,D415)),0), FactorTable!$A$2:$A$301,0), Skills!M22+1)</f>
        <v/>
      </c>
      <c r="F415">
        <f>IF(Skills!N22=TRUE,(Skills!L22/10)*(E415/1000),Skills!L22/10)+Skills!O22</f>
        <v/>
      </c>
      <c r="G415">
        <f>Skills!G22*IF(Skills!H22&gt;0,Skills!I22/Skills!H22,1)</f>
        <v/>
      </c>
      <c r="H415">
        <f>1-(1-Skills!J22/100)^Skills!K22</f>
        <v/>
      </c>
      <c r="I415" t="inlineStr">
        <is>
          <t>1</t>
        </is>
      </c>
      <c r="J415" t="inlineStr"/>
      <c r="K415" t="inlineStr"/>
      <c r="L415" t="inlineStr"/>
      <c r="M415" t="inlineStr"/>
      <c r="N415" t="inlineStr"/>
      <c r="O415" t="n">
        <v>0</v>
      </c>
      <c r="P415">
        <f>IF(B426=0,0,O415/B426)</f>
        <v/>
      </c>
      <c r="Q415" t="n">
        <v>0</v>
      </c>
      <c r="R415" t="n">
        <v>0</v>
      </c>
      <c r="S415">
        <f>IFERROR(O415/N415,0)</f>
        <v/>
      </c>
    </row>
    <row r="417">
      <c r="A417" t="inlineStr">
        <is>
          <t>Attack% Bucket Multiplier</t>
        </is>
      </c>
      <c r="B417">
        <f>(1+(((C406=TRUE)*F406)+((C412=TRUE)*(F412-Calc!F19)))/100)</f>
        <v/>
      </c>
    </row>
    <row r="418">
      <c r="A418" t="inlineStr">
        <is>
          <t>Global Crit Rate Bonus %</t>
        </is>
      </c>
      <c r="B418" t="n">
        <v>0</v>
      </c>
    </row>
    <row r="419">
      <c r="A419" t="inlineStr">
        <is>
          <t>Attack Speed Buff Bonus % (unused)</t>
        </is>
      </c>
      <c r="B419" t="n">
        <v>0</v>
      </c>
    </row>
    <row r="420">
      <c r="A420" t="inlineStr">
        <is>
          <t>Actions Per Second</t>
        </is>
      </c>
      <c r="B420">
        <f>1+MIN(150,150*(1-(1-(Inputs!$B$10+((C410=TRUE)*(F410-Calc!F17))+((C411=TRUE)*(F411-Calc!F18)))/150)*(1-B419/150)))/100</f>
        <v/>
      </c>
    </row>
    <row r="421">
      <c r="A421" t="inlineStr">
        <is>
          <t>Skill + Buff Cast Rate</t>
        </is>
      </c>
      <c r="B421">
        <f>IF(AND(Inputs!$B$4&lt;&gt;"pvp",Inputs!$B$35&gt;0),SUMPRODUCT((Skills!E2:E22=TRUE)*(C395:C415=TRUE)*R395:R415*Skills!F2:F22)/Inputs!$B$35,SUMPRODUCT((Skills!E2:E22=TRUE)*(C395:C415=TRUE)*Q395:Q415*Skills!F2:F22))</f>
        <v/>
      </c>
    </row>
    <row r="422">
      <c r="A422" t="inlineStr">
        <is>
          <t>Hook Bomber Casts Per Second</t>
        </is>
      </c>
      <c r="B422">
        <f>MAX(0,B420-B421)</f>
        <v/>
      </c>
    </row>
    <row r="423">
      <c r="A423" t="inlineStr">
        <is>
          <t>Global Critical Damage Bonus % (unused)</t>
        </is>
      </c>
      <c r="B423" t="n">
        <v>0</v>
      </c>
    </row>
    <row r="424">
      <c r="A424" t="inlineStr">
        <is>
          <t>Global Final Damage Bonus % (Serpent Scale + Crossbones + Time Leap + Speed Infusion)</t>
        </is>
      </c>
      <c r="B424">
        <f>((C398=TRUE)*F398*((10+IF(Inputs!$B$3&gt;=94,5,0))/((10+IF(Inputs!$B$3&gt;=94,5,0))+5/(B422*(1+IF(Inputs!$B$3&gt;=104,1,0))))))+((C407=TRUE)*F407)+((C408=TRUE)*F408)+((Inputs!$B$3&gt;=110)*20*(B420-1))</f>
        <v/>
      </c>
    </row>
    <row r="426">
      <c r="A426" s="5" t="inlineStr">
        <is>
          <t>TOTAL DPS</t>
        </is>
      </c>
      <c r="B426" s="5">
        <f>SUM(O395:O415)</f>
        <v/>
      </c>
    </row>
    <row r="429">
      <c r="A429" s="5" t="inlineStr">
        <is>
          <t>Stat: CRIT_DAMAGE %</t>
        </is>
      </c>
    </row>
    <row r="430">
      <c r="A430" s="8" t="inlineStr">
        <is>
          <t>Key</t>
        </is>
      </c>
      <c r="B430" s="8" t="inlineStr">
        <is>
          <t>Name</t>
        </is>
      </c>
      <c r="C430" s="8" t="inlineStr">
        <is>
          <t>Unlocked</t>
        </is>
      </c>
      <c r="D430" s="8" t="inlineStr">
        <is>
          <t>InputLevel</t>
        </is>
      </c>
      <c r="E430" s="8" t="inlineStr">
        <is>
          <t>Factor</t>
        </is>
      </c>
      <c r="F430" s="8" t="inlineStr">
        <is>
          <t>CoefficientPercent</t>
        </is>
      </c>
      <c r="G430" s="8" t="inlineStr">
        <is>
          <t>EffectiveHits</t>
        </is>
      </c>
      <c r="H430" s="8" t="inlineStr">
        <is>
          <t>ProcProbability</t>
        </is>
      </c>
      <c r="I430" s="8" t="inlineStr">
        <is>
          <t>MapleHeroMultiplier</t>
        </is>
      </c>
      <c r="J430" s="8" t="inlineStr">
        <is>
          <t>BaseDamage</t>
        </is>
      </c>
      <c r="K430" s="8" t="inlineStr">
        <is>
          <t>BaseHitDamage</t>
        </is>
      </c>
      <c r="L430" s="8" t="inlineStr">
        <is>
          <t>NonCritAvg</t>
        </is>
      </c>
      <c r="M430" s="8" t="inlineStr">
        <is>
          <t>CritAvg</t>
        </is>
      </c>
      <c r="N430" s="8" t="inlineStr">
        <is>
          <t>ExpectedDamage(perHit)</t>
        </is>
      </c>
      <c r="O430" s="8" t="inlineStr">
        <is>
          <t>DPS</t>
        </is>
      </c>
      <c r="P430" s="8" t="inlineStr">
        <is>
          <t>% of Total</t>
        </is>
      </c>
      <c r="Q430" s="8" t="inlineStr">
        <is>
          <t>InvCooldown</t>
        </is>
      </c>
      <c r="R430" s="8" t="inlineStr">
        <is>
          <t>CastsInFight</t>
        </is>
      </c>
      <c r="S430" s="8" t="inlineStr">
        <is>
          <t>HitRate(perSec)</t>
        </is>
      </c>
      <c r="U430" t="inlineStr">
        <is>
          <t>helpers</t>
        </is>
      </c>
    </row>
    <row r="431">
      <c r="A431">
        <f>Skills!A2</f>
        <v/>
      </c>
      <c r="B431">
        <f>Skills!B2</f>
        <v/>
      </c>
      <c r="C431">
        <f>Inputs!$B$3&gt;=100</f>
        <v/>
      </c>
      <c r="D431" t="inlineStr"/>
      <c r="E431" t="inlineStr"/>
      <c r="F431">
        <f>U433+Skills!O2</f>
        <v/>
      </c>
      <c r="G431">
        <f>Skills!G2*IF(Skills!H2&gt;0,Skills!I2/Skills!H2,1)</f>
        <v/>
      </c>
      <c r="H431">
        <f>1-(1-Skills!J2/100)^Skills!K2</f>
        <v/>
      </c>
      <c r="I431" t="inlineStr">
        <is>
          <t>1</t>
        </is>
      </c>
      <c r="J431">
        <f>(Inputs!$B$5*(1+Inputs!$B$6/100))*(F431/100)</f>
        <v/>
      </c>
      <c r="K431">
        <f>J431*(1+((Inputs!$B$11*(1+Inputs!$B$12/100))*0.01+Inputs!$B$13*0.0025)/100)*(1+Inputs!$B$14/100)*(1+IF(Inputs!$B$4="pvp",0,(1-Summary!$B$55)*(Inputs!$B$19+0+Skills!P2)+Summary!$B$55*(Inputs!$B$20+Skills!Q2))/100)*(1+Inputs!$B$15/100)*(5000/(6000+Inputs!$B$7*(1-(Inputs!$B$18+0)/100)))*(1+(Inputs!$B$23+((C451=TRUE)*(F451-Calc!F22))+B460)/100)*(1+(IF(Skills!A2="HOOK_BOMBER",Inputs!$B$16+((C450=TRUE)*(F450-Calc!F21)),Inputs!$B$17+0))/100)*((1+(((C442=TRUE)*F442)+((C448=TRUE)*(F448-Calc!F19)))/100)*I431)</f>
        <v/>
      </c>
      <c r="L431">
        <f>K431*(MIN(Inputs!$B$21+((C449=TRUE)*(F449-Calc!F20)),Inputs!$B$22+0)/100+(Inputs!$B$22+0)/100)/2</f>
        <v/>
      </c>
      <c r="M431">
        <f>L431*(1+((Inputs!$B$9+1)+0+B459)/100)</f>
        <v/>
      </c>
      <c r="N431">
        <f>L431*(1-MIN((Inputs!$B$8+((C445=TRUE)*(F445-Calc!F16))+B454),100)/100)+M431*(MIN((Inputs!$B$8+((C445=TRUE)*(F445-Calc!F16))+B454),100)/100)</f>
        <v/>
      </c>
      <c r="O431">
        <f>IF(C431,Skills!G2*N431*B458*IF(Inputs!$B$4="pvp",1,(1-Summary!$B$55)*(1)+Summary!$B$55*(MIN((6+Inputs!$B$32),Inputs!$B$37))),0)</f>
        <v/>
      </c>
      <c r="P431">
        <f>IF(B462=0,0,O431/B462)</f>
        <v/>
      </c>
      <c r="Q431" t="n">
        <v>0</v>
      </c>
      <c r="R431" t="n">
        <v>0</v>
      </c>
      <c r="S431">
        <f>IFERROR(O431/N431,0)</f>
        <v/>
      </c>
      <c r="U431">
        <f>MAX(0,(Inputs!$B$3-100)*3)+Inputs!$B$27+Inputs!$B$28</f>
        <v/>
      </c>
    </row>
    <row r="432">
      <c r="A432">
        <f>Skills!A3</f>
        <v/>
      </c>
      <c r="B432">
        <f>Skills!B3</f>
        <v/>
      </c>
      <c r="C432">
        <f>Inputs!$B$3&gt;=35</f>
        <v/>
      </c>
      <c r="D432">
        <f>IF(Skills!C3=1,60+Inputs!$B$24+Inputs!$B$28,IF(Skills!C3=2,90+Inputs!$B$25+Inputs!$B$28,IF(Skills!C3=3,120+Inputs!$B$26+Inputs!$B$28,MAX(0,(Inputs!$B$3-100)*3)+Inputs!$B$27+Inputs!$B$28)))</f>
        <v/>
      </c>
      <c r="E432">
        <f>INDEX(FactorTable!$B$2:$Y$301, MATCH(ROUND(MIN(300,MAX(1,D432)),0), FactorTable!$A$2:$A$301,0), Skills!M3+1)</f>
        <v/>
      </c>
      <c r="F432">
        <f>IF(Skills!N3=TRUE,(Skills!L3/10)*(E432/1000),Skills!L3/10)+Skills!O3</f>
        <v/>
      </c>
      <c r="G432">
        <f>Skills!G3*IF(Skills!H3&gt;0,Skills!I3/Skills!H3,1)</f>
        <v/>
      </c>
      <c r="H432">
        <f>1-(1-Skills!J3/100)^Skills!K3</f>
        <v/>
      </c>
      <c r="I432" t="inlineStr">
        <is>
          <t>1</t>
        </is>
      </c>
      <c r="J432">
        <f>(Inputs!$B$5*(1+Inputs!$B$6/100))*(F432/100)</f>
        <v/>
      </c>
      <c r="K432">
        <f>J432*(1+((Inputs!$B$11*(1+Inputs!$B$12/100))*0.01+Inputs!$B$13*0.0025)/100)*(1+Inputs!$B$14/100)*(1+IF(Inputs!$B$4="pvp",0,(1-Summary!$B$55)*(Inputs!$B$19+0+Skills!P3)+Summary!$B$55*(Inputs!$B$20+Skills!Q3))/100)*(1+Inputs!$B$15/100)*(5000/(6000+Inputs!$B$7*(1-(Inputs!$B$18+0)/100)))*(1+(Inputs!$B$23+((C451=TRUE)*(F451-Calc!F22))+B460)/100)*(1+(IF(Skills!A3="HOOK_BOMBER",Inputs!$B$16+((C450=TRUE)*(F450-Calc!F21)),Inputs!$B$17+0))/100)*((1+(((C442=TRUE)*F442)+((C448=TRUE)*(F448-Calc!F19)))/100)*I432)</f>
        <v/>
      </c>
      <c r="L432">
        <f>K432*(MIN(Inputs!$B$21+((C449=TRUE)*(F449-Calc!F20)),Inputs!$B$22+0)/100+(Inputs!$B$22+0)/100)/2</f>
        <v/>
      </c>
      <c r="M432">
        <f>L432*(1+((Inputs!$B$9+1)+0+B459)/100)</f>
        <v/>
      </c>
      <c r="N432">
        <f>L432*(1-MIN((Inputs!$B$8+((C445=TRUE)*(F445-Calc!F16))+B454),100)/100)+M432*(MIN((Inputs!$B$8+((C445=TRUE)*(F445-Calc!F16))+B454),100)/100)</f>
        <v/>
      </c>
      <c r="O432">
        <f>IF(C432,Skills!G3*H432*N432*B458*IF(Inputs!$B$4="pvp",1,(1-Summary!$B$55)*(1)+Summary!$B$55*(MIN(Skills!R3,Inputs!$B$37))),0)</f>
        <v/>
      </c>
      <c r="P432">
        <f>IF(B462=0,0,O432/B462)</f>
        <v/>
      </c>
      <c r="Q432" t="n">
        <v>0</v>
      </c>
      <c r="R432" t="n">
        <v>0</v>
      </c>
      <c r="S432">
        <f>IFERROR(O432/N432,0)</f>
        <v/>
      </c>
      <c r="U432">
        <f>INDEX(FactorTable!$B$2:$Y$301, MATCH(ROUND(MIN(300,MAX(1,U431)),0), FactorTable!$A$2:$A$301,0), 22)</f>
        <v/>
      </c>
    </row>
    <row r="433">
      <c r="A433">
        <f>Skills!A4</f>
        <v/>
      </c>
      <c r="B433">
        <f>Skills!B4</f>
        <v/>
      </c>
      <c r="C433">
        <f>Inputs!$B$3&gt;=60</f>
        <v/>
      </c>
      <c r="D433">
        <f>IF(Skills!C4=1,60+Inputs!$B$24+Inputs!$B$28,IF(Skills!C4=2,90+Inputs!$B$25+Inputs!$B$28,IF(Skills!C4=3,120+Inputs!$B$26+Inputs!$B$28,MAX(0,(Inputs!$B$3-100)*3)+Inputs!$B$27+Inputs!$B$28)))</f>
        <v/>
      </c>
      <c r="E433">
        <f>INDEX(FactorTable!$B$2:$Y$301, MATCH(ROUND(MIN(300,MAX(1,D433)),0), FactorTable!$A$2:$A$301,0), Skills!M4+1)</f>
        <v/>
      </c>
      <c r="F433">
        <f>IF(Skills!N4=TRUE,(Skills!L4/10)*(E433/1000),Skills!L4/10)+Skills!O4</f>
        <v/>
      </c>
      <c r="G433">
        <f>Skills!G4*IF(Skills!H4&gt;0,Skills!I4/Skills!H4,1)</f>
        <v/>
      </c>
      <c r="H433">
        <f>1-(1-Skills!J4/100)^Skills!K4</f>
        <v/>
      </c>
      <c r="I433" t="inlineStr">
        <is>
          <t>1</t>
        </is>
      </c>
      <c r="J433">
        <f>(Inputs!$B$5*(1+Inputs!$B$6/100))*(F433/100)</f>
        <v/>
      </c>
      <c r="K433">
        <f>J433*(1+((Inputs!$B$11*(1+Inputs!$B$12/100))*0.01+Inputs!$B$13*0.0025)/100)*(1+Inputs!$B$14/100)*(1+IF(Inputs!$B$4="pvp",0,(1-Summary!$B$55)*(Inputs!$B$19+0+Skills!P4)+Summary!$B$55*(Inputs!$B$20+Skills!Q4))/100)*(1+Inputs!$B$15/100)*(5000/(6000+Inputs!$B$7*(1-(Inputs!$B$18+0)/100)))*(1+(Inputs!$B$23+((C451=TRUE)*(F451-Calc!F22))+B460)/100)*(1+1.0*IF(C441=TRUE,F441,0)/100)*(1+(IF(Skills!A4="HOOK_BOMBER",Inputs!$B$16+((C450=TRUE)*(F450-Calc!F21)),Inputs!$B$17+0))/100)*((1+(((C442=TRUE)*F442)+((C448=TRUE)*(F448-Calc!F19)))/100)*I433)</f>
        <v/>
      </c>
      <c r="L433">
        <f>K433*(MIN(Inputs!$B$21+((C449=TRUE)*(F449-Calc!F20)),Inputs!$B$22+0)/100+(Inputs!$B$22+0)/100)/2</f>
        <v/>
      </c>
      <c r="M433">
        <f>L433*(1+((Inputs!$B$9+1)+0+B459)/100)</f>
        <v/>
      </c>
      <c r="N433">
        <f>L433*(1-MIN((Inputs!$B$8+((C445=TRUE)*(F445-Calc!F16))+B454),100)/100)+M433*(MIN((Inputs!$B$8+((C445=TRUE)*(F445-Calc!F16))+B454),100)/100)</f>
        <v/>
      </c>
      <c r="O433">
        <f>IF(C433,Skills!G4*H433*N433*B458*IF(Inputs!$B$4="pvp",1,(1-Summary!$B$55)*(1)+Summary!$B$55*(MIN(Skills!R4,Inputs!$B$37))),0)</f>
        <v/>
      </c>
      <c r="P433">
        <f>IF(B462=0,0,O433/B462)</f>
        <v/>
      </c>
      <c r="Q433" t="n">
        <v>0</v>
      </c>
      <c r="R433" t="n">
        <v>0</v>
      </c>
      <c r="S433">
        <f>IFERROR(O433/N433,0)</f>
        <v/>
      </c>
      <c r="U433">
        <f>290*U432/1000</f>
        <v/>
      </c>
    </row>
    <row r="434">
      <c r="A434">
        <f>Skills!A5</f>
        <v/>
      </c>
      <c r="B434">
        <f>Skills!B5</f>
        <v/>
      </c>
      <c r="C434">
        <f>Inputs!$B$3&gt;=60</f>
        <v/>
      </c>
      <c r="D434">
        <f>IF(Skills!C5=1,60+Inputs!$B$24+Inputs!$B$28,IF(Skills!C5=2,90+Inputs!$B$25+Inputs!$B$28,IF(Skills!C5=3,120+Inputs!$B$26+Inputs!$B$28,MAX(0,(Inputs!$B$3-100)*3)+Inputs!$B$27+Inputs!$B$28)))</f>
        <v/>
      </c>
      <c r="E434">
        <f>INDEX(FactorTable!$B$2:$Y$301, MATCH(ROUND(MIN(300,MAX(1,D434)),0), FactorTable!$A$2:$A$301,0), Skills!M5+1)</f>
        <v/>
      </c>
      <c r="F434">
        <f>IF(Skills!N5=TRUE,(Skills!L5/10)*(E434/1000),Skills!L5/10)+Skills!O5</f>
        <v/>
      </c>
      <c r="G434">
        <f>Skills!G5*IF(Skills!H5&gt;0,Skills!I5/Skills!H5,1)</f>
        <v/>
      </c>
      <c r="H434">
        <f>1-(1-Skills!J5/100)^Skills!K5</f>
        <v/>
      </c>
      <c r="I434" t="inlineStr">
        <is>
          <t>1</t>
        </is>
      </c>
      <c r="J434" t="inlineStr"/>
      <c r="K434" t="inlineStr"/>
      <c r="L434" t="inlineStr"/>
      <c r="M434" t="inlineStr"/>
      <c r="N434" t="inlineStr"/>
      <c r="O434" t="n">
        <v>0</v>
      </c>
      <c r="P434">
        <f>IF(B462=0,0,O434/B462)</f>
        <v/>
      </c>
      <c r="Q434" t="n">
        <v>0</v>
      </c>
      <c r="R434" t="n">
        <v>0</v>
      </c>
      <c r="S434">
        <f>IFERROR(O434/N434,0)</f>
        <v/>
      </c>
    </row>
    <row r="435">
      <c r="A435">
        <f>Skills!A6</f>
        <v/>
      </c>
      <c r="B435">
        <f>Skills!B6</f>
        <v/>
      </c>
      <c r="C435">
        <f>Inputs!$B$3&gt;=63</f>
        <v/>
      </c>
      <c r="D435">
        <f>IF(Skills!C6=1,60+Inputs!$B$24+Inputs!$B$28,IF(Skills!C6=2,90+Inputs!$B$25+Inputs!$B$28,IF(Skills!C6=3,120+Inputs!$B$26+Inputs!$B$28,MAX(0,(Inputs!$B$3-100)*3)+Inputs!$B$27+Inputs!$B$28)))</f>
        <v/>
      </c>
      <c r="E435">
        <f>INDEX(FactorTable!$B$2:$Y$301, MATCH(ROUND(MIN(300,MAX(1,D435)),0), FactorTable!$A$2:$A$301,0), Skills!M6+1)</f>
        <v/>
      </c>
      <c r="F435">
        <f>IF(Skills!N6=TRUE,(Skills!L6/10)*(E435/1000),Skills!L6/10)+Skills!O6</f>
        <v/>
      </c>
      <c r="G435">
        <f>Skills!G6*IF(Skills!H6&gt;0,Skills!I6/Skills!H6,1)</f>
        <v/>
      </c>
      <c r="H435">
        <f>1-(1-Skills!J6/100)^Skills!K6</f>
        <v/>
      </c>
      <c r="I435" t="inlineStr">
        <is>
          <t>1</t>
        </is>
      </c>
      <c r="J435">
        <f>(Inputs!$B$5*(1+Inputs!$B$6/100))*(F435/100)</f>
        <v/>
      </c>
      <c r="K435">
        <f>J435*(1+((Inputs!$B$11*(1+Inputs!$B$12/100))*0.01+Inputs!$B$13*0.0025)/100)*(1+Inputs!$B$14/100)*(1+IF(Inputs!$B$4="pvp",0,(1-Summary!$B$55)*(Inputs!$B$19+0+Skills!P6)+Summary!$B$55*(Inputs!$B$20+Skills!Q6))/100)*(1+Inputs!$B$15/100)*(5000/(6000+Inputs!$B$7*(1-(Inputs!$B$18+0)/100)))*(1+(Inputs!$B$23+((C451=TRUE)*(F451-Calc!F22))+B460)/100)*(1+(IF(Skills!A6="HOOK_BOMBER",Inputs!$B$16+((C450=TRUE)*(F450-Calc!F21)),Inputs!$B$17+0))/100)*((1+(((C442=TRUE)*F442)+((C448=TRUE)*(F448-Calc!F19)))/100)*I435)</f>
        <v/>
      </c>
      <c r="L435">
        <f>K435*(MIN(Inputs!$B$21+((C449=TRUE)*(F449-Calc!F20)),Inputs!$B$22+0)/100+(Inputs!$B$22+0)/100)/2</f>
        <v/>
      </c>
      <c r="M435">
        <f>L435*(1+((Inputs!$B$9+1)+0+B459)/100)</f>
        <v/>
      </c>
      <c r="N435">
        <f>L435*(1-MIN((Inputs!$B$8+((C445=TRUE)*(F445-Calc!F16))+B454),100)/100)+M435*(MIN((Inputs!$B$8+((C445=TRUE)*(F445-Calc!F16))+B454),100)/100)</f>
        <v/>
      </c>
      <c r="O435">
        <f>IF(C435,H435*N435*IF(AND(Inputs!$B$4&lt;&gt;"pvp",Inputs!$B$35&gt;0),((Skills!G6*((R435-1)*IF(Skills!H6&gt;0,Skills!I6/Skills!H6,1)+IF(Skills!H6&gt;0,MIN(Skills!I6,MAX(0,Inputs!$B$35-((R435-1)*IF(Inputs!$B$4="pvp",15,MAX(0.1,Skills!D6-IF(Skills!E6=TRUE,Inputs!$B$31,0))))))/Skills!H6,1)))/Inputs!$B$35),G435*Q435)*IF(Inputs!$B$4="pvp",1,(1-Summary!$B$55)*(1)+Summary!$B$55*(MIN(Skills!R6,Inputs!$B$37))),0)</f>
        <v/>
      </c>
      <c r="P435">
        <f>IF(B462=0,0,O435/B462)</f>
        <v/>
      </c>
      <c r="Q435">
        <f>IFERROR(1/IF(Inputs!$B$4="pvp",15,MAX(0.1,Skills!D6-IF(Skills!E6=TRUE,Inputs!$B$31,0))),0)</f>
        <v/>
      </c>
      <c r="R435">
        <f>IF(AND(Inputs!$B$4&lt;&gt;"pvp",Inputs!$B$35&gt;0),(INT(Inputs!$B$35/IF(Inputs!$B$4="pvp",15,MAX(0.1,Skills!D6-IF(Skills!E6=TRUE,Inputs!$B$31,0))))+1),0)</f>
        <v/>
      </c>
      <c r="S435">
        <f>IFERROR(O435/N435,0)</f>
        <v/>
      </c>
    </row>
    <row r="436">
      <c r="A436">
        <f>Skills!A7</f>
        <v/>
      </c>
      <c r="B436">
        <f>Skills!B7</f>
        <v/>
      </c>
      <c r="C436">
        <f>Inputs!$B$3&gt;=100</f>
        <v/>
      </c>
      <c r="D436">
        <f>IF(Skills!C7=1,60+Inputs!$B$24+Inputs!$B$28,IF(Skills!C7=2,90+Inputs!$B$25+Inputs!$B$28,IF(Skills!C7=3,120+Inputs!$B$26+Inputs!$B$28,MAX(0,(Inputs!$B$3-100)*3)+Inputs!$B$27+Inputs!$B$28)))</f>
        <v/>
      </c>
      <c r="E436">
        <f>INDEX(FactorTable!$B$2:$Y$301, MATCH(ROUND(MIN(300,MAX(1,D436)),0), FactorTable!$A$2:$A$301,0), Skills!M7+1)</f>
        <v/>
      </c>
      <c r="F436">
        <f>IF(Skills!N7=TRUE,(Skills!L7/10)*(E436/1000),Skills!L7/10)+Skills!O7</f>
        <v/>
      </c>
      <c r="G436">
        <f>Skills!G7*IF(Skills!H7&gt;0,Skills!I7/Skills!H7,1)</f>
        <v/>
      </c>
      <c r="H436">
        <f>1-(1-Skills!J7/100)^Skills!K7</f>
        <v/>
      </c>
      <c r="I436" t="inlineStr">
        <is>
          <t>1</t>
        </is>
      </c>
      <c r="J436">
        <f>(Inputs!$B$5*(1+Inputs!$B$6/100))*(F436/100)</f>
        <v/>
      </c>
      <c r="K436">
        <f>J436*(1+((Inputs!$B$11*(1+Inputs!$B$12/100))*0.01+Inputs!$B$13*0.0025)/100)*(1+Inputs!$B$14/100)*(1+IF(Inputs!$B$4="pvp",0,(1-Summary!$B$55)*(Inputs!$B$19+0+Skills!P7)+Summary!$B$55*(Inputs!$B$20+Skills!Q7))/100)*(1+Inputs!$B$15/100)*(5000/(6000+Inputs!$B$7*(1-(Inputs!$B$18+0)/100)))*(1+(Inputs!$B$23+((C451=TRUE)*(F451-Calc!F22))+B460)/100)*(1+(IF(Skills!A7="HOOK_BOMBER",Inputs!$B$16+((C450=TRUE)*(F450-Calc!F21)),Inputs!$B$17+0))/100)*((1+(((C442=TRUE)*F442)+((C448=TRUE)*(F448-Calc!F19)))/100)*I436)</f>
        <v/>
      </c>
      <c r="L436">
        <f>K436*(MIN(Inputs!$B$21+((C449=TRUE)*(F449-Calc!F20)),Inputs!$B$22+0)/100+(Inputs!$B$22+0)/100)/2</f>
        <v/>
      </c>
      <c r="M436">
        <f>L436*(1+((Inputs!$B$9+1)+0+B459)/100)</f>
        <v/>
      </c>
      <c r="N436">
        <f>L436*(1-MIN((Inputs!$B$8+((C445=TRUE)*(F445-Calc!F16))+B454),100)/100)+M436*(MIN((Inputs!$B$8+((C445=TRUE)*(F445-Calc!F16))+B454),100)/100)</f>
        <v/>
      </c>
      <c r="O436">
        <f>IF(C436,H436*N436*IF(AND(Inputs!$B$4&lt;&gt;"pvp",Inputs!$B$35&gt;0),((Skills!G7*((R436-1)*IF(Skills!H7&gt;0,Skills!I7/Skills!H7,1)+IF(Skills!H7&gt;0,MIN(Skills!I7,MAX(0,Inputs!$B$35-((R436-1)*IF(Inputs!$B$4="pvp",15,MAX(0.1,Skills!D7-IF(Skills!E7=TRUE,Inputs!$B$31,0))))))/Skills!H7,1)))/Inputs!$B$35),G436*Q436)*IF(Inputs!$B$4="pvp",1,(1-Summary!$B$55)*(1)+Summary!$B$55*(MIN(Skills!R7,Inputs!$B$37))),0)</f>
        <v/>
      </c>
      <c r="P436">
        <f>IF(B462=0,0,O436/B462)</f>
        <v/>
      </c>
      <c r="Q436">
        <f>IFERROR(1/IF(Inputs!$B$4="pvp",15,MAX(0.1,Skills!D7-IF(Skills!E7=TRUE,Inputs!$B$31,0))),0)</f>
        <v/>
      </c>
      <c r="R436">
        <f>IF(AND(Inputs!$B$4&lt;&gt;"pvp",Inputs!$B$35&gt;0),(INT(Inputs!$B$35/IF(Inputs!$B$4="pvp",15,MAX(0.1,Skills!D7-IF(Skills!E7=TRUE,Inputs!$B$31,0))))+1),0)</f>
        <v/>
      </c>
      <c r="S436">
        <f>IFERROR(O436/N436,0)</f>
        <v/>
      </c>
    </row>
    <row r="437">
      <c r="A437">
        <f>Skills!A8</f>
        <v/>
      </c>
      <c r="B437">
        <f>Skills!B8</f>
        <v/>
      </c>
      <c r="C437">
        <f>Inputs!$B$3&gt;=110</f>
        <v/>
      </c>
      <c r="D437">
        <f>IF(Skills!C8=1,60+Inputs!$B$24+Inputs!$B$28,IF(Skills!C8=2,90+Inputs!$B$25+Inputs!$B$28,IF(Skills!C8=3,120+Inputs!$B$26+Inputs!$B$28,MAX(0,(Inputs!$B$3-100)*3)+Inputs!$B$27+Inputs!$B$28)))</f>
        <v/>
      </c>
      <c r="E437">
        <f>INDEX(FactorTable!$B$2:$Y$301, MATCH(ROUND(MIN(300,MAX(1,D437)),0), FactorTable!$A$2:$A$301,0), Skills!M8+1)</f>
        <v/>
      </c>
      <c r="F437">
        <f>IF(Skills!N8=TRUE,(Skills!L8/10)*(E437/1000),Skills!L8/10)+Skills!O8</f>
        <v/>
      </c>
      <c r="G437">
        <f>Skills!G8*IF(Skills!H8&gt;0,Skills!I8/Skills!H8,1)</f>
        <v/>
      </c>
      <c r="H437">
        <f>1-(1-Skills!J8/100)^Skills!K8</f>
        <v/>
      </c>
      <c r="I437" t="inlineStr">
        <is>
          <t>1</t>
        </is>
      </c>
      <c r="J437">
        <f>(Inputs!$B$5*(1+Inputs!$B$6/100))*(F437/100)</f>
        <v/>
      </c>
      <c r="K437">
        <f>J437*(1+((Inputs!$B$11*(1+Inputs!$B$12/100))*0.01+Inputs!$B$13*0.0025)/100)*(1+Inputs!$B$14/100)*(1+IF(Inputs!$B$4="pvp",0,(1-Summary!$B$55)*(Inputs!$B$19+0+Skills!P8)+Summary!$B$55*(Inputs!$B$20+Skills!Q8))/100)*(1+Inputs!$B$15/100)*(5000/(6000+Inputs!$B$7*(1-(Inputs!$B$18+0)/100)))*(1+(Inputs!$B$23+((C451=TRUE)*(F451-Calc!F22))+B460)/100)*(1+(IF(Skills!A8="HOOK_BOMBER",Inputs!$B$16+((C450=TRUE)*(F450-Calc!F21)),Inputs!$B$17+0))/100)*((1+(((C442=TRUE)*F442)+((C448=TRUE)*(F448-Calc!F19)))/100)*I437)</f>
        <v/>
      </c>
      <c r="L437">
        <f>K437*(MIN(Inputs!$B$21+((C449=TRUE)*(F449-Calc!F20)),Inputs!$B$22+0)/100+(Inputs!$B$22+0)/100)/2</f>
        <v/>
      </c>
      <c r="M437">
        <f>L437*(1+((Inputs!$B$9+1)+0+B459)/100)</f>
        <v/>
      </c>
      <c r="N437">
        <f>L437*(1-MIN((Inputs!$B$8+((C445=TRUE)*(F445-Calc!F16))+B454),100)/100)+M437*(MIN((Inputs!$B$8+((C445=TRUE)*(F445-Calc!F16))+B454),100)/100)</f>
        <v/>
      </c>
      <c r="O437">
        <f>IF(C437,H437*N437*IF(AND(Inputs!$B$4&lt;&gt;"pvp",Inputs!$B$35&gt;0),((Skills!G8*((R437-1)*IF(Skills!H8&gt;0,Skills!I8/Skills!H8,1)+IF(Skills!H8&gt;0,MIN(Skills!I8,MAX(0,Inputs!$B$35-((R437-1)*IF(Inputs!$B$4="pvp",15,MAX(0.1,Skills!D8-IF(Skills!E8=TRUE,Inputs!$B$31,0))))))/Skills!H8,1)))/Inputs!$B$35),G437*Q437)*IF(Inputs!$B$4="pvp",1,(1-Summary!$B$55)*(1)+Summary!$B$55*(MIN(Skills!R8,Inputs!$B$37))),0)</f>
        <v/>
      </c>
      <c r="P437">
        <f>IF(B462=0,0,O437/B462)</f>
        <v/>
      </c>
      <c r="Q437">
        <f>IFERROR(1/IF(Inputs!$B$4="pvp",15,MAX(0.1,Skills!D8-IF(Skills!E8=TRUE,Inputs!$B$31,0))),0)</f>
        <v/>
      </c>
      <c r="R437">
        <f>IF(AND(Inputs!$B$4&lt;&gt;"pvp",Inputs!$B$35&gt;0),(INT(Inputs!$B$35/IF(Inputs!$B$4="pvp",15,MAX(0.1,Skills!D8-IF(Skills!E8=TRUE,Inputs!$B$31,0))))+1),0)</f>
        <v/>
      </c>
      <c r="S437">
        <f>IFERROR(O437/N437,0)</f>
        <v/>
      </c>
    </row>
    <row r="438">
      <c r="A438">
        <f>Skills!A9</f>
        <v/>
      </c>
      <c r="B438">
        <f>Skills!B9</f>
        <v/>
      </c>
      <c r="C438">
        <f>Inputs!$B$3&gt;=110</f>
        <v/>
      </c>
      <c r="D438">
        <f>IF(Skills!C9=1,60+Inputs!$B$24+Inputs!$B$28,IF(Skills!C9=2,90+Inputs!$B$25+Inputs!$B$28,IF(Skills!C9=3,120+Inputs!$B$26+Inputs!$B$28,MAX(0,(Inputs!$B$3-100)*3)+Inputs!$B$27+Inputs!$B$28)))</f>
        <v/>
      </c>
      <c r="E438">
        <f>INDEX(FactorTable!$B$2:$Y$301, MATCH(ROUND(MIN(300,MAX(1,D438)),0), FactorTable!$A$2:$A$301,0), Skills!M9+1)</f>
        <v/>
      </c>
      <c r="F438">
        <f>IF(Skills!N9=TRUE,(Skills!L9/10)*(E438/1000),Skills!L9/10)+Skills!O9</f>
        <v/>
      </c>
      <c r="G438">
        <f>Skills!G9*IF(Skills!H9&gt;0,Skills!I9/Skills!H9,1)</f>
        <v/>
      </c>
      <c r="H438">
        <f>1-(1-Skills!J9/100)^Skills!K9</f>
        <v/>
      </c>
      <c r="I438" t="inlineStr">
        <is>
          <t>1</t>
        </is>
      </c>
      <c r="J438">
        <f>(Inputs!$B$5*(1+Inputs!$B$6/100))*(F438/100)</f>
        <v/>
      </c>
      <c r="K438">
        <f>J438*(1+((Inputs!$B$11*(1+Inputs!$B$12/100))*0.01+Inputs!$B$13*0.0025)/100)*(1+Inputs!$B$14/100)*(1+IF(Inputs!$B$4="pvp",0,(1-Summary!$B$55)*(Inputs!$B$19+0+Skills!P9)+Summary!$B$55*(Inputs!$B$20+Skills!Q9))/100)*(1+Inputs!$B$15/100)*(5000/(6000+Inputs!$B$7*(1-(Inputs!$B$18+0)/100)))*(1+(Inputs!$B$23+((C451=TRUE)*(F451-Calc!F22))+B460)/100)*(1+(IF(Skills!A9="HOOK_BOMBER",Inputs!$B$16+((C450=TRUE)*(F450-Calc!F21)),Inputs!$B$17+0))/100)*((1+(((C442=TRUE)*F442)+((C448=TRUE)*(F448-Calc!F19)))/100)*I438)</f>
        <v/>
      </c>
      <c r="L438">
        <f>K438*(MIN(Inputs!$B$21+((C449=TRUE)*(F449-Calc!F20)),Inputs!$B$22+0)/100+(Inputs!$B$22+0)/100)/2</f>
        <v/>
      </c>
      <c r="M438">
        <f>L438*(1+((Inputs!$B$9+1)+0+B459)/100)</f>
        <v/>
      </c>
      <c r="N438">
        <f>L438*(1-MIN((Inputs!$B$8+((C445=TRUE)*(F445-Calc!F16))+B454),100)/100)+M438*(MIN((Inputs!$B$8+((C445=TRUE)*(F445-Calc!F16))+B454),100)/100)</f>
        <v/>
      </c>
      <c r="O438">
        <f>IF(C438,H438*N438*IF(AND(Inputs!$B$4&lt;&gt;"pvp",Inputs!$B$35&gt;0),((Skills!G9*((R438-1)*IF(Skills!H9&gt;0,Skills!I9/Skills!H9,1)+IF(Skills!H9&gt;0,MIN(Skills!I9,MAX(0,Inputs!$B$35-((R438-1)*IF(Inputs!$B$4="pvp",15,MAX(0.1,Skills!D9-IF(Skills!E9=TRUE,Inputs!$B$31,0))))))/Skills!H9,1)))/Inputs!$B$35),G438*Q438)*IF(Inputs!$B$4="pvp",1,(1-Summary!$B$55)*(1)+Summary!$B$55*(MIN(Skills!R9,Inputs!$B$37))),0)</f>
        <v/>
      </c>
      <c r="P438">
        <f>IF(B462=0,0,O438/B462)</f>
        <v/>
      </c>
      <c r="Q438">
        <f>IFERROR(1/IF(Inputs!$B$4="pvp",15,MAX(0.1,Skills!D9-IF(Skills!E9=TRUE,Inputs!$B$31,0))),0)</f>
        <v/>
      </c>
      <c r="R438">
        <f>IF(AND(Inputs!$B$4&lt;&gt;"pvp",Inputs!$B$35&gt;0),(INT(Inputs!$B$35/IF(Inputs!$B$4="pvp",15,MAX(0.1,Skills!D9-IF(Skills!E9=TRUE,Inputs!$B$31,0))))+1),0)</f>
        <v/>
      </c>
      <c r="S438">
        <f>IFERROR(O438/N438,0)</f>
        <v/>
      </c>
    </row>
    <row r="439">
      <c r="A439">
        <f>Skills!A10</f>
        <v/>
      </c>
      <c r="B439">
        <f>Skills!B10</f>
        <v/>
      </c>
      <c r="C439">
        <f>Inputs!$B$3&gt;=103</f>
        <v/>
      </c>
      <c r="D439">
        <f>IF(Skills!C10=1,60+Inputs!$B$24+Inputs!$B$28,IF(Skills!C10=2,90+Inputs!$B$25+Inputs!$B$28,IF(Skills!C10=3,120+Inputs!$B$26+Inputs!$B$28,MAX(0,(Inputs!$B$3-100)*3)+Inputs!$B$27+Inputs!$B$28)))</f>
        <v/>
      </c>
      <c r="E439">
        <f>INDEX(FactorTable!$B$2:$Y$301, MATCH(ROUND(MIN(300,MAX(1,D439)),0), FactorTable!$A$2:$A$301,0), Skills!M10+1)</f>
        <v/>
      </c>
      <c r="F439">
        <f>IF(Skills!N10=TRUE,(Skills!L10/10)*(E439/1000),Skills!L10/10)+Skills!O10</f>
        <v/>
      </c>
      <c r="G439">
        <f>Skills!G10*IF(Skills!H10&gt;0,Skills!I10/Skills!H10,1)</f>
        <v/>
      </c>
      <c r="H439">
        <f>1-(1-Skills!J10/100)^Skills!K10</f>
        <v/>
      </c>
      <c r="I439" t="inlineStr">
        <is>
          <t>1</t>
        </is>
      </c>
      <c r="J439">
        <f>(Inputs!$B$5*(1+Inputs!$B$6/100))*(F439/100)</f>
        <v/>
      </c>
      <c r="K439">
        <f>J439*(1+((Inputs!$B$11*(1+Inputs!$B$12/100))*0.01+Inputs!$B$13*0.0025)/100)*(1+Inputs!$B$14/100)*(1+IF(Inputs!$B$4="pvp",0,(1-Summary!$B$55)*(Inputs!$B$19+0+Skills!P10)+Summary!$B$55*(Inputs!$B$20+Skills!Q10))/100)*(1+Inputs!$B$15/100)*(5000/(6000+Inputs!$B$7*(1-(Inputs!$B$18+0)/100)))*(1+(Inputs!$B$23+((C451=TRUE)*(F451-Calc!F22))+B460)/100)*(1+(IF(Skills!A10="HOOK_BOMBER",Inputs!$B$16+((C450=TRUE)*(F450-Calc!F21)),Inputs!$B$17+0))/100)*((1+(((C442=TRUE)*F442)+((C448=TRUE)*(F448-Calc!F19)))/100)*I439)</f>
        <v/>
      </c>
      <c r="L439">
        <f>K439*(MIN(Inputs!$B$21+((C449=TRUE)*(F449-Calc!F20)),Inputs!$B$22+0)/100+(Inputs!$B$22+0)/100)/2</f>
        <v/>
      </c>
      <c r="M439">
        <f>L439*(1+((Inputs!$B$9+1)+0+B459)/100)</f>
        <v/>
      </c>
      <c r="N439">
        <f>L439*(1-MIN((Inputs!$B$8+((C445=TRUE)*(F445-Calc!F16))+B454),100)/100)+M439*(MIN((Inputs!$B$8+((C445=TRUE)*(F445-Calc!F16))+B454),100)/100)</f>
        <v/>
      </c>
      <c r="O439">
        <f>IF(C439,H439*N439*IF(AND(Inputs!$B$4&lt;&gt;"pvp",Inputs!$B$35&gt;0),((Skills!G10*((R439-1)*IF(Skills!H10&gt;0,Skills!I10/Skills!H10,1)+IF(Skills!H10&gt;0,MIN(Skills!I10,MAX(0,Inputs!$B$35-((R439-1)*IF(Inputs!$B$4="pvp",15,MAX(0.1,Skills!D10-IF(Skills!E10=TRUE,Inputs!$B$31,0))))))/Skills!H10,1)))/Inputs!$B$35),G439*Q439)*IF(Inputs!$B$4="pvp",1,(1-Summary!$B$55)*(1)+Summary!$B$55*(MIN(Skills!R10,Inputs!$B$37))),0)</f>
        <v/>
      </c>
      <c r="P439">
        <f>IF(B462=0,0,O439/B462)</f>
        <v/>
      </c>
      <c r="Q439">
        <f>IFERROR(1/IF(Inputs!$B$4="pvp",15,MAX(0.1,Skills!D10-IF(Skills!E10=TRUE,Inputs!$B$31,0))),0)</f>
        <v/>
      </c>
      <c r="R439">
        <f>IF(AND(Inputs!$B$4&lt;&gt;"pvp",Inputs!$B$35&gt;0),(INT(Inputs!$B$35/IF(Inputs!$B$4="pvp",15,MAX(0.1,Skills!D10-IF(Skills!E10=TRUE,Inputs!$B$31,0))))+1),0)</f>
        <v/>
      </c>
      <c r="S439">
        <f>IFERROR(O439/N439,0)</f>
        <v/>
      </c>
    </row>
    <row r="440">
      <c r="A440">
        <f>Skills!A11</f>
        <v/>
      </c>
      <c r="B440">
        <f>Skills!B11</f>
        <v/>
      </c>
      <c r="C440">
        <f>Inputs!$B$3&gt;=113</f>
        <v/>
      </c>
      <c r="D440">
        <f>IF(Skills!C11=1,60+Inputs!$B$24+Inputs!$B$28,IF(Skills!C11=2,90+Inputs!$B$25+Inputs!$B$28,IF(Skills!C11=3,120+Inputs!$B$26+Inputs!$B$28,MAX(0,(Inputs!$B$3-100)*3)+Inputs!$B$27+Inputs!$B$28)))</f>
        <v/>
      </c>
      <c r="E440">
        <f>INDEX(FactorTable!$B$2:$Y$301, MATCH(ROUND(MIN(300,MAX(1,D440)),0), FactorTable!$A$2:$A$301,0), Skills!M11+1)</f>
        <v/>
      </c>
      <c r="F440">
        <f>IF(Skills!N11=TRUE,(Skills!L11/10)*(E440/1000),Skills!L11/10)+Skills!O11</f>
        <v/>
      </c>
      <c r="G440">
        <f>Skills!G11*IF(Skills!H11&gt;0,Skills!I11/Skills!H11,1)</f>
        <v/>
      </c>
      <c r="H440">
        <f>1-(1-Skills!J11/100)^Skills!K11</f>
        <v/>
      </c>
      <c r="I440" t="inlineStr">
        <is>
          <t>1</t>
        </is>
      </c>
      <c r="J440">
        <f>(Inputs!$B$5*(1+Inputs!$B$6/100))*(F440/100)</f>
        <v/>
      </c>
      <c r="K440">
        <f>J440*(1+((Inputs!$B$11*(1+Inputs!$B$12/100))*0.01+Inputs!$B$13*0.0025)/100)*(1+Inputs!$B$14/100)*(1+IF(Inputs!$B$4="pvp",0,(1-Summary!$B$55)*(Inputs!$B$19+0+Skills!P11)+Summary!$B$55*(Inputs!$B$20+Skills!Q11))/100)*(1+Inputs!$B$15/100)*(5000/(6000+Inputs!$B$7*(1-(Inputs!$B$18+0)/100)))*(1+(Inputs!$B$23+((C451=TRUE)*(F451-Calc!F22))+B460)/100)*(1+(IF(Skills!A11="HOOK_BOMBER",Inputs!$B$16+((C450=TRUE)*(F450-Calc!F21)),Inputs!$B$17+0))/100)*((1+(((C442=TRUE)*F442)+((C448=TRUE)*(F448-Calc!F19)))/100)*I440)</f>
        <v/>
      </c>
      <c r="L440">
        <f>K440*(MIN(Inputs!$B$21+((C449=TRUE)*(F449-Calc!F20)),Inputs!$B$22+0)/100+(Inputs!$B$22+0)/100)/2</f>
        <v/>
      </c>
      <c r="M440">
        <f>L440*(1+((Inputs!$B$9+1)+0+B459)/100)</f>
        <v/>
      </c>
      <c r="N440">
        <f>L440*(1-MIN((Inputs!$B$8+((C445=TRUE)*(F445-Calc!F16))+B454),100)/100)+M440*(MIN((Inputs!$B$8+((C445=TRUE)*(F445-Calc!F16))+B454),100)/100)</f>
        <v/>
      </c>
      <c r="O440">
        <f>IF(C440,H440*N440*IF(AND(Inputs!$B$4&lt;&gt;"pvp",Inputs!$B$35&gt;0),((Skills!G11*((R440-1)*IF(Skills!H11&gt;0,Skills!I11/Skills!H11,1)+IF(Skills!H11&gt;0,MIN(Skills!I11,MAX(0,Inputs!$B$35-((R440-1)*IF(Inputs!$B$4="pvp",15,MAX(0.1,Skills!D11-IF(Skills!E11=TRUE,Inputs!$B$31,0))))))/Skills!H11,1)))/Inputs!$B$35),G440*Q440)*IF(Inputs!$B$4="pvp",1,(1-Summary!$B$55)*(1)+Summary!$B$55*(MIN(Skills!R11,Inputs!$B$37))),0)</f>
        <v/>
      </c>
      <c r="P440">
        <f>IF(B462=0,0,O440/B462)</f>
        <v/>
      </c>
      <c r="Q440">
        <f>IFERROR(1/IF(Inputs!$B$4="pvp",15,MAX(0.1,Skills!D11-IF(Skills!E11=TRUE,Inputs!$B$31,0))),0)</f>
        <v/>
      </c>
      <c r="R440">
        <f>IF(AND(Inputs!$B$4&lt;&gt;"pvp",Inputs!$B$35&gt;0),(INT(Inputs!$B$35/IF(Inputs!$B$4="pvp",15,MAX(0.1,Skills!D11-IF(Skills!E11=TRUE,Inputs!$B$31,0))))+1),0)</f>
        <v/>
      </c>
      <c r="S440">
        <f>IFERROR(O440/N440,0)</f>
        <v/>
      </c>
    </row>
    <row r="441">
      <c r="A441">
        <f>Skills!A12</f>
        <v/>
      </c>
      <c r="B441">
        <f>Skills!B12</f>
        <v/>
      </c>
      <c r="C441">
        <f>Inputs!$B$3&gt;=100</f>
        <v/>
      </c>
      <c r="D441">
        <f>IF(Skills!C12=1,60+Inputs!$B$24+Inputs!$B$28,IF(Skills!C12=2,90+Inputs!$B$25+Inputs!$B$28,IF(Skills!C12=3,120+Inputs!$B$26+Inputs!$B$28,MAX(0,(Inputs!$B$3-100)*3)+Inputs!$B$27+Inputs!$B$28)))</f>
        <v/>
      </c>
      <c r="E441">
        <f>INDEX(FactorTable!$B$2:$Y$301, MATCH(ROUND(MIN(300,MAX(1,D441)),0), FactorTable!$A$2:$A$301,0), Skills!M12+1)</f>
        <v/>
      </c>
      <c r="F441">
        <f>IF(Skills!N12=TRUE,(Skills!L12/10)*(E441/1000),Skills!L12/10)+Skills!O12</f>
        <v/>
      </c>
      <c r="G441" t="inlineStr"/>
      <c r="H441" t="inlineStr"/>
      <c r="I441" t="inlineStr">
        <is>
          <t>1</t>
        </is>
      </c>
      <c r="J441" t="inlineStr"/>
      <c r="K441" t="inlineStr"/>
      <c r="L441" t="inlineStr"/>
      <c r="M441" t="inlineStr"/>
      <c r="N441" t="inlineStr"/>
      <c r="O441" t="inlineStr"/>
      <c r="P441" t="inlineStr"/>
      <c r="Q441" t="inlineStr"/>
      <c r="R441" t="inlineStr"/>
      <c r="S441" t="inlineStr"/>
    </row>
    <row r="442">
      <c r="A442">
        <f>Skills!A13</f>
        <v/>
      </c>
      <c r="B442">
        <f>Skills!B13</f>
        <v/>
      </c>
      <c r="C442">
        <f>Inputs!$B$3&gt;=66</f>
        <v/>
      </c>
      <c r="D442">
        <f>IF(Skills!C13=1,60+Inputs!$B$24+Inputs!$B$28,IF(Skills!C13=2,90+Inputs!$B$25+Inputs!$B$28,IF(Skills!C13=3,120+Inputs!$B$26+Inputs!$B$28,MAX(0,(Inputs!$B$3-100)*3)+Inputs!$B$27+Inputs!$B$28)))</f>
        <v/>
      </c>
      <c r="E442">
        <f>INDEX(FactorTable!$B$2:$Y$301, MATCH(ROUND(MIN(300,MAX(1,D442)),0), FactorTable!$A$2:$A$301,0), Skills!M13+1)</f>
        <v/>
      </c>
      <c r="F442">
        <f>IF(Skills!N13=TRUE,(Skills!L13/10)*(E442/1000),Skills!L13/10)+Skills!O13</f>
        <v/>
      </c>
      <c r="G442">
        <f>Skills!G13*IF(Skills!H13&gt;0,Skills!I13/Skills!H13,1)</f>
        <v/>
      </c>
      <c r="H442">
        <f>1-(1-Skills!J13/100)^Skills!K13</f>
        <v/>
      </c>
      <c r="I442" t="inlineStr">
        <is>
          <t>1</t>
        </is>
      </c>
      <c r="J442" t="inlineStr"/>
      <c r="K442" t="inlineStr"/>
      <c r="L442" t="inlineStr"/>
      <c r="M442" t="inlineStr"/>
      <c r="N442" t="inlineStr"/>
      <c r="O442" t="n">
        <v>0</v>
      </c>
      <c r="P442">
        <f>IF(B462=0,0,O442/B462)</f>
        <v/>
      </c>
      <c r="Q442" t="n">
        <v>0</v>
      </c>
      <c r="R442" t="n">
        <v>0</v>
      </c>
      <c r="S442">
        <f>IFERROR(O442/N442,0)</f>
        <v/>
      </c>
    </row>
    <row r="443">
      <c r="A443">
        <f>Skills!A14</f>
        <v/>
      </c>
      <c r="B443">
        <f>Skills!B14</f>
        <v/>
      </c>
      <c r="C443">
        <f>Inputs!$B$3&gt;=107</f>
        <v/>
      </c>
      <c r="D443">
        <f>IF(Skills!C14=1,60+Inputs!$B$24+Inputs!$B$28,IF(Skills!C14=2,90+Inputs!$B$25+Inputs!$B$28,IF(Skills!C14=3,120+Inputs!$B$26+Inputs!$B$28,MAX(0,(Inputs!$B$3-100)*3)+Inputs!$B$27+Inputs!$B$28)))</f>
        <v/>
      </c>
      <c r="E443">
        <f>INDEX(FactorTable!$B$2:$Y$301, MATCH(ROUND(MIN(300,MAX(1,D443)),0), FactorTable!$A$2:$A$301,0), Skills!M14+1)</f>
        <v/>
      </c>
      <c r="F443">
        <f>IF(Skills!N14=TRUE,(Skills!L14/10)*(E443/1000),Skills!L14/10)+Skills!O14</f>
        <v/>
      </c>
      <c r="G443">
        <f>Skills!G14*IF(Skills!H14&gt;0,Skills!I14/Skills!H14,1)</f>
        <v/>
      </c>
      <c r="H443">
        <f>1-(1-Skills!J14/100)^Skills!K14</f>
        <v/>
      </c>
      <c r="I443" t="inlineStr">
        <is>
          <t>1</t>
        </is>
      </c>
      <c r="J443" t="inlineStr"/>
      <c r="K443" t="inlineStr"/>
      <c r="L443" t="inlineStr"/>
      <c r="M443" t="inlineStr"/>
      <c r="N443" t="inlineStr"/>
      <c r="O443" t="n">
        <v>0</v>
      </c>
      <c r="P443">
        <f>IF(B462=0,0,O443/B462)</f>
        <v/>
      </c>
      <c r="Q443" t="n">
        <v>0</v>
      </c>
      <c r="R443" t="n">
        <v>0</v>
      </c>
      <c r="S443">
        <f>IFERROR(O443/N443,0)</f>
        <v/>
      </c>
    </row>
    <row r="444">
      <c r="A444">
        <f>Skills!A15</f>
        <v/>
      </c>
      <c r="B444">
        <f>Skills!B15</f>
        <v/>
      </c>
      <c r="C444">
        <f>Inputs!$B$3&gt;=115</f>
        <v/>
      </c>
      <c r="D444">
        <f>IF(Skills!C15=1,60+Inputs!$B$24+Inputs!$B$28,IF(Skills!C15=2,90+Inputs!$B$25+Inputs!$B$28,IF(Skills!C15=3,120+Inputs!$B$26+Inputs!$B$28,MAX(0,(Inputs!$B$3-100)*3)+Inputs!$B$27+Inputs!$B$28)))</f>
        <v/>
      </c>
      <c r="E444">
        <f>INDEX(FactorTable!$B$2:$Y$301, MATCH(ROUND(MIN(300,MAX(1,D444)),0), FactorTable!$A$2:$A$301,0), Skills!M15+1)</f>
        <v/>
      </c>
      <c r="F444">
        <f>IF(Skills!N15=TRUE,(Skills!L15/10)*(E444/1000),Skills!L15/10)+Skills!O15</f>
        <v/>
      </c>
      <c r="G444">
        <f>Skills!G15*IF(Skills!H15&gt;0,Skills!I15/Skills!H15,1)</f>
        <v/>
      </c>
      <c r="H444">
        <f>1-(1-Skills!J15/100)^Skills!K15</f>
        <v/>
      </c>
      <c r="I444" t="inlineStr">
        <is>
          <t>1</t>
        </is>
      </c>
      <c r="J444" t="inlineStr"/>
      <c r="K444" t="inlineStr"/>
      <c r="L444" t="inlineStr"/>
      <c r="M444" t="inlineStr"/>
      <c r="N444" t="inlineStr"/>
      <c r="O444" t="n">
        <v>0</v>
      </c>
      <c r="P444">
        <f>IF(B462=0,0,O444/B462)</f>
        <v/>
      </c>
      <c r="Q444" t="n">
        <v>0</v>
      </c>
      <c r="R444" t="n">
        <v>0</v>
      </c>
      <c r="S444">
        <f>IFERROR(O444/N444,0)</f>
        <v/>
      </c>
    </row>
    <row r="445">
      <c r="A445">
        <f>Skills!A16</f>
        <v/>
      </c>
      <c r="B445">
        <f>Skills!B16</f>
        <v/>
      </c>
      <c r="C445">
        <f>Inputs!$B$3&gt;=15</f>
        <v/>
      </c>
      <c r="D445">
        <f>IF(Skills!C16=1,60+Inputs!$B$24+Inputs!$B$28,IF(Skills!C16=2,90+Inputs!$B$25+Inputs!$B$28,IF(Skills!C16=3,120+Inputs!$B$26+Inputs!$B$28,MAX(0,(Inputs!$B$3-100)*3)+Inputs!$B$27+Inputs!$B$28)))</f>
        <v/>
      </c>
      <c r="E445">
        <f>INDEX(FactorTable!$B$2:$Y$301, MATCH(ROUND(MIN(300,MAX(1,D445)),0), FactorTable!$A$2:$A$301,0), Skills!M16+1)</f>
        <v/>
      </c>
      <c r="F445">
        <f>IF(Skills!N16=TRUE,(Skills!L16/10)*(E445/1000),Skills!L16/10)+Skills!O16</f>
        <v/>
      </c>
      <c r="G445">
        <f>Skills!G16*IF(Skills!H16&gt;0,Skills!I16/Skills!H16,1)</f>
        <v/>
      </c>
      <c r="H445">
        <f>1-(1-Skills!J16/100)^Skills!K16</f>
        <v/>
      </c>
      <c r="I445" t="inlineStr">
        <is>
          <t>1</t>
        </is>
      </c>
      <c r="J445" t="inlineStr"/>
      <c r="K445" t="inlineStr"/>
      <c r="L445" t="inlineStr"/>
      <c r="M445" t="inlineStr"/>
      <c r="N445" t="inlineStr"/>
      <c r="O445" t="n">
        <v>0</v>
      </c>
      <c r="P445">
        <f>IF(B462=0,0,O445/B462)</f>
        <v/>
      </c>
      <c r="Q445" t="n">
        <v>0</v>
      </c>
      <c r="R445" t="n">
        <v>0</v>
      </c>
      <c r="S445">
        <f>IFERROR(O445/N445,0)</f>
        <v/>
      </c>
    </row>
    <row r="446">
      <c r="A446">
        <f>Skills!A17</f>
        <v/>
      </c>
      <c r="B446">
        <f>Skills!B17</f>
        <v/>
      </c>
      <c r="C446">
        <f>Inputs!$B$3&gt;=10</f>
        <v/>
      </c>
      <c r="D446">
        <f>IF(Skills!C17=1,60+Inputs!$B$24+Inputs!$B$28,IF(Skills!C17=2,90+Inputs!$B$25+Inputs!$B$28,IF(Skills!C17=3,120+Inputs!$B$26+Inputs!$B$28,MAX(0,(Inputs!$B$3-100)*3)+Inputs!$B$27+Inputs!$B$28)))</f>
        <v/>
      </c>
      <c r="E446">
        <f>INDEX(FactorTable!$B$2:$Y$301, MATCH(ROUND(MIN(300,MAX(1,D446)),0), FactorTable!$A$2:$A$301,0), Skills!M17+1)</f>
        <v/>
      </c>
      <c r="F446">
        <f>IF(Skills!N17=TRUE,(Skills!L17/10)*(E446/1000),Skills!L17/10)+Skills!O17</f>
        <v/>
      </c>
      <c r="G446">
        <f>Skills!G17*IF(Skills!H17&gt;0,Skills!I17/Skills!H17,1)</f>
        <v/>
      </c>
      <c r="H446">
        <f>1-(1-Skills!J17/100)^Skills!K17</f>
        <v/>
      </c>
      <c r="I446" t="inlineStr">
        <is>
          <t>1</t>
        </is>
      </c>
      <c r="J446" t="inlineStr"/>
      <c r="K446" t="inlineStr"/>
      <c r="L446" t="inlineStr"/>
      <c r="M446" t="inlineStr"/>
      <c r="N446" t="inlineStr"/>
      <c r="O446" t="n">
        <v>0</v>
      </c>
      <c r="P446">
        <f>IF(B462=0,0,O446/B462)</f>
        <v/>
      </c>
      <c r="Q446" t="n">
        <v>0</v>
      </c>
      <c r="R446" t="n">
        <v>0</v>
      </c>
      <c r="S446">
        <f>IFERROR(O446/N446,0)</f>
        <v/>
      </c>
    </row>
    <row r="447">
      <c r="A447">
        <f>Skills!A18</f>
        <v/>
      </c>
      <c r="B447">
        <f>Skills!B18</f>
        <v/>
      </c>
      <c r="C447">
        <f>Inputs!$B$3&gt;=33</f>
        <v/>
      </c>
      <c r="D447">
        <f>IF(Skills!C18=1,60+Inputs!$B$24+Inputs!$B$28,IF(Skills!C18=2,90+Inputs!$B$25+Inputs!$B$28,IF(Skills!C18=3,120+Inputs!$B$26+Inputs!$B$28,MAX(0,(Inputs!$B$3-100)*3)+Inputs!$B$27+Inputs!$B$28)))</f>
        <v/>
      </c>
      <c r="E447">
        <f>INDEX(FactorTable!$B$2:$Y$301, MATCH(ROUND(MIN(300,MAX(1,D447)),0), FactorTable!$A$2:$A$301,0), Skills!M18+1)</f>
        <v/>
      </c>
      <c r="F447">
        <f>IF(Skills!N18=TRUE,(Skills!L18/10)*(E447/1000),Skills!L18/10)+Skills!O18</f>
        <v/>
      </c>
      <c r="G447">
        <f>Skills!G18*IF(Skills!H18&gt;0,Skills!I18/Skills!H18,1)</f>
        <v/>
      </c>
      <c r="H447">
        <f>1-(1-Skills!J18/100)^Skills!K18</f>
        <v/>
      </c>
      <c r="I447" t="inlineStr">
        <is>
          <t>1</t>
        </is>
      </c>
      <c r="J447" t="inlineStr"/>
      <c r="K447" t="inlineStr"/>
      <c r="L447" t="inlineStr"/>
      <c r="M447" t="inlineStr"/>
      <c r="N447" t="inlineStr"/>
      <c r="O447" t="n">
        <v>0</v>
      </c>
      <c r="P447">
        <f>IF(B462=0,0,O447/B462)</f>
        <v/>
      </c>
      <c r="Q447" t="n">
        <v>0</v>
      </c>
      <c r="R447" t="n">
        <v>0</v>
      </c>
      <c r="S447">
        <f>IFERROR(O447/N447,0)</f>
        <v/>
      </c>
    </row>
    <row r="448">
      <c r="A448">
        <f>Skills!A19</f>
        <v/>
      </c>
      <c r="B448">
        <f>Skills!B19</f>
        <v/>
      </c>
      <c r="C448">
        <f>Inputs!$B$3&gt;=40</f>
        <v/>
      </c>
      <c r="D448">
        <f>IF(Skills!C19=1,60+Inputs!$B$24+Inputs!$B$28,IF(Skills!C19=2,90+Inputs!$B$25+Inputs!$B$28,IF(Skills!C19=3,120+Inputs!$B$26+Inputs!$B$28,MAX(0,(Inputs!$B$3-100)*3)+Inputs!$B$27+Inputs!$B$28)))</f>
        <v/>
      </c>
      <c r="E448">
        <f>INDEX(FactorTable!$B$2:$Y$301, MATCH(ROUND(MIN(300,MAX(1,D448)),0), FactorTable!$A$2:$A$301,0), Skills!M19+1)</f>
        <v/>
      </c>
      <c r="F448">
        <f>IF(Skills!N19=TRUE,(Skills!L19/10)*(E448/1000),Skills!L19/10)+Skills!O19</f>
        <v/>
      </c>
      <c r="G448">
        <f>Skills!G19*IF(Skills!H19&gt;0,Skills!I19/Skills!H19,1)</f>
        <v/>
      </c>
      <c r="H448">
        <f>1-(1-Skills!J19/100)^Skills!K19</f>
        <v/>
      </c>
      <c r="I448" t="inlineStr">
        <is>
          <t>1</t>
        </is>
      </c>
      <c r="J448" t="inlineStr"/>
      <c r="K448" t="inlineStr"/>
      <c r="L448" t="inlineStr"/>
      <c r="M448" t="inlineStr"/>
      <c r="N448" t="inlineStr"/>
      <c r="O448" t="n">
        <v>0</v>
      </c>
      <c r="P448">
        <f>IF(B462=0,0,O448/B462)</f>
        <v/>
      </c>
      <c r="Q448" t="n">
        <v>0</v>
      </c>
      <c r="R448" t="n">
        <v>0</v>
      </c>
      <c r="S448">
        <f>IFERROR(O448/N448,0)</f>
        <v/>
      </c>
    </row>
    <row r="449">
      <c r="A449">
        <f>Skills!A20</f>
        <v/>
      </c>
      <c r="B449">
        <f>Skills!B20</f>
        <v/>
      </c>
      <c r="C449">
        <f>Inputs!$B$3&gt;=43</f>
        <v/>
      </c>
      <c r="D449">
        <f>IF(Skills!C20=1,60+Inputs!$B$24+Inputs!$B$28,IF(Skills!C20=2,90+Inputs!$B$25+Inputs!$B$28,IF(Skills!C20=3,120+Inputs!$B$26+Inputs!$B$28,MAX(0,(Inputs!$B$3-100)*3)+Inputs!$B$27+Inputs!$B$28)))</f>
        <v/>
      </c>
      <c r="E449">
        <f>INDEX(FactorTable!$B$2:$Y$301, MATCH(ROUND(MIN(300,MAX(1,D449)),0), FactorTable!$A$2:$A$301,0), Skills!M20+1)</f>
        <v/>
      </c>
      <c r="F449">
        <f>IF(Skills!N20=TRUE,(Skills!L20/10)*(E449/1000),Skills!L20/10)+Skills!O20</f>
        <v/>
      </c>
      <c r="G449">
        <f>Skills!G20*IF(Skills!H20&gt;0,Skills!I20/Skills!H20,1)</f>
        <v/>
      </c>
      <c r="H449">
        <f>1-(1-Skills!J20/100)^Skills!K20</f>
        <v/>
      </c>
      <c r="I449" t="inlineStr">
        <is>
          <t>1</t>
        </is>
      </c>
      <c r="J449" t="inlineStr"/>
      <c r="K449" t="inlineStr"/>
      <c r="L449" t="inlineStr"/>
      <c r="M449" t="inlineStr"/>
      <c r="N449" t="inlineStr"/>
      <c r="O449" t="n">
        <v>0</v>
      </c>
      <c r="P449">
        <f>IF(B462=0,0,O449/B462)</f>
        <v/>
      </c>
      <c r="Q449" t="n">
        <v>0</v>
      </c>
      <c r="R449" t="n">
        <v>0</v>
      </c>
      <c r="S449">
        <f>IFERROR(O449/N449,0)</f>
        <v/>
      </c>
    </row>
    <row r="450">
      <c r="A450">
        <f>Skills!A21</f>
        <v/>
      </c>
      <c r="B450">
        <f>Skills!B21</f>
        <v/>
      </c>
      <c r="C450">
        <f>Inputs!$B$3&gt;=38</f>
        <v/>
      </c>
      <c r="D450">
        <f>IF(Skills!C21=1,60+Inputs!$B$24+Inputs!$B$28,IF(Skills!C21=2,90+Inputs!$B$25+Inputs!$B$28,IF(Skills!C21=3,120+Inputs!$B$26+Inputs!$B$28,MAX(0,(Inputs!$B$3-100)*3)+Inputs!$B$27+Inputs!$B$28)))</f>
        <v/>
      </c>
      <c r="E450">
        <f>INDEX(FactorTable!$B$2:$Y$301, MATCH(ROUND(MIN(300,MAX(1,D450)),0), FactorTable!$A$2:$A$301,0), Skills!M21+1)</f>
        <v/>
      </c>
      <c r="F450">
        <f>IF(Skills!N21=TRUE,(Skills!L21/10)*(E450/1000),Skills!L21/10)+Skills!O21</f>
        <v/>
      </c>
      <c r="G450">
        <f>Skills!G21*IF(Skills!H21&gt;0,Skills!I21/Skills!H21,1)</f>
        <v/>
      </c>
      <c r="H450">
        <f>1-(1-Skills!J21/100)^Skills!K21</f>
        <v/>
      </c>
      <c r="I450" t="inlineStr">
        <is>
          <t>1</t>
        </is>
      </c>
      <c r="J450" t="inlineStr"/>
      <c r="K450" t="inlineStr"/>
      <c r="L450" t="inlineStr"/>
      <c r="M450" t="inlineStr"/>
      <c r="N450" t="inlineStr"/>
      <c r="O450" t="n">
        <v>0</v>
      </c>
      <c r="P450">
        <f>IF(B462=0,0,O450/B462)</f>
        <v/>
      </c>
      <c r="Q450" t="n">
        <v>0</v>
      </c>
      <c r="R450" t="n">
        <v>0</v>
      </c>
      <c r="S450">
        <f>IFERROR(O450/N450,0)</f>
        <v/>
      </c>
    </row>
    <row r="451">
      <c r="A451">
        <f>Skills!A22</f>
        <v/>
      </c>
      <c r="B451">
        <f>Skills!B22</f>
        <v/>
      </c>
      <c r="C451">
        <f>Inputs!$B$3&gt;=75</f>
        <v/>
      </c>
      <c r="D451">
        <f>IF(Skills!C22=1,60+Inputs!$B$24+Inputs!$B$28,IF(Skills!C22=2,90+Inputs!$B$25+Inputs!$B$28,IF(Skills!C22=3,120+Inputs!$B$26+Inputs!$B$28,MAX(0,(Inputs!$B$3-100)*3)+Inputs!$B$27+Inputs!$B$28)))</f>
        <v/>
      </c>
      <c r="E451">
        <f>INDEX(FactorTable!$B$2:$Y$301, MATCH(ROUND(MIN(300,MAX(1,D451)),0), FactorTable!$A$2:$A$301,0), Skills!M22+1)</f>
        <v/>
      </c>
      <c r="F451">
        <f>IF(Skills!N22=TRUE,(Skills!L22/10)*(E451/1000),Skills!L22/10)+Skills!O22</f>
        <v/>
      </c>
      <c r="G451">
        <f>Skills!G22*IF(Skills!H22&gt;0,Skills!I22/Skills!H22,1)</f>
        <v/>
      </c>
      <c r="H451">
        <f>1-(1-Skills!J22/100)^Skills!K22</f>
        <v/>
      </c>
      <c r="I451" t="inlineStr">
        <is>
          <t>1</t>
        </is>
      </c>
      <c r="J451" t="inlineStr"/>
      <c r="K451" t="inlineStr"/>
      <c r="L451" t="inlineStr"/>
      <c r="M451" t="inlineStr"/>
      <c r="N451" t="inlineStr"/>
      <c r="O451" t="n">
        <v>0</v>
      </c>
      <c r="P451">
        <f>IF(B462=0,0,O451/B462)</f>
        <v/>
      </c>
      <c r="Q451" t="n">
        <v>0</v>
      </c>
      <c r="R451" t="n">
        <v>0</v>
      </c>
      <c r="S451">
        <f>IFERROR(O451/N451,0)</f>
        <v/>
      </c>
    </row>
    <row r="453">
      <c r="A453" t="inlineStr">
        <is>
          <t>Attack% Bucket Multiplier</t>
        </is>
      </c>
      <c r="B453">
        <f>(1+(((C442=TRUE)*F442)+((C448=TRUE)*(F448-Calc!F19)))/100)</f>
        <v/>
      </c>
    </row>
    <row r="454">
      <c r="A454" t="inlineStr">
        <is>
          <t>Global Crit Rate Bonus %</t>
        </is>
      </c>
      <c r="B454" t="n">
        <v>0</v>
      </c>
    </row>
    <row r="455">
      <c r="A455" t="inlineStr">
        <is>
          <t>Attack Speed Buff Bonus % (unused)</t>
        </is>
      </c>
      <c r="B455" t="n">
        <v>0</v>
      </c>
    </row>
    <row r="456">
      <c r="A456" t="inlineStr">
        <is>
          <t>Actions Per Second</t>
        </is>
      </c>
      <c r="B456">
        <f>1+MIN(150,150*(1-(1-(Inputs!$B$10+((C446=TRUE)*(F446-Calc!F17))+((C447=TRUE)*(F447-Calc!F18)))/150)*(1-B455/150)))/100</f>
        <v/>
      </c>
    </row>
    <row r="457">
      <c r="A457" t="inlineStr">
        <is>
          <t>Skill + Buff Cast Rate</t>
        </is>
      </c>
      <c r="B457">
        <f>IF(AND(Inputs!$B$4&lt;&gt;"pvp",Inputs!$B$35&gt;0),SUMPRODUCT((Skills!E2:E22=TRUE)*(C431:C451=TRUE)*R431:R451*Skills!F2:F22)/Inputs!$B$35,SUMPRODUCT((Skills!E2:E22=TRUE)*(C431:C451=TRUE)*Q431:Q451*Skills!F2:F22))</f>
        <v/>
      </c>
    </row>
    <row r="458">
      <c r="A458" t="inlineStr">
        <is>
          <t>Hook Bomber Casts Per Second</t>
        </is>
      </c>
      <c r="B458">
        <f>MAX(0,B456-B457)</f>
        <v/>
      </c>
    </row>
    <row r="459">
      <c r="A459" t="inlineStr">
        <is>
          <t>Global Critical Damage Bonus % (unused)</t>
        </is>
      </c>
      <c r="B459" t="n">
        <v>0</v>
      </c>
    </row>
    <row r="460">
      <c r="A460" t="inlineStr">
        <is>
          <t>Global Final Damage Bonus % (Serpent Scale + Crossbones + Time Leap + Speed Infusion)</t>
        </is>
      </c>
      <c r="B460">
        <f>((C434=TRUE)*F434*((10+IF(Inputs!$B$3&gt;=94,5,0))/((10+IF(Inputs!$B$3&gt;=94,5,0))+5/(B458*(1+IF(Inputs!$B$3&gt;=104,1,0))))))+((C443=TRUE)*F443)+((C444=TRUE)*F444)+((Inputs!$B$3&gt;=110)*20*(B456-1))</f>
        <v/>
      </c>
    </row>
    <row r="462">
      <c r="A462" s="5" t="inlineStr">
        <is>
          <t>TOTAL DPS</t>
        </is>
      </c>
      <c r="B462" s="5">
        <f>SUM(O431:O451)</f>
        <v/>
      </c>
    </row>
    <row r="465">
      <c r="A465" s="5" t="inlineStr">
        <is>
          <t>Stat: ATTACK_SPEED % (diminishing returns, factor 150)</t>
        </is>
      </c>
    </row>
    <row r="466">
      <c r="A466" s="8" t="inlineStr">
        <is>
          <t>Key</t>
        </is>
      </c>
      <c r="B466" s="8" t="inlineStr">
        <is>
          <t>Name</t>
        </is>
      </c>
      <c r="C466" s="8" t="inlineStr">
        <is>
          <t>Unlocked</t>
        </is>
      </c>
      <c r="D466" s="8" t="inlineStr">
        <is>
          <t>InputLevel</t>
        </is>
      </c>
      <c r="E466" s="8" t="inlineStr">
        <is>
          <t>Factor</t>
        </is>
      </c>
      <c r="F466" s="8" t="inlineStr">
        <is>
          <t>CoefficientPercent</t>
        </is>
      </c>
      <c r="G466" s="8" t="inlineStr">
        <is>
          <t>EffectiveHits</t>
        </is>
      </c>
      <c r="H466" s="8" t="inlineStr">
        <is>
          <t>ProcProbability</t>
        </is>
      </c>
      <c r="I466" s="8" t="inlineStr">
        <is>
          <t>MapleHeroMultiplier</t>
        </is>
      </c>
      <c r="J466" s="8" t="inlineStr">
        <is>
          <t>BaseDamage</t>
        </is>
      </c>
      <c r="K466" s="8" t="inlineStr">
        <is>
          <t>BaseHitDamage</t>
        </is>
      </c>
      <c r="L466" s="8" t="inlineStr">
        <is>
          <t>NonCritAvg</t>
        </is>
      </c>
      <c r="M466" s="8" t="inlineStr">
        <is>
          <t>CritAvg</t>
        </is>
      </c>
      <c r="N466" s="8" t="inlineStr">
        <is>
          <t>ExpectedDamage(perHit)</t>
        </is>
      </c>
      <c r="O466" s="8" t="inlineStr">
        <is>
          <t>DPS</t>
        </is>
      </c>
      <c r="P466" s="8" t="inlineStr">
        <is>
          <t>% of Total</t>
        </is>
      </c>
      <c r="Q466" s="8" t="inlineStr">
        <is>
          <t>InvCooldown</t>
        </is>
      </c>
      <c r="R466" s="8" t="inlineStr">
        <is>
          <t>CastsInFight</t>
        </is>
      </c>
      <c r="S466" s="8" t="inlineStr">
        <is>
          <t>HitRate(perSec)</t>
        </is>
      </c>
      <c r="U466" t="inlineStr">
        <is>
          <t>helpers</t>
        </is>
      </c>
    </row>
    <row r="467">
      <c r="A467">
        <f>Skills!A2</f>
        <v/>
      </c>
      <c r="B467">
        <f>Skills!B2</f>
        <v/>
      </c>
      <c r="C467">
        <f>Inputs!$B$3&gt;=100</f>
        <v/>
      </c>
      <c r="D467" t="inlineStr"/>
      <c r="E467" t="inlineStr"/>
      <c r="F467">
        <f>U469+Skills!O2</f>
        <v/>
      </c>
      <c r="G467">
        <f>Skills!G2*IF(Skills!H2&gt;0,Skills!I2/Skills!H2,1)</f>
        <v/>
      </c>
      <c r="H467">
        <f>1-(1-Skills!J2/100)^Skills!K2</f>
        <v/>
      </c>
      <c r="I467" t="inlineStr">
        <is>
          <t>1</t>
        </is>
      </c>
      <c r="J467">
        <f>(Inputs!$B$5*(1+Inputs!$B$6/100))*(F467/100)</f>
        <v/>
      </c>
      <c r="K467">
        <f>J467*(1+((Inputs!$B$11*(1+Inputs!$B$12/100))*0.01+Inputs!$B$13*0.0025)/100)*(1+Inputs!$B$14/100)*(1+IF(Inputs!$B$4="pvp",0,(1-Summary!$B$55)*(Inputs!$B$19+0+Skills!P2)+Summary!$B$55*(Inputs!$B$20+Skills!Q2))/100)*(1+Inputs!$B$15/100)*(5000/(6000+Inputs!$B$7*(1-(Inputs!$B$18+0)/100)))*(1+(Inputs!$B$23+((C487=TRUE)*(F487-Calc!F22))+B496)/100)*(1+(IF(Skills!A2="HOOK_BOMBER",Inputs!$B$16+((C486=TRUE)*(F486-Calc!F21)),Inputs!$B$17+0))/100)*((1+(((C478=TRUE)*F478)+((C484=TRUE)*(F484-Calc!F19)))/100)*I467)</f>
        <v/>
      </c>
      <c r="L467">
        <f>K467*(MIN(Inputs!$B$21+((C485=TRUE)*(F485-Calc!F20)),Inputs!$B$22+0)/100+(Inputs!$B$22+0)/100)/2</f>
        <v/>
      </c>
      <c r="M467">
        <f>L467*(1+(Inputs!$B$9+0+B495)/100)</f>
        <v/>
      </c>
      <c r="N467">
        <f>L467*(1-MIN((Inputs!$B$8+((C481=TRUE)*(F481-Calc!F16))+B490),100)/100)+M467*(MIN((Inputs!$B$8+((C481=TRUE)*(F481-Calc!F16))+B490),100)/100)</f>
        <v/>
      </c>
      <c r="O467">
        <f>IF(C467,Skills!G2*N467*B494*IF(Inputs!$B$4="pvp",1,(1-Summary!$B$55)*(1)+Summary!$B$55*(MIN((6+Inputs!$B$32),Inputs!$B$37))),0)</f>
        <v/>
      </c>
      <c r="P467">
        <f>IF(B498=0,0,O467/B498)</f>
        <v/>
      </c>
      <c r="Q467" t="n">
        <v>0</v>
      </c>
      <c r="R467" t="n">
        <v>0</v>
      </c>
      <c r="S467">
        <f>IFERROR(O467/N467,0)</f>
        <v/>
      </c>
      <c r="U467">
        <f>MAX(0,(Inputs!$B$3-100)*3)+Inputs!$B$27+Inputs!$B$28</f>
        <v/>
      </c>
    </row>
    <row r="468">
      <c r="A468">
        <f>Skills!A3</f>
        <v/>
      </c>
      <c r="B468">
        <f>Skills!B3</f>
        <v/>
      </c>
      <c r="C468">
        <f>Inputs!$B$3&gt;=35</f>
        <v/>
      </c>
      <c r="D468">
        <f>IF(Skills!C3=1,60+Inputs!$B$24+Inputs!$B$28,IF(Skills!C3=2,90+Inputs!$B$25+Inputs!$B$28,IF(Skills!C3=3,120+Inputs!$B$26+Inputs!$B$28,MAX(0,(Inputs!$B$3-100)*3)+Inputs!$B$27+Inputs!$B$28)))</f>
        <v/>
      </c>
      <c r="E468">
        <f>INDEX(FactorTable!$B$2:$Y$301, MATCH(ROUND(MIN(300,MAX(1,D468)),0), FactorTable!$A$2:$A$301,0), Skills!M3+1)</f>
        <v/>
      </c>
      <c r="F468">
        <f>IF(Skills!N3=TRUE,(Skills!L3/10)*(E468/1000),Skills!L3/10)+Skills!O3</f>
        <v/>
      </c>
      <c r="G468">
        <f>Skills!G3*IF(Skills!H3&gt;0,Skills!I3/Skills!H3,1)</f>
        <v/>
      </c>
      <c r="H468">
        <f>1-(1-Skills!J3/100)^Skills!K3</f>
        <v/>
      </c>
      <c r="I468" t="inlineStr">
        <is>
          <t>1</t>
        </is>
      </c>
      <c r="J468">
        <f>(Inputs!$B$5*(1+Inputs!$B$6/100))*(F468/100)</f>
        <v/>
      </c>
      <c r="K468">
        <f>J468*(1+((Inputs!$B$11*(1+Inputs!$B$12/100))*0.01+Inputs!$B$13*0.0025)/100)*(1+Inputs!$B$14/100)*(1+IF(Inputs!$B$4="pvp",0,(1-Summary!$B$55)*(Inputs!$B$19+0+Skills!P3)+Summary!$B$55*(Inputs!$B$20+Skills!Q3))/100)*(1+Inputs!$B$15/100)*(5000/(6000+Inputs!$B$7*(1-(Inputs!$B$18+0)/100)))*(1+(Inputs!$B$23+((C487=TRUE)*(F487-Calc!F22))+B496)/100)*(1+(IF(Skills!A3="HOOK_BOMBER",Inputs!$B$16+((C486=TRUE)*(F486-Calc!F21)),Inputs!$B$17+0))/100)*((1+(((C478=TRUE)*F478)+((C484=TRUE)*(F484-Calc!F19)))/100)*I468)</f>
        <v/>
      </c>
      <c r="L468">
        <f>K468*(MIN(Inputs!$B$21+((C485=TRUE)*(F485-Calc!F20)),Inputs!$B$22+0)/100+(Inputs!$B$22+0)/100)/2</f>
        <v/>
      </c>
      <c r="M468">
        <f>L468*(1+(Inputs!$B$9+0+B495)/100)</f>
        <v/>
      </c>
      <c r="N468">
        <f>L468*(1-MIN((Inputs!$B$8+((C481=TRUE)*(F481-Calc!F16))+B490),100)/100)+M468*(MIN((Inputs!$B$8+((C481=TRUE)*(F481-Calc!F16))+B490),100)/100)</f>
        <v/>
      </c>
      <c r="O468">
        <f>IF(C468,Skills!G3*H468*N468*B494*IF(Inputs!$B$4="pvp",1,(1-Summary!$B$55)*(1)+Summary!$B$55*(MIN(Skills!R3,Inputs!$B$37))),0)</f>
        <v/>
      </c>
      <c r="P468">
        <f>IF(B498=0,0,O468/B498)</f>
        <v/>
      </c>
      <c r="Q468" t="n">
        <v>0</v>
      </c>
      <c r="R468" t="n">
        <v>0</v>
      </c>
      <c r="S468">
        <f>IFERROR(O468/N468,0)</f>
        <v/>
      </c>
      <c r="U468">
        <f>INDEX(FactorTable!$B$2:$Y$301, MATCH(ROUND(MIN(300,MAX(1,U467)),0), FactorTable!$A$2:$A$301,0), 22)</f>
        <v/>
      </c>
    </row>
    <row r="469">
      <c r="A469">
        <f>Skills!A4</f>
        <v/>
      </c>
      <c r="B469">
        <f>Skills!B4</f>
        <v/>
      </c>
      <c r="C469">
        <f>Inputs!$B$3&gt;=60</f>
        <v/>
      </c>
      <c r="D469">
        <f>IF(Skills!C4=1,60+Inputs!$B$24+Inputs!$B$28,IF(Skills!C4=2,90+Inputs!$B$25+Inputs!$B$28,IF(Skills!C4=3,120+Inputs!$B$26+Inputs!$B$28,MAX(0,(Inputs!$B$3-100)*3)+Inputs!$B$27+Inputs!$B$28)))</f>
        <v/>
      </c>
      <c r="E469">
        <f>INDEX(FactorTable!$B$2:$Y$301, MATCH(ROUND(MIN(300,MAX(1,D469)),0), FactorTable!$A$2:$A$301,0), Skills!M4+1)</f>
        <v/>
      </c>
      <c r="F469">
        <f>IF(Skills!N4=TRUE,(Skills!L4/10)*(E469/1000),Skills!L4/10)+Skills!O4</f>
        <v/>
      </c>
      <c r="G469">
        <f>Skills!G4*IF(Skills!H4&gt;0,Skills!I4/Skills!H4,1)</f>
        <v/>
      </c>
      <c r="H469">
        <f>1-(1-Skills!J4/100)^Skills!K4</f>
        <v/>
      </c>
      <c r="I469" t="inlineStr">
        <is>
          <t>1</t>
        </is>
      </c>
      <c r="J469">
        <f>(Inputs!$B$5*(1+Inputs!$B$6/100))*(F469/100)</f>
        <v/>
      </c>
      <c r="K469">
        <f>J469*(1+((Inputs!$B$11*(1+Inputs!$B$12/100))*0.01+Inputs!$B$13*0.0025)/100)*(1+Inputs!$B$14/100)*(1+IF(Inputs!$B$4="pvp",0,(1-Summary!$B$55)*(Inputs!$B$19+0+Skills!P4)+Summary!$B$55*(Inputs!$B$20+Skills!Q4))/100)*(1+Inputs!$B$15/100)*(5000/(6000+Inputs!$B$7*(1-(Inputs!$B$18+0)/100)))*(1+(Inputs!$B$23+((C487=TRUE)*(F487-Calc!F22))+B496)/100)*(1+1.0*IF(C477=TRUE,F477,0)/100)*(1+(IF(Skills!A4="HOOK_BOMBER",Inputs!$B$16+((C486=TRUE)*(F486-Calc!F21)),Inputs!$B$17+0))/100)*((1+(((C478=TRUE)*F478)+((C484=TRUE)*(F484-Calc!F19)))/100)*I469)</f>
        <v/>
      </c>
      <c r="L469">
        <f>K469*(MIN(Inputs!$B$21+((C485=TRUE)*(F485-Calc!F20)),Inputs!$B$22+0)/100+(Inputs!$B$22+0)/100)/2</f>
        <v/>
      </c>
      <c r="M469">
        <f>L469*(1+(Inputs!$B$9+0+B495)/100)</f>
        <v/>
      </c>
      <c r="N469">
        <f>L469*(1-MIN((Inputs!$B$8+((C481=TRUE)*(F481-Calc!F16))+B490),100)/100)+M469*(MIN((Inputs!$B$8+((C481=TRUE)*(F481-Calc!F16))+B490),100)/100)</f>
        <v/>
      </c>
      <c r="O469">
        <f>IF(C469,Skills!G4*H469*N469*B494*IF(Inputs!$B$4="pvp",1,(1-Summary!$B$55)*(1)+Summary!$B$55*(MIN(Skills!R4,Inputs!$B$37))),0)</f>
        <v/>
      </c>
      <c r="P469">
        <f>IF(B498=0,0,O469/B498)</f>
        <v/>
      </c>
      <c r="Q469" t="n">
        <v>0</v>
      </c>
      <c r="R469" t="n">
        <v>0</v>
      </c>
      <c r="S469">
        <f>IFERROR(O469/N469,0)</f>
        <v/>
      </c>
      <c r="U469">
        <f>290*U468/1000</f>
        <v/>
      </c>
    </row>
    <row r="470">
      <c r="A470">
        <f>Skills!A5</f>
        <v/>
      </c>
      <c r="B470">
        <f>Skills!B5</f>
        <v/>
      </c>
      <c r="C470">
        <f>Inputs!$B$3&gt;=60</f>
        <v/>
      </c>
      <c r="D470">
        <f>IF(Skills!C5=1,60+Inputs!$B$24+Inputs!$B$28,IF(Skills!C5=2,90+Inputs!$B$25+Inputs!$B$28,IF(Skills!C5=3,120+Inputs!$B$26+Inputs!$B$28,MAX(0,(Inputs!$B$3-100)*3)+Inputs!$B$27+Inputs!$B$28)))</f>
        <v/>
      </c>
      <c r="E470">
        <f>INDEX(FactorTable!$B$2:$Y$301, MATCH(ROUND(MIN(300,MAX(1,D470)),0), FactorTable!$A$2:$A$301,0), Skills!M5+1)</f>
        <v/>
      </c>
      <c r="F470">
        <f>IF(Skills!N5=TRUE,(Skills!L5/10)*(E470/1000),Skills!L5/10)+Skills!O5</f>
        <v/>
      </c>
      <c r="G470">
        <f>Skills!G5*IF(Skills!H5&gt;0,Skills!I5/Skills!H5,1)</f>
        <v/>
      </c>
      <c r="H470">
        <f>1-(1-Skills!J5/100)^Skills!K5</f>
        <v/>
      </c>
      <c r="I470" t="inlineStr">
        <is>
          <t>1</t>
        </is>
      </c>
      <c r="J470" t="inlineStr"/>
      <c r="K470" t="inlineStr"/>
      <c r="L470" t="inlineStr"/>
      <c r="M470" t="inlineStr"/>
      <c r="N470" t="inlineStr"/>
      <c r="O470" t="n">
        <v>0</v>
      </c>
      <c r="P470">
        <f>IF(B498=0,0,O470/B498)</f>
        <v/>
      </c>
      <c r="Q470" t="n">
        <v>0</v>
      </c>
      <c r="R470" t="n">
        <v>0</v>
      </c>
      <c r="S470">
        <f>IFERROR(O470/N470,0)</f>
        <v/>
      </c>
    </row>
    <row r="471">
      <c r="A471">
        <f>Skills!A6</f>
        <v/>
      </c>
      <c r="B471">
        <f>Skills!B6</f>
        <v/>
      </c>
      <c r="C471">
        <f>Inputs!$B$3&gt;=63</f>
        <v/>
      </c>
      <c r="D471">
        <f>IF(Skills!C6=1,60+Inputs!$B$24+Inputs!$B$28,IF(Skills!C6=2,90+Inputs!$B$25+Inputs!$B$28,IF(Skills!C6=3,120+Inputs!$B$26+Inputs!$B$28,MAX(0,(Inputs!$B$3-100)*3)+Inputs!$B$27+Inputs!$B$28)))</f>
        <v/>
      </c>
      <c r="E471">
        <f>INDEX(FactorTable!$B$2:$Y$301, MATCH(ROUND(MIN(300,MAX(1,D471)),0), FactorTable!$A$2:$A$301,0), Skills!M6+1)</f>
        <v/>
      </c>
      <c r="F471">
        <f>IF(Skills!N6=TRUE,(Skills!L6/10)*(E471/1000),Skills!L6/10)+Skills!O6</f>
        <v/>
      </c>
      <c r="G471">
        <f>Skills!G6*IF(Skills!H6&gt;0,Skills!I6/Skills!H6,1)</f>
        <v/>
      </c>
      <c r="H471">
        <f>1-(1-Skills!J6/100)^Skills!K6</f>
        <v/>
      </c>
      <c r="I471" t="inlineStr">
        <is>
          <t>1</t>
        </is>
      </c>
      <c r="J471">
        <f>(Inputs!$B$5*(1+Inputs!$B$6/100))*(F471/100)</f>
        <v/>
      </c>
      <c r="K471">
        <f>J471*(1+((Inputs!$B$11*(1+Inputs!$B$12/100))*0.01+Inputs!$B$13*0.0025)/100)*(1+Inputs!$B$14/100)*(1+IF(Inputs!$B$4="pvp",0,(1-Summary!$B$55)*(Inputs!$B$19+0+Skills!P6)+Summary!$B$55*(Inputs!$B$20+Skills!Q6))/100)*(1+Inputs!$B$15/100)*(5000/(6000+Inputs!$B$7*(1-(Inputs!$B$18+0)/100)))*(1+(Inputs!$B$23+((C487=TRUE)*(F487-Calc!F22))+B496)/100)*(1+(IF(Skills!A6="HOOK_BOMBER",Inputs!$B$16+((C486=TRUE)*(F486-Calc!F21)),Inputs!$B$17+0))/100)*((1+(((C478=TRUE)*F478)+((C484=TRUE)*(F484-Calc!F19)))/100)*I471)</f>
        <v/>
      </c>
      <c r="L471">
        <f>K471*(MIN(Inputs!$B$21+((C485=TRUE)*(F485-Calc!F20)),Inputs!$B$22+0)/100+(Inputs!$B$22+0)/100)/2</f>
        <v/>
      </c>
      <c r="M471">
        <f>L471*(1+(Inputs!$B$9+0+B495)/100)</f>
        <v/>
      </c>
      <c r="N471">
        <f>L471*(1-MIN((Inputs!$B$8+((C481=TRUE)*(F481-Calc!F16))+B490),100)/100)+M471*(MIN((Inputs!$B$8+((C481=TRUE)*(F481-Calc!F16))+B490),100)/100)</f>
        <v/>
      </c>
      <c r="O471">
        <f>IF(C471,H471*N471*IF(AND(Inputs!$B$4&lt;&gt;"pvp",Inputs!$B$35&gt;0),((Skills!G6*((R471-1)*IF(Skills!H6&gt;0,Skills!I6/Skills!H6,1)+IF(Skills!H6&gt;0,MIN(Skills!I6,MAX(0,Inputs!$B$35-((R471-1)*IF(Inputs!$B$4="pvp",15,MAX(0.1,Skills!D6-IF(Skills!E6=TRUE,Inputs!$B$31,0))))))/Skills!H6,1)))/Inputs!$B$35),G471*Q471)*IF(Inputs!$B$4="pvp",1,(1-Summary!$B$55)*(1)+Summary!$B$55*(MIN(Skills!R6,Inputs!$B$37))),0)</f>
        <v/>
      </c>
      <c r="P471">
        <f>IF(B498=0,0,O471/B498)</f>
        <v/>
      </c>
      <c r="Q471">
        <f>IFERROR(1/IF(Inputs!$B$4="pvp",15,MAX(0.1,Skills!D6-IF(Skills!E6=TRUE,Inputs!$B$31,0))),0)</f>
        <v/>
      </c>
      <c r="R471">
        <f>IF(AND(Inputs!$B$4&lt;&gt;"pvp",Inputs!$B$35&gt;0),(INT(Inputs!$B$35/IF(Inputs!$B$4="pvp",15,MAX(0.1,Skills!D6-IF(Skills!E6=TRUE,Inputs!$B$31,0))))+1),0)</f>
        <v/>
      </c>
      <c r="S471">
        <f>IFERROR(O471/N471,0)</f>
        <v/>
      </c>
    </row>
    <row r="472">
      <c r="A472">
        <f>Skills!A7</f>
        <v/>
      </c>
      <c r="B472">
        <f>Skills!B7</f>
        <v/>
      </c>
      <c r="C472">
        <f>Inputs!$B$3&gt;=100</f>
        <v/>
      </c>
      <c r="D472">
        <f>IF(Skills!C7=1,60+Inputs!$B$24+Inputs!$B$28,IF(Skills!C7=2,90+Inputs!$B$25+Inputs!$B$28,IF(Skills!C7=3,120+Inputs!$B$26+Inputs!$B$28,MAX(0,(Inputs!$B$3-100)*3)+Inputs!$B$27+Inputs!$B$28)))</f>
        <v/>
      </c>
      <c r="E472">
        <f>INDEX(FactorTable!$B$2:$Y$301, MATCH(ROUND(MIN(300,MAX(1,D472)),0), FactorTable!$A$2:$A$301,0), Skills!M7+1)</f>
        <v/>
      </c>
      <c r="F472">
        <f>IF(Skills!N7=TRUE,(Skills!L7/10)*(E472/1000),Skills!L7/10)+Skills!O7</f>
        <v/>
      </c>
      <c r="G472">
        <f>Skills!G7*IF(Skills!H7&gt;0,Skills!I7/Skills!H7,1)</f>
        <v/>
      </c>
      <c r="H472">
        <f>1-(1-Skills!J7/100)^Skills!K7</f>
        <v/>
      </c>
      <c r="I472" t="inlineStr">
        <is>
          <t>1</t>
        </is>
      </c>
      <c r="J472">
        <f>(Inputs!$B$5*(1+Inputs!$B$6/100))*(F472/100)</f>
        <v/>
      </c>
      <c r="K472">
        <f>J472*(1+((Inputs!$B$11*(1+Inputs!$B$12/100))*0.01+Inputs!$B$13*0.0025)/100)*(1+Inputs!$B$14/100)*(1+IF(Inputs!$B$4="pvp",0,(1-Summary!$B$55)*(Inputs!$B$19+0+Skills!P7)+Summary!$B$55*(Inputs!$B$20+Skills!Q7))/100)*(1+Inputs!$B$15/100)*(5000/(6000+Inputs!$B$7*(1-(Inputs!$B$18+0)/100)))*(1+(Inputs!$B$23+((C487=TRUE)*(F487-Calc!F22))+B496)/100)*(1+(IF(Skills!A7="HOOK_BOMBER",Inputs!$B$16+((C486=TRUE)*(F486-Calc!F21)),Inputs!$B$17+0))/100)*((1+(((C478=TRUE)*F478)+((C484=TRUE)*(F484-Calc!F19)))/100)*I472)</f>
        <v/>
      </c>
      <c r="L472">
        <f>K472*(MIN(Inputs!$B$21+((C485=TRUE)*(F485-Calc!F20)),Inputs!$B$22+0)/100+(Inputs!$B$22+0)/100)/2</f>
        <v/>
      </c>
      <c r="M472">
        <f>L472*(1+(Inputs!$B$9+0+B495)/100)</f>
        <v/>
      </c>
      <c r="N472">
        <f>L472*(1-MIN((Inputs!$B$8+((C481=TRUE)*(F481-Calc!F16))+B490),100)/100)+M472*(MIN((Inputs!$B$8+((C481=TRUE)*(F481-Calc!F16))+B490),100)/100)</f>
        <v/>
      </c>
      <c r="O472">
        <f>IF(C472,H472*N472*IF(AND(Inputs!$B$4&lt;&gt;"pvp",Inputs!$B$35&gt;0),((Skills!G7*((R472-1)*IF(Skills!H7&gt;0,Skills!I7/Skills!H7,1)+IF(Skills!H7&gt;0,MIN(Skills!I7,MAX(0,Inputs!$B$35-((R472-1)*IF(Inputs!$B$4="pvp",15,MAX(0.1,Skills!D7-IF(Skills!E7=TRUE,Inputs!$B$31,0))))))/Skills!H7,1)))/Inputs!$B$35),G472*Q472)*IF(Inputs!$B$4="pvp",1,(1-Summary!$B$55)*(1)+Summary!$B$55*(MIN(Skills!R7,Inputs!$B$37))),0)</f>
        <v/>
      </c>
      <c r="P472">
        <f>IF(B498=0,0,O472/B498)</f>
        <v/>
      </c>
      <c r="Q472">
        <f>IFERROR(1/IF(Inputs!$B$4="pvp",15,MAX(0.1,Skills!D7-IF(Skills!E7=TRUE,Inputs!$B$31,0))),0)</f>
        <v/>
      </c>
      <c r="R472">
        <f>IF(AND(Inputs!$B$4&lt;&gt;"pvp",Inputs!$B$35&gt;0),(INT(Inputs!$B$35/IF(Inputs!$B$4="pvp",15,MAX(0.1,Skills!D7-IF(Skills!E7=TRUE,Inputs!$B$31,0))))+1),0)</f>
        <v/>
      </c>
      <c r="S472">
        <f>IFERROR(O472/N472,0)</f>
        <v/>
      </c>
    </row>
    <row r="473">
      <c r="A473">
        <f>Skills!A8</f>
        <v/>
      </c>
      <c r="B473">
        <f>Skills!B8</f>
        <v/>
      </c>
      <c r="C473">
        <f>Inputs!$B$3&gt;=110</f>
        <v/>
      </c>
      <c r="D473">
        <f>IF(Skills!C8=1,60+Inputs!$B$24+Inputs!$B$28,IF(Skills!C8=2,90+Inputs!$B$25+Inputs!$B$28,IF(Skills!C8=3,120+Inputs!$B$26+Inputs!$B$28,MAX(0,(Inputs!$B$3-100)*3)+Inputs!$B$27+Inputs!$B$28)))</f>
        <v/>
      </c>
      <c r="E473">
        <f>INDEX(FactorTable!$B$2:$Y$301, MATCH(ROUND(MIN(300,MAX(1,D473)),0), FactorTable!$A$2:$A$301,0), Skills!M8+1)</f>
        <v/>
      </c>
      <c r="F473">
        <f>IF(Skills!N8=TRUE,(Skills!L8/10)*(E473/1000),Skills!L8/10)+Skills!O8</f>
        <v/>
      </c>
      <c r="G473">
        <f>Skills!G8*IF(Skills!H8&gt;0,Skills!I8/Skills!H8,1)</f>
        <v/>
      </c>
      <c r="H473">
        <f>1-(1-Skills!J8/100)^Skills!K8</f>
        <v/>
      </c>
      <c r="I473" t="inlineStr">
        <is>
          <t>1</t>
        </is>
      </c>
      <c r="J473">
        <f>(Inputs!$B$5*(1+Inputs!$B$6/100))*(F473/100)</f>
        <v/>
      </c>
      <c r="K473">
        <f>J473*(1+((Inputs!$B$11*(1+Inputs!$B$12/100))*0.01+Inputs!$B$13*0.0025)/100)*(1+Inputs!$B$14/100)*(1+IF(Inputs!$B$4="pvp",0,(1-Summary!$B$55)*(Inputs!$B$19+0+Skills!P8)+Summary!$B$55*(Inputs!$B$20+Skills!Q8))/100)*(1+Inputs!$B$15/100)*(5000/(6000+Inputs!$B$7*(1-(Inputs!$B$18+0)/100)))*(1+(Inputs!$B$23+((C487=TRUE)*(F487-Calc!F22))+B496)/100)*(1+(IF(Skills!A8="HOOK_BOMBER",Inputs!$B$16+((C486=TRUE)*(F486-Calc!F21)),Inputs!$B$17+0))/100)*((1+(((C478=TRUE)*F478)+((C484=TRUE)*(F484-Calc!F19)))/100)*I473)</f>
        <v/>
      </c>
      <c r="L473">
        <f>K473*(MIN(Inputs!$B$21+((C485=TRUE)*(F485-Calc!F20)),Inputs!$B$22+0)/100+(Inputs!$B$22+0)/100)/2</f>
        <v/>
      </c>
      <c r="M473">
        <f>L473*(1+(Inputs!$B$9+0+B495)/100)</f>
        <v/>
      </c>
      <c r="N473">
        <f>L473*(1-MIN((Inputs!$B$8+((C481=TRUE)*(F481-Calc!F16))+B490),100)/100)+M473*(MIN((Inputs!$B$8+((C481=TRUE)*(F481-Calc!F16))+B490),100)/100)</f>
        <v/>
      </c>
      <c r="O473">
        <f>IF(C473,H473*N473*IF(AND(Inputs!$B$4&lt;&gt;"pvp",Inputs!$B$35&gt;0),((Skills!G8*((R473-1)*IF(Skills!H8&gt;0,Skills!I8/Skills!H8,1)+IF(Skills!H8&gt;0,MIN(Skills!I8,MAX(0,Inputs!$B$35-((R473-1)*IF(Inputs!$B$4="pvp",15,MAX(0.1,Skills!D8-IF(Skills!E8=TRUE,Inputs!$B$31,0))))))/Skills!H8,1)))/Inputs!$B$35),G473*Q473)*IF(Inputs!$B$4="pvp",1,(1-Summary!$B$55)*(1)+Summary!$B$55*(MIN(Skills!R8,Inputs!$B$37))),0)</f>
        <v/>
      </c>
      <c r="P473">
        <f>IF(B498=0,0,O473/B498)</f>
        <v/>
      </c>
      <c r="Q473">
        <f>IFERROR(1/IF(Inputs!$B$4="pvp",15,MAX(0.1,Skills!D8-IF(Skills!E8=TRUE,Inputs!$B$31,0))),0)</f>
        <v/>
      </c>
      <c r="R473">
        <f>IF(AND(Inputs!$B$4&lt;&gt;"pvp",Inputs!$B$35&gt;0),(INT(Inputs!$B$35/IF(Inputs!$B$4="pvp",15,MAX(0.1,Skills!D8-IF(Skills!E8=TRUE,Inputs!$B$31,0))))+1),0)</f>
        <v/>
      </c>
      <c r="S473">
        <f>IFERROR(O473/N473,0)</f>
        <v/>
      </c>
    </row>
    <row r="474">
      <c r="A474">
        <f>Skills!A9</f>
        <v/>
      </c>
      <c r="B474">
        <f>Skills!B9</f>
        <v/>
      </c>
      <c r="C474">
        <f>Inputs!$B$3&gt;=110</f>
        <v/>
      </c>
      <c r="D474">
        <f>IF(Skills!C9=1,60+Inputs!$B$24+Inputs!$B$28,IF(Skills!C9=2,90+Inputs!$B$25+Inputs!$B$28,IF(Skills!C9=3,120+Inputs!$B$26+Inputs!$B$28,MAX(0,(Inputs!$B$3-100)*3)+Inputs!$B$27+Inputs!$B$28)))</f>
        <v/>
      </c>
      <c r="E474">
        <f>INDEX(FactorTable!$B$2:$Y$301, MATCH(ROUND(MIN(300,MAX(1,D474)),0), FactorTable!$A$2:$A$301,0), Skills!M9+1)</f>
        <v/>
      </c>
      <c r="F474">
        <f>IF(Skills!N9=TRUE,(Skills!L9/10)*(E474/1000),Skills!L9/10)+Skills!O9</f>
        <v/>
      </c>
      <c r="G474">
        <f>Skills!G9*IF(Skills!H9&gt;0,Skills!I9/Skills!H9,1)</f>
        <v/>
      </c>
      <c r="H474">
        <f>1-(1-Skills!J9/100)^Skills!K9</f>
        <v/>
      </c>
      <c r="I474" t="inlineStr">
        <is>
          <t>1</t>
        </is>
      </c>
      <c r="J474">
        <f>(Inputs!$B$5*(1+Inputs!$B$6/100))*(F474/100)</f>
        <v/>
      </c>
      <c r="K474">
        <f>J474*(1+((Inputs!$B$11*(1+Inputs!$B$12/100))*0.01+Inputs!$B$13*0.0025)/100)*(1+Inputs!$B$14/100)*(1+IF(Inputs!$B$4="pvp",0,(1-Summary!$B$55)*(Inputs!$B$19+0+Skills!P9)+Summary!$B$55*(Inputs!$B$20+Skills!Q9))/100)*(1+Inputs!$B$15/100)*(5000/(6000+Inputs!$B$7*(1-(Inputs!$B$18+0)/100)))*(1+(Inputs!$B$23+((C487=TRUE)*(F487-Calc!F22))+B496)/100)*(1+(IF(Skills!A9="HOOK_BOMBER",Inputs!$B$16+((C486=TRUE)*(F486-Calc!F21)),Inputs!$B$17+0))/100)*((1+(((C478=TRUE)*F478)+((C484=TRUE)*(F484-Calc!F19)))/100)*I474)</f>
        <v/>
      </c>
      <c r="L474">
        <f>K474*(MIN(Inputs!$B$21+((C485=TRUE)*(F485-Calc!F20)),Inputs!$B$22+0)/100+(Inputs!$B$22+0)/100)/2</f>
        <v/>
      </c>
      <c r="M474">
        <f>L474*(1+(Inputs!$B$9+0+B495)/100)</f>
        <v/>
      </c>
      <c r="N474">
        <f>L474*(1-MIN((Inputs!$B$8+((C481=TRUE)*(F481-Calc!F16))+B490),100)/100)+M474*(MIN((Inputs!$B$8+((C481=TRUE)*(F481-Calc!F16))+B490),100)/100)</f>
        <v/>
      </c>
      <c r="O474">
        <f>IF(C474,H474*N474*IF(AND(Inputs!$B$4&lt;&gt;"pvp",Inputs!$B$35&gt;0),((Skills!G9*((R474-1)*IF(Skills!H9&gt;0,Skills!I9/Skills!H9,1)+IF(Skills!H9&gt;0,MIN(Skills!I9,MAX(0,Inputs!$B$35-((R474-1)*IF(Inputs!$B$4="pvp",15,MAX(0.1,Skills!D9-IF(Skills!E9=TRUE,Inputs!$B$31,0))))))/Skills!H9,1)))/Inputs!$B$35),G474*Q474)*IF(Inputs!$B$4="pvp",1,(1-Summary!$B$55)*(1)+Summary!$B$55*(MIN(Skills!R9,Inputs!$B$37))),0)</f>
        <v/>
      </c>
      <c r="P474">
        <f>IF(B498=0,0,O474/B498)</f>
        <v/>
      </c>
      <c r="Q474">
        <f>IFERROR(1/IF(Inputs!$B$4="pvp",15,MAX(0.1,Skills!D9-IF(Skills!E9=TRUE,Inputs!$B$31,0))),0)</f>
        <v/>
      </c>
      <c r="R474">
        <f>IF(AND(Inputs!$B$4&lt;&gt;"pvp",Inputs!$B$35&gt;0),(INT(Inputs!$B$35/IF(Inputs!$B$4="pvp",15,MAX(0.1,Skills!D9-IF(Skills!E9=TRUE,Inputs!$B$31,0))))+1),0)</f>
        <v/>
      </c>
      <c r="S474">
        <f>IFERROR(O474/N474,0)</f>
        <v/>
      </c>
    </row>
    <row r="475">
      <c r="A475">
        <f>Skills!A10</f>
        <v/>
      </c>
      <c r="B475">
        <f>Skills!B10</f>
        <v/>
      </c>
      <c r="C475">
        <f>Inputs!$B$3&gt;=103</f>
        <v/>
      </c>
      <c r="D475">
        <f>IF(Skills!C10=1,60+Inputs!$B$24+Inputs!$B$28,IF(Skills!C10=2,90+Inputs!$B$25+Inputs!$B$28,IF(Skills!C10=3,120+Inputs!$B$26+Inputs!$B$28,MAX(0,(Inputs!$B$3-100)*3)+Inputs!$B$27+Inputs!$B$28)))</f>
        <v/>
      </c>
      <c r="E475">
        <f>INDEX(FactorTable!$B$2:$Y$301, MATCH(ROUND(MIN(300,MAX(1,D475)),0), FactorTable!$A$2:$A$301,0), Skills!M10+1)</f>
        <v/>
      </c>
      <c r="F475">
        <f>IF(Skills!N10=TRUE,(Skills!L10/10)*(E475/1000),Skills!L10/10)+Skills!O10</f>
        <v/>
      </c>
      <c r="G475">
        <f>Skills!G10*IF(Skills!H10&gt;0,Skills!I10/Skills!H10,1)</f>
        <v/>
      </c>
      <c r="H475">
        <f>1-(1-Skills!J10/100)^Skills!K10</f>
        <v/>
      </c>
      <c r="I475" t="inlineStr">
        <is>
          <t>1</t>
        </is>
      </c>
      <c r="J475">
        <f>(Inputs!$B$5*(1+Inputs!$B$6/100))*(F475/100)</f>
        <v/>
      </c>
      <c r="K475">
        <f>J475*(1+((Inputs!$B$11*(1+Inputs!$B$12/100))*0.01+Inputs!$B$13*0.0025)/100)*(1+Inputs!$B$14/100)*(1+IF(Inputs!$B$4="pvp",0,(1-Summary!$B$55)*(Inputs!$B$19+0+Skills!P10)+Summary!$B$55*(Inputs!$B$20+Skills!Q10))/100)*(1+Inputs!$B$15/100)*(5000/(6000+Inputs!$B$7*(1-(Inputs!$B$18+0)/100)))*(1+(Inputs!$B$23+((C487=TRUE)*(F487-Calc!F22))+B496)/100)*(1+(IF(Skills!A10="HOOK_BOMBER",Inputs!$B$16+((C486=TRUE)*(F486-Calc!F21)),Inputs!$B$17+0))/100)*((1+(((C478=TRUE)*F478)+((C484=TRUE)*(F484-Calc!F19)))/100)*I475)</f>
        <v/>
      </c>
      <c r="L475">
        <f>K475*(MIN(Inputs!$B$21+((C485=TRUE)*(F485-Calc!F20)),Inputs!$B$22+0)/100+(Inputs!$B$22+0)/100)/2</f>
        <v/>
      </c>
      <c r="M475">
        <f>L475*(1+(Inputs!$B$9+0+B495)/100)</f>
        <v/>
      </c>
      <c r="N475">
        <f>L475*(1-MIN((Inputs!$B$8+((C481=TRUE)*(F481-Calc!F16))+B490),100)/100)+M475*(MIN((Inputs!$B$8+((C481=TRUE)*(F481-Calc!F16))+B490),100)/100)</f>
        <v/>
      </c>
      <c r="O475">
        <f>IF(C475,H475*N475*IF(AND(Inputs!$B$4&lt;&gt;"pvp",Inputs!$B$35&gt;0),((Skills!G10*((R475-1)*IF(Skills!H10&gt;0,Skills!I10/Skills!H10,1)+IF(Skills!H10&gt;0,MIN(Skills!I10,MAX(0,Inputs!$B$35-((R475-1)*IF(Inputs!$B$4="pvp",15,MAX(0.1,Skills!D10-IF(Skills!E10=TRUE,Inputs!$B$31,0))))))/Skills!H10,1)))/Inputs!$B$35),G475*Q475)*IF(Inputs!$B$4="pvp",1,(1-Summary!$B$55)*(1)+Summary!$B$55*(MIN(Skills!R10,Inputs!$B$37))),0)</f>
        <v/>
      </c>
      <c r="P475">
        <f>IF(B498=0,0,O475/B498)</f>
        <v/>
      </c>
      <c r="Q475">
        <f>IFERROR(1/IF(Inputs!$B$4="pvp",15,MAX(0.1,Skills!D10-IF(Skills!E10=TRUE,Inputs!$B$31,0))),0)</f>
        <v/>
      </c>
      <c r="R475">
        <f>IF(AND(Inputs!$B$4&lt;&gt;"pvp",Inputs!$B$35&gt;0),(INT(Inputs!$B$35/IF(Inputs!$B$4="pvp",15,MAX(0.1,Skills!D10-IF(Skills!E10=TRUE,Inputs!$B$31,0))))+1),0)</f>
        <v/>
      </c>
      <c r="S475">
        <f>IFERROR(O475/N475,0)</f>
        <v/>
      </c>
    </row>
    <row r="476">
      <c r="A476">
        <f>Skills!A11</f>
        <v/>
      </c>
      <c r="B476">
        <f>Skills!B11</f>
        <v/>
      </c>
      <c r="C476">
        <f>Inputs!$B$3&gt;=113</f>
        <v/>
      </c>
      <c r="D476">
        <f>IF(Skills!C11=1,60+Inputs!$B$24+Inputs!$B$28,IF(Skills!C11=2,90+Inputs!$B$25+Inputs!$B$28,IF(Skills!C11=3,120+Inputs!$B$26+Inputs!$B$28,MAX(0,(Inputs!$B$3-100)*3)+Inputs!$B$27+Inputs!$B$28)))</f>
        <v/>
      </c>
      <c r="E476">
        <f>INDEX(FactorTable!$B$2:$Y$301, MATCH(ROUND(MIN(300,MAX(1,D476)),0), FactorTable!$A$2:$A$301,0), Skills!M11+1)</f>
        <v/>
      </c>
      <c r="F476">
        <f>IF(Skills!N11=TRUE,(Skills!L11/10)*(E476/1000),Skills!L11/10)+Skills!O11</f>
        <v/>
      </c>
      <c r="G476">
        <f>Skills!G11*IF(Skills!H11&gt;0,Skills!I11/Skills!H11,1)</f>
        <v/>
      </c>
      <c r="H476">
        <f>1-(1-Skills!J11/100)^Skills!K11</f>
        <v/>
      </c>
      <c r="I476" t="inlineStr">
        <is>
          <t>1</t>
        </is>
      </c>
      <c r="J476">
        <f>(Inputs!$B$5*(1+Inputs!$B$6/100))*(F476/100)</f>
        <v/>
      </c>
      <c r="K476">
        <f>J476*(1+((Inputs!$B$11*(1+Inputs!$B$12/100))*0.01+Inputs!$B$13*0.0025)/100)*(1+Inputs!$B$14/100)*(1+IF(Inputs!$B$4="pvp",0,(1-Summary!$B$55)*(Inputs!$B$19+0+Skills!P11)+Summary!$B$55*(Inputs!$B$20+Skills!Q11))/100)*(1+Inputs!$B$15/100)*(5000/(6000+Inputs!$B$7*(1-(Inputs!$B$18+0)/100)))*(1+(Inputs!$B$23+((C487=TRUE)*(F487-Calc!F22))+B496)/100)*(1+(IF(Skills!A11="HOOK_BOMBER",Inputs!$B$16+((C486=TRUE)*(F486-Calc!F21)),Inputs!$B$17+0))/100)*((1+(((C478=TRUE)*F478)+((C484=TRUE)*(F484-Calc!F19)))/100)*I476)</f>
        <v/>
      </c>
      <c r="L476">
        <f>K476*(MIN(Inputs!$B$21+((C485=TRUE)*(F485-Calc!F20)),Inputs!$B$22+0)/100+(Inputs!$B$22+0)/100)/2</f>
        <v/>
      </c>
      <c r="M476">
        <f>L476*(1+(Inputs!$B$9+0+B495)/100)</f>
        <v/>
      </c>
      <c r="N476">
        <f>L476*(1-MIN((Inputs!$B$8+((C481=TRUE)*(F481-Calc!F16))+B490),100)/100)+M476*(MIN((Inputs!$B$8+((C481=TRUE)*(F481-Calc!F16))+B490),100)/100)</f>
        <v/>
      </c>
      <c r="O476">
        <f>IF(C476,H476*N476*IF(AND(Inputs!$B$4&lt;&gt;"pvp",Inputs!$B$35&gt;0),((Skills!G11*((R476-1)*IF(Skills!H11&gt;0,Skills!I11/Skills!H11,1)+IF(Skills!H11&gt;0,MIN(Skills!I11,MAX(0,Inputs!$B$35-((R476-1)*IF(Inputs!$B$4="pvp",15,MAX(0.1,Skills!D11-IF(Skills!E11=TRUE,Inputs!$B$31,0))))))/Skills!H11,1)))/Inputs!$B$35),G476*Q476)*IF(Inputs!$B$4="pvp",1,(1-Summary!$B$55)*(1)+Summary!$B$55*(MIN(Skills!R11,Inputs!$B$37))),0)</f>
        <v/>
      </c>
      <c r="P476">
        <f>IF(B498=0,0,O476/B498)</f>
        <v/>
      </c>
      <c r="Q476">
        <f>IFERROR(1/IF(Inputs!$B$4="pvp",15,MAX(0.1,Skills!D11-IF(Skills!E11=TRUE,Inputs!$B$31,0))),0)</f>
        <v/>
      </c>
      <c r="R476">
        <f>IF(AND(Inputs!$B$4&lt;&gt;"pvp",Inputs!$B$35&gt;0),(INT(Inputs!$B$35/IF(Inputs!$B$4="pvp",15,MAX(0.1,Skills!D11-IF(Skills!E11=TRUE,Inputs!$B$31,0))))+1),0)</f>
        <v/>
      </c>
      <c r="S476">
        <f>IFERROR(O476/N476,0)</f>
        <v/>
      </c>
    </row>
    <row r="477">
      <c r="A477">
        <f>Skills!A12</f>
        <v/>
      </c>
      <c r="B477">
        <f>Skills!B12</f>
        <v/>
      </c>
      <c r="C477">
        <f>Inputs!$B$3&gt;=100</f>
        <v/>
      </c>
      <c r="D477">
        <f>IF(Skills!C12=1,60+Inputs!$B$24+Inputs!$B$28,IF(Skills!C12=2,90+Inputs!$B$25+Inputs!$B$28,IF(Skills!C12=3,120+Inputs!$B$26+Inputs!$B$28,MAX(0,(Inputs!$B$3-100)*3)+Inputs!$B$27+Inputs!$B$28)))</f>
        <v/>
      </c>
      <c r="E477">
        <f>INDEX(FactorTable!$B$2:$Y$301, MATCH(ROUND(MIN(300,MAX(1,D477)),0), FactorTable!$A$2:$A$301,0), Skills!M12+1)</f>
        <v/>
      </c>
      <c r="F477">
        <f>IF(Skills!N12=TRUE,(Skills!L12/10)*(E477/1000),Skills!L12/10)+Skills!O12</f>
        <v/>
      </c>
      <c r="G477" t="inlineStr"/>
      <c r="H477" t="inlineStr"/>
      <c r="I477" t="inlineStr">
        <is>
          <t>1</t>
        </is>
      </c>
      <c r="J477" t="inlineStr"/>
      <c r="K477" t="inlineStr"/>
      <c r="L477" t="inlineStr"/>
      <c r="M477" t="inlineStr"/>
      <c r="N477" t="inlineStr"/>
      <c r="O477" t="inlineStr"/>
      <c r="P477" t="inlineStr"/>
      <c r="Q477" t="inlineStr"/>
      <c r="R477" t="inlineStr"/>
      <c r="S477" t="inlineStr"/>
    </row>
    <row r="478">
      <c r="A478">
        <f>Skills!A13</f>
        <v/>
      </c>
      <c r="B478">
        <f>Skills!B13</f>
        <v/>
      </c>
      <c r="C478">
        <f>Inputs!$B$3&gt;=66</f>
        <v/>
      </c>
      <c r="D478">
        <f>IF(Skills!C13=1,60+Inputs!$B$24+Inputs!$B$28,IF(Skills!C13=2,90+Inputs!$B$25+Inputs!$B$28,IF(Skills!C13=3,120+Inputs!$B$26+Inputs!$B$28,MAX(0,(Inputs!$B$3-100)*3)+Inputs!$B$27+Inputs!$B$28)))</f>
        <v/>
      </c>
      <c r="E478">
        <f>INDEX(FactorTable!$B$2:$Y$301, MATCH(ROUND(MIN(300,MAX(1,D478)),0), FactorTable!$A$2:$A$301,0), Skills!M13+1)</f>
        <v/>
      </c>
      <c r="F478">
        <f>IF(Skills!N13=TRUE,(Skills!L13/10)*(E478/1000),Skills!L13/10)+Skills!O13</f>
        <v/>
      </c>
      <c r="G478">
        <f>Skills!G13*IF(Skills!H13&gt;0,Skills!I13/Skills!H13,1)</f>
        <v/>
      </c>
      <c r="H478">
        <f>1-(1-Skills!J13/100)^Skills!K13</f>
        <v/>
      </c>
      <c r="I478" t="inlineStr">
        <is>
          <t>1</t>
        </is>
      </c>
      <c r="J478" t="inlineStr"/>
      <c r="K478" t="inlineStr"/>
      <c r="L478" t="inlineStr"/>
      <c r="M478" t="inlineStr"/>
      <c r="N478" t="inlineStr"/>
      <c r="O478" t="n">
        <v>0</v>
      </c>
      <c r="P478">
        <f>IF(B498=0,0,O478/B498)</f>
        <v/>
      </c>
      <c r="Q478" t="n">
        <v>0</v>
      </c>
      <c r="R478" t="n">
        <v>0</v>
      </c>
      <c r="S478">
        <f>IFERROR(O478/N478,0)</f>
        <v/>
      </c>
    </row>
    <row r="479">
      <c r="A479">
        <f>Skills!A14</f>
        <v/>
      </c>
      <c r="B479">
        <f>Skills!B14</f>
        <v/>
      </c>
      <c r="C479">
        <f>Inputs!$B$3&gt;=107</f>
        <v/>
      </c>
      <c r="D479">
        <f>IF(Skills!C14=1,60+Inputs!$B$24+Inputs!$B$28,IF(Skills!C14=2,90+Inputs!$B$25+Inputs!$B$28,IF(Skills!C14=3,120+Inputs!$B$26+Inputs!$B$28,MAX(0,(Inputs!$B$3-100)*3)+Inputs!$B$27+Inputs!$B$28)))</f>
        <v/>
      </c>
      <c r="E479">
        <f>INDEX(FactorTable!$B$2:$Y$301, MATCH(ROUND(MIN(300,MAX(1,D479)),0), FactorTable!$A$2:$A$301,0), Skills!M14+1)</f>
        <v/>
      </c>
      <c r="F479">
        <f>IF(Skills!N14=TRUE,(Skills!L14/10)*(E479/1000),Skills!L14/10)+Skills!O14</f>
        <v/>
      </c>
      <c r="G479">
        <f>Skills!G14*IF(Skills!H14&gt;0,Skills!I14/Skills!H14,1)</f>
        <v/>
      </c>
      <c r="H479">
        <f>1-(1-Skills!J14/100)^Skills!K14</f>
        <v/>
      </c>
      <c r="I479" t="inlineStr">
        <is>
          <t>1</t>
        </is>
      </c>
      <c r="J479" t="inlineStr"/>
      <c r="K479" t="inlineStr"/>
      <c r="L479" t="inlineStr"/>
      <c r="M479" t="inlineStr"/>
      <c r="N479" t="inlineStr"/>
      <c r="O479" t="n">
        <v>0</v>
      </c>
      <c r="P479">
        <f>IF(B498=0,0,O479/B498)</f>
        <v/>
      </c>
      <c r="Q479" t="n">
        <v>0</v>
      </c>
      <c r="R479" t="n">
        <v>0</v>
      </c>
      <c r="S479">
        <f>IFERROR(O479/N479,0)</f>
        <v/>
      </c>
    </row>
    <row r="480">
      <c r="A480">
        <f>Skills!A15</f>
        <v/>
      </c>
      <c r="B480">
        <f>Skills!B15</f>
        <v/>
      </c>
      <c r="C480">
        <f>Inputs!$B$3&gt;=115</f>
        <v/>
      </c>
      <c r="D480">
        <f>IF(Skills!C15=1,60+Inputs!$B$24+Inputs!$B$28,IF(Skills!C15=2,90+Inputs!$B$25+Inputs!$B$28,IF(Skills!C15=3,120+Inputs!$B$26+Inputs!$B$28,MAX(0,(Inputs!$B$3-100)*3)+Inputs!$B$27+Inputs!$B$28)))</f>
        <v/>
      </c>
      <c r="E480">
        <f>INDEX(FactorTable!$B$2:$Y$301, MATCH(ROUND(MIN(300,MAX(1,D480)),0), FactorTable!$A$2:$A$301,0), Skills!M15+1)</f>
        <v/>
      </c>
      <c r="F480">
        <f>IF(Skills!N15=TRUE,(Skills!L15/10)*(E480/1000),Skills!L15/10)+Skills!O15</f>
        <v/>
      </c>
      <c r="G480">
        <f>Skills!G15*IF(Skills!H15&gt;0,Skills!I15/Skills!H15,1)</f>
        <v/>
      </c>
      <c r="H480">
        <f>1-(1-Skills!J15/100)^Skills!K15</f>
        <v/>
      </c>
      <c r="I480" t="inlineStr">
        <is>
          <t>1</t>
        </is>
      </c>
      <c r="J480" t="inlineStr"/>
      <c r="K480" t="inlineStr"/>
      <c r="L480" t="inlineStr"/>
      <c r="M480" t="inlineStr"/>
      <c r="N480" t="inlineStr"/>
      <c r="O480" t="n">
        <v>0</v>
      </c>
      <c r="P480">
        <f>IF(B498=0,0,O480/B498)</f>
        <v/>
      </c>
      <c r="Q480" t="n">
        <v>0</v>
      </c>
      <c r="R480" t="n">
        <v>0</v>
      </c>
      <c r="S480">
        <f>IFERROR(O480/N480,0)</f>
        <v/>
      </c>
    </row>
    <row r="481">
      <c r="A481">
        <f>Skills!A16</f>
        <v/>
      </c>
      <c r="B481">
        <f>Skills!B16</f>
        <v/>
      </c>
      <c r="C481">
        <f>Inputs!$B$3&gt;=15</f>
        <v/>
      </c>
      <c r="D481">
        <f>IF(Skills!C16=1,60+Inputs!$B$24+Inputs!$B$28,IF(Skills!C16=2,90+Inputs!$B$25+Inputs!$B$28,IF(Skills!C16=3,120+Inputs!$B$26+Inputs!$B$28,MAX(0,(Inputs!$B$3-100)*3)+Inputs!$B$27+Inputs!$B$28)))</f>
        <v/>
      </c>
      <c r="E481">
        <f>INDEX(FactorTable!$B$2:$Y$301, MATCH(ROUND(MIN(300,MAX(1,D481)),0), FactorTable!$A$2:$A$301,0), Skills!M16+1)</f>
        <v/>
      </c>
      <c r="F481">
        <f>IF(Skills!N16=TRUE,(Skills!L16/10)*(E481/1000),Skills!L16/10)+Skills!O16</f>
        <v/>
      </c>
      <c r="G481">
        <f>Skills!G16*IF(Skills!H16&gt;0,Skills!I16/Skills!H16,1)</f>
        <v/>
      </c>
      <c r="H481">
        <f>1-(1-Skills!J16/100)^Skills!K16</f>
        <v/>
      </c>
      <c r="I481" t="inlineStr">
        <is>
          <t>1</t>
        </is>
      </c>
      <c r="J481" t="inlineStr"/>
      <c r="K481" t="inlineStr"/>
      <c r="L481" t="inlineStr"/>
      <c r="M481" t="inlineStr"/>
      <c r="N481" t="inlineStr"/>
      <c r="O481" t="n">
        <v>0</v>
      </c>
      <c r="P481">
        <f>IF(B498=0,0,O481/B498)</f>
        <v/>
      </c>
      <c r="Q481" t="n">
        <v>0</v>
      </c>
      <c r="R481" t="n">
        <v>0</v>
      </c>
      <c r="S481">
        <f>IFERROR(O481/N481,0)</f>
        <v/>
      </c>
    </row>
    <row r="482">
      <c r="A482">
        <f>Skills!A17</f>
        <v/>
      </c>
      <c r="B482">
        <f>Skills!B17</f>
        <v/>
      </c>
      <c r="C482">
        <f>Inputs!$B$3&gt;=10</f>
        <v/>
      </c>
      <c r="D482">
        <f>IF(Skills!C17=1,60+Inputs!$B$24+Inputs!$B$28,IF(Skills!C17=2,90+Inputs!$B$25+Inputs!$B$28,IF(Skills!C17=3,120+Inputs!$B$26+Inputs!$B$28,MAX(0,(Inputs!$B$3-100)*3)+Inputs!$B$27+Inputs!$B$28)))</f>
        <v/>
      </c>
      <c r="E482">
        <f>INDEX(FactorTable!$B$2:$Y$301, MATCH(ROUND(MIN(300,MAX(1,D482)),0), FactorTable!$A$2:$A$301,0), Skills!M17+1)</f>
        <v/>
      </c>
      <c r="F482">
        <f>IF(Skills!N17=TRUE,(Skills!L17/10)*(E482/1000),Skills!L17/10)+Skills!O17</f>
        <v/>
      </c>
      <c r="G482">
        <f>Skills!G17*IF(Skills!H17&gt;0,Skills!I17/Skills!H17,1)</f>
        <v/>
      </c>
      <c r="H482">
        <f>1-(1-Skills!J17/100)^Skills!K17</f>
        <v/>
      </c>
      <c r="I482" t="inlineStr">
        <is>
          <t>1</t>
        </is>
      </c>
      <c r="J482" t="inlineStr"/>
      <c r="K482" t="inlineStr"/>
      <c r="L482" t="inlineStr"/>
      <c r="M482" t="inlineStr"/>
      <c r="N482" t="inlineStr"/>
      <c r="O482" t="n">
        <v>0</v>
      </c>
      <c r="P482">
        <f>IF(B498=0,0,O482/B498)</f>
        <v/>
      </c>
      <c r="Q482" t="n">
        <v>0</v>
      </c>
      <c r="R482" t="n">
        <v>0</v>
      </c>
      <c r="S482">
        <f>IFERROR(O482/N482,0)</f>
        <v/>
      </c>
    </row>
    <row r="483">
      <c r="A483">
        <f>Skills!A18</f>
        <v/>
      </c>
      <c r="B483">
        <f>Skills!B18</f>
        <v/>
      </c>
      <c r="C483">
        <f>Inputs!$B$3&gt;=33</f>
        <v/>
      </c>
      <c r="D483">
        <f>IF(Skills!C18=1,60+Inputs!$B$24+Inputs!$B$28,IF(Skills!C18=2,90+Inputs!$B$25+Inputs!$B$28,IF(Skills!C18=3,120+Inputs!$B$26+Inputs!$B$28,MAX(0,(Inputs!$B$3-100)*3)+Inputs!$B$27+Inputs!$B$28)))</f>
        <v/>
      </c>
      <c r="E483">
        <f>INDEX(FactorTable!$B$2:$Y$301, MATCH(ROUND(MIN(300,MAX(1,D483)),0), FactorTable!$A$2:$A$301,0), Skills!M18+1)</f>
        <v/>
      </c>
      <c r="F483">
        <f>IF(Skills!N18=TRUE,(Skills!L18/10)*(E483/1000),Skills!L18/10)+Skills!O18</f>
        <v/>
      </c>
      <c r="G483">
        <f>Skills!G18*IF(Skills!H18&gt;0,Skills!I18/Skills!H18,1)</f>
        <v/>
      </c>
      <c r="H483">
        <f>1-(1-Skills!J18/100)^Skills!K18</f>
        <v/>
      </c>
      <c r="I483" t="inlineStr">
        <is>
          <t>1</t>
        </is>
      </c>
      <c r="J483" t="inlineStr"/>
      <c r="K483" t="inlineStr"/>
      <c r="L483" t="inlineStr"/>
      <c r="M483" t="inlineStr"/>
      <c r="N483" t="inlineStr"/>
      <c r="O483" t="n">
        <v>0</v>
      </c>
      <c r="P483">
        <f>IF(B498=0,0,O483/B498)</f>
        <v/>
      </c>
      <c r="Q483" t="n">
        <v>0</v>
      </c>
      <c r="R483" t="n">
        <v>0</v>
      </c>
      <c r="S483">
        <f>IFERROR(O483/N483,0)</f>
        <v/>
      </c>
    </row>
    <row r="484">
      <c r="A484">
        <f>Skills!A19</f>
        <v/>
      </c>
      <c r="B484">
        <f>Skills!B19</f>
        <v/>
      </c>
      <c r="C484">
        <f>Inputs!$B$3&gt;=40</f>
        <v/>
      </c>
      <c r="D484">
        <f>IF(Skills!C19=1,60+Inputs!$B$24+Inputs!$B$28,IF(Skills!C19=2,90+Inputs!$B$25+Inputs!$B$28,IF(Skills!C19=3,120+Inputs!$B$26+Inputs!$B$28,MAX(0,(Inputs!$B$3-100)*3)+Inputs!$B$27+Inputs!$B$28)))</f>
        <v/>
      </c>
      <c r="E484">
        <f>INDEX(FactorTable!$B$2:$Y$301, MATCH(ROUND(MIN(300,MAX(1,D484)),0), FactorTable!$A$2:$A$301,0), Skills!M19+1)</f>
        <v/>
      </c>
      <c r="F484">
        <f>IF(Skills!N19=TRUE,(Skills!L19/10)*(E484/1000),Skills!L19/10)+Skills!O19</f>
        <v/>
      </c>
      <c r="G484">
        <f>Skills!G19*IF(Skills!H19&gt;0,Skills!I19/Skills!H19,1)</f>
        <v/>
      </c>
      <c r="H484">
        <f>1-(1-Skills!J19/100)^Skills!K19</f>
        <v/>
      </c>
      <c r="I484" t="inlineStr">
        <is>
          <t>1</t>
        </is>
      </c>
      <c r="J484" t="inlineStr"/>
      <c r="K484" t="inlineStr"/>
      <c r="L484" t="inlineStr"/>
      <c r="M484" t="inlineStr"/>
      <c r="N484" t="inlineStr"/>
      <c r="O484" t="n">
        <v>0</v>
      </c>
      <c r="P484">
        <f>IF(B498=0,0,O484/B498)</f>
        <v/>
      </c>
      <c r="Q484" t="n">
        <v>0</v>
      </c>
      <c r="R484" t="n">
        <v>0</v>
      </c>
      <c r="S484">
        <f>IFERROR(O484/N484,0)</f>
        <v/>
      </c>
    </row>
    <row r="485">
      <c r="A485">
        <f>Skills!A20</f>
        <v/>
      </c>
      <c r="B485">
        <f>Skills!B20</f>
        <v/>
      </c>
      <c r="C485">
        <f>Inputs!$B$3&gt;=43</f>
        <v/>
      </c>
      <c r="D485">
        <f>IF(Skills!C20=1,60+Inputs!$B$24+Inputs!$B$28,IF(Skills!C20=2,90+Inputs!$B$25+Inputs!$B$28,IF(Skills!C20=3,120+Inputs!$B$26+Inputs!$B$28,MAX(0,(Inputs!$B$3-100)*3)+Inputs!$B$27+Inputs!$B$28)))</f>
        <v/>
      </c>
      <c r="E485">
        <f>INDEX(FactorTable!$B$2:$Y$301, MATCH(ROUND(MIN(300,MAX(1,D485)),0), FactorTable!$A$2:$A$301,0), Skills!M20+1)</f>
        <v/>
      </c>
      <c r="F485">
        <f>IF(Skills!N20=TRUE,(Skills!L20/10)*(E485/1000),Skills!L20/10)+Skills!O20</f>
        <v/>
      </c>
      <c r="G485">
        <f>Skills!G20*IF(Skills!H20&gt;0,Skills!I20/Skills!H20,1)</f>
        <v/>
      </c>
      <c r="H485">
        <f>1-(1-Skills!J20/100)^Skills!K20</f>
        <v/>
      </c>
      <c r="I485" t="inlineStr">
        <is>
          <t>1</t>
        </is>
      </c>
      <c r="J485" t="inlineStr"/>
      <c r="K485" t="inlineStr"/>
      <c r="L485" t="inlineStr"/>
      <c r="M485" t="inlineStr"/>
      <c r="N485" t="inlineStr"/>
      <c r="O485" t="n">
        <v>0</v>
      </c>
      <c r="P485">
        <f>IF(B498=0,0,O485/B498)</f>
        <v/>
      </c>
      <c r="Q485" t="n">
        <v>0</v>
      </c>
      <c r="R485" t="n">
        <v>0</v>
      </c>
      <c r="S485">
        <f>IFERROR(O485/N485,0)</f>
        <v/>
      </c>
    </row>
    <row r="486">
      <c r="A486">
        <f>Skills!A21</f>
        <v/>
      </c>
      <c r="B486">
        <f>Skills!B21</f>
        <v/>
      </c>
      <c r="C486">
        <f>Inputs!$B$3&gt;=38</f>
        <v/>
      </c>
      <c r="D486">
        <f>IF(Skills!C21=1,60+Inputs!$B$24+Inputs!$B$28,IF(Skills!C21=2,90+Inputs!$B$25+Inputs!$B$28,IF(Skills!C21=3,120+Inputs!$B$26+Inputs!$B$28,MAX(0,(Inputs!$B$3-100)*3)+Inputs!$B$27+Inputs!$B$28)))</f>
        <v/>
      </c>
      <c r="E486">
        <f>INDEX(FactorTable!$B$2:$Y$301, MATCH(ROUND(MIN(300,MAX(1,D486)),0), FactorTable!$A$2:$A$301,0), Skills!M21+1)</f>
        <v/>
      </c>
      <c r="F486">
        <f>IF(Skills!N21=TRUE,(Skills!L21/10)*(E486/1000),Skills!L21/10)+Skills!O21</f>
        <v/>
      </c>
      <c r="G486">
        <f>Skills!G21*IF(Skills!H21&gt;0,Skills!I21/Skills!H21,1)</f>
        <v/>
      </c>
      <c r="H486">
        <f>1-(1-Skills!J21/100)^Skills!K21</f>
        <v/>
      </c>
      <c r="I486" t="inlineStr">
        <is>
          <t>1</t>
        </is>
      </c>
      <c r="J486" t="inlineStr"/>
      <c r="K486" t="inlineStr"/>
      <c r="L486" t="inlineStr"/>
      <c r="M486" t="inlineStr"/>
      <c r="N486" t="inlineStr"/>
      <c r="O486" t="n">
        <v>0</v>
      </c>
      <c r="P486">
        <f>IF(B498=0,0,O486/B498)</f>
        <v/>
      </c>
      <c r="Q486" t="n">
        <v>0</v>
      </c>
      <c r="R486" t="n">
        <v>0</v>
      </c>
      <c r="S486">
        <f>IFERROR(O486/N486,0)</f>
        <v/>
      </c>
    </row>
    <row r="487">
      <c r="A487">
        <f>Skills!A22</f>
        <v/>
      </c>
      <c r="B487">
        <f>Skills!B22</f>
        <v/>
      </c>
      <c r="C487">
        <f>Inputs!$B$3&gt;=75</f>
        <v/>
      </c>
      <c r="D487">
        <f>IF(Skills!C22=1,60+Inputs!$B$24+Inputs!$B$28,IF(Skills!C22=2,90+Inputs!$B$25+Inputs!$B$28,IF(Skills!C22=3,120+Inputs!$B$26+Inputs!$B$28,MAX(0,(Inputs!$B$3-100)*3)+Inputs!$B$27+Inputs!$B$28)))</f>
        <v/>
      </c>
      <c r="E487">
        <f>INDEX(FactorTable!$B$2:$Y$301, MATCH(ROUND(MIN(300,MAX(1,D487)),0), FactorTable!$A$2:$A$301,0), Skills!M22+1)</f>
        <v/>
      </c>
      <c r="F487">
        <f>IF(Skills!N22=TRUE,(Skills!L22/10)*(E487/1000),Skills!L22/10)+Skills!O22</f>
        <v/>
      </c>
      <c r="G487">
        <f>Skills!G22*IF(Skills!H22&gt;0,Skills!I22/Skills!H22,1)</f>
        <v/>
      </c>
      <c r="H487">
        <f>1-(1-Skills!J22/100)^Skills!K22</f>
        <v/>
      </c>
      <c r="I487" t="inlineStr">
        <is>
          <t>1</t>
        </is>
      </c>
      <c r="J487" t="inlineStr"/>
      <c r="K487" t="inlineStr"/>
      <c r="L487" t="inlineStr"/>
      <c r="M487" t="inlineStr"/>
      <c r="N487" t="inlineStr"/>
      <c r="O487" t="n">
        <v>0</v>
      </c>
      <c r="P487">
        <f>IF(B498=0,0,O487/B498)</f>
        <v/>
      </c>
      <c r="Q487" t="n">
        <v>0</v>
      </c>
      <c r="R487" t="n">
        <v>0</v>
      </c>
      <c r="S487">
        <f>IFERROR(O487/N487,0)</f>
        <v/>
      </c>
    </row>
    <row r="489">
      <c r="A489" t="inlineStr">
        <is>
          <t>Attack% Bucket Multiplier</t>
        </is>
      </c>
      <c r="B489">
        <f>(1+(((C478=TRUE)*F478)+((C484=TRUE)*(F484-Calc!F19)))/100)</f>
        <v/>
      </c>
    </row>
    <row r="490">
      <c r="A490" t="inlineStr">
        <is>
          <t>Global Crit Rate Bonus %</t>
        </is>
      </c>
      <c r="B490" t="n">
        <v>0</v>
      </c>
    </row>
    <row r="491">
      <c r="A491" t="inlineStr">
        <is>
          <t>Attack Speed Buff Bonus % (unused)</t>
        </is>
      </c>
      <c r="B491" t="n">
        <v>0</v>
      </c>
    </row>
    <row r="492">
      <c r="A492" t="inlineStr">
        <is>
          <t>Actions Per Second</t>
        </is>
      </c>
      <c r="B492">
        <f>1+MIN(150,150*(1-(1-(((1-(1-Inputs!$B$10/150)*(1-1/150))*150)+((C482=TRUE)*(F482-Calc!F17))+((C483=TRUE)*(F483-Calc!F18)))/150)*(1-B491/150)))/100</f>
        <v/>
      </c>
    </row>
    <row r="493">
      <c r="A493" t="inlineStr">
        <is>
          <t>Skill + Buff Cast Rate</t>
        </is>
      </c>
      <c r="B493">
        <f>IF(AND(Inputs!$B$4&lt;&gt;"pvp",Inputs!$B$35&gt;0),SUMPRODUCT((Skills!E2:E22=TRUE)*(C467:C487=TRUE)*R467:R487*Skills!F2:F22)/Inputs!$B$35,SUMPRODUCT((Skills!E2:E22=TRUE)*(C467:C487=TRUE)*Q467:Q487*Skills!F2:F22))</f>
        <v/>
      </c>
    </row>
    <row r="494">
      <c r="A494" t="inlineStr">
        <is>
          <t>Hook Bomber Casts Per Second</t>
        </is>
      </c>
      <c r="B494">
        <f>MAX(0,B492-B493)</f>
        <v/>
      </c>
    </row>
    <row r="495">
      <c r="A495" t="inlineStr">
        <is>
          <t>Global Critical Damage Bonus % (unused)</t>
        </is>
      </c>
      <c r="B495" t="n">
        <v>0</v>
      </c>
    </row>
    <row r="496">
      <c r="A496" t="inlineStr">
        <is>
          <t>Global Final Damage Bonus % (Serpent Scale + Crossbones + Time Leap + Speed Infusion)</t>
        </is>
      </c>
      <c r="B496">
        <f>((C470=TRUE)*F470*((10+IF(Inputs!$B$3&gt;=94,5,0))/((10+IF(Inputs!$B$3&gt;=94,5,0))+5/(B494*(1+IF(Inputs!$B$3&gt;=104,1,0))))))+((C479=TRUE)*F479)+((C480=TRUE)*F480)+((Inputs!$B$3&gt;=110)*20*(B492-1))</f>
        <v/>
      </c>
    </row>
    <row r="498">
      <c r="A498" s="5" t="inlineStr">
        <is>
          <t>TOTAL DPS</t>
        </is>
      </c>
      <c r="B498" s="5">
        <f>SUM(O467:O487)</f>
        <v/>
      </c>
    </row>
    <row r="501">
      <c r="A501" s="5" t="inlineStr">
        <is>
          <t>Stat: DEF_PEN % (diminishing returns, factor 100)</t>
        </is>
      </c>
    </row>
    <row r="502">
      <c r="A502" s="8" t="inlineStr">
        <is>
          <t>Key</t>
        </is>
      </c>
      <c r="B502" s="8" t="inlineStr">
        <is>
          <t>Name</t>
        </is>
      </c>
      <c r="C502" s="8" t="inlineStr">
        <is>
          <t>Unlocked</t>
        </is>
      </c>
      <c r="D502" s="8" t="inlineStr">
        <is>
          <t>InputLevel</t>
        </is>
      </c>
      <c r="E502" s="8" t="inlineStr">
        <is>
          <t>Factor</t>
        </is>
      </c>
      <c r="F502" s="8" t="inlineStr">
        <is>
          <t>CoefficientPercent</t>
        </is>
      </c>
      <c r="G502" s="8" t="inlineStr">
        <is>
          <t>EffectiveHits</t>
        </is>
      </c>
      <c r="H502" s="8" t="inlineStr">
        <is>
          <t>ProcProbability</t>
        </is>
      </c>
      <c r="I502" s="8" t="inlineStr">
        <is>
          <t>MapleHeroMultiplier</t>
        </is>
      </c>
      <c r="J502" s="8" t="inlineStr">
        <is>
          <t>BaseDamage</t>
        </is>
      </c>
      <c r="K502" s="8" t="inlineStr">
        <is>
          <t>BaseHitDamage</t>
        </is>
      </c>
      <c r="L502" s="8" t="inlineStr">
        <is>
          <t>NonCritAvg</t>
        </is>
      </c>
      <c r="M502" s="8" t="inlineStr">
        <is>
          <t>CritAvg</t>
        </is>
      </c>
      <c r="N502" s="8" t="inlineStr">
        <is>
          <t>ExpectedDamage(perHit)</t>
        </is>
      </c>
      <c r="O502" s="8" t="inlineStr">
        <is>
          <t>DPS</t>
        </is>
      </c>
      <c r="P502" s="8" t="inlineStr">
        <is>
          <t>% of Total</t>
        </is>
      </c>
      <c r="Q502" s="8" t="inlineStr">
        <is>
          <t>InvCooldown</t>
        </is>
      </c>
      <c r="R502" s="8" t="inlineStr">
        <is>
          <t>CastsInFight</t>
        </is>
      </c>
      <c r="S502" s="8" t="inlineStr">
        <is>
          <t>HitRate(perSec)</t>
        </is>
      </c>
      <c r="U502" t="inlineStr">
        <is>
          <t>helpers</t>
        </is>
      </c>
    </row>
    <row r="503">
      <c r="A503">
        <f>Skills!A2</f>
        <v/>
      </c>
      <c r="B503">
        <f>Skills!B2</f>
        <v/>
      </c>
      <c r="C503">
        <f>Inputs!$B$3&gt;=100</f>
        <v/>
      </c>
      <c r="D503" t="inlineStr"/>
      <c r="E503" t="inlineStr"/>
      <c r="F503">
        <f>U505+Skills!O2</f>
        <v/>
      </c>
      <c r="G503">
        <f>Skills!G2*IF(Skills!H2&gt;0,Skills!I2/Skills!H2,1)</f>
        <v/>
      </c>
      <c r="H503">
        <f>1-(1-Skills!J2/100)^Skills!K2</f>
        <v/>
      </c>
      <c r="I503" t="inlineStr">
        <is>
          <t>1</t>
        </is>
      </c>
      <c r="J503">
        <f>(Inputs!$B$5*(1+Inputs!$B$6/100))*(F503/100)</f>
        <v/>
      </c>
      <c r="K503">
        <f>J503*(1+((Inputs!$B$11*(1+Inputs!$B$12/100))*0.01+Inputs!$B$13*0.0025)/100)*(1+Inputs!$B$14/100)*(1+IF(Inputs!$B$4="pvp",0,(1-Summary!$B$55)*(Inputs!$B$19+0+Skills!P2)+Summary!$B$55*(Inputs!$B$20+Skills!Q2))/100)*(1+Inputs!$B$15/100)*(5000/(6000+Inputs!$B$7*(1-(((1-(1-Inputs!$B$18/100)*(1-1/100))*100)+0)/100)))*(1+(Inputs!$B$23+((C523=TRUE)*(F523-Calc!F22))+B532)/100)*(1+(IF(Skills!A2="HOOK_BOMBER",Inputs!$B$16+((C522=TRUE)*(F522-Calc!F21)),Inputs!$B$17+0))/100)*((1+(((C514=TRUE)*F514)+((C520=TRUE)*(F520-Calc!F19)))/100)*I503)</f>
        <v/>
      </c>
      <c r="L503">
        <f>K503*(MIN(Inputs!$B$21+((C521=TRUE)*(F521-Calc!F20)),Inputs!$B$22+0)/100+(Inputs!$B$22+0)/100)/2</f>
        <v/>
      </c>
      <c r="M503">
        <f>L503*(1+(Inputs!$B$9+0+B531)/100)</f>
        <v/>
      </c>
      <c r="N503">
        <f>L503*(1-MIN((Inputs!$B$8+((C517=TRUE)*(F517-Calc!F16))+B526),100)/100)+M503*(MIN((Inputs!$B$8+((C517=TRUE)*(F517-Calc!F16))+B526),100)/100)</f>
        <v/>
      </c>
      <c r="O503">
        <f>IF(C503,Skills!G2*N503*B530*IF(Inputs!$B$4="pvp",1,(1-Summary!$B$55)*(1)+Summary!$B$55*(MIN((6+Inputs!$B$32),Inputs!$B$37))),0)</f>
        <v/>
      </c>
      <c r="P503">
        <f>IF(B534=0,0,O503/B534)</f>
        <v/>
      </c>
      <c r="Q503" t="n">
        <v>0</v>
      </c>
      <c r="R503" t="n">
        <v>0</v>
      </c>
      <c r="S503">
        <f>IFERROR(O503/N503,0)</f>
        <v/>
      </c>
      <c r="U503">
        <f>MAX(0,(Inputs!$B$3-100)*3)+Inputs!$B$27+Inputs!$B$28</f>
        <v/>
      </c>
    </row>
    <row r="504">
      <c r="A504">
        <f>Skills!A3</f>
        <v/>
      </c>
      <c r="B504">
        <f>Skills!B3</f>
        <v/>
      </c>
      <c r="C504">
        <f>Inputs!$B$3&gt;=35</f>
        <v/>
      </c>
      <c r="D504">
        <f>IF(Skills!C3=1,60+Inputs!$B$24+Inputs!$B$28,IF(Skills!C3=2,90+Inputs!$B$25+Inputs!$B$28,IF(Skills!C3=3,120+Inputs!$B$26+Inputs!$B$28,MAX(0,(Inputs!$B$3-100)*3)+Inputs!$B$27+Inputs!$B$28)))</f>
        <v/>
      </c>
      <c r="E504">
        <f>INDEX(FactorTable!$B$2:$Y$301, MATCH(ROUND(MIN(300,MAX(1,D504)),0), FactorTable!$A$2:$A$301,0), Skills!M3+1)</f>
        <v/>
      </c>
      <c r="F504">
        <f>IF(Skills!N3=TRUE,(Skills!L3/10)*(E504/1000),Skills!L3/10)+Skills!O3</f>
        <v/>
      </c>
      <c r="G504">
        <f>Skills!G3*IF(Skills!H3&gt;0,Skills!I3/Skills!H3,1)</f>
        <v/>
      </c>
      <c r="H504">
        <f>1-(1-Skills!J3/100)^Skills!K3</f>
        <v/>
      </c>
      <c r="I504" t="inlineStr">
        <is>
          <t>1</t>
        </is>
      </c>
      <c r="J504">
        <f>(Inputs!$B$5*(1+Inputs!$B$6/100))*(F504/100)</f>
        <v/>
      </c>
      <c r="K504">
        <f>J504*(1+((Inputs!$B$11*(1+Inputs!$B$12/100))*0.01+Inputs!$B$13*0.0025)/100)*(1+Inputs!$B$14/100)*(1+IF(Inputs!$B$4="pvp",0,(1-Summary!$B$55)*(Inputs!$B$19+0+Skills!P3)+Summary!$B$55*(Inputs!$B$20+Skills!Q3))/100)*(1+Inputs!$B$15/100)*(5000/(6000+Inputs!$B$7*(1-(((1-(1-Inputs!$B$18/100)*(1-1/100))*100)+0)/100)))*(1+(Inputs!$B$23+((C523=TRUE)*(F523-Calc!F22))+B532)/100)*(1+(IF(Skills!A3="HOOK_BOMBER",Inputs!$B$16+((C522=TRUE)*(F522-Calc!F21)),Inputs!$B$17+0))/100)*((1+(((C514=TRUE)*F514)+((C520=TRUE)*(F520-Calc!F19)))/100)*I504)</f>
        <v/>
      </c>
      <c r="L504">
        <f>K504*(MIN(Inputs!$B$21+((C521=TRUE)*(F521-Calc!F20)),Inputs!$B$22+0)/100+(Inputs!$B$22+0)/100)/2</f>
        <v/>
      </c>
      <c r="M504">
        <f>L504*(1+(Inputs!$B$9+0+B531)/100)</f>
        <v/>
      </c>
      <c r="N504">
        <f>L504*(1-MIN((Inputs!$B$8+((C517=TRUE)*(F517-Calc!F16))+B526),100)/100)+M504*(MIN((Inputs!$B$8+((C517=TRUE)*(F517-Calc!F16))+B526),100)/100)</f>
        <v/>
      </c>
      <c r="O504">
        <f>IF(C504,Skills!G3*H504*N504*B530*IF(Inputs!$B$4="pvp",1,(1-Summary!$B$55)*(1)+Summary!$B$55*(MIN(Skills!R3,Inputs!$B$37))),0)</f>
        <v/>
      </c>
      <c r="P504">
        <f>IF(B534=0,0,O504/B534)</f>
        <v/>
      </c>
      <c r="Q504" t="n">
        <v>0</v>
      </c>
      <c r="R504" t="n">
        <v>0</v>
      </c>
      <c r="S504">
        <f>IFERROR(O504/N504,0)</f>
        <v/>
      </c>
      <c r="U504">
        <f>INDEX(FactorTable!$B$2:$Y$301, MATCH(ROUND(MIN(300,MAX(1,U503)),0), FactorTable!$A$2:$A$301,0), 22)</f>
        <v/>
      </c>
    </row>
    <row r="505">
      <c r="A505">
        <f>Skills!A4</f>
        <v/>
      </c>
      <c r="B505">
        <f>Skills!B4</f>
        <v/>
      </c>
      <c r="C505">
        <f>Inputs!$B$3&gt;=60</f>
        <v/>
      </c>
      <c r="D505">
        <f>IF(Skills!C4=1,60+Inputs!$B$24+Inputs!$B$28,IF(Skills!C4=2,90+Inputs!$B$25+Inputs!$B$28,IF(Skills!C4=3,120+Inputs!$B$26+Inputs!$B$28,MAX(0,(Inputs!$B$3-100)*3)+Inputs!$B$27+Inputs!$B$28)))</f>
        <v/>
      </c>
      <c r="E505">
        <f>INDEX(FactorTable!$B$2:$Y$301, MATCH(ROUND(MIN(300,MAX(1,D505)),0), FactorTable!$A$2:$A$301,0), Skills!M4+1)</f>
        <v/>
      </c>
      <c r="F505">
        <f>IF(Skills!N4=TRUE,(Skills!L4/10)*(E505/1000),Skills!L4/10)+Skills!O4</f>
        <v/>
      </c>
      <c r="G505">
        <f>Skills!G4*IF(Skills!H4&gt;0,Skills!I4/Skills!H4,1)</f>
        <v/>
      </c>
      <c r="H505">
        <f>1-(1-Skills!J4/100)^Skills!K4</f>
        <v/>
      </c>
      <c r="I505" t="inlineStr">
        <is>
          <t>1</t>
        </is>
      </c>
      <c r="J505">
        <f>(Inputs!$B$5*(1+Inputs!$B$6/100))*(F505/100)</f>
        <v/>
      </c>
      <c r="K505">
        <f>J505*(1+((Inputs!$B$11*(1+Inputs!$B$12/100))*0.01+Inputs!$B$13*0.0025)/100)*(1+Inputs!$B$14/100)*(1+IF(Inputs!$B$4="pvp",0,(1-Summary!$B$55)*(Inputs!$B$19+0+Skills!P4)+Summary!$B$55*(Inputs!$B$20+Skills!Q4))/100)*(1+Inputs!$B$15/100)*(5000/(6000+Inputs!$B$7*(1-(((1-(1-Inputs!$B$18/100)*(1-1/100))*100)+0)/100)))*(1+(Inputs!$B$23+((C523=TRUE)*(F523-Calc!F22))+B532)/100)*(1+1.0*IF(C513=TRUE,F513,0)/100)*(1+(IF(Skills!A4="HOOK_BOMBER",Inputs!$B$16+((C522=TRUE)*(F522-Calc!F21)),Inputs!$B$17+0))/100)*((1+(((C514=TRUE)*F514)+((C520=TRUE)*(F520-Calc!F19)))/100)*I505)</f>
        <v/>
      </c>
      <c r="L505">
        <f>K505*(MIN(Inputs!$B$21+((C521=TRUE)*(F521-Calc!F20)),Inputs!$B$22+0)/100+(Inputs!$B$22+0)/100)/2</f>
        <v/>
      </c>
      <c r="M505">
        <f>L505*(1+(Inputs!$B$9+0+B531)/100)</f>
        <v/>
      </c>
      <c r="N505">
        <f>L505*(1-MIN((Inputs!$B$8+((C517=TRUE)*(F517-Calc!F16))+B526),100)/100)+M505*(MIN((Inputs!$B$8+((C517=TRUE)*(F517-Calc!F16))+B526),100)/100)</f>
        <v/>
      </c>
      <c r="O505">
        <f>IF(C505,Skills!G4*H505*N505*B530*IF(Inputs!$B$4="pvp",1,(1-Summary!$B$55)*(1)+Summary!$B$55*(MIN(Skills!R4,Inputs!$B$37))),0)</f>
        <v/>
      </c>
      <c r="P505">
        <f>IF(B534=0,0,O505/B534)</f>
        <v/>
      </c>
      <c r="Q505" t="n">
        <v>0</v>
      </c>
      <c r="R505" t="n">
        <v>0</v>
      </c>
      <c r="S505">
        <f>IFERROR(O505/N505,0)</f>
        <v/>
      </c>
      <c r="U505">
        <f>290*U504/1000</f>
        <v/>
      </c>
    </row>
    <row r="506">
      <c r="A506">
        <f>Skills!A5</f>
        <v/>
      </c>
      <c r="B506">
        <f>Skills!B5</f>
        <v/>
      </c>
      <c r="C506">
        <f>Inputs!$B$3&gt;=60</f>
        <v/>
      </c>
      <c r="D506">
        <f>IF(Skills!C5=1,60+Inputs!$B$24+Inputs!$B$28,IF(Skills!C5=2,90+Inputs!$B$25+Inputs!$B$28,IF(Skills!C5=3,120+Inputs!$B$26+Inputs!$B$28,MAX(0,(Inputs!$B$3-100)*3)+Inputs!$B$27+Inputs!$B$28)))</f>
        <v/>
      </c>
      <c r="E506">
        <f>INDEX(FactorTable!$B$2:$Y$301, MATCH(ROUND(MIN(300,MAX(1,D506)),0), FactorTable!$A$2:$A$301,0), Skills!M5+1)</f>
        <v/>
      </c>
      <c r="F506">
        <f>IF(Skills!N5=TRUE,(Skills!L5/10)*(E506/1000),Skills!L5/10)+Skills!O5</f>
        <v/>
      </c>
      <c r="G506">
        <f>Skills!G5*IF(Skills!H5&gt;0,Skills!I5/Skills!H5,1)</f>
        <v/>
      </c>
      <c r="H506">
        <f>1-(1-Skills!J5/100)^Skills!K5</f>
        <v/>
      </c>
      <c r="I506" t="inlineStr">
        <is>
          <t>1</t>
        </is>
      </c>
      <c r="J506" t="inlineStr"/>
      <c r="K506" t="inlineStr"/>
      <c r="L506" t="inlineStr"/>
      <c r="M506" t="inlineStr"/>
      <c r="N506" t="inlineStr"/>
      <c r="O506" t="n">
        <v>0</v>
      </c>
      <c r="P506">
        <f>IF(B534=0,0,O506/B534)</f>
        <v/>
      </c>
      <c r="Q506" t="n">
        <v>0</v>
      </c>
      <c r="R506" t="n">
        <v>0</v>
      </c>
      <c r="S506">
        <f>IFERROR(O506/N506,0)</f>
        <v/>
      </c>
    </row>
    <row r="507">
      <c r="A507">
        <f>Skills!A6</f>
        <v/>
      </c>
      <c r="B507">
        <f>Skills!B6</f>
        <v/>
      </c>
      <c r="C507">
        <f>Inputs!$B$3&gt;=63</f>
        <v/>
      </c>
      <c r="D507">
        <f>IF(Skills!C6=1,60+Inputs!$B$24+Inputs!$B$28,IF(Skills!C6=2,90+Inputs!$B$25+Inputs!$B$28,IF(Skills!C6=3,120+Inputs!$B$26+Inputs!$B$28,MAX(0,(Inputs!$B$3-100)*3)+Inputs!$B$27+Inputs!$B$28)))</f>
        <v/>
      </c>
      <c r="E507">
        <f>INDEX(FactorTable!$B$2:$Y$301, MATCH(ROUND(MIN(300,MAX(1,D507)),0), FactorTable!$A$2:$A$301,0), Skills!M6+1)</f>
        <v/>
      </c>
      <c r="F507">
        <f>IF(Skills!N6=TRUE,(Skills!L6/10)*(E507/1000),Skills!L6/10)+Skills!O6</f>
        <v/>
      </c>
      <c r="G507">
        <f>Skills!G6*IF(Skills!H6&gt;0,Skills!I6/Skills!H6,1)</f>
        <v/>
      </c>
      <c r="H507">
        <f>1-(1-Skills!J6/100)^Skills!K6</f>
        <v/>
      </c>
      <c r="I507" t="inlineStr">
        <is>
          <t>1</t>
        </is>
      </c>
      <c r="J507">
        <f>(Inputs!$B$5*(1+Inputs!$B$6/100))*(F507/100)</f>
        <v/>
      </c>
      <c r="K507">
        <f>J507*(1+((Inputs!$B$11*(1+Inputs!$B$12/100))*0.01+Inputs!$B$13*0.0025)/100)*(1+Inputs!$B$14/100)*(1+IF(Inputs!$B$4="pvp",0,(1-Summary!$B$55)*(Inputs!$B$19+0+Skills!P6)+Summary!$B$55*(Inputs!$B$20+Skills!Q6))/100)*(1+Inputs!$B$15/100)*(5000/(6000+Inputs!$B$7*(1-(((1-(1-Inputs!$B$18/100)*(1-1/100))*100)+0)/100)))*(1+(Inputs!$B$23+((C523=TRUE)*(F523-Calc!F22))+B532)/100)*(1+(IF(Skills!A6="HOOK_BOMBER",Inputs!$B$16+((C522=TRUE)*(F522-Calc!F21)),Inputs!$B$17+0))/100)*((1+(((C514=TRUE)*F514)+((C520=TRUE)*(F520-Calc!F19)))/100)*I507)</f>
        <v/>
      </c>
      <c r="L507">
        <f>K507*(MIN(Inputs!$B$21+((C521=TRUE)*(F521-Calc!F20)),Inputs!$B$22+0)/100+(Inputs!$B$22+0)/100)/2</f>
        <v/>
      </c>
      <c r="M507">
        <f>L507*(1+(Inputs!$B$9+0+B531)/100)</f>
        <v/>
      </c>
      <c r="N507">
        <f>L507*(1-MIN((Inputs!$B$8+((C517=TRUE)*(F517-Calc!F16))+B526),100)/100)+M507*(MIN((Inputs!$B$8+((C517=TRUE)*(F517-Calc!F16))+B526),100)/100)</f>
        <v/>
      </c>
      <c r="O507">
        <f>IF(C507,H507*N507*IF(AND(Inputs!$B$4&lt;&gt;"pvp",Inputs!$B$35&gt;0),((Skills!G6*((R507-1)*IF(Skills!H6&gt;0,Skills!I6/Skills!H6,1)+IF(Skills!H6&gt;0,MIN(Skills!I6,MAX(0,Inputs!$B$35-((R507-1)*IF(Inputs!$B$4="pvp",15,MAX(0.1,Skills!D6-IF(Skills!E6=TRUE,Inputs!$B$31,0))))))/Skills!H6,1)))/Inputs!$B$35),G507*Q507)*IF(Inputs!$B$4="pvp",1,(1-Summary!$B$55)*(1)+Summary!$B$55*(MIN(Skills!R6,Inputs!$B$37))),0)</f>
        <v/>
      </c>
      <c r="P507">
        <f>IF(B534=0,0,O507/B534)</f>
        <v/>
      </c>
      <c r="Q507">
        <f>IFERROR(1/IF(Inputs!$B$4="pvp",15,MAX(0.1,Skills!D6-IF(Skills!E6=TRUE,Inputs!$B$31,0))),0)</f>
        <v/>
      </c>
      <c r="R507">
        <f>IF(AND(Inputs!$B$4&lt;&gt;"pvp",Inputs!$B$35&gt;0),(INT(Inputs!$B$35/IF(Inputs!$B$4="pvp",15,MAX(0.1,Skills!D6-IF(Skills!E6=TRUE,Inputs!$B$31,0))))+1),0)</f>
        <v/>
      </c>
      <c r="S507">
        <f>IFERROR(O507/N507,0)</f>
        <v/>
      </c>
    </row>
    <row r="508">
      <c r="A508">
        <f>Skills!A7</f>
        <v/>
      </c>
      <c r="B508">
        <f>Skills!B7</f>
        <v/>
      </c>
      <c r="C508">
        <f>Inputs!$B$3&gt;=100</f>
        <v/>
      </c>
      <c r="D508">
        <f>IF(Skills!C7=1,60+Inputs!$B$24+Inputs!$B$28,IF(Skills!C7=2,90+Inputs!$B$25+Inputs!$B$28,IF(Skills!C7=3,120+Inputs!$B$26+Inputs!$B$28,MAX(0,(Inputs!$B$3-100)*3)+Inputs!$B$27+Inputs!$B$28)))</f>
        <v/>
      </c>
      <c r="E508">
        <f>INDEX(FactorTable!$B$2:$Y$301, MATCH(ROUND(MIN(300,MAX(1,D508)),0), FactorTable!$A$2:$A$301,0), Skills!M7+1)</f>
        <v/>
      </c>
      <c r="F508">
        <f>IF(Skills!N7=TRUE,(Skills!L7/10)*(E508/1000),Skills!L7/10)+Skills!O7</f>
        <v/>
      </c>
      <c r="G508">
        <f>Skills!G7*IF(Skills!H7&gt;0,Skills!I7/Skills!H7,1)</f>
        <v/>
      </c>
      <c r="H508">
        <f>1-(1-Skills!J7/100)^Skills!K7</f>
        <v/>
      </c>
      <c r="I508" t="inlineStr">
        <is>
          <t>1</t>
        </is>
      </c>
      <c r="J508">
        <f>(Inputs!$B$5*(1+Inputs!$B$6/100))*(F508/100)</f>
        <v/>
      </c>
      <c r="K508">
        <f>J508*(1+((Inputs!$B$11*(1+Inputs!$B$12/100))*0.01+Inputs!$B$13*0.0025)/100)*(1+Inputs!$B$14/100)*(1+IF(Inputs!$B$4="pvp",0,(1-Summary!$B$55)*(Inputs!$B$19+0+Skills!P7)+Summary!$B$55*(Inputs!$B$20+Skills!Q7))/100)*(1+Inputs!$B$15/100)*(5000/(6000+Inputs!$B$7*(1-(((1-(1-Inputs!$B$18/100)*(1-1/100))*100)+0)/100)))*(1+(Inputs!$B$23+((C523=TRUE)*(F523-Calc!F22))+B532)/100)*(1+(IF(Skills!A7="HOOK_BOMBER",Inputs!$B$16+((C522=TRUE)*(F522-Calc!F21)),Inputs!$B$17+0))/100)*((1+(((C514=TRUE)*F514)+((C520=TRUE)*(F520-Calc!F19)))/100)*I508)</f>
        <v/>
      </c>
      <c r="L508">
        <f>K508*(MIN(Inputs!$B$21+((C521=TRUE)*(F521-Calc!F20)),Inputs!$B$22+0)/100+(Inputs!$B$22+0)/100)/2</f>
        <v/>
      </c>
      <c r="M508">
        <f>L508*(1+(Inputs!$B$9+0+B531)/100)</f>
        <v/>
      </c>
      <c r="N508">
        <f>L508*(1-MIN((Inputs!$B$8+((C517=TRUE)*(F517-Calc!F16))+B526),100)/100)+M508*(MIN((Inputs!$B$8+((C517=TRUE)*(F517-Calc!F16))+B526),100)/100)</f>
        <v/>
      </c>
      <c r="O508">
        <f>IF(C508,H508*N508*IF(AND(Inputs!$B$4&lt;&gt;"pvp",Inputs!$B$35&gt;0),((Skills!G7*((R508-1)*IF(Skills!H7&gt;0,Skills!I7/Skills!H7,1)+IF(Skills!H7&gt;0,MIN(Skills!I7,MAX(0,Inputs!$B$35-((R508-1)*IF(Inputs!$B$4="pvp",15,MAX(0.1,Skills!D7-IF(Skills!E7=TRUE,Inputs!$B$31,0))))))/Skills!H7,1)))/Inputs!$B$35),G508*Q508)*IF(Inputs!$B$4="pvp",1,(1-Summary!$B$55)*(1)+Summary!$B$55*(MIN(Skills!R7,Inputs!$B$37))),0)</f>
        <v/>
      </c>
      <c r="P508">
        <f>IF(B534=0,0,O508/B534)</f>
        <v/>
      </c>
      <c r="Q508">
        <f>IFERROR(1/IF(Inputs!$B$4="pvp",15,MAX(0.1,Skills!D7-IF(Skills!E7=TRUE,Inputs!$B$31,0))),0)</f>
        <v/>
      </c>
      <c r="R508">
        <f>IF(AND(Inputs!$B$4&lt;&gt;"pvp",Inputs!$B$35&gt;0),(INT(Inputs!$B$35/IF(Inputs!$B$4="pvp",15,MAX(0.1,Skills!D7-IF(Skills!E7=TRUE,Inputs!$B$31,0))))+1),0)</f>
        <v/>
      </c>
      <c r="S508">
        <f>IFERROR(O508/N508,0)</f>
        <v/>
      </c>
    </row>
    <row r="509">
      <c r="A509">
        <f>Skills!A8</f>
        <v/>
      </c>
      <c r="B509">
        <f>Skills!B8</f>
        <v/>
      </c>
      <c r="C509">
        <f>Inputs!$B$3&gt;=110</f>
        <v/>
      </c>
      <c r="D509">
        <f>IF(Skills!C8=1,60+Inputs!$B$24+Inputs!$B$28,IF(Skills!C8=2,90+Inputs!$B$25+Inputs!$B$28,IF(Skills!C8=3,120+Inputs!$B$26+Inputs!$B$28,MAX(0,(Inputs!$B$3-100)*3)+Inputs!$B$27+Inputs!$B$28)))</f>
        <v/>
      </c>
      <c r="E509">
        <f>INDEX(FactorTable!$B$2:$Y$301, MATCH(ROUND(MIN(300,MAX(1,D509)),0), FactorTable!$A$2:$A$301,0), Skills!M8+1)</f>
        <v/>
      </c>
      <c r="F509">
        <f>IF(Skills!N8=TRUE,(Skills!L8/10)*(E509/1000),Skills!L8/10)+Skills!O8</f>
        <v/>
      </c>
      <c r="G509">
        <f>Skills!G8*IF(Skills!H8&gt;0,Skills!I8/Skills!H8,1)</f>
        <v/>
      </c>
      <c r="H509">
        <f>1-(1-Skills!J8/100)^Skills!K8</f>
        <v/>
      </c>
      <c r="I509" t="inlineStr">
        <is>
          <t>1</t>
        </is>
      </c>
      <c r="J509">
        <f>(Inputs!$B$5*(1+Inputs!$B$6/100))*(F509/100)</f>
        <v/>
      </c>
      <c r="K509">
        <f>J509*(1+((Inputs!$B$11*(1+Inputs!$B$12/100))*0.01+Inputs!$B$13*0.0025)/100)*(1+Inputs!$B$14/100)*(1+IF(Inputs!$B$4="pvp",0,(1-Summary!$B$55)*(Inputs!$B$19+0+Skills!P8)+Summary!$B$55*(Inputs!$B$20+Skills!Q8))/100)*(1+Inputs!$B$15/100)*(5000/(6000+Inputs!$B$7*(1-(((1-(1-Inputs!$B$18/100)*(1-1/100))*100)+0)/100)))*(1+(Inputs!$B$23+((C523=TRUE)*(F523-Calc!F22))+B532)/100)*(1+(IF(Skills!A8="HOOK_BOMBER",Inputs!$B$16+((C522=TRUE)*(F522-Calc!F21)),Inputs!$B$17+0))/100)*((1+(((C514=TRUE)*F514)+((C520=TRUE)*(F520-Calc!F19)))/100)*I509)</f>
        <v/>
      </c>
      <c r="L509">
        <f>K509*(MIN(Inputs!$B$21+((C521=TRUE)*(F521-Calc!F20)),Inputs!$B$22+0)/100+(Inputs!$B$22+0)/100)/2</f>
        <v/>
      </c>
      <c r="M509">
        <f>L509*(1+(Inputs!$B$9+0+B531)/100)</f>
        <v/>
      </c>
      <c r="N509">
        <f>L509*(1-MIN((Inputs!$B$8+((C517=TRUE)*(F517-Calc!F16))+B526),100)/100)+M509*(MIN((Inputs!$B$8+((C517=TRUE)*(F517-Calc!F16))+B526),100)/100)</f>
        <v/>
      </c>
      <c r="O509">
        <f>IF(C509,H509*N509*IF(AND(Inputs!$B$4&lt;&gt;"pvp",Inputs!$B$35&gt;0),((Skills!G8*((R509-1)*IF(Skills!H8&gt;0,Skills!I8/Skills!H8,1)+IF(Skills!H8&gt;0,MIN(Skills!I8,MAX(0,Inputs!$B$35-((R509-1)*IF(Inputs!$B$4="pvp",15,MAX(0.1,Skills!D8-IF(Skills!E8=TRUE,Inputs!$B$31,0))))))/Skills!H8,1)))/Inputs!$B$35),G509*Q509)*IF(Inputs!$B$4="pvp",1,(1-Summary!$B$55)*(1)+Summary!$B$55*(MIN(Skills!R8,Inputs!$B$37))),0)</f>
        <v/>
      </c>
      <c r="P509">
        <f>IF(B534=0,0,O509/B534)</f>
        <v/>
      </c>
      <c r="Q509">
        <f>IFERROR(1/IF(Inputs!$B$4="pvp",15,MAX(0.1,Skills!D8-IF(Skills!E8=TRUE,Inputs!$B$31,0))),0)</f>
        <v/>
      </c>
      <c r="R509">
        <f>IF(AND(Inputs!$B$4&lt;&gt;"pvp",Inputs!$B$35&gt;0),(INT(Inputs!$B$35/IF(Inputs!$B$4="pvp",15,MAX(0.1,Skills!D8-IF(Skills!E8=TRUE,Inputs!$B$31,0))))+1),0)</f>
        <v/>
      </c>
      <c r="S509">
        <f>IFERROR(O509/N509,0)</f>
        <v/>
      </c>
    </row>
    <row r="510">
      <c r="A510">
        <f>Skills!A9</f>
        <v/>
      </c>
      <c r="B510">
        <f>Skills!B9</f>
        <v/>
      </c>
      <c r="C510">
        <f>Inputs!$B$3&gt;=110</f>
        <v/>
      </c>
      <c r="D510">
        <f>IF(Skills!C9=1,60+Inputs!$B$24+Inputs!$B$28,IF(Skills!C9=2,90+Inputs!$B$25+Inputs!$B$28,IF(Skills!C9=3,120+Inputs!$B$26+Inputs!$B$28,MAX(0,(Inputs!$B$3-100)*3)+Inputs!$B$27+Inputs!$B$28)))</f>
        <v/>
      </c>
      <c r="E510">
        <f>INDEX(FactorTable!$B$2:$Y$301, MATCH(ROUND(MIN(300,MAX(1,D510)),0), FactorTable!$A$2:$A$301,0), Skills!M9+1)</f>
        <v/>
      </c>
      <c r="F510">
        <f>IF(Skills!N9=TRUE,(Skills!L9/10)*(E510/1000),Skills!L9/10)+Skills!O9</f>
        <v/>
      </c>
      <c r="G510">
        <f>Skills!G9*IF(Skills!H9&gt;0,Skills!I9/Skills!H9,1)</f>
        <v/>
      </c>
      <c r="H510">
        <f>1-(1-Skills!J9/100)^Skills!K9</f>
        <v/>
      </c>
      <c r="I510" t="inlineStr">
        <is>
          <t>1</t>
        </is>
      </c>
      <c r="J510">
        <f>(Inputs!$B$5*(1+Inputs!$B$6/100))*(F510/100)</f>
        <v/>
      </c>
      <c r="K510">
        <f>J510*(1+((Inputs!$B$11*(1+Inputs!$B$12/100))*0.01+Inputs!$B$13*0.0025)/100)*(1+Inputs!$B$14/100)*(1+IF(Inputs!$B$4="pvp",0,(1-Summary!$B$55)*(Inputs!$B$19+0+Skills!P9)+Summary!$B$55*(Inputs!$B$20+Skills!Q9))/100)*(1+Inputs!$B$15/100)*(5000/(6000+Inputs!$B$7*(1-(((1-(1-Inputs!$B$18/100)*(1-1/100))*100)+0)/100)))*(1+(Inputs!$B$23+((C523=TRUE)*(F523-Calc!F22))+B532)/100)*(1+(IF(Skills!A9="HOOK_BOMBER",Inputs!$B$16+((C522=TRUE)*(F522-Calc!F21)),Inputs!$B$17+0))/100)*((1+(((C514=TRUE)*F514)+((C520=TRUE)*(F520-Calc!F19)))/100)*I510)</f>
        <v/>
      </c>
      <c r="L510">
        <f>K510*(MIN(Inputs!$B$21+((C521=TRUE)*(F521-Calc!F20)),Inputs!$B$22+0)/100+(Inputs!$B$22+0)/100)/2</f>
        <v/>
      </c>
      <c r="M510">
        <f>L510*(1+(Inputs!$B$9+0+B531)/100)</f>
        <v/>
      </c>
      <c r="N510">
        <f>L510*(1-MIN((Inputs!$B$8+((C517=TRUE)*(F517-Calc!F16))+B526),100)/100)+M510*(MIN((Inputs!$B$8+((C517=TRUE)*(F517-Calc!F16))+B526),100)/100)</f>
        <v/>
      </c>
      <c r="O510">
        <f>IF(C510,H510*N510*IF(AND(Inputs!$B$4&lt;&gt;"pvp",Inputs!$B$35&gt;0),((Skills!G9*((R510-1)*IF(Skills!H9&gt;0,Skills!I9/Skills!H9,1)+IF(Skills!H9&gt;0,MIN(Skills!I9,MAX(0,Inputs!$B$35-((R510-1)*IF(Inputs!$B$4="pvp",15,MAX(0.1,Skills!D9-IF(Skills!E9=TRUE,Inputs!$B$31,0))))))/Skills!H9,1)))/Inputs!$B$35),G510*Q510)*IF(Inputs!$B$4="pvp",1,(1-Summary!$B$55)*(1)+Summary!$B$55*(MIN(Skills!R9,Inputs!$B$37))),0)</f>
        <v/>
      </c>
      <c r="P510">
        <f>IF(B534=0,0,O510/B534)</f>
        <v/>
      </c>
      <c r="Q510">
        <f>IFERROR(1/IF(Inputs!$B$4="pvp",15,MAX(0.1,Skills!D9-IF(Skills!E9=TRUE,Inputs!$B$31,0))),0)</f>
        <v/>
      </c>
      <c r="R510">
        <f>IF(AND(Inputs!$B$4&lt;&gt;"pvp",Inputs!$B$35&gt;0),(INT(Inputs!$B$35/IF(Inputs!$B$4="pvp",15,MAX(0.1,Skills!D9-IF(Skills!E9=TRUE,Inputs!$B$31,0))))+1),0)</f>
        <v/>
      </c>
      <c r="S510">
        <f>IFERROR(O510/N510,0)</f>
        <v/>
      </c>
    </row>
    <row r="511">
      <c r="A511">
        <f>Skills!A10</f>
        <v/>
      </c>
      <c r="B511">
        <f>Skills!B10</f>
        <v/>
      </c>
      <c r="C511">
        <f>Inputs!$B$3&gt;=103</f>
        <v/>
      </c>
      <c r="D511">
        <f>IF(Skills!C10=1,60+Inputs!$B$24+Inputs!$B$28,IF(Skills!C10=2,90+Inputs!$B$25+Inputs!$B$28,IF(Skills!C10=3,120+Inputs!$B$26+Inputs!$B$28,MAX(0,(Inputs!$B$3-100)*3)+Inputs!$B$27+Inputs!$B$28)))</f>
        <v/>
      </c>
      <c r="E511">
        <f>INDEX(FactorTable!$B$2:$Y$301, MATCH(ROUND(MIN(300,MAX(1,D511)),0), FactorTable!$A$2:$A$301,0), Skills!M10+1)</f>
        <v/>
      </c>
      <c r="F511">
        <f>IF(Skills!N10=TRUE,(Skills!L10/10)*(E511/1000),Skills!L10/10)+Skills!O10</f>
        <v/>
      </c>
      <c r="G511">
        <f>Skills!G10*IF(Skills!H10&gt;0,Skills!I10/Skills!H10,1)</f>
        <v/>
      </c>
      <c r="H511">
        <f>1-(1-Skills!J10/100)^Skills!K10</f>
        <v/>
      </c>
      <c r="I511" t="inlineStr">
        <is>
          <t>1</t>
        </is>
      </c>
      <c r="J511">
        <f>(Inputs!$B$5*(1+Inputs!$B$6/100))*(F511/100)</f>
        <v/>
      </c>
      <c r="K511">
        <f>J511*(1+((Inputs!$B$11*(1+Inputs!$B$12/100))*0.01+Inputs!$B$13*0.0025)/100)*(1+Inputs!$B$14/100)*(1+IF(Inputs!$B$4="pvp",0,(1-Summary!$B$55)*(Inputs!$B$19+0+Skills!P10)+Summary!$B$55*(Inputs!$B$20+Skills!Q10))/100)*(1+Inputs!$B$15/100)*(5000/(6000+Inputs!$B$7*(1-(((1-(1-Inputs!$B$18/100)*(1-1/100))*100)+0)/100)))*(1+(Inputs!$B$23+((C523=TRUE)*(F523-Calc!F22))+B532)/100)*(1+(IF(Skills!A10="HOOK_BOMBER",Inputs!$B$16+((C522=TRUE)*(F522-Calc!F21)),Inputs!$B$17+0))/100)*((1+(((C514=TRUE)*F514)+((C520=TRUE)*(F520-Calc!F19)))/100)*I511)</f>
        <v/>
      </c>
      <c r="L511">
        <f>K511*(MIN(Inputs!$B$21+((C521=TRUE)*(F521-Calc!F20)),Inputs!$B$22+0)/100+(Inputs!$B$22+0)/100)/2</f>
        <v/>
      </c>
      <c r="M511">
        <f>L511*(1+(Inputs!$B$9+0+B531)/100)</f>
        <v/>
      </c>
      <c r="N511">
        <f>L511*(1-MIN((Inputs!$B$8+((C517=TRUE)*(F517-Calc!F16))+B526),100)/100)+M511*(MIN((Inputs!$B$8+((C517=TRUE)*(F517-Calc!F16))+B526),100)/100)</f>
        <v/>
      </c>
      <c r="O511">
        <f>IF(C511,H511*N511*IF(AND(Inputs!$B$4&lt;&gt;"pvp",Inputs!$B$35&gt;0),((Skills!G10*((R511-1)*IF(Skills!H10&gt;0,Skills!I10/Skills!H10,1)+IF(Skills!H10&gt;0,MIN(Skills!I10,MAX(0,Inputs!$B$35-((R511-1)*IF(Inputs!$B$4="pvp",15,MAX(0.1,Skills!D10-IF(Skills!E10=TRUE,Inputs!$B$31,0))))))/Skills!H10,1)))/Inputs!$B$35),G511*Q511)*IF(Inputs!$B$4="pvp",1,(1-Summary!$B$55)*(1)+Summary!$B$55*(MIN(Skills!R10,Inputs!$B$37))),0)</f>
        <v/>
      </c>
      <c r="P511">
        <f>IF(B534=0,0,O511/B534)</f>
        <v/>
      </c>
      <c r="Q511">
        <f>IFERROR(1/IF(Inputs!$B$4="pvp",15,MAX(0.1,Skills!D10-IF(Skills!E10=TRUE,Inputs!$B$31,0))),0)</f>
        <v/>
      </c>
      <c r="R511">
        <f>IF(AND(Inputs!$B$4&lt;&gt;"pvp",Inputs!$B$35&gt;0),(INT(Inputs!$B$35/IF(Inputs!$B$4="pvp",15,MAX(0.1,Skills!D10-IF(Skills!E10=TRUE,Inputs!$B$31,0))))+1),0)</f>
        <v/>
      </c>
      <c r="S511">
        <f>IFERROR(O511/N511,0)</f>
        <v/>
      </c>
    </row>
    <row r="512">
      <c r="A512">
        <f>Skills!A11</f>
        <v/>
      </c>
      <c r="B512">
        <f>Skills!B11</f>
        <v/>
      </c>
      <c r="C512">
        <f>Inputs!$B$3&gt;=113</f>
        <v/>
      </c>
      <c r="D512">
        <f>IF(Skills!C11=1,60+Inputs!$B$24+Inputs!$B$28,IF(Skills!C11=2,90+Inputs!$B$25+Inputs!$B$28,IF(Skills!C11=3,120+Inputs!$B$26+Inputs!$B$28,MAX(0,(Inputs!$B$3-100)*3)+Inputs!$B$27+Inputs!$B$28)))</f>
        <v/>
      </c>
      <c r="E512">
        <f>INDEX(FactorTable!$B$2:$Y$301, MATCH(ROUND(MIN(300,MAX(1,D512)),0), FactorTable!$A$2:$A$301,0), Skills!M11+1)</f>
        <v/>
      </c>
      <c r="F512">
        <f>IF(Skills!N11=TRUE,(Skills!L11/10)*(E512/1000),Skills!L11/10)+Skills!O11</f>
        <v/>
      </c>
      <c r="G512">
        <f>Skills!G11*IF(Skills!H11&gt;0,Skills!I11/Skills!H11,1)</f>
        <v/>
      </c>
      <c r="H512">
        <f>1-(1-Skills!J11/100)^Skills!K11</f>
        <v/>
      </c>
      <c r="I512" t="inlineStr">
        <is>
          <t>1</t>
        </is>
      </c>
      <c r="J512">
        <f>(Inputs!$B$5*(1+Inputs!$B$6/100))*(F512/100)</f>
        <v/>
      </c>
      <c r="K512">
        <f>J512*(1+((Inputs!$B$11*(1+Inputs!$B$12/100))*0.01+Inputs!$B$13*0.0025)/100)*(1+Inputs!$B$14/100)*(1+IF(Inputs!$B$4="pvp",0,(1-Summary!$B$55)*(Inputs!$B$19+0+Skills!P11)+Summary!$B$55*(Inputs!$B$20+Skills!Q11))/100)*(1+Inputs!$B$15/100)*(5000/(6000+Inputs!$B$7*(1-(((1-(1-Inputs!$B$18/100)*(1-1/100))*100)+0)/100)))*(1+(Inputs!$B$23+((C523=TRUE)*(F523-Calc!F22))+B532)/100)*(1+(IF(Skills!A11="HOOK_BOMBER",Inputs!$B$16+((C522=TRUE)*(F522-Calc!F21)),Inputs!$B$17+0))/100)*((1+(((C514=TRUE)*F514)+((C520=TRUE)*(F520-Calc!F19)))/100)*I512)</f>
        <v/>
      </c>
      <c r="L512">
        <f>K512*(MIN(Inputs!$B$21+((C521=TRUE)*(F521-Calc!F20)),Inputs!$B$22+0)/100+(Inputs!$B$22+0)/100)/2</f>
        <v/>
      </c>
      <c r="M512">
        <f>L512*(1+(Inputs!$B$9+0+B531)/100)</f>
        <v/>
      </c>
      <c r="N512">
        <f>L512*(1-MIN((Inputs!$B$8+((C517=TRUE)*(F517-Calc!F16))+B526),100)/100)+M512*(MIN((Inputs!$B$8+((C517=TRUE)*(F517-Calc!F16))+B526),100)/100)</f>
        <v/>
      </c>
      <c r="O512">
        <f>IF(C512,H512*N512*IF(AND(Inputs!$B$4&lt;&gt;"pvp",Inputs!$B$35&gt;0),((Skills!G11*((R512-1)*IF(Skills!H11&gt;0,Skills!I11/Skills!H11,1)+IF(Skills!H11&gt;0,MIN(Skills!I11,MAX(0,Inputs!$B$35-((R512-1)*IF(Inputs!$B$4="pvp",15,MAX(0.1,Skills!D11-IF(Skills!E11=TRUE,Inputs!$B$31,0))))))/Skills!H11,1)))/Inputs!$B$35),G512*Q512)*IF(Inputs!$B$4="pvp",1,(1-Summary!$B$55)*(1)+Summary!$B$55*(MIN(Skills!R11,Inputs!$B$37))),0)</f>
        <v/>
      </c>
      <c r="P512">
        <f>IF(B534=0,0,O512/B534)</f>
        <v/>
      </c>
      <c r="Q512">
        <f>IFERROR(1/IF(Inputs!$B$4="pvp",15,MAX(0.1,Skills!D11-IF(Skills!E11=TRUE,Inputs!$B$31,0))),0)</f>
        <v/>
      </c>
      <c r="R512">
        <f>IF(AND(Inputs!$B$4&lt;&gt;"pvp",Inputs!$B$35&gt;0),(INT(Inputs!$B$35/IF(Inputs!$B$4="pvp",15,MAX(0.1,Skills!D11-IF(Skills!E11=TRUE,Inputs!$B$31,0))))+1),0)</f>
        <v/>
      </c>
      <c r="S512">
        <f>IFERROR(O512/N512,0)</f>
        <v/>
      </c>
    </row>
    <row r="513">
      <c r="A513">
        <f>Skills!A12</f>
        <v/>
      </c>
      <c r="B513">
        <f>Skills!B12</f>
        <v/>
      </c>
      <c r="C513">
        <f>Inputs!$B$3&gt;=100</f>
        <v/>
      </c>
      <c r="D513">
        <f>IF(Skills!C12=1,60+Inputs!$B$24+Inputs!$B$28,IF(Skills!C12=2,90+Inputs!$B$25+Inputs!$B$28,IF(Skills!C12=3,120+Inputs!$B$26+Inputs!$B$28,MAX(0,(Inputs!$B$3-100)*3)+Inputs!$B$27+Inputs!$B$28)))</f>
        <v/>
      </c>
      <c r="E513">
        <f>INDEX(FactorTable!$B$2:$Y$301, MATCH(ROUND(MIN(300,MAX(1,D513)),0), FactorTable!$A$2:$A$301,0), Skills!M12+1)</f>
        <v/>
      </c>
      <c r="F513">
        <f>IF(Skills!N12=TRUE,(Skills!L12/10)*(E513/1000),Skills!L12/10)+Skills!O12</f>
        <v/>
      </c>
      <c r="G513" t="inlineStr"/>
      <c r="H513" t="inlineStr"/>
      <c r="I513" t="inlineStr">
        <is>
          <t>1</t>
        </is>
      </c>
      <c r="J513" t="inlineStr"/>
      <c r="K513" t="inlineStr"/>
      <c r="L513" t="inlineStr"/>
      <c r="M513" t="inlineStr"/>
      <c r="N513" t="inlineStr"/>
      <c r="O513" t="inlineStr"/>
      <c r="P513" t="inlineStr"/>
      <c r="Q513" t="inlineStr"/>
      <c r="R513" t="inlineStr"/>
      <c r="S513" t="inlineStr"/>
    </row>
    <row r="514">
      <c r="A514">
        <f>Skills!A13</f>
        <v/>
      </c>
      <c r="B514">
        <f>Skills!B13</f>
        <v/>
      </c>
      <c r="C514">
        <f>Inputs!$B$3&gt;=66</f>
        <v/>
      </c>
      <c r="D514">
        <f>IF(Skills!C13=1,60+Inputs!$B$24+Inputs!$B$28,IF(Skills!C13=2,90+Inputs!$B$25+Inputs!$B$28,IF(Skills!C13=3,120+Inputs!$B$26+Inputs!$B$28,MAX(0,(Inputs!$B$3-100)*3)+Inputs!$B$27+Inputs!$B$28)))</f>
        <v/>
      </c>
      <c r="E514">
        <f>INDEX(FactorTable!$B$2:$Y$301, MATCH(ROUND(MIN(300,MAX(1,D514)),0), FactorTable!$A$2:$A$301,0), Skills!M13+1)</f>
        <v/>
      </c>
      <c r="F514">
        <f>IF(Skills!N13=TRUE,(Skills!L13/10)*(E514/1000),Skills!L13/10)+Skills!O13</f>
        <v/>
      </c>
      <c r="G514">
        <f>Skills!G13*IF(Skills!H13&gt;0,Skills!I13/Skills!H13,1)</f>
        <v/>
      </c>
      <c r="H514">
        <f>1-(1-Skills!J13/100)^Skills!K13</f>
        <v/>
      </c>
      <c r="I514" t="inlineStr">
        <is>
          <t>1</t>
        </is>
      </c>
      <c r="J514" t="inlineStr"/>
      <c r="K514" t="inlineStr"/>
      <c r="L514" t="inlineStr"/>
      <c r="M514" t="inlineStr"/>
      <c r="N514" t="inlineStr"/>
      <c r="O514" t="n">
        <v>0</v>
      </c>
      <c r="P514">
        <f>IF(B534=0,0,O514/B534)</f>
        <v/>
      </c>
      <c r="Q514" t="n">
        <v>0</v>
      </c>
      <c r="R514" t="n">
        <v>0</v>
      </c>
      <c r="S514">
        <f>IFERROR(O514/N514,0)</f>
        <v/>
      </c>
    </row>
    <row r="515">
      <c r="A515">
        <f>Skills!A14</f>
        <v/>
      </c>
      <c r="B515">
        <f>Skills!B14</f>
        <v/>
      </c>
      <c r="C515">
        <f>Inputs!$B$3&gt;=107</f>
        <v/>
      </c>
      <c r="D515">
        <f>IF(Skills!C14=1,60+Inputs!$B$24+Inputs!$B$28,IF(Skills!C14=2,90+Inputs!$B$25+Inputs!$B$28,IF(Skills!C14=3,120+Inputs!$B$26+Inputs!$B$28,MAX(0,(Inputs!$B$3-100)*3)+Inputs!$B$27+Inputs!$B$28)))</f>
        <v/>
      </c>
      <c r="E515">
        <f>INDEX(FactorTable!$B$2:$Y$301, MATCH(ROUND(MIN(300,MAX(1,D515)),0), FactorTable!$A$2:$A$301,0), Skills!M14+1)</f>
        <v/>
      </c>
      <c r="F515">
        <f>IF(Skills!N14=TRUE,(Skills!L14/10)*(E515/1000),Skills!L14/10)+Skills!O14</f>
        <v/>
      </c>
      <c r="G515">
        <f>Skills!G14*IF(Skills!H14&gt;0,Skills!I14/Skills!H14,1)</f>
        <v/>
      </c>
      <c r="H515">
        <f>1-(1-Skills!J14/100)^Skills!K14</f>
        <v/>
      </c>
      <c r="I515" t="inlineStr">
        <is>
          <t>1</t>
        </is>
      </c>
      <c r="J515" t="inlineStr"/>
      <c r="K515" t="inlineStr"/>
      <c r="L515" t="inlineStr"/>
      <c r="M515" t="inlineStr"/>
      <c r="N515" t="inlineStr"/>
      <c r="O515" t="n">
        <v>0</v>
      </c>
      <c r="P515">
        <f>IF(B534=0,0,O515/B534)</f>
        <v/>
      </c>
      <c r="Q515" t="n">
        <v>0</v>
      </c>
      <c r="R515" t="n">
        <v>0</v>
      </c>
      <c r="S515">
        <f>IFERROR(O515/N515,0)</f>
        <v/>
      </c>
    </row>
    <row r="516">
      <c r="A516">
        <f>Skills!A15</f>
        <v/>
      </c>
      <c r="B516">
        <f>Skills!B15</f>
        <v/>
      </c>
      <c r="C516">
        <f>Inputs!$B$3&gt;=115</f>
        <v/>
      </c>
      <c r="D516">
        <f>IF(Skills!C15=1,60+Inputs!$B$24+Inputs!$B$28,IF(Skills!C15=2,90+Inputs!$B$25+Inputs!$B$28,IF(Skills!C15=3,120+Inputs!$B$26+Inputs!$B$28,MAX(0,(Inputs!$B$3-100)*3)+Inputs!$B$27+Inputs!$B$28)))</f>
        <v/>
      </c>
      <c r="E516">
        <f>INDEX(FactorTable!$B$2:$Y$301, MATCH(ROUND(MIN(300,MAX(1,D516)),0), FactorTable!$A$2:$A$301,0), Skills!M15+1)</f>
        <v/>
      </c>
      <c r="F516">
        <f>IF(Skills!N15=TRUE,(Skills!L15/10)*(E516/1000),Skills!L15/10)+Skills!O15</f>
        <v/>
      </c>
      <c r="G516">
        <f>Skills!G15*IF(Skills!H15&gt;0,Skills!I15/Skills!H15,1)</f>
        <v/>
      </c>
      <c r="H516">
        <f>1-(1-Skills!J15/100)^Skills!K15</f>
        <v/>
      </c>
      <c r="I516" t="inlineStr">
        <is>
          <t>1</t>
        </is>
      </c>
      <c r="J516" t="inlineStr"/>
      <c r="K516" t="inlineStr"/>
      <c r="L516" t="inlineStr"/>
      <c r="M516" t="inlineStr"/>
      <c r="N516" t="inlineStr"/>
      <c r="O516" t="n">
        <v>0</v>
      </c>
      <c r="P516">
        <f>IF(B534=0,0,O516/B534)</f>
        <v/>
      </c>
      <c r="Q516" t="n">
        <v>0</v>
      </c>
      <c r="R516" t="n">
        <v>0</v>
      </c>
      <c r="S516">
        <f>IFERROR(O516/N516,0)</f>
        <v/>
      </c>
    </row>
    <row r="517">
      <c r="A517">
        <f>Skills!A16</f>
        <v/>
      </c>
      <c r="B517">
        <f>Skills!B16</f>
        <v/>
      </c>
      <c r="C517">
        <f>Inputs!$B$3&gt;=15</f>
        <v/>
      </c>
      <c r="D517">
        <f>IF(Skills!C16=1,60+Inputs!$B$24+Inputs!$B$28,IF(Skills!C16=2,90+Inputs!$B$25+Inputs!$B$28,IF(Skills!C16=3,120+Inputs!$B$26+Inputs!$B$28,MAX(0,(Inputs!$B$3-100)*3)+Inputs!$B$27+Inputs!$B$28)))</f>
        <v/>
      </c>
      <c r="E517">
        <f>INDEX(FactorTable!$B$2:$Y$301, MATCH(ROUND(MIN(300,MAX(1,D517)),0), FactorTable!$A$2:$A$301,0), Skills!M16+1)</f>
        <v/>
      </c>
      <c r="F517">
        <f>IF(Skills!N16=TRUE,(Skills!L16/10)*(E517/1000),Skills!L16/10)+Skills!O16</f>
        <v/>
      </c>
      <c r="G517">
        <f>Skills!G16*IF(Skills!H16&gt;0,Skills!I16/Skills!H16,1)</f>
        <v/>
      </c>
      <c r="H517">
        <f>1-(1-Skills!J16/100)^Skills!K16</f>
        <v/>
      </c>
      <c r="I517" t="inlineStr">
        <is>
          <t>1</t>
        </is>
      </c>
      <c r="J517" t="inlineStr"/>
      <c r="K517" t="inlineStr"/>
      <c r="L517" t="inlineStr"/>
      <c r="M517" t="inlineStr"/>
      <c r="N517" t="inlineStr"/>
      <c r="O517" t="n">
        <v>0</v>
      </c>
      <c r="P517">
        <f>IF(B534=0,0,O517/B534)</f>
        <v/>
      </c>
      <c r="Q517" t="n">
        <v>0</v>
      </c>
      <c r="R517" t="n">
        <v>0</v>
      </c>
      <c r="S517">
        <f>IFERROR(O517/N517,0)</f>
        <v/>
      </c>
    </row>
    <row r="518">
      <c r="A518">
        <f>Skills!A17</f>
        <v/>
      </c>
      <c r="B518">
        <f>Skills!B17</f>
        <v/>
      </c>
      <c r="C518">
        <f>Inputs!$B$3&gt;=10</f>
        <v/>
      </c>
      <c r="D518">
        <f>IF(Skills!C17=1,60+Inputs!$B$24+Inputs!$B$28,IF(Skills!C17=2,90+Inputs!$B$25+Inputs!$B$28,IF(Skills!C17=3,120+Inputs!$B$26+Inputs!$B$28,MAX(0,(Inputs!$B$3-100)*3)+Inputs!$B$27+Inputs!$B$28)))</f>
        <v/>
      </c>
      <c r="E518">
        <f>INDEX(FactorTable!$B$2:$Y$301, MATCH(ROUND(MIN(300,MAX(1,D518)),0), FactorTable!$A$2:$A$301,0), Skills!M17+1)</f>
        <v/>
      </c>
      <c r="F518">
        <f>IF(Skills!N17=TRUE,(Skills!L17/10)*(E518/1000),Skills!L17/10)+Skills!O17</f>
        <v/>
      </c>
      <c r="G518">
        <f>Skills!G17*IF(Skills!H17&gt;0,Skills!I17/Skills!H17,1)</f>
        <v/>
      </c>
      <c r="H518">
        <f>1-(1-Skills!J17/100)^Skills!K17</f>
        <v/>
      </c>
      <c r="I518" t="inlineStr">
        <is>
          <t>1</t>
        </is>
      </c>
      <c r="J518" t="inlineStr"/>
      <c r="K518" t="inlineStr"/>
      <c r="L518" t="inlineStr"/>
      <c r="M518" t="inlineStr"/>
      <c r="N518" t="inlineStr"/>
      <c r="O518" t="n">
        <v>0</v>
      </c>
      <c r="P518">
        <f>IF(B534=0,0,O518/B534)</f>
        <v/>
      </c>
      <c r="Q518" t="n">
        <v>0</v>
      </c>
      <c r="R518" t="n">
        <v>0</v>
      </c>
      <c r="S518">
        <f>IFERROR(O518/N518,0)</f>
        <v/>
      </c>
    </row>
    <row r="519">
      <c r="A519">
        <f>Skills!A18</f>
        <v/>
      </c>
      <c r="B519">
        <f>Skills!B18</f>
        <v/>
      </c>
      <c r="C519">
        <f>Inputs!$B$3&gt;=33</f>
        <v/>
      </c>
      <c r="D519">
        <f>IF(Skills!C18=1,60+Inputs!$B$24+Inputs!$B$28,IF(Skills!C18=2,90+Inputs!$B$25+Inputs!$B$28,IF(Skills!C18=3,120+Inputs!$B$26+Inputs!$B$28,MAX(0,(Inputs!$B$3-100)*3)+Inputs!$B$27+Inputs!$B$28)))</f>
        <v/>
      </c>
      <c r="E519">
        <f>INDEX(FactorTable!$B$2:$Y$301, MATCH(ROUND(MIN(300,MAX(1,D519)),0), FactorTable!$A$2:$A$301,0), Skills!M18+1)</f>
        <v/>
      </c>
      <c r="F519">
        <f>IF(Skills!N18=TRUE,(Skills!L18/10)*(E519/1000),Skills!L18/10)+Skills!O18</f>
        <v/>
      </c>
      <c r="G519">
        <f>Skills!G18*IF(Skills!H18&gt;0,Skills!I18/Skills!H18,1)</f>
        <v/>
      </c>
      <c r="H519">
        <f>1-(1-Skills!J18/100)^Skills!K18</f>
        <v/>
      </c>
      <c r="I519" t="inlineStr">
        <is>
          <t>1</t>
        </is>
      </c>
      <c r="J519" t="inlineStr"/>
      <c r="K519" t="inlineStr"/>
      <c r="L519" t="inlineStr"/>
      <c r="M519" t="inlineStr"/>
      <c r="N519" t="inlineStr"/>
      <c r="O519" t="n">
        <v>0</v>
      </c>
      <c r="P519">
        <f>IF(B534=0,0,O519/B534)</f>
        <v/>
      </c>
      <c r="Q519" t="n">
        <v>0</v>
      </c>
      <c r="R519" t="n">
        <v>0</v>
      </c>
      <c r="S519">
        <f>IFERROR(O519/N519,0)</f>
        <v/>
      </c>
    </row>
    <row r="520">
      <c r="A520">
        <f>Skills!A19</f>
        <v/>
      </c>
      <c r="B520">
        <f>Skills!B19</f>
        <v/>
      </c>
      <c r="C520">
        <f>Inputs!$B$3&gt;=40</f>
        <v/>
      </c>
      <c r="D520">
        <f>IF(Skills!C19=1,60+Inputs!$B$24+Inputs!$B$28,IF(Skills!C19=2,90+Inputs!$B$25+Inputs!$B$28,IF(Skills!C19=3,120+Inputs!$B$26+Inputs!$B$28,MAX(0,(Inputs!$B$3-100)*3)+Inputs!$B$27+Inputs!$B$28)))</f>
        <v/>
      </c>
      <c r="E520">
        <f>INDEX(FactorTable!$B$2:$Y$301, MATCH(ROUND(MIN(300,MAX(1,D520)),0), FactorTable!$A$2:$A$301,0), Skills!M19+1)</f>
        <v/>
      </c>
      <c r="F520">
        <f>IF(Skills!N19=TRUE,(Skills!L19/10)*(E520/1000),Skills!L19/10)+Skills!O19</f>
        <v/>
      </c>
      <c r="G520">
        <f>Skills!G19*IF(Skills!H19&gt;0,Skills!I19/Skills!H19,1)</f>
        <v/>
      </c>
      <c r="H520">
        <f>1-(1-Skills!J19/100)^Skills!K19</f>
        <v/>
      </c>
      <c r="I520" t="inlineStr">
        <is>
          <t>1</t>
        </is>
      </c>
      <c r="J520" t="inlineStr"/>
      <c r="K520" t="inlineStr"/>
      <c r="L520" t="inlineStr"/>
      <c r="M520" t="inlineStr"/>
      <c r="N520" t="inlineStr"/>
      <c r="O520" t="n">
        <v>0</v>
      </c>
      <c r="P520">
        <f>IF(B534=0,0,O520/B534)</f>
        <v/>
      </c>
      <c r="Q520" t="n">
        <v>0</v>
      </c>
      <c r="R520" t="n">
        <v>0</v>
      </c>
      <c r="S520">
        <f>IFERROR(O520/N520,0)</f>
        <v/>
      </c>
    </row>
    <row r="521">
      <c r="A521">
        <f>Skills!A20</f>
        <v/>
      </c>
      <c r="B521">
        <f>Skills!B20</f>
        <v/>
      </c>
      <c r="C521">
        <f>Inputs!$B$3&gt;=43</f>
        <v/>
      </c>
      <c r="D521">
        <f>IF(Skills!C20=1,60+Inputs!$B$24+Inputs!$B$28,IF(Skills!C20=2,90+Inputs!$B$25+Inputs!$B$28,IF(Skills!C20=3,120+Inputs!$B$26+Inputs!$B$28,MAX(0,(Inputs!$B$3-100)*3)+Inputs!$B$27+Inputs!$B$28)))</f>
        <v/>
      </c>
      <c r="E521">
        <f>INDEX(FactorTable!$B$2:$Y$301, MATCH(ROUND(MIN(300,MAX(1,D521)),0), FactorTable!$A$2:$A$301,0), Skills!M20+1)</f>
        <v/>
      </c>
      <c r="F521">
        <f>IF(Skills!N20=TRUE,(Skills!L20/10)*(E521/1000),Skills!L20/10)+Skills!O20</f>
        <v/>
      </c>
      <c r="G521">
        <f>Skills!G20*IF(Skills!H20&gt;0,Skills!I20/Skills!H20,1)</f>
        <v/>
      </c>
      <c r="H521">
        <f>1-(1-Skills!J20/100)^Skills!K20</f>
        <v/>
      </c>
      <c r="I521" t="inlineStr">
        <is>
          <t>1</t>
        </is>
      </c>
      <c r="J521" t="inlineStr"/>
      <c r="K521" t="inlineStr"/>
      <c r="L521" t="inlineStr"/>
      <c r="M521" t="inlineStr"/>
      <c r="N521" t="inlineStr"/>
      <c r="O521" t="n">
        <v>0</v>
      </c>
      <c r="P521">
        <f>IF(B534=0,0,O521/B534)</f>
        <v/>
      </c>
      <c r="Q521" t="n">
        <v>0</v>
      </c>
      <c r="R521" t="n">
        <v>0</v>
      </c>
      <c r="S521">
        <f>IFERROR(O521/N521,0)</f>
        <v/>
      </c>
    </row>
    <row r="522">
      <c r="A522">
        <f>Skills!A21</f>
        <v/>
      </c>
      <c r="B522">
        <f>Skills!B21</f>
        <v/>
      </c>
      <c r="C522">
        <f>Inputs!$B$3&gt;=38</f>
        <v/>
      </c>
      <c r="D522">
        <f>IF(Skills!C21=1,60+Inputs!$B$24+Inputs!$B$28,IF(Skills!C21=2,90+Inputs!$B$25+Inputs!$B$28,IF(Skills!C21=3,120+Inputs!$B$26+Inputs!$B$28,MAX(0,(Inputs!$B$3-100)*3)+Inputs!$B$27+Inputs!$B$28)))</f>
        <v/>
      </c>
      <c r="E522">
        <f>INDEX(FactorTable!$B$2:$Y$301, MATCH(ROUND(MIN(300,MAX(1,D522)),0), FactorTable!$A$2:$A$301,0), Skills!M21+1)</f>
        <v/>
      </c>
      <c r="F522">
        <f>IF(Skills!N21=TRUE,(Skills!L21/10)*(E522/1000),Skills!L21/10)+Skills!O21</f>
        <v/>
      </c>
      <c r="G522">
        <f>Skills!G21*IF(Skills!H21&gt;0,Skills!I21/Skills!H21,1)</f>
        <v/>
      </c>
      <c r="H522">
        <f>1-(1-Skills!J21/100)^Skills!K21</f>
        <v/>
      </c>
      <c r="I522" t="inlineStr">
        <is>
          <t>1</t>
        </is>
      </c>
      <c r="J522" t="inlineStr"/>
      <c r="K522" t="inlineStr"/>
      <c r="L522" t="inlineStr"/>
      <c r="M522" t="inlineStr"/>
      <c r="N522" t="inlineStr"/>
      <c r="O522" t="n">
        <v>0</v>
      </c>
      <c r="P522">
        <f>IF(B534=0,0,O522/B534)</f>
        <v/>
      </c>
      <c r="Q522" t="n">
        <v>0</v>
      </c>
      <c r="R522" t="n">
        <v>0</v>
      </c>
      <c r="S522">
        <f>IFERROR(O522/N522,0)</f>
        <v/>
      </c>
    </row>
    <row r="523">
      <c r="A523">
        <f>Skills!A22</f>
        <v/>
      </c>
      <c r="B523">
        <f>Skills!B22</f>
        <v/>
      </c>
      <c r="C523">
        <f>Inputs!$B$3&gt;=75</f>
        <v/>
      </c>
      <c r="D523">
        <f>IF(Skills!C22=1,60+Inputs!$B$24+Inputs!$B$28,IF(Skills!C22=2,90+Inputs!$B$25+Inputs!$B$28,IF(Skills!C22=3,120+Inputs!$B$26+Inputs!$B$28,MAX(0,(Inputs!$B$3-100)*3)+Inputs!$B$27+Inputs!$B$28)))</f>
        <v/>
      </c>
      <c r="E523">
        <f>INDEX(FactorTable!$B$2:$Y$301, MATCH(ROUND(MIN(300,MAX(1,D523)),0), FactorTable!$A$2:$A$301,0), Skills!M22+1)</f>
        <v/>
      </c>
      <c r="F523">
        <f>IF(Skills!N22=TRUE,(Skills!L22/10)*(E523/1000),Skills!L22/10)+Skills!O22</f>
        <v/>
      </c>
      <c r="G523">
        <f>Skills!G22*IF(Skills!H22&gt;0,Skills!I22/Skills!H22,1)</f>
        <v/>
      </c>
      <c r="H523">
        <f>1-(1-Skills!J22/100)^Skills!K22</f>
        <v/>
      </c>
      <c r="I523" t="inlineStr">
        <is>
          <t>1</t>
        </is>
      </c>
      <c r="J523" t="inlineStr"/>
      <c r="K523" t="inlineStr"/>
      <c r="L523" t="inlineStr"/>
      <c r="M523" t="inlineStr"/>
      <c r="N523" t="inlineStr"/>
      <c r="O523" t="n">
        <v>0</v>
      </c>
      <c r="P523">
        <f>IF(B534=0,0,O523/B534)</f>
        <v/>
      </c>
      <c r="Q523" t="n">
        <v>0</v>
      </c>
      <c r="R523" t="n">
        <v>0</v>
      </c>
      <c r="S523">
        <f>IFERROR(O523/N523,0)</f>
        <v/>
      </c>
    </row>
    <row r="525">
      <c r="A525" t="inlineStr">
        <is>
          <t>Attack% Bucket Multiplier</t>
        </is>
      </c>
      <c r="B525">
        <f>(1+(((C514=TRUE)*F514)+((C520=TRUE)*(F520-Calc!F19)))/100)</f>
        <v/>
      </c>
    </row>
    <row r="526">
      <c r="A526" t="inlineStr">
        <is>
          <t>Global Crit Rate Bonus %</t>
        </is>
      </c>
      <c r="B526" t="n">
        <v>0</v>
      </c>
    </row>
    <row r="527">
      <c r="A527" t="inlineStr">
        <is>
          <t>Attack Speed Buff Bonus % (unused)</t>
        </is>
      </c>
      <c r="B527" t="n">
        <v>0</v>
      </c>
    </row>
    <row r="528">
      <c r="A528" t="inlineStr">
        <is>
          <t>Actions Per Second</t>
        </is>
      </c>
      <c r="B528">
        <f>1+MIN(150,150*(1-(1-(Inputs!$B$10+((C518=TRUE)*(F518-Calc!F17))+((C519=TRUE)*(F519-Calc!F18)))/150)*(1-B527/150)))/100</f>
        <v/>
      </c>
    </row>
    <row r="529">
      <c r="A529" t="inlineStr">
        <is>
          <t>Skill + Buff Cast Rate</t>
        </is>
      </c>
      <c r="B529">
        <f>IF(AND(Inputs!$B$4&lt;&gt;"pvp",Inputs!$B$35&gt;0),SUMPRODUCT((Skills!E2:E22=TRUE)*(C503:C523=TRUE)*R503:R523*Skills!F2:F22)/Inputs!$B$35,SUMPRODUCT((Skills!E2:E22=TRUE)*(C503:C523=TRUE)*Q503:Q523*Skills!F2:F22))</f>
        <v/>
      </c>
    </row>
    <row r="530">
      <c r="A530" t="inlineStr">
        <is>
          <t>Hook Bomber Casts Per Second</t>
        </is>
      </c>
      <c r="B530">
        <f>MAX(0,B528-B529)</f>
        <v/>
      </c>
    </row>
    <row r="531">
      <c r="A531" t="inlineStr">
        <is>
          <t>Global Critical Damage Bonus % (unused)</t>
        </is>
      </c>
      <c r="B531" t="n">
        <v>0</v>
      </c>
    </row>
    <row r="532">
      <c r="A532" t="inlineStr">
        <is>
          <t>Global Final Damage Bonus % (Serpent Scale + Crossbones + Time Leap + Speed Infusion)</t>
        </is>
      </c>
      <c r="B532">
        <f>((C506=TRUE)*F506*((10+IF(Inputs!$B$3&gt;=94,5,0))/((10+IF(Inputs!$B$3&gt;=94,5,0))+5/(B530*(1+IF(Inputs!$B$3&gt;=104,1,0))))))+((C515=TRUE)*F515)+((C516=TRUE)*F516)+((Inputs!$B$3&gt;=110)*20*(B528-1))</f>
        <v/>
      </c>
    </row>
    <row r="534">
      <c r="A534" s="5" t="inlineStr">
        <is>
          <t>TOTAL DPS</t>
        </is>
      </c>
      <c r="B534" s="5">
        <f>SUM(O503:O523)</f>
        <v/>
      </c>
    </row>
    <row r="537">
      <c r="A537" s="5" t="inlineStr">
        <is>
          <t>Stat: BASIC_ATTACK_DAMAGE %</t>
        </is>
      </c>
    </row>
    <row r="538">
      <c r="A538" s="8" t="inlineStr">
        <is>
          <t>Key</t>
        </is>
      </c>
      <c r="B538" s="8" t="inlineStr">
        <is>
          <t>Name</t>
        </is>
      </c>
      <c r="C538" s="8" t="inlineStr">
        <is>
          <t>Unlocked</t>
        </is>
      </c>
      <c r="D538" s="8" t="inlineStr">
        <is>
          <t>InputLevel</t>
        </is>
      </c>
      <c r="E538" s="8" t="inlineStr">
        <is>
          <t>Factor</t>
        </is>
      </c>
      <c r="F538" s="8" t="inlineStr">
        <is>
          <t>CoefficientPercent</t>
        </is>
      </c>
      <c r="G538" s="8" t="inlineStr">
        <is>
          <t>EffectiveHits</t>
        </is>
      </c>
      <c r="H538" s="8" t="inlineStr">
        <is>
          <t>ProcProbability</t>
        </is>
      </c>
      <c r="I538" s="8" t="inlineStr">
        <is>
          <t>MapleHeroMultiplier</t>
        </is>
      </c>
      <c r="J538" s="8" t="inlineStr">
        <is>
          <t>BaseDamage</t>
        </is>
      </c>
      <c r="K538" s="8" t="inlineStr">
        <is>
          <t>BaseHitDamage</t>
        </is>
      </c>
      <c r="L538" s="8" t="inlineStr">
        <is>
          <t>NonCritAvg</t>
        </is>
      </c>
      <c r="M538" s="8" t="inlineStr">
        <is>
          <t>CritAvg</t>
        </is>
      </c>
      <c r="N538" s="8" t="inlineStr">
        <is>
          <t>ExpectedDamage(perHit)</t>
        </is>
      </c>
      <c r="O538" s="8" t="inlineStr">
        <is>
          <t>DPS</t>
        </is>
      </c>
      <c r="P538" s="8" t="inlineStr">
        <is>
          <t>% of Total</t>
        </is>
      </c>
      <c r="Q538" s="8" t="inlineStr">
        <is>
          <t>InvCooldown</t>
        </is>
      </c>
      <c r="R538" s="8" t="inlineStr">
        <is>
          <t>CastsInFight</t>
        </is>
      </c>
      <c r="S538" s="8" t="inlineStr">
        <is>
          <t>HitRate(perSec)</t>
        </is>
      </c>
      <c r="U538" t="inlineStr">
        <is>
          <t>helpers</t>
        </is>
      </c>
    </row>
    <row r="539">
      <c r="A539">
        <f>Skills!A2</f>
        <v/>
      </c>
      <c r="B539">
        <f>Skills!B2</f>
        <v/>
      </c>
      <c r="C539">
        <f>Inputs!$B$3&gt;=100</f>
        <v/>
      </c>
      <c r="D539" t="inlineStr"/>
      <c r="E539" t="inlineStr"/>
      <c r="F539">
        <f>U541+Skills!O2</f>
        <v/>
      </c>
      <c r="G539">
        <f>Skills!G2*IF(Skills!H2&gt;0,Skills!I2/Skills!H2,1)</f>
        <v/>
      </c>
      <c r="H539">
        <f>1-(1-Skills!J2/100)^Skills!K2</f>
        <v/>
      </c>
      <c r="I539" t="inlineStr">
        <is>
          <t>1</t>
        </is>
      </c>
      <c r="J539">
        <f>(Inputs!$B$5*(1+Inputs!$B$6/100))*(F539/100)</f>
        <v/>
      </c>
      <c r="K539">
        <f>J539*(1+((Inputs!$B$11*(1+Inputs!$B$12/100))*0.01+Inputs!$B$13*0.0025)/100)*(1+Inputs!$B$14/100)*(1+IF(Inputs!$B$4="pvp",0,(1-Summary!$B$55)*(Inputs!$B$19+0+Skills!P2)+Summary!$B$55*(Inputs!$B$20+Skills!Q2))/100)*(1+Inputs!$B$15/100)*(5000/(6000+Inputs!$B$7*(1-(Inputs!$B$18+0)/100)))*(1+(Inputs!$B$23+((C559=TRUE)*(F559-Calc!F22))+B568)/100)*(1+(IF(Skills!A2="HOOK_BOMBER",(Inputs!$B$16+1)+((C558=TRUE)*(F558-Calc!F21)),Inputs!$B$17+0))/100)*((1+(((C550=TRUE)*F550)+((C556=TRUE)*(F556-Calc!F19)))/100)*I539)</f>
        <v/>
      </c>
      <c r="L539">
        <f>K539*(MIN(Inputs!$B$21+((C557=TRUE)*(F557-Calc!F20)),Inputs!$B$22+0)/100+(Inputs!$B$22+0)/100)/2</f>
        <v/>
      </c>
      <c r="M539">
        <f>L539*(1+(Inputs!$B$9+0+B567)/100)</f>
        <v/>
      </c>
      <c r="N539">
        <f>L539*(1-MIN((Inputs!$B$8+((C553=TRUE)*(F553-Calc!F16))+B562),100)/100)+M539*(MIN((Inputs!$B$8+((C553=TRUE)*(F553-Calc!F16))+B562),100)/100)</f>
        <v/>
      </c>
      <c r="O539">
        <f>IF(C539,Skills!G2*N539*B566*IF(Inputs!$B$4="pvp",1,(1-Summary!$B$55)*(1)+Summary!$B$55*(MIN((6+Inputs!$B$32),Inputs!$B$37))),0)</f>
        <v/>
      </c>
      <c r="P539">
        <f>IF(B570=0,0,O539/B570)</f>
        <v/>
      </c>
      <c r="Q539" t="n">
        <v>0</v>
      </c>
      <c r="R539" t="n">
        <v>0</v>
      </c>
      <c r="S539">
        <f>IFERROR(O539/N539,0)</f>
        <v/>
      </c>
      <c r="U539">
        <f>MAX(0,(Inputs!$B$3-100)*3)+Inputs!$B$27+Inputs!$B$28</f>
        <v/>
      </c>
    </row>
    <row r="540">
      <c r="A540">
        <f>Skills!A3</f>
        <v/>
      </c>
      <c r="B540">
        <f>Skills!B3</f>
        <v/>
      </c>
      <c r="C540">
        <f>Inputs!$B$3&gt;=35</f>
        <v/>
      </c>
      <c r="D540">
        <f>IF(Skills!C3=1,60+Inputs!$B$24+Inputs!$B$28,IF(Skills!C3=2,90+Inputs!$B$25+Inputs!$B$28,IF(Skills!C3=3,120+Inputs!$B$26+Inputs!$B$28,MAX(0,(Inputs!$B$3-100)*3)+Inputs!$B$27+Inputs!$B$28)))</f>
        <v/>
      </c>
      <c r="E540">
        <f>INDEX(FactorTable!$B$2:$Y$301, MATCH(ROUND(MIN(300,MAX(1,D540)),0), FactorTable!$A$2:$A$301,0), Skills!M3+1)</f>
        <v/>
      </c>
      <c r="F540">
        <f>IF(Skills!N3=TRUE,(Skills!L3/10)*(E540/1000),Skills!L3/10)+Skills!O3</f>
        <v/>
      </c>
      <c r="G540">
        <f>Skills!G3*IF(Skills!H3&gt;0,Skills!I3/Skills!H3,1)</f>
        <v/>
      </c>
      <c r="H540">
        <f>1-(1-Skills!J3/100)^Skills!K3</f>
        <v/>
      </c>
      <c r="I540" t="inlineStr">
        <is>
          <t>1</t>
        </is>
      </c>
      <c r="J540">
        <f>(Inputs!$B$5*(1+Inputs!$B$6/100))*(F540/100)</f>
        <v/>
      </c>
      <c r="K540">
        <f>J540*(1+((Inputs!$B$11*(1+Inputs!$B$12/100))*0.01+Inputs!$B$13*0.0025)/100)*(1+Inputs!$B$14/100)*(1+IF(Inputs!$B$4="pvp",0,(1-Summary!$B$55)*(Inputs!$B$19+0+Skills!P3)+Summary!$B$55*(Inputs!$B$20+Skills!Q3))/100)*(1+Inputs!$B$15/100)*(5000/(6000+Inputs!$B$7*(1-(Inputs!$B$18+0)/100)))*(1+(Inputs!$B$23+((C559=TRUE)*(F559-Calc!F22))+B568)/100)*(1+(IF(Skills!A3="HOOK_BOMBER",(Inputs!$B$16+1)+((C558=TRUE)*(F558-Calc!F21)),Inputs!$B$17+0))/100)*((1+(((C550=TRUE)*F550)+((C556=TRUE)*(F556-Calc!F19)))/100)*I540)</f>
        <v/>
      </c>
      <c r="L540">
        <f>K540*(MIN(Inputs!$B$21+((C557=TRUE)*(F557-Calc!F20)),Inputs!$B$22+0)/100+(Inputs!$B$22+0)/100)/2</f>
        <v/>
      </c>
      <c r="M540">
        <f>L540*(1+(Inputs!$B$9+0+B567)/100)</f>
        <v/>
      </c>
      <c r="N540">
        <f>L540*(1-MIN((Inputs!$B$8+((C553=TRUE)*(F553-Calc!F16))+B562),100)/100)+M540*(MIN((Inputs!$B$8+((C553=TRUE)*(F553-Calc!F16))+B562),100)/100)</f>
        <v/>
      </c>
      <c r="O540">
        <f>IF(C540,Skills!G3*H540*N540*B566*IF(Inputs!$B$4="pvp",1,(1-Summary!$B$55)*(1)+Summary!$B$55*(MIN(Skills!R3,Inputs!$B$37))),0)</f>
        <v/>
      </c>
      <c r="P540">
        <f>IF(B570=0,0,O540/B570)</f>
        <v/>
      </c>
      <c r="Q540" t="n">
        <v>0</v>
      </c>
      <c r="R540" t="n">
        <v>0</v>
      </c>
      <c r="S540">
        <f>IFERROR(O540/N540,0)</f>
        <v/>
      </c>
      <c r="U540">
        <f>INDEX(FactorTable!$B$2:$Y$301, MATCH(ROUND(MIN(300,MAX(1,U539)),0), FactorTable!$A$2:$A$301,0), 22)</f>
        <v/>
      </c>
    </row>
    <row r="541">
      <c r="A541">
        <f>Skills!A4</f>
        <v/>
      </c>
      <c r="B541">
        <f>Skills!B4</f>
        <v/>
      </c>
      <c r="C541">
        <f>Inputs!$B$3&gt;=60</f>
        <v/>
      </c>
      <c r="D541">
        <f>IF(Skills!C4=1,60+Inputs!$B$24+Inputs!$B$28,IF(Skills!C4=2,90+Inputs!$B$25+Inputs!$B$28,IF(Skills!C4=3,120+Inputs!$B$26+Inputs!$B$28,MAX(0,(Inputs!$B$3-100)*3)+Inputs!$B$27+Inputs!$B$28)))</f>
        <v/>
      </c>
      <c r="E541">
        <f>INDEX(FactorTable!$B$2:$Y$301, MATCH(ROUND(MIN(300,MAX(1,D541)),0), FactorTable!$A$2:$A$301,0), Skills!M4+1)</f>
        <v/>
      </c>
      <c r="F541">
        <f>IF(Skills!N4=TRUE,(Skills!L4/10)*(E541/1000),Skills!L4/10)+Skills!O4</f>
        <v/>
      </c>
      <c r="G541">
        <f>Skills!G4*IF(Skills!H4&gt;0,Skills!I4/Skills!H4,1)</f>
        <v/>
      </c>
      <c r="H541">
        <f>1-(1-Skills!J4/100)^Skills!K4</f>
        <v/>
      </c>
      <c r="I541" t="inlineStr">
        <is>
          <t>1</t>
        </is>
      </c>
      <c r="J541">
        <f>(Inputs!$B$5*(1+Inputs!$B$6/100))*(F541/100)</f>
        <v/>
      </c>
      <c r="K541">
        <f>J541*(1+((Inputs!$B$11*(1+Inputs!$B$12/100))*0.01+Inputs!$B$13*0.0025)/100)*(1+Inputs!$B$14/100)*(1+IF(Inputs!$B$4="pvp",0,(1-Summary!$B$55)*(Inputs!$B$19+0+Skills!P4)+Summary!$B$55*(Inputs!$B$20+Skills!Q4))/100)*(1+Inputs!$B$15/100)*(5000/(6000+Inputs!$B$7*(1-(Inputs!$B$18+0)/100)))*(1+(Inputs!$B$23+((C559=TRUE)*(F559-Calc!F22))+B568)/100)*(1+1.0*IF(C549=TRUE,F549,0)/100)*(1+(IF(Skills!A4="HOOK_BOMBER",(Inputs!$B$16+1)+((C558=TRUE)*(F558-Calc!F21)),Inputs!$B$17+0))/100)*((1+(((C550=TRUE)*F550)+((C556=TRUE)*(F556-Calc!F19)))/100)*I541)</f>
        <v/>
      </c>
      <c r="L541">
        <f>K541*(MIN(Inputs!$B$21+((C557=TRUE)*(F557-Calc!F20)),Inputs!$B$22+0)/100+(Inputs!$B$22+0)/100)/2</f>
        <v/>
      </c>
      <c r="M541">
        <f>L541*(1+(Inputs!$B$9+0+B567)/100)</f>
        <v/>
      </c>
      <c r="N541">
        <f>L541*(1-MIN((Inputs!$B$8+((C553=TRUE)*(F553-Calc!F16))+B562),100)/100)+M541*(MIN((Inputs!$B$8+((C553=TRUE)*(F553-Calc!F16))+B562),100)/100)</f>
        <v/>
      </c>
      <c r="O541">
        <f>IF(C541,Skills!G4*H541*N541*B566*IF(Inputs!$B$4="pvp",1,(1-Summary!$B$55)*(1)+Summary!$B$55*(MIN(Skills!R4,Inputs!$B$37))),0)</f>
        <v/>
      </c>
      <c r="P541">
        <f>IF(B570=0,0,O541/B570)</f>
        <v/>
      </c>
      <c r="Q541" t="n">
        <v>0</v>
      </c>
      <c r="R541" t="n">
        <v>0</v>
      </c>
      <c r="S541">
        <f>IFERROR(O541/N541,0)</f>
        <v/>
      </c>
      <c r="U541">
        <f>290*U540/1000</f>
        <v/>
      </c>
    </row>
    <row r="542">
      <c r="A542">
        <f>Skills!A5</f>
        <v/>
      </c>
      <c r="B542">
        <f>Skills!B5</f>
        <v/>
      </c>
      <c r="C542">
        <f>Inputs!$B$3&gt;=60</f>
        <v/>
      </c>
      <c r="D542">
        <f>IF(Skills!C5=1,60+Inputs!$B$24+Inputs!$B$28,IF(Skills!C5=2,90+Inputs!$B$25+Inputs!$B$28,IF(Skills!C5=3,120+Inputs!$B$26+Inputs!$B$28,MAX(0,(Inputs!$B$3-100)*3)+Inputs!$B$27+Inputs!$B$28)))</f>
        <v/>
      </c>
      <c r="E542">
        <f>INDEX(FactorTable!$B$2:$Y$301, MATCH(ROUND(MIN(300,MAX(1,D542)),0), FactorTable!$A$2:$A$301,0), Skills!M5+1)</f>
        <v/>
      </c>
      <c r="F542">
        <f>IF(Skills!N5=TRUE,(Skills!L5/10)*(E542/1000),Skills!L5/10)+Skills!O5</f>
        <v/>
      </c>
      <c r="G542">
        <f>Skills!G5*IF(Skills!H5&gt;0,Skills!I5/Skills!H5,1)</f>
        <v/>
      </c>
      <c r="H542">
        <f>1-(1-Skills!J5/100)^Skills!K5</f>
        <v/>
      </c>
      <c r="I542" t="inlineStr">
        <is>
          <t>1</t>
        </is>
      </c>
      <c r="J542" t="inlineStr"/>
      <c r="K542" t="inlineStr"/>
      <c r="L542" t="inlineStr"/>
      <c r="M542" t="inlineStr"/>
      <c r="N542" t="inlineStr"/>
      <c r="O542" t="n">
        <v>0</v>
      </c>
      <c r="P542">
        <f>IF(B570=0,0,O542/B570)</f>
        <v/>
      </c>
      <c r="Q542" t="n">
        <v>0</v>
      </c>
      <c r="R542" t="n">
        <v>0</v>
      </c>
      <c r="S542">
        <f>IFERROR(O542/N542,0)</f>
        <v/>
      </c>
    </row>
    <row r="543">
      <c r="A543">
        <f>Skills!A6</f>
        <v/>
      </c>
      <c r="B543">
        <f>Skills!B6</f>
        <v/>
      </c>
      <c r="C543">
        <f>Inputs!$B$3&gt;=63</f>
        <v/>
      </c>
      <c r="D543">
        <f>IF(Skills!C6=1,60+Inputs!$B$24+Inputs!$B$28,IF(Skills!C6=2,90+Inputs!$B$25+Inputs!$B$28,IF(Skills!C6=3,120+Inputs!$B$26+Inputs!$B$28,MAX(0,(Inputs!$B$3-100)*3)+Inputs!$B$27+Inputs!$B$28)))</f>
        <v/>
      </c>
      <c r="E543">
        <f>INDEX(FactorTable!$B$2:$Y$301, MATCH(ROUND(MIN(300,MAX(1,D543)),0), FactorTable!$A$2:$A$301,0), Skills!M6+1)</f>
        <v/>
      </c>
      <c r="F543">
        <f>IF(Skills!N6=TRUE,(Skills!L6/10)*(E543/1000),Skills!L6/10)+Skills!O6</f>
        <v/>
      </c>
      <c r="G543">
        <f>Skills!G6*IF(Skills!H6&gt;0,Skills!I6/Skills!H6,1)</f>
        <v/>
      </c>
      <c r="H543">
        <f>1-(1-Skills!J6/100)^Skills!K6</f>
        <v/>
      </c>
      <c r="I543" t="inlineStr">
        <is>
          <t>1</t>
        </is>
      </c>
      <c r="J543">
        <f>(Inputs!$B$5*(1+Inputs!$B$6/100))*(F543/100)</f>
        <v/>
      </c>
      <c r="K543">
        <f>J543*(1+((Inputs!$B$11*(1+Inputs!$B$12/100))*0.01+Inputs!$B$13*0.0025)/100)*(1+Inputs!$B$14/100)*(1+IF(Inputs!$B$4="pvp",0,(1-Summary!$B$55)*(Inputs!$B$19+0+Skills!P6)+Summary!$B$55*(Inputs!$B$20+Skills!Q6))/100)*(1+Inputs!$B$15/100)*(5000/(6000+Inputs!$B$7*(1-(Inputs!$B$18+0)/100)))*(1+(Inputs!$B$23+((C559=TRUE)*(F559-Calc!F22))+B568)/100)*(1+(IF(Skills!A6="HOOK_BOMBER",(Inputs!$B$16+1)+((C558=TRUE)*(F558-Calc!F21)),Inputs!$B$17+0))/100)*((1+(((C550=TRUE)*F550)+((C556=TRUE)*(F556-Calc!F19)))/100)*I543)</f>
        <v/>
      </c>
      <c r="L543">
        <f>K543*(MIN(Inputs!$B$21+((C557=TRUE)*(F557-Calc!F20)),Inputs!$B$22+0)/100+(Inputs!$B$22+0)/100)/2</f>
        <v/>
      </c>
      <c r="M543">
        <f>L543*(1+(Inputs!$B$9+0+B567)/100)</f>
        <v/>
      </c>
      <c r="N543">
        <f>L543*(1-MIN((Inputs!$B$8+((C553=TRUE)*(F553-Calc!F16))+B562),100)/100)+M543*(MIN((Inputs!$B$8+((C553=TRUE)*(F553-Calc!F16))+B562),100)/100)</f>
        <v/>
      </c>
      <c r="O543">
        <f>IF(C543,H543*N543*IF(AND(Inputs!$B$4&lt;&gt;"pvp",Inputs!$B$35&gt;0),((Skills!G6*((R543-1)*IF(Skills!H6&gt;0,Skills!I6/Skills!H6,1)+IF(Skills!H6&gt;0,MIN(Skills!I6,MAX(0,Inputs!$B$35-((R543-1)*IF(Inputs!$B$4="pvp",15,MAX(0.1,Skills!D6-IF(Skills!E6=TRUE,Inputs!$B$31,0))))))/Skills!H6,1)))/Inputs!$B$35),G543*Q543)*IF(Inputs!$B$4="pvp",1,(1-Summary!$B$55)*(1)+Summary!$B$55*(MIN(Skills!R6,Inputs!$B$37))),0)</f>
        <v/>
      </c>
      <c r="P543">
        <f>IF(B570=0,0,O543/B570)</f>
        <v/>
      </c>
      <c r="Q543">
        <f>IFERROR(1/IF(Inputs!$B$4="pvp",15,MAX(0.1,Skills!D6-IF(Skills!E6=TRUE,Inputs!$B$31,0))),0)</f>
        <v/>
      </c>
      <c r="R543">
        <f>IF(AND(Inputs!$B$4&lt;&gt;"pvp",Inputs!$B$35&gt;0),(INT(Inputs!$B$35/IF(Inputs!$B$4="pvp",15,MAX(0.1,Skills!D6-IF(Skills!E6=TRUE,Inputs!$B$31,0))))+1),0)</f>
        <v/>
      </c>
      <c r="S543">
        <f>IFERROR(O543/N543,0)</f>
        <v/>
      </c>
    </row>
    <row r="544">
      <c r="A544">
        <f>Skills!A7</f>
        <v/>
      </c>
      <c r="B544">
        <f>Skills!B7</f>
        <v/>
      </c>
      <c r="C544">
        <f>Inputs!$B$3&gt;=100</f>
        <v/>
      </c>
      <c r="D544">
        <f>IF(Skills!C7=1,60+Inputs!$B$24+Inputs!$B$28,IF(Skills!C7=2,90+Inputs!$B$25+Inputs!$B$28,IF(Skills!C7=3,120+Inputs!$B$26+Inputs!$B$28,MAX(0,(Inputs!$B$3-100)*3)+Inputs!$B$27+Inputs!$B$28)))</f>
        <v/>
      </c>
      <c r="E544">
        <f>INDEX(FactorTable!$B$2:$Y$301, MATCH(ROUND(MIN(300,MAX(1,D544)),0), FactorTable!$A$2:$A$301,0), Skills!M7+1)</f>
        <v/>
      </c>
      <c r="F544">
        <f>IF(Skills!N7=TRUE,(Skills!L7/10)*(E544/1000),Skills!L7/10)+Skills!O7</f>
        <v/>
      </c>
      <c r="G544">
        <f>Skills!G7*IF(Skills!H7&gt;0,Skills!I7/Skills!H7,1)</f>
        <v/>
      </c>
      <c r="H544">
        <f>1-(1-Skills!J7/100)^Skills!K7</f>
        <v/>
      </c>
      <c r="I544" t="inlineStr">
        <is>
          <t>1</t>
        </is>
      </c>
      <c r="J544">
        <f>(Inputs!$B$5*(1+Inputs!$B$6/100))*(F544/100)</f>
        <v/>
      </c>
      <c r="K544">
        <f>J544*(1+((Inputs!$B$11*(1+Inputs!$B$12/100))*0.01+Inputs!$B$13*0.0025)/100)*(1+Inputs!$B$14/100)*(1+IF(Inputs!$B$4="pvp",0,(1-Summary!$B$55)*(Inputs!$B$19+0+Skills!P7)+Summary!$B$55*(Inputs!$B$20+Skills!Q7))/100)*(1+Inputs!$B$15/100)*(5000/(6000+Inputs!$B$7*(1-(Inputs!$B$18+0)/100)))*(1+(Inputs!$B$23+((C559=TRUE)*(F559-Calc!F22))+B568)/100)*(1+(IF(Skills!A7="HOOK_BOMBER",(Inputs!$B$16+1)+((C558=TRUE)*(F558-Calc!F21)),Inputs!$B$17+0))/100)*((1+(((C550=TRUE)*F550)+((C556=TRUE)*(F556-Calc!F19)))/100)*I544)</f>
        <v/>
      </c>
      <c r="L544">
        <f>K544*(MIN(Inputs!$B$21+((C557=TRUE)*(F557-Calc!F20)),Inputs!$B$22+0)/100+(Inputs!$B$22+0)/100)/2</f>
        <v/>
      </c>
      <c r="M544">
        <f>L544*(1+(Inputs!$B$9+0+B567)/100)</f>
        <v/>
      </c>
      <c r="N544">
        <f>L544*(1-MIN((Inputs!$B$8+((C553=TRUE)*(F553-Calc!F16))+B562),100)/100)+M544*(MIN((Inputs!$B$8+((C553=TRUE)*(F553-Calc!F16))+B562),100)/100)</f>
        <v/>
      </c>
      <c r="O544">
        <f>IF(C544,H544*N544*IF(AND(Inputs!$B$4&lt;&gt;"pvp",Inputs!$B$35&gt;0),((Skills!G7*((R544-1)*IF(Skills!H7&gt;0,Skills!I7/Skills!H7,1)+IF(Skills!H7&gt;0,MIN(Skills!I7,MAX(0,Inputs!$B$35-((R544-1)*IF(Inputs!$B$4="pvp",15,MAX(0.1,Skills!D7-IF(Skills!E7=TRUE,Inputs!$B$31,0))))))/Skills!H7,1)))/Inputs!$B$35),G544*Q544)*IF(Inputs!$B$4="pvp",1,(1-Summary!$B$55)*(1)+Summary!$B$55*(MIN(Skills!R7,Inputs!$B$37))),0)</f>
        <v/>
      </c>
      <c r="P544">
        <f>IF(B570=0,0,O544/B570)</f>
        <v/>
      </c>
      <c r="Q544">
        <f>IFERROR(1/IF(Inputs!$B$4="pvp",15,MAX(0.1,Skills!D7-IF(Skills!E7=TRUE,Inputs!$B$31,0))),0)</f>
        <v/>
      </c>
      <c r="R544">
        <f>IF(AND(Inputs!$B$4&lt;&gt;"pvp",Inputs!$B$35&gt;0),(INT(Inputs!$B$35/IF(Inputs!$B$4="pvp",15,MAX(0.1,Skills!D7-IF(Skills!E7=TRUE,Inputs!$B$31,0))))+1),0)</f>
        <v/>
      </c>
      <c r="S544">
        <f>IFERROR(O544/N544,0)</f>
        <v/>
      </c>
    </row>
    <row r="545">
      <c r="A545">
        <f>Skills!A8</f>
        <v/>
      </c>
      <c r="B545">
        <f>Skills!B8</f>
        <v/>
      </c>
      <c r="C545">
        <f>Inputs!$B$3&gt;=110</f>
        <v/>
      </c>
      <c r="D545">
        <f>IF(Skills!C8=1,60+Inputs!$B$24+Inputs!$B$28,IF(Skills!C8=2,90+Inputs!$B$25+Inputs!$B$28,IF(Skills!C8=3,120+Inputs!$B$26+Inputs!$B$28,MAX(0,(Inputs!$B$3-100)*3)+Inputs!$B$27+Inputs!$B$28)))</f>
        <v/>
      </c>
      <c r="E545">
        <f>INDEX(FactorTable!$B$2:$Y$301, MATCH(ROUND(MIN(300,MAX(1,D545)),0), FactorTable!$A$2:$A$301,0), Skills!M8+1)</f>
        <v/>
      </c>
      <c r="F545">
        <f>IF(Skills!N8=TRUE,(Skills!L8/10)*(E545/1000),Skills!L8/10)+Skills!O8</f>
        <v/>
      </c>
      <c r="G545">
        <f>Skills!G8*IF(Skills!H8&gt;0,Skills!I8/Skills!H8,1)</f>
        <v/>
      </c>
      <c r="H545">
        <f>1-(1-Skills!J8/100)^Skills!K8</f>
        <v/>
      </c>
      <c r="I545" t="inlineStr">
        <is>
          <t>1</t>
        </is>
      </c>
      <c r="J545">
        <f>(Inputs!$B$5*(1+Inputs!$B$6/100))*(F545/100)</f>
        <v/>
      </c>
      <c r="K545">
        <f>J545*(1+((Inputs!$B$11*(1+Inputs!$B$12/100))*0.01+Inputs!$B$13*0.0025)/100)*(1+Inputs!$B$14/100)*(1+IF(Inputs!$B$4="pvp",0,(1-Summary!$B$55)*(Inputs!$B$19+0+Skills!P8)+Summary!$B$55*(Inputs!$B$20+Skills!Q8))/100)*(1+Inputs!$B$15/100)*(5000/(6000+Inputs!$B$7*(1-(Inputs!$B$18+0)/100)))*(1+(Inputs!$B$23+((C559=TRUE)*(F559-Calc!F22))+B568)/100)*(1+(IF(Skills!A8="HOOK_BOMBER",(Inputs!$B$16+1)+((C558=TRUE)*(F558-Calc!F21)),Inputs!$B$17+0))/100)*((1+(((C550=TRUE)*F550)+((C556=TRUE)*(F556-Calc!F19)))/100)*I545)</f>
        <v/>
      </c>
      <c r="L545">
        <f>K545*(MIN(Inputs!$B$21+((C557=TRUE)*(F557-Calc!F20)),Inputs!$B$22+0)/100+(Inputs!$B$22+0)/100)/2</f>
        <v/>
      </c>
      <c r="M545">
        <f>L545*(1+(Inputs!$B$9+0+B567)/100)</f>
        <v/>
      </c>
      <c r="N545">
        <f>L545*(1-MIN((Inputs!$B$8+((C553=TRUE)*(F553-Calc!F16))+B562),100)/100)+M545*(MIN((Inputs!$B$8+((C553=TRUE)*(F553-Calc!F16))+B562),100)/100)</f>
        <v/>
      </c>
      <c r="O545">
        <f>IF(C545,H545*N545*IF(AND(Inputs!$B$4&lt;&gt;"pvp",Inputs!$B$35&gt;0),((Skills!G8*((R545-1)*IF(Skills!H8&gt;0,Skills!I8/Skills!H8,1)+IF(Skills!H8&gt;0,MIN(Skills!I8,MAX(0,Inputs!$B$35-((R545-1)*IF(Inputs!$B$4="pvp",15,MAX(0.1,Skills!D8-IF(Skills!E8=TRUE,Inputs!$B$31,0))))))/Skills!H8,1)))/Inputs!$B$35),G545*Q545)*IF(Inputs!$B$4="pvp",1,(1-Summary!$B$55)*(1)+Summary!$B$55*(MIN(Skills!R8,Inputs!$B$37))),0)</f>
        <v/>
      </c>
      <c r="P545">
        <f>IF(B570=0,0,O545/B570)</f>
        <v/>
      </c>
      <c r="Q545">
        <f>IFERROR(1/IF(Inputs!$B$4="pvp",15,MAX(0.1,Skills!D8-IF(Skills!E8=TRUE,Inputs!$B$31,0))),0)</f>
        <v/>
      </c>
      <c r="R545">
        <f>IF(AND(Inputs!$B$4&lt;&gt;"pvp",Inputs!$B$35&gt;0),(INT(Inputs!$B$35/IF(Inputs!$B$4="pvp",15,MAX(0.1,Skills!D8-IF(Skills!E8=TRUE,Inputs!$B$31,0))))+1),0)</f>
        <v/>
      </c>
      <c r="S545">
        <f>IFERROR(O545/N545,0)</f>
        <v/>
      </c>
    </row>
    <row r="546">
      <c r="A546">
        <f>Skills!A9</f>
        <v/>
      </c>
      <c r="B546">
        <f>Skills!B9</f>
        <v/>
      </c>
      <c r="C546">
        <f>Inputs!$B$3&gt;=110</f>
        <v/>
      </c>
      <c r="D546">
        <f>IF(Skills!C9=1,60+Inputs!$B$24+Inputs!$B$28,IF(Skills!C9=2,90+Inputs!$B$25+Inputs!$B$28,IF(Skills!C9=3,120+Inputs!$B$26+Inputs!$B$28,MAX(0,(Inputs!$B$3-100)*3)+Inputs!$B$27+Inputs!$B$28)))</f>
        <v/>
      </c>
      <c r="E546">
        <f>INDEX(FactorTable!$B$2:$Y$301, MATCH(ROUND(MIN(300,MAX(1,D546)),0), FactorTable!$A$2:$A$301,0), Skills!M9+1)</f>
        <v/>
      </c>
      <c r="F546">
        <f>IF(Skills!N9=TRUE,(Skills!L9/10)*(E546/1000),Skills!L9/10)+Skills!O9</f>
        <v/>
      </c>
      <c r="G546">
        <f>Skills!G9*IF(Skills!H9&gt;0,Skills!I9/Skills!H9,1)</f>
        <v/>
      </c>
      <c r="H546">
        <f>1-(1-Skills!J9/100)^Skills!K9</f>
        <v/>
      </c>
      <c r="I546" t="inlineStr">
        <is>
          <t>1</t>
        </is>
      </c>
      <c r="J546">
        <f>(Inputs!$B$5*(1+Inputs!$B$6/100))*(F546/100)</f>
        <v/>
      </c>
      <c r="K546">
        <f>J546*(1+((Inputs!$B$11*(1+Inputs!$B$12/100))*0.01+Inputs!$B$13*0.0025)/100)*(1+Inputs!$B$14/100)*(1+IF(Inputs!$B$4="pvp",0,(1-Summary!$B$55)*(Inputs!$B$19+0+Skills!P9)+Summary!$B$55*(Inputs!$B$20+Skills!Q9))/100)*(1+Inputs!$B$15/100)*(5000/(6000+Inputs!$B$7*(1-(Inputs!$B$18+0)/100)))*(1+(Inputs!$B$23+((C559=TRUE)*(F559-Calc!F22))+B568)/100)*(1+(IF(Skills!A9="HOOK_BOMBER",(Inputs!$B$16+1)+((C558=TRUE)*(F558-Calc!F21)),Inputs!$B$17+0))/100)*((1+(((C550=TRUE)*F550)+((C556=TRUE)*(F556-Calc!F19)))/100)*I546)</f>
        <v/>
      </c>
      <c r="L546">
        <f>K546*(MIN(Inputs!$B$21+((C557=TRUE)*(F557-Calc!F20)),Inputs!$B$22+0)/100+(Inputs!$B$22+0)/100)/2</f>
        <v/>
      </c>
      <c r="M546">
        <f>L546*(1+(Inputs!$B$9+0+B567)/100)</f>
        <v/>
      </c>
      <c r="N546">
        <f>L546*(1-MIN((Inputs!$B$8+((C553=TRUE)*(F553-Calc!F16))+B562),100)/100)+M546*(MIN((Inputs!$B$8+((C553=TRUE)*(F553-Calc!F16))+B562),100)/100)</f>
        <v/>
      </c>
      <c r="O546">
        <f>IF(C546,H546*N546*IF(AND(Inputs!$B$4&lt;&gt;"pvp",Inputs!$B$35&gt;0),((Skills!G9*((R546-1)*IF(Skills!H9&gt;0,Skills!I9/Skills!H9,1)+IF(Skills!H9&gt;0,MIN(Skills!I9,MAX(0,Inputs!$B$35-((R546-1)*IF(Inputs!$B$4="pvp",15,MAX(0.1,Skills!D9-IF(Skills!E9=TRUE,Inputs!$B$31,0))))))/Skills!H9,1)))/Inputs!$B$35),G546*Q546)*IF(Inputs!$B$4="pvp",1,(1-Summary!$B$55)*(1)+Summary!$B$55*(MIN(Skills!R9,Inputs!$B$37))),0)</f>
        <v/>
      </c>
      <c r="P546">
        <f>IF(B570=0,0,O546/B570)</f>
        <v/>
      </c>
      <c r="Q546">
        <f>IFERROR(1/IF(Inputs!$B$4="pvp",15,MAX(0.1,Skills!D9-IF(Skills!E9=TRUE,Inputs!$B$31,0))),0)</f>
        <v/>
      </c>
      <c r="R546">
        <f>IF(AND(Inputs!$B$4&lt;&gt;"pvp",Inputs!$B$35&gt;0),(INT(Inputs!$B$35/IF(Inputs!$B$4="pvp",15,MAX(0.1,Skills!D9-IF(Skills!E9=TRUE,Inputs!$B$31,0))))+1),0)</f>
        <v/>
      </c>
      <c r="S546">
        <f>IFERROR(O546/N546,0)</f>
        <v/>
      </c>
    </row>
    <row r="547">
      <c r="A547">
        <f>Skills!A10</f>
        <v/>
      </c>
      <c r="B547">
        <f>Skills!B10</f>
        <v/>
      </c>
      <c r="C547">
        <f>Inputs!$B$3&gt;=103</f>
        <v/>
      </c>
      <c r="D547">
        <f>IF(Skills!C10=1,60+Inputs!$B$24+Inputs!$B$28,IF(Skills!C10=2,90+Inputs!$B$25+Inputs!$B$28,IF(Skills!C10=3,120+Inputs!$B$26+Inputs!$B$28,MAX(0,(Inputs!$B$3-100)*3)+Inputs!$B$27+Inputs!$B$28)))</f>
        <v/>
      </c>
      <c r="E547">
        <f>INDEX(FactorTable!$B$2:$Y$301, MATCH(ROUND(MIN(300,MAX(1,D547)),0), FactorTable!$A$2:$A$301,0), Skills!M10+1)</f>
        <v/>
      </c>
      <c r="F547">
        <f>IF(Skills!N10=TRUE,(Skills!L10/10)*(E547/1000),Skills!L10/10)+Skills!O10</f>
        <v/>
      </c>
      <c r="G547">
        <f>Skills!G10*IF(Skills!H10&gt;0,Skills!I10/Skills!H10,1)</f>
        <v/>
      </c>
      <c r="H547">
        <f>1-(1-Skills!J10/100)^Skills!K10</f>
        <v/>
      </c>
      <c r="I547" t="inlineStr">
        <is>
          <t>1</t>
        </is>
      </c>
      <c r="J547">
        <f>(Inputs!$B$5*(1+Inputs!$B$6/100))*(F547/100)</f>
        <v/>
      </c>
      <c r="K547">
        <f>J547*(1+((Inputs!$B$11*(1+Inputs!$B$12/100))*0.01+Inputs!$B$13*0.0025)/100)*(1+Inputs!$B$14/100)*(1+IF(Inputs!$B$4="pvp",0,(1-Summary!$B$55)*(Inputs!$B$19+0+Skills!P10)+Summary!$B$55*(Inputs!$B$20+Skills!Q10))/100)*(1+Inputs!$B$15/100)*(5000/(6000+Inputs!$B$7*(1-(Inputs!$B$18+0)/100)))*(1+(Inputs!$B$23+((C559=TRUE)*(F559-Calc!F22))+B568)/100)*(1+(IF(Skills!A10="HOOK_BOMBER",(Inputs!$B$16+1)+((C558=TRUE)*(F558-Calc!F21)),Inputs!$B$17+0))/100)*((1+(((C550=TRUE)*F550)+((C556=TRUE)*(F556-Calc!F19)))/100)*I547)</f>
        <v/>
      </c>
      <c r="L547">
        <f>K547*(MIN(Inputs!$B$21+((C557=TRUE)*(F557-Calc!F20)),Inputs!$B$22+0)/100+(Inputs!$B$22+0)/100)/2</f>
        <v/>
      </c>
      <c r="M547">
        <f>L547*(1+(Inputs!$B$9+0+B567)/100)</f>
        <v/>
      </c>
      <c r="N547">
        <f>L547*(1-MIN((Inputs!$B$8+((C553=TRUE)*(F553-Calc!F16))+B562),100)/100)+M547*(MIN((Inputs!$B$8+((C553=TRUE)*(F553-Calc!F16))+B562),100)/100)</f>
        <v/>
      </c>
      <c r="O547">
        <f>IF(C547,H547*N547*IF(AND(Inputs!$B$4&lt;&gt;"pvp",Inputs!$B$35&gt;0),((Skills!G10*((R547-1)*IF(Skills!H10&gt;0,Skills!I10/Skills!H10,1)+IF(Skills!H10&gt;0,MIN(Skills!I10,MAX(0,Inputs!$B$35-((R547-1)*IF(Inputs!$B$4="pvp",15,MAX(0.1,Skills!D10-IF(Skills!E10=TRUE,Inputs!$B$31,0))))))/Skills!H10,1)))/Inputs!$B$35),G547*Q547)*IF(Inputs!$B$4="pvp",1,(1-Summary!$B$55)*(1)+Summary!$B$55*(MIN(Skills!R10,Inputs!$B$37))),0)</f>
        <v/>
      </c>
      <c r="P547">
        <f>IF(B570=0,0,O547/B570)</f>
        <v/>
      </c>
      <c r="Q547">
        <f>IFERROR(1/IF(Inputs!$B$4="pvp",15,MAX(0.1,Skills!D10-IF(Skills!E10=TRUE,Inputs!$B$31,0))),0)</f>
        <v/>
      </c>
      <c r="R547">
        <f>IF(AND(Inputs!$B$4&lt;&gt;"pvp",Inputs!$B$35&gt;0),(INT(Inputs!$B$35/IF(Inputs!$B$4="pvp",15,MAX(0.1,Skills!D10-IF(Skills!E10=TRUE,Inputs!$B$31,0))))+1),0)</f>
        <v/>
      </c>
      <c r="S547">
        <f>IFERROR(O547/N547,0)</f>
        <v/>
      </c>
    </row>
    <row r="548">
      <c r="A548">
        <f>Skills!A11</f>
        <v/>
      </c>
      <c r="B548">
        <f>Skills!B11</f>
        <v/>
      </c>
      <c r="C548">
        <f>Inputs!$B$3&gt;=113</f>
        <v/>
      </c>
      <c r="D548">
        <f>IF(Skills!C11=1,60+Inputs!$B$24+Inputs!$B$28,IF(Skills!C11=2,90+Inputs!$B$25+Inputs!$B$28,IF(Skills!C11=3,120+Inputs!$B$26+Inputs!$B$28,MAX(0,(Inputs!$B$3-100)*3)+Inputs!$B$27+Inputs!$B$28)))</f>
        <v/>
      </c>
      <c r="E548">
        <f>INDEX(FactorTable!$B$2:$Y$301, MATCH(ROUND(MIN(300,MAX(1,D548)),0), FactorTable!$A$2:$A$301,0), Skills!M11+1)</f>
        <v/>
      </c>
      <c r="F548">
        <f>IF(Skills!N11=TRUE,(Skills!L11/10)*(E548/1000),Skills!L11/10)+Skills!O11</f>
        <v/>
      </c>
      <c r="G548">
        <f>Skills!G11*IF(Skills!H11&gt;0,Skills!I11/Skills!H11,1)</f>
        <v/>
      </c>
      <c r="H548">
        <f>1-(1-Skills!J11/100)^Skills!K11</f>
        <v/>
      </c>
      <c r="I548" t="inlineStr">
        <is>
          <t>1</t>
        </is>
      </c>
      <c r="J548">
        <f>(Inputs!$B$5*(1+Inputs!$B$6/100))*(F548/100)</f>
        <v/>
      </c>
      <c r="K548">
        <f>J548*(1+((Inputs!$B$11*(1+Inputs!$B$12/100))*0.01+Inputs!$B$13*0.0025)/100)*(1+Inputs!$B$14/100)*(1+IF(Inputs!$B$4="pvp",0,(1-Summary!$B$55)*(Inputs!$B$19+0+Skills!P11)+Summary!$B$55*(Inputs!$B$20+Skills!Q11))/100)*(1+Inputs!$B$15/100)*(5000/(6000+Inputs!$B$7*(1-(Inputs!$B$18+0)/100)))*(1+(Inputs!$B$23+((C559=TRUE)*(F559-Calc!F22))+B568)/100)*(1+(IF(Skills!A11="HOOK_BOMBER",(Inputs!$B$16+1)+((C558=TRUE)*(F558-Calc!F21)),Inputs!$B$17+0))/100)*((1+(((C550=TRUE)*F550)+((C556=TRUE)*(F556-Calc!F19)))/100)*I548)</f>
        <v/>
      </c>
      <c r="L548">
        <f>K548*(MIN(Inputs!$B$21+((C557=TRUE)*(F557-Calc!F20)),Inputs!$B$22+0)/100+(Inputs!$B$22+0)/100)/2</f>
        <v/>
      </c>
      <c r="M548">
        <f>L548*(1+(Inputs!$B$9+0+B567)/100)</f>
        <v/>
      </c>
      <c r="N548">
        <f>L548*(1-MIN((Inputs!$B$8+((C553=TRUE)*(F553-Calc!F16))+B562),100)/100)+M548*(MIN((Inputs!$B$8+((C553=TRUE)*(F553-Calc!F16))+B562),100)/100)</f>
        <v/>
      </c>
      <c r="O548">
        <f>IF(C548,H548*N548*IF(AND(Inputs!$B$4&lt;&gt;"pvp",Inputs!$B$35&gt;0),((Skills!G11*((R548-1)*IF(Skills!H11&gt;0,Skills!I11/Skills!H11,1)+IF(Skills!H11&gt;0,MIN(Skills!I11,MAX(0,Inputs!$B$35-((R548-1)*IF(Inputs!$B$4="pvp",15,MAX(0.1,Skills!D11-IF(Skills!E11=TRUE,Inputs!$B$31,0))))))/Skills!H11,1)))/Inputs!$B$35),G548*Q548)*IF(Inputs!$B$4="pvp",1,(1-Summary!$B$55)*(1)+Summary!$B$55*(MIN(Skills!R11,Inputs!$B$37))),0)</f>
        <v/>
      </c>
      <c r="P548">
        <f>IF(B570=0,0,O548/B570)</f>
        <v/>
      </c>
      <c r="Q548">
        <f>IFERROR(1/IF(Inputs!$B$4="pvp",15,MAX(0.1,Skills!D11-IF(Skills!E11=TRUE,Inputs!$B$31,0))),0)</f>
        <v/>
      </c>
      <c r="R548">
        <f>IF(AND(Inputs!$B$4&lt;&gt;"pvp",Inputs!$B$35&gt;0),(INT(Inputs!$B$35/IF(Inputs!$B$4="pvp",15,MAX(0.1,Skills!D11-IF(Skills!E11=TRUE,Inputs!$B$31,0))))+1),0)</f>
        <v/>
      </c>
      <c r="S548">
        <f>IFERROR(O548/N548,0)</f>
        <v/>
      </c>
    </row>
    <row r="549">
      <c r="A549">
        <f>Skills!A12</f>
        <v/>
      </c>
      <c r="B549">
        <f>Skills!B12</f>
        <v/>
      </c>
      <c r="C549">
        <f>Inputs!$B$3&gt;=100</f>
        <v/>
      </c>
      <c r="D549">
        <f>IF(Skills!C12=1,60+Inputs!$B$24+Inputs!$B$28,IF(Skills!C12=2,90+Inputs!$B$25+Inputs!$B$28,IF(Skills!C12=3,120+Inputs!$B$26+Inputs!$B$28,MAX(0,(Inputs!$B$3-100)*3)+Inputs!$B$27+Inputs!$B$28)))</f>
        <v/>
      </c>
      <c r="E549">
        <f>INDEX(FactorTable!$B$2:$Y$301, MATCH(ROUND(MIN(300,MAX(1,D549)),0), FactorTable!$A$2:$A$301,0), Skills!M12+1)</f>
        <v/>
      </c>
      <c r="F549">
        <f>IF(Skills!N12=TRUE,(Skills!L12/10)*(E549/1000),Skills!L12/10)+Skills!O12</f>
        <v/>
      </c>
      <c r="G549" t="inlineStr"/>
      <c r="H549" t="inlineStr"/>
      <c r="I549" t="inlineStr">
        <is>
          <t>1</t>
        </is>
      </c>
      <c r="J549" t="inlineStr"/>
      <c r="K549" t="inlineStr"/>
      <c r="L549" t="inlineStr"/>
      <c r="M549" t="inlineStr"/>
      <c r="N549" t="inlineStr"/>
      <c r="O549" t="inlineStr"/>
      <c r="P549" t="inlineStr"/>
      <c r="Q549" t="inlineStr"/>
      <c r="R549" t="inlineStr"/>
      <c r="S549" t="inlineStr"/>
    </row>
    <row r="550">
      <c r="A550">
        <f>Skills!A13</f>
        <v/>
      </c>
      <c r="B550">
        <f>Skills!B13</f>
        <v/>
      </c>
      <c r="C550">
        <f>Inputs!$B$3&gt;=66</f>
        <v/>
      </c>
      <c r="D550">
        <f>IF(Skills!C13=1,60+Inputs!$B$24+Inputs!$B$28,IF(Skills!C13=2,90+Inputs!$B$25+Inputs!$B$28,IF(Skills!C13=3,120+Inputs!$B$26+Inputs!$B$28,MAX(0,(Inputs!$B$3-100)*3)+Inputs!$B$27+Inputs!$B$28)))</f>
        <v/>
      </c>
      <c r="E550">
        <f>INDEX(FactorTable!$B$2:$Y$301, MATCH(ROUND(MIN(300,MAX(1,D550)),0), FactorTable!$A$2:$A$301,0), Skills!M13+1)</f>
        <v/>
      </c>
      <c r="F550">
        <f>IF(Skills!N13=TRUE,(Skills!L13/10)*(E550/1000),Skills!L13/10)+Skills!O13</f>
        <v/>
      </c>
      <c r="G550">
        <f>Skills!G13*IF(Skills!H13&gt;0,Skills!I13/Skills!H13,1)</f>
        <v/>
      </c>
      <c r="H550">
        <f>1-(1-Skills!J13/100)^Skills!K13</f>
        <v/>
      </c>
      <c r="I550" t="inlineStr">
        <is>
          <t>1</t>
        </is>
      </c>
      <c r="J550" t="inlineStr"/>
      <c r="K550" t="inlineStr"/>
      <c r="L550" t="inlineStr"/>
      <c r="M550" t="inlineStr"/>
      <c r="N550" t="inlineStr"/>
      <c r="O550" t="n">
        <v>0</v>
      </c>
      <c r="P550">
        <f>IF(B570=0,0,O550/B570)</f>
        <v/>
      </c>
      <c r="Q550" t="n">
        <v>0</v>
      </c>
      <c r="R550" t="n">
        <v>0</v>
      </c>
      <c r="S550">
        <f>IFERROR(O550/N550,0)</f>
        <v/>
      </c>
    </row>
    <row r="551">
      <c r="A551">
        <f>Skills!A14</f>
        <v/>
      </c>
      <c r="B551">
        <f>Skills!B14</f>
        <v/>
      </c>
      <c r="C551">
        <f>Inputs!$B$3&gt;=107</f>
        <v/>
      </c>
      <c r="D551">
        <f>IF(Skills!C14=1,60+Inputs!$B$24+Inputs!$B$28,IF(Skills!C14=2,90+Inputs!$B$25+Inputs!$B$28,IF(Skills!C14=3,120+Inputs!$B$26+Inputs!$B$28,MAX(0,(Inputs!$B$3-100)*3)+Inputs!$B$27+Inputs!$B$28)))</f>
        <v/>
      </c>
      <c r="E551">
        <f>INDEX(FactorTable!$B$2:$Y$301, MATCH(ROUND(MIN(300,MAX(1,D551)),0), FactorTable!$A$2:$A$301,0), Skills!M14+1)</f>
        <v/>
      </c>
      <c r="F551">
        <f>IF(Skills!N14=TRUE,(Skills!L14/10)*(E551/1000),Skills!L14/10)+Skills!O14</f>
        <v/>
      </c>
      <c r="G551">
        <f>Skills!G14*IF(Skills!H14&gt;0,Skills!I14/Skills!H14,1)</f>
        <v/>
      </c>
      <c r="H551">
        <f>1-(1-Skills!J14/100)^Skills!K14</f>
        <v/>
      </c>
      <c r="I551" t="inlineStr">
        <is>
          <t>1</t>
        </is>
      </c>
      <c r="J551" t="inlineStr"/>
      <c r="K551" t="inlineStr"/>
      <c r="L551" t="inlineStr"/>
      <c r="M551" t="inlineStr"/>
      <c r="N551" t="inlineStr"/>
      <c r="O551" t="n">
        <v>0</v>
      </c>
      <c r="P551">
        <f>IF(B570=0,0,O551/B570)</f>
        <v/>
      </c>
      <c r="Q551" t="n">
        <v>0</v>
      </c>
      <c r="R551" t="n">
        <v>0</v>
      </c>
      <c r="S551">
        <f>IFERROR(O551/N551,0)</f>
        <v/>
      </c>
    </row>
    <row r="552">
      <c r="A552">
        <f>Skills!A15</f>
        <v/>
      </c>
      <c r="B552">
        <f>Skills!B15</f>
        <v/>
      </c>
      <c r="C552">
        <f>Inputs!$B$3&gt;=115</f>
        <v/>
      </c>
      <c r="D552">
        <f>IF(Skills!C15=1,60+Inputs!$B$24+Inputs!$B$28,IF(Skills!C15=2,90+Inputs!$B$25+Inputs!$B$28,IF(Skills!C15=3,120+Inputs!$B$26+Inputs!$B$28,MAX(0,(Inputs!$B$3-100)*3)+Inputs!$B$27+Inputs!$B$28)))</f>
        <v/>
      </c>
      <c r="E552">
        <f>INDEX(FactorTable!$B$2:$Y$301, MATCH(ROUND(MIN(300,MAX(1,D552)),0), FactorTable!$A$2:$A$301,0), Skills!M15+1)</f>
        <v/>
      </c>
      <c r="F552">
        <f>IF(Skills!N15=TRUE,(Skills!L15/10)*(E552/1000),Skills!L15/10)+Skills!O15</f>
        <v/>
      </c>
      <c r="G552">
        <f>Skills!G15*IF(Skills!H15&gt;0,Skills!I15/Skills!H15,1)</f>
        <v/>
      </c>
      <c r="H552">
        <f>1-(1-Skills!J15/100)^Skills!K15</f>
        <v/>
      </c>
      <c r="I552" t="inlineStr">
        <is>
          <t>1</t>
        </is>
      </c>
      <c r="J552" t="inlineStr"/>
      <c r="K552" t="inlineStr"/>
      <c r="L552" t="inlineStr"/>
      <c r="M552" t="inlineStr"/>
      <c r="N552" t="inlineStr"/>
      <c r="O552" t="n">
        <v>0</v>
      </c>
      <c r="P552">
        <f>IF(B570=0,0,O552/B570)</f>
        <v/>
      </c>
      <c r="Q552" t="n">
        <v>0</v>
      </c>
      <c r="R552" t="n">
        <v>0</v>
      </c>
      <c r="S552">
        <f>IFERROR(O552/N552,0)</f>
        <v/>
      </c>
    </row>
    <row r="553">
      <c r="A553">
        <f>Skills!A16</f>
        <v/>
      </c>
      <c r="B553">
        <f>Skills!B16</f>
        <v/>
      </c>
      <c r="C553">
        <f>Inputs!$B$3&gt;=15</f>
        <v/>
      </c>
      <c r="D553">
        <f>IF(Skills!C16=1,60+Inputs!$B$24+Inputs!$B$28,IF(Skills!C16=2,90+Inputs!$B$25+Inputs!$B$28,IF(Skills!C16=3,120+Inputs!$B$26+Inputs!$B$28,MAX(0,(Inputs!$B$3-100)*3)+Inputs!$B$27+Inputs!$B$28)))</f>
        <v/>
      </c>
      <c r="E553">
        <f>INDEX(FactorTable!$B$2:$Y$301, MATCH(ROUND(MIN(300,MAX(1,D553)),0), FactorTable!$A$2:$A$301,0), Skills!M16+1)</f>
        <v/>
      </c>
      <c r="F553">
        <f>IF(Skills!N16=TRUE,(Skills!L16/10)*(E553/1000),Skills!L16/10)+Skills!O16</f>
        <v/>
      </c>
      <c r="G553">
        <f>Skills!G16*IF(Skills!H16&gt;0,Skills!I16/Skills!H16,1)</f>
        <v/>
      </c>
      <c r="H553">
        <f>1-(1-Skills!J16/100)^Skills!K16</f>
        <v/>
      </c>
      <c r="I553" t="inlineStr">
        <is>
          <t>1</t>
        </is>
      </c>
      <c r="J553" t="inlineStr"/>
      <c r="K553" t="inlineStr"/>
      <c r="L553" t="inlineStr"/>
      <c r="M553" t="inlineStr"/>
      <c r="N553" t="inlineStr"/>
      <c r="O553" t="n">
        <v>0</v>
      </c>
      <c r="P553">
        <f>IF(B570=0,0,O553/B570)</f>
        <v/>
      </c>
      <c r="Q553" t="n">
        <v>0</v>
      </c>
      <c r="R553" t="n">
        <v>0</v>
      </c>
      <c r="S553">
        <f>IFERROR(O553/N553,0)</f>
        <v/>
      </c>
    </row>
    <row r="554">
      <c r="A554">
        <f>Skills!A17</f>
        <v/>
      </c>
      <c r="B554">
        <f>Skills!B17</f>
        <v/>
      </c>
      <c r="C554">
        <f>Inputs!$B$3&gt;=10</f>
        <v/>
      </c>
      <c r="D554">
        <f>IF(Skills!C17=1,60+Inputs!$B$24+Inputs!$B$28,IF(Skills!C17=2,90+Inputs!$B$25+Inputs!$B$28,IF(Skills!C17=3,120+Inputs!$B$26+Inputs!$B$28,MAX(0,(Inputs!$B$3-100)*3)+Inputs!$B$27+Inputs!$B$28)))</f>
        <v/>
      </c>
      <c r="E554">
        <f>INDEX(FactorTable!$B$2:$Y$301, MATCH(ROUND(MIN(300,MAX(1,D554)),0), FactorTable!$A$2:$A$301,0), Skills!M17+1)</f>
        <v/>
      </c>
      <c r="F554">
        <f>IF(Skills!N17=TRUE,(Skills!L17/10)*(E554/1000),Skills!L17/10)+Skills!O17</f>
        <v/>
      </c>
      <c r="G554">
        <f>Skills!G17*IF(Skills!H17&gt;0,Skills!I17/Skills!H17,1)</f>
        <v/>
      </c>
      <c r="H554">
        <f>1-(1-Skills!J17/100)^Skills!K17</f>
        <v/>
      </c>
      <c r="I554" t="inlineStr">
        <is>
          <t>1</t>
        </is>
      </c>
      <c r="J554" t="inlineStr"/>
      <c r="K554" t="inlineStr"/>
      <c r="L554" t="inlineStr"/>
      <c r="M554" t="inlineStr"/>
      <c r="N554" t="inlineStr"/>
      <c r="O554" t="n">
        <v>0</v>
      </c>
      <c r="P554">
        <f>IF(B570=0,0,O554/B570)</f>
        <v/>
      </c>
      <c r="Q554" t="n">
        <v>0</v>
      </c>
      <c r="R554" t="n">
        <v>0</v>
      </c>
      <c r="S554">
        <f>IFERROR(O554/N554,0)</f>
        <v/>
      </c>
    </row>
    <row r="555">
      <c r="A555">
        <f>Skills!A18</f>
        <v/>
      </c>
      <c r="B555">
        <f>Skills!B18</f>
        <v/>
      </c>
      <c r="C555">
        <f>Inputs!$B$3&gt;=33</f>
        <v/>
      </c>
      <c r="D555">
        <f>IF(Skills!C18=1,60+Inputs!$B$24+Inputs!$B$28,IF(Skills!C18=2,90+Inputs!$B$25+Inputs!$B$28,IF(Skills!C18=3,120+Inputs!$B$26+Inputs!$B$28,MAX(0,(Inputs!$B$3-100)*3)+Inputs!$B$27+Inputs!$B$28)))</f>
        <v/>
      </c>
      <c r="E555">
        <f>INDEX(FactorTable!$B$2:$Y$301, MATCH(ROUND(MIN(300,MAX(1,D555)),0), FactorTable!$A$2:$A$301,0), Skills!M18+1)</f>
        <v/>
      </c>
      <c r="F555">
        <f>IF(Skills!N18=TRUE,(Skills!L18/10)*(E555/1000),Skills!L18/10)+Skills!O18</f>
        <v/>
      </c>
      <c r="G555">
        <f>Skills!G18*IF(Skills!H18&gt;0,Skills!I18/Skills!H18,1)</f>
        <v/>
      </c>
      <c r="H555">
        <f>1-(1-Skills!J18/100)^Skills!K18</f>
        <v/>
      </c>
      <c r="I555" t="inlineStr">
        <is>
          <t>1</t>
        </is>
      </c>
      <c r="J555" t="inlineStr"/>
      <c r="K555" t="inlineStr"/>
      <c r="L555" t="inlineStr"/>
      <c r="M555" t="inlineStr"/>
      <c r="N555" t="inlineStr"/>
      <c r="O555" t="n">
        <v>0</v>
      </c>
      <c r="P555">
        <f>IF(B570=0,0,O555/B570)</f>
        <v/>
      </c>
      <c r="Q555" t="n">
        <v>0</v>
      </c>
      <c r="R555" t="n">
        <v>0</v>
      </c>
      <c r="S555">
        <f>IFERROR(O555/N555,0)</f>
        <v/>
      </c>
    </row>
    <row r="556">
      <c r="A556">
        <f>Skills!A19</f>
        <v/>
      </c>
      <c r="B556">
        <f>Skills!B19</f>
        <v/>
      </c>
      <c r="C556">
        <f>Inputs!$B$3&gt;=40</f>
        <v/>
      </c>
      <c r="D556">
        <f>IF(Skills!C19=1,60+Inputs!$B$24+Inputs!$B$28,IF(Skills!C19=2,90+Inputs!$B$25+Inputs!$B$28,IF(Skills!C19=3,120+Inputs!$B$26+Inputs!$B$28,MAX(0,(Inputs!$B$3-100)*3)+Inputs!$B$27+Inputs!$B$28)))</f>
        <v/>
      </c>
      <c r="E556">
        <f>INDEX(FactorTable!$B$2:$Y$301, MATCH(ROUND(MIN(300,MAX(1,D556)),0), FactorTable!$A$2:$A$301,0), Skills!M19+1)</f>
        <v/>
      </c>
      <c r="F556">
        <f>IF(Skills!N19=TRUE,(Skills!L19/10)*(E556/1000),Skills!L19/10)+Skills!O19</f>
        <v/>
      </c>
      <c r="G556">
        <f>Skills!G19*IF(Skills!H19&gt;0,Skills!I19/Skills!H19,1)</f>
        <v/>
      </c>
      <c r="H556">
        <f>1-(1-Skills!J19/100)^Skills!K19</f>
        <v/>
      </c>
      <c r="I556" t="inlineStr">
        <is>
          <t>1</t>
        </is>
      </c>
      <c r="J556" t="inlineStr"/>
      <c r="K556" t="inlineStr"/>
      <c r="L556" t="inlineStr"/>
      <c r="M556" t="inlineStr"/>
      <c r="N556" t="inlineStr"/>
      <c r="O556" t="n">
        <v>0</v>
      </c>
      <c r="P556">
        <f>IF(B570=0,0,O556/B570)</f>
        <v/>
      </c>
      <c r="Q556" t="n">
        <v>0</v>
      </c>
      <c r="R556" t="n">
        <v>0</v>
      </c>
      <c r="S556">
        <f>IFERROR(O556/N556,0)</f>
        <v/>
      </c>
    </row>
    <row r="557">
      <c r="A557">
        <f>Skills!A20</f>
        <v/>
      </c>
      <c r="B557">
        <f>Skills!B20</f>
        <v/>
      </c>
      <c r="C557">
        <f>Inputs!$B$3&gt;=43</f>
        <v/>
      </c>
      <c r="D557">
        <f>IF(Skills!C20=1,60+Inputs!$B$24+Inputs!$B$28,IF(Skills!C20=2,90+Inputs!$B$25+Inputs!$B$28,IF(Skills!C20=3,120+Inputs!$B$26+Inputs!$B$28,MAX(0,(Inputs!$B$3-100)*3)+Inputs!$B$27+Inputs!$B$28)))</f>
        <v/>
      </c>
      <c r="E557">
        <f>INDEX(FactorTable!$B$2:$Y$301, MATCH(ROUND(MIN(300,MAX(1,D557)),0), FactorTable!$A$2:$A$301,0), Skills!M20+1)</f>
        <v/>
      </c>
      <c r="F557">
        <f>IF(Skills!N20=TRUE,(Skills!L20/10)*(E557/1000),Skills!L20/10)+Skills!O20</f>
        <v/>
      </c>
      <c r="G557">
        <f>Skills!G20*IF(Skills!H20&gt;0,Skills!I20/Skills!H20,1)</f>
        <v/>
      </c>
      <c r="H557">
        <f>1-(1-Skills!J20/100)^Skills!K20</f>
        <v/>
      </c>
      <c r="I557" t="inlineStr">
        <is>
          <t>1</t>
        </is>
      </c>
      <c r="J557" t="inlineStr"/>
      <c r="K557" t="inlineStr"/>
      <c r="L557" t="inlineStr"/>
      <c r="M557" t="inlineStr"/>
      <c r="N557" t="inlineStr"/>
      <c r="O557" t="n">
        <v>0</v>
      </c>
      <c r="P557">
        <f>IF(B570=0,0,O557/B570)</f>
        <v/>
      </c>
      <c r="Q557" t="n">
        <v>0</v>
      </c>
      <c r="R557" t="n">
        <v>0</v>
      </c>
      <c r="S557">
        <f>IFERROR(O557/N557,0)</f>
        <v/>
      </c>
    </row>
    <row r="558">
      <c r="A558">
        <f>Skills!A21</f>
        <v/>
      </c>
      <c r="B558">
        <f>Skills!B21</f>
        <v/>
      </c>
      <c r="C558">
        <f>Inputs!$B$3&gt;=38</f>
        <v/>
      </c>
      <c r="D558">
        <f>IF(Skills!C21=1,60+Inputs!$B$24+Inputs!$B$28,IF(Skills!C21=2,90+Inputs!$B$25+Inputs!$B$28,IF(Skills!C21=3,120+Inputs!$B$26+Inputs!$B$28,MAX(0,(Inputs!$B$3-100)*3)+Inputs!$B$27+Inputs!$B$28)))</f>
        <v/>
      </c>
      <c r="E558">
        <f>INDEX(FactorTable!$B$2:$Y$301, MATCH(ROUND(MIN(300,MAX(1,D558)),0), FactorTable!$A$2:$A$301,0), Skills!M21+1)</f>
        <v/>
      </c>
      <c r="F558">
        <f>IF(Skills!N21=TRUE,(Skills!L21/10)*(E558/1000),Skills!L21/10)+Skills!O21</f>
        <v/>
      </c>
      <c r="G558">
        <f>Skills!G21*IF(Skills!H21&gt;0,Skills!I21/Skills!H21,1)</f>
        <v/>
      </c>
      <c r="H558">
        <f>1-(1-Skills!J21/100)^Skills!K21</f>
        <v/>
      </c>
      <c r="I558" t="inlineStr">
        <is>
          <t>1</t>
        </is>
      </c>
      <c r="J558" t="inlineStr"/>
      <c r="K558" t="inlineStr"/>
      <c r="L558" t="inlineStr"/>
      <c r="M558" t="inlineStr"/>
      <c r="N558" t="inlineStr"/>
      <c r="O558" t="n">
        <v>0</v>
      </c>
      <c r="P558">
        <f>IF(B570=0,0,O558/B570)</f>
        <v/>
      </c>
      <c r="Q558" t="n">
        <v>0</v>
      </c>
      <c r="R558" t="n">
        <v>0</v>
      </c>
      <c r="S558">
        <f>IFERROR(O558/N558,0)</f>
        <v/>
      </c>
    </row>
    <row r="559">
      <c r="A559">
        <f>Skills!A22</f>
        <v/>
      </c>
      <c r="B559">
        <f>Skills!B22</f>
        <v/>
      </c>
      <c r="C559">
        <f>Inputs!$B$3&gt;=75</f>
        <v/>
      </c>
      <c r="D559">
        <f>IF(Skills!C22=1,60+Inputs!$B$24+Inputs!$B$28,IF(Skills!C22=2,90+Inputs!$B$25+Inputs!$B$28,IF(Skills!C22=3,120+Inputs!$B$26+Inputs!$B$28,MAX(0,(Inputs!$B$3-100)*3)+Inputs!$B$27+Inputs!$B$28)))</f>
        <v/>
      </c>
      <c r="E559">
        <f>INDEX(FactorTable!$B$2:$Y$301, MATCH(ROUND(MIN(300,MAX(1,D559)),0), FactorTable!$A$2:$A$301,0), Skills!M22+1)</f>
        <v/>
      </c>
      <c r="F559">
        <f>IF(Skills!N22=TRUE,(Skills!L22/10)*(E559/1000),Skills!L22/10)+Skills!O22</f>
        <v/>
      </c>
      <c r="G559">
        <f>Skills!G22*IF(Skills!H22&gt;0,Skills!I22/Skills!H22,1)</f>
        <v/>
      </c>
      <c r="H559">
        <f>1-(1-Skills!J22/100)^Skills!K22</f>
        <v/>
      </c>
      <c r="I559" t="inlineStr">
        <is>
          <t>1</t>
        </is>
      </c>
      <c r="J559" t="inlineStr"/>
      <c r="K559" t="inlineStr"/>
      <c r="L559" t="inlineStr"/>
      <c r="M559" t="inlineStr"/>
      <c r="N559" t="inlineStr"/>
      <c r="O559" t="n">
        <v>0</v>
      </c>
      <c r="P559">
        <f>IF(B570=0,0,O559/B570)</f>
        <v/>
      </c>
      <c r="Q559" t="n">
        <v>0</v>
      </c>
      <c r="R559" t="n">
        <v>0</v>
      </c>
      <c r="S559">
        <f>IFERROR(O559/N559,0)</f>
        <v/>
      </c>
    </row>
    <row r="561">
      <c r="A561" t="inlineStr">
        <is>
          <t>Attack% Bucket Multiplier</t>
        </is>
      </c>
      <c r="B561">
        <f>(1+(((C550=TRUE)*F550)+((C556=TRUE)*(F556-Calc!F19)))/100)</f>
        <v/>
      </c>
    </row>
    <row r="562">
      <c r="A562" t="inlineStr">
        <is>
          <t>Global Crit Rate Bonus %</t>
        </is>
      </c>
      <c r="B562" t="n">
        <v>0</v>
      </c>
    </row>
    <row r="563">
      <c r="A563" t="inlineStr">
        <is>
          <t>Attack Speed Buff Bonus % (unused)</t>
        </is>
      </c>
      <c r="B563" t="n">
        <v>0</v>
      </c>
    </row>
    <row r="564">
      <c r="A564" t="inlineStr">
        <is>
          <t>Actions Per Second</t>
        </is>
      </c>
      <c r="B564">
        <f>1+MIN(150,150*(1-(1-(Inputs!$B$10+((C554=TRUE)*(F554-Calc!F17))+((C555=TRUE)*(F555-Calc!F18)))/150)*(1-B563/150)))/100</f>
        <v/>
      </c>
    </row>
    <row r="565">
      <c r="A565" t="inlineStr">
        <is>
          <t>Skill + Buff Cast Rate</t>
        </is>
      </c>
      <c r="B565">
        <f>IF(AND(Inputs!$B$4&lt;&gt;"pvp",Inputs!$B$35&gt;0),SUMPRODUCT((Skills!E2:E22=TRUE)*(C539:C559=TRUE)*R539:R559*Skills!F2:F22)/Inputs!$B$35,SUMPRODUCT((Skills!E2:E22=TRUE)*(C539:C559=TRUE)*Q539:Q559*Skills!F2:F22))</f>
        <v/>
      </c>
    </row>
    <row r="566">
      <c r="A566" t="inlineStr">
        <is>
          <t>Hook Bomber Casts Per Second</t>
        </is>
      </c>
      <c r="B566">
        <f>MAX(0,B564-B565)</f>
        <v/>
      </c>
    </row>
    <row r="567">
      <c r="A567" t="inlineStr">
        <is>
          <t>Global Critical Damage Bonus % (unused)</t>
        </is>
      </c>
      <c r="B567" t="n">
        <v>0</v>
      </c>
    </row>
    <row r="568">
      <c r="A568" t="inlineStr">
        <is>
          <t>Global Final Damage Bonus % (Serpent Scale + Crossbones + Time Leap + Speed Infusion)</t>
        </is>
      </c>
      <c r="B568">
        <f>((C542=TRUE)*F542*((10+IF(Inputs!$B$3&gt;=94,5,0))/((10+IF(Inputs!$B$3&gt;=94,5,0))+5/(B566*(1+IF(Inputs!$B$3&gt;=104,1,0))))))+((C551=TRUE)*F551)+((C552=TRUE)*F552)+((Inputs!$B$3&gt;=110)*20*(B564-1))</f>
        <v/>
      </c>
    </row>
    <row r="570">
      <c r="A570" s="5" t="inlineStr">
        <is>
          <t>TOTAL DPS</t>
        </is>
      </c>
      <c r="B570" s="5">
        <f>SUM(O539:O559)</f>
        <v/>
      </c>
    </row>
    <row r="573">
      <c r="A573" s="5" t="inlineStr">
        <is>
          <t>Stat: SKILL_DAMAGE %</t>
        </is>
      </c>
    </row>
    <row r="574">
      <c r="A574" s="8" t="inlineStr">
        <is>
          <t>Key</t>
        </is>
      </c>
      <c r="B574" s="8" t="inlineStr">
        <is>
          <t>Name</t>
        </is>
      </c>
      <c r="C574" s="8" t="inlineStr">
        <is>
          <t>Unlocked</t>
        </is>
      </c>
      <c r="D574" s="8" t="inlineStr">
        <is>
          <t>InputLevel</t>
        </is>
      </c>
      <c r="E574" s="8" t="inlineStr">
        <is>
          <t>Factor</t>
        </is>
      </c>
      <c r="F574" s="8" t="inlineStr">
        <is>
          <t>CoefficientPercent</t>
        </is>
      </c>
      <c r="G574" s="8" t="inlineStr">
        <is>
          <t>EffectiveHits</t>
        </is>
      </c>
      <c r="H574" s="8" t="inlineStr">
        <is>
          <t>ProcProbability</t>
        </is>
      </c>
      <c r="I574" s="8" t="inlineStr">
        <is>
          <t>MapleHeroMultiplier</t>
        </is>
      </c>
      <c r="J574" s="8" t="inlineStr">
        <is>
          <t>BaseDamage</t>
        </is>
      </c>
      <c r="K574" s="8" t="inlineStr">
        <is>
          <t>BaseHitDamage</t>
        </is>
      </c>
      <c r="L574" s="8" t="inlineStr">
        <is>
          <t>NonCritAvg</t>
        </is>
      </c>
      <c r="M574" s="8" t="inlineStr">
        <is>
          <t>CritAvg</t>
        </is>
      </c>
      <c r="N574" s="8" t="inlineStr">
        <is>
          <t>ExpectedDamage(perHit)</t>
        </is>
      </c>
      <c r="O574" s="8" t="inlineStr">
        <is>
          <t>DPS</t>
        </is>
      </c>
      <c r="P574" s="8" t="inlineStr">
        <is>
          <t>% of Total</t>
        </is>
      </c>
      <c r="Q574" s="8" t="inlineStr">
        <is>
          <t>InvCooldown</t>
        </is>
      </c>
      <c r="R574" s="8" t="inlineStr">
        <is>
          <t>CastsInFight</t>
        </is>
      </c>
      <c r="S574" s="8" t="inlineStr">
        <is>
          <t>HitRate(perSec)</t>
        </is>
      </c>
      <c r="U574" t="inlineStr">
        <is>
          <t>helpers</t>
        </is>
      </c>
    </row>
    <row r="575">
      <c r="A575">
        <f>Skills!A2</f>
        <v/>
      </c>
      <c r="B575">
        <f>Skills!B2</f>
        <v/>
      </c>
      <c r="C575">
        <f>Inputs!$B$3&gt;=100</f>
        <v/>
      </c>
      <c r="D575" t="inlineStr"/>
      <c r="E575" t="inlineStr"/>
      <c r="F575">
        <f>U577+Skills!O2</f>
        <v/>
      </c>
      <c r="G575">
        <f>Skills!G2*IF(Skills!H2&gt;0,Skills!I2/Skills!H2,1)</f>
        <v/>
      </c>
      <c r="H575">
        <f>1-(1-Skills!J2/100)^Skills!K2</f>
        <v/>
      </c>
      <c r="I575" t="inlineStr">
        <is>
          <t>1</t>
        </is>
      </c>
      <c r="J575">
        <f>(Inputs!$B$5*(1+Inputs!$B$6/100))*(F575/100)</f>
        <v/>
      </c>
      <c r="K575">
        <f>J575*(1+((Inputs!$B$11*(1+Inputs!$B$12/100))*0.01+Inputs!$B$13*0.0025)/100)*(1+Inputs!$B$14/100)*(1+IF(Inputs!$B$4="pvp",0,(1-Summary!$B$55)*(Inputs!$B$19+0+Skills!P2)+Summary!$B$55*(Inputs!$B$20+Skills!Q2))/100)*(1+Inputs!$B$15/100)*(5000/(6000+Inputs!$B$7*(1-(Inputs!$B$18+0)/100)))*(1+(Inputs!$B$23+((C595=TRUE)*(F595-Calc!F22))+B604)/100)*(1+(IF(Skills!A2="HOOK_BOMBER",Inputs!$B$16+((C594=TRUE)*(F594-Calc!F21)),(Inputs!$B$17+1)+0))/100)*((1+(((C586=TRUE)*F586)+((C592=TRUE)*(F592-Calc!F19)))/100)*I575)</f>
        <v/>
      </c>
      <c r="L575">
        <f>K575*(MIN(Inputs!$B$21+((C593=TRUE)*(F593-Calc!F20)),Inputs!$B$22+0)/100+(Inputs!$B$22+0)/100)/2</f>
        <v/>
      </c>
      <c r="M575">
        <f>L575*(1+(Inputs!$B$9+0+B603)/100)</f>
        <v/>
      </c>
      <c r="N575">
        <f>L575*(1-MIN((Inputs!$B$8+((C589=TRUE)*(F589-Calc!F16))+B598),100)/100)+M575*(MIN((Inputs!$B$8+((C589=TRUE)*(F589-Calc!F16))+B598),100)/100)</f>
        <v/>
      </c>
      <c r="O575">
        <f>IF(C575,Skills!G2*N575*B602*IF(Inputs!$B$4="pvp",1,(1-Summary!$B$55)*(1)+Summary!$B$55*(MIN((6+Inputs!$B$32),Inputs!$B$37))),0)</f>
        <v/>
      </c>
      <c r="P575">
        <f>IF(B606=0,0,O575/B606)</f>
        <v/>
      </c>
      <c r="Q575" t="n">
        <v>0</v>
      </c>
      <c r="R575" t="n">
        <v>0</v>
      </c>
      <c r="S575">
        <f>IFERROR(O575/N575,0)</f>
        <v/>
      </c>
      <c r="U575">
        <f>MAX(0,(Inputs!$B$3-100)*3)+Inputs!$B$27+Inputs!$B$28</f>
        <v/>
      </c>
    </row>
    <row r="576">
      <c r="A576">
        <f>Skills!A3</f>
        <v/>
      </c>
      <c r="B576">
        <f>Skills!B3</f>
        <v/>
      </c>
      <c r="C576">
        <f>Inputs!$B$3&gt;=35</f>
        <v/>
      </c>
      <c r="D576">
        <f>IF(Skills!C3=1,60+Inputs!$B$24+Inputs!$B$28,IF(Skills!C3=2,90+Inputs!$B$25+Inputs!$B$28,IF(Skills!C3=3,120+Inputs!$B$26+Inputs!$B$28,MAX(0,(Inputs!$B$3-100)*3)+Inputs!$B$27+Inputs!$B$28)))</f>
        <v/>
      </c>
      <c r="E576">
        <f>INDEX(FactorTable!$B$2:$Y$301, MATCH(ROUND(MIN(300,MAX(1,D576)),0), FactorTable!$A$2:$A$301,0), Skills!M3+1)</f>
        <v/>
      </c>
      <c r="F576">
        <f>IF(Skills!N3=TRUE,(Skills!L3/10)*(E576/1000),Skills!L3/10)+Skills!O3</f>
        <v/>
      </c>
      <c r="G576">
        <f>Skills!G3*IF(Skills!H3&gt;0,Skills!I3/Skills!H3,1)</f>
        <v/>
      </c>
      <c r="H576">
        <f>1-(1-Skills!J3/100)^Skills!K3</f>
        <v/>
      </c>
      <c r="I576" t="inlineStr">
        <is>
          <t>1</t>
        </is>
      </c>
      <c r="J576">
        <f>(Inputs!$B$5*(1+Inputs!$B$6/100))*(F576/100)</f>
        <v/>
      </c>
      <c r="K576">
        <f>J576*(1+((Inputs!$B$11*(1+Inputs!$B$12/100))*0.01+Inputs!$B$13*0.0025)/100)*(1+Inputs!$B$14/100)*(1+IF(Inputs!$B$4="pvp",0,(1-Summary!$B$55)*(Inputs!$B$19+0+Skills!P3)+Summary!$B$55*(Inputs!$B$20+Skills!Q3))/100)*(1+Inputs!$B$15/100)*(5000/(6000+Inputs!$B$7*(1-(Inputs!$B$18+0)/100)))*(1+(Inputs!$B$23+((C595=TRUE)*(F595-Calc!F22))+B604)/100)*(1+(IF(Skills!A3="HOOK_BOMBER",Inputs!$B$16+((C594=TRUE)*(F594-Calc!F21)),(Inputs!$B$17+1)+0))/100)*((1+(((C586=TRUE)*F586)+((C592=TRUE)*(F592-Calc!F19)))/100)*I576)</f>
        <v/>
      </c>
      <c r="L576">
        <f>K576*(MIN(Inputs!$B$21+((C593=TRUE)*(F593-Calc!F20)),Inputs!$B$22+0)/100+(Inputs!$B$22+0)/100)/2</f>
        <v/>
      </c>
      <c r="M576">
        <f>L576*(1+(Inputs!$B$9+0+B603)/100)</f>
        <v/>
      </c>
      <c r="N576">
        <f>L576*(1-MIN((Inputs!$B$8+((C589=TRUE)*(F589-Calc!F16))+B598),100)/100)+M576*(MIN((Inputs!$B$8+((C589=TRUE)*(F589-Calc!F16))+B598),100)/100)</f>
        <v/>
      </c>
      <c r="O576">
        <f>IF(C576,Skills!G3*H576*N576*B602*IF(Inputs!$B$4="pvp",1,(1-Summary!$B$55)*(1)+Summary!$B$55*(MIN(Skills!R3,Inputs!$B$37))),0)</f>
        <v/>
      </c>
      <c r="P576">
        <f>IF(B606=0,0,O576/B606)</f>
        <v/>
      </c>
      <c r="Q576" t="n">
        <v>0</v>
      </c>
      <c r="R576" t="n">
        <v>0</v>
      </c>
      <c r="S576">
        <f>IFERROR(O576/N576,0)</f>
        <v/>
      </c>
      <c r="U576">
        <f>INDEX(FactorTable!$B$2:$Y$301, MATCH(ROUND(MIN(300,MAX(1,U575)),0), FactorTable!$A$2:$A$301,0), 22)</f>
        <v/>
      </c>
    </row>
    <row r="577">
      <c r="A577">
        <f>Skills!A4</f>
        <v/>
      </c>
      <c r="B577">
        <f>Skills!B4</f>
        <v/>
      </c>
      <c r="C577">
        <f>Inputs!$B$3&gt;=60</f>
        <v/>
      </c>
      <c r="D577">
        <f>IF(Skills!C4=1,60+Inputs!$B$24+Inputs!$B$28,IF(Skills!C4=2,90+Inputs!$B$25+Inputs!$B$28,IF(Skills!C4=3,120+Inputs!$B$26+Inputs!$B$28,MAX(0,(Inputs!$B$3-100)*3)+Inputs!$B$27+Inputs!$B$28)))</f>
        <v/>
      </c>
      <c r="E577">
        <f>INDEX(FactorTable!$B$2:$Y$301, MATCH(ROUND(MIN(300,MAX(1,D577)),0), FactorTable!$A$2:$A$301,0), Skills!M4+1)</f>
        <v/>
      </c>
      <c r="F577">
        <f>IF(Skills!N4=TRUE,(Skills!L4/10)*(E577/1000),Skills!L4/10)+Skills!O4</f>
        <v/>
      </c>
      <c r="G577">
        <f>Skills!G4*IF(Skills!H4&gt;0,Skills!I4/Skills!H4,1)</f>
        <v/>
      </c>
      <c r="H577">
        <f>1-(1-Skills!J4/100)^Skills!K4</f>
        <v/>
      </c>
      <c r="I577" t="inlineStr">
        <is>
          <t>1</t>
        </is>
      </c>
      <c r="J577">
        <f>(Inputs!$B$5*(1+Inputs!$B$6/100))*(F577/100)</f>
        <v/>
      </c>
      <c r="K577">
        <f>J577*(1+((Inputs!$B$11*(1+Inputs!$B$12/100))*0.01+Inputs!$B$13*0.0025)/100)*(1+Inputs!$B$14/100)*(1+IF(Inputs!$B$4="pvp",0,(1-Summary!$B$55)*(Inputs!$B$19+0+Skills!P4)+Summary!$B$55*(Inputs!$B$20+Skills!Q4))/100)*(1+Inputs!$B$15/100)*(5000/(6000+Inputs!$B$7*(1-(Inputs!$B$18+0)/100)))*(1+(Inputs!$B$23+((C595=TRUE)*(F595-Calc!F22))+B604)/100)*(1+1.0*IF(C585=TRUE,F585,0)/100)*(1+(IF(Skills!A4="HOOK_BOMBER",Inputs!$B$16+((C594=TRUE)*(F594-Calc!F21)),(Inputs!$B$17+1)+0))/100)*((1+(((C586=TRUE)*F586)+((C592=TRUE)*(F592-Calc!F19)))/100)*I577)</f>
        <v/>
      </c>
      <c r="L577">
        <f>K577*(MIN(Inputs!$B$21+((C593=TRUE)*(F593-Calc!F20)),Inputs!$B$22+0)/100+(Inputs!$B$22+0)/100)/2</f>
        <v/>
      </c>
      <c r="M577">
        <f>L577*(1+(Inputs!$B$9+0+B603)/100)</f>
        <v/>
      </c>
      <c r="N577">
        <f>L577*(1-MIN((Inputs!$B$8+((C589=TRUE)*(F589-Calc!F16))+B598),100)/100)+M577*(MIN((Inputs!$B$8+((C589=TRUE)*(F589-Calc!F16))+B598),100)/100)</f>
        <v/>
      </c>
      <c r="O577">
        <f>IF(C577,Skills!G4*H577*N577*B602*IF(Inputs!$B$4="pvp",1,(1-Summary!$B$55)*(1)+Summary!$B$55*(MIN(Skills!R4,Inputs!$B$37))),0)</f>
        <v/>
      </c>
      <c r="P577">
        <f>IF(B606=0,0,O577/B606)</f>
        <v/>
      </c>
      <c r="Q577" t="n">
        <v>0</v>
      </c>
      <c r="R577" t="n">
        <v>0</v>
      </c>
      <c r="S577">
        <f>IFERROR(O577/N577,0)</f>
        <v/>
      </c>
      <c r="U577">
        <f>290*U576/1000</f>
        <v/>
      </c>
    </row>
    <row r="578">
      <c r="A578">
        <f>Skills!A5</f>
        <v/>
      </c>
      <c r="B578">
        <f>Skills!B5</f>
        <v/>
      </c>
      <c r="C578">
        <f>Inputs!$B$3&gt;=60</f>
        <v/>
      </c>
      <c r="D578">
        <f>IF(Skills!C5=1,60+Inputs!$B$24+Inputs!$B$28,IF(Skills!C5=2,90+Inputs!$B$25+Inputs!$B$28,IF(Skills!C5=3,120+Inputs!$B$26+Inputs!$B$28,MAX(0,(Inputs!$B$3-100)*3)+Inputs!$B$27+Inputs!$B$28)))</f>
        <v/>
      </c>
      <c r="E578">
        <f>INDEX(FactorTable!$B$2:$Y$301, MATCH(ROUND(MIN(300,MAX(1,D578)),0), FactorTable!$A$2:$A$301,0), Skills!M5+1)</f>
        <v/>
      </c>
      <c r="F578">
        <f>IF(Skills!N5=TRUE,(Skills!L5/10)*(E578/1000),Skills!L5/10)+Skills!O5</f>
        <v/>
      </c>
      <c r="G578">
        <f>Skills!G5*IF(Skills!H5&gt;0,Skills!I5/Skills!H5,1)</f>
        <v/>
      </c>
      <c r="H578">
        <f>1-(1-Skills!J5/100)^Skills!K5</f>
        <v/>
      </c>
      <c r="I578" t="inlineStr">
        <is>
          <t>1</t>
        </is>
      </c>
      <c r="J578" t="inlineStr"/>
      <c r="K578" t="inlineStr"/>
      <c r="L578" t="inlineStr"/>
      <c r="M578" t="inlineStr"/>
      <c r="N578" t="inlineStr"/>
      <c r="O578" t="n">
        <v>0</v>
      </c>
      <c r="P578">
        <f>IF(B606=0,0,O578/B606)</f>
        <v/>
      </c>
      <c r="Q578" t="n">
        <v>0</v>
      </c>
      <c r="R578" t="n">
        <v>0</v>
      </c>
      <c r="S578">
        <f>IFERROR(O578/N578,0)</f>
        <v/>
      </c>
    </row>
    <row r="579">
      <c r="A579">
        <f>Skills!A6</f>
        <v/>
      </c>
      <c r="B579">
        <f>Skills!B6</f>
        <v/>
      </c>
      <c r="C579">
        <f>Inputs!$B$3&gt;=63</f>
        <v/>
      </c>
      <c r="D579">
        <f>IF(Skills!C6=1,60+Inputs!$B$24+Inputs!$B$28,IF(Skills!C6=2,90+Inputs!$B$25+Inputs!$B$28,IF(Skills!C6=3,120+Inputs!$B$26+Inputs!$B$28,MAX(0,(Inputs!$B$3-100)*3)+Inputs!$B$27+Inputs!$B$28)))</f>
        <v/>
      </c>
      <c r="E579">
        <f>INDEX(FactorTable!$B$2:$Y$301, MATCH(ROUND(MIN(300,MAX(1,D579)),0), FactorTable!$A$2:$A$301,0), Skills!M6+1)</f>
        <v/>
      </c>
      <c r="F579">
        <f>IF(Skills!N6=TRUE,(Skills!L6/10)*(E579/1000),Skills!L6/10)+Skills!O6</f>
        <v/>
      </c>
      <c r="G579">
        <f>Skills!G6*IF(Skills!H6&gt;0,Skills!I6/Skills!H6,1)</f>
        <v/>
      </c>
      <c r="H579">
        <f>1-(1-Skills!J6/100)^Skills!K6</f>
        <v/>
      </c>
      <c r="I579" t="inlineStr">
        <is>
          <t>1</t>
        </is>
      </c>
      <c r="J579">
        <f>(Inputs!$B$5*(1+Inputs!$B$6/100))*(F579/100)</f>
        <v/>
      </c>
      <c r="K579">
        <f>J579*(1+((Inputs!$B$11*(1+Inputs!$B$12/100))*0.01+Inputs!$B$13*0.0025)/100)*(1+Inputs!$B$14/100)*(1+IF(Inputs!$B$4="pvp",0,(1-Summary!$B$55)*(Inputs!$B$19+0+Skills!P6)+Summary!$B$55*(Inputs!$B$20+Skills!Q6))/100)*(1+Inputs!$B$15/100)*(5000/(6000+Inputs!$B$7*(1-(Inputs!$B$18+0)/100)))*(1+(Inputs!$B$23+((C595=TRUE)*(F595-Calc!F22))+B604)/100)*(1+(IF(Skills!A6="HOOK_BOMBER",Inputs!$B$16+((C594=TRUE)*(F594-Calc!F21)),(Inputs!$B$17+1)+0))/100)*((1+(((C586=TRUE)*F586)+((C592=TRUE)*(F592-Calc!F19)))/100)*I579)</f>
        <v/>
      </c>
      <c r="L579">
        <f>K579*(MIN(Inputs!$B$21+((C593=TRUE)*(F593-Calc!F20)),Inputs!$B$22+0)/100+(Inputs!$B$22+0)/100)/2</f>
        <v/>
      </c>
      <c r="M579">
        <f>L579*(1+(Inputs!$B$9+0+B603)/100)</f>
        <v/>
      </c>
      <c r="N579">
        <f>L579*(1-MIN((Inputs!$B$8+((C589=TRUE)*(F589-Calc!F16))+B598),100)/100)+M579*(MIN((Inputs!$B$8+((C589=TRUE)*(F589-Calc!F16))+B598),100)/100)</f>
        <v/>
      </c>
      <c r="O579">
        <f>IF(C579,H579*N579*IF(AND(Inputs!$B$4&lt;&gt;"pvp",Inputs!$B$35&gt;0),((Skills!G6*((R579-1)*IF(Skills!H6&gt;0,Skills!I6/Skills!H6,1)+IF(Skills!H6&gt;0,MIN(Skills!I6,MAX(0,Inputs!$B$35-((R579-1)*IF(Inputs!$B$4="pvp",15,MAX(0.1,Skills!D6-IF(Skills!E6=TRUE,Inputs!$B$31,0))))))/Skills!H6,1)))/Inputs!$B$35),G579*Q579)*IF(Inputs!$B$4="pvp",1,(1-Summary!$B$55)*(1)+Summary!$B$55*(MIN(Skills!R6,Inputs!$B$37))),0)</f>
        <v/>
      </c>
      <c r="P579">
        <f>IF(B606=0,0,O579/B606)</f>
        <v/>
      </c>
      <c r="Q579">
        <f>IFERROR(1/IF(Inputs!$B$4="pvp",15,MAX(0.1,Skills!D6-IF(Skills!E6=TRUE,Inputs!$B$31,0))),0)</f>
        <v/>
      </c>
      <c r="R579">
        <f>IF(AND(Inputs!$B$4&lt;&gt;"pvp",Inputs!$B$35&gt;0),(INT(Inputs!$B$35/IF(Inputs!$B$4="pvp",15,MAX(0.1,Skills!D6-IF(Skills!E6=TRUE,Inputs!$B$31,0))))+1),0)</f>
        <v/>
      </c>
      <c r="S579">
        <f>IFERROR(O579/N579,0)</f>
        <v/>
      </c>
    </row>
    <row r="580">
      <c r="A580">
        <f>Skills!A7</f>
        <v/>
      </c>
      <c r="B580">
        <f>Skills!B7</f>
        <v/>
      </c>
      <c r="C580">
        <f>Inputs!$B$3&gt;=100</f>
        <v/>
      </c>
      <c r="D580">
        <f>IF(Skills!C7=1,60+Inputs!$B$24+Inputs!$B$28,IF(Skills!C7=2,90+Inputs!$B$25+Inputs!$B$28,IF(Skills!C7=3,120+Inputs!$B$26+Inputs!$B$28,MAX(0,(Inputs!$B$3-100)*3)+Inputs!$B$27+Inputs!$B$28)))</f>
        <v/>
      </c>
      <c r="E580">
        <f>INDEX(FactorTable!$B$2:$Y$301, MATCH(ROUND(MIN(300,MAX(1,D580)),0), FactorTable!$A$2:$A$301,0), Skills!M7+1)</f>
        <v/>
      </c>
      <c r="F580">
        <f>IF(Skills!N7=TRUE,(Skills!L7/10)*(E580/1000),Skills!L7/10)+Skills!O7</f>
        <v/>
      </c>
      <c r="G580">
        <f>Skills!G7*IF(Skills!H7&gt;0,Skills!I7/Skills!H7,1)</f>
        <v/>
      </c>
      <c r="H580">
        <f>1-(1-Skills!J7/100)^Skills!K7</f>
        <v/>
      </c>
      <c r="I580" t="inlineStr">
        <is>
          <t>1</t>
        </is>
      </c>
      <c r="J580">
        <f>(Inputs!$B$5*(1+Inputs!$B$6/100))*(F580/100)</f>
        <v/>
      </c>
      <c r="K580">
        <f>J580*(1+((Inputs!$B$11*(1+Inputs!$B$12/100))*0.01+Inputs!$B$13*0.0025)/100)*(1+Inputs!$B$14/100)*(1+IF(Inputs!$B$4="pvp",0,(1-Summary!$B$55)*(Inputs!$B$19+0+Skills!P7)+Summary!$B$55*(Inputs!$B$20+Skills!Q7))/100)*(1+Inputs!$B$15/100)*(5000/(6000+Inputs!$B$7*(1-(Inputs!$B$18+0)/100)))*(1+(Inputs!$B$23+((C595=TRUE)*(F595-Calc!F22))+B604)/100)*(1+(IF(Skills!A7="HOOK_BOMBER",Inputs!$B$16+((C594=TRUE)*(F594-Calc!F21)),(Inputs!$B$17+1)+0))/100)*((1+(((C586=TRUE)*F586)+((C592=TRUE)*(F592-Calc!F19)))/100)*I580)</f>
        <v/>
      </c>
      <c r="L580">
        <f>K580*(MIN(Inputs!$B$21+((C593=TRUE)*(F593-Calc!F20)),Inputs!$B$22+0)/100+(Inputs!$B$22+0)/100)/2</f>
        <v/>
      </c>
      <c r="M580">
        <f>L580*(1+(Inputs!$B$9+0+B603)/100)</f>
        <v/>
      </c>
      <c r="N580">
        <f>L580*(1-MIN((Inputs!$B$8+((C589=TRUE)*(F589-Calc!F16))+B598),100)/100)+M580*(MIN((Inputs!$B$8+((C589=TRUE)*(F589-Calc!F16))+B598),100)/100)</f>
        <v/>
      </c>
      <c r="O580">
        <f>IF(C580,H580*N580*IF(AND(Inputs!$B$4&lt;&gt;"pvp",Inputs!$B$35&gt;0),((Skills!G7*((R580-1)*IF(Skills!H7&gt;0,Skills!I7/Skills!H7,1)+IF(Skills!H7&gt;0,MIN(Skills!I7,MAX(0,Inputs!$B$35-((R580-1)*IF(Inputs!$B$4="pvp",15,MAX(0.1,Skills!D7-IF(Skills!E7=TRUE,Inputs!$B$31,0))))))/Skills!H7,1)))/Inputs!$B$35),G580*Q580)*IF(Inputs!$B$4="pvp",1,(1-Summary!$B$55)*(1)+Summary!$B$55*(MIN(Skills!R7,Inputs!$B$37))),0)</f>
        <v/>
      </c>
      <c r="P580">
        <f>IF(B606=0,0,O580/B606)</f>
        <v/>
      </c>
      <c r="Q580">
        <f>IFERROR(1/IF(Inputs!$B$4="pvp",15,MAX(0.1,Skills!D7-IF(Skills!E7=TRUE,Inputs!$B$31,0))),0)</f>
        <v/>
      </c>
      <c r="R580">
        <f>IF(AND(Inputs!$B$4&lt;&gt;"pvp",Inputs!$B$35&gt;0),(INT(Inputs!$B$35/IF(Inputs!$B$4="pvp",15,MAX(0.1,Skills!D7-IF(Skills!E7=TRUE,Inputs!$B$31,0))))+1),0)</f>
        <v/>
      </c>
      <c r="S580">
        <f>IFERROR(O580/N580,0)</f>
        <v/>
      </c>
    </row>
    <row r="581">
      <c r="A581">
        <f>Skills!A8</f>
        <v/>
      </c>
      <c r="B581">
        <f>Skills!B8</f>
        <v/>
      </c>
      <c r="C581">
        <f>Inputs!$B$3&gt;=110</f>
        <v/>
      </c>
      <c r="D581">
        <f>IF(Skills!C8=1,60+Inputs!$B$24+Inputs!$B$28,IF(Skills!C8=2,90+Inputs!$B$25+Inputs!$B$28,IF(Skills!C8=3,120+Inputs!$B$26+Inputs!$B$28,MAX(0,(Inputs!$B$3-100)*3)+Inputs!$B$27+Inputs!$B$28)))</f>
        <v/>
      </c>
      <c r="E581">
        <f>INDEX(FactorTable!$B$2:$Y$301, MATCH(ROUND(MIN(300,MAX(1,D581)),0), FactorTable!$A$2:$A$301,0), Skills!M8+1)</f>
        <v/>
      </c>
      <c r="F581">
        <f>IF(Skills!N8=TRUE,(Skills!L8/10)*(E581/1000),Skills!L8/10)+Skills!O8</f>
        <v/>
      </c>
      <c r="G581">
        <f>Skills!G8*IF(Skills!H8&gt;0,Skills!I8/Skills!H8,1)</f>
        <v/>
      </c>
      <c r="H581">
        <f>1-(1-Skills!J8/100)^Skills!K8</f>
        <v/>
      </c>
      <c r="I581" t="inlineStr">
        <is>
          <t>1</t>
        </is>
      </c>
      <c r="J581">
        <f>(Inputs!$B$5*(1+Inputs!$B$6/100))*(F581/100)</f>
        <v/>
      </c>
      <c r="K581">
        <f>J581*(1+((Inputs!$B$11*(1+Inputs!$B$12/100))*0.01+Inputs!$B$13*0.0025)/100)*(1+Inputs!$B$14/100)*(1+IF(Inputs!$B$4="pvp",0,(1-Summary!$B$55)*(Inputs!$B$19+0+Skills!P8)+Summary!$B$55*(Inputs!$B$20+Skills!Q8))/100)*(1+Inputs!$B$15/100)*(5000/(6000+Inputs!$B$7*(1-(Inputs!$B$18+0)/100)))*(1+(Inputs!$B$23+((C595=TRUE)*(F595-Calc!F22))+B604)/100)*(1+(IF(Skills!A8="HOOK_BOMBER",Inputs!$B$16+((C594=TRUE)*(F594-Calc!F21)),(Inputs!$B$17+1)+0))/100)*((1+(((C586=TRUE)*F586)+((C592=TRUE)*(F592-Calc!F19)))/100)*I581)</f>
        <v/>
      </c>
      <c r="L581">
        <f>K581*(MIN(Inputs!$B$21+((C593=TRUE)*(F593-Calc!F20)),Inputs!$B$22+0)/100+(Inputs!$B$22+0)/100)/2</f>
        <v/>
      </c>
      <c r="M581">
        <f>L581*(1+(Inputs!$B$9+0+B603)/100)</f>
        <v/>
      </c>
      <c r="N581">
        <f>L581*(1-MIN((Inputs!$B$8+((C589=TRUE)*(F589-Calc!F16))+B598),100)/100)+M581*(MIN((Inputs!$B$8+((C589=TRUE)*(F589-Calc!F16))+B598),100)/100)</f>
        <v/>
      </c>
      <c r="O581">
        <f>IF(C581,H581*N581*IF(AND(Inputs!$B$4&lt;&gt;"pvp",Inputs!$B$35&gt;0),((Skills!G8*((R581-1)*IF(Skills!H8&gt;0,Skills!I8/Skills!H8,1)+IF(Skills!H8&gt;0,MIN(Skills!I8,MAX(0,Inputs!$B$35-((R581-1)*IF(Inputs!$B$4="pvp",15,MAX(0.1,Skills!D8-IF(Skills!E8=TRUE,Inputs!$B$31,0))))))/Skills!H8,1)))/Inputs!$B$35),G581*Q581)*IF(Inputs!$B$4="pvp",1,(1-Summary!$B$55)*(1)+Summary!$B$55*(MIN(Skills!R8,Inputs!$B$37))),0)</f>
        <v/>
      </c>
      <c r="P581">
        <f>IF(B606=0,0,O581/B606)</f>
        <v/>
      </c>
      <c r="Q581">
        <f>IFERROR(1/IF(Inputs!$B$4="pvp",15,MAX(0.1,Skills!D8-IF(Skills!E8=TRUE,Inputs!$B$31,0))),0)</f>
        <v/>
      </c>
      <c r="R581">
        <f>IF(AND(Inputs!$B$4&lt;&gt;"pvp",Inputs!$B$35&gt;0),(INT(Inputs!$B$35/IF(Inputs!$B$4="pvp",15,MAX(0.1,Skills!D8-IF(Skills!E8=TRUE,Inputs!$B$31,0))))+1),0)</f>
        <v/>
      </c>
      <c r="S581">
        <f>IFERROR(O581/N581,0)</f>
        <v/>
      </c>
    </row>
    <row r="582">
      <c r="A582">
        <f>Skills!A9</f>
        <v/>
      </c>
      <c r="B582">
        <f>Skills!B9</f>
        <v/>
      </c>
      <c r="C582">
        <f>Inputs!$B$3&gt;=110</f>
        <v/>
      </c>
      <c r="D582">
        <f>IF(Skills!C9=1,60+Inputs!$B$24+Inputs!$B$28,IF(Skills!C9=2,90+Inputs!$B$25+Inputs!$B$28,IF(Skills!C9=3,120+Inputs!$B$26+Inputs!$B$28,MAX(0,(Inputs!$B$3-100)*3)+Inputs!$B$27+Inputs!$B$28)))</f>
        <v/>
      </c>
      <c r="E582">
        <f>INDEX(FactorTable!$B$2:$Y$301, MATCH(ROUND(MIN(300,MAX(1,D582)),0), FactorTable!$A$2:$A$301,0), Skills!M9+1)</f>
        <v/>
      </c>
      <c r="F582">
        <f>IF(Skills!N9=TRUE,(Skills!L9/10)*(E582/1000),Skills!L9/10)+Skills!O9</f>
        <v/>
      </c>
      <c r="G582">
        <f>Skills!G9*IF(Skills!H9&gt;0,Skills!I9/Skills!H9,1)</f>
        <v/>
      </c>
      <c r="H582">
        <f>1-(1-Skills!J9/100)^Skills!K9</f>
        <v/>
      </c>
      <c r="I582" t="inlineStr">
        <is>
          <t>1</t>
        </is>
      </c>
      <c r="J582">
        <f>(Inputs!$B$5*(1+Inputs!$B$6/100))*(F582/100)</f>
        <v/>
      </c>
      <c r="K582">
        <f>J582*(1+((Inputs!$B$11*(1+Inputs!$B$12/100))*0.01+Inputs!$B$13*0.0025)/100)*(1+Inputs!$B$14/100)*(1+IF(Inputs!$B$4="pvp",0,(1-Summary!$B$55)*(Inputs!$B$19+0+Skills!P9)+Summary!$B$55*(Inputs!$B$20+Skills!Q9))/100)*(1+Inputs!$B$15/100)*(5000/(6000+Inputs!$B$7*(1-(Inputs!$B$18+0)/100)))*(1+(Inputs!$B$23+((C595=TRUE)*(F595-Calc!F22))+B604)/100)*(1+(IF(Skills!A9="HOOK_BOMBER",Inputs!$B$16+((C594=TRUE)*(F594-Calc!F21)),(Inputs!$B$17+1)+0))/100)*((1+(((C586=TRUE)*F586)+((C592=TRUE)*(F592-Calc!F19)))/100)*I582)</f>
        <v/>
      </c>
      <c r="L582">
        <f>K582*(MIN(Inputs!$B$21+((C593=TRUE)*(F593-Calc!F20)),Inputs!$B$22+0)/100+(Inputs!$B$22+0)/100)/2</f>
        <v/>
      </c>
      <c r="M582">
        <f>L582*(1+(Inputs!$B$9+0+B603)/100)</f>
        <v/>
      </c>
      <c r="N582">
        <f>L582*(1-MIN((Inputs!$B$8+((C589=TRUE)*(F589-Calc!F16))+B598),100)/100)+M582*(MIN((Inputs!$B$8+((C589=TRUE)*(F589-Calc!F16))+B598),100)/100)</f>
        <v/>
      </c>
      <c r="O582">
        <f>IF(C582,H582*N582*IF(AND(Inputs!$B$4&lt;&gt;"pvp",Inputs!$B$35&gt;0),((Skills!G9*((R582-1)*IF(Skills!H9&gt;0,Skills!I9/Skills!H9,1)+IF(Skills!H9&gt;0,MIN(Skills!I9,MAX(0,Inputs!$B$35-((R582-1)*IF(Inputs!$B$4="pvp",15,MAX(0.1,Skills!D9-IF(Skills!E9=TRUE,Inputs!$B$31,0))))))/Skills!H9,1)))/Inputs!$B$35),G582*Q582)*IF(Inputs!$B$4="pvp",1,(1-Summary!$B$55)*(1)+Summary!$B$55*(MIN(Skills!R9,Inputs!$B$37))),0)</f>
        <v/>
      </c>
      <c r="P582">
        <f>IF(B606=0,0,O582/B606)</f>
        <v/>
      </c>
      <c r="Q582">
        <f>IFERROR(1/IF(Inputs!$B$4="pvp",15,MAX(0.1,Skills!D9-IF(Skills!E9=TRUE,Inputs!$B$31,0))),0)</f>
        <v/>
      </c>
      <c r="R582">
        <f>IF(AND(Inputs!$B$4&lt;&gt;"pvp",Inputs!$B$35&gt;0),(INT(Inputs!$B$35/IF(Inputs!$B$4="pvp",15,MAX(0.1,Skills!D9-IF(Skills!E9=TRUE,Inputs!$B$31,0))))+1),0)</f>
        <v/>
      </c>
      <c r="S582">
        <f>IFERROR(O582/N582,0)</f>
        <v/>
      </c>
    </row>
    <row r="583">
      <c r="A583">
        <f>Skills!A10</f>
        <v/>
      </c>
      <c r="B583">
        <f>Skills!B10</f>
        <v/>
      </c>
      <c r="C583">
        <f>Inputs!$B$3&gt;=103</f>
        <v/>
      </c>
      <c r="D583">
        <f>IF(Skills!C10=1,60+Inputs!$B$24+Inputs!$B$28,IF(Skills!C10=2,90+Inputs!$B$25+Inputs!$B$28,IF(Skills!C10=3,120+Inputs!$B$26+Inputs!$B$28,MAX(0,(Inputs!$B$3-100)*3)+Inputs!$B$27+Inputs!$B$28)))</f>
        <v/>
      </c>
      <c r="E583">
        <f>INDEX(FactorTable!$B$2:$Y$301, MATCH(ROUND(MIN(300,MAX(1,D583)),0), FactorTable!$A$2:$A$301,0), Skills!M10+1)</f>
        <v/>
      </c>
      <c r="F583">
        <f>IF(Skills!N10=TRUE,(Skills!L10/10)*(E583/1000),Skills!L10/10)+Skills!O10</f>
        <v/>
      </c>
      <c r="G583">
        <f>Skills!G10*IF(Skills!H10&gt;0,Skills!I10/Skills!H10,1)</f>
        <v/>
      </c>
      <c r="H583">
        <f>1-(1-Skills!J10/100)^Skills!K10</f>
        <v/>
      </c>
      <c r="I583" t="inlineStr">
        <is>
          <t>1</t>
        </is>
      </c>
      <c r="J583">
        <f>(Inputs!$B$5*(1+Inputs!$B$6/100))*(F583/100)</f>
        <v/>
      </c>
      <c r="K583">
        <f>J583*(1+((Inputs!$B$11*(1+Inputs!$B$12/100))*0.01+Inputs!$B$13*0.0025)/100)*(1+Inputs!$B$14/100)*(1+IF(Inputs!$B$4="pvp",0,(1-Summary!$B$55)*(Inputs!$B$19+0+Skills!P10)+Summary!$B$55*(Inputs!$B$20+Skills!Q10))/100)*(1+Inputs!$B$15/100)*(5000/(6000+Inputs!$B$7*(1-(Inputs!$B$18+0)/100)))*(1+(Inputs!$B$23+((C595=TRUE)*(F595-Calc!F22))+B604)/100)*(1+(IF(Skills!A10="HOOK_BOMBER",Inputs!$B$16+((C594=TRUE)*(F594-Calc!F21)),(Inputs!$B$17+1)+0))/100)*((1+(((C586=TRUE)*F586)+((C592=TRUE)*(F592-Calc!F19)))/100)*I583)</f>
        <v/>
      </c>
      <c r="L583">
        <f>K583*(MIN(Inputs!$B$21+((C593=TRUE)*(F593-Calc!F20)),Inputs!$B$22+0)/100+(Inputs!$B$22+0)/100)/2</f>
        <v/>
      </c>
      <c r="M583">
        <f>L583*(1+(Inputs!$B$9+0+B603)/100)</f>
        <v/>
      </c>
      <c r="N583">
        <f>L583*(1-MIN((Inputs!$B$8+((C589=TRUE)*(F589-Calc!F16))+B598),100)/100)+M583*(MIN((Inputs!$B$8+((C589=TRUE)*(F589-Calc!F16))+B598),100)/100)</f>
        <v/>
      </c>
      <c r="O583">
        <f>IF(C583,H583*N583*IF(AND(Inputs!$B$4&lt;&gt;"pvp",Inputs!$B$35&gt;0),((Skills!G10*((R583-1)*IF(Skills!H10&gt;0,Skills!I10/Skills!H10,1)+IF(Skills!H10&gt;0,MIN(Skills!I10,MAX(0,Inputs!$B$35-((R583-1)*IF(Inputs!$B$4="pvp",15,MAX(0.1,Skills!D10-IF(Skills!E10=TRUE,Inputs!$B$31,0))))))/Skills!H10,1)))/Inputs!$B$35),G583*Q583)*IF(Inputs!$B$4="pvp",1,(1-Summary!$B$55)*(1)+Summary!$B$55*(MIN(Skills!R10,Inputs!$B$37))),0)</f>
        <v/>
      </c>
      <c r="P583">
        <f>IF(B606=0,0,O583/B606)</f>
        <v/>
      </c>
      <c r="Q583">
        <f>IFERROR(1/IF(Inputs!$B$4="pvp",15,MAX(0.1,Skills!D10-IF(Skills!E10=TRUE,Inputs!$B$31,0))),0)</f>
        <v/>
      </c>
      <c r="R583">
        <f>IF(AND(Inputs!$B$4&lt;&gt;"pvp",Inputs!$B$35&gt;0),(INT(Inputs!$B$35/IF(Inputs!$B$4="pvp",15,MAX(0.1,Skills!D10-IF(Skills!E10=TRUE,Inputs!$B$31,0))))+1),0)</f>
        <v/>
      </c>
      <c r="S583">
        <f>IFERROR(O583/N583,0)</f>
        <v/>
      </c>
    </row>
    <row r="584">
      <c r="A584">
        <f>Skills!A11</f>
        <v/>
      </c>
      <c r="B584">
        <f>Skills!B11</f>
        <v/>
      </c>
      <c r="C584">
        <f>Inputs!$B$3&gt;=113</f>
        <v/>
      </c>
      <c r="D584">
        <f>IF(Skills!C11=1,60+Inputs!$B$24+Inputs!$B$28,IF(Skills!C11=2,90+Inputs!$B$25+Inputs!$B$28,IF(Skills!C11=3,120+Inputs!$B$26+Inputs!$B$28,MAX(0,(Inputs!$B$3-100)*3)+Inputs!$B$27+Inputs!$B$28)))</f>
        <v/>
      </c>
      <c r="E584">
        <f>INDEX(FactorTable!$B$2:$Y$301, MATCH(ROUND(MIN(300,MAX(1,D584)),0), FactorTable!$A$2:$A$301,0), Skills!M11+1)</f>
        <v/>
      </c>
      <c r="F584">
        <f>IF(Skills!N11=TRUE,(Skills!L11/10)*(E584/1000),Skills!L11/10)+Skills!O11</f>
        <v/>
      </c>
      <c r="G584">
        <f>Skills!G11*IF(Skills!H11&gt;0,Skills!I11/Skills!H11,1)</f>
        <v/>
      </c>
      <c r="H584">
        <f>1-(1-Skills!J11/100)^Skills!K11</f>
        <v/>
      </c>
      <c r="I584" t="inlineStr">
        <is>
          <t>1</t>
        </is>
      </c>
      <c r="J584">
        <f>(Inputs!$B$5*(1+Inputs!$B$6/100))*(F584/100)</f>
        <v/>
      </c>
      <c r="K584">
        <f>J584*(1+((Inputs!$B$11*(1+Inputs!$B$12/100))*0.01+Inputs!$B$13*0.0025)/100)*(1+Inputs!$B$14/100)*(1+IF(Inputs!$B$4="pvp",0,(1-Summary!$B$55)*(Inputs!$B$19+0+Skills!P11)+Summary!$B$55*(Inputs!$B$20+Skills!Q11))/100)*(1+Inputs!$B$15/100)*(5000/(6000+Inputs!$B$7*(1-(Inputs!$B$18+0)/100)))*(1+(Inputs!$B$23+((C595=TRUE)*(F595-Calc!F22))+B604)/100)*(1+(IF(Skills!A11="HOOK_BOMBER",Inputs!$B$16+((C594=TRUE)*(F594-Calc!F21)),(Inputs!$B$17+1)+0))/100)*((1+(((C586=TRUE)*F586)+((C592=TRUE)*(F592-Calc!F19)))/100)*I584)</f>
        <v/>
      </c>
      <c r="L584">
        <f>K584*(MIN(Inputs!$B$21+((C593=TRUE)*(F593-Calc!F20)),Inputs!$B$22+0)/100+(Inputs!$B$22+0)/100)/2</f>
        <v/>
      </c>
      <c r="M584">
        <f>L584*(1+(Inputs!$B$9+0+B603)/100)</f>
        <v/>
      </c>
      <c r="N584">
        <f>L584*(1-MIN((Inputs!$B$8+((C589=TRUE)*(F589-Calc!F16))+B598),100)/100)+M584*(MIN((Inputs!$B$8+((C589=TRUE)*(F589-Calc!F16))+B598),100)/100)</f>
        <v/>
      </c>
      <c r="O584">
        <f>IF(C584,H584*N584*IF(AND(Inputs!$B$4&lt;&gt;"pvp",Inputs!$B$35&gt;0),((Skills!G11*((R584-1)*IF(Skills!H11&gt;0,Skills!I11/Skills!H11,1)+IF(Skills!H11&gt;0,MIN(Skills!I11,MAX(0,Inputs!$B$35-((R584-1)*IF(Inputs!$B$4="pvp",15,MAX(0.1,Skills!D11-IF(Skills!E11=TRUE,Inputs!$B$31,0))))))/Skills!H11,1)))/Inputs!$B$35),G584*Q584)*IF(Inputs!$B$4="pvp",1,(1-Summary!$B$55)*(1)+Summary!$B$55*(MIN(Skills!R11,Inputs!$B$37))),0)</f>
        <v/>
      </c>
      <c r="P584">
        <f>IF(B606=0,0,O584/B606)</f>
        <v/>
      </c>
      <c r="Q584">
        <f>IFERROR(1/IF(Inputs!$B$4="pvp",15,MAX(0.1,Skills!D11-IF(Skills!E11=TRUE,Inputs!$B$31,0))),0)</f>
        <v/>
      </c>
      <c r="R584">
        <f>IF(AND(Inputs!$B$4&lt;&gt;"pvp",Inputs!$B$35&gt;0),(INT(Inputs!$B$35/IF(Inputs!$B$4="pvp",15,MAX(0.1,Skills!D11-IF(Skills!E11=TRUE,Inputs!$B$31,0))))+1),0)</f>
        <v/>
      </c>
      <c r="S584">
        <f>IFERROR(O584/N584,0)</f>
        <v/>
      </c>
    </row>
    <row r="585">
      <c r="A585">
        <f>Skills!A12</f>
        <v/>
      </c>
      <c r="B585">
        <f>Skills!B12</f>
        <v/>
      </c>
      <c r="C585">
        <f>Inputs!$B$3&gt;=100</f>
        <v/>
      </c>
      <c r="D585">
        <f>IF(Skills!C12=1,60+Inputs!$B$24+Inputs!$B$28,IF(Skills!C12=2,90+Inputs!$B$25+Inputs!$B$28,IF(Skills!C12=3,120+Inputs!$B$26+Inputs!$B$28,MAX(0,(Inputs!$B$3-100)*3)+Inputs!$B$27+Inputs!$B$28)))</f>
        <v/>
      </c>
      <c r="E585">
        <f>INDEX(FactorTable!$B$2:$Y$301, MATCH(ROUND(MIN(300,MAX(1,D585)),0), FactorTable!$A$2:$A$301,0), Skills!M12+1)</f>
        <v/>
      </c>
      <c r="F585">
        <f>IF(Skills!N12=TRUE,(Skills!L12/10)*(E585/1000),Skills!L12/10)+Skills!O12</f>
        <v/>
      </c>
      <c r="G585" t="inlineStr"/>
      <c r="H585" t="inlineStr"/>
      <c r="I585" t="inlineStr">
        <is>
          <t>1</t>
        </is>
      </c>
      <c r="J585" t="inlineStr"/>
      <c r="K585" t="inlineStr"/>
      <c r="L585" t="inlineStr"/>
      <c r="M585" t="inlineStr"/>
      <c r="N585" t="inlineStr"/>
      <c r="O585" t="inlineStr"/>
      <c r="P585" t="inlineStr"/>
      <c r="Q585" t="inlineStr"/>
      <c r="R585" t="inlineStr"/>
      <c r="S585" t="inlineStr"/>
    </row>
    <row r="586">
      <c r="A586">
        <f>Skills!A13</f>
        <v/>
      </c>
      <c r="B586">
        <f>Skills!B13</f>
        <v/>
      </c>
      <c r="C586">
        <f>Inputs!$B$3&gt;=66</f>
        <v/>
      </c>
      <c r="D586">
        <f>IF(Skills!C13=1,60+Inputs!$B$24+Inputs!$B$28,IF(Skills!C13=2,90+Inputs!$B$25+Inputs!$B$28,IF(Skills!C13=3,120+Inputs!$B$26+Inputs!$B$28,MAX(0,(Inputs!$B$3-100)*3)+Inputs!$B$27+Inputs!$B$28)))</f>
        <v/>
      </c>
      <c r="E586">
        <f>INDEX(FactorTable!$B$2:$Y$301, MATCH(ROUND(MIN(300,MAX(1,D586)),0), FactorTable!$A$2:$A$301,0), Skills!M13+1)</f>
        <v/>
      </c>
      <c r="F586">
        <f>IF(Skills!N13=TRUE,(Skills!L13/10)*(E586/1000),Skills!L13/10)+Skills!O13</f>
        <v/>
      </c>
      <c r="G586">
        <f>Skills!G13*IF(Skills!H13&gt;0,Skills!I13/Skills!H13,1)</f>
        <v/>
      </c>
      <c r="H586">
        <f>1-(1-Skills!J13/100)^Skills!K13</f>
        <v/>
      </c>
      <c r="I586" t="inlineStr">
        <is>
          <t>1</t>
        </is>
      </c>
      <c r="J586" t="inlineStr"/>
      <c r="K586" t="inlineStr"/>
      <c r="L586" t="inlineStr"/>
      <c r="M586" t="inlineStr"/>
      <c r="N586" t="inlineStr"/>
      <c r="O586" t="n">
        <v>0</v>
      </c>
      <c r="P586">
        <f>IF(B606=0,0,O586/B606)</f>
        <v/>
      </c>
      <c r="Q586" t="n">
        <v>0</v>
      </c>
      <c r="R586" t="n">
        <v>0</v>
      </c>
      <c r="S586">
        <f>IFERROR(O586/N586,0)</f>
        <v/>
      </c>
    </row>
    <row r="587">
      <c r="A587">
        <f>Skills!A14</f>
        <v/>
      </c>
      <c r="B587">
        <f>Skills!B14</f>
        <v/>
      </c>
      <c r="C587">
        <f>Inputs!$B$3&gt;=107</f>
        <v/>
      </c>
      <c r="D587">
        <f>IF(Skills!C14=1,60+Inputs!$B$24+Inputs!$B$28,IF(Skills!C14=2,90+Inputs!$B$25+Inputs!$B$28,IF(Skills!C14=3,120+Inputs!$B$26+Inputs!$B$28,MAX(0,(Inputs!$B$3-100)*3)+Inputs!$B$27+Inputs!$B$28)))</f>
        <v/>
      </c>
      <c r="E587">
        <f>INDEX(FactorTable!$B$2:$Y$301, MATCH(ROUND(MIN(300,MAX(1,D587)),0), FactorTable!$A$2:$A$301,0), Skills!M14+1)</f>
        <v/>
      </c>
      <c r="F587">
        <f>IF(Skills!N14=TRUE,(Skills!L14/10)*(E587/1000),Skills!L14/10)+Skills!O14</f>
        <v/>
      </c>
      <c r="G587">
        <f>Skills!G14*IF(Skills!H14&gt;0,Skills!I14/Skills!H14,1)</f>
        <v/>
      </c>
      <c r="H587">
        <f>1-(1-Skills!J14/100)^Skills!K14</f>
        <v/>
      </c>
      <c r="I587" t="inlineStr">
        <is>
          <t>1</t>
        </is>
      </c>
      <c r="J587" t="inlineStr"/>
      <c r="K587" t="inlineStr"/>
      <c r="L587" t="inlineStr"/>
      <c r="M587" t="inlineStr"/>
      <c r="N587" t="inlineStr"/>
      <c r="O587" t="n">
        <v>0</v>
      </c>
      <c r="P587">
        <f>IF(B606=0,0,O587/B606)</f>
        <v/>
      </c>
      <c r="Q587" t="n">
        <v>0</v>
      </c>
      <c r="R587" t="n">
        <v>0</v>
      </c>
      <c r="S587">
        <f>IFERROR(O587/N587,0)</f>
        <v/>
      </c>
    </row>
    <row r="588">
      <c r="A588">
        <f>Skills!A15</f>
        <v/>
      </c>
      <c r="B588">
        <f>Skills!B15</f>
        <v/>
      </c>
      <c r="C588">
        <f>Inputs!$B$3&gt;=115</f>
        <v/>
      </c>
      <c r="D588">
        <f>IF(Skills!C15=1,60+Inputs!$B$24+Inputs!$B$28,IF(Skills!C15=2,90+Inputs!$B$25+Inputs!$B$28,IF(Skills!C15=3,120+Inputs!$B$26+Inputs!$B$28,MAX(0,(Inputs!$B$3-100)*3)+Inputs!$B$27+Inputs!$B$28)))</f>
        <v/>
      </c>
      <c r="E588">
        <f>INDEX(FactorTable!$B$2:$Y$301, MATCH(ROUND(MIN(300,MAX(1,D588)),0), FactorTable!$A$2:$A$301,0), Skills!M15+1)</f>
        <v/>
      </c>
      <c r="F588">
        <f>IF(Skills!N15=TRUE,(Skills!L15/10)*(E588/1000),Skills!L15/10)+Skills!O15</f>
        <v/>
      </c>
      <c r="G588">
        <f>Skills!G15*IF(Skills!H15&gt;0,Skills!I15/Skills!H15,1)</f>
        <v/>
      </c>
      <c r="H588">
        <f>1-(1-Skills!J15/100)^Skills!K15</f>
        <v/>
      </c>
      <c r="I588" t="inlineStr">
        <is>
          <t>1</t>
        </is>
      </c>
      <c r="J588" t="inlineStr"/>
      <c r="K588" t="inlineStr"/>
      <c r="L588" t="inlineStr"/>
      <c r="M588" t="inlineStr"/>
      <c r="N588" t="inlineStr"/>
      <c r="O588" t="n">
        <v>0</v>
      </c>
      <c r="P588">
        <f>IF(B606=0,0,O588/B606)</f>
        <v/>
      </c>
      <c r="Q588" t="n">
        <v>0</v>
      </c>
      <c r="R588" t="n">
        <v>0</v>
      </c>
      <c r="S588">
        <f>IFERROR(O588/N588,0)</f>
        <v/>
      </c>
    </row>
    <row r="589">
      <c r="A589">
        <f>Skills!A16</f>
        <v/>
      </c>
      <c r="B589">
        <f>Skills!B16</f>
        <v/>
      </c>
      <c r="C589">
        <f>Inputs!$B$3&gt;=15</f>
        <v/>
      </c>
      <c r="D589">
        <f>IF(Skills!C16=1,60+Inputs!$B$24+Inputs!$B$28,IF(Skills!C16=2,90+Inputs!$B$25+Inputs!$B$28,IF(Skills!C16=3,120+Inputs!$B$26+Inputs!$B$28,MAX(0,(Inputs!$B$3-100)*3)+Inputs!$B$27+Inputs!$B$28)))</f>
        <v/>
      </c>
      <c r="E589">
        <f>INDEX(FactorTable!$B$2:$Y$301, MATCH(ROUND(MIN(300,MAX(1,D589)),0), FactorTable!$A$2:$A$301,0), Skills!M16+1)</f>
        <v/>
      </c>
      <c r="F589">
        <f>IF(Skills!N16=TRUE,(Skills!L16/10)*(E589/1000),Skills!L16/10)+Skills!O16</f>
        <v/>
      </c>
      <c r="G589">
        <f>Skills!G16*IF(Skills!H16&gt;0,Skills!I16/Skills!H16,1)</f>
        <v/>
      </c>
      <c r="H589">
        <f>1-(1-Skills!J16/100)^Skills!K16</f>
        <v/>
      </c>
      <c r="I589" t="inlineStr">
        <is>
          <t>1</t>
        </is>
      </c>
      <c r="J589" t="inlineStr"/>
      <c r="K589" t="inlineStr"/>
      <c r="L589" t="inlineStr"/>
      <c r="M589" t="inlineStr"/>
      <c r="N589" t="inlineStr"/>
      <c r="O589" t="n">
        <v>0</v>
      </c>
      <c r="P589">
        <f>IF(B606=0,0,O589/B606)</f>
        <v/>
      </c>
      <c r="Q589" t="n">
        <v>0</v>
      </c>
      <c r="R589" t="n">
        <v>0</v>
      </c>
      <c r="S589">
        <f>IFERROR(O589/N589,0)</f>
        <v/>
      </c>
    </row>
    <row r="590">
      <c r="A590">
        <f>Skills!A17</f>
        <v/>
      </c>
      <c r="B590">
        <f>Skills!B17</f>
        <v/>
      </c>
      <c r="C590">
        <f>Inputs!$B$3&gt;=10</f>
        <v/>
      </c>
      <c r="D590">
        <f>IF(Skills!C17=1,60+Inputs!$B$24+Inputs!$B$28,IF(Skills!C17=2,90+Inputs!$B$25+Inputs!$B$28,IF(Skills!C17=3,120+Inputs!$B$26+Inputs!$B$28,MAX(0,(Inputs!$B$3-100)*3)+Inputs!$B$27+Inputs!$B$28)))</f>
        <v/>
      </c>
      <c r="E590">
        <f>INDEX(FactorTable!$B$2:$Y$301, MATCH(ROUND(MIN(300,MAX(1,D590)),0), FactorTable!$A$2:$A$301,0), Skills!M17+1)</f>
        <v/>
      </c>
      <c r="F590">
        <f>IF(Skills!N17=TRUE,(Skills!L17/10)*(E590/1000),Skills!L17/10)+Skills!O17</f>
        <v/>
      </c>
      <c r="G590">
        <f>Skills!G17*IF(Skills!H17&gt;0,Skills!I17/Skills!H17,1)</f>
        <v/>
      </c>
      <c r="H590">
        <f>1-(1-Skills!J17/100)^Skills!K17</f>
        <v/>
      </c>
      <c r="I590" t="inlineStr">
        <is>
          <t>1</t>
        </is>
      </c>
      <c r="J590" t="inlineStr"/>
      <c r="K590" t="inlineStr"/>
      <c r="L590" t="inlineStr"/>
      <c r="M590" t="inlineStr"/>
      <c r="N590" t="inlineStr"/>
      <c r="O590" t="n">
        <v>0</v>
      </c>
      <c r="P590">
        <f>IF(B606=0,0,O590/B606)</f>
        <v/>
      </c>
      <c r="Q590" t="n">
        <v>0</v>
      </c>
      <c r="R590" t="n">
        <v>0</v>
      </c>
      <c r="S590">
        <f>IFERROR(O590/N590,0)</f>
        <v/>
      </c>
    </row>
    <row r="591">
      <c r="A591">
        <f>Skills!A18</f>
        <v/>
      </c>
      <c r="B591">
        <f>Skills!B18</f>
        <v/>
      </c>
      <c r="C591">
        <f>Inputs!$B$3&gt;=33</f>
        <v/>
      </c>
      <c r="D591">
        <f>IF(Skills!C18=1,60+Inputs!$B$24+Inputs!$B$28,IF(Skills!C18=2,90+Inputs!$B$25+Inputs!$B$28,IF(Skills!C18=3,120+Inputs!$B$26+Inputs!$B$28,MAX(0,(Inputs!$B$3-100)*3)+Inputs!$B$27+Inputs!$B$28)))</f>
        <v/>
      </c>
      <c r="E591">
        <f>INDEX(FactorTable!$B$2:$Y$301, MATCH(ROUND(MIN(300,MAX(1,D591)),0), FactorTable!$A$2:$A$301,0), Skills!M18+1)</f>
        <v/>
      </c>
      <c r="F591">
        <f>IF(Skills!N18=TRUE,(Skills!L18/10)*(E591/1000),Skills!L18/10)+Skills!O18</f>
        <v/>
      </c>
      <c r="G591">
        <f>Skills!G18*IF(Skills!H18&gt;0,Skills!I18/Skills!H18,1)</f>
        <v/>
      </c>
      <c r="H591">
        <f>1-(1-Skills!J18/100)^Skills!K18</f>
        <v/>
      </c>
      <c r="I591" t="inlineStr">
        <is>
          <t>1</t>
        </is>
      </c>
      <c r="J591" t="inlineStr"/>
      <c r="K591" t="inlineStr"/>
      <c r="L591" t="inlineStr"/>
      <c r="M591" t="inlineStr"/>
      <c r="N591" t="inlineStr"/>
      <c r="O591" t="n">
        <v>0</v>
      </c>
      <c r="P591">
        <f>IF(B606=0,0,O591/B606)</f>
        <v/>
      </c>
      <c r="Q591" t="n">
        <v>0</v>
      </c>
      <c r="R591" t="n">
        <v>0</v>
      </c>
      <c r="S591">
        <f>IFERROR(O591/N591,0)</f>
        <v/>
      </c>
    </row>
    <row r="592">
      <c r="A592">
        <f>Skills!A19</f>
        <v/>
      </c>
      <c r="B592">
        <f>Skills!B19</f>
        <v/>
      </c>
      <c r="C592">
        <f>Inputs!$B$3&gt;=40</f>
        <v/>
      </c>
      <c r="D592">
        <f>IF(Skills!C19=1,60+Inputs!$B$24+Inputs!$B$28,IF(Skills!C19=2,90+Inputs!$B$25+Inputs!$B$28,IF(Skills!C19=3,120+Inputs!$B$26+Inputs!$B$28,MAX(0,(Inputs!$B$3-100)*3)+Inputs!$B$27+Inputs!$B$28)))</f>
        <v/>
      </c>
      <c r="E592">
        <f>INDEX(FactorTable!$B$2:$Y$301, MATCH(ROUND(MIN(300,MAX(1,D592)),0), FactorTable!$A$2:$A$301,0), Skills!M19+1)</f>
        <v/>
      </c>
      <c r="F592">
        <f>IF(Skills!N19=TRUE,(Skills!L19/10)*(E592/1000),Skills!L19/10)+Skills!O19</f>
        <v/>
      </c>
      <c r="G592">
        <f>Skills!G19*IF(Skills!H19&gt;0,Skills!I19/Skills!H19,1)</f>
        <v/>
      </c>
      <c r="H592">
        <f>1-(1-Skills!J19/100)^Skills!K19</f>
        <v/>
      </c>
      <c r="I592" t="inlineStr">
        <is>
          <t>1</t>
        </is>
      </c>
      <c r="J592" t="inlineStr"/>
      <c r="K592" t="inlineStr"/>
      <c r="L592" t="inlineStr"/>
      <c r="M592" t="inlineStr"/>
      <c r="N592" t="inlineStr"/>
      <c r="O592" t="n">
        <v>0</v>
      </c>
      <c r="P592">
        <f>IF(B606=0,0,O592/B606)</f>
        <v/>
      </c>
      <c r="Q592" t="n">
        <v>0</v>
      </c>
      <c r="R592" t="n">
        <v>0</v>
      </c>
      <c r="S592">
        <f>IFERROR(O592/N592,0)</f>
        <v/>
      </c>
    </row>
    <row r="593">
      <c r="A593">
        <f>Skills!A20</f>
        <v/>
      </c>
      <c r="B593">
        <f>Skills!B20</f>
        <v/>
      </c>
      <c r="C593">
        <f>Inputs!$B$3&gt;=43</f>
        <v/>
      </c>
      <c r="D593">
        <f>IF(Skills!C20=1,60+Inputs!$B$24+Inputs!$B$28,IF(Skills!C20=2,90+Inputs!$B$25+Inputs!$B$28,IF(Skills!C20=3,120+Inputs!$B$26+Inputs!$B$28,MAX(0,(Inputs!$B$3-100)*3)+Inputs!$B$27+Inputs!$B$28)))</f>
        <v/>
      </c>
      <c r="E593">
        <f>INDEX(FactorTable!$B$2:$Y$301, MATCH(ROUND(MIN(300,MAX(1,D593)),0), FactorTable!$A$2:$A$301,0), Skills!M20+1)</f>
        <v/>
      </c>
      <c r="F593">
        <f>IF(Skills!N20=TRUE,(Skills!L20/10)*(E593/1000),Skills!L20/10)+Skills!O20</f>
        <v/>
      </c>
      <c r="G593">
        <f>Skills!G20*IF(Skills!H20&gt;0,Skills!I20/Skills!H20,1)</f>
        <v/>
      </c>
      <c r="H593">
        <f>1-(1-Skills!J20/100)^Skills!K20</f>
        <v/>
      </c>
      <c r="I593" t="inlineStr">
        <is>
          <t>1</t>
        </is>
      </c>
      <c r="J593" t="inlineStr"/>
      <c r="K593" t="inlineStr"/>
      <c r="L593" t="inlineStr"/>
      <c r="M593" t="inlineStr"/>
      <c r="N593" t="inlineStr"/>
      <c r="O593" t="n">
        <v>0</v>
      </c>
      <c r="P593">
        <f>IF(B606=0,0,O593/B606)</f>
        <v/>
      </c>
      <c r="Q593" t="n">
        <v>0</v>
      </c>
      <c r="R593" t="n">
        <v>0</v>
      </c>
      <c r="S593">
        <f>IFERROR(O593/N593,0)</f>
        <v/>
      </c>
    </row>
    <row r="594">
      <c r="A594">
        <f>Skills!A21</f>
        <v/>
      </c>
      <c r="B594">
        <f>Skills!B21</f>
        <v/>
      </c>
      <c r="C594">
        <f>Inputs!$B$3&gt;=38</f>
        <v/>
      </c>
      <c r="D594">
        <f>IF(Skills!C21=1,60+Inputs!$B$24+Inputs!$B$28,IF(Skills!C21=2,90+Inputs!$B$25+Inputs!$B$28,IF(Skills!C21=3,120+Inputs!$B$26+Inputs!$B$28,MAX(0,(Inputs!$B$3-100)*3)+Inputs!$B$27+Inputs!$B$28)))</f>
        <v/>
      </c>
      <c r="E594">
        <f>INDEX(FactorTable!$B$2:$Y$301, MATCH(ROUND(MIN(300,MAX(1,D594)),0), FactorTable!$A$2:$A$301,0), Skills!M21+1)</f>
        <v/>
      </c>
      <c r="F594">
        <f>IF(Skills!N21=TRUE,(Skills!L21/10)*(E594/1000),Skills!L21/10)+Skills!O21</f>
        <v/>
      </c>
      <c r="G594">
        <f>Skills!G21*IF(Skills!H21&gt;0,Skills!I21/Skills!H21,1)</f>
        <v/>
      </c>
      <c r="H594">
        <f>1-(1-Skills!J21/100)^Skills!K21</f>
        <v/>
      </c>
      <c r="I594" t="inlineStr">
        <is>
          <t>1</t>
        </is>
      </c>
      <c r="J594" t="inlineStr"/>
      <c r="K594" t="inlineStr"/>
      <c r="L594" t="inlineStr"/>
      <c r="M594" t="inlineStr"/>
      <c r="N594" t="inlineStr"/>
      <c r="O594" t="n">
        <v>0</v>
      </c>
      <c r="P594">
        <f>IF(B606=0,0,O594/B606)</f>
        <v/>
      </c>
      <c r="Q594" t="n">
        <v>0</v>
      </c>
      <c r="R594" t="n">
        <v>0</v>
      </c>
      <c r="S594">
        <f>IFERROR(O594/N594,0)</f>
        <v/>
      </c>
    </row>
    <row r="595">
      <c r="A595">
        <f>Skills!A22</f>
        <v/>
      </c>
      <c r="B595">
        <f>Skills!B22</f>
        <v/>
      </c>
      <c r="C595">
        <f>Inputs!$B$3&gt;=75</f>
        <v/>
      </c>
      <c r="D595">
        <f>IF(Skills!C22=1,60+Inputs!$B$24+Inputs!$B$28,IF(Skills!C22=2,90+Inputs!$B$25+Inputs!$B$28,IF(Skills!C22=3,120+Inputs!$B$26+Inputs!$B$28,MAX(0,(Inputs!$B$3-100)*3)+Inputs!$B$27+Inputs!$B$28)))</f>
        <v/>
      </c>
      <c r="E595">
        <f>INDEX(FactorTable!$B$2:$Y$301, MATCH(ROUND(MIN(300,MAX(1,D595)),0), FactorTable!$A$2:$A$301,0), Skills!M22+1)</f>
        <v/>
      </c>
      <c r="F595">
        <f>IF(Skills!N22=TRUE,(Skills!L22/10)*(E595/1000),Skills!L22/10)+Skills!O22</f>
        <v/>
      </c>
      <c r="G595">
        <f>Skills!G22*IF(Skills!H22&gt;0,Skills!I22/Skills!H22,1)</f>
        <v/>
      </c>
      <c r="H595">
        <f>1-(1-Skills!J22/100)^Skills!K22</f>
        <v/>
      </c>
      <c r="I595" t="inlineStr">
        <is>
          <t>1</t>
        </is>
      </c>
      <c r="J595" t="inlineStr"/>
      <c r="K595" t="inlineStr"/>
      <c r="L595" t="inlineStr"/>
      <c r="M595" t="inlineStr"/>
      <c r="N595" t="inlineStr"/>
      <c r="O595" t="n">
        <v>0</v>
      </c>
      <c r="P595">
        <f>IF(B606=0,0,O595/B606)</f>
        <v/>
      </c>
      <c r="Q595" t="n">
        <v>0</v>
      </c>
      <c r="R595" t="n">
        <v>0</v>
      </c>
      <c r="S595">
        <f>IFERROR(O595/N595,0)</f>
        <v/>
      </c>
    </row>
    <row r="597">
      <c r="A597" t="inlineStr">
        <is>
          <t>Attack% Bucket Multiplier</t>
        </is>
      </c>
      <c r="B597">
        <f>(1+(((C586=TRUE)*F586)+((C592=TRUE)*(F592-Calc!F19)))/100)</f>
        <v/>
      </c>
    </row>
    <row r="598">
      <c r="A598" t="inlineStr">
        <is>
          <t>Global Crit Rate Bonus %</t>
        </is>
      </c>
      <c r="B598" t="n">
        <v>0</v>
      </c>
    </row>
    <row r="599">
      <c r="A599" t="inlineStr">
        <is>
          <t>Attack Speed Buff Bonus % (unused)</t>
        </is>
      </c>
      <c r="B599" t="n">
        <v>0</v>
      </c>
    </row>
    <row r="600">
      <c r="A600" t="inlineStr">
        <is>
          <t>Actions Per Second</t>
        </is>
      </c>
      <c r="B600">
        <f>1+MIN(150,150*(1-(1-(Inputs!$B$10+((C590=TRUE)*(F590-Calc!F17))+((C591=TRUE)*(F591-Calc!F18)))/150)*(1-B599/150)))/100</f>
        <v/>
      </c>
    </row>
    <row r="601">
      <c r="A601" t="inlineStr">
        <is>
          <t>Skill + Buff Cast Rate</t>
        </is>
      </c>
      <c r="B601">
        <f>IF(AND(Inputs!$B$4&lt;&gt;"pvp",Inputs!$B$35&gt;0),SUMPRODUCT((Skills!E2:E22=TRUE)*(C575:C595=TRUE)*R575:R595*Skills!F2:F22)/Inputs!$B$35,SUMPRODUCT((Skills!E2:E22=TRUE)*(C575:C595=TRUE)*Q575:Q595*Skills!F2:F22))</f>
        <v/>
      </c>
    </row>
    <row r="602">
      <c r="A602" t="inlineStr">
        <is>
          <t>Hook Bomber Casts Per Second</t>
        </is>
      </c>
      <c r="B602">
        <f>MAX(0,B600-B601)</f>
        <v/>
      </c>
    </row>
    <row r="603">
      <c r="A603" t="inlineStr">
        <is>
          <t>Global Critical Damage Bonus % (unused)</t>
        </is>
      </c>
      <c r="B603" t="n">
        <v>0</v>
      </c>
    </row>
    <row r="604">
      <c r="A604" t="inlineStr">
        <is>
          <t>Global Final Damage Bonus % (Serpent Scale + Crossbones + Time Leap + Speed Infusion)</t>
        </is>
      </c>
      <c r="B604">
        <f>((C578=TRUE)*F578*((10+IF(Inputs!$B$3&gt;=94,5,0))/((10+IF(Inputs!$B$3&gt;=94,5,0))+5/(B602*(1+IF(Inputs!$B$3&gt;=104,1,0))))))+((C587=TRUE)*F587)+((C588=TRUE)*F588)+((Inputs!$B$3&gt;=110)*20*(B600-1))</f>
        <v/>
      </c>
    </row>
    <row r="606">
      <c r="A606" s="5" t="inlineStr">
        <is>
          <t>TOTAL DPS</t>
        </is>
      </c>
      <c r="B606" s="5">
        <f>SUM(O575:O595)</f>
        <v/>
      </c>
    </row>
    <row r="609">
      <c r="A609" s="5" t="inlineStr">
        <is>
          <t>Stat: Skill Level Bonus — 1st Job</t>
        </is>
      </c>
    </row>
    <row r="610">
      <c r="A610" s="8" t="inlineStr">
        <is>
          <t>Key</t>
        </is>
      </c>
      <c r="B610" s="8" t="inlineStr">
        <is>
          <t>Name</t>
        </is>
      </c>
      <c r="C610" s="8" t="inlineStr">
        <is>
          <t>Unlocked</t>
        </is>
      </c>
      <c r="D610" s="8" t="inlineStr">
        <is>
          <t>InputLevel</t>
        </is>
      </c>
      <c r="E610" s="8" t="inlineStr">
        <is>
          <t>Factor</t>
        </is>
      </c>
      <c r="F610" s="8" t="inlineStr">
        <is>
          <t>CoefficientPercent</t>
        </is>
      </c>
      <c r="G610" s="8" t="inlineStr">
        <is>
          <t>EffectiveHits</t>
        </is>
      </c>
      <c r="H610" s="8" t="inlineStr">
        <is>
          <t>ProcProbability</t>
        </is>
      </c>
      <c r="I610" s="8" t="inlineStr">
        <is>
          <t>MapleHeroMultiplier</t>
        </is>
      </c>
      <c r="J610" s="8" t="inlineStr">
        <is>
          <t>BaseDamage</t>
        </is>
      </c>
      <c r="K610" s="8" t="inlineStr">
        <is>
          <t>BaseHitDamage</t>
        </is>
      </c>
      <c r="L610" s="8" t="inlineStr">
        <is>
          <t>NonCritAvg</t>
        </is>
      </c>
      <c r="M610" s="8" t="inlineStr">
        <is>
          <t>CritAvg</t>
        </is>
      </c>
      <c r="N610" s="8" t="inlineStr">
        <is>
          <t>ExpectedDamage(perHit)</t>
        </is>
      </c>
      <c r="O610" s="8" t="inlineStr">
        <is>
          <t>DPS</t>
        </is>
      </c>
      <c r="P610" s="8" t="inlineStr">
        <is>
          <t>% of Total</t>
        </is>
      </c>
      <c r="Q610" s="8" t="inlineStr">
        <is>
          <t>InvCooldown</t>
        </is>
      </c>
      <c r="R610" s="8" t="inlineStr">
        <is>
          <t>CastsInFight</t>
        </is>
      </c>
      <c r="S610" s="8" t="inlineStr">
        <is>
          <t>HitRate(perSec)</t>
        </is>
      </c>
      <c r="U610" t="inlineStr">
        <is>
          <t>helpers</t>
        </is>
      </c>
    </row>
    <row r="611">
      <c r="A611">
        <f>Skills!A2</f>
        <v/>
      </c>
      <c r="B611">
        <f>Skills!B2</f>
        <v/>
      </c>
      <c r="C611">
        <f>Inputs!$B$3&gt;=100</f>
        <v/>
      </c>
      <c r="D611" t="inlineStr"/>
      <c r="E611" t="inlineStr"/>
      <c r="F611">
        <f>U613+Skills!O2</f>
        <v/>
      </c>
      <c r="G611">
        <f>Skills!G2*IF(Skills!H2&gt;0,Skills!I2/Skills!H2,1)</f>
        <v/>
      </c>
      <c r="H611">
        <f>1-(1-Skills!J2/100)^Skills!K2</f>
        <v/>
      </c>
      <c r="I611" t="inlineStr">
        <is>
          <t>1</t>
        </is>
      </c>
      <c r="J611">
        <f>(Inputs!$B$5*(1+Inputs!$B$6/100))*(F611/100)</f>
        <v/>
      </c>
      <c r="K611">
        <f>J611*(1+((Inputs!$B$11*(1+Inputs!$B$12/100))*0.01+Inputs!$B$13*0.0025)/100)*(1+Inputs!$B$14/100)*(1+IF(Inputs!$B$4="pvp",0,(1-Summary!$B$55)*(Inputs!$B$19+0+Skills!P2)+Summary!$B$55*(Inputs!$B$20+Skills!Q2))/100)*(1+Inputs!$B$15/100)*(5000/(6000+Inputs!$B$7*(1-(Inputs!$B$18+0)/100)))*(1+(Inputs!$B$23+((C631=TRUE)*(F631-Calc!F22))+B640)/100)*(1+(IF(Skills!A2="HOOK_BOMBER",Inputs!$B$16+((C630=TRUE)*(F630-Calc!F21)),Inputs!$B$17+0))/100)*((1+(((C622=TRUE)*F622)+((C628=TRUE)*(F628-Calc!F19)))/100)*I611)</f>
        <v/>
      </c>
      <c r="L611">
        <f>K611*(MIN(Inputs!$B$21+((C629=TRUE)*(F629-Calc!F20)),Inputs!$B$22+0)/100+(Inputs!$B$22+0)/100)/2</f>
        <v/>
      </c>
      <c r="M611">
        <f>L611*(1+(Inputs!$B$9+0+B639)/100)</f>
        <v/>
      </c>
      <c r="N611">
        <f>L611*(1-MIN((Inputs!$B$8+((C625=TRUE)*(F625-Calc!F16))+B634),100)/100)+M611*(MIN((Inputs!$B$8+((C625=TRUE)*(F625-Calc!F16))+B634),100)/100)</f>
        <v/>
      </c>
      <c r="O611">
        <f>IF(C611,Skills!G2*N611*B638*IF(Inputs!$B$4="pvp",1,(1-Summary!$B$55)*(1)+Summary!$B$55*(MIN((6+Inputs!$B$32),Inputs!$B$37))),0)</f>
        <v/>
      </c>
      <c r="P611">
        <f>IF(B642=0,0,O611/B642)</f>
        <v/>
      </c>
      <c r="Q611" t="n">
        <v>0</v>
      </c>
      <c r="R611" t="n">
        <v>0</v>
      </c>
      <c r="S611">
        <f>IFERROR(O611/N611,0)</f>
        <v/>
      </c>
      <c r="U611">
        <f>MAX(0,(Inputs!$B$3-100)*3)+Inputs!$B$27+Inputs!$B$28</f>
        <v/>
      </c>
    </row>
    <row r="612">
      <c r="A612">
        <f>Skills!A3</f>
        <v/>
      </c>
      <c r="B612">
        <f>Skills!B3</f>
        <v/>
      </c>
      <c r="C612">
        <f>Inputs!$B$3&gt;=35</f>
        <v/>
      </c>
      <c r="D612">
        <f>IF(Skills!C3=1,60+(Inputs!$B$24+1)+Inputs!$B$28,IF(Skills!C3=2,90+Inputs!$B$25+Inputs!$B$28,IF(Skills!C3=3,120+Inputs!$B$26+Inputs!$B$28,MAX(0,(Inputs!$B$3-100)*3)+Inputs!$B$27+Inputs!$B$28)))</f>
        <v/>
      </c>
      <c r="E612">
        <f>INDEX(FactorTable!$B$2:$Y$301, MATCH(ROUND(MIN(300,MAX(1,D612)),0), FactorTable!$A$2:$A$301,0), Skills!M3+1)</f>
        <v/>
      </c>
      <c r="F612">
        <f>IF(Skills!N3=TRUE,(Skills!L3/10)*(E612/1000),Skills!L3/10)+Skills!O3</f>
        <v/>
      </c>
      <c r="G612">
        <f>Skills!G3*IF(Skills!H3&gt;0,Skills!I3/Skills!H3,1)</f>
        <v/>
      </c>
      <c r="H612">
        <f>1-(1-Skills!J3/100)^Skills!K3</f>
        <v/>
      </c>
      <c r="I612" t="inlineStr">
        <is>
          <t>1</t>
        </is>
      </c>
      <c r="J612">
        <f>(Inputs!$B$5*(1+Inputs!$B$6/100))*(F612/100)</f>
        <v/>
      </c>
      <c r="K612">
        <f>J612*(1+((Inputs!$B$11*(1+Inputs!$B$12/100))*0.01+Inputs!$B$13*0.0025)/100)*(1+Inputs!$B$14/100)*(1+IF(Inputs!$B$4="pvp",0,(1-Summary!$B$55)*(Inputs!$B$19+0+Skills!P3)+Summary!$B$55*(Inputs!$B$20+Skills!Q3))/100)*(1+Inputs!$B$15/100)*(5000/(6000+Inputs!$B$7*(1-(Inputs!$B$18+0)/100)))*(1+(Inputs!$B$23+((C631=TRUE)*(F631-Calc!F22))+B640)/100)*(1+(IF(Skills!A3="HOOK_BOMBER",Inputs!$B$16+((C630=TRUE)*(F630-Calc!F21)),Inputs!$B$17+0))/100)*((1+(((C622=TRUE)*F622)+((C628=TRUE)*(F628-Calc!F19)))/100)*I612)</f>
        <v/>
      </c>
      <c r="L612">
        <f>K612*(MIN(Inputs!$B$21+((C629=TRUE)*(F629-Calc!F20)),Inputs!$B$22+0)/100+(Inputs!$B$22+0)/100)/2</f>
        <v/>
      </c>
      <c r="M612">
        <f>L612*(1+(Inputs!$B$9+0+B639)/100)</f>
        <v/>
      </c>
      <c r="N612">
        <f>L612*(1-MIN((Inputs!$B$8+((C625=TRUE)*(F625-Calc!F16))+B634),100)/100)+M612*(MIN((Inputs!$B$8+((C625=TRUE)*(F625-Calc!F16))+B634),100)/100)</f>
        <v/>
      </c>
      <c r="O612">
        <f>IF(C612,Skills!G3*H612*N612*B638*IF(Inputs!$B$4="pvp",1,(1-Summary!$B$55)*(1)+Summary!$B$55*(MIN(Skills!R3,Inputs!$B$37))),0)</f>
        <v/>
      </c>
      <c r="P612">
        <f>IF(B642=0,0,O612/B642)</f>
        <v/>
      </c>
      <c r="Q612" t="n">
        <v>0</v>
      </c>
      <c r="R612" t="n">
        <v>0</v>
      </c>
      <c r="S612">
        <f>IFERROR(O612/N612,0)</f>
        <v/>
      </c>
      <c r="U612">
        <f>INDEX(FactorTable!$B$2:$Y$301, MATCH(ROUND(MIN(300,MAX(1,U611)),0), FactorTable!$A$2:$A$301,0), 22)</f>
        <v/>
      </c>
    </row>
    <row r="613">
      <c r="A613">
        <f>Skills!A4</f>
        <v/>
      </c>
      <c r="B613">
        <f>Skills!B4</f>
        <v/>
      </c>
      <c r="C613">
        <f>Inputs!$B$3&gt;=60</f>
        <v/>
      </c>
      <c r="D613">
        <f>IF(Skills!C4=1,60+(Inputs!$B$24+1)+Inputs!$B$28,IF(Skills!C4=2,90+Inputs!$B$25+Inputs!$B$28,IF(Skills!C4=3,120+Inputs!$B$26+Inputs!$B$28,MAX(0,(Inputs!$B$3-100)*3)+Inputs!$B$27+Inputs!$B$28)))</f>
        <v/>
      </c>
      <c r="E613">
        <f>INDEX(FactorTable!$B$2:$Y$301, MATCH(ROUND(MIN(300,MAX(1,D613)),0), FactorTable!$A$2:$A$301,0), Skills!M4+1)</f>
        <v/>
      </c>
      <c r="F613">
        <f>IF(Skills!N4=TRUE,(Skills!L4/10)*(E613/1000),Skills!L4/10)+Skills!O4</f>
        <v/>
      </c>
      <c r="G613">
        <f>Skills!G4*IF(Skills!H4&gt;0,Skills!I4/Skills!H4,1)</f>
        <v/>
      </c>
      <c r="H613">
        <f>1-(1-Skills!J4/100)^Skills!K4</f>
        <v/>
      </c>
      <c r="I613" t="inlineStr">
        <is>
          <t>1</t>
        </is>
      </c>
      <c r="J613">
        <f>(Inputs!$B$5*(1+Inputs!$B$6/100))*(F613/100)</f>
        <v/>
      </c>
      <c r="K613">
        <f>J613*(1+((Inputs!$B$11*(1+Inputs!$B$12/100))*0.01+Inputs!$B$13*0.0025)/100)*(1+Inputs!$B$14/100)*(1+IF(Inputs!$B$4="pvp",0,(1-Summary!$B$55)*(Inputs!$B$19+0+Skills!P4)+Summary!$B$55*(Inputs!$B$20+Skills!Q4))/100)*(1+Inputs!$B$15/100)*(5000/(6000+Inputs!$B$7*(1-(Inputs!$B$18+0)/100)))*(1+(Inputs!$B$23+((C631=TRUE)*(F631-Calc!F22))+B640)/100)*(1+1.0*IF(C621=TRUE,F621,0)/100)*(1+(IF(Skills!A4="HOOK_BOMBER",Inputs!$B$16+((C630=TRUE)*(F630-Calc!F21)),Inputs!$B$17+0))/100)*((1+(((C622=TRUE)*F622)+((C628=TRUE)*(F628-Calc!F19)))/100)*I613)</f>
        <v/>
      </c>
      <c r="L613">
        <f>K613*(MIN(Inputs!$B$21+((C629=TRUE)*(F629-Calc!F20)),Inputs!$B$22+0)/100+(Inputs!$B$22+0)/100)/2</f>
        <v/>
      </c>
      <c r="M613">
        <f>L613*(1+(Inputs!$B$9+0+B639)/100)</f>
        <v/>
      </c>
      <c r="N613">
        <f>L613*(1-MIN((Inputs!$B$8+((C625=TRUE)*(F625-Calc!F16))+B634),100)/100)+M613*(MIN((Inputs!$B$8+((C625=TRUE)*(F625-Calc!F16))+B634),100)/100)</f>
        <v/>
      </c>
      <c r="O613">
        <f>IF(C613,Skills!G4*H613*N613*B638*IF(Inputs!$B$4="pvp",1,(1-Summary!$B$55)*(1)+Summary!$B$55*(MIN(Skills!R4,Inputs!$B$37))),0)</f>
        <v/>
      </c>
      <c r="P613">
        <f>IF(B642=0,0,O613/B642)</f>
        <v/>
      </c>
      <c r="Q613" t="n">
        <v>0</v>
      </c>
      <c r="R613" t="n">
        <v>0</v>
      </c>
      <c r="S613">
        <f>IFERROR(O613/N613,0)</f>
        <v/>
      </c>
      <c r="U613">
        <f>290*U612/1000</f>
        <v/>
      </c>
    </row>
    <row r="614">
      <c r="A614">
        <f>Skills!A5</f>
        <v/>
      </c>
      <c r="B614">
        <f>Skills!B5</f>
        <v/>
      </c>
      <c r="C614">
        <f>Inputs!$B$3&gt;=60</f>
        <v/>
      </c>
      <c r="D614">
        <f>IF(Skills!C5=1,60+(Inputs!$B$24+1)+Inputs!$B$28,IF(Skills!C5=2,90+Inputs!$B$25+Inputs!$B$28,IF(Skills!C5=3,120+Inputs!$B$26+Inputs!$B$28,MAX(0,(Inputs!$B$3-100)*3)+Inputs!$B$27+Inputs!$B$28)))</f>
        <v/>
      </c>
      <c r="E614">
        <f>INDEX(FactorTable!$B$2:$Y$301, MATCH(ROUND(MIN(300,MAX(1,D614)),0), FactorTable!$A$2:$A$301,0), Skills!M5+1)</f>
        <v/>
      </c>
      <c r="F614">
        <f>IF(Skills!N5=TRUE,(Skills!L5/10)*(E614/1000),Skills!L5/10)+Skills!O5</f>
        <v/>
      </c>
      <c r="G614">
        <f>Skills!G5*IF(Skills!H5&gt;0,Skills!I5/Skills!H5,1)</f>
        <v/>
      </c>
      <c r="H614">
        <f>1-(1-Skills!J5/100)^Skills!K5</f>
        <v/>
      </c>
      <c r="I614" t="inlineStr">
        <is>
          <t>1</t>
        </is>
      </c>
      <c r="J614" t="inlineStr"/>
      <c r="K614" t="inlineStr"/>
      <c r="L614" t="inlineStr"/>
      <c r="M614" t="inlineStr"/>
      <c r="N614" t="inlineStr"/>
      <c r="O614" t="n">
        <v>0</v>
      </c>
      <c r="P614">
        <f>IF(B642=0,0,O614/B642)</f>
        <v/>
      </c>
      <c r="Q614" t="n">
        <v>0</v>
      </c>
      <c r="R614" t="n">
        <v>0</v>
      </c>
      <c r="S614">
        <f>IFERROR(O614/N614,0)</f>
        <v/>
      </c>
    </row>
    <row r="615">
      <c r="A615">
        <f>Skills!A6</f>
        <v/>
      </c>
      <c r="B615">
        <f>Skills!B6</f>
        <v/>
      </c>
      <c r="C615">
        <f>Inputs!$B$3&gt;=63</f>
        <v/>
      </c>
      <c r="D615">
        <f>IF(Skills!C6=1,60+(Inputs!$B$24+1)+Inputs!$B$28,IF(Skills!C6=2,90+Inputs!$B$25+Inputs!$B$28,IF(Skills!C6=3,120+Inputs!$B$26+Inputs!$B$28,MAX(0,(Inputs!$B$3-100)*3)+Inputs!$B$27+Inputs!$B$28)))</f>
        <v/>
      </c>
      <c r="E615">
        <f>INDEX(FactorTable!$B$2:$Y$301, MATCH(ROUND(MIN(300,MAX(1,D615)),0), FactorTable!$A$2:$A$301,0), Skills!M6+1)</f>
        <v/>
      </c>
      <c r="F615">
        <f>IF(Skills!N6=TRUE,(Skills!L6/10)*(E615/1000),Skills!L6/10)+Skills!O6</f>
        <v/>
      </c>
      <c r="G615">
        <f>Skills!G6*IF(Skills!H6&gt;0,Skills!I6/Skills!H6,1)</f>
        <v/>
      </c>
      <c r="H615">
        <f>1-(1-Skills!J6/100)^Skills!K6</f>
        <v/>
      </c>
      <c r="I615" t="inlineStr">
        <is>
          <t>1</t>
        </is>
      </c>
      <c r="J615">
        <f>(Inputs!$B$5*(1+Inputs!$B$6/100))*(F615/100)</f>
        <v/>
      </c>
      <c r="K615">
        <f>J615*(1+((Inputs!$B$11*(1+Inputs!$B$12/100))*0.01+Inputs!$B$13*0.0025)/100)*(1+Inputs!$B$14/100)*(1+IF(Inputs!$B$4="pvp",0,(1-Summary!$B$55)*(Inputs!$B$19+0+Skills!P6)+Summary!$B$55*(Inputs!$B$20+Skills!Q6))/100)*(1+Inputs!$B$15/100)*(5000/(6000+Inputs!$B$7*(1-(Inputs!$B$18+0)/100)))*(1+(Inputs!$B$23+((C631=TRUE)*(F631-Calc!F22))+B640)/100)*(1+(IF(Skills!A6="HOOK_BOMBER",Inputs!$B$16+((C630=TRUE)*(F630-Calc!F21)),Inputs!$B$17+0))/100)*((1+(((C622=TRUE)*F622)+((C628=TRUE)*(F628-Calc!F19)))/100)*I615)</f>
        <v/>
      </c>
      <c r="L615">
        <f>K615*(MIN(Inputs!$B$21+((C629=TRUE)*(F629-Calc!F20)),Inputs!$B$22+0)/100+(Inputs!$B$22+0)/100)/2</f>
        <v/>
      </c>
      <c r="M615">
        <f>L615*(1+(Inputs!$B$9+0+B639)/100)</f>
        <v/>
      </c>
      <c r="N615">
        <f>L615*(1-MIN((Inputs!$B$8+((C625=TRUE)*(F625-Calc!F16))+B634),100)/100)+M615*(MIN((Inputs!$B$8+((C625=TRUE)*(F625-Calc!F16))+B634),100)/100)</f>
        <v/>
      </c>
      <c r="O615">
        <f>IF(C615,H615*N615*IF(AND(Inputs!$B$4&lt;&gt;"pvp",Inputs!$B$35&gt;0),((Skills!G6*((R615-1)*IF(Skills!H6&gt;0,Skills!I6/Skills!H6,1)+IF(Skills!H6&gt;0,MIN(Skills!I6,MAX(0,Inputs!$B$35-((R615-1)*IF(Inputs!$B$4="pvp",15,MAX(0.1,Skills!D6-IF(Skills!E6=TRUE,Inputs!$B$31,0))))))/Skills!H6,1)))/Inputs!$B$35),G615*Q615)*IF(Inputs!$B$4="pvp",1,(1-Summary!$B$55)*(1)+Summary!$B$55*(MIN(Skills!R6,Inputs!$B$37))),0)</f>
        <v/>
      </c>
      <c r="P615">
        <f>IF(B642=0,0,O615/B642)</f>
        <v/>
      </c>
      <c r="Q615">
        <f>IFERROR(1/IF(Inputs!$B$4="pvp",15,MAX(0.1,Skills!D6-IF(Skills!E6=TRUE,Inputs!$B$31,0))),0)</f>
        <v/>
      </c>
      <c r="R615">
        <f>IF(AND(Inputs!$B$4&lt;&gt;"pvp",Inputs!$B$35&gt;0),(INT(Inputs!$B$35/IF(Inputs!$B$4="pvp",15,MAX(0.1,Skills!D6-IF(Skills!E6=TRUE,Inputs!$B$31,0))))+1),0)</f>
        <v/>
      </c>
      <c r="S615">
        <f>IFERROR(O615/N615,0)</f>
        <v/>
      </c>
    </row>
    <row r="616">
      <c r="A616">
        <f>Skills!A7</f>
        <v/>
      </c>
      <c r="B616">
        <f>Skills!B7</f>
        <v/>
      </c>
      <c r="C616">
        <f>Inputs!$B$3&gt;=100</f>
        <v/>
      </c>
      <c r="D616">
        <f>IF(Skills!C7=1,60+(Inputs!$B$24+1)+Inputs!$B$28,IF(Skills!C7=2,90+Inputs!$B$25+Inputs!$B$28,IF(Skills!C7=3,120+Inputs!$B$26+Inputs!$B$28,MAX(0,(Inputs!$B$3-100)*3)+Inputs!$B$27+Inputs!$B$28)))</f>
        <v/>
      </c>
      <c r="E616">
        <f>INDEX(FactorTable!$B$2:$Y$301, MATCH(ROUND(MIN(300,MAX(1,D616)),0), FactorTable!$A$2:$A$301,0), Skills!M7+1)</f>
        <v/>
      </c>
      <c r="F616">
        <f>IF(Skills!N7=TRUE,(Skills!L7/10)*(E616/1000),Skills!L7/10)+Skills!O7</f>
        <v/>
      </c>
      <c r="G616">
        <f>Skills!G7*IF(Skills!H7&gt;0,Skills!I7/Skills!H7,1)</f>
        <v/>
      </c>
      <c r="H616">
        <f>1-(1-Skills!J7/100)^Skills!K7</f>
        <v/>
      </c>
      <c r="I616" t="inlineStr">
        <is>
          <t>1</t>
        </is>
      </c>
      <c r="J616">
        <f>(Inputs!$B$5*(1+Inputs!$B$6/100))*(F616/100)</f>
        <v/>
      </c>
      <c r="K616">
        <f>J616*(1+((Inputs!$B$11*(1+Inputs!$B$12/100))*0.01+Inputs!$B$13*0.0025)/100)*(1+Inputs!$B$14/100)*(1+IF(Inputs!$B$4="pvp",0,(1-Summary!$B$55)*(Inputs!$B$19+0+Skills!P7)+Summary!$B$55*(Inputs!$B$20+Skills!Q7))/100)*(1+Inputs!$B$15/100)*(5000/(6000+Inputs!$B$7*(1-(Inputs!$B$18+0)/100)))*(1+(Inputs!$B$23+((C631=TRUE)*(F631-Calc!F22))+B640)/100)*(1+(IF(Skills!A7="HOOK_BOMBER",Inputs!$B$16+((C630=TRUE)*(F630-Calc!F21)),Inputs!$B$17+0))/100)*((1+(((C622=TRUE)*F622)+((C628=TRUE)*(F628-Calc!F19)))/100)*I616)</f>
        <v/>
      </c>
      <c r="L616">
        <f>K616*(MIN(Inputs!$B$21+((C629=TRUE)*(F629-Calc!F20)),Inputs!$B$22+0)/100+(Inputs!$B$22+0)/100)/2</f>
        <v/>
      </c>
      <c r="M616">
        <f>L616*(1+(Inputs!$B$9+0+B639)/100)</f>
        <v/>
      </c>
      <c r="N616">
        <f>L616*(1-MIN((Inputs!$B$8+((C625=TRUE)*(F625-Calc!F16))+B634),100)/100)+M616*(MIN((Inputs!$B$8+((C625=TRUE)*(F625-Calc!F16))+B634),100)/100)</f>
        <v/>
      </c>
      <c r="O616">
        <f>IF(C616,H616*N616*IF(AND(Inputs!$B$4&lt;&gt;"pvp",Inputs!$B$35&gt;0),((Skills!G7*((R616-1)*IF(Skills!H7&gt;0,Skills!I7/Skills!H7,1)+IF(Skills!H7&gt;0,MIN(Skills!I7,MAX(0,Inputs!$B$35-((R616-1)*IF(Inputs!$B$4="pvp",15,MAX(0.1,Skills!D7-IF(Skills!E7=TRUE,Inputs!$B$31,0))))))/Skills!H7,1)))/Inputs!$B$35),G616*Q616)*IF(Inputs!$B$4="pvp",1,(1-Summary!$B$55)*(1)+Summary!$B$55*(MIN(Skills!R7,Inputs!$B$37))),0)</f>
        <v/>
      </c>
      <c r="P616">
        <f>IF(B642=0,0,O616/B642)</f>
        <v/>
      </c>
      <c r="Q616">
        <f>IFERROR(1/IF(Inputs!$B$4="pvp",15,MAX(0.1,Skills!D7-IF(Skills!E7=TRUE,Inputs!$B$31,0))),0)</f>
        <v/>
      </c>
      <c r="R616">
        <f>IF(AND(Inputs!$B$4&lt;&gt;"pvp",Inputs!$B$35&gt;0),(INT(Inputs!$B$35/IF(Inputs!$B$4="pvp",15,MAX(0.1,Skills!D7-IF(Skills!E7=TRUE,Inputs!$B$31,0))))+1),0)</f>
        <v/>
      </c>
      <c r="S616">
        <f>IFERROR(O616/N616,0)</f>
        <v/>
      </c>
    </row>
    <row r="617">
      <c r="A617">
        <f>Skills!A8</f>
        <v/>
      </c>
      <c r="B617">
        <f>Skills!B8</f>
        <v/>
      </c>
      <c r="C617">
        <f>Inputs!$B$3&gt;=110</f>
        <v/>
      </c>
      <c r="D617">
        <f>IF(Skills!C8=1,60+(Inputs!$B$24+1)+Inputs!$B$28,IF(Skills!C8=2,90+Inputs!$B$25+Inputs!$B$28,IF(Skills!C8=3,120+Inputs!$B$26+Inputs!$B$28,MAX(0,(Inputs!$B$3-100)*3)+Inputs!$B$27+Inputs!$B$28)))</f>
        <v/>
      </c>
      <c r="E617">
        <f>INDEX(FactorTable!$B$2:$Y$301, MATCH(ROUND(MIN(300,MAX(1,D617)),0), FactorTable!$A$2:$A$301,0), Skills!M8+1)</f>
        <v/>
      </c>
      <c r="F617">
        <f>IF(Skills!N8=TRUE,(Skills!L8/10)*(E617/1000),Skills!L8/10)+Skills!O8</f>
        <v/>
      </c>
      <c r="G617">
        <f>Skills!G8*IF(Skills!H8&gt;0,Skills!I8/Skills!H8,1)</f>
        <v/>
      </c>
      <c r="H617">
        <f>1-(1-Skills!J8/100)^Skills!K8</f>
        <v/>
      </c>
      <c r="I617" t="inlineStr">
        <is>
          <t>1</t>
        </is>
      </c>
      <c r="J617">
        <f>(Inputs!$B$5*(1+Inputs!$B$6/100))*(F617/100)</f>
        <v/>
      </c>
      <c r="K617">
        <f>J617*(1+((Inputs!$B$11*(1+Inputs!$B$12/100))*0.01+Inputs!$B$13*0.0025)/100)*(1+Inputs!$B$14/100)*(1+IF(Inputs!$B$4="pvp",0,(1-Summary!$B$55)*(Inputs!$B$19+0+Skills!P8)+Summary!$B$55*(Inputs!$B$20+Skills!Q8))/100)*(1+Inputs!$B$15/100)*(5000/(6000+Inputs!$B$7*(1-(Inputs!$B$18+0)/100)))*(1+(Inputs!$B$23+((C631=TRUE)*(F631-Calc!F22))+B640)/100)*(1+(IF(Skills!A8="HOOK_BOMBER",Inputs!$B$16+((C630=TRUE)*(F630-Calc!F21)),Inputs!$B$17+0))/100)*((1+(((C622=TRUE)*F622)+((C628=TRUE)*(F628-Calc!F19)))/100)*I617)</f>
        <v/>
      </c>
      <c r="L617">
        <f>K617*(MIN(Inputs!$B$21+((C629=TRUE)*(F629-Calc!F20)),Inputs!$B$22+0)/100+(Inputs!$B$22+0)/100)/2</f>
        <v/>
      </c>
      <c r="M617">
        <f>L617*(1+(Inputs!$B$9+0+B639)/100)</f>
        <v/>
      </c>
      <c r="N617">
        <f>L617*(1-MIN((Inputs!$B$8+((C625=TRUE)*(F625-Calc!F16))+B634),100)/100)+M617*(MIN((Inputs!$B$8+((C625=TRUE)*(F625-Calc!F16))+B634),100)/100)</f>
        <v/>
      </c>
      <c r="O617">
        <f>IF(C617,H617*N617*IF(AND(Inputs!$B$4&lt;&gt;"pvp",Inputs!$B$35&gt;0),((Skills!G8*((R617-1)*IF(Skills!H8&gt;0,Skills!I8/Skills!H8,1)+IF(Skills!H8&gt;0,MIN(Skills!I8,MAX(0,Inputs!$B$35-((R617-1)*IF(Inputs!$B$4="pvp",15,MAX(0.1,Skills!D8-IF(Skills!E8=TRUE,Inputs!$B$31,0))))))/Skills!H8,1)))/Inputs!$B$35),G617*Q617)*IF(Inputs!$B$4="pvp",1,(1-Summary!$B$55)*(1)+Summary!$B$55*(MIN(Skills!R8,Inputs!$B$37))),0)</f>
        <v/>
      </c>
      <c r="P617">
        <f>IF(B642=0,0,O617/B642)</f>
        <v/>
      </c>
      <c r="Q617">
        <f>IFERROR(1/IF(Inputs!$B$4="pvp",15,MAX(0.1,Skills!D8-IF(Skills!E8=TRUE,Inputs!$B$31,0))),0)</f>
        <v/>
      </c>
      <c r="R617">
        <f>IF(AND(Inputs!$B$4&lt;&gt;"pvp",Inputs!$B$35&gt;0),(INT(Inputs!$B$35/IF(Inputs!$B$4="pvp",15,MAX(0.1,Skills!D8-IF(Skills!E8=TRUE,Inputs!$B$31,0))))+1),0)</f>
        <v/>
      </c>
      <c r="S617">
        <f>IFERROR(O617/N617,0)</f>
        <v/>
      </c>
    </row>
    <row r="618">
      <c r="A618">
        <f>Skills!A9</f>
        <v/>
      </c>
      <c r="B618">
        <f>Skills!B9</f>
        <v/>
      </c>
      <c r="C618">
        <f>Inputs!$B$3&gt;=110</f>
        <v/>
      </c>
      <c r="D618">
        <f>IF(Skills!C9=1,60+(Inputs!$B$24+1)+Inputs!$B$28,IF(Skills!C9=2,90+Inputs!$B$25+Inputs!$B$28,IF(Skills!C9=3,120+Inputs!$B$26+Inputs!$B$28,MAX(0,(Inputs!$B$3-100)*3)+Inputs!$B$27+Inputs!$B$28)))</f>
        <v/>
      </c>
      <c r="E618">
        <f>INDEX(FactorTable!$B$2:$Y$301, MATCH(ROUND(MIN(300,MAX(1,D618)),0), FactorTable!$A$2:$A$301,0), Skills!M9+1)</f>
        <v/>
      </c>
      <c r="F618">
        <f>IF(Skills!N9=TRUE,(Skills!L9/10)*(E618/1000),Skills!L9/10)+Skills!O9</f>
        <v/>
      </c>
      <c r="G618">
        <f>Skills!G9*IF(Skills!H9&gt;0,Skills!I9/Skills!H9,1)</f>
        <v/>
      </c>
      <c r="H618">
        <f>1-(1-Skills!J9/100)^Skills!K9</f>
        <v/>
      </c>
      <c r="I618" t="inlineStr">
        <is>
          <t>1</t>
        </is>
      </c>
      <c r="J618">
        <f>(Inputs!$B$5*(1+Inputs!$B$6/100))*(F618/100)</f>
        <v/>
      </c>
      <c r="K618">
        <f>J618*(1+((Inputs!$B$11*(1+Inputs!$B$12/100))*0.01+Inputs!$B$13*0.0025)/100)*(1+Inputs!$B$14/100)*(1+IF(Inputs!$B$4="pvp",0,(1-Summary!$B$55)*(Inputs!$B$19+0+Skills!P9)+Summary!$B$55*(Inputs!$B$20+Skills!Q9))/100)*(1+Inputs!$B$15/100)*(5000/(6000+Inputs!$B$7*(1-(Inputs!$B$18+0)/100)))*(1+(Inputs!$B$23+((C631=TRUE)*(F631-Calc!F22))+B640)/100)*(1+(IF(Skills!A9="HOOK_BOMBER",Inputs!$B$16+((C630=TRUE)*(F630-Calc!F21)),Inputs!$B$17+0))/100)*((1+(((C622=TRUE)*F622)+((C628=TRUE)*(F628-Calc!F19)))/100)*I618)</f>
        <v/>
      </c>
      <c r="L618">
        <f>K618*(MIN(Inputs!$B$21+((C629=TRUE)*(F629-Calc!F20)),Inputs!$B$22+0)/100+(Inputs!$B$22+0)/100)/2</f>
        <v/>
      </c>
      <c r="M618">
        <f>L618*(1+(Inputs!$B$9+0+B639)/100)</f>
        <v/>
      </c>
      <c r="N618">
        <f>L618*(1-MIN((Inputs!$B$8+((C625=TRUE)*(F625-Calc!F16))+B634),100)/100)+M618*(MIN((Inputs!$B$8+((C625=TRUE)*(F625-Calc!F16))+B634),100)/100)</f>
        <v/>
      </c>
      <c r="O618">
        <f>IF(C618,H618*N618*IF(AND(Inputs!$B$4&lt;&gt;"pvp",Inputs!$B$35&gt;0),((Skills!G9*((R618-1)*IF(Skills!H9&gt;0,Skills!I9/Skills!H9,1)+IF(Skills!H9&gt;0,MIN(Skills!I9,MAX(0,Inputs!$B$35-((R618-1)*IF(Inputs!$B$4="pvp",15,MAX(0.1,Skills!D9-IF(Skills!E9=TRUE,Inputs!$B$31,0))))))/Skills!H9,1)))/Inputs!$B$35),G618*Q618)*IF(Inputs!$B$4="pvp",1,(1-Summary!$B$55)*(1)+Summary!$B$55*(MIN(Skills!R9,Inputs!$B$37))),0)</f>
        <v/>
      </c>
      <c r="P618">
        <f>IF(B642=0,0,O618/B642)</f>
        <v/>
      </c>
      <c r="Q618">
        <f>IFERROR(1/IF(Inputs!$B$4="pvp",15,MAX(0.1,Skills!D9-IF(Skills!E9=TRUE,Inputs!$B$31,0))),0)</f>
        <v/>
      </c>
      <c r="R618">
        <f>IF(AND(Inputs!$B$4&lt;&gt;"pvp",Inputs!$B$35&gt;0),(INT(Inputs!$B$35/IF(Inputs!$B$4="pvp",15,MAX(0.1,Skills!D9-IF(Skills!E9=TRUE,Inputs!$B$31,0))))+1),0)</f>
        <v/>
      </c>
      <c r="S618">
        <f>IFERROR(O618/N618,0)</f>
        <v/>
      </c>
    </row>
    <row r="619">
      <c r="A619">
        <f>Skills!A10</f>
        <v/>
      </c>
      <c r="B619">
        <f>Skills!B10</f>
        <v/>
      </c>
      <c r="C619">
        <f>Inputs!$B$3&gt;=103</f>
        <v/>
      </c>
      <c r="D619">
        <f>IF(Skills!C10=1,60+(Inputs!$B$24+1)+Inputs!$B$28,IF(Skills!C10=2,90+Inputs!$B$25+Inputs!$B$28,IF(Skills!C10=3,120+Inputs!$B$26+Inputs!$B$28,MAX(0,(Inputs!$B$3-100)*3)+Inputs!$B$27+Inputs!$B$28)))</f>
        <v/>
      </c>
      <c r="E619">
        <f>INDEX(FactorTable!$B$2:$Y$301, MATCH(ROUND(MIN(300,MAX(1,D619)),0), FactorTable!$A$2:$A$301,0), Skills!M10+1)</f>
        <v/>
      </c>
      <c r="F619">
        <f>IF(Skills!N10=TRUE,(Skills!L10/10)*(E619/1000),Skills!L10/10)+Skills!O10</f>
        <v/>
      </c>
      <c r="G619">
        <f>Skills!G10*IF(Skills!H10&gt;0,Skills!I10/Skills!H10,1)</f>
        <v/>
      </c>
      <c r="H619">
        <f>1-(1-Skills!J10/100)^Skills!K10</f>
        <v/>
      </c>
      <c r="I619" t="inlineStr">
        <is>
          <t>1</t>
        </is>
      </c>
      <c r="J619">
        <f>(Inputs!$B$5*(1+Inputs!$B$6/100))*(F619/100)</f>
        <v/>
      </c>
      <c r="K619">
        <f>J619*(1+((Inputs!$B$11*(1+Inputs!$B$12/100))*0.01+Inputs!$B$13*0.0025)/100)*(1+Inputs!$B$14/100)*(1+IF(Inputs!$B$4="pvp",0,(1-Summary!$B$55)*(Inputs!$B$19+0+Skills!P10)+Summary!$B$55*(Inputs!$B$20+Skills!Q10))/100)*(1+Inputs!$B$15/100)*(5000/(6000+Inputs!$B$7*(1-(Inputs!$B$18+0)/100)))*(1+(Inputs!$B$23+((C631=TRUE)*(F631-Calc!F22))+B640)/100)*(1+(IF(Skills!A10="HOOK_BOMBER",Inputs!$B$16+((C630=TRUE)*(F630-Calc!F21)),Inputs!$B$17+0))/100)*((1+(((C622=TRUE)*F622)+((C628=TRUE)*(F628-Calc!F19)))/100)*I619)</f>
        <v/>
      </c>
      <c r="L619">
        <f>K619*(MIN(Inputs!$B$21+((C629=TRUE)*(F629-Calc!F20)),Inputs!$B$22+0)/100+(Inputs!$B$22+0)/100)/2</f>
        <v/>
      </c>
      <c r="M619">
        <f>L619*(1+(Inputs!$B$9+0+B639)/100)</f>
        <v/>
      </c>
      <c r="N619">
        <f>L619*(1-MIN((Inputs!$B$8+((C625=TRUE)*(F625-Calc!F16))+B634),100)/100)+M619*(MIN((Inputs!$B$8+((C625=TRUE)*(F625-Calc!F16))+B634),100)/100)</f>
        <v/>
      </c>
      <c r="O619">
        <f>IF(C619,H619*N619*IF(AND(Inputs!$B$4&lt;&gt;"pvp",Inputs!$B$35&gt;0),((Skills!G10*((R619-1)*IF(Skills!H10&gt;0,Skills!I10/Skills!H10,1)+IF(Skills!H10&gt;0,MIN(Skills!I10,MAX(0,Inputs!$B$35-((R619-1)*IF(Inputs!$B$4="pvp",15,MAX(0.1,Skills!D10-IF(Skills!E10=TRUE,Inputs!$B$31,0))))))/Skills!H10,1)))/Inputs!$B$35),G619*Q619)*IF(Inputs!$B$4="pvp",1,(1-Summary!$B$55)*(1)+Summary!$B$55*(MIN(Skills!R10,Inputs!$B$37))),0)</f>
        <v/>
      </c>
      <c r="P619">
        <f>IF(B642=0,0,O619/B642)</f>
        <v/>
      </c>
      <c r="Q619">
        <f>IFERROR(1/IF(Inputs!$B$4="pvp",15,MAX(0.1,Skills!D10-IF(Skills!E10=TRUE,Inputs!$B$31,0))),0)</f>
        <v/>
      </c>
      <c r="R619">
        <f>IF(AND(Inputs!$B$4&lt;&gt;"pvp",Inputs!$B$35&gt;0),(INT(Inputs!$B$35/IF(Inputs!$B$4="pvp",15,MAX(0.1,Skills!D10-IF(Skills!E10=TRUE,Inputs!$B$31,0))))+1),0)</f>
        <v/>
      </c>
      <c r="S619">
        <f>IFERROR(O619/N619,0)</f>
        <v/>
      </c>
    </row>
    <row r="620">
      <c r="A620">
        <f>Skills!A11</f>
        <v/>
      </c>
      <c r="B620">
        <f>Skills!B11</f>
        <v/>
      </c>
      <c r="C620">
        <f>Inputs!$B$3&gt;=113</f>
        <v/>
      </c>
      <c r="D620">
        <f>IF(Skills!C11=1,60+(Inputs!$B$24+1)+Inputs!$B$28,IF(Skills!C11=2,90+Inputs!$B$25+Inputs!$B$28,IF(Skills!C11=3,120+Inputs!$B$26+Inputs!$B$28,MAX(0,(Inputs!$B$3-100)*3)+Inputs!$B$27+Inputs!$B$28)))</f>
        <v/>
      </c>
      <c r="E620">
        <f>INDEX(FactorTable!$B$2:$Y$301, MATCH(ROUND(MIN(300,MAX(1,D620)),0), FactorTable!$A$2:$A$301,0), Skills!M11+1)</f>
        <v/>
      </c>
      <c r="F620">
        <f>IF(Skills!N11=TRUE,(Skills!L11/10)*(E620/1000),Skills!L11/10)+Skills!O11</f>
        <v/>
      </c>
      <c r="G620">
        <f>Skills!G11*IF(Skills!H11&gt;0,Skills!I11/Skills!H11,1)</f>
        <v/>
      </c>
      <c r="H620">
        <f>1-(1-Skills!J11/100)^Skills!K11</f>
        <v/>
      </c>
      <c r="I620" t="inlineStr">
        <is>
          <t>1</t>
        </is>
      </c>
      <c r="J620">
        <f>(Inputs!$B$5*(1+Inputs!$B$6/100))*(F620/100)</f>
        <v/>
      </c>
      <c r="K620">
        <f>J620*(1+((Inputs!$B$11*(1+Inputs!$B$12/100))*0.01+Inputs!$B$13*0.0025)/100)*(1+Inputs!$B$14/100)*(1+IF(Inputs!$B$4="pvp",0,(1-Summary!$B$55)*(Inputs!$B$19+0+Skills!P11)+Summary!$B$55*(Inputs!$B$20+Skills!Q11))/100)*(1+Inputs!$B$15/100)*(5000/(6000+Inputs!$B$7*(1-(Inputs!$B$18+0)/100)))*(1+(Inputs!$B$23+((C631=TRUE)*(F631-Calc!F22))+B640)/100)*(1+(IF(Skills!A11="HOOK_BOMBER",Inputs!$B$16+((C630=TRUE)*(F630-Calc!F21)),Inputs!$B$17+0))/100)*((1+(((C622=TRUE)*F622)+((C628=TRUE)*(F628-Calc!F19)))/100)*I620)</f>
        <v/>
      </c>
      <c r="L620">
        <f>K620*(MIN(Inputs!$B$21+((C629=TRUE)*(F629-Calc!F20)),Inputs!$B$22+0)/100+(Inputs!$B$22+0)/100)/2</f>
        <v/>
      </c>
      <c r="M620">
        <f>L620*(1+(Inputs!$B$9+0+B639)/100)</f>
        <v/>
      </c>
      <c r="N620">
        <f>L620*(1-MIN((Inputs!$B$8+((C625=TRUE)*(F625-Calc!F16))+B634),100)/100)+M620*(MIN((Inputs!$B$8+((C625=TRUE)*(F625-Calc!F16))+B634),100)/100)</f>
        <v/>
      </c>
      <c r="O620">
        <f>IF(C620,H620*N620*IF(AND(Inputs!$B$4&lt;&gt;"pvp",Inputs!$B$35&gt;0),((Skills!G11*((R620-1)*IF(Skills!H11&gt;0,Skills!I11/Skills!H11,1)+IF(Skills!H11&gt;0,MIN(Skills!I11,MAX(0,Inputs!$B$35-((R620-1)*IF(Inputs!$B$4="pvp",15,MAX(0.1,Skills!D11-IF(Skills!E11=TRUE,Inputs!$B$31,0))))))/Skills!H11,1)))/Inputs!$B$35),G620*Q620)*IF(Inputs!$B$4="pvp",1,(1-Summary!$B$55)*(1)+Summary!$B$55*(MIN(Skills!R11,Inputs!$B$37))),0)</f>
        <v/>
      </c>
      <c r="P620">
        <f>IF(B642=0,0,O620/B642)</f>
        <v/>
      </c>
      <c r="Q620">
        <f>IFERROR(1/IF(Inputs!$B$4="pvp",15,MAX(0.1,Skills!D11-IF(Skills!E11=TRUE,Inputs!$B$31,0))),0)</f>
        <v/>
      </c>
      <c r="R620">
        <f>IF(AND(Inputs!$B$4&lt;&gt;"pvp",Inputs!$B$35&gt;0),(INT(Inputs!$B$35/IF(Inputs!$B$4="pvp",15,MAX(0.1,Skills!D11-IF(Skills!E11=TRUE,Inputs!$B$31,0))))+1),0)</f>
        <v/>
      </c>
      <c r="S620">
        <f>IFERROR(O620/N620,0)</f>
        <v/>
      </c>
    </row>
    <row r="621">
      <c r="A621">
        <f>Skills!A12</f>
        <v/>
      </c>
      <c r="B621">
        <f>Skills!B12</f>
        <v/>
      </c>
      <c r="C621">
        <f>Inputs!$B$3&gt;=100</f>
        <v/>
      </c>
      <c r="D621">
        <f>IF(Skills!C12=1,60+(Inputs!$B$24+1)+Inputs!$B$28,IF(Skills!C12=2,90+Inputs!$B$25+Inputs!$B$28,IF(Skills!C12=3,120+Inputs!$B$26+Inputs!$B$28,MAX(0,(Inputs!$B$3-100)*3)+Inputs!$B$27+Inputs!$B$28)))</f>
        <v/>
      </c>
      <c r="E621">
        <f>INDEX(FactorTable!$B$2:$Y$301, MATCH(ROUND(MIN(300,MAX(1,D621)),0), FactorTable!$A$2:$A$301,0), Skills!M12+1)</f>
        <v/>
      </c>
      <c r="F621">
        <f>IF(Skills!N12=TRUE,(Skills!L12/10)*(E621/1000),Skills!L12/10)+Skills!O12</f>
        <v/>
      </c>
      <c r="G621" t="inlineStr"/>
      <c r="H621" t="inlineStr"/>
      <c r="I621" t="inlineStr">
        <is>
          <t>1</t>
        </is>
      </c>
      <c r="J621" t="inlineStr"/>
      <c r="K621" t="inlineStr"/>
      <c r="L621" t="inlineStr"/>
      <c r="M621" t="inlineStr"/>
      <c r="N621" t="inlineStr"/>
      <c r="O621" t="inlineStr"/>
      <c r="P621" t="inlineStr"/>
      <c r="Q621" t="inlineStr"/>
      <c r="R621" t="inlineStr"/>
      <c r="S621" t="inlineStr"/>
    </row>
    <row r="622">
      <c r="A622">
        <f>Skills!A13</f>
        <v/>
      </c>
      <c r="B622">
        <f>Skills!B13</f>
        <v/>
      </c>
      <c r="C622">
        <f>Inputs!$B$3&gt;=66</f>
        <v/>
      </c>
      <c r="D622">
        <f>IF(Skills!C13=1,60+(Inputs!$B$24+1)+Inputs!$B$28,IF(Skills!C13=2,90+Inputs!$B$25+Inputs!$B$28,IF(Skills!C13=3,120+Inputs!$B$26+Inputs!$B$28,MAX(0,(Inputs!$B$3-100)*3)+Inputs!$B$27+Inputs!$B$28)))</f>
        <v/>
      </c>
      <c r="E622">
        <f>INDEX(FactorTable!$B$2:$Y$301, MATCH(ROUND(MIN(300,MAX(1,D622)),0), FactorTable!$A$2:$A$301,0), Skills!M13+1)</f>
        <v/>
      </c>
      <c r="F622">
        <f>IF(Skills!N13=TRUE,(Skills!L13/10)*(E622/1000),Skills!L13/10)+Skills!O13</f>
        <v/>
      </c>
      <c r="G622">
        <f>Skills!G13*IF(Skills!H13&gt;0,Skills!I13/Skills!H13,1)</f>
        <v/>
      </c>
      <c r="H622">
        <f>1-(1-Skills!J13/100)^Skills!K13</f>
        <v/>
      </c>
      <c r="I622" t="inlineStr">
        <is>
          <t>1</t>
        </is>
      </c>
      <c r="J622" t="inlineStr"/>
      <c r="K622" t="inlineStr"/>
      <c r="L622" t="inlineStr"/>
      <c r="M622" t="inlineStr"/>
      <c r="N622" t="inlineStr"/>
      <c r="O622" t="n">
        <v>0</v>
      </c>
      <c r="P622">
        <f>IF(B642=0,0,O622/B642)</f>
        <v/>
      </c>
      <c r="Q622" t="n">
        <v>0</v>
      </c>
      <c r="R622" t="n">
        <v>0</v>
      </c>
      <c r="S622">
        <f>IFERROR(O622/N622,0)</f>
        <v/>
      </c>
    </row>
    <row r="623">
      <c r="A623">
        <f>Skills!A14</f>
        <v/>
      </c>
      <c r="B623">
        <f>Skills!B14</f>
        <v/>
      </c>
      <c r="C623">
        <f>Inputs!$B$3&gt;=107</f>
        <v/>
      </c>
      <c r="D623">
        <f>IF(Skills!C14=1,60+(Inputs!$B$24+1)+Inputs!$B$28,IF(Skills!C14=2,90+Inputs!$B$25+Inputs!$B$28,IF(Skills!C14=3,120+Inputs!$B$26+Inputs!$B$28,MAX(0,(Inputs!$B$3-100)*3)+Inputs!$B$27+Inputs!$B$28)))</f>
        <v/>
      </c>
      <c r="E623">
        <f>INDEX(FactorTable!$B$2:$Y$301, MATCH(ROUND(MIN(300,MAX(1,D623)),0), FactorTable!$A$2:$A$301,0), Skills!M14+1)</f>
        <v/>
      </c>
      <c r="F623">
        <f>IF(Skills!N14=TRUE,(Skills!L14/10)*(E623/1000),Skills!L14/10)+Skills!O14</f>
        <v/>
      </c>
      <c r="G623">
        <f>Skills!G14*IF(Skills!H14&gt;0,Skills!I14/Skills!H14,1)</f>
        <v/>
      </c>
      <c r="H623">
        <f>1-(1-Skills!J14/100)^Skills!K14</f>
        <v/>
      </c>
      <c r="I623" t="inlineStr">
        <is>
          <t>1</t>
        </is>
      </c>
      <c r="J623" t="inlineStr"/>
      <c r="K623" t="inlineStr"/>
      <c r="L623" t="inlineStr"/>
      <c r="M623" t="inlineStr"/>
      <c r="N623" t="inlineStr"/>
      <c r="O623" t="n">
        <v>0</v>
      </c>
      <c r="P623">
        <f>IF(B642=0,0,O623/B642)</f>
        <v/>
      </c>
      <c r="Q623" t="n">
        <v>0</v>
      </c>
      <c r="R623" t="n">
        <v>0</v>
      </c>
      <c r="S623">
        <f>IFERROR(O623/N623,0)</f>
        <v/>
      </c>
    </row>
    <row r="624">
      <c r="A624">
        <f>Skills!A15</f>
        <v/>
      </c>
      <c r="B624">
        <f>Skills!B15</f>
        <v/>
      </c>
      <c r="C624">
        <f>Inputs!$B$3&gt;=115</f>
        <v/>
      </c>
      <c r="D624">
        <f>IF(Skills!C15=1,60+(Inputs!$B$24+1)+Inputs!$B$28,IF(Skills!C15=2,90+Inputs!$B$25+Inputs!$B$28,IF(Skills!C15=3,120+Inputs!$B$26+Inputs!$B$28,MAX(0,(Inputs!$B$3-100)*3)+Inputs!$B$27+Inputs!$B$28)))</f>
        <v/>
      </c>
      <c r="E624">
        <f>INDEX(FactorTable!$B$2:$Y$301, MATCH(ROUND(MIN(300,MAX(1,D624)),0), FactorTable!$A$2:$A$301,0), Skills!M15+1)</f>
        <v/>
      </c>
      <c r="F624">
        <f>IF(Skills!N15=TRUE,(Skills!L15/10)*(E624/1000),Skills!L15/10)+Skills!O15</f>
        <v/>
      </c>
      <c r="G624">
        <f>Skills!G15*IF(Skills!H15&gt;0,Skills!I15/Skills!H15,1)</f>
        <v/>
      </c>
      <c r="H624">
        <f>1-(1-Skills!J15/100)^Skills!K15</f>
        <v/>
      </c>
      <c r="I624" t="inlineStr">
        <is>
          <t>1</t>
        </is>
      </c>
      <c r="J624" t="inlineStr"/>
      <c r="K624" t="inlineStr"/>
      <c r="L624" t="inlineStr"/>
      <c r="M624" t="inlineStr"/>
      <c r="N624" t="inlineStr"/>
      <c r="O624" t="n">
        <v>0</v>
      </c>
      <c r="P624">
        <f>IF(B642=0,0,O624/B642)</f>
        <v/>
      </c>
      <c r="Q624" t="n">
        <v>0</v>
      </c>
      <c r="R624" t="n">
        <v>0</v>
      </c>
      <c r="S624">
        <f>IFERROR(O624/N624,0)</f>
        <v/>
      </c>
    </row>
    <row r="625">
      <c r="A625">
        <f>Skills!A16</f>
        <v/>
      </c>
      <c r="B625">
        <f>Skills!B16</f>
        <v/>
      </c>
      <c r="C625">
        <f>Inputs!$B$3&gt;=15</f>
        <v/>
      </c>
      <c r="D625">
        <f>IF(Skills!C16=1,60+(Inputs!$B$24+1)+Inputs!$B$28,IF(Skills!C16=2,90+Inputs!$B$25+Inputs!$B$28,IF(Skills!C16=3,120+Inputs!$B$26+Inputs!$B$28,MAX(0,(Inputs!$B$3-100)*3)+Inputs!$B$27+Inputs!$B$28)))</f>
        <v/>
      </c>
      <c r="E625">
        <f>INDEX(FactorTable!$B$2:$Y$301, MATCH(ROUND(MIN(300,MAX(1,D625)),0), FactorTable!$A$2:$A$301,0), Skills!M16+1)</f>
        <v/>
      </c>
      <c r="F625">
        <f>IF(Skills!N16=TRUE,(Skills!L16/10)*(E625/1000),Skills!L16/10)+Skills!O16</f>
        <v/>
      </c>
      <c r="G625">
        <f>Skills!G16*IF(Skills!H16&gt;0,Skills!I16/Skills!H16,1)</f>
        <v/>
      </c>
      <c r="H625">
        <f>1-(1-Skills!J16/100)^Skills!K16</f>
        <v/>
      </c>
      <c r="I625" t="inlineStr">
        <is>
          <t>1</t>
        </is>
      </c>
      <c r="J625" t="inlineStr"/>
      <c r="K625" t="inlineStr"/>
      <c r="L625" t="inlineStr"/>
      <c r="M625" t="inlineStr"/>
      <c r="N625" t="inlineStr"/>
      <c r="O625" t="n">
        <v>0</v>
      </c>
      <c r="P625">
        <f>IF(B642=0,0,O625/B642)</f>
        <v/>
      </c>
      <c r="Q625" t="n">
        <v>0</v>
      </c>
      <c r="R625" t="n">
        <v>0</v>
      </c>
      <c r="S625">
        <f>IFERROR(O625/N625,0)</f>
        <v/>
      </c>
    </row>
    <row r="626">
      <c r="A626">
        <f>Skills!A17</f>
        <v/>
      </c>
      <c r="B626">
        <f>Skills!B17</f>
        <v/>
      </c>
      <c r="C626">
        <f>Inputs!$B$3&gt;=10</f>
        <v/>
      </c>
      <c r="D626">
        <f>IF(Skills!C17=1,60+(Inputs!$B$24+1)+Inputs!$B$28,IF(Skills!C17=2,90+Inputs!$B$25+Inputs!$B$28,IF(Skills!C17=3,120+Inputs!$B$26+Inputs!$B$28,MAX(0,(Inputs!$B$3-100)*3)+Inputs!$B$27+Inputs!$B$28)))</f>
        <v/>
      </c>
      <c r="E626">
        <f>INDEX(FactorTable!$B$2:$Y$301, MATCH(ROUND(MIN(300,MAX(1,D626)),0), FactorTable!$A$2:$A$301,0), Skills!M17+1)</f>
        <v/>
      </c>
      <c r="F626">
        <f>IF(Skills!N17=TRUE,(Skills!L17/10)*(E626/1000),Skills!L17/10)+Skills!O17</f>
        <v/>
      </c>
      <c r="G626">
        <f>Skills!G17*IF(Skills!H17&gt;0,Skills!I17/Skills!H17,1)</f>
        <v/>
      </c>
      <c r="H626">
        <f>1-(1-Skills!J17/100)^Skills!K17</f>
        <v/>
      </c>
      <c r="I626" t="inlineStr">
        <is>
          <t>1</t>
        </is>
      </c>
      <c r="J626" t="inlineStr"/>
      <c r="K626" t="inlineStr"/>
      <c r="L626" t="inlineStr"/>
      <c r="M626" t="inlineStr"/>
      <c r="N626" t="inlineStr"/>
      <c r="O626" t="n">
        <v>0</v>
      </c>
      <c r="P626">
        <f>IF(B642=0,0,O626/B642)</f>
        <v/>
      </c>
      <c r="Q626" t="n">
        <v>0</v>
      </c>
      <c r="R626" t="n">
        <v>0</v>
      </c>
      <c r="S626">
        <f>IFERROR(O626/N626,0)</f>
        <v/>
      </c>
    </row>
    <row r="627">
      <c r="A627">
        <f>Skills!A18</f>
        <v/>
      </c>
      <c r="B627">
        <f>Skills!B18</f>
        <v/>
      </c>
      <c r="C627">
        <f>Inputs!$B$3&gt;=33</f>
        <v/>
      </c>
      <c r="D627">
        <f>IF(Skills!C18=1,60+(Inputs!$B$24+1)+Inputs!$B$28,IF(Skills!C18=2,90+Inputs!$B$25+Inputs!$B$28,IF(Skills!C18=3,120+Inputs!$B$26+Inputs!$B$28,MAX(0,(Inputs!$B$3-100)*3)+Inputs!$B$27+Inputs!$B$28)))</f>
        <v/>
      </c>
      <c r="E627">
        <f>INDEX(FactorTable!$B$2:$Y$301, MATCH(ROUND(MIN(300,MAX(1,D627)),0), FactorTable!$A$2:$A$301,0), Skills!M18+1)</f>
        <v/>
      </c>
      <c r="F627">
        <f>IF(Skills!N18=TRUE,(Skills!L18/10)*(E627/1000),Skills!L18/10)+Skills!O18</f>
        <v/>
      </c>
      <c r="G627">
        <f>Skills!G18*IF(Skills!H18&gt;0,Skills!I18/Skills!H18,1)</f>
        <v/>
      </c>
      <c r="H627">
        <f>1-(1-Skills!J18/100)^Skills!K18</f>
        <v/>
      </c>
      <c r="I627" t="inlineStr">
        <is>
          <t>1</t>
        </is>
      </c>
      <c r="J627" t="inlineStr"/>
      <c r="K627" t="inlineStr"/>
      <c r="L627" t="inlineStr"/>
      <c r="M627" t="inlineStr"/>
      <c r="N627" t="inlineStr"/>
      <c r="O627" t="n">
        <v>0</v>
      </c>
      <c r="P627">
        <f>IF(B642=0,0,O627/B642)</f>
        <v/>
      </c>
      <c r="Q627" t="n">
        <v>0</v>
      </c>
      <c r="R627" t="n">
        <v>0</v>
      </c>
      <c r="S627">
        <f>IFERROR(O627/N627,0)</f>
        <v/>
      </c>
    </row>
    <row r="628">
      <c r="A628">
        <f>Skills!A19</f>
        <v/>
      </c>
      <c r="B628">
        <f>Skills!B19</f>
        <v/>
      </c>
      <c r="C628">
        <f>Inputs!$B$3&gt;=40</f>
        <v/>
      </c>
      <c r="D628">
        <f>IF(Skills!C19=1,60+(Inputs!$B$24+1)+Inputs!$B$28,IF(Skills!C19=2,90+Inputs!$B$25+Inputs!$B$28,IF(Skills!C19=3,120+Inputs!$B$26+Inputs!$B$28,MAX(0,(Inputs!$B$3-100)*3)+Inputs!$B$27+Inputs!$B$28)))</f>
        <v/>
      </c>
      <c r="E628">
        <f>INDEX(FactorTable!$B$2:$Y$301, MATCH(ROUND(MIN(300,MAX(1,D628)),0), FactorTable!$A$2:$A$301,0), Skills!M19+1)</f>
        <v/>
      </c>
      <c r="F628">
        <f>IF(Skills!N19=TRUE,(Skills!L19/10)*(E628/1000),Skills!L19/10)+Skills!O19</f>
        <v/>
      </c>
      <c r="G628">
        <f>Skills!G19*IF(Skills!H19&gt;0,Skills!I19/Skills!H19,1)</f>
        <v/>
      </c>
      <c r="H628">
        <f>1-(1-Skills!J19/100)^Skills!K19</f>
        <v/>
      </c>
      <c r="I628" t="inlineStr">
        <is>
          <t>1</t>
        </is>
      </c>
      <c r="J628" t="inlineStr"/>
      <c r="K628" t="inlineStr"/>
      <c r="L628" t="inlineStr"/>
      <c r="M628" t="inlineStr"/>
      <c r="N628" t="inlineStr"/>
      <c r="O628" t="n">
        <v>0</v>
      </c>
      <c r="P628">
        <f>IF(B642=0,0,O628/B642)</f>
        <v/>
      </c>
      <c r="Q628" t="n">
        <v>0</v>
      </c>
      <c r="R628" t="n">
        <v>0</v>
      </c>
      <c r="S628">
        <f>IFERROR(O628/N628,0)</f>
        <v/>
      </c>
    </row>
    <row r="629">
      <c r="A629">
        <f>Skills!A20</f>
        <v/>
      </c>
      <c r="B629">
        <f>Skills!B20</f>
        <v/>
      </c>
      <c r="C629">
        <f>Inputs!$B$3&gt;=43</f>
        <v/>
      </c>
      <c r="D629">
        <f>IF(Skills!C20=1,60+(Inputs!$B$24+1)+Inputs!$B$28,IF(Skills!C20=2,90+Inputs!$B$25+Inputs!$B$28,IF(Skills!C20=3,120+Inputs!$B$26+Inputs!$B$28,MAX(0,(Inputs!$B$3-100)*3)+Inputs!$B$27+Inputs!$B$28)))</f>
        <v/>
      </c>
      <c r="E629">
        <f>INDEX(FactorTable!$B$2:$Y$301, MATCH(ROUND(MIN(300,MAX(1,D629)),0), FactorTable!$A$2:$A$301,0), Skills!M20+1)</f>
        <v/>
      </c>
      <c r="F629">
        <f>IF(Skills!N20=TRUE,(Skills!L20/10)*(E629/1000),Skills!L20/10)+Skills!O20</f>
        <v/>
      </c>
      <c r="G629">
        <f>Skills!G20*IF(Skills!H20&gt;0,Skills!I20/Skills!H20,1)</f>
        <v/>
      </c>
      <c r="H629">
        <f>1-(1-Skills!J20/100)^Skills!K20</f>
        <v/>
      </c>
      <c r="I629" t="inlineStr">
        <is>
          <t>1</t>
        </is>
      </c>
      <c r="J629" t="inlineStr"/>
      <c r="K629" t="inlineStr"/>
      <c r="L629" t="inlineStr"/>
      <c r="M629" t="inlineStr"/>
      <c r="N629" t="inlineStr"/>
      <c r="O629" t="n">
        <v>0</v>
      </c>
      <c r="P629">
        <f>IF(B642=0,0,O629/B642)</f>
        <v/>
      </c>
      <c r="Q629" t="n">
        <v>0</v>
      </c>
      <c r="R629" t="n">
        <v>0</v>
      </c>
      <c r="S629">
        <f>IFERROR(O629/N629,0)</f>
        <v/>
      </c>
    </row>
    <row r="630">
      <c r="A630">
        <f>Skills!A21</f>
        <v/>
      </c>
      <c r="B630">
        <f>Skills!B21</f>
        <v/>
      </c>
      <c r="C630">
        <f>Inputs!$B$3&gt;=38</f>
        <v/>
      </c>
      <c r="D630">
        <f>IF(Skills!C21=1,60+(Inputs!$B$24+1)+Inputs!$B$28,IF(Skills!C21=2,90+Inputs!$B$25+Inputs!$B$28,IF(Skills!C21=3,120+Inputs!$B$26+Inputs!$B$28,MAX(0,(Inputs!$B$3-100)*3)+Inputs!$B$27+Inputs!$B$28)))</f>
        <v/>
      </c>
      <c r="E630">
        <f>INDEX(FactorTable!$B$2:$Y$301, MATCH(ROUND(MIN(300,MAX(1,D630)),0), FactorTable!$A$2:$A$301,0), Skills!M21+1)</f>
        <v/>
      </c>
      <c r="F630">
        <f>IF(Skills!N21=TRUE,(Skills!L21/10)*(E630/1000),Skills!L21/10)+Skills!O21</f>
        <v/>
      </c>
      <c r="G630">
        <f>Skills!G21*IF(Skills!H21&gt;0,Skills!I21/Skills!H21,1)</f>
        <v/>
      </c>
      <c r="H630">
        <f>1-(1-Skills!J21/100)^Skills!K21</f>
        <v/>
      </c>
      <c r="I630" t="inlineStr">
        <is>
          <t>1</t>
        </is>
      </c>
      <c r="J630" t="inlineStr"/>
      <c r="K630" t="inlineStr"/>
      <c r="L630" t="inlineStr"/>
      <c r="M630" t="inlineStr"/>
      <c r="N630" t="inlineStr"/>
      <c r="O630" t="n">
        <v>0</v>
      </c>
      <c r="P630">
        <f>IF(B642=0,0,O630/B642)</f>
        <v/>
      </c>
      <c r="Q630" t="n">
        <v>0</v>
      </c>
      <c r="R630" t="n">
        <v>0</v>
      </c>
      <c r="S630">
        <f>IFERROR(O630/N630,0)</f>
        <v/>
      </c>
    </row>
    <row r="631">
      <c r="A631">
        <f>Skills!A22</f>
        <v/>
      </c>
      <c r="B631">
        <f>Skills!B22</f>
        <v/>
      </c>
      <c r="C631">
        <f>Inputs!$B$3&gt;=75</f>
        <v/>
      </c>
      <c r="D631">
        <f>IF(Skills!C22=1,60+(Inputs!$B$24+1)+Inputs!$B$28,IF(Skills!C22=2,90+Inputs!$B$25+Inputs!$B$28,IF(Skills!C22=3,120+Inputs!$B$26+Inputs!$B$28,MAX(0,(Inputs!$B$3-100)*3)+Inputs!$B$27+Inputs!$B$28)))</f>
        <v/>
      </c>
      <c r="E631">
        <f>INDEX(FactorTable!$B$2:$Y$301, MATCH(ROUND(MIN(300,MAX(1,D631)),0), FactorTable!$A$2:$A$301,0), Skills!M22+1)</f>
        <v/>
      </c>
      <c r="F631">
        <f>IF(Skills!N22=TRUE,(Skills!L22/10)*(E631/1000),Skills!L22/10)+Skills!O22</f>
        <v/>
      </c>
      <c r="G631">
        <f>Skills!G22*IF(Skills!H22&gt;0,Skills!I22/Skills!H22,1)</f>
        <v/>
      </c>
      <c r="H631">
        <f>1-(1-Skills!J22/100)^Skills!K22</f>
        <v/>
      </c>
      <c r="I631" t="inlineStr">
        <is>
          <t>1</t>
        </is>
      </c>
      <c r="J631" t="inlineStr"/>
      <c r="K631" t="inlineStr"/>
      <c r="L631" t="inlineStr"/>
      <c r="M631" t="inlineStr"/>
      <c r="N631" t="inlineStr"/>
      <c r="O631" t="n">
        <v>0</v>
      </c>
      <c r="P631">
        <f>IF(B642=0,0,O631/B642)</f>
        <v/>
      </c>
      <c r="Q631" t="n">
        <v>0</v>
      </c>
      <c r="R631" t="n">
        <v>0</v>
      </c>
      <c r="S631">
        <f>IFERROR(O631/N631,0)</f>
        <v/>
      </c>
    </row>
    <row r="633">
      <c r="A633" t="inlineStr">
        <is>
          <t>Attack% Bucket Multiplier</t>
        </is>
      </c>
      <c r="B633">
        <f>(1+(((C622=TRUE)*F622)+((C628=TRUE)*(F628-Calc!F19)))/100)</f>
        <v/>
      </c>
    </row>
    <row r="634">
      <c r="A634" t="inlineStr">
        <is>
          <t>Global Crit Rate Bonus %</t>
        </is>
      </c>
      <c r="B634" t="n">
        <v>0</v>
      </c>
    </row>
    <row r="635">
      <c r="A635" t="inlineStr">
        <is>
          <t>Attack Speed Buff Bonus % (unused)</t>
        </is>
      </c>
      <c r="B635" t="n">
        <v>0</v>
      </c>
    </row>
    <row r="636">
      <c r="A636" t="inlineStr">
        <is>
          <t>Actions Per Second</t>
        </is>
      </c>
      <c r="B636">
        <f>1+MIN(150,150*(1-(1-(Inputs!$B$10+((C626=TRUE)*(F626-Calc!F17))+((C627=TRUE)*(F627-Calc!F18)))/150)*(1-B635/150)))/100</f>
        <v/>
      </c>
    </row>
    <row r="637">
      <c r="A637" t="inlineStr">
        <is>
          <t>Skill + Buff Cast Rate</t>
        </is>
      </c>
      <c r="B637">
        <f>IF(AND(Inputs!$B$4&lt;&gt;"pvp",Inputs!$B$35&gt;0),SUMPRODUCT((Skills!E2:E22=TRUE)*(C611:C631=TRUE)*R611:R631*Skills!F2:F22)/Inputs!$B$35,SUMPRODUCT((Skills!E2:E22=TRUE)*(C611:C631=TRUE)*Q611:Q631*Skills!F2:F22))</f>
        <v/>
      </c>
    </row>
    <row r="638">
      <c r="A638" t="inlineStr">
        <is>
          <t>Hook Bomber Casts Per Second</t>
        </is>
      </c>
      <c r="B638">
        <f>MAX(0,B636-B637)</f>
        <v/>
      </c>
    </row>
    <row r="639">
      <c r="A639" t="inlineStr">
        <is>
          <t>Global Critical Damage Bonus % (unused)</t>
        </is>
      </c>
      <c r="B639" t="n">
        <v>0</v>
      </c>
    </row>
    <row r="640">
      <c r="A640" t="inlineStr">
        <is>
          <t>Global Final Damage Bonus % (Serpent Scale + Crossbones + Time Leap + Speed Infusion)</t>
        </is>
      </c>
      <c r="B640">
        <f>((C614=TRUE)*F614*((10+IF(Inputs!$B$3&gt;=94,5,0))/((10+IF(Inputs!$B$3&gt;=94,5,0))+5/(B638*(1+IF(Inputs!$B$3&gt;=104,1,0))))))+((C623=TRUE)*F623)+((C624=TRUE)*F624)+((Inputs!$B$3&gt;=110)*20*(B636-1))</f>
        <v/>
      </c>
    </row>
    <row r="642">
      <c r="A642" s="5" t="inlineStr">
        <is>
          <t>TOTAL DPS</t>
        </is>
      </c>
      <c r="B642" s="5">
        <f>SUM(O611:O631)</f>
        <v/>
      </c>
    </row>
    <row r="645">
      <c r="A645" s="5" t="inlineStr">
        <is>
          <t>Stat: Skill Level Bonus — 2nd Job</t>
        </is>
      </c>
    </row>
    <row r="646">
      <c r="A646" s="8" t="inlineStr">
        <is>
          <t>Key</t>
        </is>
      </c>
      <c r="B646" s="8" t="inlineStr">
        <is>
          <t>Name</t>
        </is>
      </c>
      <c r="C646" s="8" t="inlineStr">
        <is>
          <t>Unlocked</t>
        </is>
      </c>
      <c r="D646" s="8" t="inlineStr">
        <is>
          <t>InputLevel</t>
        </is>
      </c>
      <c r="E646" s="8" t="inlineStr">
        <is>
          <t>Factor</t>
        </is>
      </c>
      <c r="F646" s="8" t="inlineStr">
        <is>
          <t>CoefficientPercent</t>
        </is>
      </c>
      <c r="G646" s="8" t="inlineStr">
        <is>
          <t>EffectiveHits</t>
        </is>
      </c>
      <c r="H646" s="8" t="inlineStr">
        <is>
          <t>ProcProbability</t>
        </is>
      </c>
      <c r="I646" s="8" t="inlineStr">
        <is>
          <t>MapleHeroMultiplier</t>
        </is>
      </c>
      <c r="J646" s="8" t="inlineStr">
        <is>
          <t>BaseDamage</t>
        </is>
      </c>
      <c r="K646" s="8" t="inlineStr">
        <is>
          <t>BaseHitDamage</t>
        </is>
      </c>
      <c r="L646" s="8" t="inlineStr">
        <is>
          <t>NonCritAvg</t>
        </is>
      </c>
      <c r="M646" s="8" t="inlineStr">
        <is>
          <t>CritAvg</t>
        </is>
      </c>
      <c r="N646" s="8" t="inlineStr">
        <is>
          <t>ExpectedDamage(perHit)</t>
        </is>
      </c>
      <c r="O646" s="8" t="inlineStr">
        <is>
          <t>DPS</t>
        </is>
      </c>
      <c r="P646" s="8" t="inlineStr">
        <is>
          <t>% of Total</t>
        </is>
      </c>
      <c r="Q646" s="8" t="inlineStr">
        <is>
          <t>InvCooldown</t>
        </is>
      </c>
      <c r="R646" s="8" t="inlineStr">
        <is>
          <t>CastsInFight</t>
        </is>
      </c>
      <c r="S646" s="8" t="inlineStr">
        <is>
          <t>HitRate(perSec)</t>
        </is>
      </c>
      <c r="U646" t="inlineStr">
        <is>
          <t>helpers</t>
        </is>
      </c>
    </row>
    <row r="647">
      <c r="A647">
        <f>Skills!A2</f>
        <v/>
      </c>
      <c r="B647">
        <f>Skills!B2</f>
        <v/>
      </c>
      <c r="C647">
        <f>Inputs!$B$3&gt;=100</f>
        <v/>
      </c>
      <c r="D647" t="inlineStr"/>
      <c r="E647" t="inlineStr"/>
      <c r="F647">
        <f>U649+Skills!O2</f>
        <v/>
      </c>
      <c r="G647">
        <f>Skills!G2*IF(Skills!H2&gt;0,Skills!I2/Skills!H2,1)</f>
        <v/>
      </c>
      <c r="H647">
        <f>1-(1-Skills!J2/100)^Skills!K2</f>
        <v/>
      </c>
      <c r="I647" t="inlineStr">
        <is>
          <t>1</t>
        </is>
      </c>
      <c r="J647">
        <f>(Inputs!$B$5*(1+Inputs!$B$6/100))*(F647/100)</f>
        <v/>
      </c>
      <c r="K647">
        <f>J647*(1+((Inputs!$B$11*(1+Inputs!$B$12/100))*0.01+Inputs!$B$13*0.0025)/100)*(1+Inputs!$B$14/100)*(1+IF(Inputs!$B$4="pvp",0,(1-Summary!$B$55)*(Inputs!$B$19+0+Skills!P2)+Summary!$B$55*(Inputs!$B$20+Skills!Q2))/100)*(1+Inputs!$B$15/100)*(5000/(6000+Inputs!$B$7*(1-(Inputs!$B$18+0)/100)))*(1+(Inputs!$B$23+((C667=TRUE)*(F667-Calc!F22))+B676)/100)*(1+(IF(Skills!A2="HOOK_BOMBER",Inputs!$B$16+((C666=TRUE)*(F666-Calc!F21)),Inputs!$B$17+0))/100)*((1+(((C658=TRUE)*F658)+((C664=TRUE)*(F664-Calc!F19)))/100)*I647)</f>
        <v/>
      </c>
      <c r="L647">
        <f>K647*(MIN(Inputs!$B$21+((C665=TRUE)*(F665-Calc!F20)),Inputs!$B$22+0)/100+(Inputs!$B$22+0)/100)/2</f>
        <v/>
      </c>
      <c r="M647">
        <f>L647*(1+(Inputs!$B$9+0+B675)/100)</f>
        <v/>
      </c>
      <c r="N647">
        <f>L647*(1-MIN((Inputs!$B$8+((C661=TRUE)*(F661-Calc!F16))+B670),100)/100)+M647*(MIN((Inputs!$B$8+((C661=TRUE)*(F661-Calc!F16))+B670),100)/100)</f>
        <v/>
      </c>
      <c r="O647">
        <f>IF(C647,Skills!G2*N647*B674*IF(Inputs!$B$4="pvp",1,(1-Summary!$B$55)*(1)+Summary!$B$55*(MIN((6+Inputs!$B$32),Inputs!$B$37))),0)</f>
        <v/>
      </c>
      <c r="P647">
        <f>IF(B678=0,0,O647/B678)</f>
        <v/>
      </c>
      <c r="Q647" t="n">
        <v>0</v>
      </c>
      <c r="R647" t="n">
        <v>0</v>
      </c>
      <c r="S647">
        <f>IFERROR(O647/N647,0)</f>
        <v/>
      </c>
      <c r="U647">
        <f>MAX(0,(Inputs!$B$3-100)*3)+Inputs!$B$27+Inputs!$B$28</f>
        <v/>
      </c>
    </row>
    <row r="648">
      <c r="A648">
        <f>Skills!A3</f>
        <v/>
      </c>
      <c r="B648">
        <f>Skills!B3</f>
        <v/>
      </c>
      <c r="C648">
        <f>Inputs!$B$3&gt;=35</f>
        <v/>
      </c>
      <c r="D648">
        <f>IF(Skills!C3=1,60+Inputs!$B$24+Inputs!$B$28,IF(Skills!C3=2,90+(Inputs!$B$25+1)+Inputs!$B$28,IF(Skills!C3=3,120+Inputs!$B$26+Inputs!$B$28,MAX(0,(Inputs!$B$3-100)*3)+Inputs!$B$27+Inputs!$B$28)))</f>
        <v/>
      </c>
      <c r="E648">
        <f>INDEX(FactorTable!$B$2:$Y$301, MATCH(ROUND(MIN(300,MAX(1,D648)),0), FactorTable!$A$2:$A$301,0), Skills!M3+1)</f>
        <v/>
      </c>
      <c r="F648">
        <f>IF(Skills!N3=TRUE,(Skills!L3/10)*(E648/1000),Skills!L3/10)+Skills!O3</f>
        <v/>
      </c>
      <c r="G648">
        <f>Skills!G3*IF(Skills!H3&gt;0,Skills!I3/Skills!H3,1)</f>
        <v/>
      </c>
      <c r="H648">
        <f>1-(1-Skills!J3/100)^Skills!K3</f>
        <v/>
      </c>
      <c r="I648" t="inlineStr">
        <is>
          <t>1</t>
        </is>
      </c>
      <c r="J648">
        <f>(Inputs!$B$5*(1+Inputs!$B$6/100))*(F648/100)</f>
        <v/>
      </c>
      <c r="K648">
        <f>J648*(1+((Inputs!$B$11*(1+Inputs!$B$12/100))*0.01+Inputs!$B$13*0.0025)/100)*(1+Inputs!$B$14/100)*(1+IF(Inputs!$B$4="pvp",0,(1-Summary!$B$55)*(Inputs!$B$19+0+Skills!P3)+Summary!$B$55*(Inputs!$B$20+Skills!Q3))/100)*(1+Inputs!$B$15/100)*(5000/(6000+Inputs!$B$7*(1-(Inputs!$B$18+0)/100)))*(1+(Inputs!$B$23+((C667=TRUE)*(F667-Calc!F22))+B676)/100)*(1+(IF(Skills!A3="HOOK_BOMBER",Inputs!$B$16+((C666=TRUE)*(F666-Calc!F21)),Inputs!$B$17+0))/100)*((1+(((C658=TRUE)*F658)+((C664=TRUE)*(F664-Calc!F19)))/100)*I648)</f>
        <v/>
      </c>
      <c r="L648">
        <f>K648*(MIN(Inputs!$B$21+((C665=TRUE)*(F665-Calc!F20)),Inputs!$B$22+0)/100+(Inputs!$B$22+0)/100)/2</f>
        <v/>
      </c>
      <c r="M648">
        <f>L648*(1+(Inputs!$B$9+0+B675)/100)</f>
        <v/>
      </c>
      <c r="N648">
        <f>L648*(1-MIN((Inputs!$B$8+((C661=TRUE)*(F661-Calc!F16))+B670),100)/100)+M648*(MIN((Inputs!$B$8+((C661=TRUE)*(F661-Calc!F16))+B670),100)/100)</f>
        <v/>
      </c>
      <c r="O648">
        <f>IF(C648,Skills!G3*H648*N648*B674*IF(Inputs!$B$4="pvp",1,(1-Summary!$B$55)*(1)+Summary!$B$55*(MIN(Skills!R3,Inputs!$B$37))),0)</f>
        <v/>
      </c>
      <c r="P648">
        <f>IF(B678=0,0,O648/B678)</f>
        <v/>
      </c>
      <c r="Q648" t="n">
        <v>0</v>
      </c>
      <c r="R648" t="n">
        <v>0</v>
      </c>
      <c r="S648">
        <f>IFERROR(O648/N648,0)</f>
        <v/>
      </c>
      <c r="U648">
        <f>INDEX(FactorTable!$B$2:$Y$301, MATCH(ROUND(MIN(300,MAX(1,U647)),0), FactorTable!$A$2:$A$301,0), 22)</f>
        <v/>
      </c>
    </row>
    <row r="649">
      <c r="A649">
        <f>Skills!A4</f>
        <v/>
      </c>
      <c r="B649">
        <f>Skills!B4</f>
        <v/>
      </c>
      <c r="C649">
        <f>Inputs!$B$3&gt;=60</f>
        <v/>
      </c>
      <c r="D649">
        <f>IF(Skills!C4=1,60+Inputs!$B$24+Inputs!$B$28,IF(Skills!C4=2,90+(Inputs!$B$25+1)+Inputs!$B$28,IF(Skills!C4=3,120+Inputs!$B$26+Inputs!$B$28,MAX(0,(Inputs!$B$3-100)*3)+Inputs!$B$27+Inputs!$B$28)))</f>
        <v/>
      </c>
      <c r="E649">
        <f>INDEX(FactorTable!$B$2:$Y$301, MATCH(ROUND(MIN(300,MAX(1,D649)),0), FactorTable!$A$2:$A$301,0), Skills!M4+1)</f>
        <v/>
      </c>
      <c r="F649">
        <f>IF(Skills!N4=TRUE,(Skills!L4/10)*(E649/1000),Skills!L4/10)+Skills!O4</f>
        <v/>
      </c>
      <c r="G649">
        <f>Skills!G4*IF(Skills!H4&gt;0,Skills!I4/Skills!H4,1)</f>
        <v/>
      </c>
      <c r="H649">
        <f>1-(1-Skills!J4/100)^Skills!K4</f>
        <v/>
      </c>
      <c r="I649" t="inlineStr">
        <is>
          <t>1</t>
        </is>
      </c>
      <c r="J649">
        <f>(Inputs!$B$5*(1+Inputs!$B$6/100))*(F649/100)</f>
        <v/>
      </c>
      <c r="K649">
        <f>J649*(1+((Inputs!$B$11*(1+Inputs!$B$12/100))*0.01+Inputs!$B$13*0.0025)/100)*(1+Inputs!$B$14/100)*(1+IF(Inputs!$B$4="pvp",0,(1-Summary!$B$55)*(Inputs!$B$19+0+Skills!P4)+Summary!$B$55*(Inputs!$B$20+Skills!Q4))/100)*(1+Inputs!$B$15/100)*(5000/(6000+Inputs!$B$7*(1-(Inputs!$B$18+0)/100)))*(1+(Inputs!$B$23+((C667=TRUE)*(F667-Calc!F22))+B676)/100)*(1+1.0*IF(C657=TRUE,F657,0)/100)*(1+(IF(Skills!A4="HOOK_BOMBER",Inputs!$B$16+((C666=TRUE)*(F666-Calc!F21)),Inputs!$B$17+0))/100)*((1+(((C658=TRUE)*F658)+((C664=TRUE)*(F664-Calc!F19)))/100)*I649)</f>
        <v/>
      </c>
      <c r="L649">
        <f>K649*(MIN(Inputs!$B$21+((C665=TRUE)*(F665-Calc!F20)),Inputs!$B$22+0)/100+(Inputs!$B$22+0)/100)/2</f>
        <v/>
      </c>
      <c r="M649">
        <f>L649*(1+(Inputs!$B$9+0+B675)/100)</f>
        <v/>
      </c>
      <c r="N649">
        <f>L649*(1-MIN((Inputs!$B$8+((C661=TRUE)*(F661-Calc!F16))+B670),100)/100)+M649*(MIN((Inputs!$B$8+((C661=TRUE)*(F661-Calc!F16))+B670),100)/100)</f>
        <v/>
      </c>
      <c r="O649">
        <f>IF(C649,Skills!G4*H649*N649*B674*IF(Inputs!$B$4="pvp",1,(1-Summary!$B$55)*(1)+Summary!$B$55*(MIN(Skills!R4,Inputs!$B$37))),0)</f>
        <v/>
      </c>
      <c r="P649">
        <f>IF(B678=0,0,O649/B678)</f>
        <v/>
      </c>
      <c r="Q649" t="n">
        <v>0</v>
      </c>
      <c r="R649" t="n">
        <v>0</v>
      </c>
      <c r="S649">
        <f>IFERROR(O649/N649,0)</f>
        <v/>
      </c>
      <c r="U649">
        <f>290*U648/1000</f>
        <v/>
      </c>
    </row>
    <row r="650">
      <c r="A650">
        <f>Skills!A5</f>
        <v/>
      </c>
      <c r="B650">
        <f>Skills!B5</f>
        <v/>
      </c>
      <c r="C650">
        <f>Inputs!$B$3&gt;=60</f>
        <v/>
      </c>
      <c r="D650">
        <f>IF(Skills!C5=1,60+Inputs!$B$24+Inputs!$B$28,IF(Skills!C5=2,90+(Inputs!$B$25+1)+Inputs!$B$28,IF(Skills!C5=3,120+Inputs!$B$26+Inputs!$B$28,MAX(0,(Inputs!$B$3-100)*3)+Inputs!$B$27+Inputs!$B$28)))</f>
        <v/>
      </c>
      <c r="E650">
        <f>INDEX(FactorTable!$B$2:$Y$301, MATCH(ROUND(MIN(300,MAX(1,D650)),0), FactorTable!$A$2:$A$301,0), Skills!M5+1)</f>
        <v/>
      </c>
      <c r="F650">
        <f>IF(Skills!N5=TRUE,(Skills!L5/10)*(E650/1000),Skills!L5/10)+Skills!O5</f>
        <v/>
      </c>
      <c r="G650">
        <f>Skills!G5*IF(Skills!H5&gt;0,Skills!I5/Skills!H5,1)</f>
        <v/>
      </c>
      <c r="H650">
        <f>1-(1-Skills!J5/100)^Skills!K5</f>
        <v/>
      </c>
      <c r="I650" t="inlineStr">
        <is>
          <t>1</t>
        </is>
      </c>
      <c r="J650" t="inlineStr"/>
      <c r="K650" t="inlineStr"/>
      <c r="L650" t="inlineStr"/>
      <c r="M650" t="inlineStr"/>
      <c r="N650" t="inlineStr"/>
      <c r="O650" t="n">
        <v>0</v>
      </c>
      <c r="P650">
        <f>IF(B678=0,0,O650/B678)</f>
        <v/>
      </c>
      <c r="Q650" t="n">
        <v>0</v>
      </c>
      <c r="R650" t="n">
        <v>0</v>
      </c>
      <c r="S650">
        <f>IFERROR(O650/N650,0)</f>
        <v/>
      </c>
    </row>
    <row r="651">
      <c r="A651">
        <f>Skills!A6</f>
        <v/>
      </c>
      <c r="B651">
        <f>Skills!B6</f>
        <v/>
      </c>
      <c r="C651">
        <f>Inputs!$B$3&gt;=63</f>
        <v/>
      </c>
      <c r="D651">
        <f>IF(Skills!C6=1,60+Inputs!$B$24+Inputs!$B$28,IF(Skills!C6=2,90+(Inputs!$B$25+1)+Inputs!$B$28,IF(Skills!C6=3,120+Inputs!$B$26+Inputs!$B$28,MAX(0,(Inputs!$B$3-100)*3)+Inputs!$B$27+Inputs!$B$28)))</f>
        <v/>
      </c>
      <c r="E651">
        <f>INDEX(FactorTable!$B$2:$Y$301, MATCH(ROUND(MIN(300,MAX(1,D651)),0), FactorTable!$A$2:$A$301,0), Skills!M6+1)</f>
        <v/>
      </c>
      <c r="F651">
        <f>IF(Skills!N6=TRUE,(Skills!L6/10)*(E651/1000),Skills!L6/10)+Skills!O6</f>
        <v/>
      </c>
      <c r="G651">
        <f>Skills!G6*IF(Skills!H6&gt;0,Skills!I6/Skills!H6,1)</f>
        <v/>
      </c>
      <c r="H651">
        <f>1-(1-Skills!J6/100)^Skills!K6</f>
        <v/>
      </c>
      <c r="I651" t="inlineStr">
        <is>
          <t>1</t>
        </is>
      </c>
      <c r="J651">
        <f>(Inputs!$B$5*(1+Inputs!$B$6/100))*(F651/100)</f>
        <v/>
      </c>
      <c r="K651">
        <f>J651*(1+((Inputs!$B$11*(1+Inputs!$B$12/100))*0.01+Inputs!$B$13*0.0025)/100)*(1+Inputs!$B$14/100)*(1+IF(Inputs!$B$4="pvp",0,(1-Summary!$B$55)*(Inputs!$B$19+0+Skills!P6)+Summary!$B$55*(Inputs!$B$20+Skills!Q6))/100)*(1+Inputs!$B$15/100)*(5000/(6000+Inputs!$B$7*(1-(Inputs!$B$18+0)/100)))*(1+(Inputs!$B$23+((C667=TRUE)*(F667-Calc!F22))+B676)/100)*(1+(IF(Skills!A6="HOOK_BOMBER",Inputs!$B$16+((C666=TRUE)*(F666-Calc!F21)),Inputs!$B$17+0))/100)*((1+(((C658=TRUE)*F658)+((C664=TRUE)*(F664-Calc!F19)))/100)*I651)</f>
        <v/>
      </c>
      <c r="L651">
        <f>K651*(MIN(Inputs!$B$21+((C665=TRUE)*(F665-Calc!F20)),Inputs!$B$22+0)/100+(Inputs!$B$22+0)/100)/2</f>
        <v/>
      </c>
      <c r="M651">
        <f>L651*(1+(Inputs!$B$9+0+B675)/100)</f>
        <v/>
      </c>
      <c r="N651">
        <f>L651*(1-MIN((Inputs!$B$8+((C661=TRUE)*(F661-Calc!F16))+B670),100)/100)+M651*(MIN((Inputs!$B$8+((C661=TRUE)*(F661-Calc!F16))+B670),100)/100)</f>
        <v/>
      </c>
      <c r="O651">
        <f>IF(C651,H651*N651*IF(AND(Inputs!$B$4&lt;&gt;"pvp",Inputs!$B$35&gt;0),((Skills!G6*((R651-1)*IF(Skills!H6&gt;0,Skills!I6/Skills!H6,1)+IF(Skills!H6&gt;0,MIN(Skills!I6,MAX(0,Inputs!$B$35-((R651-1)*IF(Inputs!$B$4="pvp",15,MAX(0.1,Skills!D6-IF(Skills!E6=TRUE,Inputs!$B$31,0))))))/Skills!H6,1)))/Inputs!$B$35),G651*Q651)*IF(Inputs!$B$4="pvp",1,(1-Summary!$B$55)*(1)+Summary!$B$55*(MIN(Skills!R6,Inputs!$B$37))),0)</f>
        <v/>
      </c>
      <c r="P651">
        <f>IF(B678=0,0,O651/B678)</f>
        <v/>
      </c>
      <c r="Q651">
        <f>IFERROR(1/IF(Inputs!$B$4="pvp",15,MAX(0.1,Skills!D6-IF(Skills!E6=TRUE,Inputs!$B$31,0))),0)</f>
        <v/>
      </c>
      <c r="R651">
        <f>IF(AND(Inputs!$B$4&lt;&gt;"pvp",Inputs!$B$35&gt;0),(INT(Inputs!$B$35/IF(Inputs!$B$4="pvp",15,MAX(0.1,Skills!D6-IF(Skills!E6=TRUE,Inputs!$B$31,0))))+1),0)</f>
        <v/>
      </c>
      <c r="S651">
        <f>IFERROR(O651/N651,0)</f>
        <v/>
      </c>
    </row>
    <row r="652">
      <c r="A652">
        <f>Skills!A7</f>
        <v/>
      </c>
      <c r="B652">
        <f>Skills!B7</f>
        <v/>
      </c>
      <c r="C652">
        <f>Inputs!$B$3&gt;=100</f>
        <v/>
      </c>
      <c r="D652">
        <f>IF(Skills!C7=1,60+Inputs!$B$24+Inputs!$B$28,IF(Skills!C7=2,90+(Inputs!$B$25+1)+Inputs!$B$28,IF(Skills!C7=3,120+Inputs!$B$26+Inputs!$B$28,MAX(0,(Inputs!$B$3-100)*3)+Inputs!$B$27+Inputs!$B$28)))</f>
        <v/>
      </c>
      <c r="E652">
        <f>INDEX(FactorTable!$B$2:$Y$301, MATCH(ROUND(MIN(300,MAX(1,D652)),0), FactorTable!$A$2:$A$301,0), Skills!M7+1)</f>
        <v/>
      </c>
      <c r="F652">
        <f>IF(Skills!N7=TRUE,(Skills!L7/10)*(E652/1000),Skills!L7/10)+Skills!O7</f>
        <v/>
      </c>
      <c r="G652">
        <f>Skills!G7*IF(Skills!H7&gt;0,Skills!I7/Skills!H7,1)</f>
        <v/>
      </c>
      <c r="H652">
        <f>1-(1-Skills!J7/100)^Skills!K7</f>
        <v/>
      </c>
      <c r="I652" t="inlineStr">
        <is>
          <t>1</t>
        </is>
      </c>
      <c r="J652">
        <f>(Inputs!$B$5*(1+Inputs!$B$6/100))*(F652/100)</f>
        <v/>
      </c>
      <c r="K652">
        <f>J652*(1+((Inputs!$B$11*(1+Inputs!$B$12/100))*0.01+Inputs!$B$13*0.0025)/100)*(1+Inputs!$B$14/100)*(1+IF(Inputs!$B$4="pvp",0,(1-Summary!$B$55)*(Inputs!$B$19+0+Skills!P7)+Summary!$B$55*(Inputs!$B$20+Skills!Q7))/100)*(1+Inputs!$B$15/100)*(5000/(6000+Inputs!$B$7*(1-(Inputs!$B$18+0)/100)))*(1+(Inputs!$B$23+((C667=TRUE)*(F667-Calc!F22))+B676)/100)*(1+(IF(Skills!A7="HOOK_BOMBER",Inputs!$B$16+((C666=TRUE)*(F666-Calc!F21)),Inputs!$B$17+0))/100)*((1+(((C658=TRUE)*F658)+((C664=TRUE)*(F664-Calc!F19)))/100)*I652)</f>
        <v/>
      </c>
      <c r="L652">
        <f>K652*(MIN(Inputs!$B$21+((C665=TRUE)*(F665-Calc!F20)),Inputs!$B$22+0)/100+(Inputs!$B$22+0)/100)/2</f>
        <v/>
      </c>
      <c r="M652">
        <f>L652*(1+(Inputs!$B$9+0+B675)/100)</f>
        <v/>
      </c>
      <c r="N652">
        <f>L652*(1-MIN((Inputs!$B$8+((C661=TRUE)*(F661-Calc!F16))+B670),100)/100)+M652*(MIN((Inputs!$B$8+((C661=TRUE)*(F661-Calc!F16))+B670),100)/100)</f>
        <v/>
      </c>
      <c r="O652">
        <f>IF(C652,H652*N652*IF(AND(Inputs!$B$4&lt;&gt;"pvp",Inputs!$B$35&gt;0),((Skills!G7*((R652-1)*IF(Skills!H7&gt;0,Skills!I7/Skills!H7,1)+IF(Skills!H7&gt;0,MIN(Skills!I7,MAX(0,Inputs!$B$35-((R652-1)*IF(Inputs!$B$4="pvp",15,MAX(0.1,Skills!D7-IF(Skills!E7=TRUE,Inputs!$B$31,0))))))/Skills!H7,1)))/Inputs!$B$35),G652*Q652)*IF(Inputs!$B$4="pvp",1,(1-Summary!$B$55)*(1)+Summary!$B$55*(MIN(Skills!R7,Inputs!$B$37))),0)</f>
        <v/>
      </c>
      <c r="P652">
        <f>IF(B678=0,0,O652/B678)</f>
        <v/>
      </c>
      <c r="Q652">
        <f>IFERROR(1/IF(Inputs!$B$4="pvp",15,MAX(0.1,Skills!D7-IF(Skills!E7=TRUE,Inputs!$B$31,0))),0)</f>
        <v/>
      </c>
      <c r="R652">
        <f>IF(AND(Inputs!$B$4&lt;&gt;"pvp",Inputs!$B$35&gt;0),(INT(Inputs!$B$35/IF(Inputs!$B$4="pvp",15,MAX(0.1,Skills!D7-IF(Skills!E7=TRUE,Inputs!$B$31,0))))+1),0)</f>
        <v/>
      </c>
      <c r="S652">
        <f>IFERROR(O652/N652,0)</f>
        <v/>
      </c>
    </row>
    <row r="653">
      <c r="A653">
        <f>Skills!A8</f>
        <v/>
      </c>
      <c r="B653">
        <f>Skills!B8</f>
        <v/>
      </c>
      <c r="C653">
        <f>Inputs!$B$3&gt;=110</f>
        <v/>
      </c>
      <c r="D653">
        <f>IF(Skills!C8=1,60+Inputs!$B$24+Inputs!$B$28,IF(Skills!C8=2,90+(Inputs!$B$25+1)+Inputs!$B$28,IF(Skills!C8=3,120+Inputs!$B$26+Inputs!$B$28,MAX(0,(Inputs!$B$3-100)*3)+Inputs!$B$27+Inputs!$B$28)))</f>
        <v/>
      </c>
      <c r="E653">
        <f>INDEX(FactorTable!$B$2:$Y$301, MATCH(ROUND(MIN(300,MAX(1,D653)),0), FactorTable!$A$2:$A$301,0), Skills!M8+1)</f>
        <v/>
      </c>
      <c r="F653">
        <f>IF(Skills!N8=TRUE,(Skills!L8/10)*(E653/1000),Skills!L8/10)+Skills!O8</f>
        <v/>
      </c>
      <c r="G653">
        <f>Skills!G8*IF(Skills!H8&gt;0,Skills!I8/Skills!H8,1)</f>
        <v/>
      </c>
      <c r="H653">
        <f>1-(1-Skills!J8/100)^Skills!K8</f>
        <v/>
      </c>
      <c r="I653" t="inlineStr">
        <is>
          <t>1</t>
        </is>
      </c>
      <c r="J653">
        <f>(Inputs!$B$5*(1+Inputs!$B$6/100))*(F653/100)</f>
        <v/>
      </c>
      <c r="K653">
        <f>J653*(1+((Inputs!$B$11*(1+Inputs!$B$12/100))*0.01+Inputs!$B$13*0.0025)/100)*(1+Inputs!$B$14/100)*(1+IF(Inputs!$B$4="pvp",0,(1-Summary!$B$55)*(Inputs!$B$19+0+Skills!P8)+Summary!$B$55*(Inputs!$B$20+Skills!Q8))/100)*(1+Inputs!$B$15/100)*(5000/(6000+Inputs!$B$7*(1-(Inputs!$B$18+0)/100)))*(1+(Inputs!$B$23+((C667=TRUE)*(F667-Calc!F22))+B676)/100)*(1+(IF(Skills!A8="HOOK_BOMBER",Inputs!$B$16+((C666=TRUE)*(F666-Calc!F21)),Inputs!$B$17+0))/100)*((1+(((C658=TRUE)*F658)+((C664=TRUE)*(F664-Calc!F19)))/100)*I653)</f>
        <v/>
      </c>
      <c r="L653">
        <f>K653*(MIN(Inputs!$B$21+((C665=TRUE)*(F665-Calc!F20)),Inputs!$B$22+0)/100+(Inputs!$B$22+0)/100)/2</f>
        <v/>
      </c>
      <c r="M653">
        <f>L653*(1+(Inputs!$B$9+0+B675)/100)</f>
        <v/>
      </c>
      <c r="N653">
        <f>L653*(1-MIN((Inputs!$B$8+((C661=TRUE)*(F661-Calc!F16))+B670),100)/100)+M653*(MIN((Inputs!$B$8+((C661=TRUE)*(F661-Calc!F16))+B670),100)/100)</f>
        <v/>
      </c>
      <c r="O653">
        <f>IF(C653,H653*N653*IF(AND(Inputs!$B$4&lt;&gt;"pvp",Inputs!$B$35&gt;0),((Skills!G8*((R653-1)*IF(Skills!H8&gt;0,Skills!I8/Skills!H8,1)+IF(Skills!H8&gt;0,MIN(Skills!I8,MAX(0,Inputs!$B$35-((R653-1)*IF(Inputs!$B$4="pvp",15,MAX(0.1,Skills!D8-IF(Skills!E8=TRUE,Inputs!$B$31,0))))))/Skills!H8,1)))/Inputs!$B$35),G653*Q653)*IF(Inputs!$B$4="pvp",1,(1-Summary!$B$55)*(1)+Summary!$B$55*(MIN(Skills!R8,Inputs!$B$37))),0)</f>
        <v/>
      </c>
      <c r="P653">
        <f>IF(B678=0,0,O653/B678)</f>
        <v/>
      </c>
      <c r="Q653">
        <f>IFERROR(1/IF(Inputs!$B$4="pvp",15,MAX(0.1,Skills!D8-IF(Skills!E8=TRUE,Inputs!$B$31,0))),0)</f>
        <v/>
      </c>
      <c r="R653">
        <f>IF(AND(Inputs!$B$4&lt;&gt;"pvp",Inputs!$B$35&gt;0),(INT(Inputs!$B$35/IF(Inputs!$B$4="pvp",15,MAX(0.1,Skills!D8-IF(Skills!E8=TRUE,Inputs!$B$31,0))))+1),0)</f>
        <v/>
      </c>
      <c r="S653">
        <f>IFERROR(O653/N653,0)</f>
        <v/>
      </c>
    </row>
    <row r="654">
      <c r="A654">
        <f>Skills!A9</f>
        <v/>
      </c>
      <c r="B654">
        <f>Skills!B9</f>
        <v/>
      </c>
      <c r="C654">
        <f>Inputs!$B$3&gt;=110</f>
        <v/>
      </c>
      <c r="D654">
        <f>IF(Skills!C9=1,60+Inputs!$B$24+Inputs!$B$28,IF(Skills!C9=2,90+(Inputs!$B$25+1)+Inputs!$B$28,IF(Skills!C9=3,120+Inputs!$B$26+Inputs!$B$28,MAX(0,(Inputs!$B$3-100)*3)+Inputs!$B$27+Inputs!$B$28)))</f>
        <v/>
      </c>
      <c r="E654">
        <f>INDEX(FactorTable!$B$2:$Y$301, MATCH(ROUND(MIN(300,MAX(1,D654)),0), FactorTable!$A$2:$A$301,0), Skills!M9+1)</f>
        <v/>
      </c>
      <c r="F654">
        <f>IF(Skills!N9=TRUE,(Skills!L9/10)*(E654/1000),Skills!L9/10)+Skills!O9</f>
        <v/>
      </c>
      <c r="G654">
        <f>Skills!G9*IF(Skills!H9&gt;0,Skills!I9/Skills!H9,1)</f>
        <v/>
      </c>
      <c r="H654">
        <f>1-(1-Skills!J9/100)^Skills!K9</f>
        <v/>
      </c>
      <c r="I654" t="inlineStr">
        <is>
          <t>1</t>
        </is>
      </c>
      <c r="J654">
        <f>(Inputs!$B$5*(1+Inputs!$B$6/100))*(F654/100)</f>
        <v/>
      </c>
      <c r="K654">
        <f>J654*(1+((Inputs!$B$11*(1+Inputs!$B$12/100))*0.01+Inputs!$B$13*0.0025)/100)*(1+Inputs!$B$14/100)*(1+IF(Inputs!$B$4="pvp",0,(1-Summary!$B$55)*(Inputs!$B$19+0+Skills!P9)+Summary!$B$55*(Inputs!$B$20+Skills!Q9))/100)*(1+Inputs!$B$15/100)*(5000/(6000+Inputs!$B$7*(1-(Inputs!$B$18+0)/100)))*(1+(Inputs!$B$23+((C667=TRUE)*(F667-Calc!F22))+B676)/100)*(1+(IF(Skills!A9="HOOK_BOMBER",Inputs!$B$16+((C666=TRUE)*(F666-Calc!F21)),Inputs!$B$17+0))/100)*((1+(((C658=TRUE)*F658)+((C664=TRUE)*(F664-Calc!F19)))/100)*I654)</f>
        <v/>
      </c>
      <c r="L654">
        <f>K654*(MIN(Inputs!$B$21+((C665=TRUE)*(F665-Calc!F20)),Inputs!$B$22+0)/100+(Inputs!$B$22+0)/100)/2</f>
        <v/>
      </c>
      <c r="M654">
        <f>L654*(1+(Inputs!$B$9+0+B675)/100)</f>
        <v/>
      </c>
      <c r="N654">
        <f>L654*(1-MIN((Inputs!$B$8+((C661=TRUE)*(F661-Calc!F16))+B670),100)/100)+M654*(MIN((Inputs!$B$8+((C661=TRUE)*(F661-Calc!F16))+B670),100)/100)</f>
        <v/>
      </c>
      <c r="O654">
        <f>IF(C654,H654*N654*IF(AND(Inputs!$B$4&lt;&gt;"pvp",Inputs!$B$35&gt;0),((Skills!G9*((R654-1)*IF(Skills!H9&gt;0,Skills!I9/Skills!H9,1)+IF(Skills!H9&gt;0,MIN(Skills!I9,MAX(0,Inputs!$B$35-((R654-1)*IF(Inputs!$B$4="pvp",15,MAX(0.1,Skills!D9-IF(Skills!E9=TRUE,Inputs!$B$31,0))))))/Skills!H9,1)))/Inputs!$B$35),G654*Q654)*IF(Inputs!$B$4="pvp",1,(1-Summary!$B$55)*(1)+Summary!$B$55*(MIN(Skills!R9,Inputs!$B$37))),0)</f>
        <v/>
      </c>
      <c r="P654">
        <f>IF(B678=0,0,O654/B678)</f>
        <v/>
      </c>
      <c r="Q654">
        <f>IFERROR(1/IF(Inputs!$B$4="pvp",15,MAX(0.1,Skills!D9-IF(Skills!E9=TRUE,Inputs!$B$31,0))),0)</f>
        <v/>
      </c>
      <c r="R654">
        <f>IF(AND(Inputs!$B$4&lt;&gt;"pvp",Inputs!$B$35&gt;0),(INT(Inputs!$B$35/IF(Inputs!$B$4="pvp",15,MAX(0.1,Skills!D9-IF(Skills!E9=TRUE,Inputs!$B$31,0))))+1),0)</f>
        <v/>
      </c>
      <c r="S654">
        <f>IFERROR(O654/N654,0)</f>
        <v/>
      </c>
    </row>
    <row r="655">
      <c r="A655">
        <f>Skills!A10</f>
        <v/>
      </c>
      <c r="B655">
        <f>Skills!B10</f>
        <v/>
      </c>
      <c r="C655">
        <f>Inputs!$B$3&gt;=103</f>
        <v/>
      </c>
      <c r="D655">
        <f>IF(Skills!C10=1,60+Inputs!$B$24+Inputs!$B$28,IF(Skills!C10=2,90+(Inputs!$B$25+1)+Inputs!$B$28,IF(Skills!C10=3,120+Inputs!$B$26+Inputs!$B$28,MAX(0,(Inputs!$B$3-100)*3)+Inputs!$B$27+Inputs!$B$28)))</f>
        <v/>
      </c>
      <c r="E655">
        <f>INDEX(FactorTable!$B$2:$Y$301, MATCH(ROUND(MIN(300,MAX(1,D655)),0), FactorTable!$A$2:$A$301,0), Skills!M10+1)</f>
        <v/>
      </c>
      <c r="F655">
        <f>IF(Skills!N10=TRUE,(Skills!L10/10)*(E655/1000),Skills!L10/10)+Skills!O10</f>
        <v/>
      </c>
      <c r="G655">
        <f>Skills!G10*IF(Skills!H10&gt;0,Skills!I10/Skills!H10,1)</f>
        <v/>
      </c>
      <c r="H655">
        <f>1-(1-Skills!J10/100)^Skills!K10</f>
        <v/>
      </c>
      <c r="I655" t="inlineStr">
        <is>
          <t>1</t>
        </is>
      </c>
      <c r="J655">
        <f>(Inputs!$B$5*(1+Inputs!$B$6/100))*(F655/100)</f>
        <v/>
      </c>
      <c r="K655">
        <f>J655*(1+((Inputs!$B$11*(1+Inputs!$B$12/100))*0.01+Inputs!$B$13*0.0025)/100)*(1+Inputs!$B$14/100)*(1+IF(Inputs!$B$4="pvp",0,(1-Summary!$B$55)*(Inputs!$B$19+0+Skills!P10)+Summary!$B$55*(Inputs!$B$20+Skills!Q10))/100)*(1+Inputs!$B$15/100)*(5000/(6000+Inputs!$B$7*(1-(Inputs!$B$18+0)/100)))*(1+(Inputs!$B$23+((C667=TRUE)*(F667-Calc!F22))+B676)/100)*(1+(IF(Skills!A10="HOOK_BOMBER",Inputs!$B$16+((C666=TRUE)*(F666-Calc!F21)),Inputs!$B$17+0))/100)*((1+(((C658=TRUE)*F658)+((C664=TRUE)*(F664-Calc!F19)))/100)*I655)</f>
        <v/>
      </c>
      <c r="L655">
        <f>K655*(MIN(Inputs!$B$21+((C665=TRUE)*(F665-Calc!F20)),Inputs!$B$22+0)/100+(Inputs!$B$22+0)/100)/2</f>
        <v/>
      </c>
      <c r="M655">
        <f>L655*(1+(Inputs!$B$9+0+B675)/100)</f>
        <v/>
      </c>
      <c r="N655">
        <f>L655*(1-MIN((Inputs!$B$8+((C661=TRUE)*(F661-Calc!F16))+B670),100)/100)+M655*(MIN((Inputs!$B$8+((C661=TRUE)*(F661-Calc!F16))+B670),100)/100)</f>
        <v/>
      </c>
      <c r="O655">
        <f>IF(C655,H655*N655*IF(AND(Inputs!$B$4&lt;&gt;"pvp",Inputs!$B$35&gt;0),((Skills!G10*((R655-1)*IF(Skills!H10&gt;0,Skills!I10/Skills!H10,1)+IF(Skills!H10&gt;0,MIN(Skills!I10,MAX(0,Inputs!$B$35-((R655-1)*IF(Inputs!$B$4="pvp",15,MAX(0.1,Skills!D10-IF(Skills!E10=TRUE,Inputs!$B$31,0))))))/Skills!H10,1)))/Inputs!$B$35),G655*Q655)*IF(Inputs!$B$4="pvp",1,(1-Summary!$B$55)*(1)+Summary!$B$55*(MIN(Skills!R10,Inputs!$B$37))),0)</f>
        <v/>
      </c>
      <c r="P655">
        <f>IF(B678=0,0,O655/B678)</f>
        <v/>
      </c>
      <c r="Q655">
        <f>IFERROR(1/IF(Inputs!$B$4="pvp",15,MAX(0.1,Skills!D10-IF(Skills!E10=TRUE,Inputs!$B$31,0))),0)</f>
        <v/>
      </c>
      <c r="R655">
        <f>IF(AND(Inputs!$B$4&lt;&gt;"pvp",Inputs!$B$35&gt;0),(INT(Inputs!$B$35/IF(Inputs!$B$4="pvp",15,MAX(0.1,Skills!D10-IF(Skills!E10=TRUE,Inputs!$B$31,0))))+1),0)</f>
        <v/>
      </c>
      <c r="S655">
        <f>IFERROR(O655/N655,0)</f>
        <v/>
      </c>
    </row>
    <row r="656">
      <c r="A656">
        <f>Skills!A11</f>
        <v/>
      </c>
      <c r="B656">
        <f>Skills!B11</f>
        <v/>
      </c>
      <c r="C656">
        <f>Inputs!$B$3&gt;=113</f>
        <v/>
      </c>
      <c r="D656">
        <f>IF(Skills!C11=1,60+Inputs!$B$24+Inputs!$B$28,IF(Skills!C11=2,90+(Inputs!$B$25+1)+Inputs!$B$28,IF(Skills!C11=3,120+Inputs!$B$26+Inputs!$B$28,MAX(0,(Inputs!$B$3-100)*3)+Inputs!$B$27+Inputs!$B$28)))</f>
        <v/>
      </c>
      <c r="E656">
        <f>INDEX(FactorTable!$B$2:$Y$301, MATCH(ROUND(MIN(300,MAX(1,D656)),0), FactorTable!$A$2:$A$301,0), Skills!M11+1)</f>
        <v/>
      </c>
      <c r="F656">
        <f>IF(Skills!N11=TRUE,(Skills!L11/10)*(E656/1000),Skills!L11/10)+Skills!O11</f>
        <v/>
      </c>
      <c r="G656">
        <f>Skills!G11*IF(Skills!H11&gt;0,Skills!I11/Skills!H11,1)</f>
        <v/>
      </c>
      <c r="H656">
        <f>1-(1-Skills!J11/100)^Skills!K11</f>
        <v/>
      </c>
      <c r="I656" t="inlineStr">
        <is>
          <t>1</t>
        </is>
      </c>
      <c r="J656">
        <f>(Inputs!$B$5*(1+Inputs!$B$6/100))*(F656/100)</f>
        <v/>
      </c>
      <c r="K656">
        <f>J656*(1+((Inputs!$B$11*(1+Inputs!$B$12/100))*0.01+Inputs!$B$13*0.0025)/100)*(1+Inputs!$B$14/100)*(1+IF(Inputs!$B$4="pvp",0,(1-Summary!$B$55)*(Inputs!$B$19+0+Skills!P11)+Summary!$B$55*(Inputs!$B$20+Skills!Q11))/100)*(1+Inputs!$B$15/100)*(5000/(6000+Inputs!$B$7*(1-(Inputs!$B$18+0)/100)))*(1+(Inputs!$B$23+((C667=TRUE)*(F667-Calc!F22))+B676)/100)*(1+(IF(Skills!A11="HOOK_BOMBER",Inputs!$B$16+((C666=TRUE)*(F666-Calc!F21)),Inputs!$B$17+0))/100)*((1+(((C658=TRUE)*F658)+((C664=TRUE)*(F664-Calc!F19)))/100)*I656)</f>
        <v/>
      </c>
      <c r="L656">
        <f>K656*(MIN(Inputs!$B$21+((C665=TRUE)*(F665-Calc!F20)),Inputs!$B$22+0)/100+(Inputs!$B$22+0)/100)/2</f>
        <v/>
      </c>
      <c r="M656">
        <f>L656*(1+(Inputs!$B$9+0+B675)/100)</f>
        <v/>
      </c>
      <c r="N656">
        <f>L656*(1-MIN((Inputs!$B$8+((C661=TRUE)*(F661-Calc!F16))+B670),100)/100)+M656*(MIN((Inputs!$B$8+((C661=TRUE)*(F661-Calc!F16))+B670),100)/100)</f>
        <v/>
      </c>
      <c r="O656">
        <f>IF(C656,H656*N656*IF(AND(Inputs!$B$4&lt;&gt;"pvp",Inputs!$B$35&gt;0),((Skills!G11*((R656-1)*IF(Skills!H11&gt;0,Skills!I11/Skills!H11,1)+IF(Skills!H11&gt;0,MIN(Skills!I11,MAX(0,Inputs!$B$35-((R656-1)*IF(Inputs!$B$4="pvp",15,MAX(0.1,Skills!D11-IF(Skills!E11=TRUE,Inputs!$B$31,0))))))/Skills!H11,1)))/Inputs!$B$35),G656*Q656)*IF(Inputs!$B$4="pvp",1,(1-Summary!$B$55)*(1)+Summary!$B$55*(MIN(Skills!R11,Inputs!$B$37))),0)</f>
        <v/>
      </c>
      <c r="P656">
        <f>IF(B678=0,0,O656/B678)</f>
        <v/>
      </c>
      <c r="Q656">
        <f>IFERROR(1/IF(Inputs!$B$4="pvp",15,MAX(0.1,Skills!D11-IF(Skills!E11=TRUE,Inputs!$B$31,0))),0)</f>
        <v/>
      </c>
      <c r="R656">
        <f>IF(AND(Inputs!$B$4&lt;&gt;"pvp",Inputs!$B$35&gt;0),(INT(Inputs!$B$35/IF(Inputs!$B$4="pvp",15,MAX(0.1,Skills!D11-IF(Skills!E11=TRUE,Inputs!$B$31,0))))+1),0)</f>
        <v/>
      </c>
      <c r="S656">
        <f>IFERROR(O656/N656,0)</f>
        <v/>
      </c>
    </row>
    <row r="657">
      <c r="A657">
        <f>Skills!A12</f>
        <v/>
      </c>
      <c r="B657">
        <f>Skills!B12</f>
        <v/>
      </c>
      <c r="C657">
        <f>Inputs!$B$3&gt;=100</f>
        <v/>
      </c>
      <c r="D657">
        <f>IF(Skills!C12=1,60+Inputs!$B$24+Inputs!$B$28,IF(Skills!C12=2,90+(Inputs!$B$25+1)+Inputs!$B$28,IF(Skills!C12=3,120+Inputs!$B$26+Inputs!$B$28,MAX(0,(Inputs!$B$3-100)*3)+Inputs!$B$27+Inputs!$B$28)))</f>
        <v/>
      </c>
      <c r="E657">
        <f>INDEX(FactorTable!$B$2:$Y$301, MATCH(ROUND(MIN(300,MAX(1,D657)),0), FactorTable!$A$2:$A$301,0), Skills!M12+1)</f>
        <v/>
      </c>
      <c r="F657">
        <f>IF(Skills!N12=TRUE,(Skills!L12/10)*(E657/1000),Skills!L12/10)+Skills!O12</f>
        <v/>
      </c>
      <c r="G657" t="inlineStr"/>
      <c r="H657" t="inlineStr"/>
      <c r="I657" t="inlineStr">
        <is>
          <t>1</t>
        </is>
      </c>
      <c r="J657" t="inlineStr"/>
      <c r="K657" t="inlineStr"/>
      <c r="L657" t="inlineStr"/>
      <c r="M657" t="inlineStr"/>
      <c r="N657" t="inlineStr"/>
      <c r="O657" t="inlineStr"/>
      <c r="P657" t="inlineStr"/>
      <c r="Q657" t="inlineStr"/>
      <c r="R657" t="inlineStr"/>
      <c r="S657" t="inlineStr"/>
    </row>
    <row r="658">
      <c r="A658">
        <f>Skills!A13</f>
        <v/>
      </c>
      <c r="B658">
        <f>Skills!B13</f>
        <v/>
      </c>
      <c r="C658">
        <f>Inputs!$B$3&gt;=66</f>
        <v/>
      </c>
      <c r="D658">
        <f>IF(Skills!C13=1,60+Inputs!$B$24+Inputs!$B$28,IF(Skills!C13=2,90+(Inputs!$B$25+1)+Inputs!$B$28,IF(Skills!C13=3,120+Inputs!$B$26+Inputs!$B$28,MAX(0,(Inputs!$B$3-100)*3)+Inputs!$B$27+Inputs!$B$28)))</f>
        <v/>
      </c>
      <c r="E658">
        <f>INDEX(FactorTable!$B$2:$Y$301, MATCH(ROUND(MIN(300,MAX(1,D658)),0), FactorTable!$A$2:$A$301,0), Skills!M13+1)</f>
        <v/>
      </c>
      <c r="F658">
        <f>IF(Skills!N13=TRUE,(Skills!L13/10)*(E658/1000),Skills!L13/10)+Skills!O13</f>
        <v/>
      </c>
      <c r="G658">
        <f>Skills!G13*IF(Skills!H13&gt;0,Skills!I13/Skills!H13,1)</f>
        <v/>
      </c>
      <c r="H658">
        <f>1-(1-Skills!J13/100)^Skills!K13</f>
        <v/>
      </c>
      <c r="I658" t="inlineStr">
        <is>
          <t>1</t>
        </is>
      </c>
      <c r="J658" t="inlineStr"/>
      <c r="K658" t="inlineStr"/>
      <c r="L658" t="inlineStr"/>
      <c r="M658" t="inlineStr"/>
      <c r="N658" t="inlineStr"/>
      <c r="O658" t="n">
        <v>0</v>
      </c>
      <c r="P658">
        <f>IF(B678=0,0,O658/B678)</f>
        <v/>
      </c>
      <c r="Q658" t="n">
        <v>0</v>
      </c>
      <c r="R658" t="n">
        <v>0</v>
      </c>
      <c r="S658">
        <f>IFERROR(O658/N658,0)</f>
        <v/>
      </c>
    </row>
    <row r="659">
      <c r="A659">
        <f>Skills!A14</f>
        <v/>
      </c>
      <c r="B659">
        <f>Skills!B14</f>
        <v/>
      </c>
      <c r="C659">
        <f>Inputs!$B$3&gt;=107</f>
        <v/>
      </c>
      <c r="D659">
        <f>IF(Skills!C14=1,60+Inputs!$B$24+Inputs!$B$28,IF(Skills!C14=2,90+(Inputs!$B$25+1)+Inputs!$B$28,IF(Skills!C14=3,120+Inputs!$B$26+Inputs!$B$28,MAX(0,(Inputs!$B$3-100)*3)+Inputs!$B$27+Inputs!$B$28)))</f>
        <v/>
      </c>
      <c r="E659">
        <f>INDEX(FactorTable!$B$2:$Y$301, MATCH(ROUND(MIN(300,MAX(1,D659)),0), FactorTable!$A$2:$A$301,0), Skills!M14+1)</f>
        <v/>
      </c>
      <c r="F659">
        <f>IF(Skills!N14=TRUE,(Skills!L14/10)*(E659/1000),Skills!L14/10)+Skills!O14</f>
        <v/>
      </c>
      <c r="G659">
        <f>Skills!G14*IF(Skills!H14&gt;0,Skills!I14/Skills!H14,1)</f>
        <v/>
      </c>
      <c r="H659">
        <f>1-(1-Skills!J14/100)^Skills!K14</f>
        <v/>
      </c>
      <c r="I659" t="inlineStr">
        <is>
          <t>1</t>
        </is>
      </c>
      <c r="J659" t="inlineStr"/>
      <c r="K659" t="inlineStr"/>
      <c r="L659" t="inlineStr"/>
      <c r="M659" t="inlineStr"/>
      <c r="N659" t="inlineStr"/>
      <c r="O659" t="n">
        <v>0</v>
      </c>
      <c r="P659">
        <f>IF(B678=0,0,O659/B678)</f>
        <v/>
      </c>
      <c r="Q659" t="n">
        <v>0</v>
      </c>
      <c r="R659" t="n">
        <v>0</v>
      </c>
      <c r="S659">
        <f>IFERROR(O659/N659,0)</f>
        <v/>
      </c>
    </row>
    <row r="660">
      <c r="A660">
        <f>Skills!A15</f>
        <v/>
      </c>
      <c r="B660">
        <f>Skills!B15</f>
        <v/>
      </c>
      <c r="C660">
        <f>Inputs!$B$3&gt;=115</f>
        <v/>
      </c>
      <c r="D660">
        <f>IF(Skills!C15=1,60+Inputs!$B$24+Inputs!$B$28,IF(Skills!C15=2,90+(Inputs!$B$25+1)+Inputs!$B$28,IF(Skills!C15=3,120+Inputs!$B$26+Inputs!$B$28,MAX(0,(Inputs!$B$3-100)*3)+Inputs!$B$27+Inputs!$B$28)))</f>
        <v/>
      </c>
      <c r="E660">
        <f>INDEX(FactorTable!$B$2:$Y$301, MATCH(ROUND(MIN(300,MAX(1,D660)),0), FactorTable!$A$2:$A$301,0), Skills!M15+1)</f>
        <v/>
      </c>
      <c r="F660">
        <f>IF(Skills!N15=TRUE,(Skills!L15/10)*(E660/1000),Skills!L15/10)+Skills!O15</f>
        <v/>
      </c>
      <c r="G660">
        <f>Skills!G15*IF(Skills!H15&gt;0,Skills!I15/Skills!H15,1)</f>
        <v/>
      </c>
      <c r="H660">
        <f>1-(1-Skills!J15/100)^Skills!K15</f>
        <v/>
      </c>
      <c r="I660" t="inlineStr">
        <is>
          <t>1</t>
        </is>
      </c>
      <c r="J660" t="inlineStr"/>
      <c r="K660" t="inlineStr"/>
      <c r="L660" t="inlineStr"/>
      <c r="M660" t="inlineStr"/>
      <c r="N660" t="inlineStr"/>
      <c r="O660" t="n">
        <v>0</v>
      </c>
      <c r="P660">
        <f>IF(B678=0,0,O660/B678)</f>
        <v/>
      </c>
      <c r="Q660" t="n">
        <v>0</v>
      </c>
      <c r="R660" t="n">
        <v>0</v>
      </c>
      <c r="S660">
        <f>IFERROR(O660/N660,0)</f>
        <v/>
      </c>
    </row>
    <row r="661">
      <c r="A661">
        <f>Skills!A16</f>
        <v/>
      </c>
      <c r="B661">
        <f>Skills!B16</f>
        <v/>
      </c>
      <c r="C661">
        <f>Inputs!$B$3&gt;=15</f>
        <v/>
      </c>
      <c r="D661">
        <f>IF(Skills!C16=1,60+Inputs!$B$24+Inputs!$B$28,IF(Skills!C16=2,90+(Inputs!$B$25+1)+Inputs!$B$28,IF(Skills!C16=3,120+Inputs!$B$26+Inputs!$B$28,MAX(0,(Inputs!$B$3-100)*3)+Inputs!$B$27+Inputs!$B$28)))</f>
        <v/>
      </c>
      <c r="E661">
        <f>INDEX(FactorTable!$B$2:$Y$301, MATCH(ROUND(MIN(300,MAX(1,D661)),0), FactorTable!$A$2:$A$301,0), Skills!M16+1)</f>
        <v/>
      </c>
      <c r="F661">
        <f>IF(Skills!N16=TRUE,(Skills!L16/10)*(E661/1000),Skills!L16/10)+Skills!O16</f>
        <v/>
      </c>
      <c r="G661">
        <f>Skills!G16*IF(Skills!H16&gt;0,Skills!I16/Skills!H16,1)</f>
        <v/>
      </c>
      <c r="H661">
        <f>1-(1-Skills!J16/100)^Skills!K16</f>
        <v/>
      </c>
      <c r="I661" t="inlineStr">
        <is>
          <t>1</t>
        </is>
      </c>
      <c r="J661" t="inlineStr"/>
      <c r="K661" t="inlineStr"/>
      <c r="L661" t="inlineStr"/>
      <c r="M661" t="inlineStr"/>
      <c r="N661" t="inlineStr"/>
      <c r="O661" t="n">
        <v>0</v>
      </c>
      <c r="P661">
        <f>IF(B678=0,0,O661/B678)</f>
        <v/>
      </c>
      <c r="Q661" t="n">
        <v>0</v>
      </c>
      <c r="R661" t="n">
        <v>0</v>
      </c>
      <c r="S661">
        <f>IFERROR(O661/N661,0)</f>
        <v/>
      </c>
    </row>
    <row r="662">
      <c r="A662">
        <f>Skills!A17</f>
        <v/>
      </c>
      <c r="B662">
        <f>Skills!B17</f>
        <v/>
      </c>
      <c r="C662">
        <f>Inputs!$B$3&gt;=10</f>
        <v/>
      </c>
      <c r="D662">
        <f>IF(Skills!C17=1,60+Inputs!$B$24+Inputs!$B$28,IF(Skills!C17=2,90+(Inputs!$B$25+1)+Inputs!$B$28,IF(Skills!C17=3,120+Inputs!$B$26+Inputs!$B$28,MAX(0,(Inputs!$B$3-100)*3)+Inputs!$B$27+Inputs!$B$28)))</f>
        <v/>
      </c>
      <c r="E662">
        <f>INDEX(FactorTable!$B$2:$Y$301, MATCH(ROUND(MIN(300,MAX(1,D662)),0), FactorTable!$A$2:$A$301,0), Skills!M17+1)</f>
        <v/>
      </c>
      <c r="F662">
        <f>IF(Skills!N17=TRUE,(Skills!L17/10)*(E662/1000),Skills!L17/10)+Skills!O17</f>
        <v/>
      </c>
      <c r="G662">
        <f>Skills!G17*IF(Skills!H17&gt;0,Skills!I17/Skills!H17,1)</f>
        <v/>
      </c>
      <c r="H662">
        <f>1-(1-Skills!J17/100)^Skills!K17</f>
        <v/>
      </c>
      <c r="I662" t="inlineStr">
        <is>
          <t>1</t>
        </is>
      </c>
      <c r="J662" t="inlineStr"/>
      <c r="K662" t="inlineStr"/>
      <c r="L662" t="inlineStr"/>
      <c r="M662" t="inlineStr"/>
      <c r="N662" t="inlineStr"/>
      <c r="O662" t="n">
        <v>0</v>
      </c>
      <c r="P662">
        <f>IF(B678=0,0,O662/B678)</f>
        <v/>
      </c>
      <c r="Q662" t="n">
        <v>0</v>
      </c>
      <c r="R662" t="n">
        <v>0</v>
      </c>
      <c r="S662">
        <f>IFERROR(O662/N662,0)</f>
        <v/>
      </c>
    </row>
    <row r="663">
      <c r="A663">
        <f>Skills!A18</f>
        <v/>
      </c>
      <c r="B663">
        <f>Skills!B18</f>
        <v/>
      </c>
      <c r="C663">
        <f>Inputs!$B$3&gt;=33</f>
        <v/>
      </c>
      <c r="D663">
        <f>IF(Skills!C18=1,60+Inputs!$B$24+Inputs!$B$28,IF(Skills!C18=2,90+(Inputs!$B$25+1)+Inputs!$B$28,IF(Skills!C18=3,120+Inputs!$B$26+Inputs!$B$28,MAX(0,(Inputs!$B$3-100)*3)+Inputs!$B$27+Inputs!$B$28)))</f>
        <v/>
      </c>
      <c r="E663">
        <f>INDEX(FactorTable!$B$2:$Y$301, MATCH(ROUND(MIN(300,MAX(1,D663)),0), FactorTable!$A$2:$A$301,0), Skills!M18+1)</f>
        <v/>
      </c>
      <c r="F663">
        <f>IF(Skills!N18=TRUE,(Skills!L18/10)*(E663/1000),Skills!L18/10)+Skills!O18</f>
        <v/>
      </c>
      <c r="G663">
        <f>Skills!G18*IF(Skills!H18&gt;0,Skills!I18/Skills!H18,1)</f>
        <v/>
      </c>
      <c r="H663">
        <f>1-(1-Skills!J18/100)^Skills!K18</f>
        <v/>
      </c>
      <c r="I663" t="inlineStr">
        <is>
          <t>1</t>
        </is>
      </c>
      <c r="J663" t="inlineStr"/>
      <c r="K663" t="inlineStr"/>
      <c r="L663" t="inlineStr"/>
      <c r="M663" t="inlineStr"/>
      <c r="N663" t="inlineStr"/>
      <c r="O663" t="n">
        <v>0</v>
      </c>
      <c r="P663">
        <f>IF(B678=0,0,O663/B678)</f>
        <v/>
      </c>
      <c r="Q663" t="n">
        <v>0</v>
      </c>
      <c r="R663" t="n">
        <v>0</v>
      </c>
      <c r="S663">
        <f>IFERROR(O663/N663,0)</f>
        <v/>
      </c>
    </row>
    <row r="664">
      <c r="A664">
        <f>Skills!A19</f>
        <v/>
      </c>
      <c r="B664">
        <f>Skills!B19</f>
        <v/>
      </c>
      <c r="C664">
        <f>Inputs!$B$3&gt;=40</f>
        <v/>
      </c>
      <c r="D664">
        <f>IF(Skills!C19=1,60+Inputs!$B$24+Inputs!$B$28,IF(Skills!C19=2,90+(Inputs!$B$25+1)+Inputs!$B$28,IF(Skills!C19=3,120+Inputs!$B$26+Inputs!$B$28,MAX(0,(Inputs!$B$3-100)*3)+Inputs!$B$27+Inputs!$B$28)))</f>
        <v/>
      </c>
      <c r="E664">
        <f>INDEX(FactorTable!$B$2:$Y$301, MATCH(ROUND(MIN(300,MAX(1,D664)),0), FactorTable!$A$2:$A$301,0), Skills!M19+1)</f>
        <v/>
      </c>
      <c r="F664">
        <f>IF(Skills!N19=TRUE,(Skills!L19/10)*(E664/1000),Skills!L19/10)+Skills!O19</f>
        <v/>
      </c>
      <c r="G664">
        <f>Skills!G19*IF(Skills!H19&gt;0,Skills!I19/Skills!H19,1)</f>
        <v/>
      </c>
      <c r="H664">
        <f>1-(1-Skills!J19/100)^Skills!K19</f>
        <v/>
      </c>
      <c r="I664" t="inlineStr">
        <is>
          <t>1</t>
        </is>
      </c>
      <c r="J664" t="inlineStr"/>
      <c r="K664" t="inlineStr"/>
      <c r="L664" t="inlineStr"/>
      <c r="M664" t="inlineStr"/>
      <c r="N664" t="inlineStr"/>
      <c r="O664" t="n">
        <v>0</v>
      </c>
      <c r="P664">
        <f>IF(B678=0,0,O664/B678)</f>
        <v/>
      </c>
      <c r="Q664" t="n">
        <v>0</v>
      </c>
      <c r="R664" t="n">
        <v>0</v>
      </c>
      <c r="S664">
        <f>IFERROR(O664/N664,0)</f>
        <v/>
      </c>
    </row>
    <row r="665">
      <c r="A665">
        <f>Skills!A20</f>
        <v/>
      </c>
      <c r="B665">
        <f>Skills!B20</f>
        <v/>
      </c>
      <c r="C665">
        <f>Inputs!$B$3&gt;=43</f>
        <v/>
      </c>
      <c r="D665">
        <f>IF(Skills!C20=1,60+Inputs!$B$24+Inputs!$B$28,IF(Skills!C20=2,90+(Inputs!$B$25+1)+Inputs!$B$28,IF(Skills!C20=3,120+Inputs!$B$26+Inputs!$B$28,MAX(0,(Inputs!$B$3-100)*3)+Inputs!$B$27+Inputs!$B$28)))</f>
        <v/>
      </c>
      <c r="E665">
        <f>INDEX(FactorTable!$B$2:$Y$301, MATCH(ROUND(MIN(300,MAX(1,D665)),0), FactorTable!$A$2:$A$301,0), Skills!M20+1)</f>
        <v/>
      </c>
      <c r="F665">
        <f>IF(Skills!N20=TRUE,(Skills!L20/10)*(E665/1000),Skills!L20/10)+Skills!O20</f>
        <v/>
      </c>
      <c r="G665">
        <f>Skills!G20*IF(Skills!H20&gt;0,Skills!I20/Skills!H20,1)</f>
        <v/>
      </c>
      <c r="H665">
        <f>1-(1-Skills!J20/100)^Skills!K20</f>
        <v/>
      </c>
      <c r="I665" t="inlineStr">
        <is>
          <t>1</t>
        </is>
      </c>
      <c r="J665" t="inlineStr"/>
      <c r="K665" t="inlineStr"/>
      <c r="L665" t="inlineStr"/>
      <c r="M665" t="inlineStr"/>
      <c r="N665" t="inlineStr"/>
      <c r="O665" t="n">
        <v>0</v>
      </c>
      <c r="P665">
        <f>IF(B678=0,0,O665/B678)</f>
        <v/>
      </c>
      <c r="Q665" t="n">
        <v>0</v>
      </c>
      <c r="R665" t="n">
        <v>0</v>
      </c>
      <c r="S665">
        <f>IFERROR(O665/N665,0)</f>
        <v/>
      </c>
    </row>
    <row r="666">
      <c r="A666">
        <f>Skills!A21</f>
        <v/>
      </c>
      <c r="B666">
        <f>Skills!B21</f>
        <v/>
      </c>
      <c r="C666">
        <f>Inputs!$B$3&gt;=38</f>
        <v/>
      </c>
      <c r="D666">
        <f>IF(Skills!C21=1,60+Inputs!$B$24+Inputs!$B$28,IF(Skills!C21=2,90+(Inputs!$B$25+1)+Inputs!$B$28,IF(Skills!C21=3,120+Inputs!$B$26+Inputs!$B$28,MAX(0,(Inputs!$B$3-100)*3)+Inputs!$B$27+Inputs!$B$28)))</f>
        <v/>
      </c>
      <c r="E666">
        <f>INDEX(FactorTable!$B$2:$Y$301, MATCH(ROUND(MIN(300,MAX(1,D666)),0), FactorTable!$A$2:$A$301,0), Skills!M21+1)</f>
        <v/>
      </c>
      <c r="F666">
        <f>IF(Skills!N21=TRUE,(Skills!L21/10)*(E666/1000),Skills!L21/10)+Skills!O21</f>
        <v/>
      </c>
      <c r="G666">
        <f>Skills!G21*IF(Skills!H21&gt;0,Skills!I21/Skills!H21,1)</f>
        <v/>
      </c>
      <c r="H666">
        <f>1-(1-Skills!J21/100)^Skills!K21</f>
        <v/>
      </c>
      <c r="I666" t="inlineStr">
        <is>
          <t>1</t>
        </is>
      </c>
      <c r="J666" t="inlineStr"/>
      <c r="K666" t="inlineStr"/>
      <c r="L666" t="inlineStr"/>
      <c r="M666" t="inlineStr"/>
      <c r="N666" t="inlineStr"/>
      <c r="O666" t="n">
        <v>0</v>
      </c>
      <c r="P666">
        <f>IF(B678=0,0,O666/B678)</f>
        <v/>
      </c>
      <c r="Q666" t="n">
        <v>0</v>
      </c>
      <c r="R666" t="n">
        <v>0</v>
      </c>
      <c r="S666">
        <f>IFERROR(O666/N666,0)</f>
        <v/>
      </c>
    </row>
    <row r="667">
      <c r="A667">
        <f>Skills!A22</f>
        <v/>
      </c>
      <c r="B667">
        <f>Skills!B22</f>
        <v/>
      </c>
      <c r="C667">
        <f>Inputs!$B$3&gt;=75</f>
        <v/>
      </c>
      <c r="D667">
        <f>IF(Skills!C22=1,60+Inputs!$B$24+Inputs!$B$28,IF(Skills!C22=2,90+(Inputs!$B$25+1)+Inputs!$B$28,IF(Skills!C22=3,120+Inputs!$B$26+Inputs!$B$28,MAX(0,(Inputs!$B$3-100)*3)+Inputs!$B$27+Inputs!$B$28)))</f>
        <v/>
      </c>
      <c r="E667">
        <f>INDEX(FactorTable!$B$2:$Y$301, MATCH(ROUND(MIN(300,MAX(1,D667)),0), FactorTable!$A$2:$A$301,0), Skills!M22+1)</f>
        <v/>
      </c>
      <c r="F667">
        <f>IF(Skills!N22=TRUE,(Skills!L22/10)*(E667/1000),Skills!L22/10)+Skills!O22</f>
        <v/>
      </c>
      <c r="G667">
        <f>Skills!G22*IF(Skills!H22&gt;0,Skills!I22/Skills!H22,1)</f>
        <v/>
      </c>
      <c r="H667">
        <f>1-(1-Skills!J22/100)^Skills!K22</f>
        <v/>
      </c>
      <c r="I667" t="inlineStr">
        <is>
          <t>1</t>
        </is>
      </c>
      <c r="J667" t="inlineStr"/>
      <c r="K667" t="inlineStr"/>
      <c r="L667" t="inlineStr"/>
      <c r="M667" t="inlineStr"/>
      <c r="N667" t="inlineStr"/>
      <c r="O667" t="n">
        <v>0</v>
      </c>
      <c r="P667">
        <f>IF(B678=0,0,O667/B678)</f>
        <v/>
      </c>
      <c r="Q667" t="n">
        <v>0</v>
      </c>
      <c r="R667" t="n">
        <v>0</v>
      </c>
      <c r="S667">
        <f>IFERROR(O667/N667,0)</f>
        <v/>
      </c>
    </row>
    <row r="669">
      <c r="A669" t="inlineStr">
        <is>
          <t>Attack% Bucket Multiplier</t>
        </is>
      </c>
      <c r="B669">
        <f>(1+(((C658=TRUE)*F658)+((C664=TRUE)*(F664-Calc!F19)))/100)</f>
        <v/>
      </c>
    </row>
    <row r="670">
      <c r="A670" t="inlineStr">
        <is>
          <t>Global Crit Rate Bonus %</t>
        </is>
      </c>
      <c r="B670" t="n">
        <v>0</v>
      </c>
    </row>
    <row r="671">
      <c r="A671" t="inlineStr">
        <is>
          <t>Attack Speed Buff Bonus % (unused)</t>
        </is>
      </c>
      <c r="B671" t="n">
        <v>0</v>
      </c>
    </row>
    <row r="672">
      <c r="A672" t="inlineStr">
        <is>
          <t>Actions Per Second</t>
        </is>
      </c>
      <c r="B672">
        <f>1+MIN(150,150*(1-(1-(Inputs!$B$10+((C662=TRUE)*(F662-Calc!F17))+((C663=TRUE)*(F663-Calc!F18)))/150)*(1-B671/150)))/100</f>
        <v/>
      </c>
    </row>
    <row r="673">
      <c r="A673" t="inlineStr">
        <is>
          <t>Skill + Buff Cast Rate</t>
        </is>
      </c>
      <c r="B673">
        <f>IF(AND(Inputs!$B$4&lt;&gt;"pvp",Inputs!$B$35&gt;0),SUMPRODUCT((Skills!E2:E22=TRUE)*(C647:C667=TRUE)*R647:R667*Skills!F2:F22)/Inputs!$B$35,SUMPRODUCT((Skills!E2:E22=TRUE)*(C647:C667=TRUE)*Q647:Q667*Skills!F2:F22))</f>
        <v/>
      </c>
    </row>
    <row r="674">
      <c r="A674" t="inlineStr">
        <is>
          <t>Hook Bomber Casts Per Second</t>
        </is>
      </c>
      <c r="B674">
        <f>MAX(0,B672-B673)</f>
        <v/>
      </c>
    </row>
    <row r="675">
      <c r="A675" t="inlineStr">
        <is>
          <t>Global Critical Damage Bonus % (unused)</t>
        </is>
      </c>
      <c r="B675" t="n">
        <v>0</v>
      </c>
    </row>
    <row r="676">
      <c r="A676" t="inlineStr">
        <is>
          <t>Global Final Damage Bonus % (Serpent Scale + Crossbones + Time Leap + Speed Infusion)</t>
        </is>
      </c>
      <c r="B676">
        <f>((C650=TRUE)*F650*((10+IF(Inputs!$B$3&gt;=94,5,0))/((10+IF(Inputs!$B$3&gt;=94,5,0))+5/(B674*(1+IF(Inputs!$B$3&gt;=104,1,0))))))+((C659=TRUE)*F659)+((C660=TRUE)*F660)+((Inputs!$B$3&gt;=110)*20*(B672-1))</f>
        <v/>
      </c>
    </row>
    <row r="678">
      <c r="A678" s="5" t="inlineStr">
        <is>
          <t>TOTAL DPS</t>
        </is>
      </c>
      <c r="B678" s="5">
        <f>SUM(O647:O667)</f>
        <v/>
      </c>
    </row>
    <row r="681">
      <c r="A681" s="5" t="inlineStr">
        <is>
          <t>Stat: Skill Level Bonus — 3rd Job</t>
        </is>
      </c>
    </row>
    <row r="682">
      <c r="A682" s="8" t="inlineStr">
        <is>
          <t>Key</t>
        </is>
      </c>
      <c r="B682" s="8" t="inlineStr">
        <is>
          <t>Name</t>
        </is>
      </c>
      <c r="C682" s="8" t="inlineStr">
        <is>
          <t>Unlocked</t>
        </is>
      </c>
      <c r="D682" s="8" t="inlineStr">
        <is>
          <t>InputLevel</t>
        </is>
      </c>
      <c r="E682" s="8" t="inlineStr">
        <is>
          <t>Factor</t>
        </is>
      </c>
      <c r="F682" s="8" t="inlineStr">
        <is>
          <t>CoefficientPercent</t>
        </is>
      </c>
      <c r="G682" s="8" t="inlineStr">
        <is>
          <t>EffectiveHits</t>
        </is>
      </c>
      <c r="H682" s="8" t="inlineStr">
        <is>
          <t>ProcProbability</t>
        </is>
      </c>
      <c r="I682" s="8" t="inlineStr">
        <is>
          <t>MapleHeroMultiplier</t>
        </is>
      </c>
      <c r="J682" s="8" t="inlineStr">
        <is>
          <t>BaseDamage</t>
        </is>
      </c>
      <c r="K682" s="8" t="inlineStr">
        <is>
          <t>BaseHitDamage</t>
        </is>
      </c>
      <c r="L682" s="8" t="inlineStr">
        <is>
          <t>NonCritAvg</t>
        </is>
      </c>
      <c r="M682" s="8" t="inlineStr">
        <is>
          <t>CritAvg</t>
        </is>
      </c>
      <c r="N682" s="8" t="inlineStr">
        <is>
          <t>ExpectedDamage(perHit)</t>
        </is>
      </c>
      <c r="O682" s="8" t="inlineStr">
        <is>
          <t>DPS</t>
        </is>
      </c>
      <c r="P682" s="8" t="inlineStr">
        <is>
          <t>% of Total</t>
        </is>
      </c>
      <c r="Q682" s="8" t="inlineStr">
        <is>
          <t>InvCooldown</t>
        </is>
      </c>
      <c r="R682" s="8" t="inlineStr">
        <is>
          <t>CastsInFight</t>
        </is>
      </c>
      <c r="S682" s="8" t="inlineStr">
        <is>
          <t>HitRate(perSec)</t>
        </is>
      </c>
      <c r="U682" t="inlineStr">
        <is>
          <t>helpers</t>
        </is>
      </c>
    </row>
    <row r="683">
      <c r="A683">
        <f>Skills!A2</f>
        <v/>
      </c>
      <c r="B683">
        <f>Skills!B2</f>
        <v/>
      </c>
      <c r="C683">
        <f>Inputs!$B$3&gt;=100</f>
        <v/>
      </c>
      <c r="D683" t="inlineStr"/>
      <c r="E683" t="inlineStr"/>
      <c r="F683">
        <f>U685+Skills!O2</f>
        <v/>
      </c>
      <c r="G683">
        <f>Skills!G2*IF(Skills!H2&gt;0,Skills!I2/Skills!H2,1)</f>
        <v/>
      </c>
      <c r="H683">
        <f>1-(1-Skills!J2/100)^Skills!K2</f>
        <v/>
      </c>
      <c r="I683" t="inlineStr">
        <is>
          <t>1</t>
        </is>
      </c>
      <c r="J683">
        <f>(Inputs!$B$5*(1+Inputs!$B$6/100))*(F683/100)</f>
        <v/>
      </c>
      <c r="K683">
        <f>J683*(1+((Inputs!$B$11*(1+Inputs!$B$12/100))*0.01+Inputs!$B$13*0.0025)/100)*(1+Inputs!$B$14/100)*(1+IF(Inputs!$B$4="pvp",0,(1-Summary!$B$55)*(Inputs!$B$19+0+Skills!P2)+Summary!$B$55*(Inputs!$B$20+Skills!Q2))/100)*(1+Inputs!$B$15/100)*(5000/(6000+Inputs!$B$7*(1-(Inputs!$B$18+0)/100)))*(1+(Inputs!$B$23+((C703=TRUE)*(F703-Calc!F22))+B712)/100)*(1+(IF(Skills!A2="HOOK_BOMBER",Inputs!$B$16+((C702=TRUE)*(F702-Calc!F21)),Inputs!$B$17+0))/100)*((1+(((C694=TRUE)*F694)+((C700=TRUE)*(F700-Calc!F19)))/100)*I683)</f>
        <v/>
      </c>
      <c r="L683">
        <f>K683*(MIN(Inputs!$B$21+((C701=TRUE)*(F701-Calc!F20)),Inputs!$B$22+0)/100+(Inputs!$B$22+0)/100)/2</f>
        <v/>
      </c>
      <c r="M683">
        <f>L683*(1+(Inputs!$B$9+0+B711)/100)</f>
        <v/>
      </c>
      <c r="N683">
        <f>L683*(1-MIN((Inputs!$B$8+((C697=TRUE)*(F697-Calc!F16))+B706),100)/100)+M683*(MIN((Inputs!$B$8+((C697=TRUE)*(F697-Calc!F16))+B706),100)/100)</f>
        <v/>
      </c>
      <c r="O683">
        <f>IF(C683,Skills!G2*N683*B710*IF(Inputs!$B$4="pvp",1,(1-Summary!$B$55)*(1)+Summary!$B$55*(MIN((6+Inputs!$B$32),Inputs!$B$37))),0)</f>
        <v/>
      </c>
      <c r="P683">
        <f>IF(B714=0,0,O683/B714)</f>
        <v/>
      </c>
      <c r="Q683" t="n">
        <v>0</v>
      </c>
      <c r="R683" t="n">
        <v>0</v>
      </c>
      <c r="S683">
        <f>IFERROR(O683/N683,0)</f>
        <v/>
      </c>
      <c r="U683">
        <f>MAX(0,(Inputs!$B$3-100)*3)+Inputs!$B$27+Inputs!$B$28</f>
        <v/>
      </c>
    </row>
    <row r="684">
      <c r="A684">
        <f>Skills!A3</f>
        <v/>
      </c>
      <c r="B684">
        <f>Skills!B3</f>
        <v/>
      </c>
      <c r="C684">
        <f>Inputs!$B$3&gt;=35</f>
        <v/>
      </c>
      <c r="D684">
        <f>IF(Skills!C3=1,60+Inputs!$B$24+Inputs!$B$28,IF(Skills!C3=2,90+Inputs!$B$25+Inputs!$B$28,IF(Skills!C3=3,120+(Inputs!$B$26+1)+Inputs!$B$28,MAX(0,(Inputs!$B$3-100)*3)+Inputs!$B$27+Inputs!$B$28)))</f>
        <v/>
      </c>
      <c r="E684">
        <f>INDEX(FactorTable!$B$2:$Y$301, MATCH(ROUND(MIN(300,MAX(1,D684)),0), FactorTable!$A$2:$A$301,0), Skills!M3+1)</f>
        <v/>
      </c>
      <c r="F684">
        <f>IF(Skills!N3=TRUE,(Skills!L3/10)*(E684/1000),Skills!L3/10)+Skills!O3</f>
        <v/>
      </c>
      <c r="G684">
        <f>Skills!G3*IF(Skills!H3&gt;0,Skills!I3/Skills!H3,1)</f>
        <v/>
      </c>
      <c r="H684">
        <f>1-(1-Skills!J3/100)^Skills!K3</f>
        <v/>
      </c>
      <c r="I684" t="inlineStr">
        <is>
          <t>1</t>
        </is>
      </c>
      <c r="J684">
        <f>(Inputs!$B$5*(1+Inputs!$B$6/100))*(F684/100)</f>
        <v/>
      </c>
      <c r="K684">
        <f>J684*(1+((Inputs!$B$11*(1+Inputs!$B$12/100))*0.01+Inputs!$B$13*0.0025)/100)*(1+Inputs!$B$14/100)*(1+IF(Inputs!$B$4="pvp",0,(1-Summary!$B$55)*(Inputs!$B$19+0+Skills!P3)+Summary!$B$55*(Inputs!$B$20+Skills!Q3))/100)*(1+Inputs!$B$15/100)*(5000/(6000+Inputs!$B$7*(1-(Inputs!$B$18+0)/100)))*(1+(Inputs!$B$23+((C703=TRUE)*(F703-Calc!F22))+B712)/100)*(1+(IF(Skills!A3="HOOK_BOMBER",Inputs!$B$16+((C702=TRUE)*(F702-Calc!F21)),Inputs!$B$17+0))/100)*((1+(((C694=TRUE)*F694)+((C700=TRUE)*(F700-Calc!F19)))/100)*I684)</f>
        <v/>
      </c>
      <c r="L684">
        <f>K684*(MIN(Inputs!$B$21+((C701=TRUE)*(F701-Calc!F20)),Inputs!$B$22+0)/100+(Inputs!$B$22+0)/100)/2</f>
        <v/>
      </c>
      <c r="M684">
        <f>L684*(1+(Inputs!$B$9+0+B711)/100)</f>
        <v/>
      </c>
      <c r="N684">
        <f>L684*(1-MIN((Inputs!$B$8+((C697=TRUE)*(F697-Calc!F16))+B706),100)/100)+M684*(MIN((Inputs!$B$8+((C697=TRUE)*(F697-Calc!F16))+B706),100)/100)</f>
        <v/>
      </c>
      <c r="O684">
        <f>IF(C684,Skills!G3*H684*N684*B710*IF(Inputs!$B$4="pvp",1,(1-Summary!$B$55)*(1)+Summary!$B$55*(MIN(Skills!R3,Inputs!$B$37))),0)</f>
        <v/>
      </c>
      <c r="P684">
        <f>IF(B714=0,0,O684/B714)</f>
        <v/>
      </c>
      <c r="Q684" t="n">
        <v>0</v>
      </c>
      <c r="R684" t="n">
        <v>0</v>
      </c>
      <c r="S684">
        <f>IFERROR(O684/N684,0)</f>
        <v/>
      </c>
      <c r="U684">
        <f>INDEX(FactorTable!$B$2:$Y$301, MATCH(ROUND(MIN(300,MAX(1,U683)),0), FactorTable!$A$2:$A$301,0), 22)</f>
        <v/>
      </c>
    </row>
    <row r="685">
      <c r="A685">
        <f>Skills!A4</f>
        <v/>
      </c>
      <c r="B685">
        <f>Skills!B4</f>
        <v/>
      </c>
      <c r="C685">
        <f>Inputs!$B$3&gt;=60</f>
        <v/>
      </c>
      <c r="D685">
        <f>IF(Skills!C4=1,60+Inputs!$B$24+Inputs!$B$28,IF(Skills!C4=2,90+Inputs!$B$25+Inputs!$B$28,IF(Skills!C4=3,120+(Inputs!$B$26+1)+Inputs!$B$28,MAX(0,(Inputs!$B$3-100)*3)+Inputs!$B$27+Inputs!$B$28)))</f>
        <v/>
      </c>
      <c r="E685">
        <f>INDEX(FactorTable!$B$2:$Y$301, MATCH(ROUND(MIN(300,MAX(1,D685)),0), FactorTable!$A$2:$A$301,0), Skills!M4+1)</f>
        <v/>
      </c>
      <c r="F685">
        <f>IF(Skills!N4=TRUE,(Skills!L4/10)*(E685/1000),Skills!L4/10)+Skills!O4</f>
        <v/>
      </c>
      <c r="G685">
        <f>Skills!G4*IF(Skills!H4&gt;0,Skills!I4/Skills!H4,1)</f>
        <v/>
      </c>
      <c r="H685">
        <f>1-(1-Skills!J4/100)^Skills!K4</f>
        <v/>
      </c>
      <c r="I685" t="inlineStr">
        <is>
          <t>1</t>
        </is>
      </c>
      <c r="J685">
        <f>(Inputs!$B$5*(1+Inputs!$B$6/100))*(F685/100)</f>
        <v/>
      </c>
      <c r="K685">
        <f>J685*(1+((Inputs!$B$11*(1+Inputs!$B$12/100))*0.01+Inputs!$B$13*0.0025)/100)*(1+Inputs!$B$14/100)*(1+IF(Inputs!$B$4="pvp",0,(1-Summary!$B$55)*(Inputs!$B$19+0+Skills!P4)+Summary!$B$55*(Inputs!$B$20+Skills!Q4))/100)*(1+Inputs!$B$15/100)*(5000/(6000+Inputs!$B$7*(1-(Inputs!$B$18+0)/100)))*(1+(Inputs!$B$23+((C703=TRUE)*(F703-Calc!F22))+B712)/100)*(1+1.0*IF(C693=TRUE,F693,0)/100)*(1+(IF(Skills!A4="HOOK_BOMBER",Inputs!$B$16+((C702=TRUE)*(F702-Calc!F21)),Inputs!$B$17+0))/100)*((1+(((C694=TRUE)*F694)+((C700=TRUE)*(F700-Calc!F19)))/100)*I685)</f>
        <v/>
      </c>
      <c r="L685">
        <f>K685*(MIN(Inputs!$B$21+((C701=TRUE)*(F701-Calc!F20)),Inputs!$B$22+0)/100+(Inputs!$B$22+0)/100)/2</f>
        <v/>
      </c>
      <c r="M685">
        <f>L685*(1+(Inputs!$B$9+0+B711)/100)</f>
        <v/>
      </c>
      <c r="N685">
        <f>L685*(1-MIN((Inputs!$B$8+((C697=TRUE)*(F697-Calc!F16))+B706),100)/100)+M685*(MIN((Inputs!$B$8+((C697=TRUE)*(F697-Calc!F16))+B706),100)/100)</f>
        <v/>
      </c>
      <c r="O685">
        <f>IF(C685,Skills!G4*H685*N685*B710*IF(Inputs!$B$4="pvp",1,(1-Summary!$B$55)*(1)+Summary!$B$55*(MIN(Skills!R4,Inputs!$B$37))),0)</f>
        <v/>
      </c>
      <c r="P685">
        <f>IF(B714=0,0,O685/B714)</f>
        <v/>
      </c>
      <c r="Q685" t="n">
        <v>0</v>
      </c>
      <c r="R685" t="n">
        <v>0</v>
      </c>
      <c r="S685">
        <f>IFERROR(O685/N685,0)</f>
        <v/>
      </c>
      <c r="U685">
        <f>290*U684/1000</f>
        <v/>
      </c>
    </row>
    <row r="686">
      <c r="A686">
        <f>Skills!A5</f>
        <v/>
      </c>
      <c r="B686">
        <f>Skills!B5</f>
        <v/>
      </c>
      <c r="C686">
        <f>Inputs!$B$3&gt;=60</f>
        <v/>
      </c>
      <c r="D686">
        <f>IF(Skills!C5=1,60+Inputs!$B$24+Inputs!$B$28,IF(Skills!C5=2,90+Inputs!$B$25+Inputs!$B$28,IF(Skills!C5=3,120+(Inputs!$B$26+1)+Inputs!$B$28,MAX(0,(Inputs!$B$3-100)*3)+Inputs!$B$27+Inputs!$B$28)))</f>
        <v/>
      </c>
      <c r="E686">
        <f>INDEX(FactorTable!$B$2:$Y$301, MATCH(ROUND(MIN(300,MAX(1,D686)),0), FactorTable!$A$2:$A$301,0), Skills!M5+1)</f>
        <v/>
      </c>
      <c r="F686">
        <f>IF(Skills!N5=TRUE,(Skills!L5/10)*(E686/1000),Skills!L5/10)+Skills!O5</f>
        <v/>
      </c>
      <c r="G686">
        <f>Skills!G5*IF(Skills!H5&gt;0,Skills!I5/Skills!H5,1)</f>
        <v/>
      </c>
      <c r="H686">
        <f>1-(1-Skills!J5/100)^Skills!K5</f>
        <v/>
      </c>
      <c r="I686" t="inlineStr">
        <is>
          <t>1</t>
        </is>
      </c>
      <c r="J686" t="inlineStr"/>
      <c r="K686" t="inlineStr"/>
      <c r="L686" t="inlineStr"/>
      <c r="M686" t="inlineStr"/>
      <c r="N686" t="inlineStr"/>
      <c r="O686" t="n">
        <v>0</v>
      </c>
      <c r="P686">
        <f>IF(B714=0,0,O686/B714)</f>
        <v/>
      </c>
      <c r="Q686" t="n">
        <v>0</v>
      </c>
      <c r="R686" t="n">
        <v>0</v>
      </c>
      <c r="S686">
        <f>IFERROR(O686/N686,0)</f>
        <v/>
      </c>
    </row>
    <row r="687">
      <c r="A687">
        <f>Skills!A6</f>
        <v/>
      </c>
      <c r="B687">
        <f>Skills!B6</f>
        <v/>
      </c>
      <c r="C687">
        <f>Inputs!$B$3&gt;=63</f>
        <v/>
      </c>
      <c r="D687">
        <f>IF(Skills!C6=1,60+Inputs!$B$24+Inputs!$B$28,IF(Skills!C6=2,90+Inputs!$B$25+Inputs!$B$28,IF(Skills!C6=3,120+(Inputs!$B$26+1)+Inputs!$B$28,MAX(0,(Inputs!$B$3-100)*3)+Inputs!$B$27+Inputs!$B$28)))</f>
        <v/>
      </c>
      <c r="E687">
        <f>INDEX(FactorTable!$B$2:$Y$301, MATCH(ROUND(MIN(300,MAX(1,D687)),0), FactorTable!$A$2:$A$301,0), Skills!M6+1)</f>
        <v/>
      </c>
      <c r="F687">
        <f>IF(Skills!N6=TRUE,(Skills!L6/10)*(E687/1000),Skills!L6/10)+Skills!O6</f>
        <v/>
      </c>
      <c r="G687">
        <f>Skills!G6*IF(Skills!H6&gt;0,Skills!I6/Skills!H6,1)</f>
        <v/>
      </c>
      <c r="H687">
        <f>1-(1-Skills!J6/100)^Skills!K6</f>
        <v/>
      </c>
      <c r="I687" t="inlineStr">
        <is>
          <t>1</t>
        </is>
      </c>
      <c r="J687">
        <f>(Inputs!$B$5*(1+Inputs!$B$6/100))*(F687/100)</f>
        <v/>
      </c>
      <c r="K687">
        <f>J687*(1+((Inputs!$B$11*(1+Inputs!$B$12/100))*0.01+Inputs!$B$13*0.0025)/100)*(1+Inputs!$B$14/100)*(1+IF(Inputs!$B$4="pvp",0,(1-Summary!$B$55)*(Inputs!$B$19+0+Skills!P6)+Summary!$B$55*(Inputs!$B$20+Skills!Q6))/100)*(1+Inputs!$B$15/100)*(5000/(6000+Inputs!$B$7*(1-(Inputs!$B$18+0)/100)))*(1+(Inputs!$B$23+((C703=TRUE)*(F703-Calc!F22))+B712)/100)*(1+(IF(Skills!A6="HOOK_BOMBER",Inputs!$B$16+((C702=TRUE)*(F702-Calc!F21)),Inputs!$B$17+0))/100)*((1+(((C694=TRUE)*F694)+((C700=TRUE)*(F700-Calc!F19)))/100)*I687)</f>
        <v/>
      </c>
      <c r="L687">
        <f>K687*(MIN(Inputs!$B$21+((C701=TRUE)*(F701-Calc!F20)),Inputs!$B$22+0)/100+(Inputs!$B$22+0)/100)/2</f>
        <v/>
      </c>
      <c r="M687">
        <f>L687*(1+(Inputs!$B$9+0+B711)/100)</f>
        <v/>
      </c>
      <c r="N687">
        <f>L687*(1-MIN((Inputs!$B$8+((C697=TRUE)*(F697-Calc!F16))+B706),100)/100)+M687*(MIN((Inputs!$B$8+((C697=TRUE)*(F697-Calc!F16))+B706),100)/100)</f>
        <v/>
      </c>
      <c r="O687">
        <f>IF(C687,H687*N687*IF(AND(Inputs!$B$4&lt;&gt;"pvp",Inputs!$B$35&gt;0),((Skills!G6*((R687-1)*IF(Skills!H6&gt;0,Skills!I6/Skills!H6,1)+IF(Skills!H6&gt;0,MIN(Skills!I6,MAX(0,Inputs!$B$35-((R687-1)*IF(Inputs!$B$4="pvp",15,MAX(0.1,Skills!D6-IF(Skills!E6=TRUE,Inputs!$B$31,0))))))/Skills!H6,1)))/Inputs!$B$35),G687*Q687)*IF(Inputs!$B$4="pvp",1,(1-Summary!$B$55)*(1)+Summary!$B$55*(MIN(Skills!R6,Inputs!$B$37))),0)</f>
        <v/>
      </c>
      <c r="P687">
        <f>IF(B714=0,0,O687/B714)</f>
        <v/>
      </c>
      <c r="Q687">
        <f>IFERROR(1/IF(Inputs!$B$4="pvp",15,MAX(0.1,Skills!D6-IF(Skills!E6=TRUE,Inputs!$B$31,0))),0)</f>
        <v/>
      </c>
      <c r="R687">
        <f>IF(AND(Inputs!$B$4&lt;&gt;"pvp",Inputs!$B$35&gt;0),(INT(Inputs!$B$35/IF(Inputs!$B$4="pvp",15,MAX(0.1,Skills!D6-IF(Skills!E6=TRUE,Inputs!$B$31,0))))+1),0)</f>
        <v/>
      </c>
      <c r="S687">
        <f>IFERROR(O687/N687,0)</f>
        <v/>
      </c>
    </row>
    <row r="688">
      <c r="A688">
        <f>Skills!A7</f>
        <v/>
      </c>
      <c r="B688">
        <f>Skills!B7</f>
        <v/>
      </c>
      <c r="C688">
        <f>Inputs!$B$3&gt;=100</f>
        <v/>
      </c>
      <c r="D688">
        <f>IF(Skills!C7=1,60+Inputs!$B$24+Inputs!$B$28,IF(Skills!C7=2,90+Inputs!$B$25+Inputs!$B$28,IF(Skills!C7=3,120+(Inputs!$B$26+1)+Inputs!$B$28,MAX(0,(Inputs!$B$3-100)*3)+Inputs!$B$27+Inputs!$B$28)))</f>
        <v/>
      </c>
      <c r="E688">
        <f>INDEX(FactorTable!$B$2:$Y$301, MATCH(ROUND(MIN(300,MAX(1,D688)),0), FactorTable!$A$2:$A$301,0), Skills!M7+1)</f>
        <v/>
      </c>
      <c r="F688">
        <f>IF(Skills!N7=TRUE,(Skills!L7/10)*(E688/1000),Skills!L7/10)+Skills!O7</f>
        <v/>
      </c>
      <c r="G688">
        <f>Skills!G7*IF(Skills!H7&gt;0,Skills!I7/Skills!H7,1)</f>
        <v/>
      </c>
      <c r="H688">
        <f>1-(1-Skills!J7/100)^Skills!K7</f>
        <v/>
      </c>
      <c r="I688" t="inlineStr">
        <is>
          <t>1</t>
        </is>
      </c>
      <c r="J688">
        <f>(Inputs!$B$5*(1+Inputs!$B$6/100))*(F688/100)</f>
        <v/>
      </c>
      <c r="K688">
        <f>J688*(1+((Inputs!$B$11*(1+Inputs!$B$12/100))*0.01+Inputs!$B$13*0.0025)/100)*(1+Inputs!$B$14/100)*(1+IF(Inputs!$B$4="pvp",0,(1-Summary!$B$55)*(Inputs!$B$19+0+Skills!P7)+Summary!$B$55*(Inputs!$B$20+Skills!Q7))/100)*(1+Inputs!$B$15/100)*(5000/(6000+Inputs!$B$7*(1-(Inputs!$B$18+0)/100)))*(1+(Inputs!$B$23+((C703=TRUE)*(F703-Calc!F22))+B712)/100)*(1+(IF(Skills!A7="HOOK_BOMBER",Inputs!$B$16+((C702=TRUE)*(F702-Calc!F21)),Inputs!$B$17+0))/100)*((1+(((C694=TRUE)*F694)+((C700=TRUE)*(F700-Calc!F19)))/100)*I688)</f>
        <v/>
      </c>
      <c r="L688">
        <f>K688*(MIN(Inputs!$B$21+((C701=TRUE)*(F701-Calc!F20)),Inputs!$B$22+0)/100+(Inputs!$B$22+0)/100)/2</f>
        <v/>
      </c>
      <c r="M688">
        <f>L688*(1+(Inputs!$B$9+0+B711)/100)</f>
        <v/>
      </c>
      <c r="N688">
        <f>L688*(1-MIN((Inputs!$B$8+((C697=TRUE)*(F697-Calc!F16))+B706),100)/100)+M688*(MIN((Inputs!$B$8+((C697=TRUE)*(F697-Calc!F16))+B706),100)/100)</f>
        <v/>
      </c>
      <c r="O688">
        <f>IF(C688,H688*N688*IF(AND(Inputs!$B$4&lt;&gt;"pvp",Inputs!$B$35&gt;0),((Skills!G7*((R688-1)*IF(Skills!H7&gt;0,Skills!I7/Skills!H7,1)+IF(Skills!H7&gt;0,MIN(Skills!I7,MAX(0,Inputs!$B$35-((R688-1)*IF(Inputs!$B$4="pvp",15,MAX(0.1,Skills!D7-IF(Skills!E7=TRUE,Inputs!$B$31,0))))))/Skills!H7,1)))/Inputs!$B$35),G688*Q688)*IF(Inputs!$B$4="pvp",1,(1-Summary!$B$55)*(1)+Summary!$B$55*(MIN(Skills!R7,Inputs!$B$37))),0)</f>
        <v/>
      </c>
      <c r="P688">
        <f>IF(B714=0,0,O688/B714)</f>
        <v/>
      </c>
      <c r="Q688">
        <f>IFERROR(1/IF(Inputs!$B$4="pvp",15,MAX(0.1,Skills!D7-IF(Skills!E7=TRUE,Inputs!$B$31,0))),0)</f>
        <v/>
      </c>
      <c r="R688">
        <f>IF(AND(Inputs!$B$4&lt;&gt;"pvp",Inputs!$B$35&gt;0),(INT(Inputs!$B$35/IF(Inputs!$B$4="pvp",15,MAX(0.1,Skills!D7-IF(Skills!E7=TRUE,Inputs!$B$31,0))))+1),0)</f>
        <v/>
      </c>
      <c r="S688">
        <f>IFERROR(O688/N688,0)</f>
        <v/>
      </c>
    </row>
    <row r="689">
      <c r="A689">
        <f>Skills!A8</f>
        <v/>
      </c>
      <c r="B689">
        <f>Skills!B8</f>
        <v/>
      </c>
      <c r="C689">
        <f>Inputs!$B$3&gt;=110</f>
        <v/>
      </c>
      <c r="D689">
        <f>IF(Skills!C8=1,60+Inputs!$B$24+Inputs!$B$28,IF(Skills!C8=2,90+Inputs!$B$25+Inputs!$B$28,IF(Skills!C8=3,120+(Inputs!$B$26+1)+Inputs!$B$28,MAX(0,(Inputs!$B$3-100)*3)+Inputs!$B$27+Inputs!$B$28)))</f>
        <v/>
      </c>
      <c r="E689">
        <f>INDEX(FactorTable!$B$2:$Y$301, MATCH(ROUND(MIN(300,MAX(1,D689)),0), FactorTable!$A$2:$A$301,0), Skills!M8+1)</f>
        <v/>
      </c>
      <c r="F689">
        <f>IF(Skills!N8=TRUE,(Skills!L8/10)*(E689/1000),Skills!L8/10)+Skills!O8</f>
        <v/>
      </c>
      <c r="G689">
        <f>Skills!G8*IF(Skills!H8&gt;0,Skills!I8/Skills!H8,1)</f>
        <v/>
      </c>
      <c r="H689">
        <f>1-(1-Skills!J8/100)^Skills!K8</f>
        <v/>
      </c>
      <c r="I689" t="inlineStr">
        <is>
          <t>1</t>
        </is>
      </c>
      <c r="J689">
        <f>(Inputs!$B$5*(1+Inputs!$B$6/100))*(F689/100)</f>
        <v/>
      </c>
      <c r="K689">
        <f>J689*(1+((Inputs!$B$11*(1+Inputs!$B$12/100))*0.01+Inputs!$B$13*0.0025)/100)*(1+Inputs!$B$14/100)*(1+IF(Inputs!$B$4="pvp",0,(1-Summary!$B$55)*(Inputs!$B$19+0+Skills!P8)+Summary!$B$55*(Inputs!$B$20+Skills!Q8))/100)*(1+Inputs!$B$15/100)*(5000/(6000+Inputs!$B$7*(1-(Inputs!$B$18+0)/100)))*(1+(Inputs!$B$23+((C703=TRUE)*(F703-Calc!F22))+B712)/100)*(1+(IF(Skills!A8="HOOK_BOMBER",Inputs!$B$16+((C702=TRUE)*(F702-Calc!F21)),Inputs!$B$17+0))/100)*((1+(((C694=TRUE)*F694)+((C700=TRUE)*(F700-Calc!F19)))/100)*I689)</f>
        <v/>
      </c>
      <c r="L689">
        <f>K689*(MIN(Inputs!$B$21+((C701=TRUE)*(F701-Calc!F20)),Inputs!$B$22+0)/100+(Inputs!$B$22+0)/100)/2</f>
        <v/>
      </c>
      <c r="M689">
        <f>L689*(1+(Inputs!$B$9+0+B711)/100)</f>
        <v/>
      </c>
      <c r="N689">
        <f>L689*(1-MIN((Inputs!$B$8+((C697=TRUE)*(F697-Calc!F16))+B706),100)/100)+M689*(MIN((Inputs!$B$8+((C697=TRUE)*(F697-Calc!F16))+B706),100)/100)</f>
        <v/>
      </c>
      <c r="O689">
        <f>IF(C689,H689*N689*IF(AND(Inputs!$B$4&lt;&gt;"pvp",Inputs!$B$35&gt;0),((Skills!G8*((R689-1)*IF(Skills!H8&gt;0,Skills!I8/Skills!H8,1)+IF(Skills!H8&gt;0,MIN(Skills!I8,MAX(0,Inputs!$B$35-((R689-1)*IF(Inputs!$B$4="pvp",15,MAX(0.1,Skills!D8-IF(Skills!E8=TRUE,Inputs!$B$31,0))))))/Skills!H8,1)))/Inputs!$B$35),G689*Q689)*IF(Inputs!$B$4="pvp",1,(1-Summary!$B$55)*(1)+Summary!$B$55*(MIN(Skills!R8,Inputs!$B$37))),0)</f>
        <v/>
      </c>
      <c r="P689">
        <f>IF(B714=0,0,O689/B714)</f>
        <v/>
      </c>
      <c r="Q689">
        <f>IFERROR(1/IF(Inputs!$B$4="pvp",15,MAX(0.1,Skills!D8-IF(Skills!E8=TRUE,Inputs!$B$31,0))),0)</f>
        <v/>
      </c>
      <c r="R689">
        <f>IF(AND(Inputs!$B$4&lt;&gt;"pvp",Inputs!$B$35&gt;0),(INT(Inputs!$B$35/IF(Inputs!$B$4="pvp",15,MAX(0.1,Skills!D8-IF(Skills!E8=TRUE,Inputs!$B$31,0))))+1),0)</f>
        <v/>
      </c>
      <c r="S689">
        <f>IFERROR(O689/N689,0)</f>
        <v/>
      </c>
    </row>
    <row r="690">
      <c r="A690">
        <f>Skills!A9</f>
        <v/>
      </c>
      <c r="B690">
        <f>Skills!B9</f>
        <v/>
      </c>
      <c r="C690">
        <f>Inputs!$B$3&gt;=110</f>
        <v/>
      </c>
      <c r="D690">
        <f>IF(Skills!C9=1,60+Inputs!$B$24+Inputs!$B$28,IF(Skills!C9=2,90+Inputs!$B$25+Inputs!$B$28,IF(Skills!C9=3,120+(Inputs!$B$26+1)+Inputs!$B$28,MAX(0,(Inputs!$B$3-100)*3)+Inputs!$B$27+Inputs!$B$28)))</f>
        <v/>
      </c>
      <c r="E690">
        <f>INDEX(FactorTable!$B$2:$Y$301, MATCH(ROUND(MIN(300,MAX(1,D690)),0), FactorTable!$A$2:$A$301,0), Skills!M9+1)</f>
        <v/>
      </c>
      <c r="F690">
        <f>IF(Skills!N9=TRUE,(Skills!L9/10)*(E690/1000),Skills!L9/10)+Skills!O9</f>
        <v/>
      </c>
      <c r="G690">
        <f>Skills!G9*IF(Skills!H9&gt;0,Skills!I9/Skills!H9,1)</f>
        <v/>
      </c>
      <c r="H690">
        <f>1-(1-Skills!J9/100)^Skills!K9</f>
        <v/>
      </c>
      <c r="I690" t="inlineStr">
        <is>
          <t>1</t>
        </is>
      </c>
      <c r="J690">
        <f>(Inputs!$B$5*(1+Inputs!$B$6/100))*(F690/100)</f>
        <v/>
      </c>
      <c r="K690">
        <f>J690*(1+((Inputs!$B$11*(1+Inputs!$B$12/100))*0.01+Inputs!$B$13*0.0025)/100)*(1+Inputs!$B$14/100)*(1+IF(Inputs!$B$4="pvp",0,(1-Summary!$B$55)*(Inputs!$B$19+0+Skills!P9)+Summary!$B$55*(Inputs!$B$20+Skills!Q9))/100)*(1+Inputs!$B$15/100)*(5000/(6000+Inputs!$B$7*(1-(Inputs!$B$18+0)/100)))*(1+(Inputs!$B$23+((C703=TRUE)*(F703-Calc!F22))+B712)/100)*(1+(IF(Skills!A9="HOOK_BOMBER",Inputs!$B$16+((C702=TRUE)*(F702-Calc!F21)),Inputs!$B$17+0))/100)*((1+(((C694=TRUE)*F694)+((C700=TRUE)*(F700-Calc!F19)))/100)*I690)</f>
        <v/>
      </c>
      <c r="L690">
        <f>K690*(MIN(Inputs!$B$21+((C701=TRUE)*(F701-Calc!F20)),Inputs!$B$22+0)/100+(Inputs!$B$22+0)/100)/2</f>
        <v/>
      </c>
      <c r="M690">
        <f>L690*(1+(Inputs!$B$9+0+B711)/100)</f>
        <v/>
      </c>
      <c r="N690">
        <f>L690*(1-MIN((Inputs!$B$8+((C697=TRUE)*(F697-Calc!F16))+B706),100)/100)+M690*(MIN((Inputs!$B$8+((C697=TRUE)*(F697-Calc!F16))+B706),100)/100)</f>
        <v/>
      </c>
      <c r="O690">
        <f>IF(C690,H690*N690*IF(AND(Inputs!$B$4&lt;&gt;"pvp",Inputs!$B$35&gt;0),((Skills!G9*((R690-1)*IF(Skills!H9&gt;0,Skills!I9/Skills!H9,1)+IF(Skills!H9&gt;0,MIN(Skills!I9,MAX(0,Inputs!$B$35-((R690-1)*IF(Inputs!$B$4="pvp",15,MAX(0.1,Skills!D9-IF(Skills!E9=TRUE,Inputs!$B$31,0))))))/Skills!H9,1)))/Inputs!$B$35),G690*Q690)*IF(Inputs!$B$4="pvp",1,(1-Summary!$B$55)*(1)+Summary!$B$55*(MIN(Skills!R9,Inputs!$B$37))),0)</f>
        <v/>
      </c>
      <c r="P690">
        <f>IF(B714=0,0,O690/B714)</f>
        <v/>
      </c>
      <c r="Q690">
        <f>IFERROR(1/IF(Inputs!$B$4="pvp",15,MAX(0.1,Skills!D9-IF(Skills!E9=TRUE,Inputs!$B$31,0))),0)</f>
        <v/>
      </c>
      <c r="R690">
        <f>IF(AND(Inputs!$B$4&lt;&gt;"pvp",Inputs!$B$35&gt;0),(INT(Inputs!$B$35/IF(Inputs!$B$4="pvp",15,MAX(0.1,Skills!D9-IF(Skills!E9=TRUE,Inputs!$B$31,0))))+1),0)</f>
        <v/>
      </c>
      <c r="S690">
        <f>IFERROR(O690/N690,0)</f>
        <v/>
      </c>
    </row>
    <row r="691">
      <c r="A691">
        <f>Skills!A10</f>
        <v/>
      </c>
      <c r="B691">
        <f>Skills!B10</f>
        <v/>
      </c>
      <c r="C691">
        <f>Inputs!$B$3&gt;=103</f>
        <v/>
      </c>
      <c r="D691">
        <f>IF(Skills!C10=1,60+Inputs!$B$24+Inputs!$B$28,IF(Skills!C10=2,90+Inputs!$B$25+Inputs!$B$28,IF(Skills!C10=3,120+(Inputs!$B$26+1)+Inputs!$B$28,MAX(0,(Inputs!$B$3-100)*3)+Inputs!$B$27+Inputs!$B$28)))</f>
        <v/>
      </c>
      <c r="E691">
        <f>INDEX(FactorTable!$B$2:$Y$301, MATCH(ROUND(MIN(300,MAX(1,D691)),0), FactorTable!$A$2:$A$301,0), Skills!M10+1)</f>
        <v/>
      </c>
      <c r="F691">
        <f>IF(Skills!N10=TRUE,(Skills!L10/10)*(E691/1000),Skills!L10/10)+Skills!O10</f>
        <v/>
      </c>
      <c r="G691">
        <f>Skills!G10*IF(Skills!H10&gt;0,Skills!I10/Skills!H10,1)</f>
        <v/>
      </c>
      <c r="H691">
        <f>1-(1-Skills!J10/100)^Skills!K10</f>
        <v/>
      </c>
      <c r="I691" t="inlineStr">
        <is>
          <t>1</t>
        </is>
      </c>
      <c r="J691">
        <f>(Inputs!$B$5*(1+Inputs!$B$6/100))*(F691/100)</f>
        <v/>
      </c>
      <c r="K691">
        <f>J691*(1+((Inputs!$B$11*(1+Inputs!$B$12/100))*0.01+Inputs!$B$13*0.0025)/100)*(1+Inputs!$B$14/100)*(1+IF(Inputs!$B$4="pvp",0,(1-Summary!$B$55)*(Inputs!$B$19+0+Skills!P10)+Summary!$B$55*(Inputs!$B$20+Skills!Q10))/100)*(1+Inputs!$B$15/100)*(5000/(6000+Inputs!$B$7*(1-(Inputs!$B$18+0)/100)))*(1+(Inputs!$B$23+((C703=TRUE)*(F703-Calc!F22))+B712)/100)*(1+(IF(Skills!A10="HOOK_BOMBER",Inputs!$B$16+((C702=TRUE)*(F702-Calc!F21)),Inputs!$B$17+0))/100)*((1+(((C694=TRUE)*F694)+((C700=TRUE)*(F700-Calc!F19)))/100)*I691)</f>
        <v/>
      </c>
      <c r="L691">
        <f>K691*(MIN(Inputs!$B$21+((C701=TRUE)*(F701-Calc!F20)),Inputs!$B$22+0)/100+(Inputs!$B$22+0)/100)/2</f>
        <v/>
      </c>
      <c r="M691">
        <f>L691*(1+(Inputs!$B$9+0+B711)/100)</f>
        <v/>
      </c>
      <c r="N691">
        <f>L691*(1-MIN((Inputs!$B$8+((C697=TRUE)*(F697-Calc!F16))+B706),100)/100)+M691*(MIN((Inputs!$B$8+((C697=TRUE)*(F697-Calc!F16))+B706),100)/100)</f>
        <v/>
      </c>
      <c r="O691">
        <f>IF(C691,H691*N691*IF(AND(Inputs!$B$4&lt;&gt;"pvp",Inputs!$B$35&gt;0),((Skills!G10*((R691-1)*IF(Skills!H10&gt;0,Skills!I10/Skills!H10,1)+IF(Skills!H10&gt;0,MIN(Skills!I10,MAX(0,Inputs!$B$35-((R691-1)*IF(Inputs!$B$4="pvp",15,MAX(0.1,Skills!D10-IF(Skills!E10=TRUE,Inputs!$B$31,0))))))/Skills!H10,1)))/Inputs!$B$35),G691*Q691)*IF(Inputs!$B$4="pvp",1,(1-Summary!$B$55)*(1)+Summary!$B$55*(MIN(Skills!R10,Inputs!$B$37))),0)</f>
        <v/>
      </c>
      <c r="P691">
        <f>IF(B714=0,0,O691/B714)</f>
        <v/>
      </c>
      <c r="Q691">
        <f>IFERROR(1/IF(Inputs!$B$4="pvp",15,MAX(0.1,Skills!D10-IF(Skills!E10=TRUE,Inputs!$B$31,0))),0)</f>
        <v/>
      </c>
      <c r="R691">
        <f>IF(AND(Inputs!$B$4&lt;&gt;"pvp",Inputs!$B$35&gt;0),(INT(Inputs!$B$35/IF(Inputs!$B$4="pvp",15,MAX(0.1,Skills!D10-IF(Skills!E10=TRUE,Inputs!$B$31,0))))+1),0)</f>
        <v/>
      </c>
      <c r="S691">
        <f>IFERROR(O691/N691,0)</f>
        <v/>
      </c>
    </row>
    <row r="692">
      <c r="A692">
        <f>Skills!A11</f>
        <v/>
      </c>
      <c r="B692">
        <f>Skills!B11</f>
        <v/>
      </c>
      <c r="C692">
        <f>Inputs!$B$3&gt;=113</f>
        <v/>
      </c>
      <c r="D692">
        <f>IF(Skills!C11=1,60+Inputs!$B$24+Inputs!$B$28,IF(Skills!C11=2,90+Inputs!$B$25+Inputs!$B$28,IF(Skills!C11=3,120+(Inputs!$B$26+1)+Inputs!$B$28,MAX(0,(Inputs!$B$3-100)*3)+Inputs!$B$27+Inputs!$B$28)))</f>
        <v/>
      </c>
      <c r="E692">
        <f>INDEX(FactorTable!$B$2:$Y$301, MATCH(ROUND(MIN(300,MAX(1,D692)),0), FactorTable!$A$2:$A$301,0), Skills!M11+1)</f>
        <v/>
      </c>
      <c r="F692">
        <f>IF(Skills!N11=TRUE,(Skills!L11/10)*(E692/1000),Skills!L11/10)+Skills!O11</f>
        <v/>
      </c>
      <c r="G692">
        <f>Skills!G11*IF(Skills!H11&gt;0,Skills!I11/Skills!H11,1)</f>
        <v/>
      </c>
      <c r="H692">
        <f>1-(1-Skills!J11/100)^Skills!K11</f>
        <v/>
      </c>
      <c r="I692" t="inlineStr">
        <is>
          <t>1</t>
        </is>
      </c>
      <c r="J692">
        <f>(Inputs!$B$5*(1+Inputs!$B$6/100))*(F692/100)</f>
        <v/>
      </c>
      <c r="K692">
        <f>J692*(1+((Inputs!$B$11*(1+Inputs!$B$12/100))*0.01+Inputs!$B$13*0.0025)/100)*(1+Inputs!$B$14/100)*(1+IF(Inputs!$B$4="pvp",0,(1-Summary!$B$55)*(Inputs!$B$19+0+Skills!P11)+Summary!$B$55*(Inputs!$B$20+Skills!Q11))/100)*(1+Inputs!$B$15/100)*(5000/(6000+Inputs!$B$7*(1-(Inputs!$B$18+0)/100)))*(1+(Inputs!$B$23+((C703=TRUE)*(F703-Calc!F22))+B712)/100)*(1+(IF(Skills!A11="HOOK_BOMBER",Inputs!$B$16+((C702=TRUE)*(F702-Calc!F21)),Inputs!$B$17+0))/100)*((1+(((C694=TRUE)*F694)+((C700=TRUE)*(F700-Calc!F19)))/100)*I692)</f>
        <v/>
      </c>
      <c r="L692">
        <f>K692*(MIN(Inputs!$B$21+((C701=TRUE)*(F701-Calc!F20)),Inputs!$B$22+0)/100+(Inputs!$B$22+0)/100)/2</f>
        <v/>
      </c>
      <c r="M692">
        <f>L692*(1+(Inputs!$B$9+0+B711)/100)</f>
        <v/>
      </c>
      <c r="N692">
        <f>L692*(1-MIN((Inputs!$B$8+((C697=TRUE)*(F697-Calc!F16))+B706),100)/100)+M692*(MIN((Inputs!$B$8+((C697=TRUE)*(F697-Calc!F16))+B706),100)/100)</f>
        <v/>
      </c>
      <c r="O692">
        <f>IF(C692,H692*N692*IF(AND(Inputs!$B$4&lt;&gt;"pvp",Inputs!$B$35&gt;0),((Skills!G11*((R692-1)*IF(Skills!H11&gt;0,Skills!I11/Skills!H11,1)+IF(Skills!H11&gt;0,MIN(Skills!I11,MAX(0,Inputs!$B$35-((R692-1)*IF(Inputs!$B$4="pvp",15,MAX(0.1,Skills!D11-IF(Skills!E11=TRUE,Inputs!$B$31,0))))))/Skills!H11,1)))/Inputs!$B$35),G692*Q692)*IF(Inputs!$B$4="pvp",1,(1-Summary!$B$55)*(1)+Summary!$B$55*(MIN(Skills!R11,Inputs!$B$37))),0)</f>
        <v/>
      </c>
      <c r="P692">
        <f>IF(B714=0,0,O692/B714)</f>
        <v/>
      </c>
      <c r="Q692">
        <f>IFERROR(1/IF(Inputs!$B$4="pvp",15,MAX(0.1,Skills!D11-IF(Skills!E11=TRUE,Inputs!$B$31,0))),0)</f>
        <v/>
      </c>
      <c r="R692">
        <f>IF(AND(Inputs!$B$4&lt;&gt;"pvp",Inputs!$B$35&gt;0),(INT(Inputs!$B$35/IF(Inputs!$B$4="pvp",15,MAX(0.1,Skills!D11-IF(Skills!E11=TRUE,Inputs!$B$31,0))))+1),0)</f>
        <v/>
      </c>
      <c r="S692">
        <f>IFERROR(O692/N692,0)</f>
        <v/>
      </c>
    </row>
    <row r="693">
      <c r="A693">
        <f>Skills!A12</f>
        <v/>
      </c>
      <c r="B693">
        <f>Skills!B12</f>
        <v/>
      </c>
      <c r="C693">
        <f>Inputs!$B$3&gt;=100</f>
        <v/>
      </c>
      <c r="D693">
        <f>IF(Skills!C12=1,60+Inputs!$B$24+Inputs!$B$28,IF(Skills!C12=2,90+Inputs!$B$25+Inputs!$B$28,IF(Skills!C12=3,120+(Inputs!$B$26+1)+Inputs!$B$28,MAX(0,(Inputs!$B$3-100)*3)+Inputs!$B$27+Inputs!$B$28)))</f>
        <v/>
      </c>
      <c r="E693">
        <f>INDEX(FactorTable!$B$2:$Y$301, MATCH(ROUND(MIN(300,MAX(1,D693)),0), FactorTable!$A$2:$A$301,0), Skills!M12+1)</f>
        <v/>
      </c>
      <c r="F693">
        <f>IF(Skills!N12=TRUE,(Skills!L12/10)*(E693/1000),Skills!L12/10)+Skills!O12</f>
        <v/>
      </c>
      <c r="G693" t="inlineStr"/>
      <c r="H693" t="inlineStr"/>
      <c r="I693" t="inlineStr">
        <is>
          <t>1</t>
        </is>
      </c>
      <c r="J693" t="inlineStr"/>
      <c r="K693" t="inlineStr"/>
      <c r="L693" t="inlineStr"/>
      <c r="M693" t="inlineStr"/>
      <c r="N693" t="inlineStr"/>
      <c r="O693" t="inlineStr"/>
      <c r="P693" t="inlineStr"/>
      <c r="Q693" t="inlineStr"/>
      <c r="R693" t="inlineStr"/>
      <c r="S693" t="inlineStr"/>
    </row>
    <row r="694">
      <c r="A694">
        <f>Skills!A13</f>
        <v/>
      </c>
      <c r="B694">
        <f>Skills!B13</f>
        <v/>
      </c>
      <c r="C694">
        <f>Inputs!$B$3&gt;=66</f>
        <v/>
      </c>
      <c r="D694">
        <f>IF(Skills!C13=1,60+Inputs!$B$24+Inputs!$B$28,IF(Skills!C13=2,90+Inputs!$B$25+Inputs!$B$28,IF(Skills!C13=3,120+(Inputs!$B$26+1)+Inputs!$B$28,MAX(0,(Inputs!$B$3-100)*3)+Inputs!$B$27+Inputs!$B$28)))</f>
        <v/>
      </c>
      <c r="E694">
        <f>INDEX(FactorTable!$B$2:$Y$301, MATCH(ROUND(MIN(300,MAX(1,D694)),0), FactorTable!$A$2:$A$301,0), Skills!M13+1)</f>
        <v/>
      </c>
      <c r="F694">
        <f>IF(Skills!N13=TRUE,(Skills!L13/10)*(E694/1000),Skills!L13/10)+Skills!O13</f>
        <v/>
      </c>
      <c r="G694">
        <f>Skills!G13*IF(Skills!H13&gt;0,Skills!I13/Skills!H13,1)</f>
        <v/>
      </c>
      <c r="H694">
        <f>1-(1-Skills!J13/100)^Skills!K13</f>
        <v/>
      </c>
      <c r="I694" t="inlineStr">
        <is>
          <t>1</t>
        </is>
      </c>
      <c r="J694" t="inlineStr"/>
      <c r="K694" t="inlineStr"/>
      <c r="L694" t="inlineStr"/>
      <c r="M694" t="inlineStr"/>
      <c r="N694" t="inlineStr"/>
      <c r="O694" t="n">
        <v>0</v>
      </c>
      <c r="P694">
        <f>IF(B714=0,0,O694/B714)</f>
        <v/>
      </c>
      <c r="Q694" t="n">
        <v>0</v>
      </c>
      <c r="R694" t="n">
        <v>0</v>
      </c>
      <c r="S694">
        <f>IFERROR(O694/N694,0)</f>
        <v/>
      </c>
    </row>
    <row r="695">
      <c r="A695">
        <f>Skills!A14</f>
        <v/>
      </c>
      <c r="B695">
        <f>Skills!B14</f>
        <v/>
      </c>
      <c r="C695">
        <f>Inputs!$B$3&gt;=107</f>
        <v/>
      </c>
      <c r="D695">
        <f>IF(Skills!C14=1,60+Inputs!$B$24+Inputs!$B$28,IF(Skills!C14=2,90+Inputs!$B$25+Inputs!$B$28,IF(Skills!C14=3,120+(Inputs!$B$26+1)+Inputs!$B$28,MAX(0,(Inputs!$B$3-100)*3)+Inputs!$B$27+Inputs!$B$28)))</f>
        <v/>
      </c>
      <c r="E695">
        <f>INDEX(FactorTable!$B$2:$Y$301, MATCH(ROUND(MIN(300,MAX(1,D695)),0), FactorTable!$A$2:$A$301,0), Skills!M14+1)</f>
        <v/>
      </c>
      <c r="F695">
        <f>IF(Skills!N14=TRUE,(Skills!L14/10)*(E695/1000),Skills!L14/10)+Skills!O14</f>
        <v/>
      </c>
      <c r="G695">
        <f>Skills!G14*IF(Skills!H14&gt;0,Skills!I14/Skills!H14,1)</f>
        <v/>
      </c>
      <c r="H695">
        <f>1-(1-Skills!J14/100)^Skills!K14</f>
        <v/>
      </c>
      <c r="I695" t="inlineStr">
        <is>
          <t>1</t>
        </is>
      </c>
      <c r="J695" t="inlineStr"/>
      <c r="K695" t="inlineStr"/>
      <c r="L695" t="inlineStr"/>
      <c r="M695" t="inlineStr"/>
      <c r="N695" t="inlineStr"/>
      <c r="O695" t="n">
        <v>0</v>
      </c>
      <c r="P695">
        <f>IF(B714=0,0,O695/B714)</f>
        <v/>
      </c>
      <c r="Q695" t="n">
        <v>0</v>
      </c>
      <c r="R695" t="n">
        <v>0</v>
      </c>
      <c r="S695">
        <f>IFERROR(O695/N695,0)</f>
        <v/>
      </c>
    </row>
    <row r="696">
      <c r="A696">
        <f>Skills!A15</f>
        <v/>
      </c>
      <c r="B696">
        <f>Skills!B15</f>
        <v/>
      </c>
      <c r="C696">
        <f>Inputs!$B$3&gt;=115</f>
        <v/>
      </c>
      <c r="D696">
        <f>IF(Skills!C15=1,60+Inputs!$B$24+Inputs!$B$28,IF(Skills!C15=2,90+Inputs!$B$25+Inputs!$B$28,IF(Skills!C15=3,120+(Inputs!$B$26+1)+Inputs!$B$28,MAX(0,(Inputs!$B$3-100)*3)+Inputs!$B$27+Inputs!$B$28)))</f>
        <v/>
      </c>
      <c r="E696">
        <f>INDEX(FactorTable!$B$2:$Y$301, MATCH(ROUND(MIN(300,MAX(1,D696)),0), FactorTable!$A$2:$A$301,0), Skills!M15+1)</f>
        <v/>
      </c>
      <c r="F696">
        <f>IF(Skills!N15=TRUE,(Skills!L15/10)*(E696/1000),Skills!L15/10)+Skills!O15</f>
        <v/>
      </c>
      <c r="G696">
        <f>Skills!G15*IF(Skills!H15&gt;0,Skills!I15/Skills!H15,1)</f>
        <v/>
      </c>
      <c r="H696">
        <f>1-(1-Skills!J15/100)^Skills!K15</f>
        <v/>
      </c>
      <c r="I696" t="inlineStr">
        <is>
          <t>1</t>
        </is>
      </c>
      <c r="J696" t="inlineStr"/>
      <c r="K696" t="inlineStr"/>
      <c r="L696" t="inlineStr"/>
      <c r="M696" t="inlineStr"/>
      <c r="N696" t="inlineStr"/>
      <c r="O696" t="n">
        <v>0</v>
      </c>
      <c r="P696">
        <f>IF(B714=0,0,O696/B714)</f>
        <v/>
      </c>
      <c r="Q696" t="n">
        <v>0</v>
      </c>
      <c r="R696" t="n">
        <v>0</v>
      </c>
      <c r="S696">
        <f>IFERROR(O696/N696,0)</f>
        <v/>
      </c>
    </row>
    <row r="697">
      <c r="A697">
        <f>Skills!A16</f>
        <v/>
      </c>
      <c r="B697">
        <f>Skills!B16</f>
        <v/>
      </c>
      <c r="C697">
        <f>Inputs!$B$3&gt;=15</f>
        <v/>
      </c>
      <c r="D697">
        <f>IF(Skills!C16=1,60+Inputs!$B$24+Inputs!$B$28,IF(Skills!C16=2,90+Inputs!$B$25+Inputs!$B$28,IF(Skills!C16=3,120+(Inputs!$B$26+1)+Inputs!$B$28,MAX(0,(Inputs!$B$3-100)*3)+Inputs!$B$27+Inputs!$B$28)))</f>
        <v/>
      </c>
      <c r="E697">
        <f>INDEX(FactorTable!$B$2:$Y$301, MATCH(ROUND(MIN(300,MAX(1,D697)),0), FactorTable!$A$2:$A$301,0), Skills!M16+1)</f>
        <v/>
      </c>
      <c r="F697">
        <f>IF(Skills!N16=TRUE,(Skills!L16/10)*(E697/1000),Skills!L16/10)+Skills!O16</f>
        <v/>
      </c>
      <c r="G697">
        <f>Skills!G16*IF(Skills!H16&gt;0,Skills!I16/Skills!H16,1)</f>
        <v/>
      </c>
      <c r="H697">
        <f>1-(1-Skills!J16/100)^Skills!K16</f>
        <v/>
      </c>
      <c r="I697" t="inlineStr">
        <is>
          <t>1</t>
        </is>
      </c>
      <c r="J697" t="inlineStr"/>
      <c r="K697" t="inlineStr"/>
      <c r="L697" t="inlineStr"/>
      <c r="M697" t="inlineStr"/>
      <c r="N697" t="inlineStr"/>
      <c r="O697" t="n">
        <v>0</v>
      </c>
      <c r="P697">
        <f>IF(B714=0,0,O697/B714)</f>
        <v/>
      </c>
      <c r="Q697" t="n">
        <v>0</v>
      </c>
      <c r="R697" t="n">
        <v>0</v>
      </c>
      <c r="S697">
        <f>IFERROR(O697/N697,0)</f>
        <v/>
      </c>
    </row>
    <row r="698">
      <c r="A698">
        <f>Skills!A17</f>
        <v/>
      </c>
      <c r="B698">
        <f>Skills!B17</f>
        <v/>
      </c>
      <c r="C698">
        <f>Inputs!$B$3&gt;=10</f>
        <v/>
      </c>
      <c r="D698">
        <f>IF(Skills!C17=1,60+Inputs!$B$24+Inputs!$B$28,IF(Skills!C17=2,90+Inputs!$B$25+Inputs!$B$28,IF(Skills!C17=3,120+(Inputs!$B$26+1)+Inputs!$B$28,MAX(0,(Inputs!$B$3-100)*3)+Inputs!$B$27+Inputs!$B$28)))</f>
        <v/>
      </c>
      <c r="E698">
        <f>INDEX(FactorTable!$B$2:$Y$301, MATCH(ROUND(MIN(300,MAX(1,D698)),0), FactorTable!$A$2:$A$301,0), Skills!M17+1)</f>
        <v/>
      </c>
      <c r="F698">
        <f>IF(Skills!N17=TRUE,(Skills!L17/10)*(E698/1000),Skills!L17/10)+Skills!O17</f>
        <v/>
      </c>
      <c r="G698">
        <f>Skills!G17*IF(Skills!H17&gt;0,Skills!I17/Skills!H17,1)</f>
        <v/>
      </c>
      <c r="H698">
        <f>1-(1-Skills!J17/100)^Skills!K17</f>
        <v/>
      </c>
      <c r="I698" t="inlineStr">
        <is>
          <t>1</t>
        </is>
      </c>
      <c r="J698" t="inlineStr"/>
      <c r="K698" t="inlineStr"/>
      <c r="L698" t="inlineStr"/>
      <c r="M698" t="inlineStr"/>
      <c r="N698" t="inlineStr"/>
      <c r="O698" t="n">
        <v>0</v>
      </c>
      <c r="P698">
        <f>IF(B714=0,0,O698/B714)</f>
        <v/>
      </c>
      <c r="Q698" t="n">
        <v>0</v>
      </c>
      <c r="R698" t="n">
        <v>0</v>
      </c>
      <c r="S698">
        <f>IFERROR(O698/N698,0)</f>
        <v/>
      </c>
    </row>
    <row r="699">
      <c r="A699">
        <f>Skills!A18</f>
        <v/>
      </c>
      <c r="B699">
        <f>Skills!B18</f>
        <v/>
      </c>
      <c r="C699">
        <f>Inputs!$B$3&gt;=33</f>
        <v/>
      </c>
      <c r="D699">
        <f>IF(Skills!C18=1,60+Inputs!$B$24+Inputs!$B$28,IF(Skills!C18=2,90+Inputs!$B$25+Inputs!$B$28,IF(Skills!C18=3,120+(Inputs!$B$26+1)+Inputs!$B$28,MAX(0,(Inputs!$B$3-100)*3)+Inputs!$B$27+Inputs!$B$28)))</f>
        <v/>
      </c>
      <c r="E699">
        <f>INDEX(FactorTable!$B$2:$Y$301, MATCH(ROUND(MIN(300,MAX(1,D699)),0), FactorTable!$A$2:$A$301,0), Skills!M18+1)</f>
        <v/>
      </c>
      <c r="F699">
        <f>IF(Skills!N18=TRUE,(Skills!L18/10)*(E699/1000),Skills!L18/10)+Skills!O18</f>
        <v/>
      </c>
      <c r="G699">
        <f>Skills!G18*IF(Skills!H18&gt;0,Skills!I18/Skills!H18,1)</f>
        <v/>
      </c>
      <c r="H699">
        <f>1-(1-Skills!J18/100)^Skills!K18</f>
        <v/>
      </c>
      <c r="I699" t="inlineStr">
        <is>
          <t>1</t>
        </is>
      </c>
      <c r="J699" t="inlineStr"/>
      <c r="K699" t="inlineStr"/>
      <c r="L699" t="inlineStr"/>
      <c r="M699" t="inlineStr"/>
      <c r="N699" t="inlineStr"/>
      <c r="O699" t="n">
        <v>0</v>
      </c>
      <c r="P699">
        <f>IF(B714=0,0,O699/B714)</f>
        <v/>
      </c>
      <c r="Q699" t="n">
        <v>0</v>
      </c>
      <c r="R699" t="n">
        <v>0</v>
      </c>
      <c r="S699">
        <f>IFERROR(O699/N699,0)</f>
        <v/>
      </c>
    </row>
    <row r="700">
      <c r="A700">
        <f>Skills!A19</f>
        <v/>
      </c>
      <c r="B700">
        <f>Skills!B19</f>
        <v/>
      </c>
      <c r="C700">
        <f>Inputs!$B$3&gt;=40</f>
        <v/>
      </c>
      <c r="D700">
        <f>IF(Skills!C19=1,60+Inputs!$B$24+Inputs!$B$28,IF(Skills!C19=2,90+Inputs!$B$25+Inputs!$B$28,IF(Skills!C19=3,120+(Inputs!$B$26+1)+Inputs!$B$28,MAX(0,(Inputs!$B$3-100)*3)+Inputs!$B$27+Inputs!$B$28)))</f>
        <v/>
      </c>
      <c r="E700">
        <f>INDEX(FactorTable!$B$2:$Y$301, MATCH(ROUND(MIN(300,MAX(1,D700)),0), FactorTable!$A$2:$A$301,0), Skills!M19+1)</f>
        <v/>
      </c>
      <c r="F700">
        <f>IF(Skills!N19=TRUE,(Skills!L19/10)*(E700/1000),Skills!L19/10)+Skills!O19</f>
        <v/>
      </c>
      <c r="G700">
        <f>Skills!G19*IF(Skills!H19&gt;0,Skills!I19/Skills!H19,1)</f>
        <v/>
      </c>
      <c r="H700">
        <f>1-(1-Skills!J19/100)^Skills!K19</f>
        <v/>
      </c>
      <c r="I700" t="inlineStr">
        <is>
          <t>1</t>
        </is>
      </c>
      <c r="J700" t="inlineStr"/>
      <c r="K700" t="inlineStr"/>
      <c r="L700" t="inlineStr"/>
      <c r="M700" t="inlineStr"/>
      <c r="N700" t="inlineStr"/>
      <c r="O700" t="n">
        <v>0</v>
      </c>
      <c r="P700">
        <f>IF(B714=0,0,O700/B714)</f>
        <v/>
      </c>
      <c r="Q700" t="n">
        <v>0</v>
      </c>
      <c r="R700" t="n">
        <v>0</v>
      </c>
      <c r="S700">
        <f>IFERROR(O700/N700,0)</f>
        <v/>
      </c>
    </row>
    <row r="701">
      <c r="A701">
        <f>Skills!A20</f>
        <v/>
      </c>
      <c r="B701">
        <f>Skills!B20</f>
        <v/>
      </c>
      <c r="C701">
        <f>Inputs!$B$3&gt;=43</f>
        <v/>
      </c>
      <c r="D701">
        <f>IF(Skills!C20=1,60+Inputs!$B$24+Inputs!$B$28,IF(Skills!C20=2,90+Inputs!$B$25+Inputs!$B$28,IF(Skills!C20=3,120+(Inputs!$B$26+1)+Inputs!$B$28,MAX(0,(Inputs!$B$3-100)*3)+Inputs!$B$27+Inputs!$B$28)))</f>
        <v/>
      </c>
      <c r="E701">
        <f>INDEX(FactorTable!$B$2:$Y$301, MATCH(ROUND(MIN(300,MAX(1,D701)),0), FactorTable!$A$2:$A$301,0), Skills!M20+1)</f>
        <v/>
      </c>
      <c r="F701">
        <f>IF(Skills!N20=TRUE,(Skills!L20/10)*(E701/1000),Skills!L20/10)+Skills!O20</f>
        <v/>
      </c>
      <c r="G701">
        <f>Skills!G20*IF(Skills!H20&gt;0,Skills!I20/Skills!H20,1)</f>
        <v/>
      </c>
      <c r="H701">
        <f>1-(1-Skills!J20/100)^Skills!K20</f>
        <v/>
      </c>
      <c r="I701" t="inlineStr">
        <is>
          <t>1</t>
        </is>
      </c>
      <c r="J701" t="inlineStr"/>
      <c r="K701" t="inlineStr"/>
      <c r="L701" t="inlineStr"/>
      <c r="M701" t="inlineStr"/>
      <c r="N701" t="inlineStr"/>
      <c r="O701" t="n">
        <v>0</v>
      </c>
      <c r="P701">
        <f>IF(B714=0,0,O701/B714)</f>
        <v/>
      </c>
      <c r="Q701" t="n">
        <v>0</v>
      </c>
      <c r="R701" t="n">
        <v>0</v>
      </c>
      <c r="S701">
        <f>IFERROR(O701/N701,0)</f>
        <v/>
      </c>
    </row>
    <row r="702">
      <c r="A702">
        <f>Skills!A21</f>
        <v/>
      </c>
      <c r="B702">
        <f>Skills!B21</f>
        <v/>
      </c>
      <c r="C702">
        <f>Inputs!$B$3&gt;=38</f>
        <v/>
      </c>
      <c r="D702">
        <f>IF(Skills!C21=1,60+Inputs!$B$24+Inputs!$B$28,IF(Skills!C21=2,90+Inputs!$B$25+Inputs!$B$28,IF(Skills!C21=3,120+(Inputs!$B$26+1)+Inputs!$B$28,MAX(0,(Inputs!$B$3-100)*3)+Inputs!$B$27+Inputs!$B$28)))</f>
        <v/>
      </c>
      <c r="E702">
        <f>INDEX(FactorTable!$B$2:$Y$301, MATCH(ROUND(MIN(300,MAX(1,D702)),0), FactorTable!$A$2:$A$301,0), Skills!M21+1)</f>
        <v/>
      </c>
      <c r="F702">
        <f>IF(Skills!N21=TRUE,(Skills!L21/10)*(E702/1000),Skills!L21/10)+Skills!O21</f>
        <v/>
      </c>
      <c r="G702">
        <f>Skills!G21*IF(Skills!H21&gt;0,Skills!I21/Skills!H21,1)</f>
        <v/>
      </c>
      <c r="H702">
        <f>1-(1-Skills!J21/100)^Skills!K21</f>
        <v/>
      </c>
      <c r="I702" t="inlineStr">
        <is>
          <t>1</t>
        </is>
      </c>
      <c r="J702" t="inlineStr"/>
      <c r="K702" t="inlineStr"/>
      <c r="L702" t="inlineStr"/>
      <c r="M702" t="inlineStr"/>
      <c r="N702" t="inlineStr"/>
      <c r="O702" t="n">
        <v>0</v>
      </c>
      <c r="P702">
        <f>IF(B714=0,0,O702/B714)</f>
        <v/>
      </c>
      <c r="Q702" t="n">
        <v>0</v>
      </c>
      <c r="R702" t="n">
        <v>0</v>
      </c>
      <c r="S702">
        <f>IFERROR(O702/N702,0)</f>
        <v/>
      </c>
    </row>
    <row r="703">
      <c r="A703">
        <f>Skills!A22</f>
        <v/>
      </c>
      <c r="B703">
        <f>Skills!B22</f>
        <v/>
      </c>
      <c r="C703">
        <f>Inputs!$B$3&gt;=75</f>
        <v/>
      </c>
      <c r="D703">
        <f>IF(Skills!C22=1,60+Inputs!$B$24+Inputs!$B$28,IF(Skills!C22=2,90+Inputs!$B$25+Inputs!$B$28,IF(Skills!C22=3,120+(Inputs!$B$26+1)+Inputs!$B$28,MAX(0,(Inputs!$B$3-100)*3)+Inputs!$B$27+Inputs!$B$28)))</f>
        <v/>
      </c>
      <c r="E703">
        <f>INDEX(FactorTable!$B$2:$Y$301, MATCH(ROUND(MIN(300,MAX(1,D703)),0), FactorTable!$A$2:$A$301,0), Skills!M22+1)</f>
        <v/>
      </c>
      <c r="F703">
        <f>IF(Skills!N22=TRUE,(Skills!L22/10)*(E703/1000),Skills!L22/10)+Skills!O22</f>
        <v/>
      </c>
      <c r="G703">
        <f>Skills!G22*IF(Skills!H22&gt;0,Skills!I22/Skills!H22,1)</f>
        <v/>
      </c>
      <c r="H703">
        <f>1-(1-Skills!J22/100)^Skills!K22</f>
        <v/>
      </c>
      <c r="I703" t="inlineStr">
        <is>
          <t>1</t>
        </is>
      </c>
      <c r="J703" t="inlineStr"/>
      <c r="K703" t="inlineStr"/>
      <c r="L703" t="inlineStr"/>
      <c r="M703" t="inlineStr"/>
      <c r="N703" t="inlineStr"/>
      <c r="O703" t="n">
        <v>0</v>
      </c>
      <c r="P703">
        <f>IF(B714=0,0,O703/B714)</f>
        <v/>
      </c>
      <c r="Q703" t="n">
        <v>0</v>
      </c>
      <c r="R703" t="n">
        <v>0</v>
      </c>
      <c r="S703">
        <f>IFERROR(O703/N703,0)</f>
        <v/>
      </c>
    </row>
    <row r="705">
      <c r="A705" t="inlineStr">
        <is>
          <t>Attack% Bucket Multiplier</t>
        </is>
      </c>
      <c r="B705">
        <f>(1+(((C694=TRUE)*F694)+((C700=TRUE)*(F700-Calc!F19)))/100)</f>
        <v/>
      </c>
    </row>
    <row r="706">
      <c r="A706" t="inlineStr">
        <is>
          <t>Global Crit Rate Bonus %</t>
        </is>
      </c>
      <c r="B706" t="n">
        <v>0</v>
      </c>
    </row>
    <row r="707">
      <c r="A707" t="inlineStr">
        <is>
          <t>Attack Speed Buff Bonus % (unused)</t>
        </is>
      </c>
      <c r="B707" t="n">
        <v>0</v>
      </c>
    </row>
    <row r="708">
      <c r="A708" t="inlineStr">
        <is>
          <t>Actions Per Second</t>
        </is>
      </c>
      <c r="B708">
        <f>1+MIN(150,150*(1-(1-(Inputs!$B$10+((C698=TRUE)*(F698-Calc!F17))+((C699=TRUE)*(F699-Calc!F18)))/150)*(1-B707/150)))/100</f>
        <v/>
      </c>
    </row>
    <row r="709">
      <c r="A709" t="inlineStr">
        <is>
          <t>Skill + Buff Cast Rate</t>
        </is>
      </c>
      <c r="B709">
        <f>IF(AND(Inputs!$B$4&lt;&gt;"pvp",Inputs!$B$35&gt;0),SUMPRODUCT((Skills!E2:E22=TRUE)*(C683:C703=TRUE)*R683:R703*Skills!F2:F22)/Inputs!$B$35,SUMPRODUCT((Skills!E2:E22=TRUE)*(C683:C703=TRUE)*Q683:Q703*Skills!F2:F22))</f>
        <v/>
      </c>
    </row>
    <row r="710">
      <c r="A710" t="inlineStr">
        <is>
          <t>Hook Bomber Casts Per Second</t>
        </is>
      </c>
      <c r="B710">
        <f>MAX(0,B708-B709)</f>
        <v/>
      </c>
    </row>
    <row r="711">
      <c r="A711" t="inlineStr">
        <is>
          <t>Global Critical Damage Bonus % (unused)</t>
        </is>
      </c>
      <c r="B711" t="n">
        <v>0</v>
      </c>
    </row>
    <row r="712">
      <c r="A712" t="inlineStr">
        <is>
          <t>Global Final Damage Bonus % (Serpent Scale + Crossbones + Time Leap + Speed Infusion)</t>
        </is>
      </c>
      <c r="B712">
        <f>((C686=TRUE)*F686*((10+IF(Inputs!$B$3&gt;=94,5,0))/((10+IF(Inputs!$B$3&gt;=94,5,0))+5/(B710*(1+IF(Inputs!$B$3&gt;=104,1,0))))))+((C695=TRUE)*F695)+((C696=TRUE)*F696)+((Inputs!$B$3&gt;=110)*20*(B708-1))</f>
        <v/>
      </c>
    </row>
    <row r="714">
      <c r="A714" s="5" t="inlineStr">
        <is>
          <t>TOTAL DPS</t>
        </is>
      </c>
      <c r="B714" s="5">
        <f>SUM(O683:O703)</f>
        <v/>
      </c>
    </row>
    <row r="717">
      <c r="A717" s="5" t="inlineStr">
        <is>
          <t>Stat: Skill Level Bonus — 4th Job</t>
        </is>
      </c>
    </row>
    <row r="718">
      <c r="A718" s="8" t="inlineStr">
        <is>
          <t>Key</t>
        </is>
      </c>
      <c r="B718" s="8" t="inlineStr">
        <is>
          <t>Name</t>
        </is>
      </c>
      <c r="C718" s="8" t="inlineStr">
        <is>
          <t>Unlocked</t>
        </is>
      </c>
      <c r="D718" s="8" t="inlineStr">
        <is>
          <t>InputLevel</t>
        </is>
      </c>
      <c r="E718" s="8" t="inlineStr">
        <is>
          <t>Factor</t>
        </is>
      </c>
      <c r="F718" s="8" t="inlineStr">
        <is>
          <t>CoefficientPercent</t>
        </is>
      </c>
      <c r="G718" s="8" t="inlineStr">
        <is>
          <t>EffectiveHits</t>
        </is>
      </c>
      <c r="H718" s="8" t="inlineStr">
        <is>
          <t>ProcProbability</t>
        </is>
      </c>
      <c r="I718" s="8" t="inlineStr">
        <is>
          <t>MapleHeroMultiplier</t>
        </is>
      </c>
      <c r="J718" s="8" t="inlineStr">
        <is>
          <t>BaseDamage</t>
        </is>
      </c>
      <c r="K718" s="8" t="inlineStr">
        <is>
          <t>BaseHitDamage</t>
        </is>
      </c>
      <c r="L718" s="8" t="inlineStr">
        <is>
          <t>NonCritAvg</t>
        </is>
      </c>
      <c r="M718" s="8" t="inlineStr">
        <is>
          <t>CritAvg</t>
        </is>
      </c>
      <c r="N718" s="8" t="inlineStr">
        <is>
          <t>ExpectedDamage(perHit)</t>
        </is>
      </c>
      <c r="O718" s="8" t="inlineStr">
        <is>
          <t>DPS</t>
        </is>
      </c>
      <c r="P718" s="8" t="inlineStr">
        <is>
          <t>% of Total</t>
        </is>
      </c>
      <c r="Q718" s="8" t="inlineStr">
        <is>
          <t>InvCooldown</t>
        </is>
      </c>
      <c r="R718" s="8" t="inlineStr">
        <is>
          <t>CastsInFight</t>
        </is>
      </c>
      <c r="S718" s="8" t="inlineStr">
        <is>
          <t>HitRate(perSec)</t>
        </is>
      </c>
      <c r="U718" t="inlineStr">
        <is>
          <t>helpers</t>
        </is>
      </c>
    </row>
    <row r="719">
      <c r="A719">
        <f>Skills!A2</f>
        <v/>
      </c>
      <c r="B719">
        <f>Skills!B2</f>
        <v/>
      </c>
      <c r="C719">
        <f>Inputs!$B$3&gt;=100</f>
        <v/>
      </c>
      <c r="D719" t="inlineStr"/>
      <c r="E719" t="inlineStr"/>
      <c r="F719">
        <f>U721+Skills!O2</f>
        <v/>
      </c>
      <c r="G719">
        <f>Skills!G2*IF(Skills!H2&gt;0,Skills!I2/Skills!H2,1)</f>
        <v/>
      </c>
      <c r="H719">
        <f>1-(1-Skills!J2/100)^Skills!K2</f>
        <v/>
      </c>
      <c r="I719" t="inlineStr">
        <is>
          <t>1</t>
        </is>
      </c>
      <c r="J719">
        <f>(Inputs!$B$5*(1+Inputs!$B$6/100))*(F719/100)</f>
        <v/>
      </c>
      <c r="K719">
        <f>J719*(1+((Inputs!$B$11*(1+Inputs!$B$12/100))*0.01+Inputs!$B$13*0.0025)/100)*(1+Inputs!$B$14/100)*(1+IF(Inputs!$B$4="pvp",0,(1-Summary!$B$55)*(Inputs!$B$19+0+Skills!P2)+Summary!$B$55*(Inputs!$B$20+Skills!Q2))/100)*(1+Inputs!$B$15/100)*(5000/(6000+Inputs!$B$7*(1-(Inputs!$B$18+0)/100)))*(1+(Inputs!$B$23+((C739=TRUE)*(F739-Calc!F22))+B748)/100)*(1+(IF(Skills!A2="HOOK_BOMBER",Inputs!$B$16+((C738=TRUE)*(F738-Calc!F21)),Inputs!$B$17+0))/100)*((1+(((C730=TRUE)*F730)+((C736=TRUE)*(F736-Calc!F19)))/100)*I719)</f>
        <v/>
      </c>
      <c r="L719">
        <f>K719*(MIN(Inputs!$B$21+((C737=TRUE)*(F737-Calc!F20)),Inputs!$B$22+0)/100+(Inputs!$B$22+0)/100)/2</f>
        <v/>
      </c>
      <c r="M719">
        <f>L719*(1+(Inputs!$B$9+0+B747)/100)</f>
        <v/>
      </c>
      <c r="N719">
        <f>L719*(1-MIN((Inputs!$B$8+((C733=TRUE)*(F733-Calc!F16))+B742),100)/100)+M719*(MIN((Inputs!$B$8+((C733=TRUE)*(F733-Calc!F16))+B742),100)/100)</f>
        <v/>
      </c>
      <c r="O719">
        <f>IF(C719,Skills!G2*N719*B746*IF(Inputs!$B$4="pvp",1,(1-Summary!$B$55)*(1)+Summary!$B$55*(MIN((6+Inputs!$B$32),Inputs!$B$37))),0)</f>
        <v/>
      </c>
      <c r="P719">
        <f>IF(B750=0,0,O719/B750)</f>
        <v/>
      </c>
      <c r="Q719" t="n">
        <v>0</v>
      </c>
      <c r="R719" t="n">
        <v>0</v>
      </c>
      <c r="S719">
        <f>IFERROR(O719/N719,0)</f>
        <v/>
      </c>
      <c r="U719">
        <f>MAX(0,(Inputs!$B$3-100)*3)+(Inputs!$B$27+1)+Inputs!$B$28</f>
        <v/>
      </c>
    </row>
    <row r="720">
      <c r="A720">
        <f>Skills!A3</f>
        <v/>
      </c>
      <c r="B720">
        <f>Skills!B3</f>
        <v/>
      </c>
      <c r="C720">
        <f>Inputs!$B$3&gt;=35</f>
        <v/>
      </c>
      <c r="D720">
        <f>IF(Skills!C3=1,60+Inputs!$B$24+Inputs!$B$28,IF(Skills!C3=2,90+Inputs!$B$25+Inputs!$B$28,IF(Skills!C3=3,120+Inputs!$B$26+Inputs!$B$28,MAX(0,(Inputs!$B$3-100)*3)+(Inputs!$B$27+1)+Inputs!$B$28)))</f>
        <v/>
      </c>
      <c r="E720">
        <f>INDEX(FactorTable!$B$2:$Y$301, MATCH(ROUND(MIN(300,MAX(1,D720)),0), FactorTable!$A$2:$A$301,0), Skills!M3+1)</f>
        <v/>
      </c>
      <c r="F720">
        <f>IF(Skills!N3=TRUE,(Skills!L3/10)*(E720/1000),Skills!L3/10)+Skills!O3</f>
        <v/>
      </c>
      <c r="G720">
        <f>Skills!G3*IF(Skills!H3&gt;0,Skills!I3/Skills!H3,1)</f>
        <v/>
      </c>
      <c r="H720">
        <f>1-(1-Skills!J3/100)^Skills!K3</f>
        <v/>
      </c>
      <c r="I720" t="inlineStr">
        <is>
          <t>1</t>
        </is>
      </c>
      <c r="J720">
        <f>(Inputs!$B$5*(1+Inputs!$B$6/100))*(F720/100)</f>
        <v/>
      </c>
      <c r="K720">
        <f>J720*(1+((Inputs!$B$11*(1+Inputs!$B$12/100))*0.01+Inputs!$B$13*0.0025)/100)*(1+Inputs!$B$14/100)*(1+IF(Inputs!$B$4="pvp",0,(1-Summary!$B$55)*(Inputs!$B$19+0+Skills!P3)+Summary!$B$55*(Inputs!$B$20+Skills!Q3))/100)*(1+Inputs!$B$15/100)*(5000/(6000+Inputs!$B$7*(1-(Inputs!$B$18+0)/100)))*(1+(Inputs!$B$23+((C739=TRUE)*(F739-Calc!F22))+B748)/100)*(1+(IF(Skills!A3="HOOK_BOMBER",Inputs!$B$16+((C738=TRUE)*(F738-Calc!F21)),Inputs!$B$17+0))/100)*((1+(((C730=TRUE)*F730)+((C736=TRUE)*(F736-Calc!F19)))/100)*I720)</f>
        <v/>
      </c>
      <c r="L720">
        <f>K720*(MIN(Inputs!$B$21+((C737=TRUE)*(F737-Calc!F20)),Inputs!$B$22+0)/100+(Inputs!$B$22+0)/100)/2</f>
        <v/>
      </c>
      <c r="M720">
        <f>L720*(1+(Inputs!$B$9+0+B747)/100)</f>
        <v/>
      </c>
      <c r="N720">
        <f>L720*(1-MIN((Inputs!$B$8+((C733=TRUE)*(F733-Calc!F16))+B742),100)/100)+M720*(MIN((Inputs!$B$8+((C733=TRUE)*(F733-Calc!F16))+B742),100)/100)</f>
        <v/>
      </c>
      <c r="O720">
        <f>IF(C720,Skills!G3*H720*N720*B746*IF(Inputs!$B$4="pvp",1,(1-Summary!$B$55)*(1)+Summary!$B$55*(MIN(Skills!R3,Inputs!$B$37))),0)</f>
        <v/>
      </c>
      <c r="P720">
        <f>IF(B750=0,0,O720/B750)</f>
        <v/>
      </c>
      <c r="Q720" t="n">
        <v>0</v>
      </c>
      <c r="R720" t="n">
        <v>0</v>
      </c>
      <c r="S720">
        <f>IFERROR(O720/N720,0)</f>
        <v/>
      </c>
      <c r="U720">
        <f>INDEX(FactorTable!$B$2:$Y$301, MATCH(ROUND(MIN(300,MAX(1,U719)),0), FactorTable!$A$2:$A$301,0), 22)</f>
        <v/>
      </c>
    </row>
    <row r="721">
      <c r="A721">
        <f>Skills!A4</f>
        <v/>
      </c>
      <c r="B721">
        <f>Skills!B4</f>
        <v/>
      </c>
      <c r="C721">
        <f>Inputs!$B$3&gt;=60</f>
        <v/>
      </c>
      <c r="D721">
        <f>IF(Skills!C4=1,60+Inputs!$B$24+Inputs!$B$28,IF(Skills!C4=2,90+Inputs!$B$25+Inputs!$B$28,IF(Skills!C4=3,120+Inputs!$B$26+Inputs!$B$28,MAX(0,(Inputs!$B$3-100)*3)+(Inputs!$B$27+1)+Inputs!$B$28)))</f>
        <v/>
      </c>
      <c r="E721">
        <f>INDEX(FactorTable!$B$2:$Y$301, MATCH(ROUND(MIN(300,MAX(1,D721)),0), FactorTable!$A$2:$A$301,0), Skills!M4+1)</f>
        <v/>
      </c>
      <c r="F721">
        <f>IF(Skills!N4=TRUE,(Skills!L4/10)*(E721/1000),Skills!L4/10)+Skills!O4</f>
        <v/>
      </c>
      <c r="G721">
        <f>Skills!G4*IF(Skills!H4&gt;0,Skills!I4/Skills!H4,1)</f>
        <v/>
      </c>
      <c r="H721">
        <f>1-(1-Skills!J4/100)^Skills!K4</f>
        <v/>
      </c>
      <c r="I721" t="inlineStr">
        <is>
          <t>1</t>
        </is>
      </c>
      <c r="J721">
        <f>(Inputs!$B$5*(1+Inputs!$B$6/100))*(F721/100)</f>
        <v/>
      </c>
      <c r="K721">
        <f>J721*(1+((Inputs!$B$11*(1+Inputs!$B$12/100))*0.01+Inputs!$B$13*0.0025)/100)*(1+Inputs!$B$14/100)*(1+IF(Inputs!$B$4="pvp",0,(1-Summary!$B$55)*(Inputs!$B$19+0+Skills!P4)+Summary!$B$55*(Inputs!$B$20+Skills!Q4))/100)*(1+Inputs!$B$15/100)*(5000/(6000+Inputs!$B$7*(1-(Inputs!$B$18+0)/100)))*(1+(Inputs!$B$23+((C739=TRUE)*(F739-Calc!F22))+B748)/100)*(1+1.0*IF(C729=TRUE,F729,0)/100)*(1+(IF(Skills!A4="HOOK_BOMBER",Inputs!$B$16+((C738=TRUE)*(F738-Calc!F21)),Inputs!$B$17+0))/100)*((1+(((C730=TRUE)*F730)+((C736=TRUE)*(F736-Calc!F19)))/100)*I721)</f>
        <v/>
      </c>
      <c r="L721">
        <f>K721*(MIN(Inputs!$B$21+((C737=TRUE)*(F737-Calc!F20)),Inputs!$B$22+0)/100+(Inputs!$B$22+0)/100)/2</f>
        <v/>
      </c>
      <c r="M721">
        <f>L721*(1+(Inputs!$B$9+0+B747)/100)</f>
        <v/>
      </c>
      <c r="N721">
        <f>L721*(1-MIN((Inputs!$B$8+((C733=TRUE)*(F733-Calc!F16))+B742),100)/100)+M721*(MIN((Inputs!$B$8+((C733=TRUE)*(F733-Calc!F16))+B742),100)/100)</f>
        <v/>
      </c>
      <c r="O721">
        <f>IF(C721,Skills!G4*H721*N721*B746*IF(Inputs!$B$4="pvp",1,(1-Summary!$B$55)*(1)+Summary!$B$55*(MIN(Skills!R4,Inputs!$B$37))),0)</f>
        <v/>
      </c>
      <c r="P721">
        <f>IF(B750=0,0,O721/B750)</f>
        <v/>
      </c>
      <c r="Q721" t="n">
        <v>0</v>
      </c>
      <c r="R721" t="n">
        <v>0</v>
      </c>
      <c r="S721">
        <f>IFERROR(O721/N721,0)</f>
        <v/>
      </c>
      <c r="U721">
        <f>290*U720/1000</f>
        <v/>
      </c>
    </row>
    <row r="722">
      <c r="A722">
        <f>Skills!A5</f>
        <v/>
      </c>
      <c r="B722">
        <f>Skills!B5</f>
        <v/>
      </c>
      <c r="C722">
        <f>Inputs!$B$3&gt;=60</f>
        <v/>
      </c>
      <c r="D722">
        <f>IF(Skills!C5=1,60+Inputs!$B$24+Inputs!$B$28,IF(Skills!C5=2,90+Inputs!$B$25+Inputs!$B$28,IF(Skills!C5=3,120+Inputs!$B$26+Inputs!$B$28,MAX(0,(Inputs!$B$3-100)*3)+(Inputs!$B$27+1)+Inputs!$B$28)))</f>
        <v/>
      </c>
      <c r="E722">
        <f>INDEX(FactorTable!$B$2:$Y$301, MATCH(ROUND(MIN(300,MAX(1,D722)),0), FactorTable!$A$2:$A$301,0), Skills!M5+1)</f>
        <v/>
      </c>
      <c r="F722">
        <f>IF(Skills!N5=TRUE,(Skills!L5/10)*(E722/1000),Skills!L5/10)+Skills!O5</f>
        <v/>
      </c>
      <c r="G722">
        <f>Skills!G5*IF(Skills!H5&gt;0,Skills!I5/Skills!H5,1)</f>
        <v/>
      </c>
      <c r="H722">
        <f>1-(1-Skills!J5/100)^Skills!K5</f>
        <v/>
      </c>
      <c r="I722" t="inlineStr">
        <is>
          <t>1</t>
        </is>
      </c>
      <c r="J722" t="inlineStr"/>
      <c r="K722" t="inlineStr"/>
      <c r="L722" t="inlineStr"/>
      <c r="M722" t="inlineStr"/>
      <c r="N722" t="inlineStr"/>
      <c r="O722" t="n">
        <v>0</v>
      </c>
      <c r="P722">
        <f>IF(B750=0,0,O722/B750)</f>
        <v/>
      </c>
      <c r="Q722" t="n">
        <v>0</v>
      </c>
      <c r="R722" t="n">
        <v>0</v>
      </c>
      <c r="S722">
        <f>IFERROR(O722/N722,0)</f>
        <v/>
      </c>
    </row>
    <row r="723">
      <c r="A723">
        <f>Skills!A6</f>
        <v/>
      </c>
      <c r="B723">
        <f>Skills!B6</f>
        <v/>
      </c>
      <c r="C723">
        <f>Inputs!$B$3&gt;=63</f>
        <v/>
      </c>
      <c r="D723">
        <f>IF(Skills!C6=1,60+Inputs!$B$24+Inputs!$B$28,IF(Skills!C6=2,90+Inputs!$B$25+Inputs!$B$28,IF(Skills!C6=3,120+Inputs!$B$26+Inputs!$B$28,MAX(0,(Inputs!$B$3-100)*3)+(Inputs!$B$27+1)+Inputs!$B$28)))</f>
        <v/>
      </c>
      <c r="E723">
        <f>INDEX(FactorTable!$B$2:$Y$301, MATCH(ROUND(MIN(300,MAX(1,D723)),0), FactorTable!$A$2:$A$301,0), Skills!M6+1)</f>
        <v/>
      </c>
      <c r="F723">
        <f>IF(Skills!N6=TRUE,(Skills!L6/10)*(E723/1000),Skills!L6/10)+Skills!O6</f>
        <v/>
      </c>
      <c r="G723">
        <f>Skills!G6*IF(Skills!H6&gt;0,Skills!I6/Skills!H6,1)</f>
        <v/>
      </c>
      <c r="H723">
        <f>1-(1-Skills!J6/100)^Skills!K6</f>
        <v/>
      </c>
      <c r="I723" t="inlineStr">
        <is>
          <t>1</t>
        </is>
      </c>
      <c r="J723">
        <f>(Inputs!$B$5*(1+Inputs!$B$6/100))*(F723/100)</f>
        <v/>
      </c>
      <c r="K723">
        <f>J723*(1+((Inputs!$B$11*(1+Inputs!$B$12/100))*0.01+Inputs!$B$13*0.0025)/100)*(1+Inputs!$B$14/100)*(1+IF(Inputs!$B$4="pvp",0,(1-Summary!$B$55)*(Inputs!$B$19+0+Skills!P6)+Summary!$B$55*(Inputs!$B$20+Skills!Q6))/100)*(1+Inputs!$B$15/100)*(5000/(6000+Inputs!$B$7*(1-(Inputs!$B$18+0)/100)))*(1+(Inputs!$B$23+((C739=TRUE)*(F739-Calc!F22))+B748)/100)*(1+(IF(Skills!A6="HOOK_BOMBER",Inputs!$B$16+((C738=TRUE)*(F738-Calc!F21)),Inputs!$B$17+0))/100)*((1+(((C730=TRUE)*F730)+((C736=TRUE)*(F736-Calc!F19)))/100)*I723)</f>
        <v/>
      </c>
      <c r="L723">
        <f>K723*(MIN(Inputs!$B$21+((C737=TRUE)*(F737-Calc!F20)),Inputs!$B$22+0)/100+(Inputs!$B$22+0)/100)/2</f>
        <v/>
      </c>
      <c r="M723">
        <f>L723*(1+(Inputs!$B$9+0+B747)/100)</f>
        <v/>
      </c>
      <c r="N723">
        <f>L723*(1-MIN((Inputs!$B$8+((C733=TRUE)*(F733-Calc!F16))+B742),100)/100)+M723*(MIN((Inputs!$B$8+((C733=TRUE)*(F733-Calc!F16))+B742),100)/100)</f>
        <v/>
      </c>
      <c r="O723">
        <f>IF(C723,H723*N723*IF(AND(Inputs!$B$4&lt;&gt;"pvp",Inputs!$B$35&gt;0),((Skills!G6*((R723-1)*IF(Skills!H6&gt;0,Skills!I6/Skills!H6,1)+IF(Skills!H6&gt;0,MIN(Skills!I6,MAX(0,Inputs!$B$35-((R723-1)*IF(Inputs!$B$4="pvp",15,MAX(0.1,Skills!D6-IF(Skills!E6=TRUE,Inputs!$B$31,0))))))/Skills!H6,1)))/Inputs!$B$35),G723*Q723)*IF(Inputs!$B$4="pvp",1,(1-Summary!$B$55)*(1)+Summary!$B$55*(MIN(Skills!R6,Inputs!$B$37))),0)</f>
        <v/>
      </c>
      <c r="P723">
        <f>IF(B750=0,0,O723/B750)</f>
        <v/>
      </c>
      <c r="Q723">
        <f>IFERROR(1/IF(Inputs!$B$4="pvp",15,MAX(0.1,Skills!D6-IF(Skills!E6=TRUE,Inputs!$B$31,0))),0)</f>
        <v/>
      </c>
      <c r="R723">
        <f>IF(AND(Inputs!$B$4&lt;&gt;"pvp",Inputs!$B$35&gt;0),(INT(Inputs!$B$35/IF(Inputs!$B$4="pvp",15,MAX(0.1,Skills!D6-IF(Skills!E6=TRUE,Inputs!$B$31,0))))+1),0)</f>
        <v/>
      </c>
      <c r="S723">
        <f>IFERROR(O723/N723,0)</f>
        <v/>
      </c>
    </row>
    <row r="724">
      <c r="A724">
        <f>Skills!A7</f>
        <v/>
      </c>
      <c r="B724">
        <f>Skills!B7</f>
        <v/>
      </c>
      <c r="C724">
        <f>Inputs!$B$3&gt;=100</f>
        <v/>
      </c>
      <c r="D724">
        <f>IF(Skills!C7=1,60+Inputs!$B$24+Inputs!$B$28,IF(Skills!C7=2,90+Inputs!$B$25+Inputs!$B$28,IF(Skills!C7=3,120+Inputs!$B$26+Inputs!$B$28,MAX(0,(Inputs!$B$3-100)*3)+(Inputs!$B$27+1)+Inputs!$B$28)))</f>
        <v/>
      </c>
      <c r="E724">
        <f>INDEX(FactorTable!$B$2:$Y$301, MATCH(ROUND(MIN(300,MAX(1,D724)),0), FactorTable!$A$2:$A$301,0), Skills!M7+1)</f>
        <v/>
      </c>
      <c r="F724">
        <f>IF(Skills!N7=TRUE,(Skills!L7/10)*(E724/1000),Skills!L7/10)+Skills!O7</f>
        <v/>
      </c>
      <c r="G724">
        <f>Skills!G7*IF(Skills!H7&gt;0,Skills!I7/Skills!H7,1)</f>
        <v/>
      </c>
      <c r="H724">
        <f>1-(1-Skills!J7/100)^Skills!K7</f>
        <v/>
      </c>
      <c r="I724" t="inlineStr">
        <is>
          <t>1</t>
        </is>
      </c>
      <c r="J724">
        <f>(Inputs!$B$5*(1+Inputs!$B$6/100))*(F724/100)</f>
        <v/>
      </c>
      <c r="K724">
        <f>J724*(1+((Inputs!$B$11*(1+Inputs!$B$12/100))*0.01+Inputs!$B$13*0.0025)/100)*(1+Inputs!$B$14/100)*(1+IF(Inputs!$B$4="pvp",0,(1-Summary!$B$55)*(Inputs!$B$19+0+Skills!P7)+Summary!$B$55*(Inputs!$B$20+Skills!Q7))/100)*(1+Inputs!$B$15/100)*(5000/(6000+Inputs!$B$7*(1-(Inputs!$B$18+0)/100)))*(1+(Inputs!$B$23+((C739=TRUE)*(F739-Calc!F22))+B748)/100)*(1+(IF(Skills!A7="HOOK_BOMBER",Inputs!$B$16+((C738=TRUE)*(F738-Calc!F21)),Inputs!$B$17+0))/100)*((1+(((C730=TRUE)*F730)+((C736=TRUE)*(F736-Calc!F19)))/100)*I724)</f>
        <v/>
      </c>
      <c r="L724">
        <f>K724*(MIN(Inputs!$B$21+((C737=TRUE)*(F737-Calc!F20)),Inputs!$B$22+0)/100+(Inputs!$B$22+0)/100)/2</f>
        <v/>
      </c>
      <c r="M724">
        <f>L724*(1+(Inputs!$B$9+0+B747)/100)</f>
        <v/>
      </c>
      <c r="N724">
        <f>L724*(1-MIN((Inputs!$B$8+((C733=TRUE)*(F733-Calc!F16))+B742),100)/100)+M724*(MIN((Inputs!$B$8+((C733=TRUE)*(F733-Calc!F16))+B742),100)/100)</f>
        <v/>
      </c>
      <c r="O724">
        <f>IF(C724,H724*N724*IF(AND(Inputs!$B$4&lt;&gt;"pvp",Inputs!$B$35&gt;0),((Skills!G7*((R724-1)*IF(Skills!H7&gt;0,Skills!I7/Skills!H7,1)+IF(Skills!H7&gt;0,MIN(Skills!I7,MAX(0,Inputs!$B$35-((R724-1)*IF(Inputs!$B$4="pvp",15,MAX(0.1,Skills!D7-IF(Skills!E7=TRUE,Inputs!$B$31,0))))))/Skills!H7,1)))/Inputs!$B$35),G724*Q724)*IF(Inputs!$B$4="pvp",1,(1-Summary!$B$55)*(1)+Summary!$B$55*(MIN(Skills!R7,Inputs!$B$37))),0)</f>
        <v/>
      </c>
      <c r="P724">
        <f>IF(B750=0,0,O724/B750)</f>
        <v/>
      </c>
      <c r="Q724">
        <f>IFERROR(1/IF(Inputs!$B$4="pvp",15,MAX(0.1,Skills!D7-IF(Skills!E7=TRUE,Inputs!$B$31,0))),0)</f>
        <v/>
      </c>
      <c r="R724">
        <f>IF(AND(Inputs!$B$4&lt;&gt;"pvp",Inputs!$B$35&gt;0),(INT(Inputs!$B$35/IF(Inputs!$B$4="pvp",15,MAX(0.1,Skills!D7-IF(Skills!E7=TRUE,Inputs!$B$31,0))))+1),0)</f>
        <v/>
      </c>
      <c r="S724">
        <f>IFERROR(O724/N724,0)</f>
        <v/>
      </c>
    </row>
    <row r="725">
      <c r="A725">
        <f>Skills!A8</f>
        <v/>
      </c>
      <c r="B725">
        <f>Skills!B8</f>
        <v/>
      </c>
      <c r="C725">
        <f>Inputs!$B$3&gt;=110</f>
        <v/>
      </c>
      <c r="D725">
        <f>IF(Skills!C8=1,60+Inputs!$B$24+Inputs!$B$28,IF(Skills!C8=2,90+Inputs!$B$25+Inputs!$B$28,IF(Skills!C8=3,120+Inputs!$B$26+Inputs!$B$28,MAX(0,(Inputs!$B$3-100)*3)+(Inputs!$B$27+1)+Inputs!$B$28)))</f>
        <v/>
      </c>
      <c r="E725">
        <f>INDEX(FactorTable!$B$2:$Y$301, MATCH(ROUND(MIN(300,MAX(1,D725)),0), FactorTable!$A$2:$A$301,0), Skills!M8+1)</f>
        <v/>
      </c>
      <c r="F725">
        <f>IF(Skills!N8=TRUE,(Skills!L8/10)*(E725/1000),Skills!L8/10)+Skills!O8</f>
        <v/>
      </c>
      <c r="G725">
        <f>Skills!G8*IF(Skills!H8&gt;0,Skills!I8/Skills!H8,1)</f>
        <v/>
      </c>
      <c r="H725">
        <f>1-(1-Skills!J8/100)^Skills!K8</f>
        <v/>
      </c>
      <c r="I725" t="inlineStr">
        <is>
          <t>1</t>
        </is>
      </c>
      <c r="J725">
        <f>(Inputs!$B$5*(1+Inputs!$B$6/100))*(F725/100)</f>
        <v/>
      </c>
      <c r="K725">
        <f>J725*(1+((Inputs!$B$11*(1+Inputs!$B$12/100))*0.01+Inputs!$B$13*0.0025)/100)*(1+Inputs!$B$14/100)*(1+IF(Inputs!$B$4="pvp",0,(1-Summary!$B$55)*(Inputs!$B$19+0+Skills!P8)+Summary!$B$55*(Inputs!$B$20+Skills!Q8))/100)*(1+Inputs!$B$15/100)*(5000/(6000+Inputs!$B$7*(1-(Inputs!$B$18+0)/100)))*(1+(Inputs!$B$23+((C739=TRUE)*(F739-Calc!F22))+B748)/100)*(1+(IF(Skills!A8="HOOK_BOMBER",Inputs!$B$16+((C738=TRUE)*(F738-Calc!F21)),Inputs!$B$17+0))/100)*((1+(((C730=TRUE)*F730)+((C736=TRUE)*(F736-Calc!F19)))/100)*I725)</f>
        <v/>
      </c>
      <c r="L725">
        <f>K725*(MIN(Inputs!$B$21+((C737=TRUE)*(F737-Calc!F20)),Inputs!$B$22+0)/100+(Inputs!$B$22+0)/100)/2</f>
        <v/>
      </c>
      <c r="M725">
        <f>L725*(1+(Inputs!$B$9+0+B747)/100)</f>
        <v/>
      </c>
      <c r="N725">
        <f>L725*(1-MIN((Inputs!$B$8+((C733=TRUE)*(F733-Calc!F16))+B742),100)/100)+M725*(MIN((Inputs!$B$8+((C733=TRUE)*(F733-Calc!F16))+B742),100)/100)</f>
        <v/>
      </c>
      <c r="O725">
        <f>IF(C725,H725*N725*IF(AND(Inputs!$B$4&lt;&gt;"pvp",Inputs!$B$35&gt;0),((Skills!G8*((R725-1)*IF(Skills!H8&gt;0,Skills!I8/Skills!H8,1)+IF(Skills!H8&gt;0,MIN(Skills!I8,MAX(0,Inputs!$B$35-((R725-1)*IF(Inputs!$B$4="pvp",15,MAX(0.1,Skills!D8-IF(Skills!E8=TRUE,Inputs!$B$31,0))))))/Skills!H8,1)))/Inputs!$B$35),G725*Q725)*IF(Inputs!$B$4="pvp",1,(1-Summary!$B$55)*(1)+Summary!$B$55*(MIN(Skills!R8,Inputs!$B$37))),0)</f>
        <v/>
      </c>
      <c r="P725">
        <f>IF(B750=0,0,O725/B750)</f>
        <v/>
      </c>
      <c r="Q725">
        <f>IFERROR(1/IF(Inputs!$B$4="pvp",15,MAX(0.1,Skills!D8-IF(Skills!E8=TRUE,Inputs!$B$31,0))),0)</f>
        <v/>
      </c>
      <c r="R725">
        <f>IF(AND(Inputs!$B$4&lt;&gt;"pvp",Inputs!$B$35&gt;0),(INT(Inputs!$B$35/IF(Inputs!$B$4="pvp",15,MAX(0.1,Skills!D8-IF(Skills!E8=TRUE,Inputs!$B$31,0))))+1),0)</f>
        <v/>
      </c>
      <c r="S725">
        <f>IFERROR(O725/N725,0)</f>
        <v/>
      </c>
    </row>
    <row r="726">
      <c r="A726">
        <f>Skills!A9</f>
        <v/>
      </c>
      <c r="B726">
        <f>Skills!B9</f>
        <v/>
      </c>
      <c r="C726">
        <f>Inputs!$B$3&gt;=110</f>
        <v/>
      </c>
      <c r="D726">
        <f>IF(Skills!C9=1,60+Inputs!$B$24+Inputs!$B$28,IF(Skills!C9=2,90+Inputs!$B$25+Inputs!$B$28,IF(Skills!C9=3,120+Inputs!$B$26+Inputs!$B$28,MAX(0,(Inputs!$B$3-100)*3)+(Inputs!$B$27+1)+Inputs!$B$28)))</f>
        <v/>
      </c>
      <c r="E726">
        <f>INDEX(FactorTable!$B$2:$Y$301, MATCH(ROUND(MIN(300,MAX(1,D726)),0), FactorTable!$A$2:$A$301,0), Skills!M9+1)</f>
        <v/>
      </c>
      <c r="F726">
        <f>IF(Skills!N9=TRUE,(Skills!L9/10)*(E726/1000),Skills!L9/10)+Skills!O9</f>
        <v/>
      </c>
      <c r="G726">
        <f>Skills!G9*IF(Skills!H9&gt;0,Skills!I9/Skills!H9,1)</f>
        <v/>
      </c>
      <c r="H726">
        <f>1-(1-Skills!J9/100)^Skills!K9</f>
        <v/>
      </c>
      <c r="I726" t="inlineStr">
        <is>
          <t>1</t>
        </is>
      </c>
      <c r="J726">
        <f>(Inputs!$B$5*(1+Inputs!$B$6/100))*(F726/100)</f>
        <v/>
      </c>
      <c r="K726">
        <f>J726*(1+((Inputs!$B$11*(1+Inputs!$B$12/100))*0.01+Inputs!$B$13*0.0025)/100)*(1+Inputs!$B$14/100)*(1+IF(Inputs!$B$4="pvp",0,(1-Summary!$B$55)*(Inputs!$B$19+0+Skills!P9)+Summary!$B$55*(Inputs!$B$20+Skills!Q9))/100)*(1+Inputs!$B$15/100)*(5000/(6000+Inputs!$B$7*(1-(Inputs!$B$18+0)/100)))*(1+(Inputs!$B$23+((C739=TRUE)*(F739-Calc!F22))+B748)/100)*(1+(IF(Skills!A9="HOOK_BOMBER",Inputs!$B$16+((C738=TRUE)*(F738-Calc!F21)),Inputs!$B$17+0))/100)*((1+(((C730=TRUE)*F730)+((C736=TRUE)*(F736-Calc!F19)))/100)*I726)</f>
        <v/>
      </c>
      <c r="L726">
        <f>K726*(MIN(Inputs!$B$21+((C737=TRUE)*(F737-Calc!F20)),Inputs!$B$22+0)/100+(Inputs!$B$22+0)/100)/2</f>
        <v/>
      </c>
      <c r="M726">
        <f>L726*(1+(Inputs!$B$9+0+B747)/100)</f>
        <v/>
      </c>
      <c r="N726">
        <f>L726*(1-MIN((Inputs!$B$8+((C733=TRUE)*(F733-Calc!F16))+B742),100)/100)+M726*(MIN((Inputs!$B$8+((C733=TRUE)*(F733-Calc!F16))+B742),100)/100)</f>
        <v/>
      </c>
      <c r="O726">
        <f>IF(C726,H726*N726*IF(AND(Inputs!$B$4&lt;&gt;"pvp",Inputs!$B$35&gt;0),((Skills!G9*((R726-1)*IF(Skills!H9&gt;0,Skills!I9/Skills!H9,1)+IF(Skills!H9&gt;0,MIN(Skills!I9,MAX(0,Inputs!$B$35-((R726-1)*IF(Inputs!$B$4="pvp",15,MAX(0.1,Skills!D9-IF(Skills!E9=TRUE,Inputs!$B$31,0))))))/Skills!H9,1)))/Inputs!$B$35),G726*Q726)*IF(Inputs!$B$4="pvp",1,(1-Summary!$B$55)*(1)+Summary!$B$55*(MIN(Skills!R9,Inputs!$B$37))),0)</f>
        <v/>
      </c>
      <c r="P726">
        <f>IF(B750=0,0,O726/B750)</f>
        <v/>
      </c>
      <c r="Q726">
        <f>IFERROR(1/IF(Inputs!$B$4="pvp",15,MAX(0.1,Skills!D9-IF(Skills!E9=TRUE,Inputs!$B$31,0))),0)</f>
        <v/>
      </c>
      <c r="R726">
        <f>IF(AND(Inputs!$B$4&lt;&gt;"pvp",Inputs!$B$35&gt;0),(INT(Inputs!$B$35/IF(Inputs!$B$4="pvp",15,MAX(0.1,Skills!D9-IF(Skills!E9=TRUE,Inputs!$B$31,0))))+1),0)</f>
        <v/>
      </c>
      <c r="S726">
        <f>IFERROR(O726/N726,0)</f>
        <v/>
      </c>
    </row>
    <row r="727">
      <c r="A727">
        <f>Skills!A10</f>
        <v/>
      </c>
      <c r="B727">
        <f>Skills!B10</f>
        <v/>
      </c>
      <c r="C727">
        <f>Inputs!$B$3&gt;=103</f>
        <v/>
      </c>
      <c r="D727">
        <f>IF(Skills!C10=1,60+Inputs!$B$24+Inputs!$B$28,IF(Skills!C10=2,90+Inputs!$B$25+Inputs!$B$28,IF(Skills!C10=3,120+Inputs!$B$26+Inputs!$B$28,MAX(0,(Inputs!$B$3-100)*3)+(Inputs!$B$27+1)+Inputs!$B$28)))</f>
        <v/>
      </c>
      <c r="E727">
        <f>INDEX(FactorTable!$B$2:$Y$301, MATCH(ROUND(MIN(300,MAX(1,D727)),0), FactorTable!$A$2:$A$301,0), Skills!M10+1)</f>
        <v/>
      </c>
      <c r="F727">
        <f>IF(Skills!N10=TRUE,(Skills!L10/10)*(E727/1000),Skills!L10/10)+Skills!O10</f>
        <v/>
      </c>
      <c r="G727">
        <f>Skills!G10*IF(Skills!H10&gt;0,Skills!I10/Skills!H10,1)</f>
        <v/>
      </c>
      <c r="H727">
        <f>1-(1-Skills!J10/100)^Skills!K10</f>
        <v/>
      </c>
      <c r="I727" t="inlineStr">
        <is>
          <t>1</t>
        </is>
      </c>
      <c r="J727">
        <f>(Inputs!$B$5*(1+Inputs!$B$6/100))*(F727/100)</f>
        <v/>
      </c>
      <c r="K727">
        <f>J727*(1+((Inputs!$B$11*(1+Inputs!$B$12/100))*0.01+Inputs!$B$13*0.0025)/100)*(1+Inputs!$B$14/100)*(1+IF(Inputs!$B$4="pvp",0,(1-Summary!$B$55)*(Inputs!$B$19+0+Skills!P10)+Summary!$B$55*(Inputs!$B$20+Skills!Q10))/100)*(1+Inputs!$B$15/100)*(5000/(6000+Inputs!$B$7*(1-(Inputs!$B$18+0)/100)))*(1+(Inputs!$B$23+((C739=TRUE)*(F739-Calc!F22))+B748)/100)*(1+(IF(Skills!A10="HOOK_BOMBER",Inputs!$B$16+((C738=TRUE)*(F738-Calc!F21)),Inputs!$B$17+0))/100)*((1+(((C730=TRUE)*F730)+((C736=TRUE)*(F736-Calc!F19)))/100)*I727)</f>
        <v/>
      </c>
      <c r="L727">
        <f>K727*(MIN(Inputs!$B$21+((C737=TRUE)*(F737-Calc!F20)),Inputs!$B$22+0)/100+(Inputs!$B$22+0)/100)/2</f>
        <v/>
      </c>
      <c r="M727">
        <f>L727*(1+(Inputs!$B$9+0+B747)/100)</f>
        <v/>
      </c>
      <c r="N727">
        <f>L727*(1-MIN((Inputs!$B$8+((C733=TRUE)*(F733-Calc!F16))+B742),100)/100)+M727*(MIN((Inputs!$B$8+((C733=TRUE)*(F733-Calc!F16))+B742),100)/100)</f>
        <v/>
      </c>
      <c r="O727">
        <f>IF(C727,H727*N727*IF(AND(Inputs!$B$4&lt;&gt;"pvp",Inputs!$B$35&gt;0),((Skills!G10*((R727-1)*IF(Skills!H10&gt;0,Skills!I10/Skills!H10,1)+IF(Skills!H10&gt;0,MIN(Skills!I10,MAX(0,Inputs!$B$35-((R727-1)*IF(Inputs!$B$4="pvp",15,MAX(0.1,Skills!D10-IF(Skills!E10=TRUE,Inputs!$B$31,0))))))/Skills!H10,1)))/Inputs!$B$35),G727*Q727)*IF(Inputs!$B$4="pvp",1,(1-Summary!$B$55)*(1)+Summary!$B$55*(MIN(Skills!R10,Inputs!$B$37))),0)</f>
        <v/>
      </c>
      <c r="P727">
        <f>IF(B750=0,0,O727/B750)</f>
        <v/>
      </c>
      <c r="Q727">
        <f>IFERROR(1/IF(Inputs!$B$4="pvp",15,MAX(0.1,Skills!D10-IF(Skills!E10=TRUE,Inputs!$B$31,0))),0)</f>
        <v/>
      </c>
      <c r="R727">
        <f>IF(AND(Inputs!$B$4&lt;&gt;"pvp",Inputs!$B$35&gt;0),(INT(Inputs!$B$35/IF(Inputs!$B$4="pvp",15,MAX(0.1,Skills!D10-IF(Skills!E10=TRUE,Inputs!$B$31,0))))+1),0)</f>
        <v/>
      </c>
      <c r="S727">
        <f>IFERROR(O727/N727,0)</f>
        <v/>
      </c>
    </row>
    <row r="728">
      <c r="A728">
        <f>Skills!A11</f>
        <v/>
      </c>
      <c r="B728">
        <f>Skills!B11</f>
        <v/>
      </c>
      <c r="C728">
        <f>Inputs!$B$3&gt;=113</f>
        <v/>
      </c>
      <c r="D728">
        <f>IF(Skills!C11=1,60+Inputs!$B$24+Inputs!$B$28,IF(Skills!C11=2,90+Inputs!$B$25+Inputs!$B$28,IF(Skills!C11=3,120+Inputs!$B$26+Inputs!$B$28,MAX(0,(Inputs!$B$3-100)*3)+(Inputs!$B$27+1)+Inputs!$B$28)))</f>
        <v/>
      </c>
      <c r="E728">
        <f>INDEX(FactorTable!$B$2:$Y$301, MATCH(ROUND(MIN(300,MAX(1,D728)),0), FactorTable!$A$2:$A$301,0), Skills!M11+1)</f>
        <v/>
      </c>
      <c r="F728">
        <f>IF(Skills!N11=TRUE,(Skills!L11/10)*(E728/1000),Skills!L11/10)+Skills!O11</f>
        <v/>
      </c>
      <c r="G728">
        <f>Skills!G11*IF(Skills!H11&gt;0,Skills!I11/Skills!H11,1)</f>
        <v/>
      </c>
      <c r="H728">
        <f>1-(1-Skills!J11/100)^Skills!K11</f>
        <v/>
      </c>
      <c r="I728" t="inlineStr">
        <is>
          <t>1</t>
        </is>
      </c>
      <c r="J728">
        <f>(Inputs!$B$5*(1+Inputs!$B$6/100))*(F728/100)</f>
        <v/>
      </c>
      <c r="K728">
        <f>J728*(1+((Inputs!$B$11*(1+Inputs!$B$12/100))*0.01+Inputs!$B$13*0.0025)/100)*(1+Inputs!$B$14/100)*(1+IF(Inputs!$B$4="pvp",0,(1-Summary!$B$55)*(Inputs!$B$19+0+Skills!P11)+Summary!$B$55*(Inputs!$B$20+Skills!Q11))/100)*(1+Inputs!$B$15/100)*(5000/(6000+Inputs!$B$7*(1-(Inputs!$B$18+0)/100)))*(1+(Inputs!$B$23+((C739=TRUE)*(F739-Calc!F22))+B748)/100)*(1+(IF(Skills!A11="HOOK_BOMBER",Inputs!$B$16+((C738=TRUE)*(F738-Calc!F21)),Inputs!$B$17+0))/100)*((1+(((C730=TRUE)*F730)+((C736=TRUE)*(F736-Calc!F19)))/100)*I728)</f>
        <v/>
      </c>
      <c r="L728">
        <f>K728*(MIN(Inputs!$B$21+((C737=TRUE)*(F737-Calc!F20)),Inputs!$B$22+0)/100+(Inputs!$B$22+0)/100)/2</f>
        <v/>
      </c>
      <c r="M728">
        <f>L728*(1+(Inputs!$B$9+0+B747)/100)</f>
        <v/>
      </c>
      <c r="N728">
        <f>L728*(1-MIN((Inputs!$B$8+((C733=TRUE)*(F733-Calc!F16))+B742),100)/100)+M728*(MIN((Inputs!$B$8+((C733=TRUE)*(F733-Calc!F16))+B742),100)/100)</f>
        <v/>
      </c>
      <c r="O728">
        <f>IF(C728,H728*N728*IF(AND(Inputs!$B$4&lt;&gt;"pvp",Inputs!$B$35&gt;0),((Skills!G11*((R728-1)*IF(Skills!H11&gt;0,Skills!I11/Skills!H11,1)+IF(Skills!H11&gt;0,MIN(Skills!I11,MAX(0,Inputs!$B$35-((R728-1)*IF(Inputs!$B$4="pvp",15,MAX(0.1,Skills!D11-IF(Skills!E11=TRUE,Inputs!$B$31,0))))))/Skills!H11,1)))/Inputs!$B$35),G728*Q728)*IF(Inputs!$B$4="pvp",1,(1-Summary!$B$55)*(1)+Summary!$B$55*(MIN(Skills!R11,Inputs!$B$37))),0)</f>
        <v/>
      </c>
      <c r="P728">
        <f>IF(B750=0,0,O728/B750)</f>
        <v/>
      </c>
      <c r="Q728">
        <f>IFERROR(1/IF(Inputs!$B$4="pvp",15,MAX(0.1,Skills!D11-IF(Skills!E11=TRUE,Inputs!$B$31,0))),0)</f>
        <v/>
      </c>
      <c r="R728">
        <f>IF(AND(Inputs!$B$4&lt;&gt;"pvp",Inputs!$B$35&gt;0),(INT(Inputs!$B$35/IF(Inputs!$B$4="pvp",15,MAX(0.1,Skills!D11-IF(Skills!E11=TRUE,Inputs!$B$31,0))))+1),0)</f>
        <v/>
      </c>
      <c r="S728">
        <f>IFERROR(O728/N728,0)</f>
        <v/>
      </c>
    </row>
    <row r="729">
      <c r="A729">
        <f>Skills!A12</f>
        <v/>
      </c>
      <c r="B729">
        <f>Skills!B12</f>
        <v/>
      </c>
      <c r="C729">
        <f>Inputs!$B$3&gt;=100</f>
        <v/>
      </c>
      <c r="D729">
        <f>IF(Skills!C12=1,60+Inputs!$B$24+Inputs!$B$28,IF(Skills!C12=2,90+Inputs!$B$25+Inputs!$B$28,IF(Skills!C12=3,120+Inputs!$B$26+Inputs!$B$28,MAX(0,(Inputs!$B$3-100)*3)+(Inputs!$B$27+1)+Inputs!$B$28)))</f>
        <v/>
      </c>
      <c r="E729">
        <f>INDEX(FactorTable!$B$2:$Y$301, MATCH(ROUND(MIN(300,MAX(1,D729)),0), FactorTable!$A$2:$A$301,0), Skills!M12+1)</f>
        <v/>
      </c>
      <c r="F729">
        <f>IF(Skills!N12=TRUE,(Skills!L12/10)*(E729/1000),Skills!L12/10)+Skills!O12</f>
        <v/>
      </c>
      <c r="G729" t="inlineStr"/>
      <c r="H729" t="inlineStr"/>
      <c r="I729" t="inlineStr">
        <is>
          <t>1</t>
        </is>
      </c>
      <c r="J729" t="inlineStr"/>
      <c r="K729" t="inlineStr"/>
      <c r="L729" t="inlineStr"/>
      <c r="M729" t="inlineStr"/>
      <c r="N729" t="inlineStr"/>
      <c r="O729" t="inlineStr"/>
      <c r="P729" t="inlineStr"/>
      <c r="Q729" t="inlineStr"/>
      <c r="R729" t="inlineStr"/>
      <c r="S729" t="inlineStr"/>
    </row>
    <row r="730">
      <c r="A730">
        <f>Skills!A13</f>
        <v/>
      </c>
      <c r="B730">
        <f>Skills!B13</f>
        <v/>
      </c>
      <c r="C730">
        <f>Inputs!$B$3&gt;=66</f>
        <v/>
      </c>
      <c r="D730">
        <f>IF(Skills!C13=1,60+Inputs!$B$24+Inputs!$B$28,IF(Skills!C13=2,90+Inputs!$B$25+Inputs!$B$28,IF(Skills!C13=3,120+Inputs!$B$26+Inputs!$B$28,MAX(0,(Inputs!$B$3-100)*3)+(Inputs!$B$27+1)+Inputs!$B$28)))</f>
        <v/>
      </c>
      <c r="E730">
        <f>INDEX(FactorTable!$B$2:$Y$301, MATCH(ROUND(MIN(300,MAX(1,D730)),0), FactorTable!$A$2:$A$301,0), Skills!M13+1)</f>
        <v/>
      </c>
      <c r="F730">
        <f>IF(Skills!N13=TRUE,(Skills!L13/10)*(E730/1000),Skills!L13/10)+Skills!O13</f>
        <v/>
      </c>
      <c r="G730">
        <f>Skills!G13*IF(Skills!H13&gt;0,Skills!I13/Skills!H13,1)</f>
        <v/>
      </c>
      <c r="H730">
        <f>1-(1-Skills!J13/100)^Skills!K13</f>
        <v/>
      </c>
      <c r="I730" t="inlineStr">
        <is>
          <t>1</t>
        </is>
      </c>
      <c r="J730" t="inlineStr"/>
      <c r="K730" t="inlineStr"/>
      <c r="L730" t="inlineStr"/>
      <c r="M730" t="inlineStr"/>
      <c r="N730" t="inlineStr"/>
      <c r="O730" t="n">
        <v>0</v>
      </c>
      <c r="P730">
        <f>IF(B750=0,0,O730/B750)</f>
        <v/>
      </c>
      <c r="Q730" t="n">
        <v>0</v>
      </c>
      <c r="R730" t="n">
        <v>0</v>
      </c>
      <c r="S730">
        <f>IFERROR(O730/N730,0)</f>
        <v/>
      </c>
    </row>
    <row r="731">
      <c r="A731">
        <f>Skills!A14</f>
        <v/>
      </c>
      <c r="B731">
        <f>Skills!B14</f>
        <v/>
      </c>
      <c r="C731">
        <f>Inputs!$B$3&gt;=107</f>
        <v/>
      </c>
      <c r="D731">
        <f>IF(Skills!C14=1,60+Inputs!$B$24+Inputs!$B$28,IF(Skills!C14=2,90+Inputs!$B$25+Inputs!$B$28,IF(Skills!C14=3,120+Inputs!$B$26+Inputs!$B$28,MAX(0,(Inputs!$B$3-100)*3)+(Inputs!$B$27+1)+Inputs!$B$28)))</f>
        <v/>
      </c>
      <c r="E731">
        <f>INDEX(FactorTable!$B$2:$Y$301, MATCH(ROUND(MIN(300,MAX(1,D731)),0), FactorTable!$A$2:$A$301,0), Skills!M14+1)</f>
        <v/>
      </c>
      <c r="F731">
        <f>IF(Skills!N14=TRUE,(Skills!L14/10)*(E731/1000),Skills!L14/10)+Skills!O14</f>
        <v/>
      </c>
      <c r="G731">
        <f>Skills!G14*IF(Skills!H14&gt;0,Skills!I14/Skills!H14,1)</f>
        <v/>
      </c>
      <c r="H731">
        <f>1-(1-Skills!J14/100)^Skills!K14</f>
        <v/>
      </c>
      <c r="I731" t="inlineStr">
        <is>
          <t>1</t>
        </is>
      </c>
      <c r="J731" t="inlineStr"/>
      <c r="K731" t="inlineStr"/>
      <c r="L731" t="inlineStr"/>
      <c r="M731" t="inlineStr"/>
      <c r="N731" t="inlineStr"/>
      <c r="O731" t="n">
        <v>0</v>
      </c>
      <c r="P731">
        <f>IF(B750=0,0,O731/B750)</f>
        <v/>
      </c>
      <c r="Q731" t="n">
        <v>0</v>
      </c>
      <c r="R731" t="n">
        <v>0</v>
      </c>
      <c r="S731">
        <f>IFERROR(O731/N731,0)</f>
        <v/>
      </c>
    </row>
    <row r="732">
      <c r="A732">
        <f>Skills!A15</f>
        <v/>
      </c>
      <c r="B732">
        <f>Skills!B15</f>
        <v/>
      </c>
      <c r="C732">
        <f>Inputs!$B$3&gt;=115</f>
        <v/>
      </c>
      <c r="D732">
        <f>IF(Skills!C15=1,60+Inputs!$B$24+Inputs!$B$28,IF(Skills!C15=2,90+Inputs!$B$25+Inputs!$B$28,IF(Skills!C15=3,120+Inputs!$B$26+Inputs!$B$28,MAX(0,(Inputs!$B$3-100)*3)+(Inputs!$B$27+1)+Inputs!$B$28)))</f>
        <v/>
      </c>
      <c r="E732">
        <f>INDEX(FactorTable!$B$2:$Y$301, MATCH(ROUND(MIN(300,MAX(1,D732)),0), FactorTable!$A$2:$A$301,0), Skills!M15+1)</f>
        <v/>
      </c>
      <c r="F732">
        <f>IF(Skills!N15=TRUE,(Skills!L15/10)*(E732/1000),Skills!L15/10)+Skills!O15</f>
        <v/>
      </c>
      <c r="G732">
        <f>Skills!G15*IF(Skills!H15&gt;0,Skills!I15/Skills!H15,1)</f>
        <v/>
      </c>
      <c r="H732">
        <f>1-(1-Skills!J15/100)^Skills!K15</f>
        <v/>
      </c>
      <c r="I732" t="inlineStr">
        <is>
          <t>1</t>
        </is>
      </c>
      <c r="J732" t="inlineStr"/>
      <c r="K732" t="inlineStr"/>
      <c r="L732" t="inlineStr"/>
      <c r="M732" t="inlineStr"/>
      <c r="N732" t="inlineStr"/>
      <c r="O732" t="n">
        <v>0</v>
      </c>
      <c r="P732">
        <f>IF(B750=0,0,O732/B750)</f>
        <v/>
      </c>
      <c r="Q732" t="n">
        <v>0</v>
      </c>
      <c r="R732" t="n">
        <v>0</v>
      </c>
      <c r="S732">
        <f>IFERROR(O732/N732,0)</f>
        <v/>
      </c>
    </row>
    <row r="733">
      <c r="A733">
        <f>Skills!A16</f>
        <v/>
      </c>
      <c r="B733">
        <f>Skills!B16</f>
        <v/>
      </c>
      <c r="C733">
        <f>Inputs!$B$3&gt;=15</f>
        <v/>
      </c>
      <c r="D733">
        <f>IF(Skills!C16=1,60+Inputs!$B$24+Inputs!$B$28,IF(Skills!C16=2,90+Inputs!$B$25+Inputs!$B$28,IF(Skills!C16=3,120+Inputs!$B$26+Inputs!$B$28,MAX(0,(Inputs!$B$3-100)*3)+(Inputs!$B$27+1)+Inputs!$B$28)))</f>
        <v/>
      </c>
      <c r="E733">
        <f>INDEX(FactorTable!$B$2:$Y$301, MATCH(ROUND(MIN(300,MAX(1,D733)),0), FactorTable!$A$2:$A$301,0), Skills!M16+1)</f>
        <v/>
      </c>
      <c r="F733">
        <f>IF(Skills!N16=TRUE,(Skills!L16/10)*(E733/1000),Skills!L16/10)+Skills!O16</f>
        <v/>
      </c>
      <c r="G733">
        <f>Skills!G16*IF(Skills!H16&gt;0,Skills!I16/Skills!H16,1)</f>
        <v/>
      </c>
      <c r="H733">
        <f>1-(1-Skills!J16/100)^Skills!K16</f>
        <v/>
      </c>
      <c r="I733" t="inlineStr">
        <is>
          <t>1</t>
        </is>
      </c>
      <c r="J733" t="inlineStr"/>
      <c r="K733" t="inlineStr"/>
      <c r="L733" t="inlineStr"/>
      <c r="M733" t="inlineStr"/>
      <c r="N733" t="inlineStr"/>
      <c r="O733" t="n">
        <v>0</v>
      </c>
      <c r="P733">
        <f>IF(B750=0,0,O733/B750)</f>
        <v/>
      </c>
      <c r="Q733" t="n">
        <v>0</v>
      </c>
      <c r="R733" t="n">
        <v>0</v>
      </c>
      <c r="S733">
        <f>IFERROR(O733/N733,0)</f>
        <v/>
      </c>
    </row>
    <row r="734">
      <c r="A734">
        <f>Skills!A17</f>
        <v/>
      </c>
      <c r="B734">
        <f>Skills!B17</f>
        <v/>
      </c>
      <c r="C734">
        <f>Inputs!$B$3&gt;=10</f>
        <v/>
      </c>
      <c r="D734">
        <f>IF(Skills!C17=1,60+Inputs!$B$24+Inputs!$B$28,IF(Skills!C17=2,90+Inputs!$B$25+Inputs!$B$28,IF(Skills!C17=3,120+Inputs!$B$26+Inputs!$B$28,MAX(0,(Inputs!$B$3-100)*3)+(Inputs!$B$27+1)+Inputs!$B$28)))</f>
        <v/>
      </c>
      <c r="E734">
        <f>INDEX(FactorTable!$B$2:$Y$301, MATCH(ROUND(MIN(300,MAX(1,D734)),0), FactorTable!$A$2:$A$301,0), Skills!M17+1)</f>
        <v/>
      </c>
      <c r="F734">
        <f>IF(Skills!N17=TRUE,(Skills!L17/10)*(E734/1000),Skills!L17/10)+Skills!O17</f>
        <v/>
      </c>
      <c r="G734">
        <f>Skills!G17*IF(Skills!H17&gt;0,Skills!I17/Skills!H17,1)</f>
        <v/>
      </c>
      <c r="H734">
        <f>1-(1-Skills!J17/100)^Skills!K17</f>
        <v/>
      </c>
      <c r="I734" t="inlineStr">
        <is>
          <t>1</t>
        </is>
      </c>
      <c r="J734" t="inlineStr"/>
      <c r="K734" t="inlineStr"/>
      <c r="L734" t="inlineStr"/>
      <c r="M734" t="inlineStr"/>
      <c r="N734" t="inlineStr"/>
      <c r="O734" t="n">
        <v>0</v>
      </c>
      <c r="P734">
        <f>IF(B750=0,0,O734/B750)</f>
        <v/>
      </c>
      <c r="Q734" t="n">
        <v>0</v>
      </c>
      <c r="R734" t="n">
        <v>0</v>
      </c>
      <c r="S734">
        <f>IFERROR(O734/N734,0)</f>
        <v/>
      </c>
    </row>
    <row r="735">
      <c r="A735">
        <f>Skills!A18</f>
        <v/>
      </c>
      <c r="B735">
        <f>Skills!B18</f>
        <v/>
      </c>
      <c r="C735">
        <f>Inputs!$B$3&gt;=33</f>
        <v/>
      </c>
      <c r="D735">
        <f>IF(Skills!C18=1,60+Inputs!$B$24+Inputs!$B$28,IF(Skills!C18=2,90+Inputs!$B$25+Inputs!$B$28,IF(Skills!C18=3,120+Inputs!$B$26+Inputs!$B$28,MAX(0,(Inputs!$B$3-100)*3)+(Inputs!$B$27+1)+Inputs!$B$28)))</f>
        <v/>
      </c>
      <c r="E735">
        <f>INDEX(FactorTable!$B$2:$Y$301, MATCH(ROUND(MIN(300,MAX(1,D735)),0), FactorTable!$A$2:$A$301,0), Skills!M18+1)</f>
        <v/>
      </c>
      <c r="F735">
        <f>IF(Skills!N18=TRUE,(Skills!L18/10)*(E735/1000),Skills!L18/10)+Skills!O18</f>
        <v/>
      </c>
      <c r="G735">
        <f>Skills!G18*IF(Skills!H18&gt;0,Skills!I18/Skills!H18,1)</f>
        <v/>
      </c>
      <c r="H735">
        <f>1-(1-Skills!J18/100)^Skills!K18</f>
        <v/>
      </c>
      <c r="I735" t="inlineStr">
        <is>
          <t>1</t>
        </is>
      </c>
      <c r="J735" t="inlineStr"/>
      <c r="K735" t="inlineStr"/>
      <c r="L735" t="inlineStr"/>
      <c r="M735" t="inlineStr"/>
      <c r="N735" t="inlineStr"/>
      <c r="O735" t="n">
        <v>0</v>
      </c>
      <c r="P735">
        <f>IF(B750=0,0,O735/B750)</f>
        <v/>
      </c>
      <c r="Q735" t="n">
        <v>0</v>
      </c>
      <c r="R735" t="n">
        <v>0</v>
      </c>
      <c r="S735">
        <f>IFERROR(O735/N735,0)</f>
        <v/>
      </c>
    </row>
    <row r="736">
      <c r="A736">
        <f>Skills!A19</f>
        <v/>
      </c>
      <c r="B736">
        <f>Skills!B19</f>
        <v/>
      </c>
      <c r="C736">
        <f>Inputs!$B$3&gt;=40</f>
        <v/>
      </c>
      <c r="D736">
        <f>IF(Skills!C19=1,60+Inputs!$B$24+Inputs!$B$28,IF(Skills!C19=2,90+Inputs!$B$25+Inputs!$B$28,IF(Skills!C19=3,120+Inputs!$B$26+Inputs!$B$28,MAX(0,(Inputs!$B$3-100)*3)+(Inputs!$B$27+1)+Inputs!$B$28)))</f>
        <v/>
      </c>
      <c r="E736">
        <f>INDEX(FactorTable!$B$2:$Y$301, MATCH(ROUND(MIN(300,MAX(1,D736)),0), FactorTable!$A$2:$A$301,0), Skills!M19+1)</f>
        <v/>
      </c>
      <c r="F736">
        <f>IF(Skills!N19=TRUE,(Skills!L19/10)*(E736/1000),Skills!L19/10)+Skills!O19</f>
        <v/>
      </c>
      <c r="G736">
        <f>Skills!G19*IF(Skills!H19&gt;0,Skills!I19/Skills!H19,1)</f>
        <v/>
      </c>
      <c r="H736">
        <f>1-(1-Skills!J19/100)^Skills!K19</f>
        <v/>
      </c>
      <c r="I736" t="inlineStr">
        <is>
          <t>1</t>
        </is>
      </c>
      <c r="J736" t="inlineStr"/>
      <c r="K736" t="inlineStr"/>
      <c r="L736" t="inlineStr"/>
      <c r="M736" t="inlineStr"/>
      <c r="N736" t="inlineStr"/>
      <c r="O736" t="n">
        <v>0</v>
      </c>
      <c r="P736">
        <f>IF(B750=0,0,O736/B750)</f>
        <v/>
      </c>
      <c r="Q736" t="n">
        <v>0</v>
      </c>
      <c r="R736" t="n">
        <v>0</v>
      </c>
      <c r="S736">
        <f>IFERROR(O736/N736,0)</f>
        <v/>
      </c>
    </row>
    <row r="737">
      <c r="A737">
        <f>Skills!A20</f>
        <v/>
      </c>
      <c r="B737">
        <f>Skills!B20</f>
        <v/>
      </c>
      <c r="C737">
        <f>Inputs!$B$3&gt;=43</f>
        <v/>
      </c>
      <c r="D737">
        <f>IF(Skills!C20=1,60+Inputs!$B$24+Inputs!$B$28,IF(Skills!C20=2,90+Inputs!$B$25+Inputs!$B$28,IF(Skills!C20=3,120+Inputs!$B$26+Inputs!$B$28,MAX(0,(Inputs!$B$3-100)*3)+(Inputs!$B$27+1)+Inputs!$B$28)))</f>
        <v/>
      </c>
      <c r="E737">
        <f>INDEX(FactorTable!$B$2:$Y$301, MATCH(ROUND(MIN(300,MAX(1,D737)),0), FactorTable!$A$2:$A$301,0), Skills!M20+1)</f>
        <v/>
      </c>
      <c r="F737">
        <f>IF(Skills!N20=TRUE,(Skills!L20/10)*(E737/1000),Skills!L20/10)+Skills!O20</f>
        <v/>
      </c>
      <c r="G737">
        <f>Skills!G20*IF(Skills!H20&gt;0,Skills!I20/Skills!H20,1)</f>
        <v/>
      </c>
      <c r="H737">
        <f>1-(1-Skills!J20/100)^Skills!K20</f>
        <v/>
      </c>
      <c r="I737" t="inlineStr">
        <is>
          <t>1</t>
        </is>
      </c>
      <c r="J737" t="inlineStr"/>
      <c r="K737" t="inlineStr"/>
      <c r="L737" t="inlineStr"/>
      <c r="M737" t="inlineStr"/>
      <c r="N737" t="inlineStr"/>
      <c r="O737" t="n">
        <v>0</v>
      </c>
      <c r="P737">
        <f>IF(B750=0,0,O737/B750)</f>
        <v/>
      </c>
      <c r="Q737" t="n">
        <v>0</v>
      </c>
      <c r="R737" t="n">
        <v>0</v>
      </c>
      <c r="S737">
        <f>IFERROR(O737/N737,0)</f>
        <v/>
      </c>
    </row>
    <row r="738">
      <c r="A738">
        <f>Skills!A21</f>
        <v/>
      </c>
      <c r="B738">
        <f>Skills!B21</f>
        <v/>
      </c>
      <c r="C738">
        <f>Inputs!$B$3&gt;=38</f>
        <v/>
      </c>
      <c r="D738">
        <f>IF(Skills!C21=1,60+Inputs!$B$24+Inputs!$B$28,IF(Skills!C21=2,90+Inputs!$B$25+Inputs!$B$28,IF(Skills!C21=3,120+Inputs!$B$26+Inputs!$B$28,MAX(0,(Inputs!$B$3-100)*3)+(Inputs!$B$27+1)+Inputs!$B$28)))</f>
        <v/>
      </c>
      <c r="E738">
        <f>INDEX(FactorTable!$B$2:$Y$301, MATCH(ROUND(MIN(300,MAX(1,D738)),0), FactorTable!$A$2:$A$301,0), Skills!M21+1)</f>
        <v/>
      </c>
      <c r="F738">
        <f>IF(Skills!N21=TRUE,(Skills!L21/10)*(E738/1000),Skills!L21/10)+Skills!O21</f>
        <v/>
      </c>
      <c r="G738">
        <f>Skills!G21*IF(Skills!H21&gt;0,Skills!I21/Skills!H21,1)</f>
        <v/>
      </c>
      <c r="H738">
        <f>1-(1-Skills!J21/100)^Skills!K21</f>
        <v/>
      </c>
      <c r="I738" t="inlineStr">
        <is>
          <t>1</t>
        </is>
      </c>
      <c r="J738" t="inlineStr"/>
      <c r="K738" t="inlineStr"/>
      <c r="L738" t="inlineStr"/>
      <c r="M738" t="inlineStr"/>
      <c r="N738" t="inlineStr"/>
      <c r="O738" t="n">
        <v>0</v>
      </c>
      <c r="P738">
        <f>IF(B750=0,0,O738/B750)</f>
        <v/>
      </c>
      <c r="Q738" t="n">
        <v>0</v>
      </c>
      <c r="R738" t="n">
        <v>0</v>
      </c>
      <c r="S738">
        <f>IFERROR(O738/N738,0)</f>
        <v/>
      </c>
    </row>
    <row r="739">
      <c r="A739">
        <f>Skills!A22</f>
        <v/>
      </c>
      <c r="B739">
        <f>Skills!B22</f>
        <v/>
      </c>
      <c r="C739">
        <f>Inputs!$B$3&gt;=75</f>
        <v/>
      </c>
      <c r="D739">
        <f>IF(Skills!C22=1,60+Inputs!$B$24+Inputs!$B$28,IF(Skills!C22=2,90+Inputs!$B$25+Inputs!$B$28,IF(Skills!C22=3,120+Inputs!$B$26+Inputs!$B$28,MAX(0,(Inputs!$B$3-100)*3)+(Inputs!$B$27+1)+Inputs!$B$28)))</f>
        <v/>
      </c>
      <c r="E739">
        <f>INDEX(FactorTable!$B$2:$Y$301, MATCH(ROUND(MIN(300,MAX(1,D739)),0), FactorTable!$A$2:$A$301,0), Skills!M22+1)</f>
        <v/>
      </c>
      <c r="F739">
        <f>IF(Skills!N22=TRUE,(Skills!L22/10)*(E739/1000),Skills!L22/10)+Skills!O22</f>
        <v/>
      </c>
      <c r="G739">
        <f>Skills!G22*IF(Skills!H22&gt;0,Skills!I22/Skills!H22,1)</f>
        <v/>
      </c>
      <c r="H739">
        <f>1-(1-Skills!J22/100)^Skills!K22</f>
        <v/>
      </c>
      <c r="I739" t="inlineStr">
        <is>
          <t>1</t>
        </is>
      </c>
      <c r="J739" t="inlineStr"/>
      <c r="K739" t="inlineStr"/>
      <c r="L739" t="inlineStr"/>
      <c r="M739" t="inlineStr"/>
      <c r="N739" t="inlineStr"/>
      <c r="O739" t="n">
        <v>0</v>
      </c>
      <c r="P739">
        <f>IF(B750=0,0,O739/B750)</f>
        <v/>
      </c>
      <c r="Q739" t="n">
        <v>0</v>
      </c>
      <c r="R739" t="n">
        <v>0</v>
      </c>
      <c r="S739">
        <f>IFERROR(O739/N739,0)</f>
        <v/>
      </c>
    </row>
    <row r="741">
      <c r="A741" t="inlineStr">
        <is>
          <t>Attack% Bucket Multiplier</t>
        </is>
      </c>
      <c r="B741">
        <f>(1+(((C730=TRUE)*F730)+((C736=TRUE)*(F736-Calc!F19)))/100)</f>
        <v/>
      </c>
    </row>
    <row r="742">
      <c r="A742" t="inlineStr">
        <is>
          <t>Global Crit Rate Bonus %</t>
        </is>
      </c>
      <c r="B742" t="n">
        <v>0</v>
      </c>
    </row>
    <row r="743">
      <c r="A743" t="inlineStr">
        <is>
          <t>Attack Speed Buff Bonus % (unused)</t>
        </is>
      </c>
      <c r="B743" t="n">
        <v>0</v>
      </c>
    </row>
    <row r="744">
      <c r="A744" t="inlineStr">
        <is>
          <t>Actions Per Second</t>
        </is>
      </c>
      <c r="B744">
        <f>1+MIN(150,150*(1-(1-(Inputs!$B$10+((C734=TRUE)*(F734-Calc!F17))+((C735=TRUE)*(F735-Calc!F18)))/150)*(1-B743/150)))/100</f>
        <v/>
      </c>
    </row>
    <row r="745">
      <c r="A745" t="inlineStr">
        <is>
          <t>Skill + Buff Cast Rate</t>
        </is>
      </c>
      <c r="B745">
        <f>IF(AND(Inputs!$B$4&lt;&gt;"pvp",Inputs!$B$35&gt;0),SUMPRODUCT((Skills!E2:E22=TRUE)*(C719:C739=TRUE)*R719:R739*Skills!F2:F22)/Inputs!$B$35,SUMPRODUCT((Skills!E2:E22=TRUE)*(C719:C739=TRUE)*Q719:Q739*Skills!F2:F22))</f>
        <v/>
      </c>
    </row>
    <row r="746">
      <c r="A746" t="inlineStr">
        <is>
          <t>Hook Bomber Casts Per Second</t>
        </is>
      </c>
      <c r="B746">
        <f>MAX(0,B744-B745)</f>
        <v/>
      </c>
    </row>
    <row r="747">
      <c r="A747" t="inlineStr">
        <is>
          <t>Global Critical Damage Bonus % (unused)</t>
        </is>
      </c>
      <c r="B747" t="n">
        <v>0</v>
      </c>
    </row>
    <row r="748">
      <c r="A748" t="inlineStr">
        <is>
          <t>Global Final Damage Bonus % (Serpent Scale + Crossbones + Time Leap + Speed Infusion)</t>
        </is>
      </c>
      <c r="B748">
        <f>((C722=TRUE)*F722*((10+IF(Inputs!$B$3&gt;=94,5,0))/((10+IF(Inputs!$B$3&gt;=94,5,0))+5/(B746*(1+IF(Inputs!$B$3&gt;=104,1,0))))))+((C731=TRUE)*F731)+((C732=TRUE)*F732)+((Inputs!$B$3&gt;=110)*20*(B744-1))</f>
        <v/>
      </c>
    </row>
    <row r="750">
      <c r="A750" s="5" t="inlineStr">
        <is>
          <t>TOTAL DPS</t>
        </is>
      </c>
      <c r="B750" s="5">
        <f>SUM(O719:O739)</f>
        <v/>
      </c>
    </row>
    <row r="753">
      <c r="A753" s="5" t="inlineStr">
        <is>
          <t>Stat: Skill Level Bonus — All Skills</t>
        </is>
      </c>
    </row>
    <row r="754">
      <c r="A754" s="8" t="inlineStr">
        <is>
          <t>Key</t>
        </is>
      </c>
      <c r="B754" s="8" t="inlineStr">
        <is>
          <t>Name</t>
        </is>
      </c>
      <c r="C754" s="8" t="inlineStr">
        <is>
          <t>Unlocked</t>
        </is>
      </c>
      <c r="D754" s="8" t="inlineStr">
        <is>
          <t>InputLevel</t>
        </is>
      </c>
      <c r="E754" s="8" t="inlineStr">
        <is>
          <t>Factor</t>
        </is>
      </c>
      <c r="F754" s="8" t="inlineStr">
        <is>
          <t>CoefficientPercent</t>
        </is>
      </c>
      <c r="G754" s="8" t="inlineStr">
        <is>
          <t>EffectiveHits</t>
        </is>
      </c>
      <c r="H754" s="8" t="inlineStr">
        <is>
          <t>ProcProbability</t>
        </is>
      </c>
      <c r="I754" s="8" t="inlineStr">
        <is>
          <t>MapleHeroMultiplier</t>
        </is>
      </c>
      <c r="J754" s="8" t="inlineStr">
        <is>
          <t>BaseDamage</t>
        </is>
      </c>
      <c r="K754" s="8" t="inlineStr">
        <is>
          <t>BaseHitDamage</t>
        </is>
      </c>
      <c r="L754" s="8" t="inlineStr">
        <is>
          <t>NonCritAvg</t>
        </is>
      </c>
      <c r="M754" s="8" t="inlineStr">
        <is>
          <t>CritAvg</t>
        </is>
      </c>
      <c r="N754" s="8" t="inlineStr">
        <is>
          <t>ExpectedDamage(perHit)</t>
        </is>
      </c>
      <c r="O754" s="8" t="inlineStr">
        <is>
          <t>DPS</t>
        </is>
      </c>
      <c r="P754" s="8" t="inlineStr">
        <is>
          <t>% of Total</t>
        </is>
      </c>
      <c r="Q754" s="8" t="inlineStr">
        <is>
          <t>InvCooldown</t>
        </is>
      </c>
      <c r="R754" s="8" t="inlineStr">
        <is>
          <t>CastsInFight</t>
        </is>
      </c>
      <c r="S754" s="8" t="inlineStr">
        <is>
          <t>HitRate(perSec)</t>
        </is>
      </c>
      <c r="U754" t="inlineStr">
        <is>
          <t>helpers</t>
        </is>
      </c>
    </row>
    <row r="755">
      <c r="A755">
        <f>Skills!A2</f>
        <v/>
      </c>
      <c r="B755">
        <f>Skills!B2</f>
        <v/>
      </c>
      <c r="C755">
        <f>Inputs!$B$3&gt;=100</f>
        <v/>
      </c>
      <c r="D755" t="inlineStr"/>
      <c r="E755" t="inlineStr"/>
      <c r="F755">
        <f>U757+Skills!O2</f>
        <v/>
      </c>
      <c r="G755">
        <f>Skills!G2*IF(Skills!H2&gt;0,Skills!I2/Skills!H2,1)</f>
        <v/>
      </c>
      <c r="H755">
        <f>1-(1-Skills!J2/100)^Skills!K2</f>
        <v/>
      </c>
      <c r="I755" t="inlineStr">
        <is>
          <t>1</t>
        </is>
      </c>
      <c r="J755">
        <f>(Inputs!$B$5*(1+Inputs!$B$6/100))*(F755/100)</f>
        <v/>
      </c>
      <c r="K755">
        <f>J755*(1+((Inputs!$B$11*(1+Inputs!$B$12/100))*0.01+Inputs!$B$13*0.0025)/100)*(1+Inputs!$B$14/100)*(1+IF(Inputs!$B$4="pvp",0,(1-Summary!$B$55)*(Inputs!$B$19+0+Skills!P2)+Summary!$B$55*(Inputs!$B$20+Skills!Q2))/100)*(1+Inputs!$B$15/100)*(5000/(6000+Inputs!$B$7*(1-(Inputs!$B$18+0)/100)))*(1+(Inputs!$B$23+((C775=TRUE)*(F775-Calc!F22))+B784)/100)*(1+(IF(Skills!A2="HOOK_BOMBER",Inputs!$B$16+((C774=TRUE)*(F774-Calc!F21)),Inputs!$B$17+0))/100)*((1+(((C766=TRUE)*F766)+((C772=TRUE)*(F772-Calc!F19)))/100)*I755)</f>
        <v/>
      </c>
      <c r="L755">
        <f>K755*(MIN(Inputs!$B$21+((C773=TRUE)*(F773-Calc!F20)),Inputs!$B$22+0)/100+(Inputs!$B$22+0)/100)/2</f>
        <v/>
      </c>
      <c r="M755">
        <f>L755*(1+(Inputs!$B$9+0+B783)/100)</f>
        <v/>
      </c>
      <c r="N755">
        <f>L755*(1-MIN((Inputs!$B$8+((C769=TRUE)*(F769-Calc!F16))+B778),100)/100)+M755*(MIN((Inputs!$B$8+((C769=TRUE)*(F769-Calc!F16))+B778),100)/100)</f>
        <v/>
      </c>
      <c r="O755">
        <f>IF(C755,Skills!G2*N755*B782*IF(Inputs!$B$4="pvp",1,(1-Summary!$B$55)*(1)+Summary!$B$55*(MIN((6+Inputs!$B$32),Inputs!$B$37))),0)</f>
        <v/>
      </c>
      <c r="P755">
        <f>IF(B786=0,0,O755/B786)</f>
        <v/>
      </c>
      <c r="Q755" t="n">
        <v>0</v>
      </c>
      <c r="R755" t="n">
        <v>0</v>
      </c>
      <c r="S755">
        <f>IFERROR(O755/N755,0)</f>
        <v/>
      </c>
      <c r="U755">
        <f>MAX(0,(Inputs!$B$3-100)*3)+Inputs!$B$27+(Inputs!$B$28+1)</f>
        <v/>
      </c>
    </row>
    <row r="756">
      <c r="A756">
        <f>Skills!A3</f>
        <v/>
      </c>
      <c r="B756">
        <f>Skills!B3</f>
        <v/>
      </c>
      <c r="C756">
        <f>Inputs!$B$3&gt;=35</f>
        <v/>
      </c>
      <c r="D756">
        <f>IF(Skills!C3=1,60+Inputs!$B$24+(Inputs!$B$28+1),IF(Skills!C3=2,90+Inputs!$B$25+(Inputs!$B$28+1),IF(Skills!C3=3,120+Inputs!$B$26+(Inputs!$B$28+1),MAX(0,(Inputs!$B$3-100)*3)+Inputs!$B$27+(Inputs!$B$28+1))))</f>
        <v/>
      </c>
      <c r="E756">
        <f>INDEX(FactorTable!$B$2:$Y$301, MATCH(ROUND(MIN(300,MAX(1,D756)),0), FactorTable!$A$2:$A$301,0), Skills!M3+1)</f>
        <v/>
      </c>
      <c r="F756">
        <f>IF(Skills!N3=TRUE,(Skills!L3/10)*(E756/1000),Skills!L3/10)+Skills!O3</f>
        <v/>
      </c>
      <c r="G756">
        <f>Skills!G3*IF(Skills!H3&gt;0,Skills!I3/Skills!H3,1)</f>
        <v/>
      </c>
      <c r="H756">
        <f>1-(1-Skills!J3/100)^Skills!K3</f>
        <v/>
      </c>
      <c r="I756" t="inlineStr">
        <is>
          <t>1</t>
        </is>
      </c>
      <c r="J756">
        <f>(Inputs!$B$5*(1+Inputs!$B$6/100))*(F756/100)</f>
        <v/>
      </c>
      <c r="K756">
        <f>J756*(1+((Inputs!$B$11*(1+Inputs!$B$12/100))*0.01+Inputs!$B$13*0.0025)/100)*(1+Inputs!$B$14/100)*(1+IF(Inputs!$B$4="pvp",0,(1-Summary!$B$55)*(Inputs!$B$19+0+Skills!P3)+Summary!$B$55*(Inputs!$B$20+Skills!Q3))/100)*(1+Inputs!$B$15/100)*(5000/(6000+Inputs!$B$7*(1-(Inputs!$B$18+0)/100)))*(1+(Inputs!$B$23+((C775=TRUE)*(F775-Calc!F22))+B784)/100)*(1+(IF(Skills!A3="HOOK_BOMBER",Inputs!$B$16+((C774=TRUE)*(F774-Calc!F21)),Inputs!$B$17+0))/100)*((1+(((C766=TRUE)*F766)+((C772=TRUE)*(F772-Calc!F19)))/100)*I756)</f>
        <v/>
      </c>
      <c r="L756">
        <f>K756*(MIN(Inputs!$B$21+((C773=TRUE)*(F773-Calc!F20)),Inputs!$B$22+0)/100+(Inputs!$B$22+0)/100)/2</f>
        <v/>
      </c>
      <c r="M756">
        <f>L756*(1+(Inputs!$B$9+0+B783)/100)</f>
        <v/>
      </c>
      <c r="N756">
        <f>L756*(1-MIN((Inputs!$B$8+((C769=TRUE)*(F769-Calc!F16))+B778),100)/100)+M756*(MIN((Inputs!$B$8+((C769=TRUE)*(F769-Calc!F16))+B778),100)/100)</f>
        <v/>
      </c>
      <c r="O756">
        <f>IF(C756,Skills!G3*H756*N756*B782*IF(Inputs!$B$4="pvp",1,(1-Summary!$B$55)*(1)+Summary!$B$55*(MIN(Skills!R3,Inputs!$B$37))),0)</f>
        <v/>
      </c>
      <c r="P756">
        <f>IF(B786=0,0,O756/B786)</f>
        <v/>
      </c>
      <c r="Q756" t="n">
        <v>0</v>
      </c>
      <c r="R756" t="n">
        <v>0</v>
      </c>
      <c r="S756">
        <f>IFERROR(O756/N756,0)</f>
        <v/>
      </c>
      <c r="U756">
        <f>INDEX(FactorTable!$B$2:$Y$301, MATCH(ROUND(MIN(300,MAX(1,U755)),0), FactorTable!$A$2:$A$301,0), 22)</f>
        <v/>
      </c>
    </row>
    <row r="757">
      <c r="A757">
        <f>Skills!A4</f>
        <v/>
      </c>
      <c r="B757">
        <f>Skills!B4</f>
        <v/>
      </c>
      <c r="C757">
        <f>Inputs!$B$3&gt;=60</f>
        <v/>
      </c>
      <c r="D757">
        <f>IF(Skills!C4=1,60+Inputs!$B$24+(Inputs!$B$28+1),IF(Skills!C4=2,90+Inputs!$B$25+(Inputs!$B$28+1),IF(Skills!C4=3,120+Inputs!$B$26+(Inputs!$B$28+1),MAX(0,(Inputs!$B$3-100)*3)+Inputs!$B$27+(Inputs!$B$28+1))))</f>
        <v/>
      </c>
      <c r="E757">
        <f>INDEX(FactorTable!$B$2:$Y$301, MATCH(ROUND(MIN(300,MAX(1,D757)),0), FactorTable!$A$2:$A$301,0), Skills!M4+1)</f>
        <v/>
      </c>
      <c r="F757">
        <f>IF(Skills!N4=TRUE,(Skills!L4/10)*(E757/1000),Skills!L4/10)+Skills!O4</f>
        <v/>
      </c>
      <c r="G757">
        <f>Skills!G4*IF(Skills!H4&gt;0,Skills!I4/Skills!H4,1)</f>
        <v/>
      </c>
      <c r="H757">
        <f>1-(1-Skills!J4/100)^Skills!K4</f>
        <v/>
      </c>
      <c r="I757" t="inlineStr">
        <is>
          <t>1</t>
        </is>
      </c>
      <c r="J757">
        <f>(Inputs!$B$5*(1+Inputs!$B$6/100))*(F757/100)</f>
        <v/>
      </c>
      <c r="K757">
        <f>J757*(1+((Inputs!$B$11*(1+Inputs!$B$12/100))*0.01+Inputs!$B$13*0.0025)/100)*(1+Inputs!$B$14/100)*(1+IF(Inputs!$B$4="pvp",0,(1-Summary!$B$55)*(Inputs!$B$19+0+Skills!P4)+Summary!$B$55*(Inputs!$B$20+Skills!Q4))/100)*(1+Inputs!$B$15/100)*(5000/(6000+Inputs!$B$7*(1-(Inputs!$B$18+0)/100)))*(1+(Inputs!$B$23+((C775=TRUE)*(F775-Calc!F22))+B784)/100)*(1+1.0*IF(C765=TRUE,F765,0)/100)*(1+(IF(Skills!A4="HOOK_BOMBER",Inputs!$B$16+((C774=TRUE)*(F774-Calc!F21)),Inputs!$B$17+0))/100)*((1+(((C766=TRUE)*F766)+((C772=TRUE)*(F772-Calc!F19)))/100)*I757)</f>
        <v/>
      </c>
      <c r="L757">
        <f>K757*(MIN(Inputs!$B$21+((C773=TRUE)*(F773-Calc!F20)),Inputs!$B$22+0)/100+(Inputs!$B$22+0)/100)/2</f>
        <v/>
      </c>
      <c r="M757">
        <f>L757*(1+(Inputs!$B$9+0+B783)/100)</f>
        <v/>
      </c>
      <c r="N757">
        <f>L757*(1-MIN((Inputs!$B$8+((C769=TRUE)*(F769-Calc!F16))+B778),100)/100)+M757*(MIN((Inputs!$B$8+((C769=TRUE)*(F769-Calc!F16))+B778),100)/100)</f>
        <v/>
      </c>
      <c r="O757">
        <f>IF(C757,Skills!G4*H757*N757*B782*IF(Inputs!$B$4="pvp",1,(1-Summary!$B$55)*(1)+Summary!$B$55*(MIN(Skills!R4,Inputs!$B$37))),0)</f>
        <v/>
      </c>
      <c r="P757">
        <f>IF(B786=0,0,O757/B786)</f>
        <v/>
      </c>
      <c r="Q757" t="n">
        <v>0</v>
      </c>
      <c r="R757" t="n">
        <v>0</v>
      </c>
      <c r="S757">
        <f>IFERROR(O757/N757,0)</f>
        <v/>
      </c>
      <c r="U757">
        <f>290*U756/1000</f>
        <v/>
      </c>
    </row>
    <row r="758">
      <c r="A758">
        <f>Skills!A5</f>
        <v/>
      </c>
      <c r="B758">
        <f>Skills!B5</f>
        <v/>
      </c>
      <c r="C758">
        <f>Inputs!$B$3&gt;=60</f>
        <v/>
      </c>
      <c r="D758">
        <f>IF(Skills!C5=1,60+Inputs!$B$24+(Inputs!$B$28+1),IF(Skills!C5=2,90+Inputs!$B$25+(Inputs!$B$28+1),IF(Skills!C5=3,120+Inputs!$B$26+(Inputs!$B$28+1),MAX(0,(Inputs!$B$3-100)*3)+Inputs!$B$27+(Inputs!$B$28+1))))</f>
        <v/>
      </c>
      <c r="E758">
        <f>INDEX(FactorTable!$B$2:$Y$301, MATCH(ROUND(MIN(300,MAX(1,D758)),0), FactorTable!$A$2:$A$301,0), Skills!M5+1)</f>
        <v/>
      </c>
      <c r="F758">
        <f>IF(Skills!N5=TRUE,(Skills!L5/10)*(E758/1000),Skills!L5/10)+Skills!O5</f>
        <v/>
      </c>
      <c r="G758">
        <f>Skills!G5*IF(Skills!H5&gt;0,Skills!I5/Skills!H5,1)</f>
        <v/>
      </c>
      <c r="H758">
        <f>1-(1-Skills!J5/100)^Skills!K5</f>
        <v/>
      </c>
      <c r="I758" t="inlineStr">
        <is>
          <t>1</t>
        </is>
      </c>
      <c r="J758" t="inlineStr"/>
      <c r="K758" t="inlineStr"/>
      <c r="L758" t="inlineStr"/>
      <c r="M758" t="inlineStr"/>
      <c r="N758" t="inlineStr"/>
      <c r="O758" t="n">
        <v>0</v>
      </c>
      <c r="P758">
        <f>IF(B786=0,0,O758/B786)</f>
        <v/>
      </c>
      <c r="Q758" t="n">
        <v>0</v>
      </c>
      <c r="R758" t="n">
        <v>0</v>
      </c>
      <c r="S758">
        <f>IFERROR(O758/N758,0)</f>
        <v/>
      </c>
    </row>
    <row r="759">
      <c r="A759">
        <f>Skills!A6</f>
        <v/>
      </c>
      <c r="B759">
        <f>Skills!B6</f>
        <v/>
      </c>
      <c r="C759">
        <f>Inputs!$B$3&gt;=63</f>
        <v/>
      </c>
      <c r="D759">
        <f>IF(Skills!C6=1,60+Inputs!$B$24+(Inputs!$B$28+1),IF(Skills!C6=2,90+Inputs!$B$25+(Inputs!$B$28+1),IF(Skills!C6=3,120+Inputs!$B$26+(Inputs!$B$28+1),MAX(0,(Inputs!$B$3-100)*3)+Inputs!$B$27+(Inputs!$B$28+1))))</f>
        <v/>
      </c>
      <c r="E759">
        <f>INDEX(FactorTable!$B$2:$Y$301, MATCH(ROUND(MIN(300,MAX(1,D759)),0), FactorTable!$A$2:$A$301,0), Skills!M6+1)</f>
        <v/>
      </c>
      <c r="F759">
        <f>IF(Skills!N6=TRUE,(Skills!L6/10)*(E759/1000),Skills!L6/10)+Skills!O6</f>
        <v/>
      </c>
      <c r="G759">
        <f>Skills!G6*IF(Skills!H6&gt;0,Skills!I6/Skills!H6,1)</f>
        <v/>
      </c>
      <c r="H759">
        <f>1-(1-Skills!J6/100)^Skills!K6</f>
        <v/>
      </c>
      <c r="I759" t="inlineStr">
        <is>
          <t>1</t>
        </is>
      </c>
      <c r="J759">
        <f>(Inputs!$B$5*(1+Inputs!$B$6/100))*(F759/100)</f>
        <v/>
      </c>
      <c r="K759">
        <f>J759*(1+((Inputs!$B$11*(1+Inputs!$B$12/100))*0.01+Inputs!$B$13*0.0025)/100)*(1+Inputs!$B$14/100)*(1+IF(Inputs!$B$4="pvp",0,(1-Summary!$B$55)*(Inputs!$B$19+0+Skills!P6)+Summary!$B$55*(Inputs!$B$20+Skills!Q6))/100)*(1+Inputs!$B$15/100)*(5000/(6000+Inputs!$B$7*(1-(Inputs!$B$18+0)/100)))*(1+(Inputs!$B$23+((C775=TRUE)*(F775-Calc!F22))+B784)/100)*(1+(IF(Skills!A6="HOOK_BOMBER",Inputs!$B$16+((C774=TRUE)*(F774-Calc!F21)),Inputs!$B$17+0))/100)*((1+(((C766=TRUE)*F766)+((C772=TRUE)*(F772-Calc!F19)))/100)*I759)</f>
        <v/>
      </c>
      <c r="L759">
        <f>K759*(MIN(Inputs!$B$21+((C773=TRUE)*(F773-Calc!F20)),Inputs!$B$22+0)/100+(Inputs!$B$22+0)/100)/2</f>
        <v/>
      </c>
      <c r="M759">
        <f>L759*(1+(Inputs!$B$9+0+B783)/100)</f>
        <v/>
      </c>
      <c r="N759">
        <f>L759*(1-MIN((Inputs!$B$8+((C769=TRUE)*(F769-Calc!F16))+B778),100)/100)+M759*(MIN((Inputs!$B$8+((C769=TRUE)*(F769-Calc!F16))+B778),100)/100)</f>
        <v/>
      </c>
      <c r="O759">
        <f>IF(C759,H759*N759*IF(AND(Inputs!$B$4&lt;&gt;"pvp",Inputs!$B$35&gt;0),((Skills!G6*((R759-1)*IF(Skills!H6&gt;0,Skills!I6/Skills!H6,1)+IF(Skills!H6&gt;0,MIN(Skills!I6,MAX(0,Inputs!$B$35-((R759-1)*IF(Inputs!$B$4="pvp",15,MAX(0.1,Skills!D6-IF(Skills!E6=TRUE,Inputs!$B$31,0))))))/Skills!H6,1)))/Inputs!$B$35),G759*Q759)*IF(Inputs!$B$4="pvp",1,(1-Summary!$B$55)*(1)+Summary!$B$55*(MIN(Skills!R6,Inputs!$B$37))),0)</f>
        <v/>
      </c>
      <c r="P759">
        <f>IF(B786=0,0,O759/B786)</f>
        <v/>
      </c>
      <c r="Q759">
        <f>IFERROR(1/IF(Inputs!$B$4="pvp",15,MAX(0.1,Skills!D6-IF(Skills!E6=TRUE,Inputs!$B$31,0))),0)</f>
        <v/>
      </c>
      <c r="R759">
        <f>IF(AND(Inputs!$B$4&lt;&gt;"pvp",Inputs!$B$35&gt;0),(INT(Inputs!$B$35/IF(Inputs!$B$4="pvp",15,MAX(0.1,Skills!D6-IF(Skills!E6=TRUE,Inputs!$B$31,0))))+1),0)</f>
        <v/>
      </c>
      <c r="S759">
        <f>IFERROR(O759/N759,0)</f>
        <v/>
      </c>
    </row>
    <row r="760">
      <c r="A760">
        <f>Skills!A7</f>
        <v/>
      </c>
      <c r="B760">
        <f>Skills!B7</f>
        <v/>
      </c>
      <c r="C760">
        <f>Inputs!$B$3&gt;=100</f>
        <v/>
      </c>
      <c r="D760">
        <f>IF(Skills!C7=1,60+Inputs!$B$24+(Inputs!$B$28+1),IF(Skills!C7=2,90+Inputs!$B$25+(Inputs!$B$28+1),IF(Skills!C7=3,120+Inputs!$B$26+(Inputs!$B$28+1),MAX(0,(Inputs!$B$3-100)*3)+Inputs!$B$27+(Inputs!$B$28+1))))</f>
        <v/>
      </c>
      <c r="E760">
        <f>INDEX(FactorTable!$B$2:$Y$301, MATCH(ROUND(MIN(300,MAX(1,D760)),0), FactorTable!$A$2:$A$301,0), Skills!M7+1)</f>
        <v/>
      </c>
      <c r="F760">
        <f>IF(Skills!N7=TRUE,(Skills!L7/10)*(E760/1000),Skills!L7/10)+Skills!O7</f>
        <v/>
      </c>
      <c r="G760">
        <f>Skills!G7*IF(Skills!H7&gt;0,Skills!I7/Skills!H7,1)</f>
        <v/>
      </c>
      <c r="H760">
        <f>1-(1-Skills!J7/100)^Skills!K7</f>
        <v/>
      </c>
      <c r="I760" t="inlineStr">
        <is>
          <t>1</t>
        </is>
      </c>
      <c r="J760">
        <f>(Inputs!$B$5*(1+Inputs!$B$6/100))*(F760/100)</f>
        <v/>
      </c>
      <c r="K760">
        <f>J760*(1+((Inputs!$B$11*(1+Inputs!$B$12/100))*0.01+Inputs!$B$13*0.0025)/100)*(1+Inputs!$B$14/100)*(1+IF(Inputs!$B$4="pvp",0,(1-Summary!$B$55)*(Inputs!$B$19+0+Skills!P7)+Summary!$B$55*(Inputs!$B$20+Skills!Q7))/100)*(1+Inputs!$B$15/100)*(5000/(6000+Inputs!$B$7*(1-(Inputs!$B$18+0)/100)))*(1+(Inputs!$B$23+((C775=TRUE)*(F775-Calc!F22))+B784)/100)*(1+(IF(Skills!A7="HOOK_BOMBER",Inputs!$B$16+((C774=TRUE)*(F774-Calc!F21)),Inputs!$B$17+0))/100)*((1+(((C766=TRUE)*F766)+((C772=TRUE)*(F772-Calc!F19)))/100)*I760)</f>
        <v/>
      </c>
      <c r="L760">
        <f>K760*(MIN(Inputs!$B$21+((C773=TRUE)*(F773-Calc!F20)),Inputs!$B$22+0)/100+(Inputs!$B$22+0)/100)/2</f>
        <v/>
      </c>
      <c r="M760">
        <f>L760*(1+(Inputs!$B$9+0+B783)/100)</f>
        <v/>
      </c>
      <c r="N760">
        <f>L760*(1-MIN((Inputs!$B$8+((C769=TRUE)*(F769-Calc!F16))+B778),100)/100)+M760*(MIN((Inputs!$B$8+((C769=TRUE)*(F769-Calc!F16))+B778),100)/100)</f>
        <v/>
      </c>
      <c r="O760">
        <f>IF(C760,H760*N760*IF(AND(Inputs!$B$4&lt;&gt;"pvp",Inputs!$B$35&gt;0),((Skills!G7*((R760-1)*IF(Skills!H7&gt;0,Skills!I7/Skills!H7,1)+IF(Skills!H7&gt;0,MIN(Skills!I7,MAX(0,Inputs!$B$35-((R760-1)*IF(Inputs!$B$4="pvp",15,MAX(0.1,Skills!D7-IF(Skills!E7=TRUE,Inputs!$B$31,0))))))/Skills!H7,1)))/Inputs!$B$35),G760*Q760)*IF(Inputs!$B$4="pvp",1,(1-Summary!$B$55)*(1)+Summary!$B$55*(MIN(Skills!R7,Inputs!$B$37))),0)</f>
        <v/>
      </c>
      <c r="P760">
        <f>IF(B786=0,0,O760/B786)</f>
        <v/>
      </c>
      <c r="Q760">
        <f>IFERROR(1/IF(Inputs!$B$4="pvp",15,MAX(0.1,Skills!D7-IF(Skills!E7=TRUE,Inputs!$B$31,0))),0)</f>
        <v/>
      </c>
      <c r="R760">
        <f>IF(AND(Inputs!$B$4&lt;&gt;"pvp",Inputs!$B$35&gt;0),(INT(Inputs!$B$35/IF(Inputs!$B$4="pvp",15,MAX(0.1,Skills!D7-IF(Skills!E7=TRUE,Inputs!$B$31,0))))+1),0)</f>
        <v/>
      </c>
      <c r="S760">
        <f>IFERROR(O760/N760,0)</f>
        <v/>
      </c>
    </row>
    <row r="761">
      <c r="A761">
        <f>Skills!A8</f>
        <v/>
      </c>
      <c r="B761">
        <f>Skills!B8</f>
        <v/>
      </c>
      <c r="C761">
        <f>Inputs!$B$3&gt;=110</f>
        <v/>
      </c>
      <c r="D761">
        <f>IF(Skills!C8=1,60+Inputs!$B$24+(Inputs!$B$28+1),IF(Skills!C8=2,90+Inputs!$B$25+(Inputs!$B$28+1),IF(Skills!C8=3,120+Inputs!$B$26+(Inputs!$B$28+1),MAX(0,(Inputs!$B$3-100)*3)+Inputs!$B$27+(Inputs!$B$28+1))))</f>
        <v/>
      </c>
      <c r="E761">
        <f>INDEX(FactorTable!$B$2:$Y$301, MATCH(ROUND(MIN(300,MAX(1,D761)),0), FactorTable!$A$2:$A$301,0), Skills!M8+1)</f>
        <v/>
      </c>
      <c r="F761">
        <f>IF(Skills!N8=TRUE,(Skills!L8/10)*(E761/1000),Skills!L8/10)+Skills!O8</f>
        <v/>
      </c>
      <c r="G761">
        <f>Skills!G8*IF(Skills!H8&gt;0,Skills!I8/Skills!H8,1)</f>
        <v/>
      </c>
      <c r="H761">
        <f>1-(1-Skills!J8/100)^Skills!K8</f>
        <v/>
      </c>
      <c r="I761" t="inlineStr">
        <is>
          <t>1</t>
        </is>
      </c>
      <c r="J761">
        <f>(Inputs!$B$5*(1+Inputs!$B$6/100))*(F761/100)</f>
        <v/>
      </c>
      <c r="K761">
        <f>J761*(1+((Inputs!$B$11*(1+Inputs!$B$12/100))*0.01+Inputs!$B$13*0.0025)/100)*(1+Inputs!$B$14/100)*(1+IF(Inputs!$B$4="pvp",0,(1-Summary!$B$55)*(Inputs!$B$19+0+Skills!P8)+Summary!$B$55*(Inputs!$B$20+Skills!Q8))/100)*(1+Inputs!$B$15/100)*(5000/(6000+Inputs!$B$7*(1-(Inputs!$B$18+0)/100)))*(1+(Inputs!$B$23+((C775=TRUE)*(F775-Calc!F22))+B784)/100)*(1+(IF(Skills!A8="HOOK_BOMBER",Inputs!$B$16+((C774=TRUE)*(F774-Calc!F21)),Inputs!$B$17+0))/100)*((1+(((C766=TRUE)*F766)+((C772=TRUE)*(F772-Calc!F19)))/100)*I761)</f>
        <v/>
      </c>
      <c r="L761">
        <f>K761*(MIN(Inputs!$B$21+((C773=TRUE)*(F773-Calc!F20)),Inputs!$B$22+0)/100+(Inputs!$B$22+0)/100)/2</f>
        <v/>
      </c>
      <c r="M761">
        <f>L761*(1+(Inputs!$B$9+0+B783)/100)</f>
        <v/>
      </c>
      <c r="N761">
        <f>L761*(1-MIN((Inputs!$B$8+((C769=TRUE)*(F769-Calc!F16))+B778),100)/100)+M761*(MIN((Inputs!$B$8+((C769=TRUE)*(F769-Calc!F16))+B778),100)/100)</f>
        <v/>
      </c>
      <c r="O761">
        <f>IF(C761,H761*N761*IF(AND(Inputs!$B$4&lt;&gt;"pvp",Inputs!$B$35&gt;0),((Skills!G8*((R761-1)*IF(Skills!H8&gt;0,Skills!I8/Skills!H8,1)+IF(Skills!H8&gt;0,MIN(Skills!I8,MAX(0,Inputs!$B$35-((R761-1)*IF(Inputs!$B$4="pvp",15,MAX(0.1,Skills!D8-IF(Skills!E8=TRUE,Inputs!$B$31,0))))))/Skills!H8,1)))/Inputs!$B$35),G761*Q761)*IF(Inputs!$B$4="pvp",1,(1-Summary!$B$55)*(1)+Summary!$B$55*(MIN(Skills!R8,Inputs!$B$37))),0)</f>
        <v/>
      </c>
      <c r="P761">
        <f>IF(B786=0,0,O761/B786)</f>
        <v/>
      </c>
      <c r="Q761">
        <f>IFERROR(1/IF(Inputs!$B$4="pvp",15,MAX(0.1,Skills!D8-IF(Skills!E8=TRUE,Inputs!$B$31,0))),0)</f>
        <v/>
      </c>
      <c r="R761">
        <f>IF(AND(Inputs!$B$4&lt;&gt;"pvp",Inputs!$B$35&gt;0),(INT(Inputs!$B$35/IF(Inputs!$B$4="pvp",15,MAX(0.1,Skills!D8-IF(Skills!E8=TRUE,Inputs!$B$31,0))))+1),0)</f>
        <v/>
      </c>
      <c r="S761">
        <f>IFERROR(O761/N761,0)</f>
        <v/>
      </c>
    </row>
    <row r="762">
      <c r="A762">
        <f>Skills!A9</f>
        <v/>
      </c>
      <c r="B762">
        <f>Skills!B9</f>
        <v/>
      </c>
      <c r="C762">
        <f>Inputs!$B$3&gt;=110</f>
        <v/>
      </c>
      <c r="D762">
        <f>IF(Skills!C9=1,60+Inputs!$B$24+(Inputs!$B$28+1),IF(Skills!C9=2,90+Inputs!$B$25+(Inputs!$B$28+1),IF(Skills!C9=3,120+Inputs!$B$26+(Inputs!$B$28+1),MAX(0,(Inputs!$B$3-100)*3)+Inputs!$B$27+(Inputs!$B$28+1))))</f>
        <v/>
      </c>
      <c r="E762">
        <f>INDEX(FactorTable!$B$2:$Y$301, MATCH(ROUND(MIN(300,MAX(1,D762)),0), FactorTable!$A$2:$A$301,0), Skills!M9+1)</f>
        <v/>
      </c>
      <c r="F762">
        <f>IF(Skills!N9=TRUE,(Skills!L9/10)*(E762/1000),Skills!L9/10)+Skills!O9</f>
        <v/>
      </c>
      <c r="G762">
        <f>Skills!G9*IF(Skills!H9&gt;0,Skills!I9/Skills!H9,1)</f>
        <v/>
      </c>
      <c r="H762">
        <f>1-(1-Skills!J9/100)^Skills!K9</f>
        <v/>
      </c>
      <c r="I762" t="inlineStr">
        <is>
          <t>1</t>
        </is>
      </c>
      <c r="J762">
        <f>(Inputs!$B$5*(1+Inputs!$B$6/100))*(F762/100)</f>
        <v/>
      </c>
      <c r="K762">
        <f>J762*(1+((Inputs!$B$11*(1+Inputs!$B$12/100))*0.01+Inputs!$B$13*0.0025)/100)*(1+Inputs!$B$14/100)*(1+IF(Inputs!$B$4="pvp",0,(1-Summary!$B$55)*(Inputs!$B$19+0+Skills!P9)+Summary!$B$55*(Inputs!$B$20+Skills!Q9))/100)*(1+Inputs!$B$15/100)*(5000/(6000+Inputs!$B$7*(1-(Inputs!$B$18+0)/100)))*(1+(Inputs!$B$23+((C775=TRUE)*(F775-Calc!F22))+B784)/100)*(1+(IF(Skills!A9="HOOK_BOMBER",Inputs!$B$16+((C774=TRUE)*(F774-Calc!F21)),Inputs!$B$17+0))/100)*((1+(((C766=TRUE)*F766)+((C772=TRUE)*(F772-Calc!F19)))/100)*I762)</f>
        <v/>
      </c>
      <c r="L762">
        <f>K762*(MIN(Inputs!$B$21+((C773=TRUE)*(F773-Calc!F20)),Inputs!$B$22+0)/100+(Inputs!$B$22+0)/100)/2</f>
        <v/>
      </c>
      <c r="M762">
        <f>L762*(1+(Inputs!$B$9+0+B783)/100)</f>
        <v/>
      </c>
      <c r="N762">
        <f>L762*(1-MIN((Inputs!$B$8+((C769=TRUE)*(F769-Calc!F16))+B778),100)/100)+M762*(MIN((Inputs!$B$8+((C769=TRUE)*(F769-Calc!F16))+B778),100)/100)</f>
        <v/>
      </c>
      <c r="O762">
        <f>IF(C762,H762*N762*IF(AND(Inputs!$B$4&lt;&gt;"pvp",Inputs!$B$35&gt;0),((Skills!G9*((R762-1)*IF(Skills!H9&gt;0,Skills!I9/Skills!H9,1)+IF(Skills!H9&gt;0,MIN(Skills!I9,MAX(0,Inputs!$B$35-((R762-1)*IF(Inputs!$B$4="pvp",15,MAX(0.1,Skills!D9-IF(Skills!E9=TRUE,Inputs!$B$31,0))))))/Skills!H9,1)))/Inputs!$B$35),G762*Q762)*IF(Inputs!$B$4="pvp",1,(1-Summary!$B$55)*(1)+Summary!$B$55*(MIN(Skills!R9,Inputs!$B$37))),0)</f>
        <v/>
      </c>
      <c r="P762">
        <f>IF(B786=0,0,O762/B786)</f>
        <v/>
      </c>
      <c r="Q762">
        <f>IFERROR(1/IF(Inputs!$B$4="pvp",15,MAX(0.1,Skills!D9-IF(Skills!E9=TRUE,Inputs!$B$31,0))),0)</f>
        <v/>
      </c>
      <c r="R762">
        <f>IF(AND(Inputs!$B$4&lt;&gt;"pvp",Inputs!$B$35&gt;0),(INT(Inputs!$B$35/IF(Inputs!$B$4="pvp",15,MAX(0.1,Skills!D9-IF(Skills!E9=TRUE,Inputs!$B$31,0))))+1),0)</f>
        <v/>
      </c>
      <c r="S762">
        <f>IFERROR(O762/N762,0)</f>
        <v/>
      </c>
    </row>
    <row r="763">
      <c r="A763">
        <f>Skills!A10</f>
        <v/>
      </c>
      <c r="B763">
        <f>Skills!B10</f>
        <v/>
      </c>
      <c r="C763">
        <f>Inputs!$B$3&gt;=103</f>
        <v/>
      </c>
      <c r="D763">
        <f>IF(Skills!C10=1,60+Inputs!$B$24+(Inputs!$B$28+1),IF(Skills!C10=2,90+Inputs!$B$25+(Inputs!$B$28+1),IF(Skills!C10=3,120+Inputs!$B$26+(Inputs!$B$28+1),MAX(0,(Inputs!$B$3-100)*3)+Inputs!$B$27+(Inputs!$B$28+1))))</f>
        <v/>
      </c>
      <c r="E763">
        <f>INDEX(FactorTable!$B$2:$Y$301, MATCH(ROUND(MIN(300,MAX(1,D763)),0), FactorTable!$A$2:$A$301,0), Skills!M10+1)</f>
        <v/>
      </c>
      <c r="F763">
        <f>IF(Skills!N10=TRUE,(Skills!L10/10)*(E763/1000),Skills!L10/10)+Skills!O10</f>
        <v/>
      </c>
      <c r="G763">
        <f>Skills!G10*IF(Skills!H10&gt;0,Skills!I10/Skills!H10,1)</f>
        <v/>
      </c>
      <c r="H763">
        <f>1-(1-Skills!J10/100)^Skills!K10</f>
        <v/>
      </c>
      <c r="I763" t="inlineStr">
        <is>
          <t>1</t>
        </is>
      </c>
      <c r="J763">
        <f>(Inputs!$B$5*(1+Inputs!$B$6/100))*(F763/100)</f>
        <v/>
      </c>
      <c r="K763">
        <f>J763*(1+((Inputs!$B$11*(1+Inputs!$B$12/100))*0.01+Inputs!$B$13*0.0025)/100)*(1+Inputs!$B$14/100)*(1+IF(Inputs!$B$4="pvp",0,(1-Summary!$B$55)*(Inputs!$B$19+0+Skills!P10)+Summary!$B$55*(Inputs!$B$20+Skills!Q10))/100)*(1+Inputs!$B$15/100)*(5000/(6000+Inputs!$B$7*(1-(Inputs!$B$18+0)/100)))*(1+(Inputs!$B$23+((C775=TRUE)*(F775-Calc!F22))+B784)/100)*(1+(IF(Skills!A10="HOOK_BOMBER",Inputs!$B$16+((C774=TRUE)*(F774-Calc!F21)),Inputs!$B$17+0))/100)*((1+(((C766=TRUE)*F766)+((C772=TRUE)*(F772-Calc!F19)))/100)*I763)</f>
        <v/>
      </c>
      <c r="L763">
        <f>K763*(MIN(Inputs!$B$21+((C773=TRUE)*(F773-Calc!F20)),Inputs!$B$22+0)/100+(Inputs!$B$22+0)/100)/2</f>
        <v/>
      </c>
      <c r="M763">
        <f>L763*(1+(Inputs!$B$9+0+B783)/100)</f>
        <v/>
      </c>
      <c r="N763">
        <f>L763*(1-MIN((Inputs!$B$8+((C769=TRUE)*(F769-Calc!F16))+B778),100)/100)+M763*(MIN((Inputs!$B$8+((C769=TRUE)*(F769-Calc!F16))+B778),100)/100)</f>
        <v/>
      </c>
      <c r="O763">
        <f>IF(C763,H763*N763*IF(AND(Inputs!$B$4&lt;&gt;"pvp",Inputs!$B$35&gt;0),((Skills!G10*((R763-1)*IF(Skills!H10&gt;0,Skills!I10/Skills!H10,1)+IF(Skills!H10&gt;0,MIN(Skills!I10,MAX(0,Inputs!$B$35-((R763-1)*IF(Inputs!$B$4="pvp",15,MAX(0.1,Skills!D10-IF(Skills!E10=TRUE,Inputs!$B$31,0))))))/Skills!H10,1)))/Inputs!$B$35),G763*Q763)*IF(Inputs!$B$4="pvp",1,(1-Summary!$B$55)*(1)+Summary!$B$55*(MIN(Skills!R10,Inputs!$B$37))),0)</f>
        <v/>
      </c>
      <c r="P763">
        <f>IF(B786=0,0,O763/B786)</f>
        <v/>
      </c>
      <c r="Q763">
        <f>IFERROR(1/IF(Inputs!$B$4="pvp",15,MAX(0.1,Skills!D10-IF(Skills!E10=TRUE,Inputs!$B$31,0))),0)</f>
        <v/>
      </c>
      <c r="R763">
        <f>IF(AND(Inputs!$B$4&lt;&gt;"pvp",Inputs!$B$35&gt;0),(INT(Inputs!$B$35/IF(Inputs!$B$4="pvp",15,MAX(0.1,Skills!D10-IF(Skills!E10=TRUE,Inputs!$B$31,0))))+1),0)</f>
        <v/>
      </c>
      <c r="S763">
        <f>IFERROR(O763/N763,0)</f>
        <v/>
      </c>
    </row>
    <row r="764">
      <c r="A764">
        <f>Skills!A11</f>
        <v/>
      </c>
      <c r="B764">
        <f>Skills!B11</f>
        <v/>
      </c>
      <c r="C764">
        <f>Inputs!$B$3&gt;=113</f>
        <v/>
      </c>
      <c r="D764">
        <f>IF(Skills!C11=1,60+Inputs!$B$24+(Inputs!$B$28+1),IF(Skills!C11=2,90+Inputs!$B$25+(Inputs!$B$28+1),IF(Skills!C11=3,120+Inputs!$B$26+(Inputs!$B$28+1),MAX(0,(Inputs!$B$3-100)*3)+Inputs!$B$27+(Inputs!$B$28+1))))</f>
        <v/>
      </c>
      <c r="E764">
        <f>INDEX(FactorTable!$B$2:$Y$301, MATCH(ROUND(MIN(300,MAX(1,D764)),0), FactorTable!$A$2:$A$301,0), Skills!M11+1)</f>
        <v/>
      </c>
      <c r="F764">
        <f>IF(Skills!N11=TRUE,(Skills!L11/10)*(E764/1000),Skills!L11/10)+Skills!O11</f>
        <v/>
      </c>
      <c r="G764">
        <f>Skills!G11*IF(Skills!H11&gt;0,Skills!I11/Skills!H11,1)</f>
        <v/>
      </c>
      <c r="H764">
        <f>1-(1-Skills!J11/100)^Skills!K11</f>
        <v/>
      </c>
      <c r="I764" t="inlineStr">
        <is>
          <t>1</t>
        </is>
      </c>
      <c r="J764">
        <f>(Inputs!$B$5*(1+Inputs!$B$6/100))*(F764/100)</f>
        <v/>
      </c>
      <c r="K764">
        <f>J764*(1+((Inputs!$B$11*(1+Inputs!$B$12/100))*0.01+Inputs!$B$13*0.0025)/100)*(1+Inputs!$B$14/100)*(1+IF(Inputs!$B$4="pvp",0,(1-Summary!$B$55)*(Inputs!$B$19+0+Skills!P11)+Summary!$B$55*(Inputs!$B$20+Skills!Q11))/100)*(1+Inputs!$B$15/100)*(5000/(6000+Inputs!$B$7*(1-(Inputs!$B$18+0)/100)))*(1+(Inputs!$B$23+((C775=TRUE)*(F775-Calc!F22))+B784)/100)*(1+(IF(Skills!A11="HOOK_BOMBER",Inputs!$B$16+((C774=TRUE)*(F774-Calc!F21)),Inputs!$B$17+0))/100)*((1+(((C766=TRUE)*F766)+((C772=TRUE)*(F772-Calc!F19)))/100)*I764)</f>
        <v/>
      </c>
      <c r="L764">
        <f>K764*(MIN(Inputs!$B$21+((C773=TRUE)*(F773-Calc!F20)),Inputs!$B$22+0)/100+(Inputs!$B$22+0)/100)/2</f>
        <v/>
      </c>
      <c r="M764">
        <f>L764*(1+(Inputs!$B$9+0+B783)/100)</f>
        <v/>
      </c>
      <c r="N764">
        <f>L764*(1-MIN((Inputs!$B$8+((C769=TRUE)*(F769-Calc!F16))+B778),100)/100)+M764*(MIN((Inputs!$B$8+((C769=TRUE)*(F769-Calc!F16))+B778),100)/100)</f>
        <v/>
      </c>
      <c r="O764">
        <f>IF(C764,H764*N764*IF(AND(Inputs!$B$4&lt;&gt;"pvp",Inputs!$B$35&gt;0),((Skills!G11*((R764-1)*IF(Skills!H11&gt;0,Skills!I11/Skills!H11,1)+IF(Skills!H11&gt;0,MIN(Skills!I11,MAX(0,Inputs!$B$35-((R764-1)*IF(Inputs!$B$4="pvp",15,MAX(0.1,Skills!D11-IF(Skills!E11=TRUE,Inputs!$B$31,0))))))/Skills!H11,1)))/Inputs!$B$35),G764*Q764)*IF(Inputs!$B$4="pvp",1,(1-Summary!$B$55)*(1)+Summary!$B$55*(MIN(Skills!R11,Inputs!$B$37))),0)</f>
        <v/>
      </c>
      <c r="P764">
        <f>IF(B786=0,0,O764/B786)</f>
        <v/>
      </c>
      <c r="Q764">
        <f>IFERROR(1/IF(Inputs!$B$4="pvp",15,MAX(0.1,Skills!D11-IF(Skills!E11=TRUE,Inputs!$B$31,0))),0)</f>
        <v/>
      </c>
      <c r="R764">
        <f>IF(AND(Inputs!$B$4&lt;&gt;"pvp",Inputs!$B$35&gt;0),(INT(Inputs!$B$35/IF(Inputs!$B$4="pvp",15,MAX(0.1,Skills!D11-IF(Skills!E11=TRUE,Inputs!$B$31,0))))+1),0)</f>
        <v/>
      </c>
      <c r="S764">
        <f>IFERROR(O764/N764,0)</f>
        <v/>
      </c>
    </row>
    <row r="765">
      <c r="A765">
        <f>Skills!A12</f>
        <v/>
      </c>
      <c r="B765">
        <f>Skills!B12</f>
        <v/>
      </c>
      <c r="C765">
        <f>Inputs!$B$3&gt;=100</f>
        <v/>
      </c>
      <c r="D765">
        <f>IF(Skills!C12=1,60+Inputs!$B$24+(Inputs!$B$28+1),IF(Skills!C12=2,90+Inputs!$B$25+(Inputs!$B$28+1),IF(Skills!C12=3,120+Inputs!$B$26+(Inputs!$B$28+1),MAX(0,(Inputs!$B$3-100)*3)+Inputs!$B$27+(Inputs!$B$28+1))))</f>
        <v/>
      </c>
      <c r="E765">
        <f>INDEX(FactorTable!$B$2:$Y$301, MATCH(ROUND(MIN(300,MAX(1,D765)),0), FactorTable!$A$2:$A$301,0), Skills!M12+1)</f>
        <v/>
      </c>
      <c r="F765">
        <f>IF(Skills!N12=TRUE,(Skills!L12/10)*(E765/1000),Skills!L12/10)+Skills!O12</f>
        <v/>
      </c>
      <c r="G765" t="inlineStr"/>
      <c r="H765" t="inlineStr"/>
      <c r="I765" t="inlineStr">
        <is>
          <t>1</t>
        </is>
      </c>
      <c r="J765" t="inlineStr"/>
      <c r="K765" t="inlineStr"/>
      <c r="L765" t="inlineStr"/>
      <c r="M765" t="inlineStr"/>
      <c r="N765" t="inlineStr"/>
      <c r="O765" t="inlineStr"/>
      <c r="P765" t="inlineStr"/>
      <c r="Q765" t="inlineStr"/>
      <c r="R765" t="inlineStr"/>
      <c r="S765" t="inlineStr"/>
    </row>
    <row r="766">
      <c r="A766">
        <f>Skills!A13</f>
        <v/>
      </c>
      <c r="B766">
        <f>Skills!B13</f>
        <v/>
      </c>
      <c r="C766">
        <f>Inputs!$B$3&gt;=66</f>
        <v/>
      </c>
      <c r="D766">
        <f>IF(Skills!C13=1,60+Inputs!$B$24+(Inputs!$B$28+1),IF(Skills!C13=2,90+Inputs!$B$25+(Inputs!$B$28+1),IF(Skills!C13=3,120+Inputs!$B$26+(Inputs!$B$28+1),MAX(0,(Inputs!$B$3-100)*3)+Inputs!$B$27+(Inputs!$B$28+1))))</f>
        <v/>
      </c>
      <c r="E766">
        <f>INDEX(FactorTable!$B$2:$Y$301, MATCH(ROUND(MIN(300,MAX(1,D766)),0), FactorTable!$A$2:$A$301,0), Skills!M13+1)</f>
        <v/>
      </c>
      <c r="F766">
        <f>IF(Skills!N13=TRUE,(Skills!L13/10)*(E766/1000),Skills!L13/10)+Skills!O13</f>
        <v/>
      </c>
      <c r="G766">
        <f>Skills!G13*IF(Skills!H13&gt;0,Skills!I13/Skills!H13,1)</f>
        <v/>
      </c>
      <c r="H766">
        <f>1-(1-Skills!J13/100)^Skills!K13</f>
        <v/>
      </c>
      <c r="I766" t="inlineStr">
        <is>
          <t>1</t>
        </is>
      </c>
      <c r="J766" t="inlineStr"/>
      <c r="K766" t="inlineStr"/>
      <c r="L766" t="inlineStr"/>
      <c r="M766" t="inlineStr"/>
      <c r="N766" t="inlineStr"/>
      <c r="O766" t="n">
        <v>0</v>
      </c>
      <c r="P766">
        <f>IF(B786=0,0,O766/B786)</f>
        <v/>
      </c>
      <c r="Q766" t="n">
        <v>0</v>
      </c>
      <c r="R766" t="n">
        <v>0</v>
      </c>
      <c r="S766">
        <f>IFERROR(O766/N766,0)</f>
        <v/>
      </c>
    </row>
    <row r="767">
      <c r="A767">
        <f>Skills!A14</f>
        <v/>
      </c>
      <c r="B767">
        <f>Skills!B14</f>
        <v/>
      </c>
      <c r="C767">
        <f>Inputs!$B$3&gt;=107</f>
        <v/>
      </c>
      <c r="D767">
        <f>IF(Skills!C14=1,60+Inputs!$B$24+(Inputs!$B$28+1),IF(Skills!C14=2,90+Inputs!$B$25+(Inputs!$B$28+1),IF(Skills!C14=3,120+Inputs!$B$26+(Inputs!$B$28+1),MAX(0,(Inputs!$B$3-100)*3)+Inputs!$B$27+(Inputs!$B$28+1))))</f>
        <v/>
      </c>
      <c r="E767">
        <f>INDEX(FactorTable!$B$2:$Y$301, MATCH(ROUND(MIN(300,MAX(1,D767)),0), FactorTable!$A$2:$A$301,0), Skills!M14+1)</f>
        <v/>
      </c>
      <c r="F767">
        <f>IF(Skills!N14=TRUE,(Skills!L14/10)*(E767/1000),Skills!L14/10)+Skills!O14</f>
        <v/>
      </c>
      <c r="G767">
        <f>Skills!G14*IF(Skills!H14&gt;0,Skills!I14/Skills!H14,1)</f>
        <v/>
      </c>
      <c r="H767">
        <f>1-(1-Skills!J14/100)^Skills!K14</f>
        <v/>
      </c>
      <c r="I767" t="inlineStr">
        <is>
          <t>1</t>
        </is>
      </c>
      <c r="J767" t="inlineStr"/>
      <c r="K767" t="inlineStr"/>
      <c r="L767" t="inlineStr"/>
      <c r="M767" t="inlineStr"/>
      <c r="N767" t="inlineStr"/>
      <c r="O767" t="n">
        <v>0</v>
      </c>
      <c r="P767">
        <f>IF(B786=0,0,O767/B786)</f>
        <v/>
      </c>
      <c r="Q767" t="n">
        <v>0</v>
      </c>
      <c r="R767" t="n">
        <v>0</v>
      </c>
      <c r="S767">
        <f>IFERROR(O767/N767,0)</f>
        <v/>
      </c>
    </row>
    <row r="768">
      <c r="A768">
        <f>Skills!A15</f>
        <v/>
      </c>
      <c r="B768">
        <f>Skills!B15</f>
        <v/>
      </c>
      <c r="C768">
        <f>Inputs!$B$3&gt;=115</f>
        <v/>
      </c>
      <c r="D768">
        <f>IF(Skills!C15=1,60+Inputs!$B$24+(Inputs!$B$28+1),IF(Skills!C15=2,90+Inputs!$B$25+(Inputs!$B$28+1),IF(Skills!C15=3,120+Inputs!$B$26+(Inputs!$B$28+1),MAX(0,(Inputs!$B$3-100)*3)+Inputs!$B$27+(Inputs!$B$28+1))))</f>
        <v/>
      </c>
      <c r="E768">
        <f>INDEX(FactorTable!$B$2:$Y$301, MATCH(ROUND(MIN(300,MAX(1,D768)),0), FactorTable!$A$2:$A$301,0), Skills!M15+1)</f>
        <v/>
      </c>
      <c r="F768">
        <f>IF(Skills!N15=TRUE,(Skills!L15/10)*(E768/1000),Skills!L15/10)+Skills!O15</f>
        <v/>
      </c>
      <c r="G768">
        <f>Skills!G15*IF(Skills!H15&gt;0,Skills!I15/Skills!H15,1)</f>
        <v/>
      </c>
      <c r="H768">
        <f>1-(1-Skills!J15/100)^Skills!K15</f>
        <v/>
      </c>
      <c r="I768" t="inlineStr">
        <is>
          <t>1</t>
        </is>
      </c>
      <c r="J768" t="inlineStr"/>
      <c r="K768" t="inlineStr"/>
      <c r="L768" t="inlineStr"/>
      <c r="M768" t="inlineStr"/>
      <c r="N768" t="inlineStr"/>
      <c r="O768" t="n">
        <v>0</v>
      </c>
      <c r="P768">
        <f>IF(B786=0,0,O768/B786)</f>
        <v/>
      </c>
      <c r="Q768" t="n">
        <v>0</v>
      </c>
      <c r="R768" t="n">
        <v>0</v>
      </c>
      <c r="S768">
        <f>IFERROR(O768/N768,0)</f>
        <v/>
      </c>
    </row>
    <row r="769">
      <c r="A769">
        <f>Skills!A16</f>
        <v/>
      </c>
      <c r="B769">
        <f>Skills!B16</f>
        <v/>
      </c>
      <c r="C769">
        <f>Inputs!$B$3&gt;=15</f>
        <v/>
      </c>
      <c r="D769">
        <f>IF(Skills!C16=1,60+Inputs!$B$24+(Inputs!$B$28+1),IF(Skills!C16=2,90+Inputs!$B$25+(Inputs!$B$28+1),IF(Skills!C16=3,120+Inputs!$B$26+(Inputs!$B$28+1),MAX(0,(Inputs!$B$3-100)*3)+Inputs!$B$27+(Inputs!$B$28+1))))</f>
        <v/>
      </c>
      <c r="E769">
        <f>INDEX(FactorTable!$B$2:$Y$301, MATCH(ROUND(MIN(300,MAX(1,D769)),0), FactorTable!$A$2:$A$301,0), Skills!M16+1)</f>
        <v/>
      </c>
      <c r="F769">
        <f>IF(Skills!N16=TRUE,(Skills!L16/10)*(E769/1000),Skills!L16/10)+Skills!O16</f>
        <v/>
      </c>
      <c r="G769">
        <f>Skills!G16*IF(Skills!H16&gt;0,Skills!I16/Skills!H16,1)</f>
        <v/>
      </c>
      <c r="H769">
        <f>1-(1-Skills!J16/100)^Skills!K16</f>
        <v/>
      </c>
      <c r="I769" t="inlineStr">
        <is>
          <t>1</t>
        </is>
      </c>
      <c r="J769" t="inlineStr"/>
      <c r="K769" t="inlineStr"/>
      <c r="L769" t="inlineStr"/>
      <c r="M769" t="inlineStr"/>
      <c r="N769" t="inlineStr"/>
      <c r="O769" t="n">
        <v>0</v>
      </c>
      <c r="P769">
        <f>IF(B786=0,0,O769/B786)</f>
        <v/>
      </c>
      <c r="Q769" t="n">
        <v>0</v>
      </c>
      <c r="R769" t="n">
        <v>0</v>
      </c>
      <c r="S769">
        <f>IFERROR(O769/N769,0)</f>
        <v/>
      </c>
    </row>
    <row r="770">
      <c r="A770">
        <f>Skills!A17</f>
        <v/>
      </c>
      <c r="B770">
        <f>Skills!B17</f>
        <v/>
      </c>
      <c r="C770">
        <f>Inputs!$B$3&gt;=10</f>
        <v/>
      </c>
      <c r="D770">
        <f>IF(Skills!C17=1,60+Inputs!$B$24+(Inputs!$B$28+1),IF(Skills!C17=2,90+Inputs!$B$25+(Inputs!$B$28+1),IF(Skills!C17=3,120+Inputs!$B$26+(Inputs!$B$28+1),MAX(0,(Inputs!$B$3-100)*3)+Inputs!$B$27+(Inputs!$B$28+1))))</f>
        <v/>
      </c>
      <c r="E770">
        <f>INDEX(FactorTable!$B$2:$Y$301, MATCH(ROUND(MIN(300,MAX(1,D770)),0), FactorTable!$A$2:$A$301,0), Skills!M17+1)</f>
        <v/>
      </c>
      <c r="F770">
        <f>IF(Skills!N17=TRUE,(Skills!L17/10)*(E770/1000),Skills!L17/10)+Skills!O17</f>
        <v/>
      </c>
      <c r="G770">
        <f>Skills!G17*IF(Skills!H17&gt;0,Skills!I17/Skills!H17,1)</f>
        <v/>
      </c>
      <c r="H770">
        <f>1-(1-Skills!J17/100)^Skills!K17</f>
        <v/>
      </c>
      <c r="I770" t="inlineStr">
        <is>
          <t>1</t>
        </is>
      </c>
      <c r="J770" t="inlineStr"/>
      <c r="K770" t="inlineStr"/>
      <c r="L770" t="inlineStr"/>
      <c r="M770" t="inlineStr"/>
      <c r="N770" t="inlineStr"/>
      <c r="O770" t="n">
        <v>0</v>
      </c>
      <c r="P770">
        <f>IF(B786=0,0,O770/B786)</f>
        <v/>
      </c>
      <c r="Q770" t="n">
        <v>0</v>
      </c>
      <c r="R770" t="n">
        <v>0</v>
      </c>
      <c r="S770">
        <f>IFERROR(O770/N770,0)</f>
        <v/>
      </c>
    </row>
    <row r="771">
      <c r="A771">
        <f>Skills!A18</f>
        <v/>
      </c>
      <c r="B771">
        <f>Skills!B18</f>
        <v/>
      </c>
      <c r="C771">
        <f>Inputs!$B$3&gt;=33</f>
        <v/>
      </c>
      <c r="D771">
        <f>IF(Skills!C18=1,60+Inputs!$B$24+(Inputs!$B$28+1),IF(Skills!C18=2,90+Inputs!$B$25+(Inputs!$B$28+1),IF(Skills!C18=3,120+Inputs!$B$26+(Inputs!$B$28+1),MAX(0,(Inputs!$B$3-100)*3)+Inputs!$B$27+(Inputs!$B$28+1))))</f>
        <v/>
      </c>
      <c r="E771">
        <f>INDEX(FactorTable!$B$2:$Y$301, MATCH(ROUND(MIN(300,MAX(1,D771)),0), FactorTable!$A$2:$A$301,0), Skills!M18+1)</f>
        <v/>
      </c>
      <c r="F771">
        <f>IF(Skills!N18=TRUE,(Skills!L18/10)*(E771/1000),Skills!L18/10)+Skills!O18</f>
        <v/>
      </c>
      <c r="G771">
        <f>Skills!G18*IF(Skills!H18&gt;0,Skills!I18/Skills!H18,1)</f>
        <v/>
      </c>
      <c r="H771">
        <f>1-(1-Skills!J18/100)^Skills!K18</f>
        <v/>
      </c>
      <c r="I771" t="inlineStr">
        <is>
          <t>1</t>
        </is>
      </c>
      <c r="J771" t="inlineStr"/>
      <c r="K771" t="inlineStr"/>
      <c r="L771" t="inlineStr"/>
      <c r="M771" t="inlineStr"/>
      <c r="N771" t="inlineStr"/>
      <c r="O771" t="n">
        <v>0</v>
      </c>
      <c r="P771">
        <f>IF(B786=0,0,O771/B786)</f>
        <v/>
      </c>
      <c r="Q771" t="n">
        <v>0</v>
      </c>
      <c r="R771" t="n">
        <v>0</v>
      </c>
      <c r="S771">
        <f>IFERROR(O771/N771,0)</f>
        <v/>
      </c>
    </row>
    <row r="772">
      <c r="A772">
        <f>Skills!A19</f>
        <v/>
      </c>
      <c r="B772">
        <f>Skills!B19</f>
        <v/>
      </c>
      <c r="C772">
        <f>Inputs!$B$3&gt;=40</f>
        <v/>
      </c>
      <c r="D772">
        <f>IF(Skills!C19=1,60+Inputs!$B$24+(Inputs!$B$28+1),IF(Skills!C19=2,90+Inputs!$B$25+(Inputs!$B$28+1),IF(Skills!C19=3,120+Inputs!$B$26+(Inputs!$B$28+1),MAX(0,(Inputs!$B$3-100)*3)+Inputs!$B$27+(Inputs!$B$28+1))))</f>
        <v/>
      </c>
      <c r="E772">
        <f>INDEX(FactorTable!$B$2:$Y$301, MATCH(ROUND(MIN(300,MAX(1,D772)),0), FactorTable!$A$2:$A$301,0), Skills!M19+1)</f>
        <v/>
      </c>
      <c r="F772">
        <f>IF(Skills!N19=TRUE,(Skills!L19/10)*(E772/1000),Skills!L19/10)+Skills!O19</f>
        <v/>
      </c>
      <c r="G772">
        <f>Skills!G19*IF(Skills!H19&gt;0,Skills!I19/Skills!H19,1)</f>
        <v/>
      </c>
      <c r="H772">
        <f>1-(1-Skills!J19/100)^Skills!K19</f>
        <v/>
      </c>
      <c r="I772" t="inlineStr">
        <is>
          <t>1</t>
        </is>
      </c>
      <c r="J772" t="inlineStr"/>
      <c r="K772" t="inlineStr"/>
      <c r="L772" t="inlineStr"/>
      <c r="M772" t="inlineStr"/>
      <c r="N772" t="inlineStr"/>
      <c r="O772" t="n">
        <v>0</v>
      </c>
      <c r="P772">
        <f>IF(B786=0,0,O772/B786)</f>
        <v/>
      </c>
      <c r="Q772" t="n">
        <v>0</v>
      </c>
      <c r="R772" t="n">
        <v>0</v>
      </c>
      <c r="S772">
        <f>IFERROR(O772/N772,0)</f>
        <v/>
      </c>
    </row>
    <row r="773">
      <c r="A773">
        <f>Skills!A20</f>
        <v/>
      </c>
      <c r="B773">
        <f>Skills!B20</f>
        <v/>
      </c>
      <c r="C773">
        <f>Inputs!$B$3&gt;=43</f>
        <v/>
      </c>
      <c r="D773">
        <f>IF(Skills!C20=1,60+Inputs!$B$24+(Inputs!$B$28+1),IF(Skills!C20=2,90+Inputs!$B$25+(Inputs!$B$28+1),IF(Skills!C20=3,120+Inputs!$B$26+(Inputs!$B$28+1),MAX(0,(Inputs!$B$3-100)*3)+Inputs!$B$27+(Inputs!$B$28+1))))</f>
        <v/>
      </c>
      <c r="E773">
        <f>INDEX(FactorTable!$B$2:$Y$301, MATCH(ROUND(MIN(300,MAX(1,D773)),0), FactorTable!$A$2:$A$301,0), Skills!M20+1)</f>
        <v/>
      </c>
      <c r="F773">
        <f>IF(Skills!N20=TRUE,(Skills!L20/10)*(E773/1000),Skills!L20/10)+Skills!O20</f>
        <v/>
      </c>
      <c r="G773">
        <f>Skills!G20*IF(Skills!H20&gt;0,Skills!I20/Skills!H20,1)</f>
        <v/>
      </c>
      <c r="H773">
        <f>1-(1-Skills!J20/100)^Skills!K20</f>
        <v/>
      </c>
      <c r="I773" t="inlineStr">
        <is>
          <t>1</t>
        </is>
      </c>
      <c r="J773" t="inlineStr"/>
      <c r="K773" t="inlineStr"/>
      <c r="L773" t="inlineStr"/>
      <c r="M773" t="inlineStr"/>
      <c r="N773" t="inlineStr"/>
      <c r="O773" t="n">
        <v>0</v>
      </c>
      <c r="P773">
        <f>IF(B786=0,0,O773/B786)</f>
        <v/>
      </c>
      <c r="Q773" t="n">
        <v>0</v>
      </c>
      <c r="R773" t="n">
        <v>0</v>
      </c>
      <c r="S773">
        <f>IFERROR(O773/N773,0)</f>
        <v/>
      </c>
    </row>
    <row r="774">
      <c r="A774">
        <f>Skills!A21</f>
        <v/>
      </c>
      <c r="B774">
        <f>Skills!B21</f>
        <v/>
      </c>
      <c r="C774">
        <f>Inputs!$B$3&gt;=38</f>
        <v/>
      </c>
      <c r="D774">
        <f>IF(Skills!C21=1,60+Inputs!$B$24+(Inputs!$B$28+1),IF(Skills!C21=2,90+Inputs!$B$25+(Inputs!$B$28+1),IF(Skills!C21=3,120+Inputs!$B$26+(Inputs!$B$28+1),MAX(0,(Inputs!$B$3-100)*3)+Inputs!$B$27+(Inputs!$B$28+1))))</f>
        <v/>
      </c>
      <c r="E774">
        <f>INDEX(FactorTable!$B$2:$Y$301, MATCH(ROUND(MIN(300,MAX(1,D774)),0), FactorTable!$A$2:$A$301,0), Skills!M21+1)</f>
        <v/>
      </c>
      <c r="F774">
        <f>IF(Skills!N21=TRUE,(Skills!L21/10)*(E774/1000),Skills!L21/10)+Skills!O21</f>
        <v/>
      </c>
      <c r="G774">
        <f>Skills!G21*IF(Skills!H21&gt;0,Skills!I21/Skills!H21,1)</f>
        <v/>
      </c>
      <c r="H774">
        <f>1-(1-Skills!J21/100)^Skills!K21</f>
        <v/>
      </c>
      <c r="I774" t="inlineStr">
        <is>
          <t>1</t>
        </is>
      </c>
      <c r="J774" t="inlineStr"/>
      <c r="K774" t="inlineStr"/>
      <c r="L774" t="inlineStr"/>
      <c r="M774" t="inlineStr"/>
      <c r="N774" t="inlineStr"/>
      <c r="O774" t="n">
        <v>0</v>
      </c>
      <c r="P774">
        <f>IF(B786=0,0,O774/B786)</f>
        <v/>
      </c>
      <c r="Q774" t="n">
        <v>0</v>
      </c>
      <c r="R774" t="n">
        <v>0</v>
      </c>
      <c r="S774">
        <f>IFERROR(O774/N774,0)</f>
        <v/>
      </c>
    </row>
    <row r="775">
      <c r="A775">
        <f>Skills!A22</f>
        <v/>
      </c>
      <c r="B775">
        <f>Skills!B22</f>
        <v/>
      </c>
      <c r="C775">
        <f>Inputs!$B$3&gt;=75</f>
        <v/>
      </c>
      <c r="D775">
        <f>IF(Skills!C22=1,60+Inputs!$B$24+(Inputs!$B$28+1),IF(Skills!C22=2,90+Inputs!$B$25+(Inputs!$B$28+1),IF(Skills!C22=3,120+Inputs!$B$26+(Inputs!$B$28+1),MAX(0,(Inputs!$B$3-100)*3)+Inputs!$B$27+(Inputs!$B$28+1))))</f>
        <v/>
      </c>
      <c r="E775">
        <f>INDEX(FactorTable!$B$2:$Y$301, MATCH(ROUND(MIN(300,MAX(1,D775)),0), FactorTable!$A$2:$A$301,0), Skills!M22+1)</f>
        <v/>
      </c>
      <c r="F775">
        <f>IF(Skills!N22=TRUE,(Skills!L22/10)*(E775/1000),Skills!L22/10)+Skills!O22</f>
        <v/>
      </c>
      <c r="G775">
        <f>Skills!G22*IF(Skills!H22&gt;0,Skills!I22/Skills!H22,1)</f>
        <v/>
      </c>
      <c r="H775">
        <f>1-(1-Skills!J22/100)^Skills!K22</f>
        <v/>
      </c>
      <c r="I775" t="inlineStr">
        <is>
          <t>1</t>
        </is>
      </c>
      <c r="J775" t="inlineStr"/>
      <c r="K775" t="inlineStr"/>
      <c r="L775" t="inlineStr"/>
      <c r="M775" t="inlineStr"/>
      <c r="N775" t="inlineStr"/>
      <c r="O775" t="n">
        <v>0</v>
      </c>
      <c r="P775">
        <f>IF(B786=0,0,O775/B786)</f>
        <v/>
      </c>
      <c r="Q775" t="n">
        <v>0</v>
      </c>
      <c r="R775" t="n">
        <v>0</v>
      </c>
      <c r="S775">
        <f>IFERROR(O775/N775,0)</f>
        <v/>
      </c>
    </row>
    <row r="777">
      <c r="A777" t="inlineStr">
        <is>
          <t>Attack% Bucket Multiplier</t>
        </is>
      </c>
      <c r="B777">
        <f>(1+(((C766=TRUE)*F766)+((C772=TRUE)*(F772-Calc!F19)))/100)</f>
        <v/>
      </c>
    </row>
    <row r="778">
      <c r="A778" t="inlineStr">
        <is>
          <t>Global Crit Rate Bonus %</t>
        </is>
      </c>
      <c r="B778" t="n">
        <v>0</v>
      </c>
    </row>
    <row r="779">
      <c r="A779" t="inlineStr">
        <is>
          <t>Attack Speed Buff Bonus % (unused)</t>
        </is>
      </c>
      <c r="B779" t="n">
        <v>0</v>
      </c>
    </row>
    <row r="780">
      <c r="A780" t="inlineStr">
        <is>
          <t>Actions Per Second</t>
        </is>
      </c>
      <c r="B780">
        <f>1+MIN(150,150*(1-(1-(Inputs!$B$10+((C770=TRUE)*(F770-Calc!F17))+((C771=TRUE)*(F771-Calc!F18)))/150)*(1-B779/150)))/100</f>
        <v/>
      </c>
    </row>
    <row r="781">
      <c r="A781" t="inlineStr">
        <is>
          <t>Skill + Buff Cast Rate</t>
        </is>
      </c>
      <c r="B781">
        <f>IF(AND(Inputs!$B$4&lt;&gt;"pvp",Inputs!$B$35&gt;0),SUMPRODUCT((Skills!E2:E22=TRUE)*(C755:C775=TRUE)*R755:R775*Skills!F2:F22)/Inputs!$B$35,SUMPRODUCT((Skills!E2:E22=TRUE)*(C755:C775=TRUE)*Q755:Q775*Skills!F2:F22))</f>
        <v/>
      </c>
    </row>
    <row r="782">
      <c r="A782" t="inlineStr">
        <is>
          <t>Hook Bomber Casts Per Second</t>
        </is>
      </c>
      <c r="B782">
        <f>MAX(0,B780-B781)</f>
        <v/>
      </c>
    </row>
    <row r="783">
      <c r="A783" t="inlineStr">
        <is>
          <t>Global Critical Damage Bonus % (unused)</t>
        </is>
      </c>
      <c r="B783" t="n">
        <v>0</v>
      </c>
    </row>
    <row r="784">
      <c r="A784" t="inlineStr">
        <is>
          <t>Global Final Damage Bonus % (Serpent Scale + Crossbones + Time Leap + Speed Infusion)</t>
        </is>
      </c>
      <c r="B784">
        <f>((C758=TRUE)*F758*((10+IF(Inputs!$B$3&gt;=94,5,0))/((10+IF(Inputs!$B$3&gt;=94,5,0))+5/(B782*(1+IF(Inputs!$B$3&gt;=104,1,0))))))+((C767=TRUE)*F767)+((C768=TRUE)*F768)+((Inputs!$B$3&gt;=110)*20*(B780-1))</f>
        <v/>
      </c>
    </row>
    <row r="786">
      <c r="A786" s="5" t="inlineStr">
        <is>
          <t>TOTAL DPS</t>
        </is>
      </c>
      <c r="B786" s="5">
        <f>SUM(O755:O775)</f>
        <v/>
      </c>
    </row>
    <row r="789">
      <c r="A789" s="5" t="inlineStr">
        <is>
          <t>Stat: Flat ATTACK</t>
        </is>
      </c>
    </row>
    <row r="790">
      <c r="A790" s="8" t="inlineStr">
        <is>
          <t>Key</t>
        </is>
      </c>
      <c r="B790" s="8" t="inlineStr">
        <is>
          <t>Name</t>
        </is>
      </c>
      <c r="C790" s="8" t="inlineStr">
        <is>
          <t>Unlocked</t>
        </is>
      </c>
      <c r="D790" s="8" t="inlineStr">
        <is>
          <t>InputLevel</t>
        </is>
      </c>
      <c r="E790" s="8" t="inlineStr">
        <is>
          <t>Factor</t>
        </is>
      </c>
      <c r="F790" s="8" t="inlineStr">
        <is>
          <t>CoefficientPercent</t>
        </is>
      </c>
      <c r="G790" s="8" t="inlineStr">
        <is>
          <t>EffectiveHits</t>
        </is>
      </c>
      <c r="H790" s="8" t="inlineStr">
        <is>
          <t>ProcProbability</t>
        </is>
      </c>
      <c r="I790" s="8" t="inlineStr">
        <is>
          <t>MapleHeroMultiplier</t>
        </is>
      </c>
      <c r="J790" s="8" t="inlineStr">
        <is>
          <t>BaseDamage</t>
        </is>
      </c>
      <c r="K790" s="8" t="inlineStr">
        <is>
          <t>BaseHitDamage</t>
        </is>
      </c>
      <c r="L790" s="8" t="inlineStr">
        <is>
          <t>NonCritAvg</t>
        </is>
      </c>
      <c r="M790" s="8" t="inlineStr">
        <is>
          <t>CritAvg</t>
        </is>
      </c>
      <c r="N790" s="8" t="inlineStr">
        <is>
          <t>ExpectedDamage(perHit)</t>
        </is>
      </c>
      <c r="O790" s="8" t="inlineStr">
        <is>
          <t>DPS</t>
        </is>
      </c>
      <c r="P790" s="8" t="inlineStr">
        <is>
          <t>% of Total</t>
        </is>
      </c>
      <c r="Q790" s="8" t="inlineStr">
        <is>
          <t>InvCooldown</t>
        </is>
      </c>
      <c r="R790" s="8" t="inlineStr">
        <is>
          <t>CastsInFight</t>
        </is>
      </c>
      <c r="S790" s="8" t="inlineStr">
        <is>
          <t>HitRate(perSec)</t>
        </is>
      </c>
      <c r="U790" t="inlineStr">
        <is>
          <t>helpers</t>
        </is>
      </c>
    </row>
    <row r="791">
      <c r="A791">
        <f>Skills!A2</f>
        <v/>
      </c>
      <c r="B791">
        <f>Skills!B2</f>
        <v/>
      </c>
      <c r="C791">
        <f>Inputs!$B$3&gt;=100</f>
        <v/>
      </c>
      <c r="D791" t="inlineStr"/>
      <c r="E791" t="inlineStr"/>
      <c r="F791">
        <f>U793+Skills!O2</f>
        <v/>
      </c>
      <c r="G791">
        <f>Skills!G2*IF(Skills!H2&gt;0,Skills!I2/Skills!H2,1)</f>
        <v/>
      </c>
      <c r="H791">
        <f>1-(1-Skills!J2/100)^Skills!K2</f>
        <v/>
      </c>
      <c r="I791" t="inlineStr">
        <is>
          <t>1</t>
        </is>
      </c>
      <c r="J791">
        <f>((Inputs!$B$5+1)*(1+Inputs!$B$6/100))*(F791/100)</f>
        <v/>
      </c>
      <c r="K791">
        <f>J791*(1+((Inputs!$B$11*(1+Inputs!$B$12/100))*0.01+Inputs!$B$13*0.0025)/100)*(1+Inputs!$B$14/100)*(1+IF(Inputs!$B$4="pvp",0,(1-Summary!$B$55)*(Inputs!$B$19+0+Skills!P2)+Summary!$B$55*(Inputs!$B$20+Skills!Q2))/100)*(1+Inputs!$B$15/100)*(5000/(6000+Inputs!$B$7*(1-(Inputs!$B$18+0)/100)))*(1+(Inputs!$B$23+((C811=TRUE)*(F811-Calc!F22))+B820)/100)*(1+(IF(Skills!A2="HOOK_BOMBER",Inputs!$B$16+((C810=TRUE)*(F810-Calc!F21)),Inputs!$B$17+0))/100)*((1+(((C802=TRUE)*F802)+((C808=TRUE)*(F808-Calc!F19)))/100)*I791)</f>
        <v/>
      </c>
      <c r="L791">
        <f>K791*(MIN(Inputs!$B$21+((C809=TRUE)*(F809-Calc!F20)),Inputs!$B$22+0)/100+(Inputs!$B$22+0)/100)/2</f>
        <v/>
      </c>
      <c r="M791">
        <f>L791*(1+(Inputs!$B$9+0+B819)/100)</f>
        <v/>
      </c>
      <c r="N791">
        <f>L791*(1-MIN((Inputs!$B$8+((C805=TRUE)*(F805-Calc!F16))+B814),100)/100)+M791*(MIN((Inputs!$B$8+((C805=TRUE)*(F805-Calc!F16))+B814),100)/100)</f>
        <v/>
      </c>
      <c r="O791">
        <f>IF(C791,Skills!G2*N791*B818*IF(Inputs!$B$4="pvp",1,(1-Summary!$B$55)*(1)+Summary!$B$55*(MIN((6+Inputs!$B$32),Inputs!$B$37))),0)</f>
        <v/>
      </c>
      <c r="P791">
        <f>IF(B822=0,0,O791/B822)</f>
        <v/>
      </c>
      <c r="Q791" t="n">
        <v>0</v>
      </c>
      <c r="R791" t="n">
        <v>0</v>
      </c>
      <c r="S791">
        <f>IFERROR(O791/N791,0)</f>
        <v/>
      </c>
      <c r="U791">
        <f>MAX(0,(Inputs!$B$3-100)*3)+Inputs!$B$27+Inputs!$B$28</f>
        <v/>
      </c>
    </row>
    <row r="792">
      <c r="A792">
        <f>Skills!A3</f>
        <v/>
      </c>
      <c r="B792">
        <f>Skills!B3</f>
        <v/>
      </c>
      <c r="C792">
        <f>Inputs!$B$3&gt;=35</f>
        <v/>
      </c>
      <c r="D792">
        <f>IF(Skills!C3=1,60+Inputs!$B$24+Inputs!$B$28,IF(Skills!C3=2,90+Inputs!$B$25+Inputs!$B$28,IF(Skills!C3=3,120+Inputs!$B$26+Inputs!$B$28,MAX(0,(Inputs!$B$3-100)*3)+Inputs!$B$27+Inputs!$B$28)))</f>
        <v/>
      </c>
      <c r="E792">
        <f>INDEX(FactorTable!$B$2:$Y$301, MATCH(ROUND(MIN(300,MAX(1,D792)),0), FactorTable!$A$2:$A$301,0), Skills!M3+1)</f>
        <v/>
      </c>
      <c r="F792">
        <f>IF(Skills!N3=TRUE,(Skills!L3/10)*(E792/1000),Skills!L3/10)+Skills!O3</f>
        <v/>
      </c>
      <c r="G792">
        <f>Skills!G3*IF(Skills!H3&gt;0,Skills!I3/Skills!H3,1)</f>
        <v/>
      </c>
      <c r="H792">
        <f>1-(1-Skills!J3/100)^Skills!K3</f>
        <v/>
      </c>
      <c r="I792" t="inlineStr">
        <is>
          <t>1</t>
        </is>
      </c>
      <c r="J792">
        <f>((Inputs!$B$5+1)*(1+Inputs!$B$6/100))*(F792/100)</f>
        <v/>
      </c>
      <c r="K792">
        <f>J792*(1+((Inputs!$B$11*(1+Inputs!$B$12/100))*0.01+Inputs!$B$13*0.0025)/100)*(1+Inputs!$B$14/100)*(1+IF(Inputs!$B$4="pvp",0,(1-Summary!$B$55)*(Inputs!$B$19+0+Skills!P3)+Summary!$B$55*(Inputs!$B$20+Skills!Q3))/100)*(1+Inputs!$B$15/100)*(5000/(6000+Inputs!$B$7*(1-(Inputs!$B$18+0)/100)))*(1+(Inputs!$B$23+((C811=TRUE)*(F811-Calc!F22))+B820)/100)*(1+(IF(Skills!A3="HOOK_BOMBER",Inputs!$B$16+((C810=TRUE)*(F810-Calc!F21)),Inputs!$B$17+0))/100)*((1+(((C802=TRUE)*F802)+((C808=TRUE)*(F808-Calc!F19)))/100)*I792)</f>
        <v/>
      </c>
      <c r="L792">
        <f>K792*(MIN(Inputs!$B$21+((C809=TRUE)*(F809-Calc!F20)),Inputs!$B$22+0)/100+(Inputs!$B$22+0)/100)/2</f>
        <v/>
      </c>
      <c r="M792">
        <f>L792*(1+(Inputs!$B$9+0+B819)/100)</f>
        <v/>
      </c>
      <c r="N792">
        <f>L792*(1-MIN((Inputs!$B$8+((C805=TRUE)*(F805-Calc!F16))+B814),100)/100)+M792*(MIN((Inputs!$B$8+((C805=TRUE)*(F805-Calc!F16))+B814),100)/100)</f>
        <v/>
      </c>
      <c r="O792">
        <f>IF(C792,Skills!G3*H792*N792*B818*IF(Inputs!$B$4="pvp",1,(1-Summary!$B$55)*(1)+Summary!$B$55*(MIN(Skills!R3,Inputs!$B$37))),0)</f>
        <v/>
      </c>
      <c r="P792">
        <f>IF(B822=0,0,O792/B822)</f>
        <v/>
      </c>
      <c r="Q792" t="n">
        <v>0</v>
      </c>
      <c r="R792" t="n">
        <v>0</v>
      </c>
      <c r="S792">
        <f>IFERROR(O792/N792,0)</f>
        <v/>
      </c>
      <c r="U792">
        <f>INDEX(FactorTable!$B$2:$Y$301, MATCH(ROUND(MIN(300,MAX(1,U791)),0), FactorTable!$A$2:$A$301,0), 22)</f>
        <v/>
      </c>
    </row>
    <row r="793">
      <c r="A793">
        <f>Skills!A4</f>
        <v/>
      </c>
      <c r="B793">
        <f>Skills!B4</f>
        <v/>
      </c>
      <c r="C793">
        <f>Inputs!$B$3&gt;=60</f>
        <v/>
      </c>
      <c r="D793">
        <f>IF(Skills!C4=1,60+Inputs!$B$24+Inputs!$B$28,IF(Skills!C4=2,90+Inputs!$B$25+Inputs!$B$28,IF(Skills!C4=3,120+Inputs!$B$26+Inputs!$B$28,MAX(0,(Inputs!$B$3-100)*3)+Inputs!$B$27+Inputs!$B$28)))</f>
        <v/>
      </c>
      <c r="E793">
        <f>INDEX(FactorTable!$B$2:$Y$301, MATCH(ROUND(MIN(300,MAX(1,D793)),0), FactorTable!$A$2:$A$301,0), Skills!M4+1)</f>
        <v/>
      </c>
      <c r="F793">
        <f>IF(Skills!N4=TRUE,(Skills!L4/10)*(E793/1000),Skills!L4/10)+Skills!O4</f>
        <v/>
      </c>
      <c r="G793">
        <f>Skills!G4*IF(Skills!H4&gt;0,Skills!I4/Skills!H4,1)</f>
        <v/>
      </c>
      <c r="H793">
        <f>1-(1-Skills!J4/100)^Skills!K4</f>
        <v/>
      </c>
      <c r="I793" t="inlineStr">
        <is>
          <t>1</t>
        </is>
      </c>
      <c r="J793">
        <f>((Inputs!$B$5+1)*(1+Inputs!$B$6/100))*(F793/100)</f>
        <v/>
      </c>
      <c r="K793">
        <f>J793*(1+((Inputs!$B$11*(1+Inputs!$B$12/100))*0.01+Inputs!$B$13*0.0025)/100)*(1+Inputs!$B$14/100)*(1+IF(Inputs!$B$4="pvp",0,(1-Summary!$B$55)*(Inputs!$B$19+0+Skills!P4)+Summary!$B$55*(Inputs!$B$20+Skills!Q4))/100)*(1+Inputs!$B$15/100)*(5000/(6000+Inputs!$B$7*(1-(Inputs!$B$18+0)/100)))*(1+(Inputs!$B$23+((C811=TRUE)*(F811-Calc!F22))+B820)/100)*(1+1.0*IF(C801=TRUE,F801,0)/100)*(1+(IF(Skills!A4="HOOK_BOMBER",Inputs!$B$16+((C810=TRUE)*(F810-Calc!F21)),Inputs!$B$17+0))/100)*((1+(((C802=TRUE)*F802)+((C808=TRUE)*(F808-Calc!F19)))/100)*I793)</f>
        <v/>
      </c>
      <c r="L793">
        <f>K793*(MIN(Inputs!$B$21+((C809=TRUE)*(F809-Calc!F20)),Inputs!$B$22+0)/100+(Inputs!$B$22+0)/100)/2</f>
        <v/>
      </c>
      <c r="M793">
        <f>L793*(1+(Inputs!$B$9+0+B819)/100)</f>
        <v/>
      </c>
      <c r="N793">
        <f>L793*(1-MIN((Inputs!$B$8+((C805=TRUE)*(F805-Calc!F16))+B814),100)/100)+M793*(MIN((Inputs!$B$8+((C805=TRUE)*(F805-Calc!F16))+B814),100)/100)</f>
        <v/>
      </c>
      <c r="O793">
        <f>IF(C793,Skills!G4*H793*N793*B818*IF(Inputs!$B$4="pvp",1,(1-Summary!$B$55)*(1)+Summary!$B$55*(MIN(Skills!R4,Inputs!$B$37))),0)</f>
        <v/>
      </c>
      <c r="P793">
        <f>IF(B822=0,0,O793/B822)</f>
        <v/>
      </c>
      <c r="Q793" t="n">
        <v>0</v>
      </c>
      <c r="R793" t="n">
        <v>0</v>
      </c>
      <c r="S793">
        <f>IFERROR(O793/N793,0)</f>
        <v/>
      </c>
      <c r="U793">
        <f>290*U792/1000</f>
        <v/>
      </c>
    </row>
    <row r="794">
      <c r="A794">
        <f>Skills!A5</f>
        <v/>
      </c>
      <c r="B794">
        <f>Skills!B5</f>
        <v/>
      </c>
      <c r="C794">
        <f>Inputs!$B$3&gt;=60</f>
        <v/>
      </c>
      <c r="D794">
        <f>IF(Skills!C5=1,60+Inputs!$B$24+Inputs!$B$28,IF(Skills!C5=2,90+Inputs!$B$25+Inputs!$B$28,IF(Skills!C5=3,120+Inputs!$B$26+Inputs!$B$28,MAX(0,(Inputs!$B$3-100)*3)+Inputs!$B$27+Inputs!$B$28)))</f>
        <v/>
      </c>
      <c r="E794">
        <f>INDEX(FactorTable!$B$2:$Y$301, MATCH(ROUND(MIN(300,MAX(1,D794)),0), FactorTable!$A$2:$A$301,0), Skills!M5+1)</f>
        <v/>
      </c>
      <c r="F794">
        <f>IF(Skills!N5=TRUE,(Skills!L5/10)*(E794/1000),Skills!L5/10)+Skills!O5</f>
        <v/>
      </c>
      <c r="G794">
        <f>Skills!G5*IF(Skills!H5&gt;0,Skills!I5/Skills!H5,1)</f>
        <v/>
      </c>
      <c r="H794">
        <f>1-(1-Skills!J5/100)^Skills!K5</f>
        <v/>
      </c>
      <c r="I794" t="inlineStr">
        <is>
          <t>1</t>
        </is>
      </c>
      <c r="J794" t="inlineStr"/>
      <c r="K794" t="inlineStr"/>
      <c r="L794" t="inlineStr"/>
      <c r="M794" t="inlineStr"/>
      <c r="N794" t="inlineStr"/>
      <c r="O794" t="n">
        <v>0</v>
      </c>
      <c r="P794">
        <f>IF(B822=0,0,O794/B822)</f>
        <v/>
      </c>
      <c r="Q794" t="n">
        <v>0</v>
      </c>
      <c r="R794" t="n">
        <v>0</v>
      </c>
      <c r="S794">
        <f>IFERROR(O794/N794,0)</f>
        <v/>
      </c>
    </row>
    <row r="795">
      <c r="A795">
        <f>Skills!A6</f>
        <v/>
      </c>
      <c r="B795">
        <f>Skills!B6</f>
        <v/>
      </c>
      <c r="C795">
        <f>Inputs!$B$3&gt;=63</f>
        <v/>
      </c>
      <c r="D795">
        <f>IF(Skills!C6=1,60+Inputs!$B$24+Inputs!$B$28,IF(Skills!C6=2,90+Inputs!$B$25+Inputs!$B$28,IF(Skills!C6=3,120+Inputs!$B$26+Inputs!$B$28,MAX(0,(Inputs!$B$3-100)*3)+Inputs!$B$27+Inputs!$B$28)))</f>
        <v/>
      </c>
      <c r="E795">
        <f>INDEX(FactorTable!$B$2:$Y$301, MATCH(ROUND(MIN(300,MAX(1,D795)),0), FactorTable!$A$2:$A$301,0), Skills!M6+1)</f>
        <v/>
      </c>
      <c r="F795">
        <f>IF(Skills!N6=TRUE,(Skills!L6/10)*(E795/1000),Skills!L6/10)+Skills!O6</f>
        <v/>
      </c>
      <c r="G795">
        <f>Skills!G6*IF(Skills!H6&gt;0,Skills!I6/Skills!H6,1)</f>
        <v/>
      </c>
      <c r="H795">
        <f>1-(1-Skills!J6/100)^Skills!K6</f>
        <v/>
      </c>
      <c r="I795" t="inlineStr">
        <is>
          <t>1</t>
        </is>
      </c>
      <c r="J795">
        <f>((Inputs!$B$5+1)*(1+Inputs!$B$6/100))*(F795/100)</f>
        <v/>
      </c>
      <c r="K795">
        <f>J795*(1+((Inputs!$B$11*(1+Inputs!$B$12/100))*0.01+Inputs!$B$13*0.0025)/100)*(1+Inputs!$B$14/100)*(1+IF(Inputs!$B$4="pvp",0,(1-Summary!$B$55)*(Inputs!$B$19+0+Skills!P6)+Summary!$B$55*(Inputs!$B$20+Skills!Q6))/100)*(1+Inputs!$B$15/100)*(5000/(6000+Inputs!$B$7*(1-(Inputs!$B$18+0)/100)))*(1+(Inputs!$B$23+((C811=TRUE)*(F811-Calc!F22))+B820)/100)*(1+(IF(Skills!A6="HOOK_BOMBER",Inputs!$B$16+((C810=TRUE)*(F810-Calc!F21)),Inputs!$B$17+0))/100)*((1+(((C802=TRUE)*F802)+((C808=TRUE)*(F808-Calc!F19)))/100)*I795)</f>
        <v/>
      </c>
      <c r="L795">
        <f>K795*(MIN(Inputs!$B$21+((C809=TRUE)*(F809-Calc!F20)),Inputs!$B$22+0)/100+(Inputs!$B$22+0)/100)/2</f>
        <v/>
      </c>
      <c r="M795">
        <f>L795*(1+(Inputs!$B$9+0+B819)/100)</f>
        <v/>
      </c>
      <c r="N795">
        <f>L795*(1-MIN((Inputs!$B$8+((C805=TRUE)*(F805-Calc!F16))+B814),100)/100)+M795*(MIN((Inputs!$B$8+((C805=TRUE)*(F805-Calc!F16))+B814),100)/100)</f>
        <v/>
      </c>
      <c r="O795">
        <f>IF(C795,H795*N795*IF(AND(Inputs!$B$4&lt;&gt;"pvp",Inputs!$B$35&gt;0),((Skills!G6*((R795-1)*IF(Skills!H6&gt;0,Skills!I6/Skills!H6,1)+IF(Skills!H6&gt;0,MIN(Skills!I6,MAX(0,Inputs!$B$35-((R795-1)*IF(Inputs!$B$4="pvp",15,MAX(0.1,Skills!D6-IF(Skills!E6=TRUE,Inputs!$B$31,0))))))/Skills!H6,1)))/Inputs!$B$35),G795*Q795)*IF(Inputs!$B$4="pvp",1,(1-Summary!$B$55)*(1)+Summary!$B$55*(MIN(Skills!R6,Inputs!$B$37))),0)</f>
        <v/>
      </c>
      <c r="P795">
        <f>IF(B822=0,0,O795/B822)</f>
        <v/>
      </c>
      <c r="Q795">
        <f>IFERROR(1/IF(Inputs!$B$4="pvp",15,MAX(0.1,Skills!D6-IF(Skills!E6=TRUE,Inputs!$B$31,0))),0)</f>
        <v/>
      </c>
      <c r="R795">
        <f>IF(AND(Inputs!$B$4&lt;&gt;"pvp",Inputs!$B$35&gt;0),(INT(Inputs!$B$35/IF(Inputs!$B$4="pvp",15,MAX(0.1,Skills!D6-IF(Skills!E6=TRUE,Inputs!$B$31,0))))+1),0)</f>
        <v/>
      </c>
      <c r="S795">
        <f>IFERROR(O795/N795,0)</f>
        <v/>
      </c>
    </row>
    <row r="796">
      <c r="A796">
        <f>Skills!A7</f>
        <v/>
      </c>
      <c r="B796">
        <f>Skills!B7</f>
        <v/>
      </c>
      <c r="C796">
        <f>Inputs!$B$3&gt;=100</f>
        <v/>
      </c>
      <c r="D796">
        <f>IF(Skills!C7=1,60+Inputs!$B$24+Inputs!$B$28,IF(Skills!C7=2,90+Inputs!$B$25+Inputs!$B$28,IF(Skills!C7=3,120+Inputs!$B$26+Inputs!$B$28,MAX(0,(Inputs!$B$3-100)*3)+Inputs!$B$27+Inputs!$B$28)))</f>
        <v/>
      </c>
      <c r="E796">
        <f>INDEX(FactorTable!$B$2:$Y$301, MATCH(ROUND(MIN(300,MAX(1,D796)),0), FactorTable!$A$2:$A$301,0), Skills!M7+1)</f>
        <v/>
      </c>
      <c r="F796">
        <f>IF(Skills!N7=TRUE,(Skills!L7/10)*(E796/1000),Skills!L7/10)+Skills!O7</f>
        <v/>
      </c>
      <c r="G796">
        <f>Skills!G7*IF(Skills!H7&gt;0,Skills!I7/Skills!H7,1)</f>
        <v/>
      </c>
      <c r="H796">
        <f>1-(1-Skills!J7/100)^Skills!K7</f>
        <v/>
      </c>
      <c r="I796" t="inlineStr">
        <is>
          <t>1</t>
        </is>
      </c>
      <c r="J796">
        <f>((Inputs!$B$5+1)*(1+Inputs!$B$6/100))*(F796/100)</f>
        <v/>
      </c>
      <c r="K796">
        <f>J796*(1+((Inputs!$B$11*(1+Inputs!$B$12/100))*0.01+Inputs!$B$13*0.0025)/100)*(1+Inputs!$B$14/100)*(1+IF(Inputs!$B$4="pvp",0,(1-Summary!$B$55)*(Inputs!$B$19+0+Skills!P7)+Summary!$B$55*(Inputs!$B$20+Skills!Q7))/100)*(1+Inputs!$B$15/100)*(5000/(6000+Inputs!$B$7*(1-(Inputs!$B$18+0)/100)))*(1+(Inputs!$B$23+((C811=TRUE)*(F811-Calc!F22))+B820)/100)*(1+(IF(Skills!A7="HOOK_BOMBER",Inputs!$B$16+((C810=TRUE)*(F810-Calc!F21)),Inputs!$B$17+0))/100)*((1+(((C802=TRUE)*F802)+((C808=TRUE)*(F808-Calc!F19)))/100)*I796)</f>
        <v/>
      </c>
      <c r="L796">
        <f>K796*(MIN(Inputs!$B$21+((C809=TRUE)*(F809-Calc!F20)),Inputs!$B$22+0)/100+(Inputs!$B$22+0)/100)/2</f>
        <v/>
      </c>
      <c r="M796">
        <f>L796*(1+(Inputs!$B$9+0+B819)/100)</f>
        <v/>
      </c>
      <c r="N796">
        <f>L796*(1-MIN((Inputs!$B$8+((C805=TRUE)*(F805-Calc!F16))+B814),100)/100)+M796*(MIN((Inputs!$B$8+((C805=TRUE)*(F805-Calc!F16))+B814),100)/100)</f>
        <v/>
      </c>
      <c r="O796">
        <f>IF(C796,H796*N796*IF(AND(Inputs!$B$4&lt;&gt;"pvp",Inputs!$B$35&gt;0),((Skills!G7*((R796-1)*IF(Skills!H7&gt;0,Skills!I7/Skills!H7,1)+IF(Skills!H7&gt;0,MIN(Skills!I7,MAX(0,Inputs!$B$35-((R796-1)*IF(Inputs!$B$4="pvp",15,MAX(0.1,Skills!D7-IF(Skills!E7=TRUE,Inputs!$B$31,0))))))/Skills!H7,1)))/Inputs!$B$35),G796*Q796)*IF(Inputs!$B$4="pvp",1,(1-Summary!$B$55)*(1)+Summary!$B$55*(MIN(Skills!R7,Inputs!$B$37))),0)</f>
        <v/>
      </c>
      <c r="P796">
        <f>IF(B822=0,0,O796/B822)</f>
        <v/>
      </c>
      <c r="Q796">
        <f>IFERROR(1/IF(Inputs!$B$4="pvp",15,MAX(0.1,Skills!D7-IF(Skills!E7=TRUE,Inputs!$B$31,0))),0)</f>
        <v/>
      </c>
      <c r="R796">
        <f>IF(AND(Inputs!$B$4&lt;&gt;"pvp",Inputs!$B$35&gt;0),(INT(Inputs!$B$35/IF(Inputs!$B$4="pvp",15,MAX(0.1,Skills!D7-IF(Skills!E7=TRUE,Inputs!$B$31,0))))+1),0)</f>
        <v/>
      </c>
      <c r="S796">
        <f>IFERROR(O796/N796,0)</f>
        <v/>
      </c>
    </row>
    <row r="797">
      <c r="A797">
        <f>Skills!A8</f>
        <v/>
      </c>
      <c r="B797">
        <f>Skills!B8</f>
        <v/>
      </c>
      <c r="C797">
        <f>Inputs!$B$3&gt;=110</f>
        <v/>
      </c>
      <c r="D797">
        <f>IF(Skills!C8=1,60+Inputs!$B$24+Inputs!$B$28,IF(Skills!C8=2,90+Inputs!$B$25+Inputs!$B$28,IF(Skills!C8=3,120+Inputs!$B$26+Inputs!$B$28,MAX(0,(Inputs!$B$3-100)*3)+Inputs!$B$27+Inputs!$B$28)))</f>
        <v/>
      </c>
      <c r="E797">
        <f>INDEX(FactorTable!$B$2:$Y$301, MATCH(ROUND(MIN(300,MAX(1,D797)),0), FactorTable!$A$2:$A$301,0), Skills!M8+1)</f>
        <v/>
      </c>
      <c r="F797">
        <f>IF(Skills!N8=TRUE,(Skills!L8/10)*(E797/1000),Skills!L8/10)+Skills!O8</f>
        <v/>
      </c>
      <c r="G797">
        <f>Skills!G8*IF(Skills!H8&gt;0,Skills!I8/Skills!H8,1)</f>
        <v/>
      </c>
      <c r="H797">
        <f>1-(1-Skills!J8/100)^Skills!K8</f>
        <v/>
      </c>
      <c r="I797" t="inlineStr">
        <is>
          <t>1</t>
        </is>
      </c>
      <c r="J797">
        <f>((Inputs!$B$5+1)*(1+Inputs!$B$6/100))*(F797/100)</f>
        <v/>
      </c>
      <c r="K797">
        <f>J797*(1+((Inputs!$B$11*(1+Inputs!$B$12/100))*0.01+Inputs!$B$13*0.0025)/100)*(1+Inputs!$B$14/100)*(1+IF(Inputs!$B$4="pvp",0,(1-Summary!$B$55)*(Inputs!$B$19+0+Skills!P8)+Summary!$B$55*(Inputs!$B$20+Skills!Q8))/100)*(1+Inputs!$B$15/100)*(5000/(6000+Inputs!$B$7*(1-(Inputs!$B$18+0)/100)))*(1+(Inputs!$B$23+((C811=TRUE)*(F811-Calc!F22))+B820)/100)*(1+(IF(Skills!A8="HOOK_BOMBER",Inputs!$B$16+((C810=TRUE)*(F810-Calc!F21)),Inputs!$B$17+0))/100)*((1+(((C802=TRUE)*F802)+((C808=TRUE)*(F808-Calc!F19)))/100)*I797)</f>
        <v/>
      </c>
      <c r="L797">
        <f>K797*(MIN(Inputs!$B$21+((C809=TRUE)*(F809-Calc!F20)),Inputs!$B$22+0)/100+(Inputs!$B$22+0)/100)/2</f>
        <v/>
      </c>
      <c r="M797">
        <f>L797*(1+(Inputs!$B$9+0+B819)/100)</f>
        <v/>
      </c>
      <c r="N797">
        <f>L797*(1-MIN((Inputs!$B$8+((C805=TRUE)*(F805-Calc!F16))+B814),100)/100)+M797*(MIN((Inputs!$B$8+((C805=TRUE)*(F805-Calc!F16))+B814),100)/100)</f>
        <v/>
      </c>
      <c r="O797">
        <f>IF(C797,H797*N797*IF(AND(Inputs!$B$4&lt;&gt;"pvp",Inputs!$B$35&gt;0),((Skills!G8*((R797-1)*IF(Skills!H8&gt;0,Skills!I8/Skills!H8,1)+IF(Skills!H8&gt;0,MIN(Skills!I8,MAX(0,Inputs!$B$35-((R797-1)*IF(Inputs!$B$4="pvp",15,MAX(0.1,Skills!D8-IF(Skills!E8=TRUE,Inputs!$B$31,0))))))/Skills!H8,1)))/Inputs!$B$35),G797*Q797)*IF(Inputs!$B$4="pvp",1,(1-Summary!$B$55)*(1)+Summary!$B$55*(MIN(Skills!R8,Inputs!$B$37))),0)</f>
        <v/>
      </c>
      <c r="P797">
        <f>IF(B822=0,0,O797/B822)</f>
        <v/>
      </c>
      <c r="Q797">
        <f>IFERROR(1/IF(Inputs!$B$4="pvp",15,MAX(0.1,Skills!D8-IF(Skills!E8=TRUE,Inputs!$B$31,0))),0)</f>
        <v/>
      </c>
      <c r="R797">
        <f>IF(AND(Inputs!$B$4&lt;&gt;"pvp",Inputs!$B$35&gt;0),(INT(Inputs!$B$35/IF(Inputs!$B$4="pvp",15,MAX(0.1,Skills!D8-IF(Skills!E8=TRUE,Inputs!$B$31,0))))+1),0)</f>
        <v/>
      </c>
      <c r="S797">
        <f>IFERROR(O797/N797,0)</f>
        <v/>
      </c>
    </row>
    <row r="798">
      <c r="A798">
        <f>Skills!A9</f>
        <v/>
      </c>
      <c r="B798">
        <f>Skills!B9</f>
        <v/>
      </c>
      <c r="C798">
        <f>Inputs!$B$3&gt;=110</f>
        <v/>
      </c>
      <c r="D798">
        <f>IF(Skills!C9=1,60+Inputs!$B$24+Inputs!$B$28,IF(Skills!C9=2,90+Inputs!$B$25+Inputs!$B$28,IF(Skills!C9=3,120+Inputs!$B$26+Inputs!$B$28,MAX(0,(Inputs!$B$3-100)*3)+Inputs!$B$27+Inputs!$B$28)))</f>
        <v/>
      </c>
      <c r="E798">
        <f>INDEX(FactorTable!$B$2:$Y$301, MATCH(ROUND(MIN(300,MAX(1,D798)),0), FactorTable!$A$2:$A$301,0), Skills!M9+1)</f>
        <v/>
      </c>
      <c r="F798">
        <f>IF(Skills!N9=TRUE,(Skills!L9/10)*(E798/1000),Skills!L9/10)+Skills!O9</f>
        <v/>
      </c>
      <c r="G798">
        <f>Skills!G9*IF(Skills!H9&gt;0,Skills!I9/Skills!H9,1)</f>
        <v/>
      </c>
      <c r="H798">
        <f>1-(1-Skills!J9/100)^Skills!K9</f>
        <v/>
      </c>
      <c r="I798" t="inlineStr">
        <is>
          <t>1</t>
        </is>
      </c>
      <c r="J798">
        <f>((Inputs!$B$5+1)*(1+Inputs!$B$6/100))*(F798/100)</f>
        <v/>
      </c>
      <c r="K798">
        <f>J798*(1+((Inputs!$B$11*(1+Inputs!$B$12/100))*0.01+Inputs!$B$13*0.0025)/100)*(1+Inputs!$B$14/100)*(1+IF(Inputs!$B$4="pvp",0,(1-Summary!$B$55)*(Inputs!$B$19+0+Skills!P9)+Summary!$B$55*(Inputs!$B$20+Skills!Q9))/100)*(1+Inputs!$B$15/100)*(5000/(6000+Inputs!$B$7*(1-(Inputs!$B$18+0)/100)))*(1+(Inputs!$B$23+((C811=TRUE)*(F811-Calc!F22))+B820)/100)*(1+(IF(Skills!A9="HOOK_BOMBER",Inputs!$B$16+((C810=TRUE)*(F810-Calc!F21)),Inputs!$B$17+0))/100)*((1+(((C802=TRUE)*F802)+((C808=TRUE)*(F808-Calc!F19)))/100)*I798)</f>
        <v/>
      </c>
      <c r="L798">
        <f>K798*(MIN(Inputs!$B$21+((C809=TRUE)*(F809-Calc!F20)),Inputs!$B$22+0)/100+(Inputs!$B$22+0)/100)/2</f>
        <v/>
      </c>
      <c r="M798">
        <f>L798*(1+(Inputs!$B$9+0+B819)/100)</f>
        <v/>
      </c>
      <c r="N798">
        <f>L798*(1-MIN((Inputs!$B$8+((C805=TRUE)*(F805-Calc!F16))+B814),100)/100)+M798*(MIN((Inputs!$B$8+((C805=TRUE)*(F805-Calc!F16))+B814),100)/100)</f>
        <v/>
      </c>
      <c r="O798">
        <f>IF(C798,H798*N798*IF(AND(Inputs!$B$4&lt;&gt;"pvp",Inputs!$B$35&gt;0),((Skills!G9*((R798-1)*IF(Skills!H9&gt;0,Skills!I9/Skills!H9,1)+IF(Skills!H9&gt;0,MIN(Skills!I9,MAX(0,Inputs!$B$35-((R798-1)*IF(Inputs!$B$4="pvp",15,MAX(0.1,Skills!D9-IF(Skills!E9=TRUE,Inputs!$B$31,0))))))/Skills!H9,1)))/Inputs!$B$35),G798*Q798)*IF(Inputs!$B$4="pvp",1,(1-Summary!$B$55)*(1)+Summary!$B$55*(MIN(Skills!R9,Inputs!$B$37))),0)</f>
        <v/>
      </c>
      <c r="P798">
        <f>IF(B822=0,0,O798/B822)</f>
        <v/>
      </c>
      <c r="Q798">
        <f>IFERROR(1/IF(Inputs!$B$4="pvp",15,MAX(0.1,Skills!D9-IF(Skills!E9=TRUE,Inputs!$B$31,0))),0)</f>
        <v/>
      </c>
      <c r="R798">
        <f>IF(AND(Inputs!$B$4&lt;&gt;"pvp",Inputs!$B$35&gt;0),(INT(Inputs!$B$35/IF(Inputs!$B$4="pvp",15,MAX(0.1,Skills!D9-IF(Skills!E9=TRUE,Inputs!$B$31,0))))+1),0)</f>
        <v/>
      </c>
      <c r="S798">
        <f>IFERROR(O798/N798,0)</f>
        <v/>
      </c>
    </row>
    <row r="799">
      <c r="A799">
        <f>Skills!A10</f>
        <v/>
      </c>
      <c r="B799">
        <f>Skills!B10</f>
        <v/>
      </c>
      <c r="C799">
        <f>Inputs!$B$3&gt;=103</f>
        <v/>
      </c>
      <c r="D799">
        <f>IF(Skills!C10=1,60+Inputs!$B$24+Inputs!$B$28,IF(Skills!C10=2,90+Inputs!$B$25+Inputs!$B$28,IF(Skills!C10=3,120+Inputs!$B$26+Inputs!$B$28,MAX(0,(Inputs!$B$3-100)*3)+Inputs!$B$27+Inputs!$B$28)))</f>
        <v/>
      </c>
      <c r="E799">
        <f>INDEX(FactorTable!$B$2:$Y$301, MATCH(ROUND(MIN(300,MAX(1,D799)),0), FactorTable!$A$2:$A$301,0), Skills!M10+1)</f>
        <v/>
      </c>
      <c r="F799">
        <f>IF(Skills!N10=TRUE,(Skills!L10/10)*(E799/1000),Skills!L10/10)+Skills!O10</f>
        <v/>
      </c>
      <c r="G799">
        <f>Skills!G10*IF(Skills!H10&gt;0,Skills!I10/Skills!H10,1)</f>
        <v/>
      </c>
      <c r="H799">
        <f>1-(1-Skills!J10/100)^Skills!K10</f>
        <v/>
      </c>
      <c r="I799" t="inlineStr">
        <is>
          <t>1</t>
        </is>
      </c>
      <c r="J799">
        <f>((Inputs!$B$5+1)*(1+Inputs!$B$6/100))*(F799/100)</f>
        <v/>
      </c>
      <c r="K799">
        <f>J799*(1+((Inputs!$B$11*(1+Inputs!$B$12/100))*0.01+Inputs!$B$13*0.0025)/100)*(1+Inputs!$B$14/100)*(1+IF(Inputs!$B$4="pvp",0,(1-Summary!$B$55)*(Inputs!$B$19+0+Skills!P10)+Summary!$B$55*(Inputs!$B$20+Skills!Q10))/100)*(1+Inputs!$B$15/100)*(5000/(6000+Inputs!$B$7*(1-(Inputs!$B$18+0)/100)))*(1+(Inputs!$B$23+((C811=TRUE)*(F811-Calc!F22))+B820)/100)*(1+(IF(Skills!A10="HOOK_BOMBER",Inputs!$B$16+((C810=TRUE)*(F810-Calc!F21)),Inputs!$B$17+0))/100)*((1+(((C802=TRUE)*F802)+((C808=TRUE)*(F808-Calc!F19)))/100)*I799)</f>
        <v/>
      </c>
      <c r="L799">
        <f>K799*(MIN(Inputs!$B$21+((C809=TRUE)*(F809-Calc!F20)),Inputs!$B$22+0)/100+(Inputs!$B$22+0)/100)/2</f>
        <v/>
      </c>
      <c r="M799">
        <f>L799*(1+(Inputs!$B$9+0+B819)/100)</f>
        <v/>
      </c>
      <c r="N799">
        <f>L799*(1-MIN((Inputs!$B$8+((C805=TRUE)*(F805-Calc!F16))+B814),100)/100)+M799*(MIN((Inputs!$B$8+((C805=TRUE)*(F805-Calc!F16))+B814),100)/100)</f>
        <v/>
      </c>
      <c r="O799">
        <f>IF(C799,H799*N799*IF(AND(Inputs!$B$4&lt;&gt;"pvp",Inputs!$B$35&gt;0),((Skills!G10*((R799-1)*IF(Skills!H10&gt;0,Skills!I10/Skills!H10,1)+IF(Skills!H10&gt;0,MIN(Skills!I10,MAX(0,Inputs!$B$35-((R799-1)*IF(Inputs!$B$4="pvp",15,MAX(0.1,Skills!D10-IF(Skills!E10=TRUE,Inputs!$B$31,0))))))/Skills!H10,1)))/Inputs!$B$35),G799*Q799)*IF(Inputs!$B$4="pvp",1,(1-Summary!$B$55)*(1)+Summary!$B$55*(MIN(Skills!R10,Inputs!$B$37))),0)</f>
        <v/>
      </c>
      <c r="P799">
        <f>IF(B822=0,0,O799/B822)</f>
        <v/>
      </c>
      <c r="Q799">
        <f>IFERROR(1/IF(Inputs!$B$4="pvp",15,MAX(0.1,Skills!D10-IF(Skills!E10=TRUE,Inputs!$B$31,0))),0)</f>
        <v/>
      </c>
      <c r="R799">
        <f>IF(AND(Inputs!$B$4&lt;&gt;"pvp",Inputs!$B$35&gt;0),(INT(Inputs!$B$35/IF(Inputs!$B$4="pvp",15,MAX(0.1,Skills!D10-IF(Skills!E10=TRUE,Inputs!$B$31,0))))+1),0)</f>
        <v/>
      </c>
      <c r="S799">
        <f>IFERROR(O799/N799,0)</f>
        <v/>
      </c>
    </row>
    <row r="800">
      <c r="A800">
        <f>Skills!A11</f>
        <v/>
      </c>
      <c r="B800">
        <f>Skills!B11</f>
        <v/>
      </c>
      <c r="C800">
        <f>Inputs!$B$3&gt;=113</f>
        <v/>
      </c>
      <c r="D800">
        <f>IF(Skills!C11=1,60+Inputs!$B$24+Inputs!$B$28,IF(Skills!C11=2,90+Inputs!$B$25+Inputs!$B$28,IF(Skills!C11=3,120+Inputs!$B$26+Inputs!$B$28,MAX(0,(Inputs!$B$3-100)*3)+Inputs!$B$27+Inputs!$B$28)))</f>
        <v/>
      </c>
      <c r="E800">
        <f>INDEX(FactorTable!$B$2:$Y$301, MATCH(ROUND(MIN(300,MAX(1,D800)),0), FactorTable!$A$2:$A$301,0), Skills!M11+1)</f>
        <v/>
      </c>
      <c r="F800">
        <f>IF(Skills!N11=TRUE,(Skills!L11/10)*(E800/1000),Skills!L11/10)+Skills!O11</f>
        <v/>
      </c>
      <c r="G800">
        <f>Skills!G11*IF(Skills!H11&gt;0,Skills!I11/Skills!H11,1)</f>
        <v/>
      </c>
      <c r="H800">
        <f>1-(1-Skills!J11/100)^Skills!K11</f>
        <v/>
      </c>
      <c r="I800" t="inlineStr">
        <is>
          <t>1</t>
        </is>
      </c>
      <c r="J800">
        <f>((Inputs!$B$5+1)*(1+Inputs!$B$6/100))*(F800/100)</f>
        <v/>
      </c>
      <c r="K800">
        <f>J800*(1+((Inputs!$B$11*(1+Inputs!$B$12/100))*0.01+Inputs!$B$13*0.0025)/100)*(1+Inputs!$B$14/100)*(1+IF(Inputs!$B$4="pvp",0,(1-Summary!$B$55)*(Inputs!$B$19+0+Skills!P11)+Summary!$B$55*(Inputs!$B$20+Skills!Q11))/100)*(1+Inputs!$B$15/100)*(5000/(6000+Inputs!$B$7*(1-(Inputs!$B$18+0)/100)))*(1+(Inputs!$B$23+((C811=TRUE)*(F811-Calc!F22))+B820)/100)*(1+(IF(Skills!A11="HOOK_BOMBER",Inputs!$B$16+((C810=TRUE)*(F810-Calc!F21)),Inputs!$B$17+0))/100)*((1+(((C802=TRUE)*F802)+((C808=TRUE)*(F808-Calc!F19)))/100)*I800)</f>
        <v/>
      </c>
      <c r="L800">
        <f>K800*(MIN(Inputs!$B$21+((C809=TRUE)*(F809-Calc!F20)),Inputs!$B$22+0)/100+(Inputs!$B$22+0)/100)/2</f>
        <v/>
      </c>
      <c r="M800">
        <f>L800*(1+(Inputs!$B$9+0+B819)/100)</f>
        <v/>
      </c>
      <c r="N800">
        <f>L800*(1-MIN((Inputs!$B$8+((C805=TRUE)*(F805-Calc!F16))+B814),100)/100)+M800*(MIN((Inputs!$B$8+((C805=TRUE)*(F805-Calc!F16))+B814),100)/100)</f>
        <v/>
      </c>
      <c r="O800">
        <f>IF(C800,H800*N800*IF(AND(Inputs!$B$4&lt;&gt;"pvp",Inputs!$B$35&gt;0),((Skills!G11*((R800-1)*IF(Skills!H11&gt;0,Skills!I11/Skills!H11,1)+IF(Skills!H11&gt;0,MIN(Skills!I11,MAX(0,Inputs!$B$35-((R800-1)*IF(Inputs!$B$4="pvp",15,MAX(0.1,Skills!D11-IF(Skills!E11=TRUE,Inputs!$B$31,0))))))/Skills!H11,1)))/Inputs!$B$35),G800*Q800)*IF(Inputs!$B$4="pvp",1,(1-Summary!$B$55)*(1)+Summary!$B$55*(MIN(Skills!R11,Inputs!$B$37))),0)</f>
        <v/>
      </c>
      <c r="P800">
        <f>IF(B822=0,0,O800/B822)</f>
        <v/>
      </c>
      <c r="Q800">
        <f>IFERROR(1/IF(Inputs!$B$4="pvp",15,MAX(0.1,Skills!D11-IF(Skills!E11=TRUE,Inputs!$B$31,0))),0)</f>
        <v/>
      </c>
      <c r="R800">
        <f>IF(AND(Inputs!$B$4&lt;&gt;"pvp",Inputs!$B$35&gt;0),(INT(Inputs!$B$35/IF(Inputs!$B$4="pvp",15,MAX(0.1,Skills!D11-IF(Skills!E11=TRUE,Inputs!$B$31,0))))+1),0)</f>
        <v/>
      </c>
      <c r="S800">
        <f>IFERROR(O800/N800,0)</f>
        <v/>
      </c>
    </row>
    <row r="801">
      <c r="A801">
        <f>Skills!A12</f>
        <v/>
      </c>
      <c r="B801">
        <f>Skills!B12</f>
        <v/>
      </c>
      <c r="C801">
        <f>Inputs!$B$3&gt;=100</f>
        <v/>
      </c>
      <c r="D801">
        <f>IF(Skills!C12=1,60+Inputs!$B$24+Inputs!$B$28,IF(Skills!C12=2,90+Inputs!$B$25+Inputs!$B$28,IF(Skills!C12=3,120+Inputs!$B$26+Inputs!$B$28,MAX(0,(Inputs!$B$3-100)*3)+Inputs!$B$27+Inputs!$B$28)))</f>
        <v/>
      </c>
      <c r="E801">
        <f>INDEX(FactorTable!$B$2:$Y$301, MATCH(ROUND(MIN(300,MAX(1,D801)),0), FactorTable!$A$2:$A$301,0), Skills!M12+1)</f>
        <v/>
      </c>
      <c r="F801">
        <f>IF(Skills!N12=TRUE,(Skills!L12/10)*(E801/1000),Skills!L12/10)+Skills!O12</f>
        <v/>
      </c>
      <c r="G801" t="inlineStr"/>
      <c r="H801" t="inlineStr"/>
      <c r="I801" t="inlineStr">
        <is>
          <t>1</t>
        </is>
      </c>
      <c r="J801" t="inlineStr"/>
      <c r="K801" t="inlineStr"/>
      <c r="L801" t="inlineStr"/>
      <c r="M801" t="inlineStr"/>
      <c r="N801" t="inlineStr"/>
      <c r="O801" t="inlineStr"/>
      <c r="P801" t="inlineStr"/>
      <c r="Q801" t="inlineStr"/>
      <c r="R801" t="inlineStr"/>
      <c r="S801" t="inlineStr"/>
    </row>
    <row r="802">
      <c r="A802">
        <f>Skills!A13</f>
        <v/>
      </c>
      <c r="B802">
        <f>Skills!B13</f>
        <v/>
      </c>
      <c r="C802">
        <f>Inputs!$B$3&gt;=66</f>
        <v/>
      </c>
      <c r="D802">
        <f>IF(Skills!C13=1,60+Inputs!$B$24+Inputs!$B$28,IF(Skills!C13=2,90+Inputs!$B$25+Inputs!$B$28,IF(Skills!C13=3,120+Inputs!$B$26+Inputs!$B$28,MAX(0,(Inputs!$B$3-100)*3)+Inputs!$B$27+Inputs!$B$28)))</f>
        <v/>
      </c>
      <c r="E802">
        <f>INDEX(FactorTable!$B$2:$Y$301, MATCH(ROUND(MIN(300,MAX(1,D802)),0), FactorTable!$A$2:$A$301,0), Skills!M13+1)</f>
        <v/>
      </c>
      <c r="F802">
        <f>IF(Skills!N13=TRUE,(Skills!L13/10)*(E802/1000),Skills!L13/10)+Skills!O13</f>
        <v/>
      </c>
      <c r="G802">
        <f>Skills!G13*IF(Skills!H13&gt;0,Skills!I13/Skills!H13,1)</f>
        <v/>
      </c>
      <c r="H802">
        <f>1-(1-Skills!J13/100)^Skills!K13</f>
        <v/>
      </c>
      <c r="I802" t="inlineStr">
        <is>
          <t>1</t>
        </is>
      </c>
      <c r="J802" t="inlineStr"/>
      <c r="K802" t="inlineStr"/>
      <c r="L802" t="inlineStr"/>
      <c r="M802" t="inlineStr"/>
      <c r="N802" t="inlineStr"/>
      <c r="O802" t="n">
        <v>0</v>
      </c>
      <c r="P802">
        <f>IF(B822=0,0,O802/B822)</f>
        <v/>
      </c>
      <c r="Q802" t="n">
        <v>0</v>
      </c>
      <c r="R802" t="n">
        <v>0</v>
      </c>
      <c r="S802">
        <f>IFERROR(O802/N802,0)</f>
        <v/>
      </c>
    </row>
    <row r="803">
      <c r="A803">
        <f>Skills!A14</f>
        <v/>
      </c>
      <c r="B803">
        <f>Skills!B14</f>
        <v/>
      </c>
      <c r="C803">
        <f>Inputs!$B$3&gt;=107</f>
        <v/>
      </c>
      <c r="D803">
        <f>IF(Skills!C14=1,60+Inputs!$B$24+Inputs!$B$28,IF(Skills!C14=2,90+Inputs!$B$25+Inputs!$B$28,IF(Skills!C14=3,120+Inputs!$B$26+Inputs!$B$28,MAX(0,(Inputs!$B$3-100)*3)+Inputs!$B$27+Inputs!$B$28)))</f>
        <v/>
      </c>
      <c r="E803">
        <f>INDEX(FactorTable!$B$2:$Y$301, MATCH(ROUND(MIN(300,MAX(1,D803)),0), FactorTable!$A$2:$A$301,0), Skills!M14+1)</f>
        <v/>
      </c>
      <c r="F803">
        <f>IF(Skills!N14=TRUE,(Skills!L14/10)*(E803/1000),Skills!L14/10)+Skills!O14</f>
        <v/>
      </c>
      <c r="G803">
        <f>Skills!G14*IF(Skills!H14&gt;0,Skills!I14/Skills!H14,1)</f>
        <v/>
      </c>
      <c r="H803">
        <f>1-(1-Skills!J14/100)^Skills!K14</f>
        <v/>
      </c>
      <c r="I803" t="inlineStr">
        <is>
          <t>1</t>
        </is>
      </c>
      <c r="J803" t="inlineStr"/>
      <c r="K803" t="inlineStr"/>
      <c r="L803" t="inlineStr"/>
      <c r="M803" t="inlineStr"/>
      <c r="N803" t="inlineStr"/>
      <c r="O803" t="n">
        <v>0</v>
      </c>
      <c r="P803">
        <f>IF(B822=0,0,O803/B822)</f>
        <v/>
      </c>
      <c r="Q803" t="n">
        <v>0</v>
      </c>
      <c r="R803" t="n">
        <v>0</v>
      </c>
      <c r="S803">
        <f>IFERROR(O803/N803,0)</f>
        <v/>
      </c>
    </row>
    <row r="804">
      <c r="A804">
        <f>Skills!A15</f>
        <v/>
      </c>
      <c r="B804">
        <f>Skills!B15</f>
        <v/>
      </c>
      <c r="C804">
        <f>Inputs!$B$3&gt;=115</f>
        <v/>
      </c>
      <c r="D804">
        <f>IF(Skills!C15=1,60+Inputs!$B$24+Inputs!$B$28,IF(Skills!C15=2,90+Inputs!$B$25+Inputs!$B$28,IF(Skills!C15=3,120+Inputs!$B$26+Inputs!$B$28,MAX(0,(Inputs!$B$3-100)*3)+Inputs!$B$27+Inputs!$B$28)))</f>
        <v/>
      </c>
      <c r="E804">
        <f>INDEX(FactorTable!$B$2:$Y$301, MATCH(ROUND(MIN(300,MAX(1,D804)),0), FactorTable!$A$2:$A$301,0), Skills!M15+1)</f>
        <v/>
      </c>
      <c r="F804">
        <f>IF(Skills!N15=TRUE,(Skills!L15/10)*(E804/1000),Skills!L15/10)+Skills!O15</f>
        <v/>
      </c>
      <c r="G804">
        <f>Skills!G15*IF(Skills!H15&gt;0,Skills!I15/Skills!H15,1)</f>
        <v/>
      </c>
      <c r="H804">
        <f>1-(1-Skills!J15/100)^Skills!K15</f>
        <v/>
      </c>
      <c r="I804" t="inlineStr">
        <is>
          <t>1</t>
        </is>
      </c>
      <c r="J804" t="inlineStr"/>
      <c r="K804" t="inlineStr"/>
      <c r="L804" t="inlineStr"/>
      <c r="M804" t="inlineStr"/>
      <c r="N804" t="inlineStr"/>
      <c r="O804" t="n">
        <v>0</v>
      </c>
      <c r="P804">
        <f>IF(B822=0,0,O804/B822)</f>
        <v/>
      </c>
      <c r="Q804" t="n">
        <v>0</v>
      </c>
      <c r="R804" t="n">
        <v>0</v>
      </c>
      <c r="S804">
        <f>IFERROR(O804/N804,0)</f>
        <v/>
      </c>
    </row>
    <row r="805">
      <c r="A805">
        <f>Skills!A16</f>
        <v/>
      </c>
      <c r="B805">
        <f>Skills!B16</f>
        <v/>
      </c>
      <c r="C805">
        <f>Inputs!$B$3&gt;=15</f>
        <v/>
      </c>
      <c r="D805">
        <f>IF(Skills!C16=1,60+Inputs!$B$24+Inputs!$B$28,IF(Skills!C16=2,90+Inputs!$B$25+Inputs!$B$28,IF(Skills!C16=3,120+Inputs!$B$26+Inputs!$B$28,MAX(0,(Inputs!$B$3-100)*3)+Inputs!$B$27+Inputs!$B$28)))</f>
        <v/>
      </c>
      <c r="E805">
        <f>INDEX(FactorTable!$B$2:$Y$301, MATCH(ROUND(MIN(300,MAX(1,D805)),0), FactorTable!$A$2:$A$301,0), Skills!M16+1)</f>
        <v/>
      </c>
      <c r="F805">
        <f>IF(Skills!N16=TRUE,(Skills!L16/10)*(E805/1000),Skills!L16/10)+Skills!O16</f>
        <v/>
      </c>
      <c r="G805">
        <f>Skills!G16*IF(Skills!H16&gt;0,Skills!I16/Skills!H16,1)</f>
        <v/>
      </c>
      <c r="H805">
        <f>1-(1-Skills!J16/100)^Skills!K16</f>
        <v/>
      </c>
      <c r="I805" t="inlineStr">
        <is>
          <t>1</t>
        </is>
      </c>
      <c r="J805" t="inlineStr"/>
      <c r="K805" t="inlineStr"/>
      <c r="L805" t="inlineStr"/>
      <c r="M805" t="inlineStr"/>
      <c r="N805" t="inlineStr"/>
      <c r="O805" t="n">
        <v>0</v>
      </c>
      <c r="P805">
        <f>IF(B822=0,0,O805/B822)</f>
        <v/>
      </c>
      <c r="Q805" t="n">
        <v>0</v>
      </c>
      <c r="R805" t="n">
        <v>0</v>
      </c>
      <c r="S805">
        <f>IFERROR(O805/N805,0)</f>
        <v/>
      </c>
    </row>
    <row r="806">
      <c r="A806">
        <f>Skills!A17</f>
        <v/>
      </c>
      <c r="B806">
        <f>Skills!B17</f>
        <v/>
      </c>
      <c r="C806">
        <f>Inputs!$B$3&gt;=10</f>
        <v/>
      </c>
      <c r="D806">
        <f>IF(Skills!C17=1,60+Inputs!$B$24+Inputs!$B$28,IF(Skills!C17=2,90+Inputs!$B$25+Inputs!$B$28,IF(Skills!C17=3,120+Inputs!$B$26+Inputs!$B$28,MAX(0,(Inputs!$B$3-100)*3)+Inputs!$B$27+Inputs!$B$28)))</f>
        <v/>
      </c>
      <c r="E806">
        <f>INDEX(FactorTable!$B$2:$Y$301, MATCH(ROUND(MIN(300,MAX(1,D806)),0), FactorTable!$A$2:$A$301,0), Skills!M17+1)</f>
        <v/>
      </c>
      <c r="F806">
        <f>IF(Skills!N17=TRUE,(Skills!L17/10)*(E806/1000),Skills!L17/10)+Skills!O17</f>
        <v/>
      </c>
      <c r="G806">
        <f>Skills!G17*IF(Skills!H17&gt;0,Skills!I17/Skills!H17,1)</f>
        <v/>
      </c>
      <c r="H806">
        <f>1-(1-Skills!J17/100)^Skills!K17</f>
        <v/>
      </c>
      <c r="I806" t="inlineStr">
        <is>
          <t>1</t>
        </is>
      </c>
      <c r="J806" t="inlineStr"/>
      <c r="K806" t="inlineStr"/>
      <c r="L806" t="inlineStr"/>
      <c r="M806" t="inlineStr"/>
      <c r="N806" t="inlineStr"/>
      <c r="O806" t="n">
        <v>0</v>
      </c>
      <c r="P806">
        <f>IF(B822=0,0,O806/B822)</f>
        <v/>
      </c>
      <c r="Q806" t="n">
        <v>0</v>
      </c>
      <c r="R806" t="n">
        <v>0</v>
      </c>
      <c r="S806">
        <f>IFERROR(O806/N806,0)</f>
        <v/>
      </c>
    </row>
    <row r="807">
      <c r="A807">
        <f>Skills!A18</f>
        <v/>
      </c>
      <c r="B807">
        <f>Skills!B18</f>
        <v/>
      </c>
      <c r="C807">
        <f>Inputs!$B$3&gt;=33</f>
        <v/>
      </c>
      <c r="D807">
        <f>IF(Skills!C18=1,60+Inputs!$B$24+Inputs!$B$28,IF(Skills!C18=2,90+Inputs!$B$25+Inputs!$B$28,IF(Skills!C18=3,120+Inputs!$B$26+Inputs!$B$28,MAX(0,(Inputs!$B$3-100)*3)+Inputs!$B$27+Inputs!$B$28)))</f>
        <v/>
      </c>
      <c r="E807">
        <f>INDEX(FactorTable!$B$2:$Y$301, MATCH(ROUND(MIN(300,MAX(1,D807)),0), FactorTable!$A$2:$A$301,0), Skills!M18+1)</f>
        <v/>
      </c>
      <c r="F807">
        <f>IF(Skills!N18=TRUE,(Skills!L18/10)*(E807/1000),Skills!L18/10)+Skills!O18</f>
        <v/>
      </c>
      <c r="G807">
        <f>Skills!G18*IF(Skills!H18&gt;0,Skills!I18/Skills!H18,1)</f>
        <v/>
      </c>
      <c r="H807">
        <f>1-(1-Skills!J18/100)^Skills!K18</f>
        <v/>
      </c>
      <c r="I807" t="inlineStr">
        <is>
          <t>1</t>
        </is>
      </c>
      <c r="J807" t="inlineStr"/>
      <c r="K807" t="inlineStr"/>
      <c r="L807" t="inlineStr"/>
      <c r="M807" t="inlineStr"/>
      <c r="N807" t="inlineStr"/>
      <c r="O807" t="n">
        <v>0</v>
      </c>
      <c r="P807">
        <f>IF(B822=0,0,O807/B822)</f>
        <v/>
      </c>
      <c r="Q807" t="n">
        <v>0</v>
      </c>
      <c r="R807" t="n">
        <v>0</v>
      </c>
      <c r="S807">
        <f>IFERROR(O807/N807,0)</f>
        <v/>
      </c>
    </row>
    <row r="808">
      <c r="A808">
        <f>Skills!A19</f>
        <v/>
      </c>
      <c r="B808">
        <f>Skills!B19</f>
        <v/>
      </c>
      <c r="C808">
        <f>Inputs!$B$3&gt;=40</f>
        <v/>
      </c>
      <c r="D808">
        <f>IF(Skills!C19=1,60+Inputs!$B$24+Inputs!$B$28,IF(Skills!C19=2,90+Inputs!$B$25+Inputs!$B$28,IF(Skills!C19=3,120+Inputs!$B$26+Inputs!$B$28,MAX(0,(Inputs!$B$3-100)*3)+Inputs!$B$27+Inputs!$B$28)))</f>
        <v/>
      </c>
      <c r="E808">
        <f>INDEX(FactorTable!$B$2:$Y$301, MATCH(ROUND(MIN(300,MAX(1,D808)),0), FactorTable!$A$2:$A$301,0), Skills!M19+1)</f>
        <v/>
      </c>
      <c r="F808">
        <f>IF(Skills!N19=TRUE,(Skills!L19/10)*(E808/1000),Skills!L19/10)+Skills!O19</f>
        <v/>
      </c>
      <c r="G808">
        <f>Skills!G19*IF(Skills!H19&gt;0,Skills!I19/Skills!H19,1)</f>
        <v/>
      </c>
      <c r="H808">
        <f>1-(1-Skills!J19/100)^Skills!K19</f>
        <v/>
      </c>
      <c r="I808" t="inlineStr">
        <is>
          <t>1</t>
        </is>
      </c>
      <c r="J808" t="inlineStr"/>
      <c r="K808" t="inlineStr"/>
      <c r="L808" t="inlineStr"/>
      <c r="M808" t="inlineStr"/>
      <c r="N808" t="inlineStr"/>
      <c r="O808" t="n">
        <v>0</v>
      </c>
      <c r="P808">
        <f>IF(B822=0,0,O808/B822)</f>
        <v/>
      </c>
      <c r="Q808" t="n">
        <v>0</v>
      </c>
      <c r="R808" t="n">
        <v>0</v>
      </c>
      <c r="S808">
        <f>IFERROR(O808/N808,0)</f>
        <v/>
      </c>
    </row>
    <row r="809">
      <c r="A809">
        <f>Skills!A20</f>
        <v/>
      </c>
      <c r="B809">
        <f>Skills!B20</f>
        <v/>
      </c>
      <c r="C809">
        <f>Inputs!$B$3&gt;=43</f>
        <v/>
      </c>
      <c r="D809">
        <f>IF(Skills!C20=1,60+Inputs!$B$24+Inputs!$B$28,IF(Skills!C20=2,90+Inputs!$B$25+Inputs!$B$28,IF(Skills!C20=3,120+Inputs!$B$26+Inputs!$B$28,MAX(0,(Inputs!$B$3-100)*3)+Inputs!$B$27+Inputs!$B$28)))</f>
        <v/>
      </c>
      <c r="E809">
        <f>INDEX(FactorTable!$B$2:$Y$301, MATCH(ROUND(MIN(300,MAX(1,D809)),0), FactorTable!$A$2:$A$301,0), Skills!M20+1)</f>
        <v/>
      </c>
      <c r="F809">
        <f>IF(Skills!N20=TRUE,(Skills!L20/10)*(E809/1000),Skills!L20/10)+Skills!O20</f>
        <v/>
      </c>
      <c r="G809">
        <f>Skills!G20*IF(Skills!H20&gt;0,Skills!I20/Skills!H20,1)</f>
        <v/>
      </c>
      <c r="H809">
        <f>1-(1-Skills!J20/100)^Skills!K20</f>
        <v/>
      </c>
      <c r="I809" t="inlineStr">
        <is>
          <t>1</t>
        </is>
      </c>
      <c r="J809" t="inlineStr"/>
      <c r="K809" t="inlineStr"/>
      <c r="L809" t="inlineStr"/>
      <c r="M809" t="inlineStr"/>
      <c r="N809" t="inlineStr"/>
      <c r="O809" t="n">
        <v>0</v>
      </c>
      <c r="P809">
        <f>IF(B822=0,0,O809/B822)</f>
        <v/>
      </c>
      <c r="Q809" t="n">
        <v>0</v>
      </c>
      <c r="R809" t="n">
        <v>0</v>
      </c>
      <c r="S809">
        <f>IFERROR(O809/N809,0)</f>
        <v/>
      </c>
    </row>
    <row r="810">
      <c r="A810">
        <f>Skills!A21</f>
        <v/>
      </c>
      <c r="B810">
        <f>Skills!B21</f>
        <v/>
      </c>
      <c r="C810">
        <f>Inputs!$B$3&gt;=38</f>
        <v/>
      </c>
      <c r="D810">
        <f>IF(Skills!C21=1,60+Inputs!$B$24+Inputs!$B$28,IF(Skills!C21=2,90+Inputs!$B$25+Inputs!$B$28,IF(Skills!C21=3,120+Inputs!$B$26+Inputs!$B$28,MAX(0,(Inputs!$B$3-100)*3)+Inputs!$B$27+Inputs!$B$28)))</f>
        <v/>
      </c>
      <c r="E810">
        <f>INDEX(FactorTable!$B$2:$Y$301, MATCH(ROUND(MIN(300,MAX(1,D810)),0), FactorTable!$A$2:$A$301,0), Skills!M21+1)</f>
        <v/>
      </c>
      <c r="F810">
        <f>IF(Skills!N21=TRUE,(Skills!L21/10)*(E810/1000),Skills!L21/10)+Skills!O21</f>
        <v/>
      </c>
      <c r="G810">
        <f>Skills!G21*IF(Skills!H21&gt;0,Skills!I21/Skills!H21,1)</f>
        <v/>
      </c>
      <c r="H810">
        <f>1-(1-Skills!J21/100)^Skills!K21</f>
        <v/>
      </c>
      <c r="I810" t="inlineStr">
        <is>
          <t>1</t>
        </is>
      </c>
      <c r="J810" t="inlineStr"/>
      <c r="K810" t="inlineStr"/>
      <c r="L810" t="inlineStr"/>
      <c r="M810" t="inlineStr"/>
      <c r="N810" t="inlineStr"/>
      <c r="O810" t="n">
        <v>0</v>
      </c>
      <c r="P810">
        <f>IF(B822=0,0,O810/B822)</f>
        <v/>
      </c>
      <c r="Q810" t="n">
        <v>0</v>
      </c>
      <c r="R810" t="n">
        <v>0</v>
      </c>
      <c r="S810">
        <f>IFERROR(O810/N810,0)</f>
        <v/>
      </c>
    </row>
    <row r="811">
      <c r="A811">
        <f>Skills!A22</f>
        <v/>
      </c>
      <c r="B811">
        <f>Skills!B22</f>
        <v/>
      </c>
      <c r="C811">
        <f>Inputs!$B$3&gt;=75</f>
        <v/>
      </c>
      <c r="D811">
        <f>IF(Skills!C22=1,60+Inputs!$B$24+Inputs!$B$28,IF(Skills!C22=2,90+Inputs!$B$25+Inputs!$B$28,IF(Skills!C22=3,120+Inputs!$B$26+Inputs!$B$28,MAX(0,(Inputs!$B$3-100)*3)+Inputs!$B$27+Inputs!$B$28)))</f>
        <v/>
      </c>
      <c r="E811">
        <f>INDEX(FactorTable!$B$2:$Y$301, MATCH(ROUND(MIN(300,MAX(1,D811)),0), FactorTable!$A$2:$A$301,0), Skills!M22+1)</f>
        <v/>
      </c>
      <c r="F811">
        <f>IF(Skills!N22=TRUE,(Skills!L22/10)*(E811/1000),Skills!L22/10)+Skills!O22</f>
        <v/>
      </c>
      <c r="G811">
        <f>Skills!G22*IF(Skills!H22&gt;0,Skills!I22/Skills!H22,1)</f>
        <v/>
      </c>
      <c r="H811">
        <f>1-(1-Skills!J22/100)^Skills!K22</f>
        <v/>
      </c>
      <c r="I811" t="inlineStr">
        <is>
          <t>1</t>
        </is>
      </c>
      <c r="J811" t="inlineStr"/>
      <c r="K811" t="inlineStr"/>
      <c r="L811" t="inlineStr"/>
      <c r="M811" t="inlineStr"/>
      <c r="N811" t="inlineStr"/>
      <c r="O811" t="n">
        <v>0</v>
      </c>
      <c r="P811">
        <f>IF(B822=0,0,O811/B822)</f>
        <v/>
      </c>
      <c r="Q811" t="n">
        <v>0</v>
      </c>
      <c r="R811" t="n">
        <v>0</v>
      </c>
      <c r="S811">
        <f>IFERROR(O811/N811,0)</f>
        <v/>
      </c>
    </row>
    <row r="813">
      <c r="A813" t="inlineStr">
        <is>
          <t>Attack% Bucket Multiplier</t>
        </is>
      </c>
      <c r="B813">
        <f>(1+(((C802=TRUE)*F802)+((C808=TRUE)*(F808-Calc!F19)))/100)</f>
        <v/>
      </c>
    </row>
    <row r="814">
      <c r="A814" t="inlineStr">
        <is>
          <t>Global Crit Rate Bonus %</t>
        </is>
      </c>
      <c r="B814" t="n">
        <v>0</v>
      </c>
    </row>
    <row r="815">
      <c r="A815" t="inlineStr">
        <is>
          <t>Attack Speed Buff Bonus % (unused)</t>
        </is>
      </c>
      <c r="B815" t="n">
        <v>0</v>
      </c>
    </row>
    <row r="816">
      <c r="A816" t="inlineStr">
        <is>
          <t>Actions Per Second</t>
        </is>
      </c>
      <c r="B816">
        <f>1+MIN(150,150*(1-(1-(Inputs!$B$10+((C806=TRUE)*(F806-Calc!F17))+((C807=TRUE)*(F807-Calc!F18)))/150)*(1-B815/150)))/100</f>
        <v/>
      </c>
    </row>
    <row r="817">
      <c r="A817" t="inlineStr">
        <is>
          <t>Skill + Buff Cast Rate</t>
        </is>
      </c>
      <c r="B817">
        <f>IF(AND(Inputs!$B$4&lt;&gt;"pvp",Inputs!$B$35&gt;0),SUMPRODUCT((Skills!E2:E22=TRUE)*(C791:C811=TRUE)*R791:R811*Skills!F2:F22)/Inputs!$B$35,SUMPRODUCT((Skills!E2:E22=TRUE)*(C791:C811=TRUE)*Q791:Q811*Skills!F2:F22))</f>
        <v/>
      </c>
    </row>
    <row r="818">
      <c r="A818" t="inlineStr">
        <is>
          <t>Hook Bomber Casts Per Second</t>
        </is>
      </c>
      <c r="B818">
        <f>MAX(0,B816-B817)</f>
        <v/>
      </c>
    </row>
    <row r="819">
      <c r="A819" t="inlineStr">
        <is>
          <t>Global Critical Damage Bonus % (unused)</t>
        </is>
      </c>
      <c r="B819" t="n">
        <v>0</v>
      </c>
    </row>
    <row r="820">
      <c r="A820" t="inlineStr">
        <is>
          <t>Global Final Damage Bonus % (Serpent Scale + Crossbones + Time Leap + Speed Infusion)</t>
        </is>
      </c>
      <c r="B820">
        <f>((C794=TRUE)*F794*((10+IF(Inputs!$B$3&gt;=94,5,0))/((10+IF(Inputs!$B$3&gt;=94,5,0))+5/(B818*(1+IF(Inputs!$B$3&gt;=104,1,0))))))+((C803=TRUE)*F803)+((C804=TRUE)*F804)+((Inputs!$B$3&gt;=110)*20*(B816-1))</f>
        <v/>
      </c>
    </row>
    <row r="822">
      <c r="A822" s="5" t="inlineStr">
        <is>
          <t>TOTAL DPS</t>
        </is>
      </c>
      <c r="B822" s="5">
        <f>SUM(O791:O811)</f>
        <v/>
      </c>
    </row>
    <row r="825">
      <c r="A825" s="5" t="inlineStr">
        <is>
          <t>Stat: ATTACK %</t>
        </is>
      </c>
    </row>
    <row r="826">
      <c r="A826" s="8" t="inlineStr">
        <is>
          <t>Key</t>
        </is>
      </c>
      <c r="B826" s="8" t="inlineStr">
        <is>
          <t>Name</t>
        </is>
      </c>
      <c r="C826" s="8" t="inlineStr">
        <is>
          <t>Unlocked</t>
        </is>
      </c>
      <c r="D826" s="8" t="inlineStr">
        <is>
          <t>InputLevel</t>
        </is>
      </c>
      <c r="E826" s="8" t="inlineStr">
        <is>
          <t>Factor</t>
        </is>
      </c>
      <c r="F826" s="8" t="inlineStr">
        <is>
          <t>CoefficientPercent</t>
        </is>
      </c>
      <c r="G826" s="8" t="inlineStr">
        <is>
          <t>EffectiveHits</t>
        </is>
      </c>
      <c r="H826" s="8" t="inlineStr">
        <is>
          <t>ProcProbability</t>
        </is>
      </c>
      <c r="I826" s="8" t="inlineStr">
        <is>
          <t>MapleHeroMultiplier</t>
        </is>
      </c>
      <c r="J826" s="8" t="inlineStr">
        <is>
          <t>BaseDamage</t>
        </is>
      </c>
      <c r="K826" s="8" t="inlineStr">
        <is>
          <t>BaseHitDamage</t>
        </is>
      </c>
      <c r="L826" s="8" t="inlineStr">
        <is>
          <t>NonCritAvg</t>
        </is>
      </c>
      <c r="M826" s="8" t="inlineStr">
        <is>
          <t>CritAvg</t>
        </is>
      </c>
      <c r="N826" s="8" t="inlineStr">
        <is>
          <t>ExpectedDamage(perHit)</t>
        </is>
      </c>
      <c r="O826" s="8" t="inlineStr">
        <is>
          <t>DPS</t>
        </is>
      </c>
      <c r="P826" s="8" t="inlineStr">
        <is>
          <t>% of Total</t>
        </is>
      </c>
      <c r="Q826" s="8" t="inlineStr">
        <is>
          <t>InvCooldown</t>
        </is>
      </c>
      <c r="R826" s="8" t="inlineStr">
        <is>
          <t>CastsInFight</t>
        </is>
      </c>
      <c r="S826" s="8" t="inlineStr">
        <is>
          <t>HitRate(perSec)</t>
        </is>
      </c>
      <c r="U826" t="inlineStr">
        <is>
          <t>helpers</t>
        </is>
      </c>
    </row>
    <row r="827">
      <c r="A827">
        <f>Skills!A2</f>
        <v/>
      </c>
      <c r="B827">
        <f>Skills!B2</f>
        <v/>
      </c>
      <c r="C827">
        <f>Inputs!$B$3&gt;=100</f>
        <v/>
      </c>
      <c r="D827" t="inlineStr"/>
      <c r="E827" t="inlineStr"/>
      <c r="F827">
        <f>U829+Skills!O2</f>
        <v/>
      </c>
      <c r="G827">
        <f>Skills!G2*IF(Skills!H2&gt;0,Skills!I2/Skills!H2,1)</f>
        <v/>
      </c>
      <c r="H827">
        <f>1-(1-Skills!J2/100)^Skills!K2</f>
        <v/>
      </c>
      <c r="I827" t="inlineStr">
        <is>
          <t>1</t>
        </is>
      </c>
      <c r="J827">
        <f>(Inputs!$B$5*(1+(Inputs!$B$6+1)/100))*(F827/100)</f>
        <v/>
      </c>
      <c r="K827">
        <f>J827*(1+((Inputs!$B$11*(1+Inputs!$B$12/100))*0.01+Inputs!$B$13*0.0025)/100)*(1+Inputs!$B$14/100)*(1+IF(Inputs!$B$4="pvp",0,(1-Summary!$B$55)*(Inputs!$B$19+0+Skills!P2)+Summary!$B$55*(Inputs!$B$20+Skills!Q2))/100)*(1+Inputs!$B$15/100)*(5000/(6000+Inputs!$B$7*(1-(Inputs!$B$18+0)/100)))*(1+(Inputs!$B$23+((C847=TRUE)*(F847-Calc!F22))+B856)/100)*(1+(IF(Skills!A2="HOOK_BOMBER",Inputs!$B$16+((C846=TRUE)*(F846-Calc!F21)),Inputs!$B$17+0))/100)*((1+(((C838=TRUE)*F838)+((C844=TRUE)*(F844-Calc!F19)))/100)*I827)</f>
        <v/>
      </c>
      <c r="L827">
        <f>K827*(MIN(Inputs!$B$21+((C845=TRUE)*(F845-Calc!F20)),Inputs!$B$22+0)/100+(Inputs!$B$22+0)/100)/2</f>
        <v/>
      </c>
      <c r="M827">
        <f>L827*(1+(Inputs!$B$9+0+B855)/100)</f>
        <v/>
      </c>
      <c r="N827">
        <f>L827*(1-MIN((Inputs!$B$8+((C841=TRUE)*(F841-Calc!F16))+B850),100)/100)+M827*(MIN((Inputs!$B$8+((C841=TRUE)*(F841-Calc!F16))+B850),100)/100)</f>
        <v/>
      </c>
      <c r="O827">
        <f>IF(C827,Skills!G2*N827*B854*IF(Inputs!$B$4="pvp",1,(1-Summary!$B$55)*(1)+Summary!$B$55*(MIN((6+Inputs!$B$32),Inputs!$B$37))),0)</f>
        <v/>
      </c>
      <c r="P827">
        <f>IF(B858=0,0,O827/B858)</f>
        <v/>
      </c>
      <c r="Q827" t="n">
        <v>0</v>
      </c>
      <c r="R827" t="n">
        <v>0</v>
      </c>
      <c r="S827">
        <f>IFERROR(O827/N827,0)</f>
        <v/>
      </c>
      <c r="U827">
        <f>MAX(0,(Inputs!$B$3-100)*3)+Inputs!$B$27+Inputs!$B$28</f>
        <v/>
      </c>
    </row>
    <row r="828">
      <c r="A828">
        <f>Skills!A3</f>
        <v/>
      </c>
      <c r="B828">
        <f>Skills!B3</f>
        <v/>
      </c>
      <c r="C828">
        <f>Inputs!$B$3&gt;=35</f>
        <v/>
      </c>
      <c r="D828">
        <f>IF(Skills!C3=1,60+Inputs!$B$24+Inputs!$B$28,IF(Skills!C3=2,90+Inputs!$B$25+Inputs!$B$28,IF(Skills!C3=3,120+Inputs!$B$26+Inputs!$B$28,MAX(0,(Inputs!$B$3-100)*3)+Inputs!$B$27+Inputs!$B$28)))</f>
        <v/>
      </c>
      <c r="E828">
        <f>INDEX(FactorTable!$B$2:$Y$301, MATCH(ROUND(MIN(300,MAX(1,D828)),0), FactorTable!$A$2:$A$301,0), Skills!M3+1)</f>
        <v/>
      </c>
      <c r="F828">
        <f>IF(Skills!N3=TRUE,(Skills!L3/10)*(E828/1000),Skills!L3/10)+Skills!O3</f>
        <v/>
      </c>
      <c r="G828">
        <f>Skills!G3*IF(Skills!H3&gt;0,Skills!I3/Skills!H3,1)</f>
        <v/>
      </c>
      <c r="H828">
        <f>1-(1-Skills!J3/100)^Skills!K3</f>
        <v/>
      </c>
      <c r="I828" t="inlineStr">
        <is>
          <t>1</t>
        </is>
      </c>
      <c r="J828">
        <f>(Inputs!$B$5*(1+(Inputs!$B$6+1)/100))*(F828/100)</f>
        <v/>
      </c>
      <c r="K828">
        <f>J828*(1+((Inputs!$B$11*(1+Inputs!$B$12/100))*0.01+Inputs!$B$13*0.0025)/100)*(1+Inputs!$B$14/100)*(1+IF(Inputs!$B$4="pvp",0,(1-Summary!$B$55)*(Inputs!$B$19+0+Skills!P3)+Summary!$B$55*(Inputs!$B$20+Skills!Q3))/100)*(1+Inputs!$B$15/100)*(5000/(6000+Inputs!$B$7*(1-(Inputs!$B$18+0)/100)))*(1+(Inputs!$B$23+((C847=TRUE)*(F847-Calc!F22))+B856)/100)*(1+(IF(Skills!A3="HOOK_BOMBER",Inputs!$B$16+((C846=TRUE)*(F846-Calc!F21)),Inputs!$B$17+0))/100)*((1+(((C838=TRUE)*F838)+((C844=TRUE)*(F844-Calc!F19)))/100)*I828)</f>
        <v/>
      </c>
      <c r="L828">
        <f>K828*(MIN(Inputs!$B$21+((C845=TRUE)*(F845-Calc!F20)),Inputs!$B$22+0)/100+(Inputs!$B$22+0)/100)/2</f>
        <v/>
      </c>
      <c r="M828">
        <f>L828*(1+(Inputs!$B$9+0+B855)/100)</f>
        <v/>
      </c>
      <c r="N828">
        <f>L828*(1-MIN((Inputs!$B$8+((C841=TRUE)*(F841-Calc!F16))+B850),100)/100)+M828*(MIN((Inputs!$B$8+((C841=TRUE)*(F841-Calc!F16))+B850),100)/100)</f>
        <v/>
      </c>
      <c r="O828">
        <f>IF(C828,Skills!G3*H828*N828*B854*IF(Inputs!$B$4="pvp",1,(1-Summary!$B$55)*(1)+Summary!$B$55*(MIN(Skills!R3,Inputs!$B$37))),0)</f>
        <v/>
      </c>
      <c r="P828">
        <f>IF(B858=0,0,O828/B858)</f>
        <v/>
      </c>
      <c r="Q828" t="n">
        <v>0</v>
      </c>
      <c r="R828" t="n">
        <v>0</v>
      </c>
      <c r="S828">
        <f>IFERROR(O828/N828,0)</f>
        <v/>
      </c>
      <c r="U828">
        <f>INDEX(FactorTable!$B$2:$Y$301, MATCH(ROUND(MIN(300,MAX(1,U827)),0), FactorTable!$A$2:$A$301,0), 22)</f>
        <v/>
      </c>
    </row>
    <row r="829">
      <c r="A829">
        <f>Skills!A4</f>
        <v/>
      </c>
      <c r="B829">
        <f>Skills!B4</f>
        <v/>
      </c>
      <c r="C829">
        <f>Inputs!$B$3&gt;=60</f>
        <v/>
      </c>
      <c r="D829">
        <f>IF(Skills!C4=1,60+Inputs!$B$24+Inputs!$B$28,IF(Skills!C4=2,90+Inputs!$B$25+Inputs!$B$28,IF(Skills!C4=3,120+Inputs!$B$26+Inputs!$B$28,MAX(0,(Inputs!$B$3-100)*3)+Inputs!$B$27+Inputs!$B$28)))</f>
        <v/>
      </c>
      <c r="E829">
        <f>INDEX(FactorTable!$B$2:$Y$301, MATCH(ROUND(MIN(300,MAX(1,D829)),0), FactorTable!$A$2:$A$301,0), Skills!M4+1)</f>
        <v/>
      </c>
      <c r="F829">
        <f>IF(Skills!N4=TRUE,(Skills!L4/10)*(E829/1000),Skills!L4/10)+Skills!O4</f>
        <v/>
      </c>
      <c r="G829">
        <f>Skills!G4*IF(Skills!H4&gt;0,Skills!I4/Skills!H4,1)</f>
        <v/>
      </c>
      <c r="H829">
        <f>1-(1-Skills!J4/100)^Skills!K4</f>
        <v/>
      </c>
      <c r="I829" t="inlineStr">
        <is>
          <t>1</t>
        </is>
      </c>
      <c r="J829">
        <f>(Inputs!$B$5*(1+(Inputs!$B$6+1)/100))*(F829/100)</f>
        <v/>
      </c>
      <c r="K829">
        <f>J829*(1+((Inputs!$B$11*(1+Inputs!$B$12/100))*0.01+Inputs!$B$13*0.0025)/100)*(1+Inputs!$B$14/100)*(1+IF(Inputs!$B$4="pvp",0,(1-Summary!$B$55)*(Inputs!$B$19+0+Skills!P4)+Summary!$B$55*(Inputs!$B$20+Skills!Q4))/100)*(1+Inputs!$B$15/100)*(5000/(6000+Inputs!$B$7*(1-(Inputs!$B$18+0)/100)))*(1+(Inputs!$B$23+((C847=TRUE)*(F847-Calc!F22))+B856)/100)*(1+1.0*IF(C837=TRUE,F837,0)/100)*(1+(IF(Skills!A4="HOOK_BOMBER",Inputs!$B$16+((C846=TRUE)*(F846-Calc!F21)),Inputs!$B$17+0))/100)*((1+(((C838=TRUE)*F838)+((C844=TRUE)*(F844-Calc!F19)))/100)*I829)</f>
        <v/>
      </c>
      <c r="L829">
        <f>K829*(MIN(Inputs!$B$21+((C845=TRUE)*(F845-Calc!F20)),Inputs!$B$22+0)/100+(Inputs!$B$22+0)/100)/2</f>
        <v/>
      </c>
      <c r="M829">
        <f>L829*(1+(Inputs!$B$9+0+B855)/100)</f>
        <v/>
      </c>
      <c r="N829">
        <f>L829*(1-MIN((Inputs!$B$8+((C841=TRUE)*(F841-Calc!F16))+B850),100)/100)+M829*(MIN((Inputs!$B$8+((C841=TRUE)*(F841-Calc!F16))+B850),100)/100)</f>
        <v/>
      </c>
      <c r="O829">
        <f>IF(C829,Skills!G4*H829*N829*B854*IF(Inputs!$B$4="pvp",1,(1-Summary!$B$55)*(1)+Summary!$B$55*(MIN(Skills!R4,Inputs!$B$37))),0)</f>
        <v/>
      </c>
      <c r="P829">
        <f>IF(B858=0,0,O829/B858)</f>
        <v/>
      </c>
      <c r="Q829" t="n">
        <v>0</v>
      </c>
      <c r="R829" t="n">
        <v>0</v>
      </c>
      <c r="S829">
        <f>IFERROR(O829/N829,0)</f>
        <v/>
      </c>
      <c r="U829">
        <f>290*U828/1000</f>
        <v/>
      </c>
    </row>
    <row r="830">
      <c r="A830">
        <f>Skills!A5</f>
        <v/>
      </c>
      <c r="B830">
        <f>Skills!B5</f>
        <v/>
      </c>
      <c r="C830">
        <f>Inputs!$B$3&gt;=60</f>
        <v/>
      </c>
      <c r="D830">
        <f>IF(Skills!C5=1,60+Inputs!$B$24+Inputs!$B$28,IF(Skills!C5=2,90+Inputs!$B$25+Inputs!$B$28,IF(Skills!C5=3,120+Inputs!$B$26+Inputs!$B$28,MAX(0,(Inputs!$B$3-100)*3)+Inputs!$B$27+Inputs!$B$28)))</f>
        <v/>
      </c>
      <c r="E830">
        <f>INDEX(FactorTable!$B$2:$Y$301, MATCH(ROUND(MIN(300,MAX(1,D830)),0), FactorTable!$A$2:$A$301,0), Skills!M5+1)</f>
        <v/>
      </c>
      <c r="F830">
        <f>IF(Skills!N5=TRUE,(Skills!L5/10)*(E830/1000),Skills!L5/10)+Skills!O5</f>
        <v/>
      </c>
      <c r="G830">
        <f>Skills!G5*IF(Skills!H5&gt;0,Skills!I5/Skills!H5,1)</f>
        <v/>
      </c>
      <c r="H830">
        <f>1-(1-Skills!J5/100)^Skills!K5</f>
        <v/>
      </c>
      <c r="I830" t="inlineStr">
        <is>
          <t>1</t>
        </is>
      </c>
      <c r="J830" t="inlineStr"/>
      <c r="K830" t="inlineStr"/>
      <c r="L830" t="inlineStr"/>
      <c r="M830" t="inlineStr"/>
      <c r="N830" t="inlineStr"/>
      <c r="O830" t="n">
        <v>0</v>
      </c>
      <c r="P830">
        <f>IF(B858=0,0,O830/B858)</f>
        <v/>
      </c>
      <c r="Q830" t="n">
        <v>0</v>
      </c>
      <c r="R830" t="n">
        <v>0</v>
      </c>
      <c r="S830">
        <f>IFERROR(O830/N830,0)</f>
        <v/>
      </c>
    </row>
    <row r="831">
      <c r="A831">
        <f>Skills!A6</f>
        <v/>
      </c>
      <c r="B831">
        <f>Skills!B6</f>
        <v/>
      </c>
      <c r="C831">
        <f>Inputs!$B$3&gt;=63</f>
        <v/>
      </c>
      <c r="D831">
        <f>IF(Skills!C6=1,60+Inputs!$B$24+Inputs!$B$28,IF(Skills!C6=2,90+Inputs!$B$25+Inputs!$B$28,IF(Skills!C6=3,120+Inputs!$B$26+Inputs!$B$28,MAX(0,(Inputs!$B$3-100)*3)+Inputs!$B$27+Inputs!$B$28)))</f>
        <v/>
      </c>
      <c r="E831">
        <f>INDEX(FactorTable!$B$2:$Y$301, MATCH(ROUND(MIN(300,MAX(1,D831)),0), FactorTable!$A$2:$A$301,0), Skills!M6+1)</f>
        <v/>
      </c>
      <c r="F831">
        <f>IF(Skills!N6=TRUE,(Skills!L6/10)*(E831/1000),Skills!L6/10)+Skills!O6</f>
        <v/>
      </c>
      <c r="G831">
        <f>Skills!G6*IF(Skills!H6&gt;0,Skills!I6/Skills!H6,1)</f>
        <v/>
      </c>
      <c r="H831">
        <f>1-(1-Skills!J6/100)^Skills!K6</f>
        <v/>
      </c>
      <c r="I831" t="inlineStr">
        <is>
          <t>1</t>
        </is>
      </c>
      <c r="J831">
        <f>(Inputs!$B$5*(1+(Inputs!$B$6+1)/100))*(F831/100)</f>
        <v/>
      </c>
      <c r="K831">
        <f>J831*(1+((Inputs!$B$11*(1+Inputs!$B$12/100))*0.01+Inputs!$B$13*0.0025)/100)*(1+Inputs!$B$14/100)*(1+IF(Inputs!$B$4="pvp",0,(1-Summary!$B$55)*(Inputs!$B$19+0+Skills!P6)+Summary!$B$55*(Inputs!$B$20+Skills!Q6))/100)*(1+Inputs!$B$15/100)*(5000/(6000+Inputs!$B$7*(1-(Inputs!$B$18+0)/100)))*(1+(Inputs!$B$23+((C847=TRUE)*(F847-Calc!F22))+B856)/100)*(1+(IF(Skills!A6="HOOK_BOMBER",Inputs!$B$16+((C846=TRUE)*(F846-Calc!F21)),Inputs!$B$17+0))/100)*((1+(((C838=TRUE)*F838)+((C844=TRUE)*(F844-Calc!F19)))/100)*I831)</f>
        <v/>
      </c>
      <c r="L831">
        <f>K831*(MIN(Inputs!$B$21+((C845=TRUE)*(F845-Calc!F20)),Inputs!$B$22+0)/100+(Inputs!$B$22+0)/100)/2</f>
        <v/>
      </c>
      <c r="M831">
        <f>L831*(1+(Inputs!$B$9+0+B855)/100)</f>
        <v/>
      </c>
      <c r="N831">
        <f>L831*(1-MIN((Inputs!$B$8+((C841=TRUE)*(F841-Calc!F16))+B850),100)/100)+M831*(MIN((Inputs!$B$8+((C841=TRUE)*(F841-Calc!F16))+B850),100)/100)</f>
        <v/>
      </c>
      <c r="O831">
        <f>IF(C831,H831*N831*IF(AND(Inputs!$B$4&lt;&gt;"pvp",Inputs!$B$35&gt;0),((Skills!G6*((R831-1)*IF(Skills!H6&gt;0,Skills!I6/Skills!H6,1)+IF(Skills!H6&gt;0,MIN(Skills!I6,MAX(0,Inputs!$B$35-((R831-1)*IF(Inputs!$B$4="pvp",15,MAX(0.1,Skills!D6-IF(Skills!E6=TRUE,Inputs!$B$31,0))))))/Skills!H6,1)))/Inputs!$B$35),G831*Q831)*IF(Inputs!$B$4="pvp",1,(1-Summary!$B$55)*(1)+Summary!$B$55*(MIN(Skills!R6,Inputs!$B$37))),0)</f>
        <v/>
      </c>
      <c r="P831">
        <f>IF(B858=0,0,O831/B858)</f>
        <v/>
      </c>
      <c r="Q831">
        <f>IFERROR(1/IF(Inputs!$B$4="pvp",15,MAX(0.1,Skills!D6-IF(Skills!E6=TRUE,Inputs!$B$31,0))),0)</f>
        <v/>
      </c>
      <c r="R831">
        <f>IF(AND(Inputs!$B$4&lt;&gt;"pvp",Inputs!$B$35&gt;0),(INT(Inputs!$B$35/IF(Inputs!$B$4="pvp",15,MAX(0.1,Skills!D6-IF(Skills!E6=TRUE,Inputs!$B$31,0))))+1),0)</f>
        <v/>
      </c>
      <c r="S831">
        <f>IFERROR(O831/N831,0)</f>
        <v/>
      </c>
    </row>
    <row r="832">
      <c r="A832">
        <f>Skills!A7</f>
        <v/>
      </c>
      <c r="B832">
        <f>Skills!B7</f>
        <v/>
      </c>
      <c r="C832">
        <f>Inputs!$B$3&gt;=100</f>
        <v/>
      </c>
      <c r="D832">
        <f>IF(Skills!C7=1,60+Inputs!$B$24+Inputs!$B$28,IF(Skills!C7=2,90+Inputs!$B$25+Inputs!$B$28,IF(Skills!C7=3,120+Inputs!$B$26+Inputs!$B$28,MAX(0,(Inputs!$B$3-100)*3)+Inputs!$B$27+Inputs!$B$28)))</f>
        <v/>
      </c>
      <c r="E832">
        <f>INDEX(FactorTable!$B$2:$Y$301, MATCH(ROUND(MIN(300,MAX(1,D832)),0), FactorTable!$A$2:$A$301,0), Skills!M7+1)</f>
        <v/>
      </c>
      <c r="F832">
        <f>IF(Skills!N7=TRUE,(Skills!L7/10)*(E832/1000),Skills!L7/10)+Skills!O7</f>
        <v/>
      </c>
      <c r="G832">
        <f>Skills!G7*IF(Skills!H7&gt;0,Skills!I7/Skills!H7,1)</f>
        <v/>
      </c>
      <c r="H832">
        <f>1-(1-Skills!J7/100)^Skills!K7</f>
        <v/>
      </c>
      <c r="I832" t="inlineStr">
        <is>
          <t>1</t>
        </is>
      </c>
      <c r="J832">
        <f>(Inputs!$B$5*(1+(Inputs!$B$6+1)/100))*(F832/100)</f>
        <v/>
      </c>
      <c r="K832">
        <f>J832*(1+((Inputs!$B$11*(1+Inputs!$B$12/100))*0.01+Inputs!$B$13*0.0025)/100)*(1+Inputs!$B$14/100)*(1+IF(Inputs!$B$4="pvp",0,(1-Summary!$B$55)*(Inputs!$B$19+0+Skills!P7)+Summary!$B$55*(Inputs!$B$20+Skills!Q7))/100)*(1+Inputs!$B$15/100)*(5000/(6000+Inputs!$B$7*(1-(Inputs!$B$18+0)/100)))*(1+(Inputs!$B$23+((C847=TRUE)*(F847-Calc!F22))+B856)/100)*(1+(IF(Skills!A7="HOOK_BOMBER",Inputs!$B$16+((C846=TRUE)*(F846-Calc!F21)),Inputs!$B$17+0))/100)*((1+(((C838=TRUE)*F838)+((C844=TRUE)*(F844-Calc!F19)))/100)*I832)</f>
        <v/>
      </c>
      <c r="L832">
        <f>K832*(MIN(Inputs!$B$21+((C845=TRUE)*(F845-Calc!F20)),Inputs!$B$22+0)/100+(Inputs!$B$22+0)/100)/2</f>
        <v/>
      </c>
      <c r="M832">
        <f>L832*(1+(Inputs!$B$9+0+B855)/100)</f>
        <v/>
      </c>
      <c r="N832">
        <f>L832*(1-MIN((Inputs!$B$8+((C841=TRUE)*(F841-Calc!F16))+B850),100)/100)+M832*(MIN((Inputs!$B$8+((C841=TRUE)*(F841-Calc!F16))+B850),100)/100)</f>
        <v/>
      </c>
      <c r="O832">
        <f>IF(C832,H832*N832*IF(AND(Inputs!$B$4&lt;&gt;"pvp",Inputs!$B$35&gt;0),((Skills!G7*((R832-1)*IF(Skills!H7&gt;0,Skills!I7/Skills!H7,1)+IF(Skills!H7&gt;0,MIN(Skills!I7,MAX(0,Inputs!$B$35-((R832-1)*IF(Inputs!$B$4="pvp",15,MAX(0.1,Skills!D7-IF(Skills!E7=TRUE,Inputs!$B$31,0))))))/Skills!H7,1)))/Inputs!$B$35),G832*Q832)*IF(Inputs!$B$4="pvp",1,(1-Summary!$B$55)*(1)+Summary!$B$55*(MIN(Skills!R7,Inputs!$B$37))),0)</f>
        <v/>
      </c>
      <c r="P832">
        <f>IF(B858=0,0,O832/B858)</f>
        <v/>
      </c>
      <c r="Q832">
        <f>IFERROR(1/IF(Inputs!$B$4="pvp",15,MAX(0.1,Skills!D7-IF(Skills!E7=TRUE,Inputs!$B$31,0))),0)</f>
        <v/>
      </c>
      <c r="R832">
        <f>IF(AND(Inputs!$B$4&lt;&gt;"pvp",Inputs!$B$35&gt;0),(INT(Inputs!$B$35/IF(Inputs!$B$4="pvp",15,MAX(0.1,Skills!D7-IF(Skills!E7=TRUE,Inputs!$B$31,0))))+1),0)</f>
        <v/>
      </c>
      <c r="S832">
        <f>IFERROR(O832/N832,0)</f>
        <v/>
      </c>
    </row>
    <row r="833">
      <c r="A833">
        <f>Skills!A8</f>
        <v/>
      </c>
      <c r="B833">
        <f>Skills!B8</f>
        <v/>
      </c>
      <c r="C833">
        <f>Inputs!$B$3&gt;=110</f>
        <v/>
      </c>
      <c r="D833">
        <f>IF(Skills!C8=1,60+Inputs!$B$24+Inputs!$B$28,IF(Skills!C8=2,90+Inputs!$B$25+Inputs!$B$28,IF(Skills!C8=3,120+Inputs!$B$26+Inputs!$B$28,MAX(0,(Inputs!$B$3-100)*3)+Inputs!$B$27+Inputs!$B$28)))</f>
        <v/>
      </c>
      <c r="E833">
        <f>INDEX(FactorTable!$B$2:$Y$301, MATCH(ROUND(MIN(300,MAX(1,D833)),0), FactorTable!$A$2:$A$301,0), Skills!M8+1)</f>
        <v/>
      </c>
      <c r="F833">
        <f>IF(Skills!N8=TRUE,(Skills!L8/10)*(E833/1000),Skills!L8/10)+Skills!O8</f>
        <v/>
      </c>
      <c r="G833">
        <f>Skills!G8*IF(Skills!H8&gt;0,Skills!I8/Skills!H8,1)</f>
        <v/>
      </c>
      <c r="H833">
        <f>1-(1-Skills!J8/100)^Skills!K8</f>
        <v/>
      </c>
      <c r="I833" t="inlineStr">
        <is>
          <t>1</t>
        </is>
      </c>
      <c r="J833">
        <f>(Inputs!$B$5*(1+(Inputs!$B$6+1)/100))*(F833/100)</f>
        <v/>
      </c>
      <c r="K833">
        <f>J833*(1+((Inputs!$B$11*(1+Inputs!$B$12/100))*0.01+Inputs!$B$13*0.0025)/100)*(1+Inputs!$B$14/100)*(1+IF(Inputs!$B$4="pvp",0,(1-Summary!$B$55)*(Inputs!$B$19+0+Skills!P8)+Summary!$B$55*(Inputs!$B$20+Skills!Q8))/100)*(1+Inputs!$B$15/100)*(5000/(6000+Inputs!$B$7*(1-(Inputs!$B$18+0)/100)))*(1+(Inputs!$B$23+((C847=TRUE)*(F847-Calc!F22))+B856)/100)*(1+(IF(Skills!A8="HOOK_BOMBER",Inputs!$B$16+((C846=TRUE)*(F846-Calc!F21)),Inputs!$B$17+0))/100)*((1+(((C838=TRUE)*F838)+((C844=TRUE)*(F844-Calc!F19)))/100)*I833)</f>
        <v/>
      </c>
      <c r="L833">
        <f>K833*(MIN(Inputs!$B$21+((C845=TRUE)*(F845-Calc!F20)),Inputs!$B$22+0)/100+(Inputs!$B$22+0)/100)/2</f>
        <v/>
      </c>
      <c r="M833">
        <f>L833*(1+(Inputs!$B$9+0+B855)/100)</f>
        <v/>
      </c>
      <c r="N833">
        <f>L833*(1-MIN((Inputs!$B$8+((C841=TRUE)*(F841-Calc!F16))+B850),100)/100)+M833*(MIN((Inputs!$B$8+((C841=TRUE)*(F841-Calc!F16))+B850),100)/100)</f>
        <v/>
      </c>
      <c r="O833">
        <f>IF(C833,H833*N833*IF(AND(Inputs!$B$4&lt;&gt;"pvp",Inputs!$B$35&gt;0),((Skills!G8*((R833-1)*IF(Skills!H8&gt;0,Skills!I8/Skills!H8,1)+IF(Skills!H8&gt;0,MIN(Skills!I8,MAX(0,Inputs!$B$35-((R833-1)*IF(Inputs!$B$4="pvp",15,MAX(0.1,Skills!D8-IF(Skills!E8=TRUE,Inputs!$B$31,0))))))/Skills!H8,1)))/Inputs!$B$35),G833*Q833)*IF(Inputs!$B$4="pvp",1,(1-Summary!$B$55)*(1)+Summary!$B$55*(MIN(Skills!R8,Inputs!$B$37))),0)</f>
        <v/>
      </c>
      <c r="P833">
        <f>IF(B858=0,0,O833/B858)</f>
        <v/>
      </c>
      <c r="Q833">
        <f>IFERROR(1/IF(Inputs!$B$4="pvp",15,MAX(0.1,Skills!D8-IF(Skills!E8=TRUE,Inputs!$B$31,0))),0)</f>
        <v/>
      </c>
      <c r="R833">
        <f>IF(AND(Inputs!$B$4&lt;&gt;"pvp",Inputs!$B$35&gt;0),(INT(Inputs!$B$35/IF(Inputs!$B$4="pvp",15,MAX(0.1,Skills!D8-IF(Skills!E8=TRUE,Inputs!$B$31,0))))+1),0)</f>
        <v/>
      </c>
      <c r="S833">
        <f>IFERROR(O833/N833,0)</f>
        <v/>
      </c>
    </row>
    <row r="834">
      <c r="A834">
        <f>Skills!A9</f>
        <v/>
      </c>
      <c r="B834">
        <f>Skills!B9</f>
        <v/>
      </c>
      <c r="C834">
        <f>Inputs!$B$3&gt;=110</f>
        <v/>
      </c>
      <c r="D834">
        <f>IF(Skills!C9=1,60+Inputs!$B$24+Inputs!$B$28,IF(Skills!C9=2,90+Inputs!$B$25+Inputs!$B$28,IF(Skills!C9=3,120+Inputs!$B$26+Inputs!$B$28,MAX(0,(Inputs!$B$3-100)*3)+Inputs!$B$27+Inputs!$B$28)))</f>
        <v/>
      </c>
      <c r="E834">
        <f>INDEX(FactorTable!$B$2:$Y$301, MATCH(ROUND(MIN(300,MAX(1,D834)),0), FactorTable!$A$2:$A$301,0), Skills!M9+1)</f>
        <v/>
      </c>
      <c r="F834">
        <f>IF(Skills!N9=TRUE,(Skills!L9/10)*(E834/1000),Skills!L9/10)+Skills!O9</f>
        <v/>
      </c>
      <c r="G834">
        <f>Skills!G9*IF(Skills!H9&gt;0,Skills!I9/Skills!H9,1)</f>
        <v/>
      </c>
      <c r="H834">
        <f>1-(1-Skills!J9/100)^Skills!K9</f>
        <v/>
      </c>
      <c r="I834" t="inlineStr">
        <is>
          <t>1</t>
        </is>
      </c>
      <c r="J834">
        <f>(Inputs!$B$5*(1+(Inputs!$B$6+1)/100))*(F834/100)</f>
        <v/>
      </c>
      <c r="K834">
        <f>J834*(1+((Inputs!$B$11*(1+Inputs!$B$12/100))*0.01+Inputs!$B$13*0.0025)/100)*(1+Inputs!$B$14/100)*(1+IF(Inputs!$B$4="pvp",0,(1-Summary!$B$55)*(Inputs!$B$19+0+Skills!P9)+Summary!$B$55*(Inputs!$B$20+Skills!Q9))/100)*(1+Inputs!$B$15/100)*(5000/(6000+Inputs!$B$7*(1-(Inputs!$B$18+0)/100)))*(1+(Inputs!$B$23+((C847=TRUE)*(F847-Calc!F22))+B856)/100)*(1+(IF(Skills!A9="HOOK_BOMBER",Inputs!$B$16+((C846=TRUE)*(F846-Calc!F21)),Inputs!$B$17+0))/100)*((1+(((C838=TRUE)*F838)+((C844=TRUE)*(F844-Calc!F19)))/100)*I834)</f>
        <v/>
      </c>
      <c r="L834">
        <f>K834*(MIN(Inputs!$B$21+((C845=TRUE)*(F845-Calc!F20)),Inputs!$B$22+0)/100+(Inputs!$B$22+0)/100)/2</f>
        <v/>
      </c>
      <c r="M834">
        <f>L834*(1+(Inputs!$B$9+0+B855)/100)</f>
        <v/>
      </c>
      <c r="N834">
        <f>L834*(1-MIN((Inputs!$B$8+((C841=TRUE)*(F841-Calc!F16))+B850),100)/100)+M834*(MIN((Inputs!$B$8+((C841=TRUE)*(F841-Calc!F16))+B850),100)/100)</f>
        <v/>
      </c>
      <c r="O834">
        <f>IF(C834,H834*N834*IF(AND(Inputs!$B$4&lt;&gt;"pvp",Inputs!$B$35&gt;0),((Skills!G9*((R834-1)*IF(Skills!H9&gt;0,Skills!I9/Skills!H9,1)+IF(Skills!H9&gt;0,MIN(Skills!I9,MAX(0,Inputs!$B$35-((R834-1)*IF(Inputs!$B$4="pvp",15,MAX(0.1,Skills!D9-IF(Skills!E9=TRUE,Inputs!$B$31,0))))))/Skills!H9,1)))/Inputs!$B$35),G834*Q834)*IF(Inputs!$B$4="pvp",1,(1-Summary!$B$55)*(1)+Summary!$B$55*(MIN(Skills!R9,Inputs!$B$37))),0)</f>
        <v/>
      </c>
      <c r="P834">
        <f>IF(B858=0,0,O834/B858)</f>
        <v/>
      </c>
      <c r="Q834">
        <f>IFERROR(1/IF(Inputs!$B$4="pvp",15,MAX(0.1,Skills!D9-IF(Skills!E9=TRUE,Inputs!$B$31,0))),0)</f>
        <v/>
      </c>
      <c r="R834">
        <f>IF(AND(Inputs!$B$4&lt;&gt;"pvp",Inputs!$B$35&gt;0),(INT(Inputs!$B$35/IF(Inputs!$B$4="pvp",15,MAX(0.1,Skills!D9-IF(Skills!E9=TRUE,Inputs!$B$31,0))))+1),0)</f>
        <v/>
      </c>
      <c r="S834">
        <f>IFERROR(O834/N834,0)</f>
        <v/>
      </c>
    </row>
    <row r="835">
      <c r="A835">
        <f>Skills!A10</f>
        <v/>
      </c>
      <c r="B835">
        <f>Skills!B10</f>
        <v/>
      </c>
      <c r="C835">
        <f>Inputs!$B$3&gt;=103</f>
        <v/>
      </c>
      <c r="D835">
        <f>IF(Skills!C10=1,60+Inputs!$B$24+Inputs!$B$28,IF(Skills!C10=2,90+Inputs!$B$25+Inputs!$B$28,IF(Skills!C10=3,120+Inputs!$B$26+Inputs!$B$28,MAX(0,(Inputs!$B$3-100)*3)+Inputs!$B$27+Inputs!$B$28)))</f>
        <v/>
      </c>
      <c r="E835">
        <f>INDEX(FactorTable!$B$2:$Y$301, MATCH(ROUND(MIN(300,MAX(1,D835)),0), FactorTable!$A$2:$A$301,0), Skills!M10+1)</f>
        <v/>
      </c>
      <c r="F835">
        <f>IF(Skills!N10=TRUE,(Skills!L10/10)*(E835/1000),Skills!L10/10)+Skills!O10</f>
        <v/>
      </c>
      <c r="G835">
        <f>Skills!G10*IF(Skills!H10&gt;0,Skills!I10/Skills!H10,1)</f>
        <v/>
      </c>
      <c r="H835">
        <f>1-(1-Skills!J10/100)^Skills!K10</f>
        <v/>
      </c>
      <c r="I835" t="inlineStr">
        <is>
          <t>1</t>
        </is>
      </c>
      <c r="J835">
        <f>(Inputs!$B$5*(1+(Inputs!$B$6+1)/100))*(F835/100)</f>
        <v/>
      </c>
      <c r="K835">
        <f>J835*(1+((Inputs!$B$11*(1+Inputs!$B$12/100))*0.01+Inputs!$B$13*0.0025)/100)*(1+Inputs!$B$14/100)*(1+IF(Inputs!$B$4="pvp",0,(1-Summary!$B$55)*(Inputs!$B$19+0+Skills!P10)+Summary!$B$55*(Inputs!$B$20+Skills!Q10))/100)*(1+Inputs!$B$15/100)*(5000/(6000+Inputs!$B$7*(1-(Inputs!$B$18+0)/100)))*(1+(Inputs!$B$23+((C847=TRUE)*(F847-Calc!F22))+B856)/100)*(1+(IF(Skills!A10="HOOK_BOMBER",Inputs!$B$16+((C846=TRUE)*(F846-Calc!F21)),Inputs!$B$17+0))/100)*((1+(((C838=TRUE)*F838)+((C844=TRUE)*(F844-Calc!F19)))/100)*I835)</f>
        <v/>
      </c>
      <c r="L835">
        <f>K835*(MIN(Inputs!$B$21+((C845=TRUE)*(F845-Calc!F20)),Inputs!$B$22+0)/100+(Inputs!$B$22+0)/100)/2</f>
        <v/>
      </c>
      <c r="M835">
        <f>L835*(1+(Inputs!$B$9+0+B855)/100)</f>
        <v/>
      </c>
      <c r="N835">
        <f>L835*(1-MIN((Inputs!$B$8+((C841=TRUE)*(F841-Calc!F16))+B850),100)/100)+M835*(MIN((Inputs!$B$8+((C841=TRUE)*(F841-Calc!F16))+B850),100)/100)</f>
        <v/>
      </c>
      <c r="O835">
        <f>IF(C835,H835*N835*IF(AND(Inputs!$B$4&lt;&gt;"pvp",Inputs!$B$35&gt;0),((Skills!G10*((R835-1)*IF(Skills!H10&gt;0,Skills!I10/Skills!H10,1)+IF(Skills!H10&gt;0,MIN(Skills!I10,MAX(0,Inputs!$B$35-((R835-1)*IF(Inputs!$B$4="pvp",15,MAX(0.1,Skills!D10-IF(Skills!E10=TRUE,Inputs!$B$31,0))))))/Skills!H10,1)))/Inputs!$B$35),G835*Q835)*IF(Inputs!$B$4="pvp",1,(1-Summary!$B$55)*(1)+Summary!$B$55*(MIN(Skills!R10,Inputs!$B$37))),0)</f>
        <v/>
      </c>
      <c r="P835">
        <f>IF(B858=0,0,O835/B858)</f>
        <v/>
      </c>
      <c r="Q835">
        <f>IFERROR(1/IF(Inputs!$B$4="pvp",15,MAX(0.1,Skills!D10-IF(Skills!E10=TRUE,Inputs!$B$31,0))),0)</f>
        <v/>
      </c>
      <c r="R835">
        <f>IF(AND(Inputs!$B$4&lt;&gt;"pvp",Inputs!$B$35&gt;0),(INT(Inputs!$B$35/IF(Inputs!$B$4="pvp",15,MAX(0.1,Skills!D10-IF(Skills!E10=TRUE,Inputs!$B$31,0))))+1),0)</f>
        <v/>
      </c>
      <c r="S835">
        <f>IFERROR(O835/N835,0)</f>
        <v/>
      </c>
    </row>
    <row r="836">
      <c r="A836">
        <f>Skills!A11</f>
        <v/>
      </c>
      <c r="B836">
        <f>Skills!B11</f>
        <v/>
      </c>
      <c r="C836">
        <f>Inputs!$B$3&gt;=113</f>
        <v/>
      </c>
      <c r="D836">
        <f>IF(Skills!C11=1,60+Inputs!$B$24+Inputs!$B$28,IF(Skills!C11=2,90+Inputs!$B$25+Inputs!$B$28,IF(Skills!C11=3,120+Inputs!$B$26+Inputs!$B$28,MAX(0,(Inputs!$B$3-100)*3)+Inputs!$B$27+Inputs!$B$28)))</f>
        <v/>
      </c>
      <c r="E836">
        <f>INDEX(FactorTable!$B$2:$Y$301, MATCH(ROUND(MIN(300,MAX(1,D836)),0), FactorTable!$A$2:$A$301,0), Skills!M11+1)</f>
        <v/>
      </c>
      <c r="F836">
        <f>IF(Skills!N11=TRUE,(Skills!L11/10)*(E836/1000),Skills!L11/10)+Skills!O11</f>
        <v/>
      </c>
      <c r="G836">
        <f>Skills!G11*IF(Skills!H11&gt;0,Skills!I11/Skills!H11,1)</f>
        <v/>
      </c>
      <c r="H836">
        <f>1-(1-Skills!J11/100)^Skills!K11</f>
        <v/>
      </c>
      <c r="I836" t="inlineStr">
        <is>
          <t>1</t>
        </is>
      </c>
      <c r="J836">
        <f>(Inputs!$B$5*(1+(Inputs!$B$6+1)/100))*(F836/100)</f>
        <v/>
      </c>
      <c r="K836">
        <f>J836*(1+((Inputs!$B$11*(1+Inputs!$B$12/100))*0.01+Inputs!$B$13*0.0025)/100)*(1+Inputs!$B$14/100)*(1+IF(Inputs!$B$4="pvp",0,(1-Summary!$B$55)*(Inputs!$B$19+0+Skills!P11)+Summary!$B$55*(Inputs!$B$20+Skills!Q11))/100)*(1+Inputs!$B$15/100)*(5000/(6000+Inputs!$B$7*(1-(Inputs!$B$18+0)/100)))*(1+(Inputs!$B$23+((C847=TRUE)*(F847-Calc!F22))+B856)/100)*(1+(IF(Skills!A11="HOOK_BOMBER",Inputs!$B$16+((C846=TRUE)*(F846-Calc!F21)),Inputs!$B$17+0))/100)*((1+(((C838=TRUE)*F838)+((C844=TRUE)*(F844-Calc!F19)))/100)*I836)</f>
        <v/>
      </c>
      <c r="L836">
        <f>K836*(MIN(Inputs!$B$21+((C845=TRUE)*(F845-Calc!F20)),Inputs!$B$22+0)/100+(Inputs!$B$22+0)/100)/2</f>
        <v/>
      </c>
      <c r="M836">
        <f>L836*(1+(Inputs!$B$9+0+B855)/100)</f>
        <v/>
      </c>
      <c r="N836">
        <f>L836*(1-MIN((Inputs!$B$8+((C841=TRUE)*(F841-Calc!F16))+B850),100)/100)+M836*(MIN((Inputs!$B$8+((C841=TRUE)*(F841-Calc!F16))+B850),100)/100)</f>
        <v/>
      </c>
      <c r="O836">
        <f>IF(C836,H836*N836*IF(AND(Inputs!$B$4&lt;&gt;"pvp",Inputs!$B$35&gt;0),((Skills!G11*((R836-1)*IF(Skills!H11&gt;0,Skills!I11/Skills!H11,1)+IF(Skills!H11&gt;0,MIN(Skills!I11,MAX(0,Inputs!$B$35-((R836-1)*IF(Inputs!$B$4="pvp",15,MAX(0.1,Skills!D11-IF(Skills!E11=TRUE,Inputs!$B$31,0))))))/Skills!H11,1)))/Inputs!$B$35),G836*Q836)*IF(Inputs!$B$4="pvp",1,(1-Summary!$B$55)*(1)+Summary!$B$55*(MIN(Skills!R11,Inputs!$B$37))),0)</f>
        <v/>
      </c>
      <c r="P836">
        <f>IF(B858=0,0,O836/B858)</f>
        <v/>
      </c>
      <c r="Q836">
        <f>IFERROR(1/IF(Inputs!$B$4="pvp",15,MAX(0.1,Skills!D11-IF(Skills!E11=TRUE,Inputs!$B$31,0))),0)</f>
        <v/>
      </c>
      <c r="R836">
        <f>IF(AND(Inputs!$B$4&lt;&gt;"pvp",Inputs!$B$35&gt;0),(INT(Inputs!$B$35/IF(Inputs!$B$4="pvp",15,MAX(0.1,Skills!D11-IF(Skills!E11=TRUE,Inputs!$B$31,0))))+1),0)</f>
        <v/>
      </c>
      <c r="S836">
        <f>IFERROR(O836/N836,0)</f>
        <v/>
      </c>
    </row>
    <row r="837">
      <c r="A837">
        <f>Skills!A12</f>
        <v/>
      </c>
      <c r="B837">
        <f>Skills!B12</f>
        <v/>
      </c>
      <c r="C837">
        <f>Inputs!$B$3&gt;=100</f>
        <v/>
      </c>
      <c r="D837">
        <f>IF(Skills!C12=1,60+Inputs!$B$24+Inputs!$B$28,IF(Skills!C12=2,90+Inputs!$B$25+Inputs!$B$28,IF(Skills!C12=3,120+Inputs!$B$26+Inputs!$B$28,MAX(0,(Inputs!$B$3-100)*3)+Inputs!$B$27+Inputs!$B$28)))</f>
        <v/>
      </c>
      <c r="E837">
        <f>INDEX(FactorTable!$B$2:$Y$301, MATCH(ROUND(MIN(300,MAX(1,D837)),0), FactorTable!$A$2:$A$301,0), Skills!M12+1)</f>
        <v/>
      </c>
      <c r="F837">
        <f>IF(Skills!N12=TRUE,(Skills!L12/10)*(E837/1000),Skills!L12/10)+Skills!O12</f>
        <v/>
      </c>
      <c r="G837" t="inlineStr"/>
      <c r="H837" t="inlineStr"/>
      <c r="I837" t="inlineStr">
        <is>
          <t>1</t>
        </is>
      </c>
      <c r="J837" t="inlineStr"/>
      <c r="K837" t="inlineStr"/>
      <c r="L837" t="inlineStr"/>
      <c r="M837" t="inlineStr"/>
      <c r="N837" t="inlineStr"/>
      <c r="O837" t="inlineStr"/>
      <c r="P837" t="inlineStr"/>
      <c r="Q837" t="inlineStr"/>
      <c r="R837" t="inlineStr"/>
      <c r="S837" t="inlineStr"/>
    </row>
    <row r="838">
      <c r="A838">
        <f>Skills!A13</f>
        <v/>
      </c>
      <c r="B838">
        <f>Skills!B13</f>
        <v/>
      </c>
      <c r="C838">
        <f>Inputs!$B$3&gt;=66</f>
        <v/>
      </c>
      <c r="D838">
        <f>IF(Skills!C13=1,60+Inputs!$B$24+Inputs!$B$28,IF(Skills!C13=2,90+Inputs!$B$25+Inputs!$B$28,IF(Skills!C13=3,120+Inputs!$B$26+Inputs!$B$28,MAX(0,(Inputs!$B$3-100)*3)+Inputs!$B$27+Inputs!$B$28)))</f>
        <v/>
      </c>
      <c r="E838">
        <f>INDEX(FactorTable!$B$2:$Y$301, MATCH(ROUND(MIN(300,MAX(1,D838)),0), FactorTable!$A$2:$A$301,0), Skills!M13+1)</f>
        <v/>
      </c>
      <c r="F838">
        <f>IF(Skills!N13=TRUE,(Skills!L13/10)*(E838/1000),Skills!L13/10)+Skills!O13</f>
        <v/>
      </c>
      <c r="G838">
        <f>Skills!G13*IF(Skills!H13&gt;0,Skills!I13/Skills!H13,1)</f>
        <v/>
      </c>
      <c r="H838">
        <f>1-(1-Skills!J13/100)^Skills!K13</f>
        <v/>
      </c>
      <c r="I838" t="inlineStr">
        <is>
          <t>1</t>
        </is>
      </c>
      <c r="J838" t="inlineStr"/>
      <c r="K838" t="inlineStr"/>
      <c r="L838" t="inlineStr"/>
      <c r="M838" t="inlineStr"/>
      <c r="N838" t="inlineStr"/>
      <c r="O838" t="n">
        <v>0</v>
      </c>
      <c r="P838">
        <f>IF(B858=0,0,O838/B858)</f>
        <v/>
      </c>
      <c r="Q838" t="n">
        <v>0</v>
      </c>
      <c r="R838" t="n">
        <v>0</v>
      </c>
      <c r="S838">
        <f>IFERROR(O838/N838,0)</f>
        <v/>
      </c>
    </row>
    <row r="839">
      <c r="A839">
        <f>Skills!A14</f>
        <v/>
      </c>
      <c r="B839">
        <f>Skills!B14</f>
        <v/>
      </c>
      <c r="C839">
        <f>Inputs!$B$3&gt;=107</f>
        <v/>
      </c>
      <c r="D839">
        <f>IF(Skills!C14=1,60+Inputs!$B$24+Inputs!$B$28,IF(Skills!C14=2,90+Inputs!$B$25+Inputs!$B$28,IF(Skills!C14=3,120+Inputs!$B$26+Inputs!$B$28,MAX(0,(Inputs!$B$3-100)*3)+Inputs!$B$27+Inputs!$B$28)))</f>
        <v/>
      </c>
      <c r="E839">
        <f>INDEX(FactorTable!$B$2:$Y$301, MATCH(ROUND(MIN(300,MAX(1,D839)),0), FactorTable!$A$2:$A$301,0), Skills!M14+1)</f>
        <v/>
      </c>
      <c r="F839">
        <f>IF(Skills!N14=TRUE,(Skills!L14/10)*(E839/1000),Skills!L14/10)+Skills!O14</f>
        <v/>
      </c>
      <c r="G839">
        <f>Skills!G14*IF(Skills!H14&gt;0,Skills!I14/Skills!H14,1)</f>
        <v/>
      </c>
      <c r="H839">
        <f>1-(1-Skills!J14/100)^Skills!K14</f>
        <v/>
      </c>
      <c r="I839" t="inlineStr">
        <is>
          <t>1</t>
        </is>
      </c>
      <c r="J839" t="inlineStr"/>
      <c r="K839" t="inlineStr"/>
      <c r="L839" t="inlineStr"/>
      <c r="M839" t="inlineStr"/>
      <c r="N839" t="inlineStr"/>
      <c r="O839" t="n">
        <v>0</v>
      </c>
      <c r="P839">
        <f>IF(B858=0,0,O839/B858)</f>
        <v/>
      </c>
      <c r="Q839" t="n">
        <v>0</v>
      </c>
      <c r="R839" t="n">
        <v>0</v>
      </c>
      <c r="S839">
        <f>IFERROR(O839/N839,0)</f>
        <v/>
      </c>
    </row>
    <row r="840">
      <c r="A840">
        <f>Skills!A15</f>
        <v/>
      </c>
      <c r="B840">
        <f>Skills!B15</f>
        <v/>
      </c>
      <c r="C840">
        <f>Inputs!$B$3&gt;=115</f>
        <v/>
      </c>
      <c r="D840">
        <f>IF(Skills!C15=1,60+Inputs!$B$24+Inputs!$B$28,IF(Skills!C15=2,90+Inputs!$B$25+Inputs!$B$28,IF(Skills!C15=3,120+Inputs!$B$26+Inputs!$B$28,MAX(0,(Inputs!$B$3-100)*3)+Inputs!$B$27+Inputs!$B$28)))</f>
        <v/>
      </c>
      <c r="E840">
        <f>INDEX(FactorTable!$B$2:$Y$301, MATCH(ROUND(MIN(300,MAX(1,D840)),0), FactorTable!$A$2:$A$301,0), Skills!M15+1)</f>
        <v/>
      </c>
      <c r="F840">
        <f>IF(Skills!N15=TRUE,(Skills!L15/10)*(E840/1000),Skills!L15/10)+Skills!O15</f>
        <v/>
      </c>
      <c r="G840">
        <f>Skills!G15*IF(Skills!H15&gt;0,Skills!I15/Skills!H15,1)</f>
        <v/>
      </c>
      <c r="H840">
        <f>1-(1-Skills!J15/100)^Skills!K15</f>
        <v/>
      </c>
      <c r="I840" t="inlineStr">
        <is>
          <t>1</t>
        </is>
      </c>
      <c r="J840" t="inlineStr"/>
      <c r="K840" t="inlineStr"/>
      <c r="L840" t="inlineStr"/>
      <c r="M840" t="inlineStr"/>
      <c r="N840" t="inlineStr"/>
      <c r="O840" t="n">
        <v>0</v>
      </c>
      <c r="P840">
        <f>IF(B858=0,0,O840/B858)</f>
        <v/>
      </c>
      <c r="Q840" t="n">
        <v>0</v>
      </c>
      <c r="R840" t="n">
        <v>0</v>
      </c>
      <c r="S840">
        <f>IFERROR(O840/N840,0)</f>
        <v/>
      </c>
    </row>
    <row r="841">
      <c r="A841">
        <f>Skills!A16</f>
        <v/>
      </c>
      <c r="B841">
        <f>Skills!B16</f>
        <v/>
      </c>
      <c r="C841">
        <f>Inputs!$B$3&gt;=15</f>
        <v/>
      </c>
      <c r="D841">
        <f>IF(Skills!C16=1,60+Inputs!$B$24+Inputs!$B$28,IF(Skills!C16=2,90+Inputs!$B$25+Inputs!$B$28,IF(Skills!C16=3,120+Inputs!$B$26+Inputs!$B$28,MAX(0,(Inputs!$B$3-100)*3)+Inputs!$B$27+Inputs!$B$28)))</f>
        <v/>
      </c>
      <c r="E841">
        <f>INDEX(FactorTable!$B$2:$Y$301, MATCH(ROUND(MIN(300,MAX(1,D841)),0), FactorTable!$A$2:$A$301,0), Skills!M16+1)</f>
        <v/>
      </c>
      <c r="F841">
        <f>IF(Skills!N16=TRUE,(Skills!L16/10)*(E841/1000),Skills!L16/10)+Skills!O16</f>
        <v/>
      </c>
      <c r="G841">
        <f>Skills!G16*IF(Skills!H16&gt;0,Skills!I16/Skills!H16,1)</f>
        <v/>
      </c>
      <c r="H841">
        <f>1-(1-Skills!J16/100)^Skills!K16</f>
        <v/>
      </c>
      <c r="I841" t="inlineStr">
        <is>
          <t>1</t>
        </is>
      </c>
      <c r="J841" t="inlineStr"/>
      <c r="K841" t="inlineStr"/>
      <c r="L841" t="inlineStr"/>
      <c r="M841" t="inlineStr"/>
      <c r="N841" t="inlineStr"/>
      <c r="O841" t="n">
        <v>0</v>
      </c>
      <c r="P841">
        <f>IF(B858=0,0,O841/B858)</f>
        <v/>
      </c>
      <c r="Q841" t="n">
        <v>0</v>
      </c>
      <c r="R841" t="n">
        <v>0</v>
      </c>
      <c r="S841">
        <f>IFERROR(O841/N841,0)</f>
        <v/>
      </c>
    </row>
    <row r="842">
      <c r="A842">
        <f>Skills!A17</f>
        <v/>
      </c>
      <c r="B842">
        <f>Skills!B17</f>
        <v/>
      </c>
      <c r="C842">
        <f>Inputs!$B$3&gt;=10</f>
        <v/>
      </c>
      <c r="D842">
        <f>IF(Skills!C17=1,60+Inputs!$B$24+Inputs!$B$28,IF(Skills!C17=2,90+Inputs!$B$25+Inputs!$B$28,IF(Skills!C17=3,120+Inputs!$B$26+Inputs!$B$28,MAX(0,(Inputs!$B$3-100)*3)+Inputs!$B$27+Inputs!$B$28)))</f>
        <v/>
      </c>
      <c r="E842">
        <f>INDEX(FactorTable!$B$2:$Y$301, MATCH(ROUND(MIN(300,MAX(1,D842)),0), FactorTable!$A$2:$A$301,0), Skills!M17+1)</f>
        <v/>
      </c>
      <c r="F842">
        <f>IF(Skills!N17=TRUE,(Skills!L17/10)*(E842/1000),Skills!L17/10)+Skills!O17</f>
        <v/>
      </c>
      <c r="G842">
        <f>Skills!G17*IF(Skills!H17&gt;0,Skills!I17/Skills!H17,1)</f>
        <v/>
      </c>
      <c r="H842">
        <f>1-(1-Skills!J17/100)^Skills!K17</f>
        <v/>
      </c>
      <c r="I842" t="inlineStr">
        <is>
          <t>1</t>
        </is>
      </c>
      <c r="J842" t="inlineStr"/>
      <c r="K842" t="inlineStr"/>
      <c r="L842" t="inlineStr"/>
      <c r="M842" t="inlineStr"/>
      <c r="N842" t="inlineStr"/>
      <c r="O842" t="n">
        <v>0</v>
      </c>
      <c r="P842">
        <f>IF(B858=0,0,O842/B858)</f>
        <v/>
      </c>
      <c r="Q842" t="n">
        <v>0</v>
      </c>
      <c r="R842" t="n">
        <v>0</v>
      </c>
      <c r="S842">
        <f>IFERROR(O842/N842,0)</f>
        <v/>
      </c>
    </row>
    <row r="843">
      <c r="A843">
        <f>Skills!A18</f>
        <v/>
      </c>
      <c r="B843">
        <f>Skills!B18</f>
        <v/>
      </c>
      <c r="C843">
        <f>Inputs!$B$3&gt;=33</f>
        <v/>
      </c>
      <c r="D843">
        <f>IF(Skills!C18=1,60+Inputs!$B$24+Inputs!$B$28,IF(Skills!C18=2,90+Inputs!$B$25+Inputs!$B$28,IF(Skills!C18=3,120+Inputs!$B$26+Inputs!$B$28,MAX(0,(Inputs!$B$3-100)*3)+Inputs!$B$27+Inputs!$B$28)))</f>
        <v/>
      </c>
      <c r="E843">
        <f>INDEX(FactorTable!$B$2:$Y$301, MATCH(ROUND(MIN(300,MAX(1,D843)),0), FactorTable!$A$2:$A$301,0), Skills!M18+1)</f>
        <v/>
      </c>
      <c r="F843">
        <f>IF(Skills!N18=TRUE,(Skills!L18/10)*(E843/1000),Skills!L18/10)+Skills!O18</f>
        <v/>
      </c>
      <c r="G843">
        <f>Skills!G18*IF(Skills!H18&gt;0,Skills!I18/Skills!H18,1)</f>
        <v/>
      </c>
      <c r="H843">
        <f>1-(1-Skills!J18/100)^Skills!K18</f>
        <v/>
      </c>
      <c r="I843" t="inlineStr">
        <is>
          <t>1</t>
        </is>
      </c>
      <c r="J843" t="inlineStr"/>
      <c r="K843" t="inlineStr"/>
      <c r="L843" t="inlineStr"/>
      <c r="M843" t="inlineStr"/>
      <c r="N843" t="inlineStr"/>
      <c r="O843" t="n">
        <v>0</v>
      </c>
      <c r="P843">
        <f>IF(B858=0,0,O843/B858)</f>
        <v/>
      </c>
      <c r="Q843" t="n">
        <v>0</v>
      </c>
      <c r="R843" t="n">
        <v>0</v>
      </c>
      <c r="S843">
        <f>IFERROR(O843/N843,0)</f>
        <v/>
      </c>
    </row>
    <row r="844">
      <c r="A844">
        <f>Skills!A19</f>
        <v/>
      </c>
      <c r="B844">
        <f>Skills!B19</f>
        <v/>
      </c>
      <c r="C844">
        <f>Inputs!$B$3&gt;=40</f>
        <v/>
      </c>
      <c r="D844">
        <f>IF(Skills!C19=1,60+Inputs!$B$24+Inputs!$B$28,IF(Skills!C19=2,90+Inputs!$B$25+Inputs!$B$28,IF(Skills!C19=3,120+Inputs!$B$26+Inputs!$B$28,MAX(0,(Inputs!$B$3-100)*3)+Inputs!$B$27+Inputs!$B$28)))</f>
        <v/>
      </c>
      <c r="E844">
        <f>INDEX(FactorTable!$B$2:$Y$301, MATCH(ROUND(MIN(300,MAX(1,D844)),0), FactorTable!$A$2:$A$301,0), Skills!M19+1)</f>
        <v/>
      </c>
      <c r="F844">
        <f>IF(Skills!N19=TRUE,(Skills!L19/10)*(E844/1000),Skills!L19/10)+Skills!O19</f>
        <v/>
      </c>
      <c r="G844">
        <f>Skills!G19*IF(Skills!H19&gt;0,Skills!I19/Skills!H19,1)</f>
        <v/>
      </c>
      <c r="H844">
        <f>1-(1-Skills!J19/100)^Skills!K19</f>
        <v/>
      </c>
      <c r="I844" t="inlineStr">
        <is>
          <t>1</t>
        </is>
      </c>
      <c r="J844" t="inlineStr"/>
      <c r="K844" t="inlineStr"/>
      <c r="L844" t="inlineStr"/>
      <c r="M844" t="inlineStr"/>
      <c r="N844" t="inlineStr"/>
      <c r="O844" t="n">
        <v>0</v>
      </c>
      <c r="P844">
        <f>IF(B858=0,0,O844/B858)</f>
        <v/>
      </c>
      <c r="Q844" t="n">
        <v>0</v>
      </c>
      <c r="R844" t="n">
        <v>0</v>
      </c>
      <c r="S844">
        <f>IFERROR(O844/N844,0)</f>
        <v/>
      </c>
    </row>
    <row r="845">
      <c r="A845">
        <f>Skills!A20</f>
        <v/>
      </c>
      <c r="B845">
        <f>Skills!B20</f>
        <v/>
      </c>
      <c r="C845">
        <f>Inputs!$B$3&gt;=43</f>
        <v/>
      </c>
      <c r="D845">
        <f>IF(Skills!C20=1,60+Inputs!$B$24+Inputs!$B$28,IF(Skills!C20=2,90+Inputs!$B$25+Inputs!$B$28,IF(Skills!C20=3,120+Inputs!$B$26+Inputs!$B$28,MAX(0,(Inputs!$B$3-100)*3)+Inputs!$B$27+Inputs!$B$28)))</f>
        <v/>
      </c>
      <c r="E845">
        <f>INDEX(FactorTable!$B$2:$Y$301, MATCH(ROUND(MIN(300,MAX(1,D845)),0), FactorTable!$A$2:$A$301,0), Skills!M20+1)</f>
        <v/>
      </c>
      <c r="F845">
        <f>IF(Skills!N20=TRUE,(Skills!L20/10)*(E845/1000),Skills!L20/10)+Skills!O20</f>
        <v/>
      </c>
      <c r="G845">
        <f>Skills!G20*IF(Skills!H20&gt;0,Skills!I20/Skills!H20,1)</f>
        <v/>
      </c>
      <c r="H845">
        <f>1-(1-Skills!J20/100)^Skills!K20</f>
        <v/>
      </c>
      <c r="I845" t="inlineStr">
        <is>
          <t>1</t>
        </is>
      </c>
      <c r="J845" t="inlineStr"/>
      <c r="K845" t="inlineStr"/>
      <c r="L845" t="inlineStr"/>
      <c r="M845" t="inlineStr"/>
      <c r="N845" t="inlineStr"/>
      <c r="O845" t="n">
        <v>0</v>
      </c>
      <c r="P845">
        <f>IF(B858=0,0,O845/B858)</f>
        <v/>
      </c>
      <c r="Q845" t="n">
        <v>0</v>
      </c>
      <c r="R845" t="n">
        <v>0</v>
      </c>
      <c r="S845">
        <f>IFERROR(O845/N845,0)</f>
        <v/>
      </c>
    </row>
    <row r="846">
      <c r="A846">
        <f>Skills!A21</f>
        <v/>
      </c>
      <c r="B846">
        <f>Skills!B21</f>
        <v/>
      </c>
      <c r="C846">
        <f>Inputs!$B$3&gt;=38</f>
        <v/>
      </c>
      <c r="D846">
        <f>IF(Skills!C21=1,60+Inputs!$B$24+Inputs!$B$28,IF(Skills!C21=2,90+Inputs!$B$25+Inputs!$B$28,IF(Skills!C21=3,120+Inputs!$B$26+Inputs!$B$28,MAX(0,(Inputs!$B$3-100)*3)+Inputs!$B$27+Inputs!$B$28)))</f>
        <v/>
      </c>
      <c r="E846">
        <f>INDEX(FactorTable!$B$2:$Y$301, MATCH(ROUND(MIN(300,MAX(1,D846)),0), FactorTable!$A$2:$A$301,0), Skills!M21+1)</f>
        <v/>
      </c>
      <c r="F846">
        <f>IF(Skills!N21=TRUE,(Skills!L21/10)*(E846/1000),Skills!L21/10)+Skills!O21</f>
        <v/>
      </c>
      <c r="G846">
        <f>Skills!G21*IF(Skills!H21&gt;0,Skills!I21/Skills!H21,1)</f>
        <v/>
      </c>
      <c r="H846">
        <f>1-(1-Skills!J21/100)^Skills!K21</f>
        <v/>
      </c>
      <c r="I846" t="inlineStr">
        <is>
          <t>1</t>
        </is>
      </c>
      <c r="J846" t="inlineStr"/>
      <c r="K846" t="inlineStr"/>
      <c r="L846" t="inlineStr"/>
      <c r="M846" t="inlineStr"/>
      <c r="N846" t="inlineStr"/>
      <c r="O846" t="n">
        <v>0</v>
      </c>
      <c r="P846">
        <f>IF(B858=0,0,O846/B858)</f>
        <v/>
      </c>
      <c r="Q846" t="n">
        <v>0</v>
      </c>
      <c r="R846" t="n">
        <v>0</v>
      </c>
      <c r="S846">
        <f>IFERROR(O846/N846,0)</f>
        <v/>
      </c>
    </row>
    <row r="847">
      <c r="A847">
        <f>Skills!A22</f>
        <v/>
      </c>
      <c r="B847">
        <f>Skills!B22</f>
        <v/>
      </c>
      <c r="C847">
        <f>Inputs!$B$3&gt;=75</f>
        <v/>
      </c>
      <c r="D847">
        <f>IF(Skills!C22=1,60+Inputs!$B$24+Inputs!$B$28,IF(Skills!C22=2,90+Inputs!$B$25+Inputs!$B$28,IF(Skills!C22=3,120+Inputs!$B$26+Inputs!$B$28,MAX(0,(Inputs!$B$3-100)*3)+Inputs!$B$27+Inputs!$B$28)))</f>
        <v/>
      </c>
      <c r="E847">
        <f>INDEX(FactorTable!$B$2:$Y$301, MATCH(ROUND(MIN(300,MAX(1,D847)),0), FactorTable!$A$2:$A$301,0), Skills!M22+1)</f>
        <v/>
      </c>
      <c r="F847">
        <f>IF(Skills!N22=TRUE,(Skills!L22/10)*(E847/1000),Skills!L22/10)+Skills!O22</f>
        <v/>
      </c>
      <c r="G847">
        <f>Skills!G22*IF(Skills!H22&gt;0,Skills!I22/Skills!H22,1)</f>
        <v/>
      </c>
      <c r="H847">
        <f>1-(1-Skills!J22/100)^Skills!K22</f>
        <v/>
      </c>
      <c r="I847" t="inlineStr">
        <is>
          <t>1</t>
        </is>
      </c>
      <c r="J847" t="inlineStr"/>
      <c r="K847" t="inlineStr"/>
      <c r="L847" t="inlineStr"/>
      <c r="M847" t="inlineStr"/>
      <c r="N847" t="inlineStr"/>
      <c r="O847" t="n">
        <v>0</v>
      </c>
      <c r="P847">
        <f>IF(B858=0,0,O847/B858)</f>
        <v/>
      </c>
      <c r="Q847" t="n">
        <v>0</v>
      </c>
      <c r="R847" t="n">
        <v>0</v>
      </c>
      <c r="S847">
        <f>IFERROR(O847/N847,0)</f>
        <v/>
      </c>
    </row>
    <row r="849">
      <c r="A849" t="inlineStr">
        <is>
          <t>Attack% Bucket Multiplier</t>
        </is>
      </c>
      <c r="B849">
        <f>(1+(((C838=TRUE)*F838)+((C844=TRUE)*(F844-Calc!F19)))/100)</f>
        <v/>
      </c>
    </row>
    <row r="850">
      <c r="A850" t="inlineStr">
        <is>
          <t>Global Crit Rate Bonus %</t>
        </is>
      </c>
      <c r="B850" t="n">
        <v>0</v>
      </c>
    </row>
    <row r="851">
      <c r="A851" t="inlineStr">
        <is>
          <t>Attack Speed Buff Bonus % (unused)</t>
        </is>
      </c>
      <c r="B851" t="n">
        <v>0</v>
      </c>
    </row>
    <row r="852">
      <c r="A852" t="inlineStr">
        <is>
          <t>Actions Per Second</t>
        </is>
      </c>
      <c r="B852">
        <f>1+MIN(150,150*(1-(1-(Inputs!$B$10+((C842=TRUE)*(F842-Calc!F17))+((C843=TRUE)*(F843-Calc!F18)))/150)*(1-B851/150)))/100</f>
        <v/>
      </c>
    </row>
    <row r="853">
      <c r="A853" t="inlineStr">
        <is>
          <t>Skill + Buff Cast Rate</t>
        </is>
      </c>
      <c r="B853">
        <f>IF(AND(Inputs!$B$4&lt;&gt;"pvp",Inputs!$B$35&gt;0),SUMPRODUCT((Skills!E2:E22=TRUE)*(C827:C847=TRUE)*R827:R847*Skills!F2:F22)/Inputs!$B$35,SUMPRODUCT((Skills!E2:E22=TRUE)*(C827:C847=TRUE)*Q827:Q847*Skills!F2:F22))</f>
        <v/>
      </c>
    </row>
    <row r="854">
      <c r="A854" t="inlineStr">
        <is>
          <t>Hook Bomber Casts Per Second</t>
        </is>
      </c>
      <c r="B854">
        <f>MAX(0,B852-B853)</f>
        <v/>
      </c>
    </row>
    <row r="855">
      <c r="A855" t="inlineStr">
        <is>
          <t>Global Critical Damage Bonus % (unused)</t>
        </is>
      </c>
      <c r="B855" t="n">
        <v>0</v>
      </c>
    </row>
    <row r="856">
      <c r="A856" t="inlineStr">
        <is>
          <t>Global Final Damage Bonus % (Serpent Scale + Crossbones + Time Leap + Speed Infusion)</t>
        </is>
      </c>
      <c r="B856">
        <f>((C830=TRUE)*F830*((10+IF(Inputs!$B$3&gt;=94,5,0))/((10+IF(Inputs!$B$3&gt;=94,5,0))+5/(B854*(1+IF(Inputs!$B$3&gt;=104,1,0))))))+((C839=TRUE)*F839)+((C840=TRUE)*F840)+((Inputs!$B$3&gt;=110)*20*(B852-1))</f>
        <v/>
      </c>
    </row>
    <row r="858">
      <c r="A858" s="5" t="inlineStr">
        <is>
          <t>TOTAL DPS</t>
        </is>
      </c>
      <c r="B858" s="5">
        <f>SUM(O827:O847)</f>
        <v/>
      </c>
    </row>
    <row r="861">
      <c r="A861" s="5" t="inlineStr">
        <is>
          <t>Stat: Skill Cooldown Decrease (seconds)</t>
        </is>
      </c>
    </row>
    <row r="862">
      <c r="A862" s="8" t="inlineStr">
        <is>
          <t>Key</t>
        </is>
      </c>
      <c r="B862" s="8" t="inlineStr">
        <is>
          <t>Name</t>
        </is>
      </c>
      <c r="C862" s="8" t="inlineStr">
        <is>
          <t>Unlocked</t>
        </is>
      </c>
      <c r="D862" s="8" t="inlineStr">
        <is>
          <t>InputLevel</t>
        </is>
      </c>
      <c r="E862" s="8" t="inlineStr">
        <is>
          <t>Factor</t>
        </is>
      </c>
      <c r="F862" s="8" t="inlineStr">
        <is>
          <t>CoefficientPercent</t>
        </is>
      </c>
      <c r="G862" s="8" t="inlineStr">
        <is>
          <t>EffectiveHits</t>
        </is>
      </c>
      <c r="H862" s="8" t="inlineStr">
        <is>
          <t>ProcProbability</t>
        </is>
      </c>
      <c r="I862" s="8" t="inlineStr">
        <is>
          <t>MapleHeroMultiplier</t>
        </is>
      </c>
      <c r="J862" s="8" t="inlineStr">
        <is>
          <t>BaseDamage</t>
        </is>
      </c>
      <c r="K862" s="8" t="inlineStr">
        <is>
          <t>BaseHitDamage</t>
        </is>
      </c>
      <c r="L862" s="8" t="inlineStr">
        <is>
          <t>NonCritAvg</t>
        </is>
      </c>
      <c r="M862" s="8" t="inlineStr">
        <is>
          <t>CritAvg</t>
        </is>
      </c>
      <c r="N862" s="8" t="inlineStr">
        <is>
          <t>ExpectedDamage(perHit)</t>
        </is>
      </c>
      <c r="O862" s="8" t="inlineStr">
        <is>
          <t>DPS</t>
        </is>
      </c>
      <c r="P862" s="8" t="inlineStr">
        <is>
          <t>% of Total</t>
        </is>
      </c>
      <c r="Q862" s="8" t="inlineStr">
        <is>
          <t>InvCooldown</t>
        </is>
      </c>
      <c r="R862" s="8" t="inlineStr">
        <is>
          <t>CastsInFight</t>
        </is>
      </c>
      <c r="S862" s="8" t="inlineStr">
        <is>
          <t>HitRate(perSec)</t>
        </is>
      </c>
      <c r="U862" t="inlineStr">
        <is>
          <t>helpers</t>
        </is>
      </c>
    </row>
    <row r="863">
      <c r="A863">
        <f>Skills!A2</f>
        <v/>
      </c>
      <c r="B863">
        <f>Skills!B2</f>
        <v/>
      </c>
      <c r="C863">
        <f>Inputs!$B$3&gt;=100</f>
        <v/>
      </c>
      <c r="D863" t="inlineStr"/>
      <c r="E863" t="inlineStr"/>
      <c r="F863">
        <f>U865+Skills!O2</f>
        <v/>
      </c>
      <c r="G863">
        <f>Skills!G2*IF(Skills!H2&gt;0,Skills!I2/Skills!H2,1)</f>
        <v/>
      </c>
      <c r="H863">
        <f>1-(1-Skills!J2/100)^Skills!K2</f>
        <v/>
      </c>
      <c r="I863" t="inlineStr">
        <is>
          <t>1</t>
        </is>
      </c>
      <c r="J863">
        <f>(Inputs!$B$5*(1+Inputs!$B$6/100))*(F863/100)</f>
        <v/>
      </c>
      <c r="K863">
        <f>J863*(1+((Inputs!$B$11*(1+Inputs!$B$12/100))*0.01+Inputs!$B$13*0.0025)/100)*(1+Inputs!$B$14/100)*(1+IF(Inputs!$B$4="pvp",0,(1-Summary!$B$55)*(Inputs!$B$19+0+Skills!P2)+Summary!$B$55*(Inputs!$B$20+Skills!Q2))/100)*(1+Inputs!$B$15/100)*(5000/(6000+Inputs!$B$7*(1-(Inputs!$B$18+0)/100)))*(1+(Inputs!$B$23+((C883=TRUE)*(F883-Calc!F22))+B892)/100)*(1+(IF(Skills!A2="HOOK_BOMBER",Inputs!$B$16+((C882=TRUE)*(F882-Calc!F21)),Inputs!$B$17+0))/100)*((1+(((C874=TRUE)*F874)+((C880=TRUE)*(F880-Calc!F19)))/100)*I863)</f>
        <v/>
      </c>
      <c r="L863">
        <f>K863*(MIN(Inputs!$B$21+((C881=TRUE)*(F881-Calc!F20)),Inputs!$B$22+0)/100+(Inputs!$B$22+0)/100)/2</f>
        <v/>
      </c>
      <c r="M863">
        <f>L863*(1+(Inputs!$B$9+0+B891)/100)</f>
        <v/>
      </c>
      <c r="N863">
        <f>L863*(1-MIN((Inputs!$B$8+((C877=TRUE)*(F877-Calc!F16))+B886),100)/100)+M863*(MIN((Inputs!$B$8+((C877=TRUE)*(F877-Calc!F16))+B886),100)/100)</f>
        <v/>
      </c>
      <c r="O863">
        <f>IF(C863,Skills!G2*N863*B890*IF(Inputs!$B$4="pvp",1,(1-Summary!$B$55)*(1)+Summary!$B$55*(MIN((6+Inputs!$B$32),Inputs!$B$37))),0)</f>
        <v/>
      </c>
      <c r="P863">
        <f>IF(B894=0,0,O863/B894)</f>
        <v/>
      </c>
      <c r="Q863" t="n">
        <v>0</v>
      </c>
      <c r="R863" t="n">
        <v>0</v>
      </c>
      <c r="S863">
        <f>IFERROR(O863/N863,0)</f>
        <v/>
      </c>
      <c r="U863">
        <f>MAX(0,(Inputs!$B$3-100)*3)+Inputs!$B$27+Inputs!$B$28</f>
        <v/>
      </c>
    </row>
    <row r="864">
      <c r="A864">
        <f>Skills!A3</f>
        <v/>
      </c>
      <c r="B864">
        <f>Skills!B3</f>
        <v/>
      </c>
      <c r="C864">
        <f>Inputs!$B$3&gt;=35</f>
        <v/>
      </c>
      <c r="D864">
        <f>IF(Skills!C3=1,60+Inputs!$B$24+Inputs!$B$28,IF(Skills!C3=2,90+Inputs!$B$25+Inputs!$B$28,IF(Skills!C3=3,120+Inputs!$B$26+Inputs!$B$28,MAX(0,(Inputs!$B$3-100)*3)+Inputs!$B$27+Inputs!$B$28)))</f>
        <v/>
      </c>
      <c r="E864">
        <f>INDEX(FactorTable!$B$2:$Y$301, MATCH(ROUND(MIN(300,MAX(1,D864)),0), FactorTable!$A$2:$A$301,0), Skills!M3+1)</f>
        <v/>
      </c>
      <c r="F864">
        <f>IF(Skills!N3=TRUE,(Skills!L3/10)*(E864/1000),Skills!L3/10)+Skills!O3</f>
        <v/>
      </c>
      <c r="G864">
        <f>Skills!G3*IF(Skills!H3&gt;0,Skills!I3/Skills!H3,1)</f>
        <v/>
      </c>
      <c r="H864">
        <f>1-(1-Skills!J3/100)^Skills!K3</f>
        <v/>
      </c>
      <c r="I864" t="inlineStr">
        <is>
          <t>1</t>
        </is>
      </c>
      <c r="J864">
        <f>(Inputs!$B$5*(1+Inputs!$B$6/100))*(F864/100)</f>
        <v/>
      </c>
      <c r="K864">
        <f>J864*(1+((Inputs!$B$11*(1+Inputs!$B$12/100))*0.01+Inputs!$B$13*0.0025)/100)*(1+Inputs!$B$14/100)*(1+IF(Inputs!$B$4="pvp",0,(1-Summary!$B$55)*(Inputs!$B$19+0+Skills!P3)+Summary!$B$55*(Inputs!$B$20+Skills!Q3))/100)*(1+Inputs!$B$15/100)*(5000/(6000+Inputs!$B$7*(1-(Inputs!$B$18+0)/100)))*(1+(Inputs!$B$23+((C883=TRUE)*(F883-Calc!F22))+B892)/100)*(1+(IF(Skills!A3="HOOK_BOMBER",Inputs!$B$16+((C882=TRUE)*(F882-Calc!F21)),Inputs!$B$17+0))/100)*((1+(((C874=TRUE)*F874)+((C880=TRUE)*(F880-Calc!F19)))/100)*I864)</f>
        <v/>
      </c>
      <c r="L864">
        <f>K864*(MIN(Inputs!$B$21+((C881=TRUE)*(F881-Calc!F20)),Inputs!$B$22+0)/100+(Inputs!$B$22+0)/100)/2</f>
        <v/>
      </c>
      <c r="M864">
        <f>L864*(1+(Inputs!$B$9+0+B891)/100)</f>
        <v/>
      </c>
      <c r="N864">
        <f>L864*(1-MIN((Inputs!$B$8+((C877=TRUE)*(F877-Calc!F16))+B886),100)/100)+M864*(MIN((Inputs!$B$8+((C877=TRUE)*(F877-Calc!F16))+B886),100)/100)</f>
        <v/>
      </c>
      <c r="O864">
        <f>IF(C864,Skills!G3*H864*N864*B890*IF(Inputs!$B$4="pvp",1,(1-Summary!$B$55)*(1)+Summary!$B$55*(MIN(Skills!R3,Inputs!$B$37))),0)</f>
        <v/>
      </c>
      <c r="P864">
        <f>IF(B894=0,0,O864/B894)</f>
        <v/>
      </c>
      <c r="Q864" t="n">
        <v>0</v>
      </c>
      <c r="R864" t="n">
        <v>0</v>
      </c>
      <c r="S864">
        <f>IFERROR(O864/N864,0)</f>
        <v/>
      </c>
      <c r="U864">
        <f>INDEX(FactorTable!$B$2:$Y$301, MATCH(ROUND(MIN(300,MAX(1,U863)),0), FactorTable!$A$2:$A$301,0), 22)</f>
        <v/>
      </c>
    </row>
    <row r="865">
      <c r="A865">
        <f>Skills!A4</f>
        <v/>
      </c>
      <c r="B865">
        <f>Skills!B4</f>
        <v/>
      </c>
      <c r="C865">
        <f>Inputs!$B$3&gt;=60</f>
        <v/>
      </c>
      <c r="D865">
        <f>IF(Skills!C4=1,60+Inputs!$B$24+Inputs!$B$28,IF(Skills!C4=2,90+Inputs!$B$25+Inputs!$B$28,IF(Skills!C4=3,120+Inputs!$B$26+Inputs!$B$28,MAX(0,(Inputs!$B$3-100)*3)+Inputs!$B$27+Inputs!$B$28)))</f>
        <v/>
      </c>
      <c r="E865">
        <f>INDEX(FactorTable!$B$2:$Y$301, MATCH(ROUND(MIN(300,MAX(1,D865)),0), FactorTable!$A$2:$A$301,0), Skills!M4+1)</f>
        <v/>
      </c>
      <c r="F865">
        <f>IF(Skills!N4=TRUE,(Skills!L4/10)*(E865/1000),Skills!L4/10)+Skills!O4</f>
        <v/>
      </c>
      <c r="G865">
        <f>Skills!G4*IF(Skills!H4&gt;0,Skills!I4/Skills!H4,1)</f>
        <v/>
      </c>
      <c r="H865">
        <f>1-(1-Skills!J4/100)^Skills!K4</f>
        <v/>
      </c>
      <c r="I865" t="inlineStr">
        <is>
          <t>1</t>
        </is>
      </c>
      <c r="J865">
        <f>(Inputs!$B$5*(1+Inputs!$B$6/100))*(F865/100)</f>
        <v/>
      </c>
      <c r="K865">
        <f>J865*(1+((Inputs!$B$11*(1+Inputs!$B$12/100))*0.01+Inputs!$B$13*0.0025)/100)*(1+Inputs!$B$14/100)*(1+IF(Inputs!$B$4="pvp",0,(1-Summary!$B$55)*(Inputs!$B$19+0+Skills!P4)+Summary!$B$55*(Inputs!$B$20+Skills!Q4))/100)*(1+Inputs!$B$15/100)*(5000/(6000+Inputs!$B$7*(1-(Inputs!$B$18+0)/100)))*(1+(Inputs!$B$23+((C883=TRUE)*(F883-Calc!F22))+B892)/100)*(1+1.0*IF(C873=TRUE,F873,0)/100)*(1+(IF(Skills!A4="HOOK_BOMBER",Inputs!$B$16+((C882=TRUE)*(F882-Calc!F21)),Inputs!$B$17+0))/100)*((1+(((C874=TRUE)*F874)+((C880=TRUE)*(F880-Calc!F19)))/100)*I865)</f>
        <v/>
      </c>
      <c r="L865">
        <f>K865*(MIN(Inputs!$B$21+((C881=TRUE)*(F881-Calc!F20)),Inputs!$B$22+0)/100+(Inputs!$B$22+0)/100)/2</f>
        <v/>
      </c>
      <c r="M865">
        <f>L865*(1+(Inputs!$B$9+0+B891)/100)</f>
        <v/>
      </c>
      <c r="N865">
        <f>L865*(1-MIN((Inputs!$B$8+((C877=TRUE)*(F877-Calc!F16))+B886),100)/100)+M865*(MIN((Inputs!$B$8+((C877=TRUE)*(F877-Calc!F16))+B886),100)/100)</f>
        <v/>
      </c>
      <c r="O865">
        <f>IF(C865,Skills!G4*H865*N865*B890*IF(Inputs!$B$4="pvp",1,(1-Summary!$B$55)*(1)+Summary!$B$55*(MIN(Skills!R4,Inputs!$B$37))),0)</f>
        <v/>
      </c>
      <c r="P865">
        <f>IF(B894=0,0,O865/B894)</f>
        <v/>
      </c>
      <c r="Q865" t="n">
        <v>0</v>
      </c>
      <c r="R865" t="n">
        <v>0</v>
      </c>
      <c r="S865">
        <f>IFERROR(O865/N865,0)</f>
        <v/>
      </c>
      <c r="U865">
        <f>290*U864/1000</f>
        <v/>
      </c>
    </row>
    <row r="866">
      <c r="A866">
        <f>Skills!A5</f>
        <v/>
      </c>
      <c r="B866">
        <f>Skills!B5</f>
        <v/>
      </c>
      <c r="C866">
        <f>Inputs!$B$3&gt;=60</f>
        <v/>
      </c>
      <c r="D866">
        <f>IF(Skills!C5=1,60+Inputs!$B$24+Inputs!$B$28,IF(Skills!C5=2,90+Inputs!$B$25+Inputs!$B$28,IF(Skills!C5=3,120+Inputs!$B$26+Inputs!$B$28,MAX(0,(Inputs!$B$3-100)*3)+Inputs!$B$27+Inputs!$B$28)))</f>
        <v/>
      </c>
      <c r="E866">
        <f>INDEX(FactorTable!$B$2:$Y$301, MATCH(ROUND(MIN(300,MAX(1,D866)),0), FactorTable!$A$2:$A$301,0), Skills!M5+1)</f>
        <v/>
      </c>
      <c r="F866">
        <f>IF(Skills!N5=TRUE,(Skills!L5/10)*(E866/1000),Skills!L5/10)+Skills!O5</f>
        <v/>
      </c>
      <c r="G866">
        <f>Skills!G5*IF(Skills!H5&gt;0,Skills!I5/Skills!H5,1)</f>
        <v/>
      </c>
      <c r="H866">
        <f>1-(1-Skills!J5/100)^Skills!K5</f>
        <v/>
      </c>
      <c r="I866" t="inlineStr">
        <is>
          <t>1</t>
        </is>
      </c>
      <c r="J866" t="inlineStr"/>
      <c r="K866" t="inlineStr"/>
      <c r="L866" t="inlineStr"/>
      <c r="M866" t="inlineStr"/>
      <c r="N866" t="inlineStr"/>
      <c r="O866" t="n">
        <v>0</v>
      </c>
      <c r="P866">
        <f>IF(B894=0,0,O866/B894)</f>
        <v/>
      </c>
      <c r="Q866" t="n">
        <v>0</v>
      </c>
      <c r="R866" t="n">
        <v>0</v>
      </c>
      <c r="S866">
        <f>IFERROR(O866/N866,0)</f>
        <v/>
      </c>
    </row>
    <row r="867">
      <c r="A867">
        <f>Skills!A6</f>
        <v/>
      </c>
      <c r="B867">
        <f>Skills!B6</f>
        <v/>
      </c>
      <c r="C867">
        <f>Inputs!$B$3&gt;=63</f>
        <v/>
      </c>
      <c r="D867">
        <f>IF(Skills!C6=1,60+Inputs!$B$24+Inputs!$B$28,IF(Skills!C6=2,90+Inputs!$B$25+Inputs!$B$28,IF(Skills!C6=3,120+Inputs!$B$26+Inputs!$B$28,MAX(0,(Inputs!$B$3-100)*3)+Inputs!$B$27+Inputs!$B$28)))</f>
        <v/>
      </c>
      <c r="E867">
        <f>INDEX(FactorTable!$B$2:$Y$301, MATCH(ROUND(MIN(300,MAX(1,D867)),0), FactorTable!$A$2:$A$301,0), Skills!M6+1)</f>
        <v/>
      </c>
      <c r="F867">
        <f>IF(Skills!N6=TRUE,(Skills!L6/10)*(E867/1000),Skills!L6/10)+Skills!O6</f>
        <v/>
      </c>
      <c r="G867">
        <f>Skills!G6*IF(Skills!H6&gt;0,Skills!I6/Skills!H6,1)</f>
        <v/>
      </c>
      <c r="H867">
        <f>1-(1-Skills!J6/100)^Skills!K6</f>
        <v/>
      </c>
      <c r="I867" t="inlineStr">
        <is>
          <t>1</t>
        </is>
      </c>
      <c r="J867">
        <f>(Inputs!$B$5*(1+Inputs!$B$6/100))*(F867/100)</f>
        <v/>
      </c>
      <c r="K867">
        <f>J867*(1+((Inputs!$B$11*(1+Inputs!$B$12/100))*0.01+Inputs!$B$13*0.0025)/100)*(1+Inputs!$B$14/100)*(1+IF(Inputs!$B$4="pvp",0,(1-Summary!$B$55)*(Inputs!$B$19+0+Skills!P6)+Summary!$B$55*(Inputs!$B$20+Skills!Q6))/100)*(1+Inputs!$B$15/100)*(5000/(6000+Inputs!$B$7*(1-(Inputs!$B$18+0)/100)))*(1+(Inputs!$B$23+((C883=TRUE)*(F883-Calc!F22))+B892)/100)*(1+(IF(Skills!A6="HOOK_BOMBER",Inputs!$B$16+((C882=TRUE)*(F882-Calc!F21)),Inputs!$B$17+0))/100)*((1+(((C874=TRUE)*F874)+((C880=TRUE)*(F880-Calc!F19)))/100)*I867)</f>
        <v/>
      </c>
      <c r="L867">
        <f>K867*(MIN(Inputs!$B$21+((C881=TRUE)*(F881-Calc!F20)),Inputs!$B$22+0)/100+(Inputs!$B$22+0)/100)/2</f>
        <v/>
      </c>
      <c r="M867">
        <f>L867*(1+(Inputs!$B$9+0+B891)/100)</f>
        <v/>
      </c>
      <c r="N867">
        <f>L867*(1-MIN((Inputs!$B$8+((C877=TRUE)*(F877-Calc!F16))+B886),100)/100)+M867*(MIN((Inputs!$B$8+((C877=TRUE)*(F877-Calc!F16))+B886),100)/100)</f>
        <v/>
      </c>
      <c r="O867">
        <f>IF(C867,H867*N867*IF(AND(Inputs!$B$4&lt;&gt;"pvp",Inputs!$B$35&gt;0),((Skills!G6*((R867-1)*IF(Skills!H6&gt;0,Skills!I6/Skills!H6,1)+IF(Skills!H6&gt;0,MIN(Skills!I6,MAX(0,Inputs!$B$35-((R867-1)*IF(Inputs!$B$4="pvp",15,MAX(0.1,Skills!D6-IF(Skills!E6=TRUE,(Inputs!$B$31+1),0))))))/Skills!H6,1)))/Inputs!$B$35),G867*Q867)*IF(Inputs!$B$4="pvp",1,(1-Summary!$B$55)*(1)+Summary!$B$55*(MIN(Skills!R6,Inputs!$B$37))),0)</f>
        <v/>
      </c>
      <c r="P867">
        <f>IF(B894=0,0,O867/B894)</f>
        <v/>
      </c>
      <c r="Q867">
        <f>IFERROR(1/IF(Inputs!$B$4="pvp",15,MAX(0.1,Skills!D6-IF(Skills!E6=TRUE,(Inputs!$B$31+1),0))),0)</f>
        <v/>
      </c>
      <c r="R867">
        <f>IF(AND(Inputs!$B$4&lt;&gt;"pvp",Inputs!$B$35&gt;0),(INT(Inputs!$B$35/IF(Inputs!$B$4="pvp",15,MAX(0.1,Skills!D6-IF(Skills!E6=TRUE,(Inputs!$B$31+1),0))))+1),0)</f>
        <v/>
      </c>
      <c r="S867">
        <f>IFERROR(O867/N867,0)</f>
        <v/>
      </c>
    </row>
    <row r="868">
      <c r="A868">
        <f>Skills!A7</f>
        <v/>
      </c>
      <c r="B868">
        <f>Skills!B7</f>
        <v/>
      </c>
      <c r="C868">
        <f>Inputs!$B$3&gt;=100</f>
        <v/>
      </c>
      <c r="D868">
        <f>IF(Skills!C7=1,60+Inputs!$B$24+Inputs!$B$28,IF(Skills!C7=2,90+Inputs!$B$25+Inputs!$B$28,IF(Skills!C7=3,120+Inputs!$B$26+Inputs!$B$28,MAX(0,(Inputs!$B$3-100)*3)+Inputs!$B$27+Inputs!$B$28)))</f>
        <v/>
      </c>
      <c r="E868">
        <f>INDEX(FactorTable!$B$2:$Y$301, MATCH(ROUND(MIN(300,MAX(1,D868)),0), FactorTable!$A$2:$A$301,0), Skills!M7+1)</f>
        <v/>
      </c>
      <c r="F868">
        <f>IF(Skills!N7=TRUE,(Skills!L7/10)*(E868/1000),Skills!L7/10)+Skills!O7</f>
        <v/>
      </c>
      <c r="G868">
        <f>Skills!G7*IF(Skills!H7&gt;0,Skills!I7/Skills!H7,1)</f>
        <v/>
      </c>
      <c r="H868">
        <f>1-(1-Skills!J7/100)^Skills!K7</f>
        <v/>
      </c>
      <c r="I868" t="inlineStr">
        <is>
          <t>1</t>
        </is>
      </c>
      <c r="J868">
        <f>(Inputs!$B$5*(1+Inputs!$B$6/100))*(F868/100)</f>
        <v/>
      </c>
      <c r="K868">
        <f>J868*(1+((Inputs!$B$11*(1+Inputs!$B$12/100))*0.01+Inputs!$B$13*0.0025)/100)*(1+Inputs!$B$14/100)*(1+IF(Inputs!$B$4="pvp",0,(1-Summary!$B$55)*(Inputs!$B$19+0+Skills!P7)+Summary!$B$55*(Inputs!$B$20+Skills!Q7))/100)*(1+Inputs!$B$15/100)*(5000/(6000+Inputs!$B$7*(1-(Inputs!$B$18+0)/100)))*(1+(Inputs!$B$23+((C883=TRUE)*(F883-Calc!F22))+B892)/100)*(1+(IF(Skills!A7="HOOK_BOMBER",Inputs!$B$16+((C882=TRUE)*(F882-Calc!F21)),Inputs!$B$17+0))/100)*((1+(((C874=TRUE)*F874)+((C880=TRUE)*(F880-Calc!F19)))/100)*I868)</f>
        <v/>
      </c>
      <c r="L868">
        <f>K868*(MIN(Inputs!$B$21+((C881=TRUE)*(F881-Calc!F20)),Inputs!$B$22+0)/100+(Inputs!$B$22+0)/100)/2</f>
        <v/>
      </c>
      <c r="M868">
        <f>L868*(1+(Inputs!$B$9+0+B891)/100)</f>
        <v/>
      </c>
      <c r="N868">
        <f>L868*(1-MIN((Inputs!$B$8+((C877=TRUE)*(F877-Calc!F16))+B886),100)/100)+M868*(MIN((Inputs!$B$8+((C877=TRUE)*(F877-Calc!F16))+B886),100)/100)</f>
        <v/>
      </c>
      <c r="O868">
        <f>IF(C868,H868*N868*IF(AND(Inputs!$B$4&lt;&gt;"pvp",Inputs!$B$35&gt;0),((Skills!G7*((R868-1)*IF(Skills!H7&gt;0,Skills!I7/Skills!H7,1)+IF(Skills!H7&gt;0,MIN(Skills!I7,MAX(0,Inputs!$B$35-((R868-1)*IF(Inputs!$B$4="pvp",15,MAX(0.1,Skills!D7-IF(Skills!E7=TRUE,(Inputs!$B$31+1),0))))))/Skills!H7,1)))/Inputs!$B$35),G868*Q868)*IF(Inputs!$B$4="pvp",1,(1-Summary!$B$55)*(1)+Summary!$B$55*(MIN(Skills!R7,Inputs!$B$37))),0)</f>
        <v/>
      </c>
      <c r="P868">
        <f>IF(B894=0,0,O868/B894)</f>
        <v/>
      </c>
      <c r="Q868">
        <f>IFERROR(1/IF(Inputs!$B$4="pvp",15,MAX(0.1,Skills!D7-IF(Skills!E7=TRUE,(Inputs!$B$31+1),0))),0)</f>
        <v/>
      </c>
      <c r="R868">
        <f>IF(AND(Inputs!$B$4&lt;&gt;"pvp",Inputs!$B$35&gt;0),(INT(Inputs!$B$35/IF(Inputs!$B$4="pvp",15,MAX(0.1,Skills!D7-IF(Skills!E7=TRUE,(Inputs!$B$31+1),0))))+1),0)</f>
        <v/>
      </c>
      <c r="S868">
        <f>IFERROR(O868/N868,0)</f>
        <v/>
      </c>
    </row>
    <row r="869">
      <c r="A869">
        <f>Skills!A8</f>
        <v/>
      </c>
      <c r="B869">
        <f>Skills!B8</f>
        <v/>
      </c>
      <c r="C869">
        <f>Inputs!$B$3&gt;=110</f>
        <v/>
      </c>
      <c r="D869">
        <f>IF(Skills!C8=1,60+Inputs!$B$24+Inputs!$B$28,IF(Skills!C8=2,90+Inputs!$B$25+Inputs!$B$28,IF(Skills!C8=3,120+Inputs!$B$26+Inputs!$B$28,MAX(0,(Inputs!$B$3-100)*3)+Inputs!$B$27+Inputs!$B$28)))</f>
        <v/>
      </c>
      <c r="E869">
        <f>INDEX(FactorTable!$B$2:$Y$301, MATCH(ROUND(MIN(300,MAX(1,D869)),0), FactorTable!$A$2:$A$301,0), Skills!M8+1)</f>
        <v/>
      </c>
      <c r="F869">
        <f>IF(Skills!N8=TRUE,(Skills!L8/10)*(E869/1000),Skills!L8/10)+Skills!O8</f>
        <v/>
      </c>
      <c r="G869">
        <f>Skills!G8*IF(Skills!H8&gt;0,Skills!I8/Skills!H8,1)</f>
        <v/>
      </c>
      <c r="H869">
        <f>1-(1-Skills!J8/100)^Skills!K8</f>
        <v/>
      </c>
      <c r="I869" t="inlineStr">
        <is>
          <t>1</t>
        </is>
      </c>
      <c r="J869">
        <f>(Inputs!$B$5*(1+Inputs!$B$6/100))*(F869/100)</f>
        <v/>
      </c>
      <c r="K869">
        <f>J869*(1+((Inputs!$B$11*(1+Inputs!$B$12/100))*0.01+Inputs!$B$13*0.0025)/100)*(1+Inputs!$B$14/100)*(1+IF(Inputs!$B$4="pvp",0,(1-Summary!$B$55)*(Inputs!$B$19+0+Skills!P8)+Summary!$B$55*(Inputs!$B$20+Skills!Q8))/100)*(1+Inputs!$B$15/100)*(5000/(6000+Inputs!$B$7*(1-(Inputs!$B$18+0)/100)))*(1+(Inputs!$B$23+((C883=TRUE)*(F883-Calc!F22))+B892)/100)*(1+(IF(Skills!A8="HOOK_BOMBER",Inputs!$B$16+((C882=TRUE)*(F882-Calc!F21)),Inputs!$B$17+0))/100)*((1+(((C874=TRUE)*F874)+((C880=TRUE)*(F880-Calc!F19)))/100)*I869)</f>
        <v/>
      </c>
      <c r="L869">
        <f>K869*(MIN(Inputs!$B$21+((C881=TRUE)*(F881-Calc!F20)),Inputs!$B$22+0)/100+(Inputs!$B$22+0)/100)/2</f>
        <v/>
      </c>
      <c r="M869">
        <f>L869*(1+(Inputs!$B$9+0+B891)/100)</f>
        <v/>
      </c>
      <c r="N869">
        <f>L869*(1-MIN((Inputs!$B$8+((C877=TRUE)*(F877-Calc!F16))+B886),100)/100)+M869*(MIN((Inputs!$B$8+((C877=TRUE)*(F877-Calc!F16))+B886),100)/100)</f>
        <v/>
      </c>
      <c r="O869">
        <f>IF(C869,H869*N869*IF(AND(Inputs!$B$4&lt;&gt;"pvp",Inputs!$B$35&gt;0),((Skills!G8*((R869-1)*IF(Skills!H8&gt;0,Skills!I8/Skills!H8,1)+IF(Skills!H8&gt;0,MIN(Skills!I8,MAX(0,Inputs!$B$35-((R869-1)*IF(Inputs!$B$4="pvp",15,MAX(0.1,Skills!D8-IF(Skills!E8=TRUE,(Inputs!$B$31+1),0))))))/Skills!H8,1)))/Inputs!$B$35),G869*Q869)*IF(Inputs!$B$4="pvp",1,(1-Summary!$B$55)*(1)+Summary!$B$55*(MIN(Skills!R8,Inputs!$B$37))),0)</f>
        <v/>
      </c>
      <c r="P869">
        <f>IF(B894=0,0,O869/B894)</f>
        <v/>
      </c>
      <c r="Q869">
        <f>IFERROR(1/IF(Inputs!$B$4="pvp",15,MAX(0.1,Skills!D8-IF(Skills!E8=TRUE,(Inputs!$B$31+1),0))),0)</f>
        <v/>
      </c>
      <c r="R869">
        <f>IF(AND(Inputs!$B$4&lt;&gt;"pvp",Inputs!$B$35&gt;0),(INT(Inputs!$B$35/IF(Inputs!$B$4="pvp",15,MAX(0.1,Skills!D8-IF(Skills!E8=TRUE,(Inputs!$B$31+1),0))))+1),0)</f>
        <v/>
      </c>
      <c r="S869">
        <f>IFERROR(O869/N869,0)</f>
        <v/>
      </c>
    </row>
    <row r="870">
      <c r="A870">
        <f>Skills!A9</f>
        <v/>
      </c>
      <c r="B870">
        <f>Skills!B9</f>
        <v/>
      </c>
      <c r="C870">
        <f>Inputs!$B$3&gt;=110</f>
        <v/>
      </c>
      <c r="D870">
        <f>IF(Skills!C9=1,60+Inputs!$B$24+Inputs!$B$28,IF(Skills!C9=2,90+Inputs!$B$25+Inputs!$B$28,IF(Skills!C9=3,120+Inputs!$B$26+Inputs!$B$28,MAX(0,(Inputs!$B$3-100)*3)+Inputs!$B$27+Inputs!$B$28)))</f>
        <v/>
      </c>
      <c r="E870">
        <f>INDEX(FactorTable!$B$2:$Y$301, MATCH(ROUND(MIN(300,MAX(1,D870)),0), FactorTable!$A$2:$A$301,0), Skills!M9+1)</f>
        <v/>
      </c>
      <c r="F870">
        <f>IF(Skills!N9=TRUE,(Skills!L9/10)*(E870/1000),Skills!L9/10)+Skills!O9</f>
        <v/>
      </c>
      <c r="G870">
        <f>Skills!G9*IF(Skills!H9&gt;0,Skills!I9/Skills!H9,1)</f>
        <v/>
      </c>
      <c r="H870">
        <f>1-(1-Skills!J9/100)^Skills!K9</f>
        <v/>
      </c>
      <c r="I870" t="inlineStr">
        <is>
          <t>1</t>
        </is>
      </c>
      <c r="J870">
        <f>(Inputs!$B$5*(1+Inputs!$B$6/100))*(F870/100)</f>
        <v/>
      </c>
      <c r="K870">
        <f>J870*(1+((Inputs!$B$11*(1+Inputs!$B$12/100))*0.01+Inputs!$B$13*0.0025)/100)*(1+Inputs!$B$14/100)*(1+IF(Inputs!$B$4="pvp",0,(1-Summary!$B$55)*(Inputs!$B$19+0+Skills!P9)+Summary!$B$55*(Inputs!$B$20+Skills!Q9))/100)*(1+Inputs!$B$15/100)*(5000/(6000+Inputs!$B$7*(1-(Inputs!$B$18+0)/100)))*(1+(Inputs!$B$23+((C883=TRUE)*(F883-Calc!F22))+B892)/100)*(1+(IF(Skills!A9="HOOK_BOMBER",Inputs!$B$16+((C882=TRUE)*(F882-Calc!F21)),Inputs!$B$17+0))/100)*((1+(((C874=TRUE)*F874)+((C880=TRUE)*(F880-Calc!F19)))/100)*I870)</f>
        <v/>
      </c>
      <c r="L870">
        <f>K870*(MIN(Inputs!$B$21+((C881=TRUE)*(F881-Calc!F20)),Inputs!$B$22+0)/100+(Inputs!$B$22+0)/100)/2</f>
        <v/>
      </c>
      <c r="M870">
        <f>L870*(1+(Inputs!$B$9+0+B891)/100)</f>
        <v/>
      </c>
      <c r="N870">
        <f>L870*(1-MIN((Inputs!$B$8+((C877=TRUE)*(F877-Calc!F16))+B886),100)/100)+M870*(MIN((Inputs!$B$8+((C877=TRUE)*(F877-Calc!F16))+B886),100)/100)</f>
        <v/>
      </c>
      <c r="O870">
        <f>IF(C870,H870*N870*IF(AND(Inputs!$B$4&lt;&gt;"pvp",Inputs!$B$35&gt;0),((Skills!G9*((R870-1)*IF(Skills!H9&gt;0,Skills!I9/Skills!H9,1)+IF(Skills!H9&gt;0,MIN(Skills!I9,MAX(0,Inputs!$B$35-((R870-1)*IF(Inputs!$B$4="pvp",15,MAX(0.1,Skills!D9-IF(Skills!E9=TRUE,(Inputs!$B$31+1),0))))))/Skills!H9,1)))/Inputs!$B$35),G870*Q870)*IF(Inputs!$B$4="pvp",1,(1-Summary!$B$55)*(1)+Summary!$B$55*(MIN(Skills!R9,Inputs!$B$37))),0)</f>
        <v/>
      </c>
      <c r="P870">
        <f>IF(B894=0,0,O870/B894)</f>
        <v/>
      </c>
      <c r="Q870">
        <f>IFERROR(1/IF(Inputs!$B$4="pvp",15,MAX(0.1,Skills!D9-IF(Skills!E9=TRUE,(Inputs!$B$31+1),0))),0)</f>
        <v/>
      </c>
      <c r="R870">
        <f>IF(AND(Inputs!$B$4&lt;&gt;"pvp",Inputs!$B$35&gt;0),(INT(Inputs!$B$35/IF(Inputs!$B$4="pvp",15,MAX(0.1,Skills!D9-IF(Skills!E9=TRUE,(Inputs!$B$31+1),0))))+1),0)</f>
        <v/>
      </c>
      <c r="S870">
        <f>IFERROR(O870/N870,0)</f>
        <v/>
      </c>
    </row>
    <row r="871">
      <c r="A871">
        <f>Skills!A10</f>
        <v/>
      </c>
      <c r="B871">
        <f>Skills!B10</f>
        <v/>
      </c>
      <c r="C871">
        <f>Inputs!$B$3&gt;=103</f>
        <v/>
      </c>
      <c r="D871">
        <f>IF(Skills!C10=1,60+Inputs!$B$24+Inputs!$B$28,IF(Skills!C10=2,90+Inputs!$B$25+Inputs!$B$28,IF(Skills!C10=3,120+Inputs!$B$26+Inputs!$B$28,MAX(0,(Inputs!$B$3-100)*3)+Inputs!$B$27+Inputs!$B$28)))</f>
        <v/>
      </c>
      <c r="E871">
        <f>INDEX(FactorTable!$B$2:$Y$301, MATCH(ROUND(MIN(300,MAX(1,D871)),0), FactorTable!$A$2:$A$301,0), Skills!M10+1)</f>
        <v/>
      </c>
      <c r="F871">
        <f>IF(Skills!N10=TRUE,(Skills!L10/10)*(E871/1000),Skills!L10/10)+Skills!O10</f>
        <v/>
      </c>
      <c r="G871">
        <f>Skills!G10*IF(Skills!H10&gt;0,Skills!I10/Skills!H10,1)</f>
        <v/>
      </c>
      <c r="H871">
        <f>1-(1-Skills!J10/100)^Skills!K10</f>
        <v/>
      </c>
      <c r="I871" t="inlineStr">
        <is>
          <t>1</t>
        </is>
      </c>
      <c r="J871">
        <f>(Inputs!$B$5*(1+Inputs!$B$6/100))*(F871/100)</f>
        <v/>
      </c>
      <c r="K871">
        <f>J871*(1+((Inputs!$B$11*(1+Inputs!$B$12/100))*0.01+Inputs!$B$13*0.0025)/100)*(1+Inputs!$B$14/100)*(1+IF(Inputs!$B$4="pvp",0,(1-Summary!$B$55)*(Inputs!$B$19+0+Skills!P10)+Summary!$B$55*(Inputs!$B$20+Skills!Q10))/100)*(1+Inputs!$B$15/100)*(5000/(6000+Inputs!$B$7*(1-(Inputs!$B$18+0)/100)))*(1+(Inputs!$B$23+((C883=TRUE)*(F883-Calc!F22))+B892)/100)*(1+(IF(Skills!A10="HOOK_BOMBER",Inputs!$B$16+((C882=TRUE)*(F882-Calc!F21)),Inputs!$B$17+0))/100)*((1+(((C874=TRUE)*F874)+((C880=TRUE)*(F880-Calc!F19)))/100)*I871)</f>
        <v/>
      </c>
      <c r="L871">
        <f>K871*(MIN(Inputs!$B$21+((C881=TRUE)*(F881-Calc!F20)),Inputs!$B$22+0)/100+(Inputs!$B$22+0)/100)/2</f>
        <v/>
      </c>
      <c r="M871">
        <f>L871*(1+(Inputs!$B$9+0+B891)/100)</f>
        <v/>
      </c>
      <c r="N871">
        <f>L871*(1-MIN((Inputs!$B$8+((C877=TRUE)*(F877-Calc!F16))+B886),100)/100)+M871*(MIN((Inputs!$B$8+((C877=TRUE)*(F877-Calc!F16))+B886),100)/100)</f>
        <v/>
      </c>
      <c r="O871">
        <f>IF(C871,H871*N871*IF(AND(Inputs!$B$4&lt;&gt;"pvp",Inputs!$B$35&gt;0),((Skills!G10*((R871-1)*IF(Skills!H10&gt;0,Skills!I10/Skills!H10,1)+IF(Skills!H10&gt;0,MIN(Skills!I10,MAX(0,Inputs!$B$35-((R871-1)*IF(Inputs!$B$4="pvp",15,MAX(0.1,Skills!D10-IF(Skills!E10=TRUE,(Inputs!$B$31+1),0))))))/Skills!H10,1)))/Inputs!$B$35),G871*Q871)*IF(Inputs!$B$4="pvp",1,(1-Summary!$B$55)*(1)+Summary!$B$55*(MIN(Skills!R10,Inputs!$B$37))),0)</f>
        <v/>
      </c>
      <c r="P871">
        <f>IF(B894=0,0,O871/B894)</f>
        <v/>
      </c>
      <c r="Q871">
        <f>IFERROR(1/IF(Inputs!$B$4="pvp",15,MAX(0.1,Skills!D10-IF(Skills!E10=TRUE,(Inputs!$B$31+1),0))),0)</f>
        <v/>
      </c>
      <c r="R871">
        <f>IF(AND(Inputs!$B$4&lt;&gt;"pvp",Inputs!$B$35&gt;0),(INT(Inputs!$B$35/IF(Inputs!$B$4="pvp",15,MAX(0.1,Skills!D10-IF(Skills!E10=TRUE,(Inputs!$B$31+1),0))))+1),0)</f>
        <v/>
      </c>
      <c r="S871">
        <f>IFERROR(O871/N871,0)</f>
        <v/>
      </c>
    </row>
    <row r="872">
      <c r="A872">
        <f>Skills!A11</f>
        <v/>
      </c>
      <c r="B872">
        <f>Skills!B11</f>
        <v/>
      </c>
      <c r="C872">
        <f>Inputs!$B$3&gt;=113</f>
        <v/>
      </c>
      <c r="D872">
        <f>IF(Skills!C11=1,60+Inputs!$B$24+Inputs!$B$28,IF(Skills!C11=2,90+Inputs!$B$25+Inputs!$B$28,IF(Skills!C11=3,120+Inputs!$B$26+Inputs!$B$28,MAX(0,(Inputs!$B$3-100)*3)+Inputs!$B$27+Inputs!$B$28)))</f>
        <v/>
      </c>
      <c r="E872">
        <f>INDEX(FactorTable!$B$2:$Y$301, MATCH(ROUND(MIN(300,MAX(1,D872)),0), FactorTable!$A$2:$A$301,0), Skills!M11+1)</f>
        <v/>
      </c>
      <c r="F872">
        <f>IF(Skills!N11=TRUE,(Skills!L11/10)*(E872/1000),Skills!L11/10)+Skills!O11</f>
        <v/>
      </c>
      <c r="G872">
        <f>Skills!G11*IF(Skills!H11&gt;0,Skills!I11/Skills!H11,1)</f>
        <v/>
      </c>
      <c r="H872">
        <f>1-(1-Skills!J11/100)^Skills!K11</f>
        <v/>
      </c>
      <c r="I872" t="inlineStr">
        <is>
          <t>1</t>
        </is>
      </c>
      <c r="J872">
        <f>(Inputs!$B$5*(1+Inputs!$B$6/100))*(F872/100)</f>
        <v/>
      </c>
      <c r="K872">
        <f>J872*(1+((Inputs!$B$11*(1+Inputs!$B$12/100))*0.01+Inputs!$B$13*0.0025)/100)*(1+Inputs!$B$14/100)*(1+IF(Inputs!$B$4="pvp",0,(1-Summary!$B$55)*(Inputs!$B$19+0+Skills!P11)+Summary!$B$55*(Inputs!$B$20+Skills!Q11))/100)*(1+Inputs!$B$15/100)*(5000/(6000+Inputs!$B$7*(1-(Inputs!$B$18+0)/100)))*(1+(Inputs!$B$23+((C883=TRUE)*(F883-Calc!F22))+B892)/100)*(1+(IF(Skills!A11="HOOK_BOMBER",Inputs!$B$16+((C882=TRUE)*(F882-Calc!F21)),Inputs!$B$17+0))/100)*((1+(((C874=TRUE)*F874)+((C880=TRUE)*(F880-Calc!F19)))/100)*I872)</f>
        <v/>
      </c>
      <c r="L872">
        <f>K872*(MIN(Inputs!$B$21+((C881=TRUE)*(F881-Calc!F20)),Inputs!$B$22+0)/100+(Inputs!$B$22+0)/100)/2</f>
        <v/>
      </c>
      <c r="M872">
        <f>L872*(1+(Inputs!$B$9+0+B891)/100)</f>
        <v/>
      </c>
      <c r="N872">
        <f>L872*(1-MIN((Inputs!$B$8+((C877=TRUE)*(F877-Calc!F16))+B886),100)/100)+M872*(MIN((Inputs!$B$8+((C877=TRUE)*(F877-Calc!F16))+B886),100)/100)</f>
        <v/>
      </c>
      <c r="O872">
        <f>IF(C872,H872*N872*IF(AND(Inputs!$B$4&lt;&gt;"pvp",Inputs!$B$35&gt;0),((Skills!G11*((R872-1)*IF(Skills!H11&gt;0,Skills!I11/Skills!H11,1)+IF(Skills!H11&gt;0,MIN(Skills!I11,MAX(0,Inputs!$B$35-((R872-1)*IF(Inputs!$B$4="pvp",15,MAX(0.1,Skills!D11-IF(Skills!E11=TRUE,(Inputs!$B$31+1),0))))))/Skills!H11,1)))/Inputs!$B$35),G872*Q872)*IF(Inputs!$B$4="pvp",1,(1-Summary!$B$55)*(1)+Summary!$B$55*(MIN(Skills!R11,Inputs!$B$37))),0)</f>
        <v/>
      </c>
      <c r="P872">
        <f>IF(B894=0,0,O872/B894)</f>
        <v/>
      </c>
      <c r="Q872">
        <f>IFERROR(1/IF(Inputs!$B$4="pvp",15,MAX(0.1,Skills!D11-IF(Skills!E11=TRUE,(Inputs!$B$31+1),0))),0)</f>
        <v/>
      </c>
      <c r="R872">
        <f>IF(AND(Inputs!$B$4&lt;&gt;"pvp",Inputs!$B$35&gt;0),(INT(Inputs!$B$35/IF(Inputs!$B$4="pvp",15,MAX(0.1,Skills!D11-IF(Skills!E11=TRUE,(Inputs!$B$31+1),0))))+1),0)</f>
        <v/>
      </c>
      <c r="S872">
        <f>IFERROR(O872/N872,0)</f>
        <v/>
      </c>
    </row>
    <row r="873">
      <c r="A873">
        <f>Skills!A12</f>
        <v/>
      </c>
      <c r="B873">
        <f>Skills!B12</f>
        <v/>
      </c>
      <c r="C873">
        <f>Inputs!$B$3&gt;=100</f>
        <v/>
      </c>
      <c r="D873">
        <f>IF(Skills!C12=1,60+Inputs!$B$24+Inputs!$B$28,IF(Skills!C12=2,90+Inputs!$B$25+Inputs!$B$28,IF(Skills!C12=3,120+Inputs!$B$26+Inputs!$B$28,MAX(0,(Inputs!$B$3-100)*3)+Inputs!$B$27+Inputs!$B$28)))</f>
        <v/>
      </c>
      <c r="E873">
        <f>INDEX(FactorTable!$B$2:$Y$301, MATCH(ROUND(MIN(300,MAX(1,D873)),0), FactorTable!$A$2:$A$301,0), Skills!M12+1)</f>
        <v/>
      </c>
      <c r="F873">
        <f>IF(Skills!N12=TRUE,(Skills!L12/10)*(E873/1000),Skills!L12/10)+Skills!O12</f>
        <v/>
      </c>
      <c r="G873" t="inlineStr"/>
      <c r="H873" t="inlineStr"/>
      <c r="I873" t="inlineStr">
        <is>
          <t>1</t>
        </is>
      </c>
      <c r="J873" t="inlineStr"/>
      <c r="K873" t="inlineStr"/>
      <c r="L873" t="inlineStr"/>
      <c r="M873" t="inlineStr"/>
      <c r="N873" t="inlineStr"/>
      <c r="O873" t="inlineStr"/>
      <c r="P873" t="inlineStr"/>
      <c r="Q873" t="inlineStr"/>
      <c r="R873" t="inlineStr"/>
      <c r="S873" t="inlineStr"/>
    </row>
    <row r="874">
      <c r="A874">
        <f>Skills!A13</f>
        <v/>
      </c>
      <c r="B874">
        <f>Skills!B13</f>
        <v/>
      </c>
      <c r="C874">
        <f>Inputs!$B$3&gt;=66</f>
        <v/>
      </c>
      <c r="D874">
        <f>IF(Skills!C13=1,60+Inputs!$B$24+Inputs!$B$28,IF(Skills!C13=2,90+Inputs!$B$25+Inputs!$B$28,IF(Skills!C13=3,120+Inputs!$B$26+Inputs!$B$28,MAX(0,(Inputs!$B$3-100)*3)+Inputs!$B$27+Inputs!$B$28)))</f>
        <v/>
      </c>
      <c r="E874">
        <f>INDEX(FactorTable!$B$2:$Y$301, MATCH(ROUND(MIN(300,MAX(1,D874)),0), FactorTable!$A$2:$A$301,0), Skills!M13+1)</f>
        <v/>
      </c>
      <c r="F874">
        <f>IF(Skills!N13=TRUE,(Skills!L13/10)*(E874/1000),Skills!L13/10)+Skills!O13</f>
        <v/>
      </c>
      <c r="G874">
        <f>Skills!G13*IF(Skills!H13&gt;0,Skills!I13/Skills!H13,1)</f>
        <v/>
      </c>
      <c r="H874">
        <f>1-(1-Skills!J13/100)^Skills!K13</f>
        <v/>
      </c>
      <c r="I874" t="inlineStr">
        <is>
          <t>1</t>
        </is>
      </c>
      <c r="J874" t="inlineStr"/>
      <c r="K874" t="inlineStr"/>
      <c r="L874" t="inlineStr"/>
      <c r="M874" t="inlineStr"/>
      <c r="N874" t="inlineStr"/>
      <c r="O874" t="n">
        <v>0</v>
      </c>
      <c r="P874">
        <f>IF(B894=0,0,O874/B894)</f>
        <v/>
      </c>
      <c r="Q874" t="n">
        <v>0</v>
      </c>
      <c r="R874" t="n">
        <v>0</v>
      </c>
      <c r="S874">
        <f>IFERROR(O874/N874,0)</f>
        <v/>
      </c>
    </row>
    <row r="875">
      <c r="A875">
        <f>Skills!A14</f>
        <v/>
      </c>
      <c r="B875">
        <f>Skills!B14</f>
        <v/>
      </c>
      <c r="C875">
        <f>Inputs!$B$3&gt;=107</f>
        <v/>
      </c>
      <c r="D875">
        <f>IF(Skills!C14=1,60+Inputs!$B$24+Inputs!$B$28,IF(Skills!C14=2,90+Inputs!$B$25+Inputs!$B$28,IF(Skills!C14=3,120+Inputs!$B$26+Inputs!$B$28,MAX(0,(Inputs!$B$3-100)*3)+Inputs!$B$27+Inputs!$B$28)))</f>
        <v/>
      </c>
      <c r="E875">
        <f>INDEX(FactorTable!$B$2:$Y$301, MATCH(ROUND(MIN(300,MAX(1,D875)),0), FactorTable!$A$2:$A$301,0), Skills!M14+1)</f>
        <v/>
      </c>
      <c r="F875">
        <f>IF(Skills!N14=TRUE,(Skills!L14/10)*(E875/1000),Skills!L14/10)+Skills!O14</f>
        <v/>
      </c>
      <c r="G875">
        <f>Skills!G14*IF(Skills!H14&gt;0,Skills!I14/Skills!H14,1)</f>
        <v/>
      </c>
      <c r="H875">
        <f>1-(1-Skills!J14/100)^Skills!K14</f>
        <v/>
      </c>
      <c r="I875" t="inlineStr">
        <is>
          <t>1</t>
        </is>
      </c>
      <c r="J875" t="inlineStr"/>
      <c r="K875" t="inlineStr"/>
      <c r="L875" t="inlineStr"/>
      <c r="M875" t="inlineStr"/>
      <c r="N875" t="inlineStr"/>
      <c r="O875" t="n">
        <v>0</v>
      </c>
      <c r="P875">
        <f>IF(B894=0,0,O875/B894)</f>
        <v/>
      </c>
      <c r="Q875" t="n">
        <v>0</v>
      </c>
      <c r="R875" t="n">
        <v>0</v>
      </c>
      <c r="S875">
        <f>IFERROR(O875/N875,0)</f>
        <v/>
      </c>
    </row>
    <row r="876">
      <c r="A876">
        <f>Skills!A15</f>
        <v/>
      </c>
      <c r="B876">
        <f>Skills!B15</f>
        <v/>
      </c>
      <c r="C876">
        <f>Inputs!$B$3&gt;=115</f>
        <v/>
      </c>
      <c r="D876">
        <f>IF(Skills!C15=1,60+Inputs!$B$24+Inputs!$B$28,IF(Skills!C15=2,90+Inputs!$B$25+Inputs!$B$28,IF(Skills!C15=3,120+Inputs!$B$26+Inputs!$B$28,MAX(0,(Inputs!$B$3-100)*3)+Inputs!$B$27+Inputs!$B$28)))</f>
        <v/>
      </c>
      <c r="E876">
        <f>INDEX(FactorTable!$B$2:$Y$301, MATCH(ROUND(MIN(300,MAX(1,D876)),0), FactorTable!$A$2:$A$301,0), Skills!M15+1)</f>
        <v/>
      </c>
      <c r="F876">
        <f>IF(Skills!N15=TRUE,(Skills!L15/10)*(E876/1000),Skills!L15/10)+Skills!O15</f>
        <v/>
      </c>
      <c r="G876">
        <f>Skills!G15*IF(Skills!H15&gt;0,Skills!I15/Skills!H15,1)</f>
        <v/>
      </c>
      <c r="H876">
        <f>1-(1-Skills!J15/100)^Skills!K15</f>
        <v/>
      </c>
      <c r="I876" t="inlineStr">
        <is>
          <t>1</t>
        </is>
      </c>
      <c r="J876" t="inlineStr"/>
      <c r="K876" t="inlineStr"/>
      <c r="L876" t="inlineStr"/>
      <c r="M876" t="inlineStr"/>
      <c r="N876" t="inlineStr"/>
      <c r="O876" t="n">
        <v>0</v>
      </c>
      <c r="P876">
        <f>IF(B894=0,0,O876/B894)</f>
        <v/>
      </c>
      <c r="Q876" t="n">
        <v>0</v>
      </c>
      <c r="R876" t="n">
        <v>0</v>
      </c>
      <c r="S876">
        <f>IFERROR(O876/N876,0)</f>
        <v/>
      </c>
    </row>
    <row r="877">
      <c r="A877">
        <f>Skills!A16</f>
        <v/>
      </c>
      <c r="B877">
        <f>Skills!B16</f>
        <v/>
      </c>
      <c r="C877">
        <f>Inputs!$B$3&gt;=15</f>
        <v/>
      </c>
      <c r="D877">
        <f>IF(Skills!C16=1,60+Inputs!$B$24+Inputs!$B$28,IF(Skills!C16=2,90+Inputs!$B$25+Inputs!$B$28,IF(Skills!C16=3,120+Inputs!$B$26+Inputs!$B$28,MAX(0,(Inputs!$B$3-100)*3)+Inputs!$B$27+Inputs!$B$28)))</f>
        <v/>
      </c>
      <c r="E877">
        <f>INDEX(FactorTable!$B$2:$Y$301, MATCH(ROUND(MIN(300,MAX(1,D877)),0), FactorTable!$A$2:$A$301,0), Skills!M16+1)</f>
        <v/>
      </c>
      <c r="F877">
        <f>IF(Skills!N16=TRUE,(Skills!L16/10)*(E877/1000),Skills!L16/10)+Skills!O16</f>
        <v/>
      </c>
      <c r="G877">
        <f>Skills!G16*IF(Skills!H16&gt;0,Skills!I16/Skills!H16,1)</f>
        <v/>
      </c>
      <c r="H877">
        <f>1-(1-Skills!J16/100)^Skills!K16</f>
        <v/>
      </c>
      <c r="I877" t="inlineStr">
        <is>
          <t>1</t>
        </is>
      </c>
      <c r="J877" t="inlineStr"/>
      <c r="K877" t="inlineStr"/>
      <c r="L877" t="inlineStr"/>
      <c r="M877" t="inlineStr"/>
      <c r="N877" t="inlineStr"/>
      <c r="O877" t="n">
        <v>0</v>
      </c>
      <c r="P877">
        <f>IF(B894=0,0,O877/B894)</f>
        <v/>
      </c>
      <c r="Q877" t="n">
        <v>0</v>
      </c>
      <c r="R877" t="n">
        <v>0</v>
      </c>
      <c r="S877">
        <f>IFERROR(O877/N877,0)</f>
        <v/>
      </c>
    </row>
    <row r="878">
      <c r="A878">
        <f>Skills!A17</f>
        <v/>
      </c>
      <c r="B878">
        <f>Skills!B17</f>
        <v/>
      </c>
      <c r="C878">
        <f>Inputs!$B$3&gt;=10</f>
        <v/>
      </c>
      <c r="D878">
        <f>IF(Skills!C17=1,60+Inputs!$B$24+Inputs!$B$28,IF(Skills!C17=2,90+Inputs!$B$25+Inputs!$B$28,IF(Skills!C17=3,120+Inputs!$B$26+Inputs!$B$28,MAX(0,(Inputs!$B$3-100)*3)+Inputs!$B$27+Inputs!$B$28)))</f>
        <v/>
      </c>
      <c r="E878">
        <f>INDEX(FactorTable!$B$2:$Y$301, MATCH(ROUND(MIN(300,MAX(1,D878)),0), FactorTable!$A$2:$A$301,0), Skills!M17+1)</f>
        <v/>
      </c>
      <c r="F878">
        <f>IF(Skills!N17=TRUE,(Skills!L17/10)*(E878/1000),Skills!L17/10)+Skills!O17</f>
        <v/>
      </c>
      <c r="G878">
        <f>Skills!G17*IF(Skills!H17&gt;0,Skills!I17/Skills!H17,1)</f>
        <v/>
      </c>
      <c r="H878">
        <f>1-(1-Skills!J17/100)^Skills!K17</f>
        <v/>
      </c>
      <c r="I878" t="inlineStr">
        <is>
          <t>1</t>
        </is>
      </c>
      <c r="J878" t="inlineStr"/>
      <c r="K878" t="inlineStr"/>
      <c r="L878" t="inlineStr"/>
      <c r="M878" t="inlineStr"/>
      <c r="N878" t="inlineStr"/>
      <c r="O878" t="n">
        <v>0</v>
      </c>
      <c r="P878">
        <f>IF(B894=0,0,O878/B894)</f>
        <v/>
      </c>
      <c r="Q878" t="n">
        <v>0</v>
      </c>
      <c r="R878" t="n">
        <v>0</v>
      </c>
      <c r="S878">
        <f>IFERROR(O878/N878,0)</f>
        <v/>
      </c>
    </row>
    <row r="879">
      <c r="A879">
        <f>Skills!A18</f>
        <v/>
      </c>
      <c r="B879">
        <f>Skills!B18</f>
        <v/>
      </c>
      <c r="C879">
        <f>Inputs!$B$3&gt;=33</f>
        <v/>
      </c>
      <c r="D879">
        <f>IF(Skills!C18=1,60+Inputs!$B$24+Inputs!$B$28,IF(Skills!C18=2,90+Inputs!$B$25+Inputs!$B$28,IF(Skills!C18=3,120+Inputs!$B$26+Inputs!$B$28,MAX(0,(Inputs!$B$3-100)*3)+Inputs!$B$27+Inputs!$B$28)))</f>
        <v/>
      </c>
      <c r="E879">
        <f>INDEX(FactorTable!$B$2:$Y$301, MATCH(ROUND(MIN(300,MAX(1,D879)),0), FactorTable!$A$2:$A$301,0), Skills!M18+1)</f>
        <v/>
      </c>
      <c r="F879">
        <f>IF(Skills!N18=TRUE,(Skills!L18/10)*(E879/1000),Skills!L18/10)+Skills!O18</f>
        <v/>
      </c>
      <c r="G879">
        <f>Skills!G18*IF(Skills!H18&gt;0,Skills!I18/Skills!H18,1)</f>
        <v/>
      </c>
      <c r="H879">
        <f>1-(1-Skills!J18/100)^Skills!K18</f>
        <v/>
      </c>
      <c r="I879" t="inlineStr">
        <is>
          <t>1</t>
        </is>
      </c>
      <c r="J879" t="inlineStr"/>
      <c r="K879" t="inlineStr"/>
      <c r="L879" t="inlineStr"/>
      <c r="M879" t="inlineStr"/>
      <c r="N879" t="inlineStr"/>
      <c r="O879" t="n">
        <v>0</v>
      </c>
      <c r="P879">
        <f>IF(B894=0,0,O879/B894)</f>
        <v/>
      </c>
      <c r="Q879" t="n">
        <v>0</v>
      </c>
      <c r="R879" t="n">
        <v>0</v>
      </c>
      <c r="S879">
        <f>IFERROR(O879/N879,0)</f>
        <v/>
      </c>
    </row>
    <row r="880">
      <c r="A880">
        <f>Skills!A19</f>
        <v/>
      </c>
      <c r="B880">
        <f>Skills!B19</f>
        <v/>
      </c>
      <c r="C880">
        <f>Inputs!$B$3&gt;=40</f>
        <v/>
      </c>
      <c r="D880">
        <f>IF(Skills!C19=1,60+Inputs!$B$24+Inputs!$B$28,IF(Skills!C19=2,90+Inputs!$B$25+Inputs!$B$28,IF(Skills!C19=3,120+Inputs!$B$26+Inputs!$B$28,MAX(0,(Inputs!$B$3-100)*3)+Inputs!$B$27+Inputs!$B$28)))</f>
        <v/>
      </c>
      <c r="E880">
        <f>INDEX(FactorTable!$B$2:$Y$301, MATCH(ROUND(MIN(300,MAX(1,D880)),0), FactorTable!$A$2:$A$301,0), Skills!M19+1)</f>
        <v/>
      </c>
      <c r="F880">
        <f>IF(Skills!N19=TRUE,(Skills!L19/10)*(E880/1000),Skills!L19/10)+Skills!O19</f>
        <v/>
      </c>
      <c r="G880">
        <f>Skills!G19*IF(Skills!H19&gt;0,Skills!I19/Skills!H19,1)</f>
        <v/>
      </c>
      <c r="H880">
        <f>1-(1-Skills!J19/100)^Skills!K19</f>
        <v/>
      </c>
      <c r="I880" t="inlineStr">
        <is>
          <t>1</t>
        </is>
      </c>
      <c r="J880" t="inlineStr"/>
      <c r="K880" t="inlineStr"/>
      <c r="L880" t="inlineStr"/>
      <c r="M880" t="inlineStr"/>
      <c r="N880" t="inlineStr"/>
      <c r="O880" t="n">
        <v>0</v>
      </c>
      <c r="P880">
        <f>IF(B894=0,0,O880/B894)</f>
        <v/>
      </c>
      <c r="Q880" t="n">
        <v>0</v>
      </c>
      <c r="R880" t="n">
        <v>0</v>
      </c>
      <c r="S880">
        <f>IFERROR(O880/N880,0)</f>
        <v/>
      </c>
    </row>
    <row r="881">
      <c r="A881">
        <f>Skills!A20</f>
        <v/>
      </c>
      <c r="B881">
        <f>Skills!B20</f>
        <v/>
      </c>
      <c r="C881">
        <f>Inputs!$B$3&gt;=43</f>
        <v/>
      </c>
      <c r="D881">
        <f>IF(Skills!C20=1,60+Inputs!$B$24+Inputs!$B$28,IF(Skills!C20=2,90+Inputs!$B$25+Inputs!$B$28,IF(Skills!C20=3,120+Inputs!$B$26+Inputs!$B$28,MAX(0,(Inputs!$B$3-100)*3)+Inputs!$B$27+Inputs!$B$28)))</f>
        <v/>
      </c>
      <c r="E881">
        <f>INDEX(FactorTable!$B$2:$Y$301, MATCH(ROUND(MIN(300,MAX(1,D881)),0), FactorTable!$A$2:$A$301,0), Skills!M20+1)</f>
        <v/>
      </c>
      <c r="F881">
        <f>IF(Skills!N20=TRUE,(Skills!L20/10)*(E881/1000),Skills!L20/10)+Skills!O20</f>
        <v/>
      </c>
      <c r="G881">
        <f>Skills!G20*IF(Skills!H20&gt;0,Skills!I20/Skills!H20,1)</f>
        <v/>
      </c>
      <c r="H881">
        <f>1-(1-Skills!J20/100)^Skills!K20</f>
        <v/>
      </c>
      <c r="I881" t="inlineStr">
        <is>
          <t>1</t>
        </is>
      </c>
      <c r="J881" t="inlineStr"/>
      <c r="K881" t="inlineStr"/>
      <c r="L881" t="inlineStr"/>
      <c r="M881" t="inlineStr"/>
      <c r="N881" t="inlineStr"/>
      <c r="O881" t="n">
        <v>0</v>
      </c>
      <c r="P881">
        <f>IF(B894=0,0,O881/B894)</f>
        <v/>
      </c>
      <c r="Q881" t="n">
        <v>0</v>
      </c>
      <c r="R881" t="n">
        <v>0</v>
      </c>
      <c r="S881">
        <f>IFERROR(O881/N881,0)</f>
        <v/>
      </c>
    </row>
    <row r="882">
      <c r="A882">
        <f>Skills!A21</f>
        <v/>
      </c>
      <c r="B882">
        <f>Skills!B21</f>
        <v/>
      </c>
      <c r="C882">
        <f>Inputs!$B$3&gt;=38</f>
        <v/>
      </c>
      <c r="D882">
        <f>IF(Skills!C21=1,60+Inputs!$B$24+Inputs!$B$28,IF(Skills!C21=2,90+Inputs!$B$25+Inputs!$B$28,IF(Skills!C21=3,120+Inputs!$B$26+Inputs!$B$28,MAX(0,(Inputs!$B$3-100)*3)+Inputs!$B$27+Inputs!$B$28)))</f>
        <v/>
      </c>
      <c r="E882">
        <f>INDEX(FactorTable!$B$2:$Y$301, MATCH(ROUND(MIN(300,MAX(1,D882)),0), FactorTable!$A$2:$A$301,0), Skills!M21+1)</f>
        <v/>
      </c>
      <c r="F882">
        <f>IF(Skills!N21=TRUE,(Skills!L21/10)*(E882/1000),Skills!L21/10)+Skills!O21</f>
        <v/>
      </c>
      <c r="G882">
        <f>Skills!G21*IF(Skills!H21&gt;0,Skills!I21/Skills!H21,1)</f>
        <v/>
      </c>
      <c r="H882">
        <f>1-(1-Skills!J21/100)^Skills!K21</f>
        <v/>
      </c>
      <c r="I882" t="inlineStr">
        <is>
          <t>1</t>
        </is>
      </c>
      <c r="J882" t="inlineStr"/>
      <c r="K882" t="inlineStr"/>
      <c r="L882" t="inlineStr"/>
      <c r="M882" t="inlineStr"/>
      <c r="N882" t="inlineStr"/>
      <c r="O882" t="n">
        <v>0</v>
      </c>
      <c r="P882">
        <f>IF(B894=0,0,O882/B894)</f>
        <v/>
      </c>
      <c r="Q882" t="n">
        <v>0</v>
      </c>
      <c r="R882" t="n">
        <v>0</v>
      </c>
      <c r="S882">
        <f>IFERROR(O882/N882,0)</f>
        <v/>
      </c>
    </row>
    <row r="883">
      <c r="A883">
        <f>Skills!A22</f>
        <v/>
      </c>
      <c r="B883">
        <f>Skills!B22</f>
        <v/>
      </c>
      <c r="C883">
        <f>Inputs!$B$3&gt;=75</f>
        <v/>
      </c>
      <c r="D883">
        <f>IF(Skills!C22=1,60+Inputs!$B$24+Inputs!$B$28,IF(Skills!C22=2,90+Inputs!$B$25+Inputs!$B$28,IF(Skills!C22=3,120+Inputs!$B$26+Inputs!$B$28,MAX(0,(Inputs!$B$3-100)*3)+Inputs!$B$27+Inputs!$B$28)))</f>
        <v/>
      </c>
      <c r="E883">
        <f>INDEX(FactorTable!$B$2:$Y$301, MATCH(ROUND(MIN(300,MAX(1,D883)),0), FactorTable!$A$2:$A$301,0), Skills!M22+1)</f>
        <v/>
      </c>
      <c r="F883">
        <f>IF(Skills!N22=TRUE,(Skills!L22/10)*(E883/1000),Skills!L22/10)+Skills!O22</f>
        <v/>
      </c>
      <c r="G883">
        <f>Skills!G22*IF(Skills!H22&gt;0,Skills!I22/Skills!H22,1)</f>
        <v/>
      </c>
      <c r="H883">
        <f>1-(1-Skills!J22/100)^Skills!K22</f>
        <v/>
      </c>
      <c r="I883" t="inlineStr">
        <is>
          <t>1</t>
        </is>
      </c>
      <c r="J883" t="inlineStr"/>
      <c r="K883" t="inlineStr"/>
      <c r="L883" t="inlineStr"/>
      <c r="M883" t="inlineStr"/>
      <c r="N883" t="inlineStr"/>
      <c r="O883" t="n">
        <v>0</v>
      </c>
      <c r="P883">
        <f>IF(B894=0,0,O883/B894)</f>
        <v/>
      </c>
      <c r="Q883" t="n">
        <v>0</v>
      </c>
      <c r="R883" t="n">
        <v>0</v>
      </c>
      <c r="S883">
        <f>IFERROR(O883/N883,0)</f>
        <v/>
      </c>
    </row>
    <row r="885">
      <c r="A885" t="inlineStr">
        <is>
          <t>Attack% Bucket Multiplier</t>
        </is>
      </c>
      <c r="B885">
        <f>(1+(((C874=TRUE)*F874)+((C880=TRUE)*(F880-Calc!F19)))/100)</f>
        <v/>
      </c>
    </row>
    <row r="886">
      <c r="A886" t="inlineStr">
        <is>
          <t>Global Crit Rate Bonus %</t>
        </is>
      </c>
      <c r="B886" t="n">
        <v>0</v>
      </c>
    </row>
    <row r="887">
      <c r="A887" t="inlineStr">
        <is>
          <t>Attack Speed Buff Bonus % (unused)</t>
        </is>
      </c>
      <c r="B887" t="n">
        <v>0</v>
      </c>
    </row>
    <row r="888">
      <c r="A888" t="inlineStr">
        <is>
          <t>Actions Per Second</t>
        </is>
      </c>
      <c r="B888">
        <f>1+MIN(150,150*(1-(1-(Inputs!$B$10+((C878=TRUE)*(F878-Calc!F17))+((C879=TRUE)*(F879-Calc!F18)))/150)*(1-B887/150)))/100</f>
        <v/>
      </c>
    </row>
    <row r="889">
      <c r="A889" t="inlineStr">
        <is>
          <t>Skill + Buff Cast Rate</t>
        </is>
      </c>
      <c r="B889">
        <f>IF(AND(Inputs!$B$4&lt;&gt;"pvp",Inputs!$B$35&gt;0),SUMPRODUCT((Skills!E2:E22=TRUE)*(C863:C883=TRUE)*R863:R883*Skills!F2:F22)/Inputs!$B$35,SUMPRODUCT((Skills!E2:E22=TRUE)*(C863:C883=TRUE)*Q863:Q883*Skills!F2:F22))</f>
        <v/>
      </c>
    </row>
    <row r="890">
      <c r="A890" t="inlineStr">
        <is>
          <t>Hook Bomber Casts Per Second</t>
        </is>
      </c>
      <c r="B890">
        <f>MAX(0,B888-B889)</f>
        <v/>
      </c>
    </row>
    <row r="891">
      <c r="A891" t="inlineStr">
        <is>
          <t>Global Critical Damage Bonus % (unused)</t>
        </is>
      </c>
      <c r="B891" t="n">
        <v>0</v>
      </c>
    </row>
    <row r="892">
      <c r="A892" t="inlineStr">
        <is>
          <t>Global Final Damage Bonus % (Serpent Scale + Crossbones + Time Leap + Speed Infusion)</t>
        </is>
      </c>
      <c r="B892">
        <f>((C866=TRUE)*F866*((10+IF(Inputs!$B$3&gt;=94,5,0))/((10+IF(Inputs!$B$3&gt;=94,5,0))+5/(B890*(1+IF(Inputs!$B$3&gt;=104,1,0))))))+((C875=TRUE)*F875)+((C876=TRUE)*F876)+((Inputs!$B$3&gt;=110)*20*(B888-1))</f>
        <v/>
      </c>
    </row>
    <row r="894">
      <c r="A894" s="5" t="inlineStr">
        <is>
          <t>TOTAL DPS</t>
        </is>
      </c>
      <c r="B894" s="5">
        <f>SUM(O863:O883)</f>
        <v/>
      </c>
    </row>
    <row r="897">
      <c r="A897" s="5" t="inlineStr">
        <is>
          <t>Stat: Basic Attack Target Increase (flat)</t>
        </is>
      </c>
    </row>
    <row r="898">
      <c r="A898" s="8" t="inlineStr">
        <is>
          <t>Key</t>
        </is>
      </c>
      <c r="B898" s="8" t="inlineStr">
        <is>
          <t>Name</t>
        </is>
      </c>
      <c r="C898" s="8" t="inlineStr">
        <is>
          <t>Unlocked</t>
        </is>
      </c>
      <c r="D898" s="8" t="inlineStr">
        <is>
          <t>InputLevel</t>
        </is>
      </c>
      <c r="E898" s="8" t="inlineStr">
        <is>
          <t>Factor</t>
        </is>
      </c>
      <c r="F898" s="8" t="inlineStr">
        <is>
          <t>CoefficientPercent</t>
        </is>
      </c>
      <c r="G898" s="8" t="inlineStr">
        <is>
          <t>EffectiveHits</t>
        </is>
      </c>
      <c r="H898" s="8" t="inlineStr">
        <is>
          <t>ProcProbability</t>
        </is>
      </c>
      <c r="I898" s="8" t="inlineStr">
        <is>
          <t>MapleHeroMultiplier</t>
        </is>
      </c>
      <c r="J898" s="8" t="inlineStr">
        <is>
          <t>BaseDamage</t>
        </is>
      </c>
      <c r="K898" s="8" t="inlineStr">
        <is>
          <t>BaseHitDamage</t>
        </is>
      </c>
      <c r="L898" s="8" t="inlineStr">
        <is>
          <t>NonCritAvg</t>
        </is>
      </c>
      <c r="M898" s="8" t="inlineStr">
        <is>
          <t>CritAvg</t>
        </is>
      </c>
      <c r="N898" s="8" t="inlineStr">
        <is>
          <t>ExpectedDamage(perHit)</t>
        </is>
      </c>
      <c r="O898" s="8" t="inlineStr">
        <is>
          <t>DPS</t>
        </is>
      </c>
      <c r="P898" s="8" t="inlineStr">
        <is>
          <t>% of Total</t>
        </is>
      </c>
      <c r="Q898" s="8" t="inlineStr">
        <is>
          <t>InvCooldown</t>
        </is>
      </c>
      <c r="R898" s="8" t="inlineStr">
        <is>
          <t>CastsInFight</t>
        </is>
      </c>
      <c r="S898" s="8" t="inlineStr">
        <is>
          <t>HitRate(perSec)</t>
        </is>
      </c>
      <c r="U898" t="inlineStr">
        <is>
          <t>helpers</t>
        </is>
      </c>
    </row>
    <row r="899">
      <c r="A899">
        <f>Skills!A2</f>
        <v/>
      </c>
      <c r="B899">
        <f>Skills!B2</f>
        <v/>
      </c>
      <c r="C899">
        <f>Inputs!$B$3&gt;=100</f>
        <v/>
      </c>
      <c r="D899" t="inlineStr"/>
      <c r="E899" t="inlineStr"/>
      <c r="F899">
        <f>U901+Skills!O2</f>
        <v/>
      </c>
      <c r="G899">
        <f>Skills!G2*IF(Skills!H2&gt;0,Skills!I2/Skills!H2,1)</f>
        <v/>
      </c>
      <c r="H899">
        <f>1-(1-Skills!J2/100)^Skills!K2</f>
        <v/>
      </c>
      <c r="I899" t="inlineStr">
        <is>
          <t>1</t>
        </is>
      </c>
      <c r="J899">
        <f>(Inputs!$B$5*(1+Inputs!$B$6/100))*(F899/100)</f>
        <v/>
      </c>
      <c r="K899">
        <f>J899*(1+((Inputs!$B$11*(1+Inputs!$B$12/100))*0.01+Inputs!$B$13*0.0025)/100)*(1+Inputs!$B$14/100)*(1+IF(Inputs!$B$4="pvp",0,(1-Summary!$B$55)*(Inputs!$B$19+0+Skills!P2)+Summary!$B$55*(Inputs!$B$20+Skills!Q2))/100)*(1+Inputs!$B$15/100)*(5000/(6000+Inputs!$B$7*(1-(Inputs!$B$18+0)/100)))*(1+(Inputs!$B$23+((C919=TRUE)*(F919-Calc!F22))+B928)/100)*(1+(IF(Skills!A2="HOOK_BOMBER",Inputs!$B$16+((C918=TRUE)*(F918-Calc!F21)),Inputs!$B$17+0))/100)*((1+(((C910=TRUE)*F910)+((C916=TRUE)*(F916-Calc!F19)))/100)*I899)</f>
        <v/>
      </c>
      <c r="L899">
        <f>K899*(MIN(Inputs!$B$21+((C917=TRUE)*(F917-Calc!F20)),Inputs!$B$22+0)/100+(Inputs!$B$22+0)/100)/2</f>
        <v/>
      </c>
      <c r="M899">
        <f>L899*(1+(Inputs!$B$9+0+B927)/100)</f>
        <v/>
      </c>
      <c r="N899">
        <f>L899*(1-MIN((Inputs!$B$8+((C913=TRUE)*(F913-Calc!F16))+B922),100)/100)+M899*(MIN((Inputs!$B$8+((C913=TRUE)*(F913-Calc!F16))+B922),100)/100)</f>
        <v/>
      </c>
      <c r="O899">
        <f>IF(C899,Skills!G2*N899*B926*IF(Inputs!$B$4="pvp",1,(1-Summary!$B$55)*(1)+Summary!$B$55*(MIN((6+(Inputs!$B$32+1)),Inputs!$B$37))),0)</f>
        <v/>
      </c>
      <c r="P899">
        <f>IF(B930=0,0,O899/B930)</f>
        <v/>
      </c>
      <c r="Q899" t="n">
        <v>0</v>
      </c>
      <c r="R899" t="n">
        <v>0</v>
      </c>
      <c r="S899">
        <f>IFERROR(O899/N899,0)</f>
        <v/>
      </c>
      <c r="U899">
        <f>MAX(0,(Inputs!$B$3-100)*3)+Inputs!$B$27+Inputs!$B$28</f>
        <v/>
      </c>
    </row>
    <row r="900">
      <c r="A900">
        <f>Skills!A3</f>
        <v/>
      </c>
      <c r="B900">
        <f>Skills!B3</f>
        <v/>
      </c>
      <c r="C900">
        <f>Inputs!$B$3&gt;=35</f>
        <v/>
      </c>
      <c r="D900">
        <f>IF(Skills!C3=1,60+Inputs!$B$24+Inputs!$B$28,IF(Skills!C3=2,90+Inputs!$B$25+Inputs!$B$28,IF(Skills!C3=3,120+Inputs!$B$26+Inputs!$B$28,MAX(0,(Inputs!$B$3-100)*3)+Inputs!$B$27+Inputs!$B$28)))</f>
        <v/>
      </c>
      <c r="E900">
        <f>INDEX(FactorTable!$B$2:$Y$301, MATCH(ROUND(MIN(300,MAX(1,D900)),0), FactorTable!$A$2:$A$301,0), Skills!M3+1)</f>
        <v/>
      </c>
      <c r="F900">
        <f>IF(Skills!N3=TRUE,(Skills!L3/10)*(E900/1000),Skills!L3/10)+Skills!O3</f>
        <v/>
      </c>
      <c r="G900">
        <f>Skills!G3*IF(Skills!H3&gt;0,Skills!I3/Skills!H3,1)</f>
        <v/>
      </c>
      <c r="H900">
        <f>1-(1-Skills!J3/100)^Skills!K3</f>
        <v/>
      </c>
      <c r="I900" t="inlineStr">
        <is>
          <t>1</t>
        </is>
      </c>
      <c r="J900">
        <f>(Inputs!$B$5*(1+Inputs!$B$6/100))*(F900/100)</f>
        <v/>
      </c>
      <c r="K900">
        <f>J900*(1+((Inputs!$B$11*(1+Inputs!$B$12/100))*0.01+Inputs!$B$13*0.0025)/100)*(1+Inputs!$B$14/100)*(1+IF(Inputs!$B$4="pvp",0,(1-Summary!$B$55)*(Inputs!$B$19+0+Skills!P3)+Summary!$B$55*(Inputs!$B$20+Skills!Q3))/100)*(1+Inputs!$B$15/100)*(5000/(6000+Inputs!$B$7*(1-(Inputs!$B$18+0)/100)))*(1+(Inputs!$B$23+((C919=TRUE)*(F919-Calc!F22))+B928)/100)*(1+(IF(Skills!A3="HOOK_BOMBER",Inputs!$B$16+((C918=TRUE)*(F918-Calc!F21)),Inputs!$B$17+0))/100)*((1+(((C910=TRUE)*F910)+((C916=TRUE)*(F916-Calc!F19)))/100)*I900)</f>
        <v/>
      </c>
      <c r="L900">
        <f>K900*(MIN(Inputs!$B$21+((C917=TRUE)*(F917-Calc!F20)),Inputs!$B$22+0)/100+(Inputs!$B$22+0)/100)/2</f>
        <v/>
      </c>
      <c r="M900">
        <f>L900*(1+(Inputs!$B$9+0+B927)/100)</f>
        <v/>
      </c>
      <c r="N900">
        <f>L900*(1-MIN((Inputs!$B$8+((C913=TRUE)*(F913-Calc!F16))+B922),100)/100)+M900*(MIN((Inputs!$B$8+((C913=TRUE)*(F913-Calc!F16))+B922),100)/100)</f>
        <v/>
      </c>
      <c r="O900">
        <f>IF(C900,Skills!G3*H900*N900*B926*IF(Inputs!$B$4="pvp",1,(1-Summary!$B$55)*(1)+Summary!$B$55*(MIN(Skills!R3,Inputs!$B$37))),0)</f>
        <v/>
      </c>
      <c r="P900">
        <f>IF(B930=0,0,O900/B930)</f>
        <v/>
      </c>
      <c r="Q900" t="n">
        <v>0</v>
      </c>
      <c r="R900" t="n">
        <v>0</v>
      </c>
      <c r="S900">
        <f>IFERROR(O900/N900,0)</f>
        <v/>
      </c>
      <c r="U900">
        <f>INDEX(FactorTable!$B$2:$Y$301, MATCH(ROUND(MIN(300,MAX(1,U899)),0), FactorTable!$A$2:$A$301,0), 22)</f>
        <v/>
      </c>
    </row>
    <row r="901">
      <c r="A901">
        <f>Skills!A4</f>
        <v/>
      </c>
      <c r="B901">
        <f>Skills!B4</f>
        <v/>
      </c>
      <c r="C901">
        <f>Inputs!$B$3&gt;=60</f>
        <v/>
      </c>
      <c r="D901">
        <f>IF(Skills!C4=1,60+Inputs!$B$24+Inputs!$B$28,IF(Skills!C4=2,90+Inputs!$B$25+Inputs!$B$28,IF(Skills!C4=3,120+Inputs!$B$26+Inputs!$B$28,MAX(0,(Inputs!$B$3-100)*3)+Inputs!$B$27+Inputs!$B$28)))</f>
        <v/>
      </c>
      <c r="E901">
        <f>INDEX(FactorTable!$B$2:$Y$301, MATCH(ROUND(MIN(300,MAX(1,D901)),0), FactorTable!$A$2:$A$301,0), Skills!M4+1)</f>
        <v/>
      </c>
      <c r="F901">
        <f>IF(Skills!N4=TRUE,(Skills!L4/10)*(E901/1000),Skills!L4/10)+Skills!O4</f>
        <v/>
      </c>
      <c r="G901">
        <f>Skills!G4*IF(Skills!H4&gt;0,Skills!I4/Skills!H4,1)</f>
        <v/>
      </c>
      <c r="H901">
        <f>1-(1-Skills!J4/100)^Skills!K4</f>
        <v/>
      </c>
      <c r="I901" t="inlineStr">
        <is>
          <t>1</t>
        </is>
      </c>
      <c r="J901">
        <f>(Inputs!$B$5*(1+Inputs!$B$6/100))*(F901/100)</f>
        <v/>
      </c>
      <c r="K901">
        <f>J901*(1+((Inputs!$B$11*(1+Inputs!$B$12/100))*0.01+Inputs!$B$13*0.0025)/100)*(1+Inputs!$B$14/100)*(1+IF(Inputs!$B$4="pvp",0,(1-Summary!$B$55)*(Inputs!$B$19+0+Skills!P4)+Summary!$B$55*(Inputs!$B$20+Skills!Q4))/100)*(1+Inputs!$B$15/100)*(5000/(6000+Inputs!$B$7*(1-(Inputs!$B$18+0)/100)))*(1+(Inputs!$B$23+((C919=TRUE)*(F919-Calc!F22))+B928)/100)*(1+1.0*IF(C909=TRUE,F909,0)/100)*(1+(IF(Skills!A4="HOOK_BOMBER",Inputs!$B$16+((C918=TRUE)*(F918-Calc!F21)),Inputs!$B$17+0))/100)*((1+(((C910=TRUE)*F910)+((C916=TRUE)*(F916-Calc!F19)))/100)*I901)</f>
        <v/>
      </c>
      <c r="L901">
        <f>K901*(MIN(Inputs!$B$21+((C917=TRUE)*(F917-Calc!F20)),Inputs!$B$22+0)/100+(Inputs!$B$22+0)/100)/2</f>
        <v/>
      </c>
      <c r="M901">
        <f>L901*(1+(Inputs!$B$9+0+B927)/100)</f>
        <v/>
      </c>
      <c r="N901">
        <f>L901*(1-MIN((Inputs!$B$8+((C913=TRUE)*(F913-Calc!F16))+B922),100)/100)+M901*(MIN((Inputs!$B$8+((C913=TRUE)*(F913-Calc!F16))+B922),100)/100)</f>
        <v/>
      </c>
      <c r="O901">
        <f>IF(C901,Skills!G4*H901*N901*B926*IF(Inputs!$B$4="pvp",1,(1-Summary!$B$55)*(1)+Summary!$B$55*(MIN(Skills!R4,Inputs!$B$37))),0)</f>
        <v/>
      </c>
      <c r="P901">
        <f>IF(B930=0,0,O901/B930)</f>
        <v/>
      </c>
      <c r="Q901" t="n">
        <v>0</v>
      </c>
      <c r="R901" t="n">
        <v>0</v>
      </c>
      <c r="S901">
        <f>IFERROR(O901/N901,0)</f>
        <v/>
      </c>
      <c r="U901">
        <f>290*U900/1000</f>
        <v/>
      </c>
    </row>
    <row r="902">
      <c r="A902">
        <f>Skills!A5</f>
        <v/>
      </c>
      <c r="B902">
        <f>Skills!B5</f>
        <v/>
      </c>
      <c r="C902">
        <f>Inputs!$B$3&gt;=60</f>
        <v/>
      </c>
      <c r="D902">
        <f>IF(Skills!C5=1,60+Inputs!$B$24+Inputs!$B$28,IF(Skills!C5=2,90+Inputs!$B$25+Inputs!$B$28,IF(Skills!C5=3,120+Inputs!$B$26+Inputs!$B$28,MAX(0,(Inputs!$B$3-100)*3)+Inputs!$B$27+Inputs!$B$28)))</f>
        <v/>
      </c>
      <c r="E902">
        <f>INDEX(FactorTable!$B$2:$Y$301, MATCH(ROUND(MIN(300,MAX(1,D902)),0), FactorTable!$A$2:$A$301,0), Skills!M5+1)</f>
        <v/>
      </c>
      <c r="F902">
        <f>IF(Skills!N5=TRUE,(Skills!L5/10)*(E902/1000),Skills!L5/10)+Skills!O5</f>
        <v/>
      </c>
      <c r="G902">
        <f>Skills!G5*IF(Skills!H5&gt;0,Skills!I5/Skills!H5,1)</f>
        <v/>
      </c>
      <c r="H902">
        <f>1-(1-Skills!J5/100)^Skills!K5</f>
        <v/>
      </c>
      <c r="I902" t="inlineStr">
        <is>
          <t>1</t>
        </is>
      </c>
      <c r="J902" t="inlineStr"/>
      <c r="K902" t="inlineStr"/>
      <c r="L902" t="inlineStr"/>
      <c r="M902" t="inlineStr"/>
      <c r="N902" t="inlineStr"/>
      <c r="O902" t="n">
        <v>0</v>
      </c>
      <c r="P902">
        <f>IF(B930=0,0,O902/B930)</f>
        <v/>
      </c>
      <c r="Q902" t="n">
        <v>0</v>
      </c>
      <c r="R902" t="n">
        <v>0</v>
      </c>
      <c r="S902">
        <f>IFERROR(O902/N902,0)</f>
        <v/>
      </c>
    </row>
    <row r="903">
      <c r="A903">
        <f>Skills!A6</f>
        <v/>
      </c>
      <c r="B903">
        <f>Skills!B6</f>
        <v/>
      </c>
      <c r="C903">
        <f>Inputs!$B$3&gt;=63</f>
        <v/>
      </c>
      <c r="D903">
        <f>IF(Skills!C6=1,60+Inputs!$B$24+Inputs!$B$28,IF(Skills!C6=2,90+Inputs!$B$25+Inputs!$B$28,IF(Skills!C6=3,120+Inputs!$B$26+Inputs!$B$28,MAX(0,(Inputs!$B$3-100)*3)+Inputs!$B$27+Inputs!$B$28)))</f>
        <v/>
      </c>
      <c r="E903">
        <f>INDEX(FactorTable!$B$2:$Y$301, MATCH(ROUND(MIN(300,MAX(1,D903)),0), FactorTable!$A$2:$A$301,0), Skills!M6+1)</f>
        <v/>
      </c>
      <c r="F903">
        <f>IF(Skills!N6=TRUE,(Skills!L6/10)*(E903/1000),Skills!L6/10)+Skills!O6</f>
        <v/>
      </c>
      <c r="G903">
        <f>Skills!G6*IF(Skills!H6&gt;0,Skills!I6/Skills!H6,1)</f>
        <v/>
      </c>
      <c r="H903">
        <f>1-(1-Skills!J6/100)^Skills!K6</f>
        <v/>
      </c>
      <c r="I903" t="inlineStr">
        <is>
          <t>1</t>
        </is>
      </c>
      <c r="J903">
        <f>(Inputs!$B$5*(1+Inputs!$B$6/100))*(F903/100)</f>
        <v/>
      </c>
      <c r="K903">
        <f>J903*(1+((Inputs!$B$11*(1+Inputs!$B$12/100))*0.01+Inputs!$B$13*0.0025)/100)*(1+Inputs!$B$14/100)*(1+IF(Inputs!$B$4="pvp",0,(1-Summary!$B$55)*(Inputs!$B$19+0+Skills!P6)+Summary!$B$55*(Inputs!$B$20+Skills!Q6))/100)*(1+Inputs!$B$15/100)*(5000/(6000+Inputs!$B$7*(1-(Inputs!$B$18+0)/100)))*(1+(Inputs!$B$23+((C919=TRUE)*(F919-Calc!F22))+B928)/100)*(1+(IF(Skills!A6="HOOK_BOMBER",Inputs!$B$16+((C918=TRUE)*(F918-Calc!F21)),Inputs!$B$17+0))/100)*((1+(((C910=TRUE)*F910)+((C916=TRUE)*(F916-Calc!F19)))/100)*I903)</f>
        <v/>
      </c>
      <c r="L903">
        <f>K903*(MIN(Inputs!$B$21+((C917=TRUE)*(F917-Calc!F20)),Inputs!$B$22+0)/100+(Inputs!$B$22+0)/100)/2</f>
        <v/>
      </c>
      <c r="M903">
        <f>L903*(1+(Inputs!$B$9+0+B927)/100)</f>
        <v/>
      </c>
      <c r="N903">
        <f>L903*(1-MIN((Inputs!$B$8+((C913=TRUE)*(F913-Calc!F16))+B922),100)/100)+M903*(MIN((Inputs!$B$8+((C913=TRUE)*(F913-Calc!F16))+B922),100)/100)</f>
        <v/>
      </c>
      <c r="O903">
        <f>IF(C903,H903*N903*IF(AND(Inputs!$B$4&lt;&gt;"pvp",Inputs!$B$35&gt;0),((Skills!G6*((R903-1)*IF(Skills!H6&gt;0,Skills!I6/Skills!H6,1)+IF(Skills!H6&gt;0,MIN(Skills!I6,MAX(0,Inputs!$B$35-((R903-1)*IF(Inputs!$B$4="pvp",15,MAX(0.1,Skills!D6-IF(Skills!E6=TRUE,Inputs!$B$31,0))))))/Skills!H6,1)))/Inputs!$B$35),G903*Q903)*IF(Inputs!$B$4="pvp",1,(1-Summary!$B$55)*(1)+Summary!$B$55*(MIN(Skills!R6,Inputs!$B$37))),0)</f>
        <v/>
      </c>
      <c r="P903">
        <f>IF(B930=0,0,O903/B930)</f>
        <v/>
      </c>
      <c r="Q903">
        <f>IFERROR(1/IF(Inputs!$B$4="pvp",15,MAX(0.1,Skills!D6-IF(Skills!E6=TRUE,Inputs!$B$31,0))),0)</f>
        <v/>
      </c>
      <c r="R903">
        <f>IF(AND(Inputs!$B$4&lt;&gt;"pvp",Inputs!$B$35&gt;0),(INT(Inputs!$B$35/IF(Inputs!$B$4="pvp",15,MAX(0.1,Skills!D6-IF(Skills!E6=TRUE,Inputs!$B$31,0))))+1),0)</f>
        <v/>
      </c>
      <c r="S903">
        <f>IFERROR(O903/N903,0)</f>
        <v/>
      </c>
    </row>
    <row r="904">
      <c r="A904">
        <f>Skills!A7</f>
        <v/>
      </c>
      <c r="B904">
        <f>Skills!B7</f>
        <v/>
      </c>
      <c r="C904">
        <f>Inputs!$B$3&gt;=100</f>
        <v/>
      </c>
      <c r="D904">
        <f>IF(Skills!C7=1,60+Inputs!$B$24+Inputs!$B$28,IF(Skills!C7=2,90+Inputs!$B$25+Inputs!$B$28,IF(Skills!C7=3,120+Inputs!$B$26+Inputs!$B$28,MAX(0,(Inputs!$B$3-100)*3)+Inputs!$B$27+Inputs!$B$28)))</f>
        <v/>
      </c>
      <c r="E904">
        <f>INDEX(FactorTable!$B$2:$Y$301, MATCH(ROUND(MIN(300,MAX(1,D904)),0), FactorTable!$A$2:$A$301,0), Skills!M7+1)</f>
        <v/>
      </c>
      <c r="F904">
        <f>IF(Skills!N7=TRUE,(Skills!L7/10)*(E904/1000),Skills!L7/10)+Skills!O7</f>
        <v/>
      </c>
      <c r="G904">
        <f>Skills!G7*IF(Skills!H7&gt;0,Skills!I7/Skills!H7,1)</f>
        <v/>
      </c>
      <c r="H904">
        <f>1-(1-Skills!J7/100)^Skills!K7</f>
        <v/>
      </c>
      <c r="I904" t="inlineStr">
        <is>
          <t>1</t>
        </is>
      </c>
      <c r="J904">
        <f>(Inputs!$B$5*(1+Inputs!$B$6/100))*(F904/100)</f>
        <v/>
      </c>
      <c r="K904">
        <f>J904*(1+((Inputs!$B$11*(1+Inputs!$B$12/100))*0.01+Inputs!$B$13*0.0025)/100)*(1+Inputs!$B$14/100)*(1+IF(Inputs!$B$4="pvp",0,(1-Summary!$B$55)*(Inputs!$B$19+0+Skills!P7)+Summary!$B$55*(Inputs!$B$20+Skills!Q7))/100)*(1+Inputs!$B$15/100)*(5000/(6000+Inputs!$B$7*(1-(Inputs!$B$18+0)/100)))*(1+(Inputs!$B$23+((C919=TRUE)*(F919-Calc!F22))+B928)/100)*(1+(IF(Skills!A7="HOOK_BOMBER",Inputs!$B$16+((C918=TRUE)*(F918-Calc!F21)),Inputs!$B$17+0))/100)*((1+(((C910=TRUE)*F910)+((C916=TRUE)*(F916-Calc!F19)))/100)*I904)</f>
        <v/>
      </c>
      <c r="L904">
        <f>K904*(MIN(Inputs!$B$21+((C917=TRUE)*(F917-Calc!F20)),Inputs!$B$22+0)/100+(Inputs!$B$22+0)/100)/2</f>
        <v/>
      </c>
      <c r="M904">
        <f>L904*(1+(Inputs!$B$9+0+B927)/100)</f>
        <v/>
      </c>
      <c r="N904">
        <f>L904*(1-MIN((Inputs!$B$8+((C913=TRUE)*(F913-Calc!F16))+B922),100)/100)+M904*(MIN((Inputs!$B$8+((C913=TRUE)*(F913-Calc!F16))+B922),100)/100)</f>
        <v/>
      </c>
      <c r="O904">
        <f>IF(C904,H904*N904*IF(AND(Inputs!$B$4&lt;&gt;"pvp",Inputs!$B$35&gt;0),((Skills!G7*((R904-1)*IF(Skills!H7&gt;0,Skills!I7/Skills!H7,1)+IF(Skills!H7&gt;0,MIN(Skills!I7,MAX(0,Inputs!$B$35-((R904-1)*IF(Inputs!$B$4="pvp",15,MAX(0.1,Skills!D7-IF(Skills!E7=TRUE,Inputs!$B$31,0))))))/Skills!H7,1)))/Inputs!$B$35),G904*Q904)*IF(Inputs!$B$4="pvp",1,(1-Summary!$B$55)*(1)+Summary!$B$55*(MIN(Skills!R7,Inputs!$B$37))),0)</f>
        <v/>
      </c>
      <c r="P904">
        <f>IF(B930=0,0,O904/B930)</f>
        <v/>
      </c>
      <c r="Q904">
        <f>IFERROR(1/IF(Inputs!$B$4="pvp",15,MAX(0.1,Skills!D7-IF(Skills!E7=TRUE,Inputs!$B$31,0))),0)</f>
        <v/>
      </c>
      <c r="R904">
        <f>IF(AND(Inputs!$B$4&lt;&gt;"pvp",Inputs!$B$35&gt;0),(INT(Inputs!$B$35/IF(Inputs!$B$4="pvp",15,MAX(0.1,Skills!D7-IF(Skills!E7=TRUE,Inputs!$B$31,0))))+1),0)</f>
        <v/>
      </c>
      <c r="S904">
        <f>IFERROR(O904/N904,0)</f>
        <v/>
      </c>
    </row>
    <row r="905">
      <c r="A905">
        <f>Skills!A8</f>
        <v/>
      </c>
      <c r="B905">
        <f>Skills!B8</f>
        <v/>
      </c>
      <c r="C905">
        <f>Inputs!$B$3&gt;=110</f>
        <v/>
      </c>
      <c r="D905">
        <f>IF(Skills!C8=1,60+Inputs!$B$24+Inputs!$B$28,IF(Skills!C8=2,90+Inputs!$B$25+Inputs!$B$28,IF(Skills!C8=3,120+Inputs!$B$26+Inputs!$B$28,MAX(0,(Inputs!$B$3-100)*3)+Inputs!$B$27+Inputs!$B$28)))</f>
        <v/>
      </c>
      <c r="E905">
        <f>INDEX(FactorTable!$B$2:$Y$301, MATCH(ROUND(MIN(300,MAX(1,D905)),0), FactorTable!$A$2:$A$301,0), Skills!M8+1)</f>
        <v/>
      </c>
      <c r="F905">
        <f>IF(Skills!N8=TRUE,(Skills!L8/10)*(E905/1000),Skills!L8/10)+Skills!O8</f>
        <v/>
      </c>
      <c r="G905">
        <f>Skills!G8*IF(Skills!H8&gt;0,Skills!I8/Skills!H8,1)</f>
        <v/>
      </c>
      <c r="H905">
        <f>1-(1-Skills!J8/100)^Skills!K8</f>
        <v/>
      </c>
      <c r="I905" t="inlineStr">
        <is>
          <t>1</t>
        </is>
      </c>
      <c r="J905">
        <f>(Inputs!$B$5*(1+Inputs!$B$6/100))*(F905/100)</f>
        <v/>
      </c>
      <c r="K905">
        <f>J905*(1+((Inputs!$B$11*(1+Inputs!$B$12/100))*0.01+Inputs!$B$13*0.0025)/100)*(1+Inputs!$B$14/100)*(1+IF(Inputs!$B$4="pvp",0,(1-Summary!$B$55)*(Inputs!$B$19+0+Skills!P8)+Summary!$B$55*(Inputs!$B$20+Skills!Q8))/100)*(1+Inputs!$B$15/100)*(5000/(6000+Inputs!$B$7*(1-(Inputs!$B$18+0)/100)))*(1+(Inputs!$B$23+((C919=TRUE)*(F919-Calc!F22))+B928)/100)*(1+(IF(Skills!A8="HOOK_BOMBER",Inputs!$B$16+((C918=TRUE)*(F918-Calc!F21)),Inputs!$B$17+0))/100)*((1+(((C910=TRUE)*F910)+((C916=TRUE)*(F916-Calc!F19)))/100)*I905)</f>
        <v/>
      </c>
      <c r="L905">
        <f>K905*(MIN(Inputs!$B$21+((C917=TRUE)*(F917-Calc!F20)),Inputs!$B$22+0)/100+(Inputs!$B$22+0)/100)/2</f>
        <v/>
      </c>
      <c r="M905">
        <f>L905*(1+(Inputs!$B$9+0+B927)/100)</f>
        <v/>
      </c>
      <c r="N905">
        <f>L905*(1-MIN((Inputs!$B$8+((C913=TRUE)*(F913-Calc!F16))+B922),100)/100)+M905*(MIN((Inputs!$B$8+((C913=TRUE)*(F913-Calc!F16))+B922),100)/100)</f>
        <v/>
      </c>
      <c r="O905">
        <f>IF(C905,H905*N905*IF(AND(Inputs!$B$4&lt;&gt;"pvp",Inputs!$B$35&gt;0),((Skills!G8*((R905-1)*IF(Skills!H8&gt;0,Skills!I8/Skills!H8,1)+IF(Skills!H8&gt;0,MIN(Skills!I8,MAX(0,Inputs!$B$35-((R905-1)*IF(Inputs!$B$4="pvp",15,MAX(0.1,Skills!D8-IF(Skills!E8=TRUE,Inputs!$B$31,0))))))/Skills!H8,1)))/Inputs!$B$35),G905*Q905)*IF(Inputs!$B$4="pvp",1,(1-Summary!$B$55)*(1)+Summary!$B$55*(MIN(Skills!R8,Inputs!$B$37))),0)</f>
        <v/>
      </c>
      <c r="P905">
        <f>IF(B930=0,0,O905/B930)</f>
        <v/>
      </c>
      <c r="Q905">
        <f>IFERROR(1/IF(Inputs!$B$4="pvp",15,MAX(0.1,Skills!D8-IF(Skills!E8=TRUE,Inputs!$B$31,0))),0)</f>
        <v/>
      </c>
      <c r="R905">
        <f>IF(AND(Inputs!$B$4&lt;&gt;"pvp",Inputs!$B$35&gt;0),(INT(Inputs!$B$35/IF(Inputs!$B$4="pvp",15,MAX(0.1,Skills!D8-IF(Skills!E8=TRUE,Inputs!$B$31,0))))+1),0)</f>
        <v/>
      </c>
      <c r="S905">
        <f>IFERROR(O905/N905,0)</f>
        <v/>
      </c>
    </row>
    <row r="906">
      <c r="A906">
        <f>Skills!A9</f>
        <v/>
      </c>
      <c r="B906">
        <f>Skills!B9</f>
        <v/>
      </c>
      <c r="C906">
        <f>Inputs!$B$3&gt;=110</f>
        <v/>
      </c>
      <c r="D906">
        <f>IF(Skills!C9=1,60+Inputs!$B$24+Inputs!$B$28,IF(Skills!C9=2,90+Inputs!$B$25+Inputs!$B$28,IF(Skills!C9=3,120+Inputs!$B$26+Inputs!$B$28,MAX(0,(Inputs!$B$3-100)*3)+Inputs!$B$27+Inputs!$B$28)))</f>
        <v/>
      </c>
      <c r="E906">
        <f>INDEX(FactorTable!$B$2:$Y$301, MATCH(ROUND(MIN(300,MAX(1,D906)),0), FactorTable!$A$2:$A$301,0), Skills!M9+1)</f>
        <v/>
      </c>
      <c r="F906">
        <f>IF(Skills!N9=TRUE,(Skills!L9/10)*(E906/1000),Skills!L9/10)+Skills!O9</f>
        <v/>
      </c>
      <c r="G906">
        <f>Skills!G9*IF(Skills!H9&gt;0,Skills!I9/Skills!H9,1)</f>
        <v/>
      </c>
      <c r="H906">
        <f>1-(1-Skills!J9/100)^Skills!K9</f>
        <v/>
      </c>
      <c r="I906" t="inlineStr">
        <is>
          <t>1</t>
        </is>
      </c>
      <c r="J906">
        <f>(Inputs!$B$5*(1+Inputs!$B$6/100))*(F906/100)</f>
        <v/>
      </c>
      <c r="K906">
        <f>J906*(1+((Inputs!$B$11*(1+Inputs!$B$12/100))*0.01+Inputs!$B$13*0.0025)/100)*(1+Inputs!$B$14/100)*(1+IF(Inputs!$B$4="pvp",0,(1-Summary!$B$55)*(Inputs!$B$19+0+Skills!P9)+Summary!$B$55*(Inputs!$B$20+Skills!Q9))/100)*(1+Inputs!$B$15/100)*(5000/(6000+Inputs!$B$7*(1-(Inputs!$B$18+0)/100)))*(1+(Inputs!$B$23+((C919=TRUE)*(F919-Calc!F22))+B928)/100)*(1+(IF(Skills!A9="HOOK_BOMBER",Inputs!$B$16+((C918=TRUE)*(F918-Calc!F21)),Inputs!$B$17+0))/100)*((1+(((C910=TRUE)*F910)+((C916=TRUE)*(F916-Calc!F19)))/100)*I906)</f>
        <v/>
      </c>
      <c r="L906">
        <f>K906*(MIN(Inputs!$B$21+((C917=TRUE)*(F917-Calc!F20)),Inputs!$B$22+0)/100+(Inputs!$B$22+0)/100)/2</f>
        <v/>
      </c>
      <c r="M906">
        <f>L906*(1+(Inputs!$B$9+0+B927)/100)</f>
        <v/>
      </c>
      <c r="N906">
        <f>L906*(1-MIN((Inputs!$B$8+((C913=TRUE)*(F913-Calc!F16))+B922),100)/100)+M906*(MIN((Inputs!$B$8+((C913=TRUE)*(F913-Calc!F16))+B922),100)/100)</f>
        <v/>
      </c>
      <c r="O906">
        <f>IF(C906,H906*N906*IF(AND(Inputs!$B$4&lt;&gt;"pvp",Inputs!$B$35&gt;0),((Skills!G9*((R906-1)*IF(Skills!H9&gt;0,Skills!I9/Skills!H9,1)+IF(Skills!H9&gt;0,MIN(Skills!I9,MAX(0,Inputs!$B$35-((R906-1)*IF(Inputs!$B$4="pvp",15,MAX(0.1,Skills!D9-IF(Skills!E9=TRUE,Inputs!$B$31,0))))))/Skills!H9,1)))/Inputs!$B$35),G906*Q906)*IF(Inputs!$B$4="pvp",1,(1-Summary!$B$55)*(1)+Summary!$B$55*(MIN(Skills!R9,Inputs!$B$37))),0)</f>
        <v/>
      </c>
      <c r="P906">
        <f>IF(B930=0,0,O906/B930)</f>
        <v/>
      </c>
      <c r="Q906">
        <f>IFERROR(1/IF(Inputs!$B$4="pvp",15,MAX(0.1,Skills!D9-IF(Skills!E9=TRUE,Inputs!$B$31,0))),0)</f>
        <v/>
      </c>
      <c r="R906">
        <f>IF(AND(Inputs!$B$4&lt;&gt;"pvp",Inputs!$B$35&gt;0),(INT(Inputs!$B$35/IF(Inputs!$B$4="pvp",15,MAX(0.1,Skills!D9-IF(Skills!E9=TRUE,Inputs!$B$31,0))))+1),0)</f>
        <v/>
      </c>
      <c r="S906">
        <f>IFERROR(O906/N906,0)</f>
        <v/>
      </c>
    </row>
    <row r="907">
      <c r="A907">
        <f>Skills!A10</f>
        <v/>
      </c>
      <c r="B907">
        <f>Skills!B10</f>
        <v/>
      </c>
      <c r="C907">
        <f>Inputs!$B$3&gt;=103</f>
        <v/>
      </c>
      <c r="D907">
        <f>IF(Skills!C10=1,60+Inputs!$B$24+Inputs!$B$28,IF(Skills!C10=2,90+Inputs!$B$25+Inputs!$B$28,IF(Skills!C10=3,120+Inputs!$B$26+Inputs!$B$28,MAX(0,(Inputs!$B$3-100)*3)+Inputs!$B$27+Inputs!$B$28)))</f>
        <v/>
      </c>
      <c r="E907">
        <f>INDEX(FactorTable!$B$2:$Y$301, MATCH(ROUND(MIN(300,MAX(1,D907)),0), FactorTable!$A$2:$A$301,0), Skills!M10+1)</f>
        <v/>
      </c>
      <c r="F907">
        <f>IF(Skills!N10=TRUE,(Skills!L10/10)*(E907/1000),Skills!L10/10)+Skills!O10</f>
        <v/>
      </c>
      <c r="G907">
        <f>Skills!G10*IF(Skills!H10&gt;0,Skills!I10/Skills!H10,1)</f>
        <v/>
      </c>
      <c r="H907">
        <f>1-(1-Skills!J10/100)^Skills!K10</f>
        <v/>
      </c>
      <c r="I907" t="inlineStr">
        <is>
          <t>1</t>
        </is>
      </c>
      <c r="J907">
        <f>(Inputs!$B$5*(1+Inputs!$B$6/100))*(F907/100)</f>
        <v/>
      </c>
      <c r="K907">
        <f>J907*(1+((Inputs!$B$11*(1+Inputs!$B$12/100))*0.01+Inputs!$B$13*0.0025)/100)*(1+Inputs!$B$14/100)*(1+IF(Inputs!$B$4="pvp",0,(1-Summary!$B$55)*(Inputs!$B$19+0+Skills!P10)+Summary!$B$55*(Inputs!$B$20+Skills!Q10))/100)*(1+Inputs!$B$15/100)*(5000/(6000+Inputs!$B$7*(1-(Inputs!$B$18+0)/100)))*(1+(Inputs!$B$23+((C919=TRUE)*(F919-Calc!F22))+B928)/100)*(1+(IF(Skills!A10="HOOK_BOMBER",Inputs!$B$16+((C918=TRUE)*(F918-Calc!F21)),Inputs!$B$17+0))/100)*((1+(((C910=TRUE)*F910)+((C916=TRUE)*(F916-Calc!F19)))/100)*I907)</f>
        <v/>
      </c>
      <c r="L907">
        <f>K907*(MIN(Inputs!$B$21+((C917=TRUE)*(F917-Calc!F20)),Inputs!$B$22+0)/100+(Inputs!$B$22+0)/100)/2</f>
        <v/>
      </c>
      <c r="M907">
        <f>L907*(1+(Inputs!$B$9+0+B927)/100)</f>
        <v/>
      </c>
      <c r="N907">
        <f>L907*(1-MIN((Inputs!$B$8+((C913=TRUE)*(F913-Calc!F16))+B922),100)/100)+M907*(MIN((Inputs!$B$8+((C913=TRUE)*(F913-Calc!F16))+B922),100)/100)</f>
        <v/>
      </c>
      <c r="O907">
        <f>IF(C907,H907*N907*IF(AND(Inputs!$B$4&lt;&gt;"pvp",Inputs!$B$35&gt;0),((Skills!G10*((R907-1)*IF(Skills!H10&gt;0,Skills!I10/Skills!H10,1)+IF(Skills!H10&gt;0,MIN(Skills!I10,MAX(0,Inputs!$B$35-((R907-1)*IF(Inputs!$B$4="pvp",15,MAX(0.1,Skills!D10-IF(Skills!E10=TRUE,Inputs!$B$31,0))))))/Skills!H10,1)))/Inputs!$B$35),G907*Q907)*IF(Inputs!$B$4="pvp",1,(1-Summary!$B$55)*(1)+Summary!$B$55*(MIN(Skills!R10,Inputs!$B$37))),0)</f>
        <v/>
      </c>
      <c r="P907">
        <f>IF(B930=0,0,O907/B930)</f>
        <v/>
      </c>
      <c r="Q907">
        <f>IFERROR(1/IF(Inputs!$B$4="pvp",15,MAX(0.1,Skills!D10-IF(Skills!E10=TRUE,Inputs!$B$31,0))),0)</f>
        <v/>
      </c>
      <c r="R907">
        <f>IF(AND(Inputs!$B$4&lt;&gt;"pvp",Inputs!$B$35&gt;0),(INT(Inputs!$B$35/IF(Inputs!$B$4="pvp",15,MAX(0.1,Skills!D10-IF(Skills!E10=TRUE,Inputs!$B$31,0))))+1),0)</f>
        <v/>
      </c>
      <c r="S907">
        <f>IFERROR(O907/N907,0)</f>
        <v/>
      </c>
    </row>
    <row r="908">
      <c r="A908">
        <f>Skills!A11</f>
        <v/>
      </c>
      <c r="B908">
        <f>Skills!B11</f>
        <v/>
      </c>
      <c r="C908">
        <f>Inputs!$B$3&gt;=113</f>
        <v/>
      </c>
      <c r="D908">
        <f>IF(Skills!C11=1,60+Inputs!$B$24+Inputs!$B$28,IF(Skills!C11=2,90+Inputs!$B$25+Inputs!$B$28,IF(Skills!C11=3,120+Inputs!$B$26+Inputs!$B$28,MAX(0,(Inputs!$B$3-100)*3)+Inputs!$B$27+Inputs!$B$28)))</f>
        <v/>
      </c>
      <c r="E908">
        <f>INDEX(FactorTable!$B$2:$Y$301, MATCH(ROUND(MIN(300,MAX(1,D908)),0), FactorTable!$A$2:$A$301,0), Skills!M11+1)</f>
        <v/>
      </c>
      <c r="F908">
        <f>IF(Skills!N11=TRUE,(Skills!L11/10)*(E908/1000),Skills!L11/10)+Skills!O11</f>
        <v/>
      </c>
      <c r="G908">
        <f>Skills!G11*IF(Skills!H11&gt;0,Skills!I11/Skills!H11,1)</f>
        <v/>
      </c>
      <c r="H908">
        <f>1-(1-Skills!J11/100)^Skills!K11</f>
        <v/>
      </c>
      <c r="I908" t="inlineStr">
        <is>
          <t>1</t>
        </is>
      </c>
      <c r="J908">
        <f>(Inputs!$B$5*(1+Inputs!$B$6/100))*(F908/100)</f>
        <v/>
      </c>
      <c r="K908">
        <f>J908*(1+((Inputs!$B$11*(1+Inputs!$B$12/100))*0.01+Inputs!$B$13*0.0025)/100)*(1+Inputs!$B$14/100)*(1+IF(Inputs!$B$4="pvp",0,(1-Summary!$B$55)*(Inputs!$B$19+0+Skills!P11)+Summary!$B$55*(Inputs!$B$20+Skills!Q11))/100)*(1+Inputs!$B$15/100)*(5000/(6000+Inputs!$B$7*(1-(Inputs!$B$18+0)/100)))*(1+(Inputs!$B$23+((C919=TRUE)*(F919-Calc!F22))+B928)/100)*(1+(IF(Skills!A11="HOOK_BOMBER",Inputs!$B$16+((C918=TRUE)*(F918-Calc!F21)),Inputs!$B$17+0))/100)*((1+(((C910=TRUE)*F910)+((C916=TRUE)*(F916-Calc!F19)))/100)*I908)</f>
        <v/>
      </c>
      <c r="L908">
        <f>K908*(MIN(Inputs!$B$21+((C917=TRUE)*(F917-Calc!F20)),Inputs!$B$22+0)/100+(Inputs!$B$22+0)/100)/2</f>
        <v/>
      </c>
      <c r="M908">
        <f>L908*(1+(Inputs!$B$9+0+B927)/100)</f>
        <v/>
      </c>
      <c r="N908">
        <f>L908*(1-MIN((Inputs!$B$8+((C913=TRUE)*(F913-Calc!F16))+B922),100)/100)+M908*(MIN((Inputs!$B$8+((C913=TRUE)*(F913-Calc!F16))+B922),100)/100)</f>
        <v/>
      </c>
      <c r="O908">
        <f>IF(C908,H908*N908*IF(AND(Inputs!$B$4&lt;&gt;"pvp",Inputs!$B$35&gt;0),((Skills!G11*((R908-1)*IF(Skills!H11&gt;0,Skills!I11/Skills!H11,1)+IF(Skills!H11&gt;0,MIN(Skills!I11,MAX(0,Inputs!$B$35-((R908-1)*IF(Inputs!$B$4="pvp",15,MAX(0.1,Skills!D11-IF(Skills!E11=TRUE,Inputs!$B$31,0))))))/Skills!H11,1)))/Inputs!$B$35),G908*Q908)*IF(Inputs!$B$4="pvp",1,(1-Summary!$B$55)*(1)+Summary!$B$55*(MIN(Skills!R11,Inputs!$B$37))),0)</f>
        <v/>
      </c>
      <c r="P908">
        <f>IF(B930=0,0,O908/B930)</f>
        <v/>
      </c>
      <c r="Q908">
        <f>IFERROR(1/IF(Inputs!$B$4="pvp",15,MAX(0.1,Skills!D11-IF(Skills!E11=TRUE,Inputs!$B$31,0))),0)</f>
        <v/>
      </c>
      <c r="R908">
        <f>IF(AND(Inputs!$B$4&lt;&gt;"pvp",Inputs!$B$35&gt;0),(INT(Inputs!$B$35/IF(Inputs!$B$4="pvp",15,MAX(0.1,Skills!D11-IF(Skills!E11=TRUE,Inputs!$B$31,0))))+1),0)</f>
        <v/>
      </c>
      <c r="S908">
        <f>IFERROR(O908/N908,0)</f>
        <v/>
      </c>
    </row>
    <row r="909">
      <c r="A909">
        <f>Skills!A12</f>
        <v/>
      </c>
      <c r="B909">
        <f>Skills!B12</f>
        <v/>
      </c>
      <c r="C909">
        <f>Inputs!$B$3&gt;=100</f>
        <v/>
      </c>
      <c r="D909">
        <f>IF(Skills!C12=1,60+Inputs!$B$24+Inputs!$B$28,IF(Skills!C12=2,90+Inputs!$B$25+Inputs!$B$28,IF(Skills!C12=3,120+Inputs!$B$26+Inputs!$B$28,MAX(0,(Inputs!$B$3-100)*3)+Inputs!$B$27+Inputs!$B$28)))</f>
        <v/>
      </c>
      <c r="E909">
        <f>INDEX(FactorTable!$B$2:$Y$301, MATCH(ROUND(MIN(300,MAX(1,D909)),0), FactorTable!$A$2:$A$301,0), Skills!M12+1)</f>
        <v/>
      </c>
      <c r="F909">
        <f>IF(Skills!N12=TRUE,(Skills!L12/10)*(E909/1000),Skills!L12/10)+Skills!O12</f>
        <v/>
      </c>
      <c r="G909" t="inlineStr"/>
      <c r="H909" t="inlineStr"/>
      <c r="I909" t="inlineStr">
        <is>
          <t>1</t>
        </is>
      </c>
      <c r="J909" t="inlineStr"/>
      <c r="K909" t="inlineStr"/>
      <c r="L909" t="inlineStr"/>
      <c r="M909" t="inlineStr"/>
      <c r="N909" t="inlineStr"/>
      <c r="O909" t="inlineStr"/>
      <c r="P909" t="inlineStr"/>
      <c r="Q909" t="inlineStr"/>
      <c r="R909" t="inlineStr"/>
      <c r="S909" t="inlineStr"/>
    </row>
    <row r="910">
      <c r="A910">
        <f>Skills!A13</f>
        <v/>
      </c>
      <c r="B910">
        <f>Skills!B13</f>
        <v/>
      </c>
      <c r="C910">
        <f>Inputs!$B$3&gt;=66</f>
        <v/>
      </c>
      <c r="D910">
        <f>IF(Skills!C13=1,60+Inputs!$B$24+Inputs!$B$28,IF(Skills!C13=2,90+Inputs!$B$25+Inputs!$B$28,IF(Skills!C13=3,120+Inputs!$B$26+Inputs!$B$28,MAX(0,(Inputs!$B$3-100)*3)+Inputs!$B$27+Inputs!$B$28)))</f>
        <v/>
      </c>
      <c r="E910">
        <f>INDEX(FactorTable!$B$2:$Y$301, MATCH(ROUND(MIN(300,MAX(1,D910)),0), FactorTable!$A$2:$A$301,0), Skills!M13+1)</f>
        <v/>
      </c>
      <c r="F910">
        <f>IF(Skills!N13=TRUE,(Skills!L13/10)*(E910/1000),Skills!L13/10)+Skills!O13</f>
        <v/>
      </c>
      <c r="G910">
        <f>Skills!G13*IF(Skills!H13&gt;0,Skills!I13/Skills!H13,1)</f>
        <v/>
      </c>
      <c r="H910">
        <f>1-(1-Skills!J13/100)^Skills!K13</f>
        <v/>
      </c>
      <c r="I910" t="inlineStr">
        <is>
          <t>1</t>
        </is>
      </c>
      <c r="J910" t="inlineStr"/>
      <c r="K910" t="inlineStr"/>
      <c r="L910" t="inlineStr"/>
      <c r="M910" t="inlineStr"/>
      <c r="N910" t="inlineStr"/>
      <c r="O910" t="n">
        <v>0</v>
      </c>
      <c r="P910">
        <f>IF(B930=0,0,O910/B930)</f>
        <v/>
      </c>
      <c r="Q910" t="n">
        <v>0</v>
      </c>
      <c r="R910" t="n">
        <v>0</v>
      </c>
      <c r="S910">
        <f>IFERROR(O910/N910,0)</f>
        <v/>
      </c>
    </row>
    <row r="911">
      <c r="A911">
        <f>Skills!A14</f>
        <v/>
      </c>
      <c r="B911">
        <f>Skills!B14</f>
        <v/>
      </c>
      <c r="C911">
        <f>Inputs!$B$3&gt;=107</f>
        <v/>
      </c>
      <c r="D911">
        <f>IF(Skills!C14=1,60+Inputs!$B$24+Inputs!$B$28,IF(Skills!C14=2,90+Inputs!$B$25+Inputs!$B$28,IF(Skills!C14=3,120+Inputs!$B$26+Inputs!$B$28,MAX(0,(Inputs!$B$3-100)*3)+Inputs!$B$27+Inputs!$B$28)))</f>
        <v/>
      </c>
      <c r="E911">
        <f>INDEX(FactorTable!$B$2:$Y$301, MATCH(ROUND(MIN(300,MAX(1,D911)),0), FactorTable!$A$2:$A$301,0), Skills!M14+1)</f>
        <v/>
      </c>
      <c r="F911">
        <f>IF(Skills!N14=TRUE,(Skills!L14/10)*(E911/1000),Skills!L14/10)+Skills!O14</f>
        <v/>
      </c>
      <c r="G911">
        <f>Skills!G14*IF(Skills!H14&gt;0,Skills!I14/Skills!H14,1)</f>
        <v/>
      </c>
      <c r="H911">
        <f>1-(1-Skills!J14/100)^Skills!K14</f>
        <v/>
      </c>
      <c r="I911" t="inlineStr">
        <is>
          <t>1</t>
        </is>
      </c>
      <c r="J911" t="inlineStr"/>
      <c r="K911" t="inlineStr"/>
      <c r="L911" t="inlineStr"/>
      <c r="M911" t="inlineStr"/>
      <c r="N911" t="inlineStr"/>
      <c r="O911" t="n">
        <v>0</v>
      </c>
      <c r="P911">
        <f>IF(B930=0,0,O911/B930)</f>
        <v/>
      </c>
      <c r="Q911" t="n">
        <v>0</v>
      </c>
      <c r="R911" t="n">
        <v>0</v>
      </c>
      <c r="S911">
        <f>IFERROR(O911/N911,0)</f>
        <v/>
      </c>
    </row>
    <row r="912">
      <c r="A912">
        <f>Skills!A15</f>
        <v/>
      </c>
      <c r="B912">
        <f>Skills!B15</f>
        <v/>
      </c>
      <c r="C912">
        <f>Inputs!$B$3&gt;=115</f>
        <v/>
      </c>
      <c r="D912">
        <f>IF(Skills!C15=1,60+Inputs!$B$24+Inputs!$B$28,IF(Skills!C15=2,90+Inputs!$B$25+Inputs!$B$28,IF(Skills!C15=3,120+Inputs!$B$26+Inputs!$B$28,MAX(0,(Inputs!$B$3-100)*3)+Inputs!$B$27+Inputs!$B$28)))</f>
        <v/>
      </c>
      <c r="E912">
        <f>INDEX(FactorTable!$B$2:$Y$301, MATCH(ROUND(MIN(300,MAX(1,D912)),0), FactorTable!$A$2:$A$301,0), Skills!M15+1)</f>
        <v/>
      </c>
      <c r="F912">
        <f>IF(Skills!N15=TRUE,(Skills!L15/10)*(E912/1000),Skills!L15/10)+Skills!O15</f>
        <v/>
      </c>
      <c r="G912">
        <f>Skills!G15*IF(Skills!H15&gt;0,Skills!I15/Skills!H15,1)</f>
        <v/>
      </c>
      <c r="H912">
        <f>1-(1-Skills!J15/100)^Skills!K15</f>
        <v/>
      </c>
      <c r="I912" t="inlineStr">
        <is>
          <t>1</t>
        </is>
      </c>
      <c r="J912" t="inlineStr"/>
      <c r="K912" t="inlineStr"/>
      <c r="L912" t="inlineStr"/>
      <c r="M912" t="inlineStr"/>
      <c r="N912" t="inlineStr"/>
      <c r="O912" t="n">
        <v>0</v>
      </c>
      <c r="P912">
        <f>IF(B930=0,0,O912/B930)</f>
        <v/>
      </c>
      <c r="Q912" t="n">
        <v>0</v>
      </c>
      <c r="R912" t="n">
        <v>0</v>
      </c>
      <c r="S912">
        <f>IFERROR(O912/N912,0)</f>
        <v/>
      </c>
    </row>
    <row r="913">
      <c r="A913">
        <f>Skills!A16</f>
        <v/>
      </c>
      <c r="B913">
        <f>Skills!B16</f>
        <v/>
      </c>
      <c r="C913">
        <f>Inputs!$B$3&gt;=15</f>
        <v/>
      </c>
      <c r="D913">
        <f>IF(Skills!C16=1,60+Inputs!$B$24+Inputs!$B$28,IF(Skills!C16=2,90+Inputs!$B$25+Inputs!$B$28,IF(Skills!C16=3,120+Inputs!$B$26+Inputs!$B$28,MAX(0,(Inputs!$B$3-100)*3)+Inputs!$B$27+Inputs!$B$28)))</f>
        <v/>
      </c>
      <c r="E913">
        <f>INDEX(FactorTable!$B$2:$Y$301, MATCH(ROUND(MIN(300,MAX(1,D913)),0), FactorTable!$A$2:$A$301,0), Skills!M16+1)</f>
        <v/>
      </c>
      <c r="F913">
        <f>IF(Skills!N16=TRUE,(Skills!L16/10)*(E913/1000),Skills!L16/10)+Skills!O16</f>
        <v/>
      </c>
      <c r="G913">
        <f>Skills!G16*IF(Skills!H16&gt;0,Skills!I16/Skills!H16,1)</f>
        <v/>
      </c>
      <c r="H913">
        <f>1-(1-Skills!J16/100)^Skills!K16</f>
        <v/>
      </c>
      <c r="I913" t="inlineStr">
        <is>
          <t>1</t>
        </is>
      </c>
      <c r="J913" t="inlineStr"/>
      <c r="K913" t="inlineStr"/>
      <c r="L913" t="inlineStr"/>
      <c r="M913" t="inlineStr"/>
      <c r="N913" t="inlineStr"/>
      <c r="O913" t="n">
        <v>0</v>
      </c>
      <c r="P913">
        <f>IF(B930=0,0,O913/B930)</f>
        <v/>
      </c>
      <c r="Q913" t="n">
        <v>0</v>
      </c>
      <c r="R913" t="n">
        <v>0</v>
      </c>
      <c r="S913">
        <f>IFERROR(O913/N913,0)</f>
        <v/>
      </c>
    </row>
    <row r="914">
      <c r="A914">
        <f>Skills!A17</f>
        <v/>
      </c>
      <c r="B914">
        <f>Skills!B17</f>
        <v/>
      </c>
      <c r="C914">
        <f>Inputs!$B$3&gt;=10</f>
        <v/>
      </c>
      <c r="D914">
        <f>IF(Skills!C17=1,60+Inputs!$B$24+Inputs!$B$28,IF(Skills!C17=2,90+Inputs!$B$25+Inputs!$B$28,IF(Skills!C17=3,120+Inputs!$B$26+Inputs!$B$28,MAX(0,(Inputs!$B$3-100)*3)+Inputs!$B$27+Inputs!$B$28)))</f>
        <v/>
      </c>
      <c r="E914">
        <f>INDEX(FactorTable!$B$2:$Y$301, MATCH(ROUND(MIN(300,MAX(1,D914)),0), FactorTable!$A$2:$A$301,0), Skills!M17+1)</f>
        <v/>
      </c>
      <c r="F914">
        <f>IF(Skills!N17=TRUE,(Skills!L17/10)*(E914/1000),Skills!L17/10)+Skills!O17</f>
        <v/>
      </c>
      <c r="G914">
        <f>Skills!G17*IF(Skills!H17&gt;0,Skills!I17/Skills!H17,1)</f>
        <v/>
      </c>
      <c r="H914">
        <f>1-(1-Skills!J17/100)^Skills!K17</f>
        <v/>
      </c>
      <c r="I914" t="inlineStr">
        <is>
          <t>1</t>
        </is>
      </c>
      <c r="J914" t="inlineStr"/>
      <c r="K914" t="inlineStr"/>
      <c r="L914" t="inlineStr"/>
      <c r="M914" t="inlineStr"/>
      <c r="N914" t="inlineStr"/>
      <c r="O914" t="n">
        <v>0</v>
      </c>
      <c r="P914">
        <f>IF(B930=0,0,O914/B930)</f>
        <v/>
      </c>
      <c r="Q914" t="n">
        <v>0</v>
      </c>
      <c r="R914" t="n">
        <v>0</v>
      </c>
      <c r="S914">
        <f>IFERROR(O914/N914,0)</f>
        <v/>
      </c>
    </row>
    <row r="915">
      <c r="A915">
        <f>Skills!A18</f>
        <v/>
      </c>
      <c r="B915">
        <f>Skills!B18</f>
        <v/>
      </c>
      <c r="C915">
        <f>Inputs!$B$3&gt;=33</f>
        <v/>
      </c>
      <c r="D915">
        <f>IF(Skills!C18=1,60+Inputs!$B$24+Inputs!$B$28,IF(Skills!C18=2,90+Inputs!$B$25+Inputs!$B$28,IF(Skills!C18=3,120+Inputs!$B$26+Inputs!$B$28,MAX(0,(Inputs!$B$3-100)*3)+Inputs!$B$27+Inputs!$B$28)))</f>
        <v/>
      </c>
      <c r="E915">
        <f>INDEX(FactorTable!$B$2:$Y$301, MATCH(ROUND(MIN(300,MAX(1,D915)),0), FactorTable!$A$2:$A$301,0), Skills!M18+1)</f>
        <v/>
      </c>
      <c r="F915">
        <f>IF(Skills!N18=TRUE,(Skills!L18/10)*(E915/1000),Skills!L18/10)+Skills!O18</f>
        <v/>
      </c>
      <c r="G915">
        <f>Skills!G18*IF(Skills!H18&gt;0,Skills!I18/Skills!H18,1)</f>
        <v/>
      </c>
      <c r="H915">
        <f>1-(1-Skills!J18/100)^Skills!K18</f>
        <v/>
      </c>
      <c r="I915" t="inlineStr">
        <is>
          <t>1</t>
        </is>
      </c>
      <c r="J915" t="inlineStr"/>
      <c r="K915" t="inlineStr"/>
      <c r="L915" t="inlineStr"/>
      <c r="M915" t="inlineStr"/>
      <c r="N915" t="inlineStr"/>
      <c r="O915" t="n">
        <v>0</v>
      </c>
      <c r="P915">
        <f>IF(B930=0,0,O915/B930)</f>
        <v/>
      </c>
      <c r="Q915" t="n">
        <v>0</v>
      </c>
      <c r="R915" t="n">
        <v>0</v>
      </c>
      <c r="S915">
        <f>IFERROR(O915/N915,0)</f>
        <v/>
      </c>
    </row>
    <row r="916">
      <c r="A916">
        <f>Skills!A19</f>
        <v/>
      </c>
      <c r="B916">
        <f>Skills!B19</f>
        <v/>
      </c>
      <c r="C916">
        <f>Inputs!$B$3&gt;=40</f>
        <v/>
      </c>
      <c r="D916">
        <f>IF(Skills!C19=1,60+Inputs!$B$24+Inputs!$B$28,IF(Skills!C19=2,90+Inputs!$B$25+Inputs!$B$28,IF(Skills!C19=3,120+Inputs!$B$26+Inputs!$B$28,MAX(0,(Inputs!$B$3-100)*3)+Inputs!$B$27+Inputs!$B$28)))</f>
        <v/>
      </c>
      <c r="E916">
        <f>INDEX(FactorTable!$B$2:$Y$301, MATCH(ROUND(MIN(300,MAX(1,D916)),0), FactorTable!$A$2:$A$301,0), Skills!M19+1)</f>
        <v/>
      </c>
      <c r="F916">
        <f>IF(Skills!N19=TRUE,(Skills!L19/10)*(E916/1000),Skills!L19/10)+Skills!O19</f>
        <v/>
      </c>
      <c r="G916">
        <f>Skills!G19*IF(Skills!H19&gt;0,Skills!I19/Skills!H19,1)</f>
        <v/>
      </c>
      <c r="H916">
        <f>1-(1-Skills!J19/100)^Skills!K19</f>
        <v/>
      </c>
      <c r="I916" t="inlineStr">
        <is>
          <t>1</t>
        </is>
      </c>
      <c r="J916" t="inlineStr"/>
      <c r="K916" t="inlineStr"/>
      <c r="L916" t="inlineStr"/>
      <c r="M916" t="inlineStr"/>
      <c r="N916" t="inlineStr"/>
      <c r="O916" t="n">
        <v>0</v>
      </c>
      <c r="P916">
        <f>IF(B930=0,0,O916/B930)</f>
        <v/>
      </c>
      <c r="Q916" t="n">
        <v>0</v>
      </c>
      <c r="R916" t="n">
        <v>0</v>
      </c>
      <c r="S916">
        <f>IFERROR(O916/N916,0)</f>
        <v/>
      </c>
    </row>
    <row r="917">
      <c r="A917">
        <f>Skills!A20</f>
        <v/>
      </c>
      <c r="B917">
        <f>Skills!B20</f>
        <v/>
      </c>
      <c r="C917">
        <f>Inputs!$B$3&gt;=43</f>
        <v/>
      </c>
      <c r="D917">
        <f>IF(Skills!C20=1,60+Inputs!$B$24+Inputs!$B$28,IF(Skills!C20=2,90+Inputs!$B$25+Inputs!$B$28,IF(Skills!C20=3,120+Inputs!$B$26+Inputs!$B$28,MAX(0,(Inputs!$B$3-100)*3)+Inputs!$B$27+Inputs!$B$28)))</f>
        <v/>
      </c>
      <c r="E917">
        <f>INDEX(FactorTable!$B$2:$Y$301, MATCH(ROUND(MIN(300,MAX(1,D917)),0), FactorTable!$A$2:$A$301,0), Skills!M20+1)</f>
        <v/>
      </c>
      <c r="F917">
        <f>IF(Skills!N20=TRUE,(Skills!L20/10)*(E917/1000),Skills!L20/10)+Skills!O20</f>
        <v/>
      </c>
      <c r="G917">
        <f>Skills!G20*IF(Skills!H20&gt;0,Skills!I20/Skills!H20,1)</f>
        <v/>
      </c>
      <c r="H917">
        <f>1-(1-Skills!J20/100)^Skills!K20</f>
        <v/>
      </c>
      <c r="I917" t="inlineStr">
        <is>
          <t>1</t>
        </is>
      </c>
      <c r="J917" t="inlineStr"/>
      <c r="K917" t="inlineStr"/>
      <c r="L917" t="inlineStr"/>
      <c r="M917" t="inlineStr"/>
      <c r="N917" t="inlineStr"/>
      <c r="O917" t="n">
        <v>0</v>
      </c>
      <c r="P917">
        <f>IF(B930=0,0,O917/B930)</f>
        <v/>
      </c>
      <c r="Q917" t="n">
        <v>0</v>
      </c>
      <c r="R917" t="n">
        <v>0</v>
      </c>
      <c r="S917">
        <f>IFERROR(O917/N917,0)</f>
        <v/>
      </c>
    </row>
    <row r="918">
      <c r="A918">
        <f>Skills!A21</f>
        <v/>
      </c>
      <c r="B918">
        <f>Skills!B21</f>
        <v/>
      </c>
      <c r="C918">
        <f>Inputs!$B$3&gt;=38</f>
        <v/>
      </c>
      <c r="D918">
        <f>IF(Skills!C21=1,60+Inputs!$B$24+Inputs!$B$28,IF(Skills!C21=2,90+Inputs!$B$25+Inputs!$B$28,IF(Skills!C21=3,120+Inputs!$B$26+Inputs!$B$28,MAX(0,(Inputs!$B$3-100)*3)+Inputs!$B$27+Inputs!$B$28)))</f>
        <v/>
      </c>
      <c r="E918">
        <f>INDEX(FactorTable!$B$2:$Y$301, MATCH(ROUND(MIN(300,MAX(1,D918)),0), FactorTable!$A$2:$A$301,0), Skills!M21+1)</f>
        <v/>
      </c>
      <c r="F918">
        <f>IF(Skills!N21=TRUE,(Skills!L21/10)*(E918/1000),Skills!L21/10)+Skills!O21</f>
        <v/>
      </c>
      <c r="G918">
        <f>Skills!G21*IF(Skills!H21&gt;0,Skills!I21/Skills!H21,1)</f>
        <v/>
      </c>
      <c r="H918">
        <f>1-(1-Skills!J21/100)^Skills!K21</f>
        <v/>
      </c>
      <c r="I918" t="inlineStr">
        <is>
          <t>1</t>
        </is>
      </c>
      <c r="J918" t="inlineStr"/>
      <c r="K918" t="inlineStr"/>
      <c r="L918" t="inlineStr"/>
      <c r="M918" t="inlineStr"/>
      <c r="N918" t="inlineStr"/>
      <c r="O918" t="n">
        <v>0</v>
      </c>
      <c r="P918">
        <f>IF(B930=0,0,O918/B930)</f>
        <v/>
      </c>
      <c r="Q918" t="n">
        <v>0</v>
      </c>
      <c r="R918" t="n">
        <v>0</v>
      </c>
      <c r="S918">
        <f>IFERROR(O918/N918,0)</f>
        <v/>
      </c>
    </row>
    <row r="919">
      <c r="A919">
        <f>Skills!A22</f>
        <v/>
      </c>
      <c r="B919">
        <f>Skills!B22</f>
        <v/>
      </c>
      <c r="C919">
        <f>Inputs!$B$3&gt;=75</f>
        <v/>
      </c>
      <c r="D919">
        <f>IF(Skills!C22=1,60+Inputs!$B$24+Inputs!$B$28,IF(Skills!C22=2,90+Inputs!$B$25+Inputs!$B$28,IF(Skills!C22=3,120+Inputs!$B$26+Inputs!$B$28,MAX(0,(Inputs!$B$3-100)*3)+Inputs!$B$27+Inputs!$B$28)))</f>
        <v/>
      </c>
      <c r="E919">
        <f>INDEX(FactorTable!$B$2:$Y$301, MATCH(ROUND(MIN(300,MAX(1,D919)),0), FactorTable!$A$2:$A$301,0), Skills!M22+1)</f>
        <v/>
      </c>
      <c r="F919">
        <f>IF(Skills!N22=TRUE,(Skills!L22/10)*(E919/1000),Skills!L22/10)+Skills!O22</f>
        <v/>
      </c>
      <c r="G919">
        <f>Skills!G22*IF(Skills!H22&gt;0,Skills!I22/Skills!H22,1)</f>
        <v/>
      </c>
      <c r="H919">
        <f>1-(1-Skills!J22/100)^Skills!K22</f>
        <v/>
      </c>
      <c r="I919" t="inlineStr">
        <is>
          <t>1</t>
        </is>
      </c>
      <c r="J919" t="inlineStr"/>
      <c r="K919" t="inlineStr"/>
      <c r="L919" t="inlineStr"/>
      <c r="M919" t="inlineStr"/>
      <c r="N919" t="inlineStr"/>
      <c r="O919" t="n">
        <v>0</v>
      </c>
      <c r="P919">
        <f>IF(B930=0,0,O919/B930)</f>
        <v/>
      </c>
      <c r="Q919" t="n">
        <v>0</v>
      </c>
      <c r="R919" t="n">
        <v>0</v>
      </c>
      <c r="S919">
        <f>IFERROR(O919/N919,0)</f>
        <v/>
      </c>
    </row>
    <row r="921">
      <c r="A921" t="inlineStr">
        <is>
          <t>Attack% Bucket Multiplier</t>
        </is>
      </c>
      <c r="B921">
        <f>(1+(((C910=TRUE)*F910)+((C916=TRUE)*(F916-Calc!F19)))/100)</f>
        <v/>
      </c>
    </row>
    <row r="922">
      <c r="A922" t="inlineStr">
        <is>
          <t>Global Crit Rate Bonus %</t>
        </is>
      </c>
      <c r="B922" t="n">
        <v>0</v>
      </c>
    </row>
    <row r="923">
      <c r="A923" t="inlineStr">
        <is>
          <t>Attack Speed Buff Bonus % (unused)</t>
        </is>
      </c>
      <c r="B923" t="n">
        <v>0</v>
      </c>
    </row>
    <row r="924">
      <c r="A924" t="inlineStr">
        <is>
          <t>Actions Per Second</t>
        </is>
      </c>
      <c r="B924">
        <f>1+MIN(150,150*(1-(1-(Inputs!$B$10+((C914=TRUE)*(F914-Calc!F17))+((C915=TRUE)*(F915-Calc!F18)))/150)*(1-B923/150)))/100</f>
        <v/>
      </c>
    </row>
    <row r="925">
      <c r="A925" t="inlineStr">
        <is>
          <t>Skill + Buff Cast Rate</t>
        </is>
      </c>
      <c r="B925">
        <f>IF(AND(Inputs!$B$4&lt;&gt;"pvp",Inputs!$B$35&gt;0),SUMPRODUCT((Skills!E2:E22=TRUE)*(C899:C919=TRUE)*R899:R919*Skills!F2:F22)/Inputs!$B$35,SUMPRODUCT((Skills!E2:E22=TRUE)*(C899:C919=TRUE)*Q899:Q919*Skills!F2:F22))</f>
        <v/>
      </c>
    </row>
    <row r="926">
      <c r="A926" t="inlineStr">
        <is>
          <t>Hook Bomber Casts Per Second</t>
        </is>
      </c>
      <c r="B926">
        <f>MAX(0,B924-B925)</f>
        <v/>
      </c>
    </row>
    <row r="927">
      <c r="A927" t="inlineStr">
        <is>
          <t>Global Critical Damage Bonus % (unused)</t>
        </is>
      </c>
      <c r="B927" t="n">
        <v>0</v>
      </c>
    </row>
    <row r="928">
      <c r="A928" t="inlineStr">
        <is>
          <t>Global Final Damage Bonus % (Serpent Scale + Crossbones + Time Leap + Speed Infusion)</t>
        </is>
      </c>
      <c r="B928">
        <f>((C902=TRUE)*F902*((10+IF(Inputs!$B$3&gt;=94,5,0))/((10+IF(Inputs!$B$3&gt;=94,5,0))+5/(B926*(1+IF(Inputs!$B$3&gt;=104,1,0))))))+((C911=TRUE)*F911)+((C912=TRUE)*F912)+((Inputs!$B$3&gt;=110)*20*(B924-1))</f>
        <v/>
      </c>
    </row>
    <row r="930">
      <c r="A930" s="5" t="inlineStr">
        <is>
          <t>TOTAL DPS</t>
        </is>
      </c>
      <c r="B930" s="5">
        <f>SUM(O899:O919)</f>
        <v/>
      </c>
    </row>
    <row r="933">
      <c r="A933" s="5" t="inlineStr">
        <is>
          <t>Stat: Buff Duration Increase %</t>
        </is>
      </c>
    </row>
    <row r="934">
      <c r="A934" s="8" t="inlineStr">
        <is>
          <t>Key</t>
        </is>
      </c>
      <c r="B934" s="8" t="inlineStr">
        <is>
          <t>Name</t>
        </is>
      </c>
      <c r="C934" s="8" t="inlineStr">
        <is>
          <t>Unlocked</t>
        </is>
      </c>
      <c r="D934" s="8" t="inlineStr">
        <is>
          <t>InputLevel</t>
        </is>
      </c>
      <c r="E934" s="8" t="inlineStr">
        <is>
          <t>Factor</t>
        </is>
      </c>
      <c r="F934" s="8" t="inlineStr">
        <is>
          <t>CoefficientPercent</t>
        </is>
      </c>
      <c r="G934" s="8" t="inlineStr">
        <is>
          <t>EffectiveHits</t>
        </is>
      </c>
      <c r="H934" s="8" t="inlineStr">
        <is>
          <t>ProcProbability</t>
        </is>
      </c>
      <c r="I934" s="8" t="inlineStr">
        <is>
          <t>MapleHeroMultiplier</t>
        </is>
      </c>
      <c r="J934" s="8" t="inlineStr">
        <is>
          <t>BaseDamage</t>
        </is>
      </c>
      <c r="K934" s="8" t="inlineStr">
        <is>
          <t>BaseHitDamage</t>
        </is>
      </c>
      <c r="L934" s="8" t="inlineStr">
        <is>
          <t>NonCritAvg</t>
        </is>
      </c>
      <c r="M934" s="8" t="inlineStr">
        <is>
          <t>CritAvg</t>
        </is>
      </c>
      <c r="N934" s="8" t="inlineStr">
        <is>
          <t>ExpectedDamage(perHit)</t>
        </is>
      </c>
      <c r="O934" s="8" t="inlineStr">
        <is>
          <t>DPS</t>
        </is>
      </c>
      <c r="P934" s="8" t="inlineStr">
        <is>
          <t>% of Total</t>
        </is>
      </c>
      <c r="Q934" s="8" t="inlineStr">
        <is>
          <t>InvCooldown</t>
        </is>
      </c>
      <c r="R934" s="8" t="inlineStr">
        <is>
          <t>CastsInFight</t>
        </is>
      </c>
      <c r="S934" s="8" t="inlineStr">
        <is>
          <t>HitRate(perSec)</t>
        </is>
      </c>
      <c r="U934" t="inlineStr">
        <is>
          <t>helpers</t>
        </is>
      </c>
    </row>
    <row r="935">
      <c r="A935">
        <f>Skills!A2</f>
        <v/>
      </c>
      <c r="B935">
        <f>Skills!B2</f>
        <v/>
      </c>
      <c r="C935">
        <f>Inputs!$B$3&gt;=100</f>
        <v/>
      </c>
      <c r="D935" t="inlineStr"/>
      <c r="E935" t="inlineStr"/>
      <c r="F935">
        <f>U937+Skills!O2</f>
        <v/>
      </c>
      <c r="G935">
        <f>Skills!G2*IF(Skills!H2&gt;0,Skills!I2/Skills!H2,1)</f>
        <v/>
      </c>
      <c r="H935">
        <f>1-(1-Skills!J2/100)^Skills!K2</f>
        <v/>
      </c>
      <c r="I935" t="inlineStr">
        <is>
          <t>1</t>
        </is>
      </c>
      <c r="J935">
        <f>(Inputs!$B$5*(1+Inputs!$B$6/100))*(F935/100)</f>
        <v/>
      </c>
      <c r="K935">
        <f>J935*(1+((Inputs!$B$11*(1+Inputs!$B$12/100))*0.01+Inputs!$B$13*0.0025)/100)*(1+Inputs!$B$14/100)*(1+IF(Inputs!$B$4="pvp",0,(1-Summary!$B$55)*(Inputs!$B$19+0+Skills!P2)+Summary!$B$55*(Inputs!$B$20+Skills!Q2))/100)*(1+Inputs!$B$15/100)*(5000/(6000+Inputs!$B$7*(1-(Inputs!$B$18+0)/100)))*(1+(Inputs!$B$23+((C955=TRUE)*(F955-Calc!F22))+B964)/100)*(1+(IF(Skills!A2="HOOK_BOMBER",Inputs!$B$16+((C954=TRUE)*(F954-Calc!F21)),Inputs!$B$17+0))/100)*((1+(((C946=TRUE)*F946)+((C952=TRUE)*(F952-Calc!F19)))/100)*I935)</f>
        <v/>
      </c>
      <c r="L935">
        <f>K935*(MIN(Inputs!$B$21+((C953=TRUE)*(F953-Calc!F20)),Inputs!$B$22+0)/100+(Inputs!$B$22+0)/100)/2</f>
        <v/>
      </c>
      <c r="M935">
        <f>L935*(1+(Inputs!$B$9+0+B963)/100)</f>
        <v/>
      </c>
      <c r="N935">
        <f>L935*(1-MIN((Inputs!$B$8+((C949=TRUE)*(F949-Calc!F16))+B958),100)/100)+M935*(MIN((Inputs!$B$8+((C949=TRUE)*(F949-Calc!F16))+B958),100)/100)</f>
        <v/>
      </c>
      <c r="O935">
        <f>IF(C935,Skills!G2*N935*B962*IF(Inputs!$B$4="pvp",1,(1-Summary!$B$55)*(1)+Summary!$B$55*(MIN((6+Inputs!$B$32),Inputs!$B$37))),0)</f>
        <v/>
      </c>
      <c r="P935">
        <f>IF(B966=0,0,O935/B966)</f>
        <v/>
      </c>
      <c r="Q935" t="n">
        <v>0</v>
      </c>
      <c r="R935" t="n">
        <v>0</v>
      </c>
      <c r="S935">
        <f>IFERROR(O935/N935,0)</f>
        <v/>
      </c>
      <c r="U935">
        <f>MAX(0,(Inputs!$B$3-100)*3)+Inputs!$B$27+Inputs!$B$28</f>
        <v/>
      </c>
    </row>
    <row r="936">
      <c r="A936">
        <f>Skills!A3</f>
        <v/>
      </c>
      <c r="B936">
        <f>Skills!B3</f>
        <v/>
      </c>
      <c r="C936">
        <f>Inputs!$B$3&gt;=35</f>
        <v/>
      </c>
      <c r="D936">
        <f>IF(Skills!C3=1,60+Inputs!$B$24+Inputs!$B$28,IF(Skills!C3=2,90+Inputs!$B$25+Inputs!$B$28,IF(Skills!C3=3,120+Inputs!$B$26+Inputs!$B$28,MAX(0,(Inputs!$B$3-100)*3)+Inputs!$B$27+Inputs!$B$28)))</f>
        <v/>
      </c>
      <c r="E936">
        <f>INDEX(FactorTable!$B$2:$Y$301, MATCH(ROUND(MIN(300,MAX(1,D936)),0), FactorTable!$A$2:$A$301,0), Skills!M3+1)</f>
        <v/>
      </c>
      <c r="F936">
        <f>IF(Skills!N3=TRUE,(Skills!L3/10)*(E936/1000),Skills!L3/10)+Skills!O3</f>
        <v/>
      </c>
      <c r="G936">
        <f>Skills!G3*IF(Skills!H3&gt;0,Skills!I3/Skills!H3,1)</f>
        <v/>
      </c>
      <c r="H936">
        <f>1-(1-Skills!J3/100)^Skills!K3</f>
        <v/>
      </c>
      <c r="I936" t="inlineStr">
        <is>
          <t>1</t>
        </is>
      </c>
      <c r="J936">
        <f>(Inputs!$B$5*(1+Inputs!$B$6/100))*(F936/100)</f>
        <v/>
      </c>
      <c r="K936">
        <f>J936*(1+((Inputs!$B$11*(1+Inputs!$B$12/100))*0.01+Inputs!$B$13*0.0025)/100)*(1+Inputs!$B$14/100)*(1+IF(Inputs!$B$4="pvp",0,(1-Summary!$B$55)*(Inputs!$B$19+0+Skills!P3)+Summary!$B$55*(Inputs!$B$20+Skills!Q3))/100)*(1+Inputs!$B$15/100)*(5000/(6000+Inputs!$B$7*(1-(Inputs!$B$18+0)/100)))*(1+(Inputs!$B$23+((C955=TRUE)*(F955-Calc!F22))+B964)/100)*(1+(IF(Skills!A3="HOOK_BOMBER",Inputs!$B$16+((C954=TRUE)*(F954-Calc!F21)),Inputs!$B$17+0))/100)*((1+(((C946=TRUE)*F946)+((C952=TRUE)*(F952-Calc!F19)))/100)*I936)</f>
        <v/>
      </c>
      <c r="L936">
        <f>K936*(MIN(Inputs!$B$21+((C953=TRUE)*(F953-Calc!F20)),Inputs!$B$22+0)/100+(Inputs!$B$22+0)/100)/2</f>
        <v/>
      </c>
      <c r="M936">
        <f>L936*(1+(Inputs!$B$9+0+B963)/100)</f>
        <v/>
      </c>
      <c r="N936">
        <f>L936*(1-MIN((Inputs!$B$8+((C949=TRUE)*(F949-Calc!F16))+B958),100)/100)+M936*(MIN((Inputs!$B$8+((C949=TRUE)*(F949-Calc!F16))+B958),100)/100)</f>
        <v/>
      </c>
      <c r="O936">
        <f>IF(C936,Skills!G3*H936*N936*B962*IF(Inputs!$B$4="pvp",1,(1-Summary!$B$55)*(1)+Summary!$B$55*(MIN(Skills!R3,Inputs!$B$37))),0)</f>
        <v/>
      </c>
      <c r="P936">
        <f>IF(B966=0,0,O936/B966)</f>
        <v/>
      </c>
      <c r="Q936" t="n">
        <v>0</v>
      </c>
      <c r="R936" t="n">
        <v>0</v>
      </c>
      <c r="S936">
        <f>IFERROR(O936/N936,0)</f>
        <v/>
      </c>
      <c r="U936">
        <f>INDEX(FactorTable!$B$2:$Y$301, MATCH(ROUND(MIN(300,MAX(1,U935)),0), FactorTable!$A$2:$A$301,0), 22)</f>
        <v/>
      </c>
    </row>
    <row r="937">
      <c r="A937">
        <f>Skills!A4</f>
        <v/>
      </c>
      <c r="B937">
        <f>Skills!B4</f>
        <v/>
      </c>
      <c r="C937">
        <f>Inputs!$B$3&gt;=60</f>
        <v/>
      </c>
      <c r="D937">
        <f>IF(Skills!C4=1,60+Inputs!$B$24+Inputs!$B$28,IF(Skills!C4=2,90+Inputs!$B$25+Inputs!$B$28,IF(Skills!C4=3,120+Inputs!$B$26+Inputs!$B$28,MAX(0,(Inputs!$B$3-100)*3)+Inputs!$B$27+Inputs!$B$28)))</f>
        <v/>
      </c>
      <c r="E937">
        <f>INDEX(FactorTable!$B$2:$Y$301, MATCH(ROUND(MIN(300,MAX(1,D937)),0), FactorTable!$A$2:$A$301,0), Skills!M4+1)</f>
        <v/>
      </c>
      <c r="F937">
        <f>IF(Skills!N4=TRUE,(Skills!L4/10)*(E937/1000),Skills!L4/10)+Skills!O4</f>
        <v/>
      </c>
      <c r="G937">
        <f>Skills!G4*IF(Skills!H4&gt;0,Skills!I4/Skills!H4,1)</f>
        <v/>
      </c>
      <c r="H937">
        <f>1-(1-Skills!J4/100)^Skills!K4</f>
        <v/>
      </c>
      <c r="I937" t="inlineStr">
        <is>
          <t>1</t>
        </is>
      </c>
      <c r="J937">
        <f>(Inputs!$B$5*(1+Inputs!$B$6/100))*(F937/100)</f>
        <v/>
      </c>
      <c r="K937">
        <f>J937*(1+((Inputs!$B$11*(1+Inputs!$B$12/100))*0.01+Inputs!$B$13*0.0025)/100)*(1+Inputs!$B$14/100)*(1+IF(Inputs!$B$4="pvp",0,(1-Summary!$B$55)*(Inputs!$B$19+0+Skills!P4)+Summary!$B$55*(Inputs!$B$20+Skills!Q4))/100)*(1+Inputs!$B$15/100)*(5000/(6000+Inputs!$B$7*(1-(Inputs!$B$18+0)/100)))*(1+(Inputs!$B$23+((C955=TRUE)*(F955-Calc!F22))+B964)/100)*(1+1.0*IF(C945=TRUE,F945,0)/100)*(1+(IF(Skills!A4="HOOK_BOMBER",Inputs!$B$16+((C954=TRUE)*(F954-Calc!F21)),Inputs!$B$17+0))/100)*((1+(((C946=TRUE)*F946)+((C952=TRUE)*(F952-Calc!F19)))/100)*I937)</f>
        <v/>
      </c>
      <c r="L937">
        <f>K937*(MIN(Inputs!$B$21+((C953=TRUE)*(F953-Calc!F20)),Inputs!$B$22+0)/100+(Inputs!$B$22+0)/100)/2</f>
        <v/>
      </c>
      <c r="M937">
        <f>L937*(1+(Inputs!$B$9+0+B963)/100)</f>
        <v/>
      </c>
      <c r="N937">
        <f>L937*(1-MIN((Inputs!$B$8+((C949=TRUE)*(F949-Calc!F16))+B958),100)/100)+M937*(MIN((Inputs!$B$8+((C949=TRUE)*(F949-Calc!F16))+B958),100)/100)</f>
        <v/>
      </c>
      <c r="O937">
        <f>IF(C937,Skills!G4*H937*N937*B962*IF(Inputs!$B$4="pvp",1,(1-Summary!$B$55)*(1)+Summary!$B$55*(MIN(Skills!R4,Inputs!$B$37))),0)</f>
        <v/>
      </c>
      <c r="P937">
        <f>IF(B966=0,0,O937/B966)</f>
        <v/>
      </c>
      <c r="Q937" t="n">
        <v>0</v>
      </c>
      <c r="R937" t="n">
        <v>0</v>
      </c>
      <c r="S937">
        <f>IFERROR(O937/N937,0)</f>
        <v/>
      </c>
      <c r="U937">
        <f>290*U936/1000</f>
        <v/>
      </c>
    </row>
    <row r="938">
      <c r="A938">
        <f>Skills!A5</f>
        <v/>
      </c>
      <c r="B938">
        <f>Skills!B5</f>
        <v/>
      </c>
      <c r="C938">
        <f>Inputs!$B$3&gt;=60</f>
        <v/>
      </c>
      <c r="D938">
        <f>IF(Skills!C5=1,60+Inputs!$B$24+Inputs!$B$28,IF(Skills!C5=2,90+Inputs!$B$25+Inputs!$B$28,IF(Skills!C5=3,120+Inputs!$B$26+Inputs!$B$28,MAX(0,(Inputs!$B$3-100)*3)+Inputs!$B$27+Inputs!$B$28)))</f>
        <v/>
      </c>
      <c r="E938">
        <f>INDEX(FactorTable!$B$2:$Y$301, MATCH(ROUND(MIN(300,MAX(1,D938)),0), FactorTable!$A$2:$A$301,0), Skills!M5+1)</f>
        <v/>
      </c>
      <c r="F938">
        <f>IF(Skills!N5=TRUE,(Skills!L5/10)*(E938/1000),Skills!L5/10)+Skills!O5</f>
        <v/>
      </c>
      <c r="G938">
        <f>Skills!G5*IF(Skills!H5&gt;0,Skills!I5/Skills!H5,1)</f>
        <v/>
      </c>
      <c r="H938">
        <f>1-(1-Skills!J5/100)^Skills!K5</f>
        <v/>
      </c>
      <c r="I938" t="inlineStr">
        <is>
          <t>1</t>
        </is>
      </c>
      <c r="J938" t="inlineStr"/>
      <c r="K938" t="inlineStr"/>
      <c r="L938" t="inlineStr"/>
      <c r="M938" t="inlineStr"/>
      <c r="N938" t="inlineStr"/>
      <c r="O938" t="n">
        <v>0</v>
      </c>
      <c r="P938">
        <f>IF(B966=0,0,O938/B966)</f>
        <v/>
      </c>
      <c r="Q938" t="n">
        <v>0</v>
      </c>
      <c r="R938" t="n">
        <v>0</v>
      </c>
      <c r="S938">
        <f>IFERROR(O938/N938,0)</f>
        <v/>
      </c>
    </row>
    <row r="939">
      <c r="A939">
        <f>Skills!A6</f>
        <v/>
      </c>
      <c r="B939">
        <f>Skills!B6</f>
        <v/>
      </c>
      <c r="C939">
        <f>Inputs!$B$3&gt;=63</f>
        <v/>
      </c>
      <c r="D939">
        <f>IF(Skills!C6=1,60+Inputs!$B$24+Inputs!$B$28,IF(Skills!C6=2,90+Inputs!$B$25+Inputs!$B$28,IF(Skills!C6=3,120+Inputs!$B$26+Inputs!$B$28,MAX(0,(Inputs!$B$3-100)*3)+Inputs!$B$27+Inputs!$B$28)))</f>
        <v/>
      </c>
      <c r="E939">
        <f>INDEX(FactorTable!$B$2:$Y$301, MATCH(ROUND(MIN(300,MAX(1,D939)),0), FactorTable!$A$2:$A$301,0), Skills!M6+1)</f>
        <v/>
      </c>
      <c r="F939">
        <f>IF(Skills!N6=TRUE,(Skills!L6/10)*(E939/1000),Skills!L6/10)+Skills!O6</f>
        <v/>
      </c>
      <c r="G939">
        <f>Skills!G6*IF(Skills!H6&gt;0,Skills!I6/Skills!H6,1)</f>
        <v/>
      </c>
      <c r="H939">
        <f>1-(1-Skills!J6/100)^Skills!K6</f>
        <v/>
      </c>
      <c r="I939" t="inlineStr">
        <is>
          <t>1</t>
        </is>
      </c>
      <c r="J939">
        <f>(Inputs!$B$5*(1+Inputs!$B$6/100))*(F939/100)</f>
        <v/>
      </c>
      <c r="K939">
        <f>J939*(1+((Inputs!$B$11*(1+Inputs!$B$12/100))*0.01+Inputs!$B$13*0.0025)/100)*(1+Inputs!$B$14/100)*(1+IF(Inputs!$B$4="pvp",0,(1-Summary!$B$55)*(Inputs!$B$19+0+Skills!P6)+Summary!$B$55*(Inputs!$B$20+Skills!Q6))/100)*(1+Inputs!$B$15/100)*(5000/(6000+Inputs!$B$7*(1-(Inputs!$B$18+0)/100)))*(1+(Inputs!$B$23+((C955=TRUE)*(F955-Calc!F22))+B964)/100)*(1+(IF(Skills!A6="HOOK_BOMBER",Inputs!$B$16+((C954=TRUE)*(F954-Calc!F21)),Inputs!$B$17+0))/100)*((1+(((C946=TRUE)*F946)+((C952=TRUE)*(F952-Calc!F19)))/100)*I939)</f>
        <v/>
      </c>
      <c r="L939">
        <f>K939*(MIN(Inputs!$B$21+((C953=TRUE)*(F953-Calc!F20)),Inputs!$B$22+0)/100+(Inputs!$B$22+0)/100)/2</f>
        <v/>
      </c>
      <c r="M939">
        <f>L939*(1+(Inputs!$B$9+0+B963)/100)</f>
        <v/>
      </c>
      <c r="N939">
        <f>L939*(1-MIN((Inputs!$B$8+((C949=TRUE)*(F949-Calc!F16))+B958),100)/100)+M939*(MIN((Inputs!$B$8+((C949=TRUE)*(F949-Calc!F16))+B958),100)/100)</f>
        <v/>
      </c>
      <c r="O939">
        <f>IF(C939,H939*N939*IF(AND(Inputs!$B$4&lt;&gt;"pvp",Inputs!$B$35&gt;0),((Skills!G6*((R939-1)*IF(Skills!H6&gt;0,Skills!I6/Skills!H6,1)+IF(Skills!H6&gt;0,MIN(Skills!I6,MAX(0,Inputs!$B$35-((R939-1)*IF(Inputs!$B$4="pvp",15,MAX(0.1,Skills!D6-IF(Skills!E6=TRUE,Inputs!$B$31,0))))))/Skills!H6,1)))/Inputs!$B$35),G939*Q939)*IF(Inputs!$B$4="pvp",1,(1-Summary!$B$55)*(1)+Summary!$B$55*(MIN(Skills!R6,Inputs!$B$37))),0)</f>
        <v/>
      </c>
      <c r="P939">
        <f>IF(B966=0,0,O939/B966)</f>
        <v/>
      </c>
      <c r="Q939">
        <f>IFERROR(1/IF(Inputs!$B$4="pvp",15,MAX(0.1,Skills!D6-IF(Skills!E6=TRUE,Inputs!$B$31,0))),0)</f>
        <v/>
      </c>
      <c r="R939">
        <f>IF(AND(Inputs!$B$4&lt;&gt;"pvp",Inputs!$B$35&gt;0),(INT(Inputs!$B$35/IF(Inputs!$B$4="pvp",15,MAX(0.1,Skills!D6-IF(Skills!E6=TRUE,Inputs!$B$31,0))))+1),0)</f>
        <v/>
      </c>
      <c r="S939">
        <f>IFERROR(O939/N939,0)</f>
        <v/>
      </c>
    </row>
    <row r="940">
      <c r="A940">
        <f>Skills!A7</f>
        <v/>
      </c>
      <c r="B940">
        <f>Skills!B7</f>
        <v/>
      </c>
      <c r="C940">
        <f>Inputs!$B$3&gt;=100</f>
        <v/>
      </c>
      <c r="D940">
        <f>IF(Skills!C7=1,60+Inputs!$B$24+Inputs!$B$28,IF(Skills!C7=2,90+Inputs!$B$25+Inputs!$B$28,IF(Skills!C7=3,120+Inputs!$B$26+Inputs!$B$28,MAX(0,(Inputs!$B$3-100)*3)+Inputs!$B$27+Inputs!$B$28)))</f>
        <v/>
      </c>
      <c r="E940">
        <f>INDEX(FactorTable!$B$2:$Y$301, MATCH(ROUND(MIN(300,MAX(1,D940)),0), FactorTable!$A$2:$A$301,0), Skills!M7+1)</f>
        <v/>
      </c>
      <c r="F940">
        <f>IF(Skills!N7=TRUE,(Skills!L7/10)*(E940/1000),Skills!L7/10)+Skills!O7</f>
        <v/>
      </c>
      <c r="G940">
        <f>Skills!G7*IF(Skills!H7&gt;0,Skills!I7/Skills!H7,1)</f>
        <v/>
      </c>
      <c r="H940">
        <f>1-(1-Skills!J7/100)^Skills!K7</f>
        <v/>
      </c>
      <c r="I940" t="inlineStr">
        <is>
          <t>1</t>
        </is>
      </c>
      <c r="J940">
        <f>(Inputs!$B$5*(1+Inputs!$B$6/100))*(F940/100)</f>
        <v/>
      </c>
      <c r="K940">
        <f>J940*(1+((Inputs!$B$11*(1+Inputs!$B$12/100))*0.01+Inputs!$B$13*0.0025)/100)*(1+Inputs!$B$14/100)*(1+IF(Inputs!$B$4="pvp",0,(1-Summary!$B$55)*(Inputs!$B$19+0+Skills!P7)+Summary!$B$55*(Inputs!$B$20+Skills!Q7))/100)*(1+Inputs!$B$15/100)*(5000/(6000+Inputs!$B$7*(1-(Inputs!$B$18+0)/100)))*(1+(Inputs!$B$23+((C955=TRUE)*(F955-Calc!F22))+B964)/100)*(1+(IF(Skills!A7="HOOK_BOMBER",Inputs!$B$16+((C954=TRUE)*(F954-Calc!F21)),Inputs!$B$17+0))/100)*((1+(((C946=TRUE)*F946)+((C952=TRUE)*(F952-Calc!F19)))/100)*I940)</f>
        <v/>
      </c>
      <c r="L940">
        <f>K940*(MIN(Inputs!$B$21+((C953=TRUE)*(F953-Calc!F20)),Inputs!$B$22+0)/100+(Inputs!$B$22+0)/100)/2</f>
        <v/>
      </c>
      <c r="M940">
        <f>L940*(1+(Inputs!$B$9+0+B963)/100)</f>
        <v/>
      </c>
      <c r="N940">
        <f>L940*(1-MIN((Inputs!$B$8+((C949=TRUE)*(F949-Calc!F16))+B958),100)/100)+M940*(MIN((Inputs!$B$8+((C949=TRUE)*(F949-Calc!F16))+B958),100)/100)</f>
        <v/>
      </c>
      <c r="O940">
        <f>IF(C940,H940*N940*IF(AND(Inputs!$B$4&lt;&gt;"pvp",Inputs!$B$35&gt;0),((Skills!G7*((R940-1)*IF(Skills!H7&gt;0,Skills!I7/Skills!H7,1)+IF(Skills!H7&gt;0,MIN(Skills!I7,MAX(0,Inputs!$B$35-((R940-1)*IF(Inputs!$B$4="pvp",15,MAX(0.1,Skills!D7-IF(Skills!E7=TRUE,Inputs!$B$31,0))))))/Skills!H7,1)))/Inputs!$B$35),G940*Q940)*IF(Inputs!$B$4="pvp",1,(1-Summary!$B$55)*(1)+Summary!$B$55*(MIN(Skills!R7,Inputs!$B$37))),0)</f>
        <v/>
      </c>
      <c r="P940">
        <f>IF(B966=0,0,O940/B966)</f>
        <v/>
      </c>
      <c r="Q940">
        <f>IFERROR(1/IF(Inputs!$B$4="pvp",15,MAX(0.1,Skills!D7-IF(Skills!E7=TRUE,Inputs!$B$31,0))),0)</f>
        <v/>
      </c>
      <c r="R940">
        <f>IF(AND(Inputs!$B$4&lt;&gt;"pvp",Inputs!$B$35&gt;0),(INT(Inputs!$B$35/IF(Inputs!$B$4="pvp",15,MAX(0.1,Skills!D7-IF(Skills!E7=TRUE,Inputs!$B$31,0))))+1),0)</f>
        <v/>
      </c>
      <c r="S940">
        <f>IFERROR(O940/N940,0)</f>
        <v/>
      </c>
    </row>
    <row r="941">
      <c r="A941">
        <f>Skills!A8</f>
        <v/>
      </c>
      <c r="B941">
        <f>Skills!B8</f>
        <v/>
      </c>
      <c r="C941">
        <f>Inputs!$B$3&gt;=110</f>
        <v/>
      </c>
      <c r="D941">
        <f>IF(Skills!C8=1,60+Inputs!$B$24+Inputs!$B$28,IF(Skills!C8=2,90+Inputs!$B$25+Inputs!$B$28,IF(Skills!C8=3,120+Inputs!$B$26+Inputs!$B$28,MAX(0,(Inputs!$B$3-100)*3)+Inputs!$B$27+Inputs!$B$28)))</f>
        <v/>
      </c>
      <c r="E941">
        <f>INDEX(FactorTable!$B$2:$Y$301, MATCH(ROUND(MIN(300,MAX(1,D941)),0), FactorTable!$A$2:$A$301,0), Skills!M8+1)</f>
        <v/>
      </c>
      <c r="F941">
        <f>IF(Skills!N8=TRUE,(Skills!L8/10)*(E941/1000),Skills!L8/10)+Skills!O8</f>
        <v/>
      </c>
      <c r="G941">
        <f>Skills!G8*IF(Skills!H8&gt;0,Skills!I8/Skills!H8,1)</f>
        <v/>
      </c>
      <c r="H941">
        <f>1-(1-Skills!J8/100)^Skills!K8</f>
        <v/>
      </c>
      <c r="I941" t="inlineStr">
        <is>
          <t>1</t>
        </is>
      </c>
      <c r="J941">
        <f>(Inputs!$B$5*(1+Inputs!$B$6/100))*(F941/100)</f>
        <v/>
      </c>
      <c r="K941">
        <f>J941*(1+((Inputs!$B$11*(1+Inputs!$B$12/100))*0.01+Inputs!$B$13*0.0025)/100)*(1+Inputs!$B$14/100)*(1+IF(Inputs!$B$4="pvp",0,(1-Summary!$B$55)*(Inputs!$B$19+0+Skills!P8)+Summary!$B$55*(Inputs!$B$20+Skills!Q8))/100)*(1+Inputs!$B$15/100)*(5000/(6000+Inputs!$B$7*(1-(Inputs!$B$18+0)/100)))*(1+(Inputs!$B$23+((C955=TRUE)*(F955-Calc!F22))+B964)/100)*(1+(IF(Skills!A8="HOOK_BOMBER",Inputs!$B$16+((C954=TRUE)*(F954-Calc!F21)),Inputs!$B$17+0))/100)*((1+(((C946=TRUE)*F946)+((C952=TRUE)*(F952-Calc!F19)))/100)*I941)</f>
        <v/>
      </c>
      <c r="L941">
        <f>K941*(MIN(Inputs!$B$21+((C953=TRUE)*(F953-Calc!F20)),Inputs!$B$22+0)/100+(Inputs!$B$22+0)/100)/2</f>
        <v/>
      </c>
      <c r="M941">
        <f>L941*(1+(Inputs!$B$9+0+B963)/100)</f>
        <v/>
      </c>
      <c r="N941">
        <f>L941*(1-MIN((Inputs!$B$8+((C949=TRUE)*(F949-Calc!F16))+B958),100)/100)+M941*(MIN((Inputs!$B$8+((C949=TRUE)*(F949-Calc!F16))+B958),100)/100)</f>
        <v/>
      </c>
      <c r="O941">
        <f>IF(C941,H941*N941*IF(AND(Inputs!$B$4&lt;&gt;"pvp",Inputs!$B$35&gt;0),((Skills!G8*((R941-1)*IF(Skills!H8&gt;0,Skills!I8/Skills!H8,1)+IF(Skills!H8&gt;0,MIN(Skills!I8,MAX(0,Inputs!$B$35-((R941-1)*IF(Inputs!$B$4="pvp",15,MAX(0.1,Skills!D8-IF(Skills!E8=TRUE,Inputs!$B$31,0))))))/Skills!H8,1)))/Inputs!$B$35),G941*Q941)*IF(Inputs!$B$4="pvp",1,(1-Summary!$B$55)*(1)+Summary!$B$55*(MIN(Skills!R8,Inputs!$B$37))),0)</f>
        <v/>
      </c>
      <c r="P941">
        <f>IF(B966=0,0,O941/B966)</f>
        <v/>
      </c>
      <c r="Q941">
        <f>IFERROR(1/IF(Inputs!$B$4="pvp",15,MAX(0.1,Skills!D8-IF(Skills!E8=TRUE,Inputs!$B$31,0))),0)</f>
        <v/>
      </c>
      <c r="R941">
        <f>IF(AND(Inputs!$B$4&lt;&gt;"pvp",Inputs!$B$35&gt;0),(INT(Inputs!$B$35/IF(Inputs!$B$4="pvp",15,MAX(0.1,Skills!D8-IF(Skills!E8=TRUE,Inputs!$B$31,0))))+1),0)</f>
        <v/>
      </c>
      <c r="S941">
        <f>IFERROR(O941/N941,0)</f>
        <v/>
      </c>
    </row>
    <row r="942">
      <c r="A942">
        <f>Skills!A9</f>
        <v/>
      </c>
      <c r="B942">
        <f>Skills!B9</f>
        <v/>
      </c>
      <c r="C942">
        <f>Inputs!$B$3&gt;=110</f>
        <v/>
      </c>
      <c r="D942">
        <f>IF(Skills!C9=1,60+Inputs!$B$24+Inputs!$B$28,IF(Skills!C9=2,90+Inputs!$B$25+Inputs!$B$28,IF(Skills!C9=3,120+Inputs!$B$26+Inputs!$B$28,MAX(0,(Inputs!$B$3-100)*3)+Inputs!$B$27+Inputs!$B$28)))</f>
        <v/>
      </c>
      <c r="E942">
        <f>INDEX(FactorTable!$B$2:$Y$301, MATCH(ROUND(MIN(300,MAX(1,D942)),0), FactorTable!$A$2:$A$301,0), Skills!M9+1)</f>
        <v/>
      </c>
      <c r="F942">
        <f>IF(Skills!N9=TRUE,(Skills!L9/10)*(E942/1000),Skills!L9/10)+Skills!O9</f>
        <v/>
      </c>
      <c r="G942">
        <f>Skills!G9*IF(Skills!H9&gt;0,Skills!I9/Skills!H9,1)</f>
        <v/>
      </c>
      <c r="H942">
        <f>1-(1-Skills!J9/100)^Skills!K9</f>
        <v/>
      </c>
      <c r="I942" t="inlineStr">
        <is>
          <t>1</t>
        </is>
      </c>
      <c r="J942">
        <f>(Inputs!$B$5*(1+Inputs!$B$6/100))*(F942/100)</f>
        <v/>
      </c>
      <c r="K942">
        <f>J942*(1+((Inputs!$B$11*(1+Inputs!$B$12/100))*0.01+Inputs!$B$13*0.0025)/100)*(1+Inputs!$B$14/100)*(1+IF(Inputs!$B$4="pvp",0,(1-Summary!$B$55)*(Inputs!$B$19+0+Skills!P9)+Summary!$B$55*(Inputs!$B$20+Skills!Q9))/100)*(1+Inputs!$B$15/100)*(5000/(6000+Inputs!$B$7*(1-(Inputs!$B$18+0)/100)))*(1+(Inputs!$B$23+((C955=TRUE)*(F955-Calc!F22))+B964)/100)*(1+(IF(Skills!A9="HOOK_BOMBER",Inputs!$B$16+((C954=TRUE)*(F954-Calc!F21)),Inputs!$B$17+0))/100)*((1+(((C946=TRUE)*F946)+((C952=TRUE)*(F952-Calc!F19)))/100)*I942)</f>
        <v/>
      </c>
      <c r="L942">
        <f>K942*(MIN(Inputs!$B$21+((C953=TRUE)*(F953-Calc!F20)),Inputs!$B$22+0)/100+(Inputs!$B$22+0)/100)/2</f>
        <v/>
      </c>
      <c r="M942">
        <f>L942*(1+(Inputs!$B$9+0+B963)/100)</f>
        <v/>
      </c>
      <c r="N942">
        <f>L942*(1-MIN((Inputs!$B$8+((C949=TRUE)*(F949-Calc!F16))+B958),100)/100)+M942*(MIN((Inputs!$B$8+((C949=TRUE)*(F949-Calc!F16))+B958),100)/100)</f>
        <v/>
      </c>
      <c r="O942">
        <f>IF(C942,H942*N942*IF(AND(Inputs!$B$4&lt;&gt;"pvp",Inputs!$B$35&gt;0),((Skills!G9*((R942-1)*IF(Skills!H9&gt;0,Skills!I9/Skills!H9,1)+IF(Skills!H9&gt;0,MIN(Skills!I9,MAX(0,Inputs!$B$35-((R942-1)*IF(Inputs!$B$4="pvp",15,MAX(0.1,Skills!D9-IF(Skills!E9=TRUE,Inputs!$B$31,0))))))/Skills!H9,1)))/Inputs!$B$35),G942*Q942)*IF(Inputs!$B$4="pvp",1,(1-Summary!$B$55)*(1)+Summary!$B$55*(MIN(Skills!R9,Inputs!$B$37))),0)</f>
        <v/>
      </c>
      <c r="P942">
        <f>IF(B966=0,0,O942/B966)</f>
        <v/>
      </c>
      <c r="Q942">
        <f>IFERROR(1/IF(Inputs!$B$4="pvp",15,MAX(0.1,Skills!D9-IF(Skills!E9=TRUE,Inputs!$B$31,0))),0)</f>
        <v/>
      </c>
      <c r="R942">
        <f>IF(AND(Inputs!$B$4&lt;&gt;"pvp",Inputs!$B$35&gt;0),(INT(Inputs!$B$35/IF(Inputs!$B$4="pvp",15,MAX(0.1,Skills!D9-IF(Skills!E9=TRUE,Inputs!$B$31,0))))+1),0)</f>
        <v/>
      </c>
      <c r="S942">
        <f>IFERROR(O942/N942,0)</f>
        <v/>
      </c>
    </row>
    <row r="943">
      <c r="A943">
        <f>Skills!A10</f>
        <v/>
      </c>
      <c r="B943">
        <f>Skills!B10</f>
        <v/>
      </c>
      <c r="C943">
        <f>Inputs!$B$3&gt;=103</f>
        <v/>
      </c>
      <c r="D943">
        <f>IF(Skills!C10=1,60+Inputs!$B$24+Inputs!$B$28,IF(Skills!C10=2,90+Inputs!$B$25+Inputs!$B$28,IF(Skills!C10=3,120+Inputs!$B$26+Inputs!$B$28,MAX(0,(Inputs!$B$3-100)*3)+Inputs!$B$27+Inputs!$B$28)))</f>
        <v/>
      </c>
      <c r="E943">
        <f>INDEX(FactorTable!$B$2:$Y$301, MATCH(ROUND(MIN(300,MAX(1,D943)),0), FactorTable!$A$2:$A$301,0), Skills!M10+1)</f>
        <v/>
      </c>
      <c r="F943">
        <f>IF(Skills!N10=TRUE,(Skills!L10/10)*(E943/1000),Skills!L10/10)+Skills!O10</f>
        <v/>
      </c>
      <c r="G943">
        <f>Skills!G10*IF(Skills!H10&gt;0,Skills!I10/Skills!H10,1)</f>
        <v/>
      </c>
      <c r="H943">
        <f>1-(1-Skills!J10/100)^Skills!K10</f>
        <v/>
      </c>
      <c r="I943" t="inlineStr">
        <is>
          <t>1</t>
        </is>
      </c>
      <c r="J943">
        <f>(Inputs!$B$5*(1+Inputs!$B$6/100))*(F943/100)</f>
        <v/>
      </c>
      <c r="K943">
        <f>J943*(1+((Inputs!$B$11*(1+Inputs!$B$12/100))*0.01+Inputs!$B$13*0.0025)/100)*(1+Inputs!$B$14/100)*(1+IF(Inputs!$B$4="pvp",0,(1-Summary!$B$55)*(Inputs!$B$19+0+Skills!P10)+Summary!$B$55*(Inputs!$B$20+Skills!Q10))/100)*(1+Inputs!$B$15/100)*(5000/(6000+Inputs!$B$7*(1-(Inputs!$B$18+0)/100)))*(1+(Inputs!$B$23+((C955=TRUE)*(F955-Calc!F22))+B964)/100)*(1+(IF(Skills!A10="HOOK_BOMBER",Inputs!$B$16+((C954=TRUE)*(F954-Calc!F21)),Inputs!$B$17+0))/100)*((1+(((C946=TRUE)*F946)+((C952=TRUE)*(F952-Calc!F19)))/100)*I943)</f>
        <v/>
      </c>
      <c r="L943">
        <f>K943*(MIN(Inputs!$B$21+((C953=TRUE)*(F953-Calc!F20)),Inputs!$B$22+0)/100+(Inputs!$B$22+0)/100)/2</f>
        <v/>
      </c>
      <c r="M943">
        <f>L943*(1+(Inputs!$B$9+0+B963)/100)</f>
        <v/>
      </c>
      <c r="N943">
        <f>L943*(1-MIN((Inputs!$B$8+((C949=TRUE)*(F949-Calc!F16))+B958),100)/100)+M943*(MIN((Inputs!$B$8+((C949=TRUE)*(F949-Calc!F16))+B958),100)/100)</f>
        <v/>
      </c>
      <c r="O943">
        <f>IF(C943,H943*N943*IF(AND(Inputs!$B$4&lt;&gt;"pvp",Inputs!$B$35&gt;0),((Skills!G10*((R943-1)*IF(Skills!H10&gt;0,Skills!I10/Skills!H10,1)+IF(Skills!H10&gt;0,MIN(Skills!I10,MAX(0,Inputs!$B$35-((R943-1)*IF(Inputs!$B$4="pvp",15,MAX(0.1,Skills!D10-IF(Skills!E10=TRUE,Inputs!$B$31,0))))))/Skills!H10,1)))/Inputs!$B$35),G943*Q943)*IF(Inputs!$B$4="pvp",1,(1-Summary!$B$55)*(1)+Summary!$B$55*(MIN(Skills!R10,Inputs!$B$37))),0)</f>
        <v/>
      </c>
      <c r="P943">
        <f>IF(B966=0,0,O943/B966)</f>
        <v/>
      </c>
      <c r="Q943">
        <f>IFERROR(1/IF(Inputs!$B$4="pvp",15,MAX(0.1,Skills!D10-IF(Skills!E10=TRUE,Inputs!$B$31,0))),0)</f>
        <v/>
      </c>
      <c r="R943">
        <f>IF(AND(Inputs!$B$4&lt;&gt;"pvp",Inputs!$B$35&gt;0),(INT(Inputs!$B$35/IF(Inputs!$B$4="pvp",15,MAX(0.1,Skills!D10-IF(Skills!E10=TRUE,Inputs!$B$31,0))))+1),0)</f>
        <v/>
      </c>
      <c r="S943">
        <f>IFERROR(O943/N943,0)</f>
        <v/>
      </c>
    </row>
    <row r="944">
      <c r="A944">
        <f>Skills!A11</f>
        <v/>
      </c>
      <c r="B944">
        <f>Skills!B11</f>
        <v/>
      </c>
      <c r="C944">
        <f>Inputs!$B$3&gt;=113</f>
        <v/>
      </c>
      <c r="D944">
        <f>IF(Skills!C11=1,60+Inputs!$B$24+Inputs!$B$28,IF(Skills!C11=2,90+Inputs!$B$25+Inputs!$B$28,IF(Skills!C11=3,120+Inputs!$B$26+Inputs!$B$28,MAX(0,(Inputs!$B$3-100)*3)+Inputs!$B$27+Inputs!$B$28)))</f>
        <v/>
      </c>
      <c r="E944">
        <f>INDEX(FactorTable!$B$2:$Y$301, MATCH(ROUND(MIN(300,MAX(1,D944)),0), FactorTable!$A$2:$A$301,0), Skills!M11+1)</f>
        <v/>
      </c>
      <c r="F944">
        <f>IF(Skills!N11=TRUE,(Skills!L11/10)*(E944/1000),Skills!L11/10)+Skills!O11</f>
        <v/>
      </c>
      <c r="G944">
        <f>Skills!G11*IF(Skills!H11&gt;0,Skills!I11/Skills!H11,1)</f>
        <v/>
      </c>
      <c r="H944">
        <f>1-(1-Skills!J11/100)^Skills!K11</f>
        <v/>
      </c>
      <c r="I944" t="inlineStr">
        <is>
          <t>1</t>
        </is>
      </c>
      <c r="J944">
        <f>(Inputs!$B$5*(1+Inputs!$B$6/100))*(F944/100)</f>
        <v/>
      </c>
      <c r="K944">
        <f>J944*(1+((Inputs!$B$11*(1+Inputs!$B$12/100))*0.01+Inputs!$B$13*0.0025)/100)*(1+Inputs!$B$14/100)*(1+IF(Inputs!$B$4="pvp",0,(1-Summary!$B$55)*(Inputs!$B$19+0+Skills!P11)+Summary!$B$55*(Inputs!$B$20+Skills!Q11))/100)*(1+Inputs!$B$15/100)*(5000/(6000+Inputs!$B$7*(1-(Inputs!$B$18+0)/100)))*(1+(Inputs!$B$23+((C955=TRUE)*(F955-Calc!F22))+B964)/100)*(1+(IF(Skills!A11="HOOK_BOMBER",Inputs!$B$16+((C954=TRUE)*(F954-Calc!F21)),Inputs!$B$17+0))/100)*((1+(((C946=TRUE)*F946)+((C952=TRUE)*(F952-Calc!F19)))/100)*I944)</f>
        <v/>
      </c>
      <c r="L944">
        <f>K944*(MIN(Inputs!$B$21+((C953=TRUE)*(F953-Calc!F20)),Inputs!$B$22+0)/100+(Inputs!$B$22+0)/100)/2</f>
        <v/>
      </c>
      <c r="M944">
        <f>L944*(1+(Inputs!$B$9+0+B963)/100)</f>
        <v/>
      </c>
      <c r="N944">
        <f>L944*(1-MIN((Inputs!$B$8+((C949=TRUE)*(F949-Calc!F16))+B958),100)/100)+M944*(MIN((Inputs!$B$8+((C949=TRUE)*(F949-Calc!F16))+B958),100)/100)</f>
        <v/>
      </c>
      <c r="O944">
        <f>IF(C944,H944*N944*IF(AND(Inputs!$B$4&lt;&gt;"pvp",Inputs!$B$35&gt;0),((Skills!G11*((R944-1)*IF(Skills!H11&gt;0,Skills!I11/Skills!H11,1)+IF(Skills!H11&gt;0,MIN(Skills!I11,MAX(0,Inputs!$B$35-((R944-1)*IF(Inputs!$B$4="pvp",15,MAX(0.1,Skills!D11-IF(Skills!E11=TRUE,Inputs!$B$31,0))))))/Skills!H11,1)))/Inputs!$B$35),G944*Q944)*IF(Inputs!$B$4="pvp",1,(1-Summary!$B$55)*(1)+Summary!$B$55*(MIN(Skills!R11,Inputs!$B$37))),0)</f>
        <v/>
      </c>
      <c r="P944">
        <f>IF(B966=0,0,O944/B966)</f>
        <v/>
      </c>
      <c r="Q944">
        <f>IFERROR(1/IF(Inputs!$B$4="pvp",15,MAX(0.1,Skills!D11-IF(Skills!E11=TRUE,Inputs!$B$31,0))),0)</f>
        <v/>
      </c>
      <c r="R944">
        <f>IF(AND(Inputs!$B$4&lt;&gt;"pvp",Inputs!$B$35&gt;0),(INT(Inputs!$B$35/IF(Inputs!$B$4="pvp",15,MAX(0.1,Skills!D11-IF(Skills!E11=TRUE,Inputs!$B$31,0))))+1),0)</f>
        <v/>
      </c>
      <c r="S944">
        <f>IFERROR(O944/N944,0)</f>
        <v/>
      </c>
    </row>
    <row r="945">
      <c r="A945">
        <f>Skills!A12</f>
        <v/>
      </c>
      <c r="B945">
        <f>Skills!B12</f>
        <v/>
      </c>
      <c r="C945">
        <f>Inputs!$B$3&gt;=100</f>
        <v/>
      </c>
      <c r="D945">
        <f>IF(Skills!C12=1,60+Inputs!$B$24+Inputs!$B$28,IF(Skills!C12=2,90+Inputs!$B$25+Inputs!$B$28,IF(Skills!C12=3,120+Inputs!$B$26+Inputs!$B$28,MAX(0,(Inputs!$B$3-100)*3)+Inputs!$B$27+Inputs!$B$28)))</f>
        <v/>
      </c>
      <c r="E945">
        <f>INDEX(FactorTable!$B$2:$Y$301, MATCH(ROUND(MIN(300,MAX(1,D945)),0), FactorTable!$A$2:$A$301,0), Skills!M12+1)</f>
        <v/>
      </c>
      <c r="F945">
        <f>IF(Skills!N12=TRUE,(Skills!L12/10)*(E945/1000),Skills!L12/10)+Skills!O12</f>
        <v/>
      </c>
      <c r="G945" t="inlineStr"/>
      <c r="H945" t="inlineStr"/>
      <c r="I945" t="inlineStr">
        <is>
          <t>1</t>
        </is>
      </c>
      <c r="J945" t="inlineStr"/>
      <c r="K945" t="inlineStr"/>
      <c r="L945" t="inlineStr"/>
      <c r="M945" t="inlineStr"/>
      <c r="N945" t="inlineStr"/>
      <c r="O945" t="inlineStr"/>
      <c r="P945" t="inlineStr"/>
      <c r="Q945" t="inlineStr"/>
      <c r="R945" t="inlineStr"/>
      <c r="S945" t="inlineStr"/>
    </row>
    <row r="946">
      <c r="A946">
        <f>Skills!A13</f>
        <v/>
      </c>
      <c r="B946">
        <f>Skills!B13</f>
        <v/>
      </c>
      <c r="C946">
        <f>Inputs!$B$3&gt;=66</f>
        <v/>
      </c>
      <c r="D946">
        <f>IF(Skills!C13=1,60+Inputs!$B$24+Inputs!$B$28,IF(Skills!C13=2,90+Inputs!$B$25+Inputs!$B$28,IF(Skills!C13=3,120+Inputs!$B$26+Inputs!$B$28,MAX(0,(Inputs!$B$3-100)*3)+Inputs!$B$27+Inputs!$B$28)))</f>
        <v/>
      </c>
      <c r="E946">
        <f>INDEX(FactorTable!$B$2:$Y$301, MATCH(ROUND(MIN(300,MAX(1,D946)),0), FactorTable!$A$2:$A$301,0), Skills!M13+1)</f>
        <v/>
      </c>
      <c r="F946">
        <f>IF(Skills!N13=TRUE,(Skills!L13/10)*(E946/1000),Skills!L13/10)+Skills!O13</f>
        <v/>
      </c>
      <c r="G946">
        <f>Skills!G13*IF(Skills!H13&gt;0,Skills!I13/Skills!H13,1)</f>
        <v/>
      </c>
      <c r="H946">
        <f>1-(1-Skills!J13/100)^Skills!K13</f>
        <v/>
      </c>
      <c r="I946" t="inlineStr">
        <is>
          <t>1</t>
        </is>
      </c>
      <c r="J946" t="inlineStr"/>
      <c r="K946" t="inlineStr"/>
      <c r="L946" t="inlineStr"/>
      <c r="M946" t="inlineStr"/>
      <c r="N946" t="inlineStr"/>
      <c r="O946" t="n">
        <v>0</v>
      </c>
      <c r="P946">
        <f>IF(B966=0,0,O946/B966)</f>
        <v/>
      </c>
      <c r="Q946" t="n">
        <v>0</v>
      </c>
      <c r="R946" t="n">
        <v>0</v>
      </c>
      <c r="S946">
        <f>IFERROR(O946/N946,0)</f>
        <v/>
      </c>
    </row>
    <row r="947">
      <c r="A947">
        <f>Skills!A14</f>
        <v/>
      </c>
      <c r="B947">
        <f>Skills!B14</f>
        <v/>
      </c>
      <c r="C947">
        <f>Inputs!$B$3&gt;=107</f>
        <v/>
      </c>
      <c r="D947">
        <f>IF(Skills!C14=1,60+Inputs!$B$24+Inputs!$B$28,IF(Skills!C14=2,90+Inputs!$B$25+Inputs!$B$28,IF(Skills!C14=3,120+Inputs!$B$26+Inputs!$B$28,MAX(0,(Inputs!$B$3-100)*3)+Inputs!$B$27+Inputs!$B$28)))</f>
        <v/>
      </c>
      <c r="E947">
        <f>INDEX(FactorTable!$B$2:$Y$301, MATCH(ROUND(MIN(300,MAX(1,D947)),0), FactorTable!$A$2:$A$301,0), Skills!M14+1)</f>
        <v/>
      </c>
      <c r="F947">
        <f>IF(Skills!N14=TRUE,(Skills!L14/10)*(E947/1000),Skills!L14/10)+Skills!O14</f>
        <v/>
      </c>
      <c r="G947">
        <f>Skills!G14*IF(Skills!H14&gt;0,Skills!I14/Skills!H14,1)</f>
        <v/>
      </c>
      <c r="H947">
        <f>1-(1-Skills!J14/100)^Skills!K14</f>
        <v/>
      </c>
      <c r="I947" t="inlineStr">
        <is>
          <t>1</t>
        </is>
      </c>
      <c r="J947" t="inlineStr"/>
      <c r="K947" t="inlineStr"/>
      <c r="L947" t="inlineStr"/>
      <c r="M947" t="inlineStr"/>
      <c r="N947" t="inlineStr"/>
      <c r="O947" t="n">
        <v>0</v>
      </c>
      <c r="P947">
        <f>IF(B966=0,0,O947/B966)</f>
        <v/>
      </c>
      <c r="Q947" t="n">
        <v>0</v>
      </c>
      <c r="R947" t="n">
        <v>0</v>
      </c>
      <c r="S947">
        <f>IFERROR(O947/N947,0)</f>
        <v/>
      </c>
    </row>
    <row r="948">
      <c r="A948">
        <f>Skills!A15</f>
        <v/>
      </c>
      <c r="B948">
        <f>Skills!B15</f>
        <v/>
      </c>
      <c r="C948">
        <f>Inputs!$B$3&gt;=115</f>
        <v/>
      </c>
      <c r="D948">
        <f>IF(Skills!C15=1,60+Inputs!$B$24+Inputs!$B$28,IF(Skills!C15=2,90+Inputs!$B$25+Inputs!$B$28,IF(Skills!C15=3,120+Inputs!$B$26+Inputs!$B$28,MAX(0,(Inputs!$B$3-100)*3)+Inputs!$B$27+Inputs!$B$28)))</f>
        <v/>
      </c>
      <c r="E948">
        <f>INDEX(FactorTable!$B$2:$Y$301, MATCH(ROUND(MIN(300,MAX(1,D948)),0), FactorTable!$A$2:$A$301,0), Skills!M15+1)</f>
        <v/>
      </c>
      <c r="F948">
        <f>IF(Skills!N15=TRUE,(Skills!L15/10)*(E948/1000),Skills!L15/10)+Skills!O15</f>
        <v/>
      </c>
      <c r="G948">
        <f>Skills!G15*IF(Skills!H15&gt;0,Skills!I15/Skills!H15,1)</f>
        <v/>
      </c>
      <c r="H948">
        <f>1-(1-Skills!J15/100)^Skills!K15</f>
        <v/>
      </c>
      <c r="I948" t="inlineStr">
        <is>
          <t>1</t>
        </is>
      </c>
      <c r="J948" t="inlineStr"/>
      <c r="K948" t="inlineStr"/>
      <c r="L948" t="inlineStr"/>
      <c r="M948" t="inlineStr"/>
      <c r="N948" t="inlineStr"/>
      <c r="O948" t="n">
        <v>0</v>
      </c>
      <c r="P948">
        <f>IF(B966=0,0,O948/B966)</f>
        <v/>
      </c>
      <c r="Q948" t="n">
        <v>0</v>
      </c>
      <c r="R948" t="n">
        <v>0</v>
      </c>
      <c r="S948">
        <f>IFERROR(O948/N948,0)</f>
        <v/>
      </c>
    </row>
    <row r="949">
      <c r="A949">
        <f>Skills!A16</f>
        <v/>
      </c>
      <c r="B949">
        <f>Skills!B16</f>
        <v/>
      </c>
      <c r="C949">
        <f>Inputs!$B$3&gt;=15</f>
        <v/>
      </c>
      <c r="D949">
        <f>IF(Skills!C16=1,60+Inputs!$B$24+Inputs!$B$28,IF(Skills!C16=2,90+Inputs!$B$25+Inputs!$B$28,IF(Skills!C16=3,120+Inputs!$B$26+Inputs!$B$28,MAX(0,(Inputs!$B$3-100)*3)+Inputs!$B$27+Inputs!$B$28)))</f>
        <v/>
      </c>
      <c r="E949">
        <f>INDEX(FactorTable!$B$2:$Y$301, MATCH(ROUND(MIN(300,MAX(1,D949)),0), FactorTable!$A$2:$A$301,0), Skills!M16+1)</f>
        <v/>
      </c>
      <c r="F949">
        <f>IF(Skills!N16=TRUE,(Skills!L16/10)*(E949/1000),Skills!L16/10)+Skills!O16</f>
        <v/>
      </c>
      <c r="G949">
        <f>Skills!G16*IF(Skills!H16&gt;0,Skills!I16/Skills!H16,1)</f>
        <v/>
      </c>
      <c r="H949">
        <f>1-(1-Skills!J16/100)^Skills!K16</f>
        <v/>
      </c>
      <c r="I949" t="inlineStr">
        <is>
          <t>1</t>
        </is>
      </c>
      <c r="J949" t="inlineStr"/>
      <c r="K949" t="inlineStr"/>
      <c r="L949" t="inlineStr"/>
      <c r="M949" t="inlineStr"/>
      <c r="N949" t="inlineStr"/>
      <c r="O949" t="n">
        <v>0</v>
      </c>
      <c r="P949">
        <f>IF(B966=0,0,O949/B966)</f>
        <v/>
      </c>
      <c r="Q949" t="n">
        <v>0</v>
      </c>
      <c r="R949" t="n">
        <v>0</v>
      </c>
      <c r="S949">
        <f>IFERROR(O949/N949,0)</f>
        <v/>
      </c>
    </row>
    <row r="950">
      <c r="A950">
        <f>Skills!A17</f>
        <v/>
      </c>
      <c r="B950">
        <f>Skills!B17</f>
        <v/>
      </c>
      <c r="C950">
        <f>Inputs!$B$3&gt;=10</f>
        <v/>
      </c>
      <c r="D950">
        <f>IF(Skills!C17=1,60+Inputs!$B$24+Inputs!$B$28,IF(Skills!C17=2,90+Inputs!$B$25+Inputs!$B$28,IF(Skills!C17=3,120+Inputs!$B$26+Inputs!$B$28,MAX(0,(Inputs!$B$3-100)*3)+Inputs!$B$27+Inputs!$B$28)))</f>
        <v/>
      </c>
      <c r="E950">
        <f>INDEX(FactorTable!$B$2:$Y$301, MATCH(ROUND(MIN(300,MAX(1,D950)),0), FactorTable!$A$2:$A$301,0), Skills!M17+1)</f>
        <v/>
      </c>
      <c r="F950">
        <f>IF(Skills!N17=TRUE,(Skills!L17/10)*(E950/1000),Skills!L17/10)+Skills!O17</f>
        <v/>
      </c>
      <c r="G950">
        <f>Skills!G17*IF(Skills!H17&gt;0,Skills!I17/Skills!H17,1)</f>
        <v/>
      </c>
      <c r="H950">
        <f>1-(1-Skills!J17/100)^Skills!K17</f>
        <v/>
      </c>
      <c r="I950" t="inlineStr">
        <is>
          <t>1</t>
        </is>
      </c>
      <c r="J950" t="inlineStr"/>
      <c r="K950" t="inlineStr"/>
      <c r="L950" t="inlineStr"/>
      <c r="M950" t="inlineStr"/>
      <c r="N950" t="inlineStr"/>
      <c r="O950" t="n">
        <v>0</v>
      </c>
      <c r="P950">
        <f>IF(B966=0,0,O950/B966)</f>
        <v/>
      </c>
      <c r="Q950" t="n">
        <v>0</v>
      </c>
      <c r="R950" t="n">
        <v>0</v>
      </c>
      <c r="S950">
        <f>IFERROR(O950/N950,0)</f>
        <v/>
      </c>
    </row>
    <row r="951">
      <c r="A951">
        <f>Skills!A18</f>
        <v/>
      </c>
      <c r="B951">
        <f>Skills!B18</f>
        <v/>
      </c>
      <c r="C951">
        <f>Inputs!$B$3&gt;=33</f>
        <v/>
      </c>
      <c r="D951">
        <f>IF(Skills!C18=1,60+Inputs!$B$24+Inputs!$B$28,IF(Skills!C18=2,90+Inputs!$B$25+Inputs!$B$28,IF(Skills!C18=3,120+Inputs!$B$26+Inputs!$B$28,MAX(0,(Inputs!$B$3-100)*3)+Inputs!$B$27+Inputs!$B$28)))</f>
        <v/>
      </c>
      <c r="E951">
        <f>INDEX(FactorTable!$B$2:$Y$301, MATCH(ROUND(MIN(300,MAX(1,D951)),0), FactorTable!$A$2:$A$301,0), Skills!M18+1)</f>
        <v/>
      </c>
      <c r="F951">
        <f>IF(Skills!N18=TRUE,(Skills!L18/10)*(E951/1000),Skills!L18/10)+Skills!O18</f>
        <v/>
      </c>
      <c r="G951">
        <f>Skills!G18*IF(Skills!H18&gt;0,Skills!I18/Skills!H18,1)</f>
        <v/>
      </c>
      <c r="H951">
        <f>1-(1-Skills!J18/100)^Skills!K18</f>
        <v/>
      </c>
      <c r="I951" t="inlineStr">
        <is>
          <t>1</t>
        </is>
      </c>
      <c r="J951" t="inlineStr"/>
      <c r="K951" t="inlineStr"/>
      <c r="L951" t="inlineStr"/>
      <c r="M951" t="inlineStr"/>
      <c r="N951" t="inlineStr"/>
      <c r="O951" t="n">
        <v>0</v>
      </c>
      <c r="P951">
        <f>IF(B966=0,0,O951/B966)</f>
        <v/>
      </c>
      <c r="Q951" t="n">
        <v>0</v>
      </c>
      <c r="R951" t="n">
        <v>0</v>
      </c>
      <c r="S951">
        <f>IFERROR(O951/N951,0)</f>
        <v/>
      </c>
    </row>
    <row r="952">
      <c r="A952">
        <f>Skills!A19</f>
        <v/>
      </c>
      <c r="B952">
        <f>Skills!B19</f>
        <v/>
      </c>
      <c r="C952">
        <f>Inputs!$B$3&gt;=40</f>
        <v/>
      </c>
      <c r="D952">
        <f>IF(Skills!C19=1,60+Inputs!$B$24+Inputs!$B$28,IF(Skills!C19=2,90+Inputs!$B$25+Inputs!$B$28,IF(Skills!C19=3,120+Inputs!$B$26+Inputs!$B$28,MAX(0,(Inputs!$B$3-100)*3)+Inputs!$B$27+Inputs!$B$28)))</f>
        <v/>
      </c>
      <c r="E952">
        <f>INDEX(FactorTable!$B$2:$Y$301, MATCH(ROUND(MIN(300,MAX(1,D952)),0), FactorTable!$A$2:$A$301,0), Skills!M19+1)</f>
        <v/>
      </c>
      <c r="F952">
        <f>IF(Skills!N19=TRUE,(Skills!L19/10)*(E952/1000),Skills!L19/10)+Skills!O19</f>
        <v/>
      </c>
      <c r="G952">
        <f>Skills!G19*IF(Skills!H19&gt;0,Skills!I19/Skills!H19,1)</f>
        <v/>
      </c>
      <c r="H952">
        <f>1-(1-Skills!J19/100)^Skills!K19</f>
        <v/>
      </c>
      <c r="I952" t="inlineStr">
        <is>
          <t>1</t>
        </is>
      </c>
      <c r="J952" t="inlineStr"/>
      <c r="K952" t="inlineStr"/>
      <c r="L952" t="inlineStr"/>
      <c r="M952" t="inlineStr"/>
      <c r="N952" t="inlineStr"/>
      <c r="O952" t="n">
        <v>0</v>
      </c>
      <c r="P952">
        <f>IF(B966=0,0,O952/B966)</f>
        <v/>
      </c>
      <c r="Q952" t="n">
        <v>0</v>
      </c>
      <c r="R952" t="n">
        <v>0</v>
      </c>
      <c r="S952">
        <f>IFERROR(O952/N952,0)</f>
        <v/>
      </c>
    </row>
    <row r="953">
      <c r="A953">
        <f>Skills!A20</f>
        <v/>
      </c>
      <c r="B953">
        <f>Skills!B20</f>
        <v/>
      </c>
      <c r="C953">
        <f>Inputs!$B$3&gt;=43</f>
        <v/>
      </c>
      <c r="D953">
        <f>IF(Skills!C20=1,60+Inputs!$B$24+Inputs!$B$28,IF(Skills!C20=2,90+Inputs!$B$25+Inputs!$B$28,IF(Skills!C20=3,120+Inputs!$B$26+Inputs!$B$28,MAX(0,(Inputs!$B$3-100)*3)+Inputs!$B$27+Inputs!$B$28)))</f>
        <v/>
      </c>
      <c r="E953">
        <f>INDEX(FactorTable!$B$2:$Y$301, MATCH(ROUND(MIN(300,MAX(1,D953)),0), FactorTable!$A$2:$A$301,0), Skills!M20+1)</f>
        <v/>
      </c>
      <c r="F953">
        <f>IF(Skills!N20=TRUE,(Skills!L20/10)*(E953/1000),Skills!L20/10)+Skills!O20</f>
        <v/>
      </c>
      <c r="G953">
        <f>Skills!G20*IF(Skills!H20&gt;0,Skills!I20/Skills!H20,1)</f>
        <v/>
      </c>
      <c r="H953">
        <f>1-(1-Skills!J20/100)^Skills!K20</f>
        <v/>
      </c>
      <c r="I953" t="inlineStr">
        <is>
          <t>1</t>
        </is>
      </c>
      <c r="J953" t="inlineStr"/>
      <c r="K953" t="inlineStr"/>
      <c r="L953" t="inlineStr"/>
      <c r="M953" t="inlineStr"/>
      <c r="N953" t="inlineStr"/>
      <c r="O953" t="n">
        <v>0</v>
      </c>
      <c r="P953">
        <f>IF(B966=0,0,O953/B966)</f>
        <v/>
      </c>
      <c r="Q953" t="n">
        <v>0</v>
      </c>
      <c r="R953" t="n">
        <v>0</v>
      </c>
      <c r="S953">
        <f>IFERROR(O953/N953,0)</f>
        <v/>
      </c>
    </row>
    <row r="954">
      <c r="A954">
        <f>Skills!A21</f>
        <v/>
      </c>
      <c r="B954">
        <f>Skills!B21</f>
        <v/>
      </c>
      <c r="C954">
        <f>Inputs!$B$3&gt;=38</f>
        <v/>
      </c>
      <c r="D954">
        <f>IF(Skills!C21=1,60+Inputs!$B$24+Inputs!$B$28,IF(Skills!C21=2,90+Inputs!$B$25+Inputs!$B$28,IF(Skills!C21=3,120+Inputs!$B$26+Inputs!$B$28,MAX(0,(Inputs!$B$3-100)*3)+Inputs!$B$27+Inputs!$B$28)))</f>
        <v/>
      </c>
      <c r="E954">
        <f>INDEX(FactorTable!$B$2:$Y$301, MATCH(ROUND(MIN(300,MAX(1,D954)),0), FactorTable!$A$2:$A$301,0), Skills!M21+1)</f>
        <v/>
      </c>
      <c r="F954">
        <f>IF(Skills!N21=TRUE,(Skills!L21/10)*(E954/1000),Skills!L21/10)+Skills!O21</f>
        <v/>
      </c>
      <c r="G954">
        <f>Skills!G21*IF(Skills!H21&gt;0,Skills!I21/Skills!H21,1)</f>
        <v/>
      </c>
      <c r="H954">
        <f>1-(1-Skills!J21/100)^Skills!K21</f>
        <v/>
      </c>
      <c r="I954" t="inlineStr">
        <is>
          <t>1</t>
        </is>
      </c>
      <c r="J954" t="inlineStr"/>
      <c r="K954" t="inlineStr"/>
      <c r="L954" t="inlineStr"/>
      <c r="M954" t="inlineStr"/>
      <c r="N954" t="inlineStr"/>
      <c r="O954" t="n">
        <v>0</v>
      </c>
      <c r="P954">
        <f>IF(B966=0,0,O954/B966)</f>
        <v/>
      </c>
      <c r="Q954" t="n">
        <v>0</v>
      </c>
      <c r="R954" t="n">
        <v>0</v>
      </c>
      <c r="S954">
        <f>IFERROR(O954/N954,0)</f>
        <v/>
      </c>
    </row>
    <row r="955">
      <c r="A955">
        <f>Skills!A22</f>
        <v/>
      </c>
      <c r="B955">
        <f>Skills!B22</f>
        <v/>
      </c>
      <c r="C955">
        <f>Inputs!$B$3&gt;=75</f>
        <v/>
      </c>
      <c r="D955">
        <f>IF(Skills!C22=1,60+Inputs!$B$24+Inputs!$B$28,IF(Skills!C22=2,90+Inputs!$B$25+Inputs!$B$28,IF(Skills!C22=3,120+Inputs!$B$26+Inputs!$B$28,MAX(0,(Inputs!$B$3-100)*3)+Inputs!$B$27+Inputs!$B$28)))</f>
        <v/>
      </c>
      <c r="E955">
        <f>INDEX(FactorTable!$B$2:$Y$301, MATCH(ROUND(MIN(300,MAX(1,D955)),0), FactorTable!$A$2:$A$301,0), Skills!M22+1)</f>
        <v/>
      </c>
      <c r="F955">
        <f>IF(Skills!N22=TRUE,(Skills!L22/10)*(E955/1000),Skills!L22/10)+Skills!O22</f>
        <v/>
      </c>
      <c r="G955">
        <f>Skills!G22*IF(Skills!H22&gt;0,Skills!I22/Skills!H22,1)</f>
        <v/>
      </c>
      <c r="H955">
        <f>1-(1-Skills!J22/100)^Skills!K22</f>
        <v/>
      </c>
      <c r="I955" t="inlineStr">
        <is>
          <t>1</t>
        </is>
      </c>
      <c r="J955" t="inlineStr"/>
      <c r="K955" t="inlineStr"/>
      <c r="L955" t="inlineStr"/>
      <c r="M955" t="inlineStr"/>
      <c r="N955" t="inlineStr"/>
      <c r="O955" t="n">
        <v>0</v>
      </c>
      <c r="P955">
        <f>IF(B966=0,0,O955/B966)</f>
        <v/>
      </c>
      <c r="Q955" t="n">
        <v>0</v>
      </c>
      <c r="R955" t="n">
        <v>0</v>
      </c>
      <c r="S955">
        <f>IFERROR(O955/N955,0)</f>
        <v/>
      </c>
    </row>
    <row r="957">
      <c r="A957" t="inlineStr">
        <is>
          <t>Attack% Bucket Multiplier</t>
        </is>
      </c>
      <c r="B957">
        <f>(1+(((C946=TRUE)*F946)+((C952=TRUE)*(F952-Calc!F19)))/100)</f>
        <v/>
      </c>
    </row>
    <row r="958">
      <c r="A958" t="inlineStr">
        <is>
          <t>Global Crit Rate Bonus %</t>
        </is>
      </c>
      <c r="B958" t="n">
        <v>0</v>
      </c>
    </row>
    <row r="959">
      <c r="A959" t="inlineStr">
        <is>
          <t>Attack Speed Buff Bonus % (unused)</t>
        </is>
      </c>
      <c r="B959" t="n">
        <v>0</v>
      </c>
    </row>
    <row r="960">
      <c r="A960" t="inlineStr">
        <is>
          <t>Actions Per Second</t>
        </is>
      </c>
      <c r="B960">
        <f>1+MIN(150,150*(1-(1-(Inputs!$B$10+((C950=TRUE)*(F950-Calc!F17))+((C951=TRUE)*(F951-Calc!F18)))/150)*(1-B959/150)))/100</f>
        <v/>
      </c>
    </row>
    <row r="961">
      <c r="A961" t="inlineStr">
        <is>
          <t>Skill + Buff Cast Rate</t>
        </is>
      </c>
      <c r="B961">
        <f>IF(AND(Inputs!$B$4&lt;&gt;"pvp",Inputs!$B$35&gt;0),SUMPRODUCT((Skills!E2:E22=TRUE)*(C935:C955=TRUE)*R935:R955*Skills!F2:F22)/Inputs!$B$35,SUMPRODUCT((Skills!E2:E22=TRUE)*(C935:C955=TRUE)*Q935:Q955*Skills!F2:F22))</f>
        <v/>
      </c>
    </row>
    <row r="962">
      <c r="A962" t="inlineStr">
        <is>
          <t>Hook Bomber Casts Per Second</t>
        </is>
      </c>
      <c r="B962">
        <f>MAX(0,B960-B961)</f>
        <v/>
      </c>
    </row>
    <row r="963">
      <c r="A963" t="inlineStr">
        <is>
          <t>Global Critical Damage Bonus % (unused)</t>
        </is>
      </c>
      <c r="B963" t="n">
        <v>0</v>
      </c>
    </row>
    <row r="964">
      <c r="A964" t="inlineStr">
        <is>
          <t>Global Final Damage Bonus % (Serpent Scale + Crossbones + Time Leap + Speed Infusion)</t>
        </is>
      </c>
      <c r="B964">
        <f>((C938=TRUE)*F938*((10+IF(Inputs!$B$3&gt;=94,5,0))/((10+IF(Inputs!$B$3&gt;=94,5,0))+5/(B962*(1+IF(Inputs!$B$3&gt;=104,1,0))))))+((C947=TRUE)*F947)+((C948=TRUE)*F948)+((Inputs!$B$3&gt;=110)*20*(B960-1))</f>
        <v/>
      </c>
    </row>
    <row r="966">
      <c r="A966" s="5" t="inlineStr">
        <is>
          <t>TOTAL DPS</t>
        </is>
      </c>
      <c r="B966" s="5">
        <f>SUM(O935:O955)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Sensitivity!H7</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f>
        <v/>
      </c>
    </row>
    <row r="79">
      <c r="A79" t="inlineStr">
        <is>
          <t>ALL</t>
        </is>
      </c>
      <c r="B79" t="inlineStr">
        <is>
          <t>rare</t>
        </is>
      </c>
      <c r="C79" t="n">
        <v>2</v>
      </c>
      <c r="D79" t="inlineStr">
        <is>
          <t>Dex %</t>
        </is>
      </c>
      <c r="E79" t="n">
        <v>4.5</v>
      </c>
      <c r="F79" t="n">
        <v>1.08</v>
      </c>
      <c r="G79" t="b">
        <v>1</v>
      </c>
      <c r="H79">
        <f>Sensitivity!H7</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f>
        <v/>
      </c>
    </row>
    <row r="111">
      <c r="A111" t="inlineStr">
        <is>
          <t>ALL</t>
        </is>
      </c>
      <c r="B111" t="inlineStr">
        <is>
          <t>rare</t>
        </is>
      </c>
      <c r="C111" t="n">
        <v>3</v>
      </c>
      <c r="D111" t="inlineStr">
        <is>
          <t>Dex %</t>
        </is>
      </c>
      <c r="E111" t="n">
        <v>4.5</v>
      </c>
      <c r="F111" t="n">
        <v>0.36</v>
      </c>
      <c r="G111" t="b">
        <v>1</v>
      </c>
      <c r="H111">
        <f>Sensitivity!H7</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f>
        <v/>
      </c>
    </row>
    <row r="159">
      <c r="A159" t="inlineStr">
        <is>
          <t>ALL</t>
        </is>
      </c>
      <c r="B159" t="inlineStr">
        <is>
          <t>epic</t>
        </is>
      </c>
      <c r="C159" t="n">
        <v>2</v>
      </c>
      <c r="D159" t="inlineStr">
        <is>
          <t>Dex %</t>
        </is>
      </c>
      <c r="E159" t="n">
        <v>6</v>
      </c>
      <c r="F159" t="n">
        <v>1.08</v>
      </c>
      <c r="G159" t="b">
        <v>1</v>
      </c>
      <c r="H159">
        <f>Sensitivity!H7</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f>
        <v/>
      </c>
    </row>
    <row r="191">
      <c r="A191" t="inlineStr">
        <is>
          <t>ALL</t>
        </is>
      </c>
      <c r="B191" t="inlineStr">
        <is>
          <t>epic</t>
        </is>
      </c>
      <c r="C191" t="n">
        <v>3</v>
      </c>
      <c r="D191" t="inlineStr">
        <is>
          <t>Dex %</t>
        </is>
      </c>
      <c r="E191" t="n">
        <v>6</v>
      </c>
      <c r="F191" t="n">
        <v>0.36</v>
      </c>
      <c r="G191" t="b">
        <v>1</v>
      </c>
      <c r="H191">
        <f>Sensitivity!H7</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f>
        <v/>
      </c>
    </row>
    <row r="239">
      <c r="A239" t="inlineStr">
        <is>
          <t>ALL</t>
        </is>
      </c>
      <c r="B239" t="inlineStr">
        <is>
          <t>unique</t>
        </is>
      </c>
      <c r="C239" t="n">
        <v>2</v>
      </c>
      <c r="D239" t="inlineStr">
        <is>
          <t>Dex %</t>
        </is>
      </c>
      <c r="E239" t="n">
        <v>9</v>
      </c>
      <c r="F239" t="n">
        <v>1.08</v>
      </c>
      <c r="G239" t="b">
        <v>1</v>
      </c>
      <c r="H239">
        <f>Sensitivity!H7</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f>
        <v/>
      </c>
    </row>
    <row r="271">
      <c r="A271" t="inlineStr">
        <is>
          <t>ALL</t>
        </is>
      </c>
      <c r="B271" t="inlineStr">
        <is>
          <t>unique</t>
        </is>
      </c>
      <c r="C271" t="n">
        <v>3</v>
      </c>
      <c r="D271" t="inlineStr">
        <is>
          <t>Dex %</t>
        </is>
      </c>
      <c r="E271" t="n">
        <v>9</v>
      </c>
      <c r="F271" t="n">
        <v>0.36</v>
      </c>
      <c r="G271" t="b">
        <v>1</v>
      </c>
      <c r="H271">
        <f>Sensitivity!H7</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f>
        <v/>
      </c>
    </row>
    <row r="319">
      <c r="A319" t="inlineStr">
        <is>
          <t>ALL</t>
        </is>
      </c>
      <c r="B319" t="inlineStr">
        <is>
          <t>legendary</t>
        </is>
      </c>
      <c r="C319" t="n">
        <v>2</v>
      </c>
      <c r="D319" t="inlineStr">
        <is>
          <t>Dex %</t>
        </is>
      </c>
      <c r="E319" t="n">
        <v>12</v>
      </c>
      <c r="F319" t="n">
        <v>1.08</v>
      </c>
      <c r="G319" t="b">
        <v>1</v>
      </c>
      <c r="H319">
        <f>Sensitivity!H7</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f>
        <v/>
      </c>
    </row>
    <row r="351">
      <c r="A351" t="inlineStr">
        <is>
          <t>ALL</t>
        </is>
      </c>
      <c r="B351" t="inlineStr">
        <is>
          <t>legendary</t>
        </is>
      </c>
      <c r="C351" t="n">
        <v>3</v>
      </c>
      <c r="D351" t="inlineStr">
        <is>
          <t>Dex %</t>
        </is>
      </c>
      <c r="E351" t="n">
        <v>12</v>
      </c>
      <c r="F351" t="n">
        <v>0.36</v>
      </c>
      <c r="G351" t="b">
        <v>1</v>
      </c>
      <c r="H351">
        <f>Sensitivity!H7</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f>
        <v/>
      </c>
    </row>
    <row r="399">
      <c r="A399" t="inlineStr">
        <is>
          <t>ALL</t>
        </is>
      </c>
      <c r="B399" t="inlineStr">
        <is>
          <t>mystic</t>
        </is>
      </c>
      <c r="C399" t="n">
        <v>2</v>
      </c>
      <c r="D399" t="inlineStr">
        <is>
          <t>Dex %</t>
        </is>
      </c>
      <c r="E399" t="n">
        <v>15</v>
      </c>
      <c r="F399" t="n">
        <v>1.08</v>
      </c>
      <c r="G399" t="b">
        <v>1</v>
      </c>
      <c r="H399">
        <f>Sensitivity!H7</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f>
        <v/>
      </c>
    </row>
    <row r="431">
      <c r="A431" t="inlineStr">
        <is>
          <t>ALL</t>
        </is>
      </c>
      <c r="B431" t="inlineStr">
        <is>
          <t>mystic</t>
        </is>
      </c>
      <c r="C431" t="n">
        <v>3</v>
      </c>
      <c r="D431" t="inlineStr">
        <is>
          <t>Dex %</t>
        </is>
      </c>
      <c r="E431" t="n">
        <v>15</v>
      </c>
      <c r="F431" t="n">
        <v>0.36</v>
      </c>
      <c r="G431" t="b">
        <v>1</v>
      </c>
      <c r="H431">
        <f>Sensitivity!H7</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2026-09-16T10:41:59Z</dcterms:created>
  <dcterms:modified xsi:type="dcterms:W3CDTF">2026-09-16T10:41:59Z</dcterms:modified>
</cp:coreProperties>
</file>